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64011"/>
  <mc:AlternateContent xmlns:mc="http://schemas.openxmlformats.org/markup-compatibility/2006">
    <mc:Choice Requires="x15">
      <x15ac:absPath xmlns:x15ac="http://schemas.microsoft.com/office/spreadsheetml/2010/11/ac" url="E:\Handbook 2021-22\Final Handbook 2021-22\"/>
    </mc:Choice>
  </mc:AlternateContent>
  <bookViews>
    <workbookView xWindow="0" yWindow="0" windowWidth="20490" windowHeight="7050" tabRatio="929"/>
  </bookViews>
  <sheets>
    <sheet name="Index" sheetId="1" r:id="rId1"/>
    <sheet name="43" sheetId="2" r:id="rId2"/>
    <sheet name="44" sheetId="3" r:id="rId3"/>
    <sheet name="45" sheetId="4" r:id="rId4"/>
    <sheet name="46" sheetId="6" r:id="rId5"/>
    <sheet name="47" sheetId="7" r:id="rId6"/>
    <sheet name="48" sheetId="36" r:id="rId7"/>
    <sheet name="49" sheetId="58" r:id="rId8"/>
    <sheet name="50" sheetId="8" r:id="rId9"/>
    <sheet name="51" sheetId="63" r:id="rId10"/>
    <sheet name="52" sheetId="9" r:id="rId11"/>
    <sheet name="53" sheetId="10" r:id="rId12"/>
    <sheet name="54" sheetId="49" r:id="rId13"/>
    <sheet name="55" sheetId="61" r:id="rId14"/>
    <sheet name="56" sheetId="62" r:id="rId15"/>
    <sheet name="57" sheetId="64" r:id="rId16"/>
    <sheet name="58" sheetId="60" r:id="rId17"/>
    <sheet name="59" sheetId="56" r:id="rId18"/>
    <sheet name="60" sheetId="30" r:id="rId19"/>
    <sheet name="61" sheetId="35" r:id="rId20"/>
  </sheets>
  <externalReferences>
    <externalReference r:id="rId21"/>
    <externalReference r:id="rId22"/>
    <externalReference r:id="rId23"/>
    <externalReference r:id="rId24"/>
    <externalReference r:id="rId25"/>
  </externalReferences>
  <definedNames>
    <definedName name="_____________xlnm.Print_Area_6" localSheetId="7">#REF!</definedName>
    <definedName name="_____________xlnm.Print_Area_6" localSheetId="9">#REF!</definedName>
    <definedName name="_____________xlnm.Print_Area_6" localSheetId="13">#REF!</definedName>
    <definedName name="_____________xlnm.Print_Area_6" localSheetId="14">#REF!</definedName>
    <definedName name="_____________xlnm.Print_Area_6" localSheetId="15">#REF!</definedName>
    <definedName name="_____________xlnm.Print_Area_6" localSheetId="16">#REF!</definedName>
    <definedName name="_____________xlnm.Print_Area_6">#REF!</definedName>
    <definedName name="____________xlnm.Print_Area_3" localSheetId="7">#REF!</definedName>
    <definedName name="____________xlnm.Print_Area_3" localSheetId="9">#REF!</definedName>
    <definedName name="____________xlnm.Print_Area_3" localSheetId="13">#REF!</definedName>
    <definedName name="____________xlnm.Print_Area_3" localSheetId="14">#REF!</definedName>
    <definedName name="____________xlnm.Print_Area_3" localSheetId="15">#REF!</definedName>
    <definedName name="____________xlnm.Print_Area_3" localSheetId="16">#REF!</definedName>
    <definedName name="____________xlnm.Print_Area_3">#REF!</definedName>
    <definedName name="____________xlnm.Print_Area_6" localSheetId="7">#REF!</definedName>
    <definedName name="____________xlnm.Print_Area_6" localSheetId="9">#REF!</definedName>
    <definedName name="____________xlnm.Print_Area_6" localSheetId="13">#REF!</definedName>
    <definedName name="____________xlnm.Print_Area_6" localSheetId="14">#REF!</definedName>
    <definedName name="____________xlnm.Print_Area_6" localSheetId="15">#REF!</definedName>
    <definedName name="____________xlnm.Print_Area_6" localSheetId="16">#REF!</definedName>
    <definedName name="____________xlnm.Print_Area_6">#REF!</definedName>
    <definedName name="____________xlnm.Print_Area_7" localSheetId="7">#REF!</definedName>
    <definedName name="____________xlnm.Print_Area_7" localSheetId="9">#REF!</definedName>
    <definedName name="____________xlnm.Print_Area_7" localSheetId="13">#REF!</definedName>
    <definedName name="____________xlnm.Print_Area_7" localSheetId="14">#REF!</definedName>
    <definedName name="____________xlnm.Print_Area_7" localSheetId="15">#REF!</definedName>
    <definedName name="____________xlnm.Print_Area_7" localSheetId="16">#REF!</definedName>
    <definedName name="____________xlnm.Print_Area_7">#REF!</definedName>
    <definedName name="___________xlnm.Print_Area_3" localSheetId="7">#REF!</definedName>
    <definedName name="___________xlnm.Print_Area_3" localSheetId="9">#REF!</definedName>
    <definedName name="___________xlnm.Print_Area_3" localSheetId="13">#REF!</definedName>
    <definedName name="___________xlnm.Print_Area_3" localSheetId="14">#REF!</definedName>
    <definedName name="___________xlnm.Print_Area_3" localSheetId="15">#REF!</definedName>
    <definedName name="___________xlnm.Print_Area_3" localSheetId="16">#REF!</definedName>
    <definedName name="___________xlnm.Print_Area_3">#REF!</definedName>
    <definedName name="___________xlnm.Print_Area_6" localSheetId="7">#REF!</definedName>
    <definedName name="___________xlnm.Print_Area_6" localSheetId="9">#REF!</definedName>
    <definedName name="___________xlnm.Print_Area_6" localSheetId="13">#REF!</definedName>
    <definedName name="___________xlnm.Print_Area_6" localSheetId="14">#REF!</definedName>
    <definedName name="___________xlnm.Print_Area_6" localSheetId="15">#REF!</definedName>
    <definedName name="___________xlnm.Print_Area_6" localSheetId="16">#REF!</definedName>
    <definedName name="___________xlnm.Print_Area_6">#REF!</definedName>
    <definedName name="___________xlnm.Print_Area_7" localSheetId="7">#REF!</definedName>
    <definedName name="___________xlnm.Print_Area_7" localSheetId="9">#REF!</definedName>
    <definedName name="___________xlnm.Print_Area_7" localSheetId="13">#REF!</definedName>
    <definedName name="___________xlnm.Print_Area_7" localSheetId="14">#REF!</definedName>
    <definedName name="___________xlnm.Print_Area_7" localSheetId="15">#REF!</definedName>
    <definedName name="___________xlnm.Print_Area_7" localSheetId="16">#REF!</definedName>
    <definedName name="___________xlnm.Print_Area_7">#REF!</definedName>
    <definedName name="__________xlnm.Print_Area_3" localSheetId="7">#REF!</definedName>
    <definedName name="__________xlnm.Print_Area_3" localSheetId="9">#REF!</definedName>
    <definedName name="__________xlnm.Print_Area_3" localSheetId="13">#REF!</definedName>
    <definedName name="__________xlnm.Print_Area_3" localSheetId="14">#REF!</definedName>
    <definedName name="__________xlnm.Print_Area_3" localSheetId="15">#REF!</definedName>
    <definedName name="__________xlnm.Print_Area_3" localSheetId="16">#REF!</definedName>
    <definedName name="__________xlnm.Print_Area_3">#REF!</definedName>
    <definedName name="__________xlnm.Print_Area_6" localSheetId="7">#REF!</definedName>
    <definedName name="__________xlnm.Print_Area_6" localSheetId="9">#REF!</definedName>
    <definedName name="__________xlnm.Print_Area_6" localSheetId="13">#REF!</definedName>
    <definedName name="__________xlnm.Print_Area_6" localSheetId="14">#REF!</definedName>
    <definedName name="__________xlnm.Print_Area_6" localSheetId="15">#REF!</definedName>
    <definedName name="__________xlnm.Print_Area_6" localSheetId="16">#REF!</definedName>
    <definedName name="__________xlnm.Print_Area_6">#REF!</definedName>
    <definedName name="__________xlnm.Print_Area_7" localSheetId="7">#REF!</definedName>
    <definedName name="__________xlnm.Print_Area_7" localSheetId="9">#REF!</definedName>
    <definedName name="__________xlnm.Print_Area_7" localSheetId="13">#REF!</definedName>
    <definedName name="__________xlnm.Print_Area_7" localSheetId="14">#REF!</definedName>
    <definedName name="__________xlnm.Print_Area_7" localSheetId="15">#REF!</definedName>
    <definedName name="__________xlnm.Print_Area_7" localSheetId="16">#REF!</definedName>
    <definedName name="__________xlnm.Print_Area_7">#REF!</definedName>
    <definedName name="_________xlnm.Print_Area_3" localSheetId="7">#REF!</definedName>
    <definedName name="_________xlnm.Print_Area_3" localSheetId="9">#REF!</definedName>
    <definedName name="_________xlnm.Print_Area_3" localSheetId="13">#REF!</definedName>
    <definedName name="_________xlnm.Print_Area_3" localSheetId="14">#REF!</definedName>
    <definedName name="_________xlnm.Print_Area_3" localSheetId="15">#REF!</definedName>
    <definedName name="_________xlnm.Print_Area_3" localSheetId="16">#REF!</definedName>
    <definedName name="_________xlnm.Print_Area_3">#REF!</definedName>
    <definedName name="_________xlnm.Print_Area_6" localSheetId="7">#REF!</definedName>
    <definedName name="_________xlnm.Print_Area_6" localSheetId="9">#REF!</definedName>
    <definedName name="_________xlnm.Print_Area_6" localSheetId="13">#REF!</definedName>
    <definedName name="_________xlnm.Print_Area_6" localSheetId="14">#REF!</definedName>
    <definedName name="_________xlnm.Print_Area_6" localSheetId="15">#REF!</definedName>
    <definedName name="_________xlnm.Print_Area_6" localSheetId="16">#REF!</definedName>
    <definedName name="_________xlnm.Print_Area_6">#REF!</definedName>
    <definedName name="_________xlnm.Print_Area_7" localSheetId="7">#REF!</definedName>
    <definedName name="_________xlnm.Print_Area_7" localSheetId="9">#REF!</definedName>
    <definedName name="_________xlnm.Print_Area_7" localSheetId="13">#REF!</definedName>
    <definedName name="_________xlnm.Print_Area_7" localSheetId="14">#REF!</definedName>
    <definedName name="_________xlnm.Print_Area_7" localSheetId="15">#REF!</definedName>
    <definedName name="_________xlnm.Print_Area_7" localSheetId="16">#REF!</definedName>
    <definedName name="_________xlnm.Print_Area_7">#REF!</definedName>
    <definedName name="________xlnm.Print_Area_3" localSheetId="7">#REF!</definedName>
    <definedName name="________xlnm.Print_Area_3" localSheetId="9">#REF!</definedName>
    <definedName name="________xlnm.Print_Area_3" localSheetId="13">#REF!</definedName>
    <definedName name="________xlnm.Print_Area_3" localSheetId="14">#REF!</definedName>
    <definedName name="________xlnm.Print_Area_3" localSheetId="15">#REF!</definedName>
    <definedName name="________xlnm.Print_Area_3" localSheetId="16">#REF!</definedName>
    <definedName name="________xlnm.Print_Area_3">#REF!</definedName>
    <definedName name="________xlnm.Print_Area_6" localSheetId="7">#REF!</definedName>
    <definedName name="________xlnm.Print_Area_6" localSheetId="9">#REF!</definedName>
    <definedName name="________xlnm.Print_Area_6" localSheetId="13">#REF!</definedName>
    <definedName name="________xlnm.Print_Area_6" localSheetId="14">#REF!</definedName>
    <definedName name="________xlnm.Print_Area_6" localSheetId="15">#REF!</definedName>
    <definedName name="________xlnm.Print_Area_6" localSheetId="16">#REF!</definedName>
    <definedName name="________xlnm.Print_Area_6">#REF!</definedName>
    <definedName name="________xlnm.Print_Area_7" localSheetId="7">#REF!</definedName>
    <definedName name="________xlnm.Print_Area_7" localSheetId="9">#REF!</definedName>
    <definedName name="________xlnm.Print_Area_7" localSheetId="13">#REF!</definedName>
    <definedName name="________xlnm.Print_Area_7" localSheetId="14">#REF!</definedName>
    <definedName name="________xlnm.Print_Area_7" localSheetId="15">#REF!</definedName>
    <definedName name="________xlnm.Print_Area_7" localSheetId="16">#REF!</definedName>
    <definedName name="________xlnm.Print_Area_7">#REF!</definedName>
    <definedName name="_______xlnm.Print_Area_3" localSheetId="7">#REF!</definedName>
    <definedName name="_______xlnm.Print_Area_3" localSheetId="9">#REF!</definedName>
    <definedName name="_______xlnm.Print_Area_3" localSheetId="13">#REF!</definedName>
    <definedName name="_______xlnm.Print_Area_3" localSheetId="14">#REF!</definedName>
    <definedName name="_______xlnm.Print_Area_3" localSheetId="15">#REF!</definedName>
    <definedName name="_______xlnm.Print_Area_3" localSheetId="16">#REF!</definedName>
    <definedName name="_______xlnm.Print_Area_3">#REF!</definedName>
    <definedName name="_______xlnm.Print_Area_6" localSheetId="7">#REF!</definedName>
    <definedName name="_______xlnm.Print_Area_6" localSheetId="9">#REF!</definedName>
    <definedName name="_______xlnm.Print_Area_6" localSheetId="13">#REF!</definedName>
    <definedName name="_______xlnm.Print_Area_6" localSheetId="14">#REF!</definedName>
    <definedName name="_______xlnm.Print_Area_6" localSheetId="15">#REF!</definedName>
    <definedName name="_______xlnm.Print_Area_6" localSheetId="16">#REF!</definedName>
    <definedName name="_______xlnm.Print_Area_6">#REF!</definedName>
    <definedName name="_______xlnm.Print_Area_7" localSheetId="7">#REF!</definedName>
    <definedName name="_______xlnm.Print_Area_7" localSheetId="9">#REF!</definedName>
    <definedName name="_______xlnm.Print_Area_7" localSheetId="13">#REF!</definedName>
    <definedName name="_______xlnm.Print_Area_7" localSheetId="14">#REF!</definedName>
    <definedName name="_______xlnm.Print_Area_7" localSheetId="15">#REF!</definedName>
    <definedName name="_______xlnm.Print_Area_7" localSheetId="16">#REF!</definedName>
    <definedName name="_______xlnm.Print_Area_7">#REF!</definedName>
    <definedName name="______xlnm.Print_Area_3" localSheetId="7">#REF!</definedName>
    <definedName name="______xlnm.Print_Area_3" localSheetId="9">#REF!</definedName>
    <definedName name="______xlnm.Print_Area_3" localSheetId="13">#REF!</definedName>
    <definedName name="______xlnm.Print_Area_3" localSheetId="14">#REF!</definedName>
    <definedName name="______xlnm.Print_Area_3" localSheetId="15">#REF!</definedName>
    <definedName name="______xlnm.Print_Area_3" localSheetId="16">#REF!</definedName>
    <definedName name="______xlnm.Print_Area_3">#REF!</definedName>
    <definedName name="______xlnm.Print_Area_6" localSheetId="7">#REF!</definedName>
    <definedName name="______xlnm.Print_Area_6" localSheetId="9">#REF!</definedName>
    <definedName name="______xlnm.Print_Area_6" localSheetId="13">#REF!</definedName>
    <definedName name="______xlnm.Print_Area_6" localSheetId="14">#REF!</definedName>
    <definedName name="______xlnm.Print_Area_6" localSheetId="15">#REF!</definedName>
    <definedName name="______xlnm.Print_Area_6" localSheetId="16">#REF!</definedName>
    <definedName name="______xlnm.Print_Area_6">#REF!</definedName>
    <definedName name="______xlnm.Print_Area_7" localSheetId="7">#REF!</definedName>
    <definedName name="______xlnm.Print_Area_7" localSheetId="9">#REF!</definedName>
    <definedName name="______xlnm.Print_Area_7" localSheetId="13">#REF!</definedName>
    <definedName name="______xlnm.Print_Area_7" localSheetId="14">#REF!</definedName>
    <definedName name="______xlnm.Print_Area_7" localSheetId="15">#REF!</definedName>
    <definedName name="______xlnm.Print_Area_7" localSheetId="16">#REF!</definedName>
    <definedName name="______xlnm.Print_Area_7">#REF!</definedName>
    <definedName name="_____xlnm.Print_Area_3" localSheetId="7">#REF!</definedName>
    <definedName name="_____xlnm.Print_Area_3" localSheetId="9">#REF!</definedName>
    <definedName name="_____xlnm.Print_Area_3" localSheetId="13">#REF!</definedName>
    <definedName name="_____xlnm.Print_Area_3" localSheetId="14">#REF!</definedName>
    <definedName name="_____xlnm.Print_Area_3" localSheetId="15">#REF!</definedName>
    <definedName name="_____xlnm.Print_Area_3" localSheetId="16">#REF!</definedName>
    <definedName name="_____xlnm.Print_Area_3">#REF!</definedName>
    <definedName name="_____xlnm.Print_Area_6" localSheetId="7">#REF!</definedName>
    <definedName name="_____xlnm.Print_Area_6" localSheetId="9">#REF!</definedName>
    <definedName name="_____xlnm.Print_Area_6" localSheetId="13">#REF!</definedName>
    <definedName name="_____xlnm.Print_Area_6" localSheetId="14">#REF!</definedName>
    <definedName name="_____xlnm.Print_Area_6" localSheetId="15">#REF!</definedName>
    <definedName name="_____xlnm.Print_Area_6" localSheetId="16">#REF!</definedName>
    <definedName name="_____xlnm.Print_Area_6">#REF!</definedName>
    <definedName name="_____xlnm.Print_Area_7" localSheetId="7">#REF!</definedName>
    <definedName name="_____xlnm.Print_Area_7" localSheetId="9">#REF!</definedName>
    <definedName name="_____xlnm.Print_Area_7" localSheetId="13">#REF!</definedName>
    <definedName name="_____xlnm.Print_Area_7" localSheetId="14">#REF!</definedName>
    <definedName name="_____xlnm.Print_Area_7" localSheetId="15">#REF!</definedName>
    <definedName name="_____xlnm.Print_Area_7" localSheetId="16">#REF!</definedName>
    <definedName name="_____xlnm.Print_Area_7">#REF!</definedName>
    <definedName name="____xlnm.Print_Area_3" localSheetId="7">#REF!</definedName>
    <definedName name="____xlnm.Print_Area_3" localSheetId="9">#REF!</definedName>
    <definedName name="____xlnm.Print_Area_3" localSheetId="13">#REF!</definedName>
    <definedName name="____xlnm.Print_Area_3" localSheetId="14">#REF!</definedName>
    <definedName name="____xlnm.Print_Area_3" localSheetId="15">#REF!</definedName>
    <definedName name="____xlnm.Print_Area_3" localSheetId="16">#REF!</definedName>
    <definedName name="____xlnm.Print_Area_3">#REF!</definedName>
    <definedName name="____xlnm.Print_Area_6" localSheetId="7">#REF!</definedName>
    <definedName name="____xlnm.Print_Area_6" localSheetId="9">#REF!</definedName>
    <definedName name="____xlnm.Print_Area_6" localSheetId="13">#REF!</definedName>
    <definedName name="____xlnm.Print_Area_6" localSheetId="14">#REF!</definedName>
    <definedName name="____xlnm.Print_Area_6" localSheetId="15">#REF!</definedName>
    <definedName name="____xlnm.Print_Area_6" localSheetId="16">#REF!</definedName>
    <definedName name="____xlnm.Print_Area_6">#REF!</definedName>
    <definedName name="____xlnm.Print_Area_7" localSheetId="7">#REF!</definedName>
    <definedName name="____xlnm.Print_Area_7" localSheetId="9">#REF!</definedName>
    <definedName name="____xlnm.Print_Area_7" localSheetId="13">#REF!</definedName>
    <definedName name="____xlnm.Print_Area_7" localSheetId="14">#REF!</definedName>
    <definedName name="____xlnm.Print_Area_7" localSheetId="15">#REF!</definedName>
    <definedName name="____xlnm.Print_Area_7" localSheetId="16">#REF!</definedName>
    <definedName name="____xlnm.Print_Area_7">#REF!</definedName>
    <definedName name="___xlnm.Print_Area_1" localSheetId="7">#REF!</definedName>
    <definedName name="___xlnm.Print_Area_1" localSheetId="9">#REF!</definedName>
    <definedName name="___xlnm.Print_Area_1" localSheetId="13">#REF!</definedName>
    <definedName name="___xlnm.Print_Area_1" localSheetId="14">#REF!</definedName>
    <definedName name="___xlnm.Print_Area_1" localSheetId="15">#REF!</definedName>
    <definedName name="___xlnm.Print_Area_1" localSheetId="16">#REF!</definedName>
    <definedName name="___xlnm.Print_Area_1">#REF!</definedName>
    <definedName name="___xlnm.Print_Area_3" localSheetId="7">#REF!</definedName>
    <definedName name="___xlnm.Print_Area_3" localSheetId="9">#REF!</definedName>
    <definedName name="___xlnm.Print_Area_3" localSheetId="13">#REF!</definedName>
    <definedName name="___xlnm.Print_Area_3" localSheetId="14">#REF!</definedName>
    <definedName name="___xlnm.Print_Area_3" localSheetId="15">#REF!</definedName>
    <definedName name="___xlnm.Print_Area_3" localSheetId="16">#REF!</definedName>
    <definedName name="___xlnm.Print_Area_3">#REF!</definedName>
    <definedName name="___xlnm.Print_Area_6" localSheetId="7">#REF!</definedName>
    <definedName name="___xlnm.Print_Area_6" localSheetId="9">#REF!</definedName>
    <definedName name="___xlnm.Print_Area_6" localSheetId="13">#REF!</definedName>
    <definedName name="___xlnm.Print_Area_6" localSheetId="14">#REF!</definedName>
    <definedName name="___xlnm.Print_Area_6" localSheetId="15">#REF!</definedName>
    <definedName name="___xlnm.Print_Area_6" localSheetId="16">#REF!</definedName>
    <definedName name="___xlnm.Print_Area_6">#REF!</definedName>
    <definedName name="___xlnm.Print_Area_7" localSheetId="7">#REF!</definedName>
    <definedName name="___xlnm.Print_Area_7" localSheetId="9">#REF!</definedName>
    <definedName name="___xlnm.Print_Area_7" localSheetId="13">#REF!</definedName>
    <definedName name="___xlnm.Print_Area_7" localSheetId="14">#REF!</definedName>
    <definedName name="___xlnm.Print_Area_7" localSheetId="15">#REF!</definedName>
    <definedName name="___xlnm.Print_Area_7" localSheetId="16">#REF!</definedName>
    <definedName name="___xlnm.Print_Area_7">#REF!</definedName>
    <definedName name="__xlnm.Print_Area_1" localSheetId="7">#REF!</definedName>
    <definedName name="__xlnm.Print_Area_1" localSheetId="9">#REF!</definedName>
    <definedName name="__xlnm.Print_Area_1" localSheetId="13">#REF!</definedName>
    <definedName name="__xlnm.Print_Area_1" localSheetId="14">#REF!</definedName>
    <definedName name="__xlnm.Print_Area_1" localSheetId="15">#REF!</definedName>
    <definedName name="__xlnm.Print_Area_1" localSheetId="16">#REF!</definedName>
    <definedName name="__xlnm.Print_Area_1">#REF!</definedName>
    <definedName name="__xlnm.Print_Area_3" localSheetId="7">#REF!</definedName>
    <definedName name="__xlnm.Print_Area_3" localSheetId="9">#REF!</definedName>
    <definedName name="__xlnm.Print_Area_3" localSheetId="13">#REF!</definedName>
    <definedName name="__xlnm.Print_Area_3" localSheetId="14">#REF!</definedName>
    <definedName name="__xlnm.Print_Area_3" localSheetId="15">#REF!</definedName>
    <definedName name="__xlnm.Print_Area_3" localSheetId="16">#REF!</definedName>
    <definedName name="__xlnm.Print_Area_3">#REF!</definedName>
    <definedName name="__xlnm.Print_Area_6" localSheetId="7">#REF!</definedName>
    <definedName name="__xlnm.Print_Area_6" localSheetId="9">#REF!</definedName>
    <definedName name="__xlnm.Print_Area_6" localSheetId="13">#REF!</definedName>
    <definedName name="__xlnm.Print_Area_6" localSheetId="14">#REF!</definedName>
    <definedName name="__xlnm.Print_Area_6" localSheetId="15">#REF!</definedName>
    <definedName name="__xlnm.Print_Area_6" localSheetId="16">#REF!</definedName>
    <definedName name="__xlnm.Print_Area_6">#REF!</definedName>
    <definedName name="__xlnm.Print_Area_7" localSheetId="7">#REF!</definedName>
    <definedName name="__xlnm.Print_Area_7" localSheetId="9">#REF!</definedName>
    <definedName name="__xlnm.Print_Area_7" localSheetId="13">#REF!</definedName>
    <definedName name="__xlnm.Print_Area_7" localSheetId="14">#REF!</definedName>
    <definedName name="__xlnm.Print_Area_7" localSheetId="15">#REF!</definedName>
    <definedName name="__xlnm.Print_Area_7" localSheetId="16">#REF!</definedName>
    <definedName name="__xlnm.Print_Area_7">#REF!</definedName>
    <definedName name="_xlnm._FilterDatabase" localSheetId="3" hidden="1">'45'!#REF!</definedName>
    <definedName name="_xlnm._FilterDatabase" localSheetId="15" hidden="1">'57'!$O$4:$Z$43</definedName>
    <definedName name="_xlnm._FilterDatabase" localSheetId="0" hidden="1">Index!$A$4:$B$23</definedName>
    <definedName name="abc" localSheetId="7">#REF!</definedName>
    <definedName name="abc" localSheetId="9">#REF!</definedName>
    <definedName name="abc" localSheetId="13">#REF!</definedName>
    <definedName name="abc" localSheetId="14">#REF!</definedName>
    <definedName name="abc" localSheetId="15">#REF!</definedName>
    <definedName name="abc" localSheetId="16">#REF!</definedName>
    <definedName name="abc">#REF!</definedName>
    <definedName name="ameer">'[2]21'!#REF!</definedName>
    <definedName name="ayaz">'[4]21'!#REF!</definedName>
    <definedName name="bbv">'[5]21'!#REF!</definedName>
    <definedName name="dssd" localSheetId="7">#REF!</definedName>
    <definedName name="dssd" localSheetId="9">#REF!</definedName>
    <definedName name="dssd" localSheetId="13">#REF!</definedName>
    <definedName name="dssd" localSheetId="14">#REF!</definedName>
    <definedName name="dssd" localSheetId="15">#REF!</definedName>
    <definedName name="dssd" localSheetId="16">#REF!</definedName>
    <definedName name="dssd">#REF!</definedName>
    <definedName name="hjhhf" localSheetId="7">#REF!</definedName>
    <definedName name="hjhhf" localSheetId="9">#REF!</definedName>
    <definedName name="hjhhf" localSheetId="13">#REF!</definedName>
    <definedName name="hjhhf" localSheetId="14">#REF!</definedName>
    <definedName name="hjhhf" localSheetId="15">#REF!</definedName>
    <definedName name="hjhhf" localSheetId="16">#REF!</definedName>
    <definedName name="hjhhf">#REF!</definedName>
    <definedName name="Ins_Seg_GDP_F1" comment="Segment wise number of policies and GDP ">[1]Ins_Seg_GDP_F1!$B$7:$AF$40</definedName>
    <definedName name="jikjj" localSheetId="7">#REF!</definedName>
    <definedName name="jikjj" localSheetId="9">#REF!</definedName>
    <definedName name="jikjj" localSheetId="13">#REF!</definedName>
    <definedName name="jikjj" localSheetId="14">#REF!</definedName>
    <definedName name="jikjj" localSheetId="15">#REF!</definedName>
    <definedName name="jikjj" localSheetId="16">#REF!</definedName>
    <definedName name="jikjj">#REF!</definedName>
    <definedName name="kkk" localSheetId="13">#REF!</definedName>
    <definedName name="kkk" localSheetId="14">#REF!</definedName>
    <definedName name="kkk" localSheetId="16">#REF!</definedName>
    <definedName name="kkk">#REF!</definedName>
    <definedName name="kkxnlm.Print_Area_3" localSheetId="13">#REF!</definedName>
    <definedName name="kkxnlm.Print_Area_3" localSheetId="14">#REF!</definedName>
    <definedName name="kkxnlm.Print_Area_3" localSheetId="16">#REF!</definedName>
    <definedName name="kkxnlm.Print_Area_3">#REF!</definedName>
    <definedName name="ppgr" localSheetId="13">#REF!</definedName>
    <definedName name="ppgr" localSheetId="14">#REF!</definedName>
    <definedName name="ppgr" localSheetId="16">#REF!</definedName>
    <definedName name="ppgr">#REF!</definedName>
    <definedName name="_xlnm.Print_Area" localSheetId="1">'43'!$B$1:$F$39</definedName>
    <definedName name="_xlnm.Print_Area" localSheetId="2">'44'!$A$1:$I$52</definedName>
    <definedName name="_xlnm.Print_Area" localSheetId="3">'45'!$B$1:$AY$48</definedName>
    <definedName name="_xlnm.Print_Area" localSheetId="5">'47'!$A$3:$D$12</definedName>
    <definedName name="_xlnm.Print_Area" localSheetId="6">'48'!$B$1:$FD$48</definedName>
    <definedName name="_xlnm.Print_Area" localSheetId="11">'53'!$B$1:$N$43</definedName>
    <definedName name="_xlnm.Print_Area" localSheetId="12">'54'!$A$1:$AAR$21</definedName>
    <definedName name="_xlnm.Print_Area" localSheetId="13">'55'!$A$1:$AE$40</definedName>
    <definedName name="_xlnm.Print_Area" localSheetId="14">'56'!$A$1:$AE$27</definedName>
    <definedName name="_xlnm.Print_Area" localSheetId="15">'57'!$O$1:$Z$48</definedName>
    <definedName name="_xlnm.Print_Area" localSheetId="16">'58'!$B$1:$KK$41</definedName>
    <definedName name="_xlnm.Print_Area" localSheetId="18">'60'!$B$1:$K$47</definedName>
    <definedName name="_xlnm.Print_Titles" localSheetId="2">'44'!$B:$B</definedName>
    <definedName name="_xlnm.Print_Titles" localSheetId="3">'45'!$B:$B</definedName>
    <definedName name="_xlnm.Print_Titles" localSheetId="4">'46'!$B:$B</definedName>
    <definedName name="_xlnm.Print_Titles" localSheetId="6">'48'!$B:$B</definedName>
    <definedName name="_xlnm.Print_Titles" localSheetId="11">'53'!$B:$B</definedName>
    <definedName name="_xlnm.Print_Titles" localSheetId="12">'54'!$A:$A</definedName>
    <definedName name="_xlnm.Print_Titles" localSheetId="13">'55'!$A:$A</definedName>
    <definedName name="_xlnm.Print_Titles" localSheetId="14">'56'!$A:$A</definedName>
    <definedName name="_xlnm.Print_Titles" localSheetId="15">'57'!$3:$4</definedName>
    <definedName name="_xlnm.Print_Titles" localSheetId="16">'58'!$B:$B</definedName>
    <definedName name="_xlnm.Print_Titles" localSheetId="18">'60'!$B:$B</definedName>
    <definedName name="Seg_Amt_Claims_F6" localSheetId="7">#REF!</definedName>
    <definedName name="Seg_Amt_Claims_F6" localSheetId="9">#REF!</definedName>
    <definedName name="Seg_Amt_Claims_F6" localSheetId="13">#REF!</definedName>
    <definedName name="Seg_Amt_Claims_F6" localSheetId="14">#REF!</definedName>
    <definedName name="Seg_Amt_Claims_F6" localSheetId="15">#REF!</definedName>
    <definedName name="Seg_Amt_Claims_F6" localSheetId="16">#REF!</definedName>
    <definedName name="Seg_Amt_Claims_F6">#REF!</definedName>
    <definedName name="ViewType" localSheetId="9">'[2]21'!#REF!</definedName>
    <definedName name="ViewType" localSheetId="13">'[2]21'!#REF!</definedName>
    <definedName name="ViewType" localSheetId="14">'[2]21'!#REF!</definedName>
    <definedName name="ViewType" localSheetId="15">'[2]21'!#REF!</definedName>
    <definedName name="ViewType" localSheetId="16">'[2]21'!#REF!</definedName>
    <definedName name="ViewType">'[2]21'!#REF!</definedName>
    <definedName name="x" localSheetId="7">#REF!</definedName>
    <definedName name="x" localSheetId="9">#REF!</definedName>
    <definedName name="x" localSheetId="13">#REF!</definedName>
    <definedName name="x" localSheetId="14">#REF!</definedName>
    <definedName name="x" localSheetId="15">#REF!</definedName>
    <definedName name="x" localSheetId="16">#REF!</definedName>
    <definedName name="x">#REF!</definedName>
    <definedName name="y" localSheetId="13">#REF!</definedName>
    <definedName name="y" localSheetId="14">#REF!</definedName>
    <definedName name="y" localSheetId="16">#REF!</definedName>
    <definedName name="y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60" i="63" l="1"/>
  <c r="O60" i="63"/>
  <c r="N60" i="63"/>
  <c r="M60" i="63"/>
  <c r="L60" i="63"/>
  <c r="K60" i="63"/>
  <c r="J60" i="63"/>
  <c r="I60" i="63"/>
  <c r="H60" i="63"/>
  <c r="G60" i="63"/>
  <c r="F60" i="63"/>
  <c r="E60" i="63"/>
  <c r="D60" i="63"/>
  <c r="C60" i="63"/>
  <c r="AE26" i="62" l="1"/>
  <c r="AE25" i="62"/>
  <c r="ID23" i="62"/>
  <c r="FD23" i="62"/>
  <c r="DU23" i="62"/>
  <c r="CN23" i="62"/>
  <c r="AC23" i="62"/>
  <c r="AE22" i="62"/>
  <c r="AE21" i="62"/>
  <c r="ID20" i="62"/>
  <c r="FD20" i="62"/>
  <c r="DU20" i="62"/>
  <c r="CN20" i="62"/>
  <c r="AC20" i="62"/>
  <c r="AE19" i="62"/>
  <c r="AE18" i="62"/>
  <c r="AE16" i="62"/>
  <c r="AE15" i="62"/>
  <c r="AE14" i="62"/>
  <c r="CN13" i="62"/>
  <c r="AE13" i="62"/>
  <c r="ID11" i="62"/>
  <c r="FD11" i="62"/>
  <c r="DU11" i="62"/>
  <c r="AE10" i="62"/>
  <c r="AE9" i="62"/>
  <c r="AC9" i="62"/>
  <c r="AC11" i="62" s="1"/>
  <c r="AE8" i="62"/>
  <c r="AE6" i="62"/>
  <c r="DU24" i="62" l="1"/>
  <c r="FD24" i="62"/>
  <c r="FD27" i="62" s="1"/>
  <c r="AE20" i="62"/>
  <c r="AE24" i="62" s="1"/>
  <c r="AC24" i="62"/>
  <c r="AC27" i="62" s="1"/>
  <c r="CN24" i="62"/>
  <c r="ID24" i="62"/>
  <c r="ID27" i="62" s="1"/>
  <c r="AE23" i="62"/>
  <c r="CN27" i="62"/>
  <c r="AE11" i="62"/>
  <c r="AE27" i="62"/>
  <c r="DU27" i="62"/>
  <c r="ZQ6" i="49" l="1"/>
  <c r="ZQ7" i="49"/>
  <c r="ZQ8" i="49"/>
  <c r="ZQ9" i="49"/>
  <c r="ZQ10" i="49"/>
  <c r="ZQ11" i="49"/>
  <c r="ZQ12" i="49"/>
  <c r="ZQ13" i="49"/>
  <c r="ZQ14" i="49"/>
  <c r="ZQ15" i="49"/>
  <c r="ZQ16" i="49"/>
  <c r="ZQ17" i="49"/>
  <c r="HZ41" i="60" l="1"/>
  <c r="HY41" i="60"/>
  <c r="HX41" i="60"/>
  <c r="HW41" i="60"/>
  <c r="HV41" i="60"/>
  <c r="HU41" i="60"/>
  <c r="HT41" i="60"/>
  <c r="HZ40" i="60"/>
  <c r="HY40" i="60"/>
  <c r="HX40" i="60"/>
  <c r="HW40" i="60"/>
  <c r="HV40" i="60"/>
  <c r="HU40" i="60"/>
  <c r="HT40" i="60"/>
  <c r="HZ39" i="60"/>
  <c r="HY39" i="60"/>
  <c r="HX39" i="60"/>
  <c r="HW39" i="60"/>
  <c r="HV39" i="60"/>
  <c r="HU39" i="60"/>
  <c r="HT39" i="60"/>
  <c r="HZ38" i="60"/>
  <c r="HY38" i="60"/>
  <c r="HX38" i="60"/>
  <c r="HW38" i="60"/>
  <c r="HV38" i="60"/>
  <c r="HU38" i="60"/>
  <c r="HT38" i="60"/>
  <c r="HZ37" i="60"/>
  <c r="HY37" i="60"/>
  <c r="HX37" i="60"/>
  <c r="HW37" i="60"/>
  <c r="HV37" i="60"/>
  <c r="HU37" i="60"/>
  <c r="HT37" i="60"/>
  <c r="HZ36" i="60"/>
  <c r="HY36" i="60"/>
  <c r="HX36" i="60"/>
  <c r="HW36" i="60"/>
  <c r="HV36" i="60"/>
  <c r="HU36" i="60"/>
  <c r="HT36" i="60"/>
  <c r="HZ34" i="60"/>
  <c r="HY34" i="60"/>
  <c r="HX34" i="60"/>
  <c r="HW34" i="60"/>
  <c r="HV34" i="60"/>
  <c r="HU34" i="60"/>
  <c r="HT34" i="60"/>
  <c r="HZ33" i="60"/>
  <c r="HY33" i="60"/>
  <c r="HX33" i="60"/>
  <c r="HW33" i="60"/>
  <c r="HV33" i="60"/>
  <c r="HU33" i="60"/>
  <c r="HT33" i="60"/>
  <c r="HZ32" i="60"/>
  <c r="HY32" i="60"/>
  <c r="HX32" i="60"/>
  <c r="HW32" i="60"/>
  <c r="HV32" i="60"/>
  <c r="HU32" i="60"/>
  <c r="HT32" i="60"/>
  <c r="HZ31" i="60"/>
  <c r="HY31" i="60"/>
  <c r="HX31" i="60"/>
  <c r="HW31" i="60"/>
  <c r="HV31" i="60"/>
  <c r="HU31" i="60"/>
  <c r="HT31" i="60"/>
  <c r="HZ30" i="60"/>
  <c r="HY30" i="60"/>
  <c r="HX30" i="60"/>
  <c r="HW30" i="60"/>
  <c r="HV30" i="60"/>
  <c r="HU30" i="60"/>
  <c r="HT30" i="60"/>
  <c r="HZ29" i="60"/>
  <c r="HY29" i="60"/>
  <c r="HX29" i="60"/>
  <c r="HW29" i="60"/>
  <c r="HV29" i="60"/>
  <c r="HU29" i="60"/>
  <c r="HT29" i="60"/>
  <c r="HZ28" i="60"/>
  <c r="HY28" i="60"/>
  <c r="HX28" i="60"/>
  <c r="HW28" i="60"/>
  <c r="HV28" i="60"/>
  <c r="HU28" i="60"/>
  <c r="HT28" i="60"/>
  <c r="HZ27" i="60"/>
  <c r="HY27" i="60"/>
  <c r="HX27" i="60"/>
  <c r="HW27" i="60"/>
  <c r="HV27" i="60"/>
  <c r="HU27" i="60"/>
  <c r="HT27" i="60"/>
  <c r="HZ26" i="60"/>
  <c r="HY26" i="60"/>
  <c r="HX26" i="60"/>
  <c r="HW26" i="60"/>
  <c r="HV26" i="60"/>
  <c r="HU26" i="60"/>
  <c r="HT26" i="60"/>
  <c r="HZ25" i="60"/>
  <c r="HY25" i="60"/>
  <c r="HX25" i="60"/>
  <c r="HW25" i="60"/>
  <c r="HV25" i="60"/>
  <c r="HU25" i="60"/>
  <c r="HT25" i="60"/>
  <c r="HZ24" i="60"/>
  <c r="HY24" i="60"/>
  <c r="HX24" i="60"/>
  <c r="HW24" i="60"/>
  <c r="HV24" i="60"/>
  <c r="HU24" i="60"/>
  <c r="HT24" i="60"/>
  <c r="HZ23" i="60"/>
  <c r="HY23" i="60"/>
  <c r="HX23" i="60"/>
  <c r="HW23" i="60"/>
  <c r="HV23" i="60"/>
  <c r="HU23" i="60"/>
  <c r="HT23" i="60"/>
  <c r="HZ22" i="60"/>
  <c r="HY22" i="60"/>
  <c r="HX22" i="60"/>
  <c r="HW22" i="60"/>
  <c r="HV22" i="60"/>
  <c r="HU22" i="60"/>
  <c r="HT22" i="60"/>
  <c r="HZ21" i="60"/>
  <c r="HY21" i="60"/>
  <c r="HX21" i="60"/>
  <c r="HW21" i="60"/>
  <c r="HV21" i="60"/>
  <c r="HU21" i="60"/>
  <c r="HT21" i="60"/>
  <c r="HZ20" i="60"/>
  <c r="HY20" i="60"/>
  <c r="HX20" i="60"/>
  <c r="HW20" i="60"/>
  <c r="HV20" i="60"/>
  <c r="HU20" i="60"/>
  <c r="HT20" i="60"/>
  <c r="HZ19" i="60"/>
  <c r="HY19" i="60"/>
  <c r="HX19" i="60"/>
  <c r="HW19" i="60"/>
  <c r="HV19" i="60"/>
  <c r="HU19" i="60"/>
  <c r="HT19" i="60"/>
  <c r="HZ18" i="60"/>
  <c r="HY18" i="60"/>
  <c r="HX18" i="60"/>
  <c r="HW18" i="60"/>
  <c r="HV18" i="60"/>
  <c r="HU18" i="60"/>
  <c r="HT18" i="60"/>
  <c r="HZ17" i="60"/>
  <c r="HY17" i="60"/>
  <c r="HX17" i="60"/>
  <c r="HW17" i="60"/>
  <c r="HV17" i="60"/>
  <c r="HU17" i="60"/>
  <c r="HT17" i="60"/>
  <c r="HZ16" i="60"/>
  <c r="HY16" i="60"/>
  <c r="HX16" i="60"/>
  <c r="HW16" i="60"/>
  <c r="HV16" i="60"/>
  <c r="HU16" i="60"/>
  <c r="HT16" i="60"/>
  <c r="HZ15" i="60"/>
  <c r="HY15" i="60"/>
  <c r="HX15" i="60"/>
  <c r="HW15" i="60"/>
  <c r="HV15" i="60"/>
  <c r="HU15" i="60"/>
  <c r="HT15" i="60"/>
  <c r="HZ14" i="60"/>
  <c r="HY14" i="60"/>
  <c r="HX14" i="60"/>
  <c r="HW14" i="60"/>
  <c r="HV14" i="60"/>
  <c r="HU14" i="60"/>
  <c r="HT14" i="60"/>
  <c r="HZ13" i="60"/>
  <c r="HY13" i="60"/>
  <c r="HX13" i="60"/>
  <c r="HW13" i="60"/>
  <c r="HV13" i="60"/>
  <c r="HU13" i="60"/>
  <c r="HT13" i="60"/>
  <c r="HZ12" i="60"/>
  <c r="HY12" i="60"/>
  <c r="HX12" i="60"/>
  <c r="HW12" i="60"/>
  <c r="HV12" i="60"/>
  <c r="HU12" i="60"/>
  <c r="HT12" i="60"/>
  <c r="HZ11" i="60"/>
  <c r="HY11" i="60"/>
  <c r="HX11" i="60"/>
  <c r="HW11" i="60"/>
  <c r="HV11" i="60"/>
  <c r="HU11" i="60"/>
  <c r="HT11" i="60"/>
  <c r="HZ10" i="60"/>
  <c r="HY10" i="60"/>
  <c r="HX10" i="60"/>
  <c r="HW10" i="60"/>
  <c r="HV10" i="60"/>
  <c r="HU10" i="60"/>
  <c r="HT10" i="60"/>
  <c r="HZ9" i="60"/>
  <c r="HY9" i="60"/>
  <c r="HX9" i="60"/>
  <c r="HW9" i="60"/>
  <c r="HV9" i="60"/>
  <c r="HU9" i="60"/>
  <c r="HT9" i="60"/>
  <c r="HZ8" i="60"/>
  <c r="HY8" i="60"/>
  <c r="HX8" i="60"/>
  <c r="HW8" i="60"/>
  <c r="HV8" i="60"/>
  <c r="HU8" i="60"/>
  <c r="HT8" i="60"/>
  <c r="HZ7" i="60"/>
  <c r="HY7" i="60"/>
  <c r="HX7" i="60"/>
  <c r="HW7" i="60"/>
  <c r="HV7" i="60"/>
  <c r="HU7" i="60"/>
  <c r="HT7" i="60"/>
  <c r="HZ6" i="60"/>
  <c r="HY6" i="60"/>
  <c r="HX6" i="60"/>
  <c r="HW6" i="60"/>
  <c r="HV6" i="60"/>
  <c r="HU6" i="60"/>
  <c r="HT6" i="60"/>
  <c r="HZ5" i="60"/>
  <c r="HY5" i="60"/>
  <c r="HX5" i="60"/>
  <c r="HW5" i="60"/>
  <c r="HV5" i="60"/>
  <c r="HU5" i="60"/>
  <c r="HT5" i="60"/>
  <c r="AG26" i="35" l="1"/>
  <c r="AF26" i="35"/>
  <c r="AC26" i="35"/>
  <c r="AB26" i="35"/>
  <c r="Z26" i="35"/>
  <c r="Y26" i="35"/>
  <c r="X26" i="35"/>
  <c r="W26" i="35"/>
  <c r="V26" i="35"/>
  <c r="T26" i="35"/>
  <c r="Q26" i="35"/>
  <c r="P26" i="35"/>
  <c r="O26" i="35"/>
  <c r="M26" i="35"/>
  <c r="L26" i="35"/>
  <c r="K26" i="35"/>
  <c r="I26" i="35"/>
  <c r="H26" i="35"/>
  <c r="G26" i="35"/>
  <c r="F26" i="35"/>
  <c r="E26" i="35"/>
  <c r="C26" i="35"/>
  <c r="B26" i="35"/>
  <c r="AI25" i="35"/>
  <c r="AE25" i="35"/>
  <c r="AA25" i="35"/>
  <c r="U25" i="35"/>
  <c r="R25" i="35"/>
  <c r="N25" i="35"/>
  <c r="J25" i="35"/>
  <c r="D25" i="35"/>
  <c r="AI24" i="35"/>
  <c r="AE24" i="35"/>
  <c r="AA24" i="35"/>
  <c r="U24" i="35"/>
  <c r="R24" i="35"/>
  <c r="N24" i="35"/>
  <c r="J24" i="35"/>
  <c r="D24" i="35"/>
  <c r="AI23" i="35"/>
  <c r="AE23" i="35"/>
  <c r="AA23" i="35"/>
  <c r="U23" i="35"/>
  <c r="R23" i="35"/>
  <c r="N23" i="35"/>
  <c r="J23" i="35"/>
  <c r="D23" i="35"/>
  <c r="AI22" i="35"/>
  <c r="AE22" i="35"/>
  <c r="AA22" i="35"/>
  <c r="U22" i="35"/>
  <c r="R22" i="35"/>
  <c r="N22" i="35"/>
  <c r="J22" i="35"/>
  <c r="D22" i="35"/>
  <c r="AI21" i="35"/>
  <c r="AE21" i="35"/>
  <c r="AA21" i="35"/>
  <c r="U21" i="35"/>
  <c r="R21" i="35"/>
  <c r="N21" i="35"/>
  <c r="J21" i="35"/>
  <c r="D21" i="35"/>
  <c r="AI20" i="35"/>
  <c r="AE20" i="35"/>
  <c r="AA20" i="35"/>
  <c r="U20" i="35"/>
  <c r="R20" i="35"/>
  <c r="N20" i="35"/>
  <c r="J20" i="35"/>
  <c r="D20" i="35"/>
  <c r="AI19" i="35"/>
  <c r="AE19" i="35"/>
  <c r="AA19" i="35"/>
  <c r="U19" i="35"/>
  <c r="R19" i="35"/>
  <c r="N19" i="35"/>
  <c r="J19" i="35"/>
  <c r="D19" i="35"/>
  <c r="AI18" i="35"/>
  <c r="AE18" i="35"/>
  <c r="AA18" i="35"/>
  <c r="U18" i="35"/>
  <c r="R18" i="35"/>
  <c r="N18" i="35"/>
  <c r="J18" i="35"/>
  <c r="D18" i="35"/>
  <c r="AI17" i="35"/>
  <c r="AE17" i="35"/>
  <c r="AA17" i="35"/>
  <c r="U17" i="35"/>
  <c r="R17" i="35"/>
  <c r="N17" i="35"/>
  <c r="J17" i="35"/>
  <c r="D17" i="35"/>
  <c r="AI16" i="35"/>
  <c r="AE16" i="35"/>
  <c r="AA16" i="35"/>
  <c r="U16" i="35"/>
  <c r="N16" i="35"/>
  <c r="J16" i="35"/>
  <c r="D16" i="35"/>
  <c r="AI15" i="35"/>
  <c r="AE15" i="35"/>
  <c r="AA15" i="35"/>
  <c r="U15" i="35"/>
  <c r="R15" i="35"/>
  <c r="N15" i="35"/>
  <c r="J15" i="35"/>
  <c r="D15" i="35"/>
  <c r="AI14" i="35"/>
  <c r="AE14" i="35"/>
  <c r="AA14" i="35"/>
  <c r="U14" i="35"/>
  <c r="R14" i="35"/>
  <c r="N14" i="35"/>
  <c r="J14" i="35"/>
  <c r="D14" i="35"/>
  <c r="AI13" i="35"/>
  <c r="AE13" i="35"/>
  <c r="AA13" i="35"/>
  <c r="U13" i="35"/>
  <c r="R13" i="35"/>
  <c r="N13" i="35"/>
  <c r="J13" i="35"/>
  <c r="D13" i="35"/>
  <c r="AI12" i="35"/>
  <c r="AE12" i="35"/>
  <c r="AA12" i="35"/>
  <c r="U12" i="35"/>
  <c r="R12" i="35"/>
  <c r="N12" i="35"/>
  <c r="J12" i="35"/>
  <c r="D12" i="35"/>
  <c r="AI11" i="35"/>
  <c r="AE11" i="35"/>
  <c r="AA11" i="35"/>
  <c r="U11" i="35"/>
  <c r="R11" i="35"/>
  <c r="N11" i="35"/>
  <c r="J11" i="35"/>
  <c r="D11" i="35"/>
  <c r="AI10" i="35"/>
  <c r="AE10" i="35"/>
  <c r="AA10" i="35"/>
  <c r="U10" i="35"/>
  <c r="R10" i="35"/>
  <c r="N10" i="35"/>
  <c r="J10" i="35"/>
  <c r="D10" i="35"/>
  <c r="AI9" i="35"/>
  <c r="AE9" i="35"/>
  <c r="AE26" i="35" s="1"/>
  <c r="AA9" i="35"/>
  <c r="AA26" i="35" s="1"/>
  <c r="U9" i="35"/>
  <c r="U26" i="35" s="1"/>
  <c r="R9" i="35"/>
  <c r="R26" i="35" s="1"/>
  <c r="N9" i="35"/>
  <c r="N26" i="35" s="1"/>
  <c r="J9" i="35"/>
  <c r="D9" i="35"/>
  <c r="D26" i="35" s="1"/>
  <c r="AI26" i="35" l="1"/>
  <c r="J26" i="35"/>
  <c r="ET5" i="58" l="1"/>
  <c r="DN5" i="58"/>
  <c r="DB5" i="58"/>
  <c r="R5" i="58"/>
  <c r="DE5" i="6" l="1"/>
  <c r="DF6" i="6"/>
  <c r="DF7" i="6"/>
  <c r="DF8" i="6"/>
  <c r="DF9" i="6"/>
  <c r="DF10" i="6"/>
  <c r="DF11" i="6"/>
  <c r="DF12" i="6"/>
  <c r="DF13" i="6"/>
  <c r="DF14" i="6"/>
  <c r="DF15" i="6"/>
  <c r="DF16" i="6"/>
  <c r="DF17" i="6"/>
  <c r="DF18" i="6"/>
  <c r="DF19" i="6"/>
  <c r="DF20" i="6"/>
  <c r="DF21" i="6"/>
  <c r="DF22" i="6"/>
  <c r="DF23" i="6"/>
  <c r="DF24" i="6"/>
  <c r="DF25" i="6"/>
  <c r="DF26" i="6"/>
  <c r="DF27" i="6"/>
  <c r="DF28" i="6"/>
  <c r="DF29" i="6"/>
  <c r="DF30" i="6"/>
  <c r="DF31" i="6"/>
  <c r="DF32" i="6"/>
  <c r="DF33" i="6"/>
  <c r="DF34" i="6"/>
  <c r="DF35" i="6"/>
  <c r="DF36" i="6"/>
  <c r="DF37" i="6"/>
  <c r="DF38" i="6"/>
  <c r="DF39" i="6"/>
  <c r="DF40" i="6"/>
  <c r="DF41" i="6"/>
  <c r="DF5" i="6"/>
  <c r="CX28" i="6"/>
  <c r="DQ17" i="49" l="1"/>
  <c r="DP17" i="49"/>
  <c r="DO17" i="49"/>
  <c r="DN17" i="49"/>
  <c r="DM17" i="49"/>
  <c r="DL17" i="49"/>
  <c r="DK17" i="49"/>
  <c r="DJ17" i="49"/>
  <c r="DQ16" i="49"/>
  <c r="DP16" i="49"/>
  <c r="DO16" i="49"/>
  <c r="DN16" i="49"/>
  <c r="DM16" i="49"/>
  <c r="DL16" i="49"/>
  <c r="DK16" i="49"/>
  <c r="DJ16" i="49"/>
  <c r="DQ15" i="49"/>
  <c r="DP15" i="49"/>
  <c r="DO15" i="49"/>
  <c r="DN15" i="49"/>
  <c r="DM15" i="49"/>
  <c r="DL15" i="49"/>
  <c r="DK15" i="49"/>
  <c r="DJ15" i="49"/>
  <c r="DQ14" i="49"/>
  <c r="DP14" i="49"/>
  <c r="DO14" i="49"/>
  <c r="DN14" i="49"/>
  <c r="DM14" i="49"/>
  <c r="DL14" i="49"/>
  <c r="DK14" i="49"/>
  <c r="DJ14" i="49"/>
  <c r="DQ13" i="49"/>
  <c r="DP13" i="49"/>
  <c r="DO13" i="49"/>
  <c r="DN13" i="49"/>
  <c r="DM13" i="49"/>
  <c r="DL13" i="49"/>
  <c r="DK13" i="49"/>
  <c r="DJ13" i="49"/>
  <c r="DQ12" i="49"/>
  <c r="DP12" i="49"/>
  <c r="DO12" i="49"/>
  <c r="DN12" i="49"/>
  <c r="DM12" i="49"/>
  <c r="DL12" i="49"/>
  <c r="DK12" i="49"/>
  <c r="DJ12" i="49"/>
  <c r="DQ11" i="49"/>
  <c r="DP11" i="49"/>
  <c r="DO11" i="49"/>
  <c r="DN11" i="49"/>
  <c r="DM11" i="49"/>
  <c r="DL11" i="49"/>
  <c r="DK11" i="49"/>
  <c r="DJ11" i="49"/>
  <c r="DQ10" i="49"/>
  <c r="DP10" i="49"/>
  <c r="DO10" i="49"/>
  <c r="DN10" i="49"/>
  <c r="DM10" i="49"/>
  <c r="DL10" i="49"/>
  <c r="DK10" i="49"/>
  <c r="DJ10" i="49"/>
  <c r="DQ9" i="49"/>
  <c r="DP9" i="49"/>
  <c r="DO9" i="49"/>
  <c r="DN9" i="49"/>
  <c r="DM9" i="49"/>
  <c r="DL9" i="49"/>
  <c r="DK9" i="49"/>
  <c r="DJ9" i="49"/>
  <c r="DQ8" i="49"/>
  <c r="DP8" i="49"/>
  <c r="DO8" i="49"/>
  <c r="DN8" i="49"/>
  <c r="DM8" i="49"/>
  <c r="DL8" i="49"/>
  <c r="DK8" i="49"/>
  <c r="DJ8" i="49"/>
  <c r="DQ7" i="49"/>
  <c r="DP7" i="49"/>
  <c r="DO7" i="49"/>
  <c r="DN7" i="49"/>
  <c r="DM7" i="49"/>
  <c r="DL7" i="49"/>
  <c r="DK7" i="49"/>
  <c r="DJ7" i="49"/>
  <c r="DQ6" i="49"/>
  <c r="DP6" i="49"/>
  <c r="DO6" i="49"/>
  <c r="DN6" i="49"/>
  <c r="DM6" i="49"/>
  <c r="DL6" i="49"/>
  <c r="DK6" i="49"/>
  <c r="DJ6" i="49"/>
  <c r="J48" i="9" l="1"/>
  <c r="CX6" i="6" l="1"/>
  <c r="CY6" i="6"/>
  <c r="CZ6" i="6"/>
  <c r="DA6" i="6"/>
  <c r="DB6" i="6"/>
  <c r="DC6" i="6"/>
  <c r="DD6" i="6"/>
  <c r="DE6" i="6"/>
  <c r="CX7" i="6"/>
  <c r="CY7" i="6"/>
  <c r="CZ7" i="6"/>
  <c r="DA7" i="6"/>
  <c r="DB7" i="6"/>
  <c r="DC7" i="6"/>
  <c r="DD7" i="6"/>
  <c r="DE7" i="6"/>
  <c r="CX8" i="6"/>
  <c r="CY8" i="6"/>
  <c r="CZ8" i="6"/>
  <c r="DA8" i="6"/>
  <c r="DB8" i="6"/>
  <c r="DC8" i="6"/>
  <c r="DD8" i="6"/>
  <c r="DE8" i="6"/>
  <c r="CX9" i="6"/>
  <c r="CY9" i="6"/>
  <c r="CZ9" i="6"/>
  <c r="DA9" i="6"/>
  <c r="DB9" i="6"/>
  <c r="DC9" i="6"/>
  <c r="DD9" i="6"/>
  <c r="DE9" i="6"/>
  <c r="CX10" i="6"/>
  <c r="CY10" i="6"/>
  <c r="CZ10" i="6"/>
  <c r="DA10" i="6"/>
  <c r="DB10" i="6"/>
  <c r="DC10" i="6"/>
  <c r="DD10" i="6"/>
  <c r="DE10" i="6"/>
  <c r="CX11" i="6"/>
  <c r="CY11" i="6"/>
  <c r="CZ11" i="6"/>
  <c r="DA11" i="6"/>
  <c r="DB11" i="6"/>
  <c r="DC11" i="6"/>
  <c r="DD11" i="6"/>
  <c r="DE11" i="6"/>
  <c r="CX12" i="6"/>
  <c r="CY12" i="6"/>
  <c r="CZ12" i="6"/>
  <c r="DA12" i="6"/>
  <c r="DB12" i="6"/>
  <c r="DC12" i="6"/>
  <c r="DD12" i="6"/>
  <c r="DE12" i="6"/>
  <c r="CX13" i="6"/>
  <c r="CY13" i="6"/>
  <c r="CZ13" i="6"/>
  <c r="DA13" i="6"/>
  <c r="DB13" i="6"/>
  <c r="DC13" i="6"/>
  <c r="DD13" i="6"/>
  <c r="DE13" i="6"/>
  <c r="CX14" i="6"/>
  <c r="CY14" i="6"/>
  <c r="CZ14" i="6"/>
  <c r="DA14" i="6"/>
  <c r="DB14" i="6"/>
  <c r="DC14" i="6"/>
  <c r="DD14" i="6"/>
  <c r="DE14" i="6"/>
  <c r="CX15" i="6"/>
  <c r="CY15" i="6"/>
  <c r="CZ15" i="6"/>
  <c r="DA15" i="6"/>
  <c r="DB15" i="6"/>
  <c r="DC15" i="6"/>
  <c r="DD15" i="6"/>
  <c r="DE15" i="6"/>
  <c r="CX16" i="6"/>
  <c r="CY16" i="6"/>
  <c r="CZ16" i="6"/>
  <c r="DA16" i="6"/>
  <c r="DB16" i="6"/>
  <c r="DC16" i="6"/>
  <c r="DD16" i="6"/>
  <c r="DE16" i="6"/>
  <c r="CX17" i="6"/>
  <c r="CY17" i="6"/>
  <c r="CZ17" i="6"/>
  <c r="DA17" i="6"/>
  <c r="DB17" i="6"/>
  <c r="DC17" i="6"/>
  <c r="DD17" i="6"/>
  <c r="DE17" i="6"/>
  <c r="CX18" i="6"/>
  <c r="CY18" i="6"/>
  <c r="CZ18" i="6"/>
  <c r="DA18" i="6"/>
  <c r="DB18" i="6"/>
  <c r="DC18" i="6"/>
  <c r="DD18" i="6"/>
  <c r="DE18" i="6"/>
  <c r="CX19" i="6"/>
  <c r="CY19" i="6"/>
  <c r="CZ19" i="6"/>
  <c r="DA19" i="6"/>
  <c r="DB19" i="6"/>
  <c r="DC19" i="6"/>
  <c r="DD19" i="6"/>
  <c r="DE19" i="6"/>
  <c r="CX20" i="6"/>
  <c r="CY20" i="6"/>
  <c r="CZ20" i="6"/>
  <c r="DA20" i="6"/>
  <c r="DB20" i="6"/>
  <c r="DC20" i="6"/>
  <c r="DD20" i="6"/>
  <c r="DE20" i="6"/>
  <c r="CX21" i="6"/>
  <c r="CY21" i="6"/>
  <c r="CZ21" i="6"/>
  <c r="DA21" i="6"/>
  <c r="DB21" i="6"/>
  <c r="DC21" i="6"/>
  <c r="DD21" i="6"/>
  <c r="DE21" i="6"/>
  <c r="CX22" i="6"/>
  <c r="CY22" i="6"/>
  <c r="CZ22" i="6"/>
  <c r="DA22" i="6"/>
  <c r="DB22" i="6"/>
  <c r="DC22" i="6"/>
  <c r="DD22" i="6"/>
  <c r="DE22" i="6"/>
  <c r="CX23" i="6"/>
  <c r="CY23" i="6"/>
  <c r="CZ23" i="6"/>
  <c r="DA23" i="6"/>
  <c r="DB23" i="6"/>
  <c r="DC23" i="6"/>
  <c r="DD23" i="6"/>
  <c r="DE23" i="6"/>
  <c r="CX24" i="6"/>
  <c r="CY24" i="6"/>
  <c r="CZ24" i="6"/>
  <c r="DA24" i="6"/>
  <c r="DB24" i="6"/>
  <c r="DC24" i="6"/>
  <c r="DD24" i="6"/>
  <c r="DE24" i="6"/>
  <c r="CX25" i="6"/>
  <c r="CY25" i="6"/>
  <c r="CZ25" i="6"/>
  <c r="DA25" i="6"/>
  <c r="DB25" i="6"/>
  <c r="DC25" i="6"/>
  <c r="DD25" i="6"/>
  <c r="DE25" i="6"/>
  <c r="CX26" i="6"/>
  <c r="CY26" i="6"/>
  <c r="CZ26" i="6"/>
  <c r="DA26" i="6"/>
  <c r="DB26" i="6"/>
  <c r="DC26" i="6"/>
  <c r="DD26" i="6"/>
  <c r="DE26" i="6"/>
  <c r="CX27" i="6"/>
  <c r="CY27" i="6"/>
  <c r="CZ27" i="6"/>
  <c r="DA27" i="6"/>
  <c r="DB27" i="6"/>
  <c r="DC27" i="6"/>
  <c r="DD27" i="6"/>
  <c r="DE27" i="6"/>
  <c r="CY28" i="6"/>
  <c r="CZ28" i="6"/>
  <c r="DA28" i="6"/>
  <c r="DB28" i="6"/>
  <c r="DC28" i="6"/>
  <c r="DD28" i="6"/>
  <c r="DE28" i="6"/>
  <c r="CX29" i="6"/>
  <c r="CY29" i="6"/>
  <c r="CZ29" i="6"/>
  <c r="DA29" i="6"/>
  <c r="DB29" i="6"/>
  <c r="DC29" i="6"/>
  <c r="DD29" i="6"/>
  <c r="DE29" i="6"/>
  <c r="CX30" i="6"/>
  <c r="CY30" i="6"/>
  <c r="CZ30" i="6"/>
  <c r="DA30" i="6"/>
  <c r="DB30" i="6"/>
  <c r="DC30" i="6"/>
  <c r="DD30" i="6"/>
  <c r="DE30" i="6"/>
  <c r="CX31" i="6"/>
  <c r="CY31" i="6"/>
  <c r="CZ31" i="6"/>
  <c r="DA31" i="6"/>
  <c r="DB31" i="6"/>
  <c r="DC31" i="6"/>
  <c r="DD31" i="6"/>
  <c r="DE31" i="6"/>
  <c r="CX32" i="6"/>
  <c r="CY32" i="6"/>
  <c r="CZ32" i="6"/>
  <c r="DA32" i="6"/>
  <c r="DB32" i="6"/>
  <c r="DC32" i="6"/>
  <c r="DD32" i="6"/>
  <c r="DE32" i="6"/>
  <c r="CX33" i="6"/>
  <c r="CY33" i="6"/>
  <c r="CZ33" i="6"/>
  <c r="DA33" i="6"/>
  <c r="DB33" i="6"/>
  <c r="DC33" i="6"/>
  <c r="DD33" i="6"/>
  <c r="DE33" i="6"/>
  <c r="CX34" i="6"/>
  <c r="CY34" i="6"/>
  <c r="CZ34" i="6"/>
  <c r="DA34" i="6"/>
  <c r="DB34" i="6"/>
  <c r="DC34" i="6"/>
  <c r="DD34" i="6"/>
  <c r="DE34" i="6"/>
  <c r="CX35" i="6"/>
  <c r="CY35" i="6"/>
  <c r="CZ35" i="6"/>
  <c r="DA35" i="6"/>
  <c r="DB35" i="6"/>
  <c r="DC35" i="6"/>
  <c r="DD35" i="6"/>
  <c r="DE35" i="6"/>
  <c r="CX36" i="6"/>
  <c r="CY36" i="6"/>
  <c r="CZ36" i="6"/>
  <c r="DA36" i="6"/>
  <c r="DB36" i="6"/>
  <c r="DC36" i="6"/>
  <c r="DD36" i="6"/>
  <c r="DE36" i="6"/>
  <c r="CX37" i="6"/>
  <c r="CY37" i="6"/>
  <c r="CZ37" i="6"/>
  <c r="DA37" i="6"/>
  <c r="DB37" i="6"/>
  <c r="DC37" i="6"/>
  <c r="DD37" i="6"/>
  <c r="DE37" i="6"/>
  <c r="CX38" i="6"/>
  <c r="CY38" i="6"/>
  <c r="CZ38" i="6"/>
  <c r="DA38" i="6"/>
  <c r="DB38" i="6"/>
  <c r="DC38" i="6"/>
  <c r="DD38" i="6"/>
  <c r="DE38" i="6"/>
  <c r="CX39" i="6"/>
  <c r="CY39" i="6"/>
  <c r="CZ39" i="6"/>
  <c r="DA39" i="6"/>
  <c r="DB39" i="6"/>
  <c r="DC39" i="6"/>
  <c r="DD39" i="6"/>
  <c r="DE39" i="6"/>
  <c r="CX40" i="6"/>
  <c r="CY40" i="6"/>
  <c r="CZ40" i="6"/>
  <c r="DA40" i="6"/>
  <c r="DB40" i="6"/>
  <c r="DC40" i="6"/>
  <c r="DD40" i="6"/>
  <c r="DE40" i="6"/>
  <c r="CX41" i="6"/>
  <c r="CY41" i="6"/>
  <c r="CZ41" i="6"/>
  <c r="DA41" i="6"/>
  <c r="DB41" i="6"/>
  <c r="DC41" i="6"/>
  <c r="DD41" i="6"/>
  <c r="DE41" i="6"/>
  <c r="CY5" i="6"/>
  <c r="CZ5" i="6"/>
  <c r="DA5" i="6"/>
  <c r="DB5" i="6"/>
  <c r="DC5" i="6"/>
  <c r="DD5" i="6"/>
  <c r="CX5" i="6"/>
  <c r="C10" i="7" l="1"/>
  <c r="D10" i="7"/>
  <c r="E10" i="7"/>
  <c r="F10" i="7"/>
  <c r="G10" i="7"/>
  <c r="H10" i="7"/>
  <c r="I10" i="7"/>
  <c r="B10" i="7"/>
  <c r="EW48" i="36" l="1"/>
  <c r="EV48" i="36"/>
  <c r="EN48" i="36"/>
  <c r="EM48" i="36"/>
  <c r="DU48" i="36"/>
  <c r="DL48" i="36"/>
  <c r="CU48" i="36"/>
  <c r="CT48" i="36"/>
  <c r="CL48" i="36"/>
  <c r="CK48" i="36"/>
  <c r="BT48" i="36"/>
  <c r="BS48" i="36"/>
  <c r="BK48" i="36"/>
  <c r="BJ48" i="36"/>
  <c r="AS48" i="36"/>
  <c r="AR48" i="36"/>
  <c r="AJ48" i="36"/>
  <c r="AI48" i="36"/>
  <c r="DV38" i="36"/>
  <c r="DV48" i="36" s="1"/>
  <c r="DM38" i="36"/>
  <c r="DM48" i="36" s="1"/>
  <c r="R34" i="36"/>
  <c r="CB48" i="36" l="1"/>
  <c r="BA48" i="36"/>
  <c r="DC48" i="36"/>
  <c r="AA46" i="30" l="1"/>
  <c r="Z46" i="30"/>
  <c r="Y46" i="30"/>
  <c r="X46" i="30"/>
  <c r="W46" i="30"/>
  <c r="V46" i="30"/>
  <c r="U46" i="30"/>
  <c r="T46" i="30"/>
  <c r="S46" i="30"/>
  <c r="R46" i="30"/>
  <c r="AA9" i="30"/>
  <c r="Z9" i="30"/>
  <c r="Y9" i="30"/>
  <c r="X9" i="30"/>
  <c r="W9" i="30"/>
  <c r="V9" i="30"/>
  <c r="U9" i="30"/>
  <c r="T9" i="30"/>
  <c r="S9" i="30"/>
  <c r="R9" i="30"/>
  <c r="H9" i="30"/>
  <c r="G9" i="30"/>
  <c r="F9" i="30"/>
  <c r="AA33" i="30"/>
  <c r="Z33" i="30"/>
  <c r="Y33" i="30"/>
  <c r="X33" i="30"/>
  <c r="W33" i="30"/>
  <c r="V33" i="30"/>
  <c r="U33" i="30"/>
  <c r="T33" i="30"/>
  <c r="S33" i="30"/>
  <c r="R33" i="30"/>
  <c r="H33" i="30"/>
  <c r="G33" i="30"/>
  <c r="F33" i="30"/>
  <c r="W47" i="30" l="1"/>
  <c r="X47" i="30"/>
  <c r="Y47" i="30"/>
  <c r="AA47" i="30"/>
  <c r="Z47" i="30"/>
  <c r="I48" i="9" l="1"/>
  <c r="H48" i="9"/>
  <c r="G48" i="9"/>
  <c r="F48" i="9"/>
  <c r="E47" i="9"/>
  <c r="D47" i="9"/>
  <c r="C47" i="9"/>
  <c r="E38" i="9"/>
  <c r="D38" i="9"/>
  <c r="C38" i="9"/>
  <c r="E34" i="9"/>
  <c r="D34" i="9"/>
  <c r="D10" i="9"/>
  <c r="C48" i="9" l="1"/>
  <c r="D48" i="9"/>
  <c r="E48" i="9"/>
</calcChain>
</file>

<file path=xl/sharedStrings.xml><?xml version="1.0" encoding="utf-8"?>
<sst xmlns="http://schemas.openxmlformats.org/spreadsheetml/2006/main" count="5190" uniqueCount="619">
  <si>
    <t>Particulars</t>
  </si>
  <si>
    <t>Table No.</t>
  </si>
  <si>
    <t>S.No.</t>
  </si>
  <si>
    <t>Insurers</t>
  </si>
  <si>
    <t>Foreign Partners/Investers</t>
  </si>
  <si>
    <t>Regn. No.</t>
  </si>
  <si>
    <t>Date of Registration</t>
  </si>
  <si>
    <t>Year of Operation</t>
  </si>
  <si>
    <t>PUBLIC SECTOR</t>
  </si>
  <si>
    <t>National Insurance Co. Ltd.</t>
  </si>
  <si>
    <t>---</t>
  </si>
  <si>
    <t>1906-07</t>
  </si>
  <si>
    <t>The New India Assurance Co. Ltd.</t>
  </si>
  <si>
    <t>1919-20</t>
  </si>
  <si>
    <t>The Oriental Insurance Co. Ltd.</t>
  </si>
  <si>
    <t>1947-48</t>
  </si>
  <si>
    <t>United India Insurance Co. Ltd.</t>
  </si>
  <si>
    <t>PRIVATE SECTOR</t>
  </si>
  <si>
    <t>Acko General Insurance Ltd.</t>
  </si>
  <si>
    <t>18.09.2017</t>
  </si>
  <si>
    <t>2017-18</t>
  </si>
  <si>
    <t>Bajaj Allianz General Insurance Co. Ltd.</t>
  </si>
  <si>
    <t>Allianz, SE Germany</t>
  </si>
  <si>
    <t>02.05.2001</t>
  </si>
  <si>
    <t>2001-02</t>
  </si>
  <si>
    <t>Bharti AXA General Insurance Co. Ltd.</t>
  </si>
  <si>
    <t>2008-09</t>
  </si>
  <si>
    <t>Cholamandalam MS General Insurance Co. Ltd.</t>
  </si>
  <si>
    <t>Mitsui Sumitomo, Japan</t>
  </si>
  <si>
    <t>15.07.2002</t>
  </si>
  <si>
    <t>2002-03</t>
  </si>
  <si>
    <t>Edelweiss General Insurance Co. Ltd.</t>
  </si>
  <si>
    <t>18.12.2017</t>
  </si>
  <si>
    <t>Future Generali India Insurance Co. Ltd.</t>
  </si>
  <si>
    <t>Participatie Maatschapij Graafsschap Holland NV, Netherlands (“Generali”)</t>
  </si>
  <si>
    <t>04.09.2007</t>
  </si>
  <si>
    <t>2007-08</t>
  </si>
  <si>
    <t>Go Digit General Insurance Ltd.</t>
  </si>
  <si>
    <t>20.09.2017</t>
  </si>
  <si>
    <t>ERGO International AG, Germany</t>
  </si>
  <si>
    <t>09.07.2010</t>
  </si>
  <si>
    <t>2010-11</t>
  </si>
  <si>
    <t>ICICI Lombard General Insurance Co. Ltd.</t>
  </si>
  <si>
    <t>FAL Corporation, Canada</t>
  </si>
  <si>
    <t>03.08.2001</t>
  </si>
  <si>
    <t>IFFCO Tokio General Insurance Co. Ltd.</t>
  </si>
  <si>
    <t>Tokio Marine Asia Pte. Ltd. Japan</t>
  </si>
  <si>
    <t>04.12.2000</t>
  </si>
  <si>
    <t>2000-01</t>
  </si>
  <si>
    <t>Kotak Mahindra General Insurance Co. Ltd.</t>
  </si>
  <si>
    <t>18.11.2015</t>
  </si>
  <si>
    <t>2015-16</t>
  </si>
  <si>
    <t>Liberty General Insurance Ltd.</t>
  </si>
  <si>
    <t>Liberty City State Holdings Pte Ltd., USA</t>
  </si>
  <si>
    <t>22.05.2012</t>
  </si>
  <si>
    <t>2012-13</t>
  </si>
  <si>
    <t>Magma HDI General Insurance Co. Ltd.</t>
  </si>
  <si>
    <t>HDI-Gerling Industrie Versicherung AG, Germany</t>
  </si>
  <si>
    <t>NAVI General Insurance Ltd.</t>
  </si>
  <si>
    <t>22.05.2017</t>
  </si>
  <si>
    <t>Raheja QBE General Insurance Co. Ltd.</t>
  </si>
  <si>
    <t>QBE Holdings (AAP) Pty.Ltd. Australia</t>
  </si>
  <si>
    <t>11.12.2008</t>
  </si>
  <si>
    <t>Reliance General Insurance Co. Ltd.</t>
  </si>
  <si>
    <t>23.10.2000</t>
  </si>
  <si>
    <t>Royal Sundaram  General Insurance Co. Ltd.</t>
  </si>
  <si>
    <t>SBI General Insurance Co. Ltd.</t>
  </si>
  <si>
    <t>IAG International Pty Ltd. Australia</t>
  </si>
  <si>
    <t>15.12.2009</t>
  </si>
  <si>
    <t>2009-10</t>
  </si>
  <si>
    <t>Shriram General Insurance Co. Ltd.</t>
  </si>
  <si>
    <t>Sanlam, South Africa</t>
  </si>
  <si>
    <t>08.05.2008</t>
  </si>
  <si>
    <t>TATA AIG General Insurance Co. Ltd.</t>
  </si>
  <si>
    <t>AIG MEA Investments and Services Inc., USA</t>
  </si>
  <si>
    <t>22.01.2001</t>
  </si>
  <si>
    <t>Universal Sompo General Insurance Co. Ltd.</t>
  </si>
  <si>
    <t>Sompo, Japan. Insurance Inc.</t>
  </si>
  <si>
    <t>16.11.2007</t>
  </si>
  <si>
    <t>SPECIALISED INSURERS (PUBLIC SECTOR)</t>
  </si>
  <si>
    <t>Agriculture Insurance Company of India Ltd.</t>
  </si>
  <si>
    <t>2003-04</t>
  </si>
  <si>
    <t>ECGC Ltd.</t>
  </si>
  <si>
    <t>1957-58</t>
  </si>
  <si>
    <t>Aditya Birla Health Insurance Co. Ltd.</t>
  </si>
  <si>
    <t>MMI Strategic Investment (Pty) Limited , South Africa</t>
  </si>
  <si>
    <t>11.07.2016</t>
  </si>
  <si>
    <t>2016-17</t>
  </si>
  <si>
    <t>ManipalCigna Health Insurance Co. Ltd.</t>
  </si>
  <si>
    <t>Cigna Holdings Overseas Inc. USA</t>
  </si>
  <si>
    <t>13.11.2013</t>
  </si>
  <si>
    <t>2013-14</t>
  </si>
  <si>
    <t>BUPA Singapore Holdings Pte Ltd. UK</t>
  </si>
  <si>
    <t>15.02.2010</t>
  </si>
  <si>
    <t>26.04.2012</t>
  </si>
  <si>
    <t>Star Health &amp; Allied  Insurance Co. Ltd.</t>
  </si>
  <si>
    <t>Oman Insurance PSC, UAE, Alpha FDI Holding Pte Ltd &amp; Alpha TC Holdings Pte Ltd. and NRIs</t>
  </si>
  <si>
    <t>16.03.2006</t>
  </si>
  <si>
    <t>2006-07</t>
  </si>
  <si>
    <t>2018-19</t>
  </si>
  <si>
    <t>General and Health Insurance Companies Operating in India</t>
  </si>
  <si>
    <t>Insurer</t>
  </si>
  <si>
    <t>2014-15</t>
  </si>
  <si>
    <t>2019-20</t>
  </si>
  <si>
    <t>Public Sector Insurers</t>
  </si>
  <si>
    <t>Public Sector Insurers Total</t>
  </si>
  <si>
    <t>Private Sector Insurers</t>
  </si>
  <si>
    <t>--</t>
  </si>
  <si>
    <t>HDFC ERGO General Insurance Co. Ltd.^</t>
  </si>
  <si>
    <t>HDFC ERGO General Insurance Co. Ltd.^^</t>
  </si>
  <si>
    <t>Navi General Insurance Limited*</t>
  </si>
  <si>
    <t>Royal Sundaram General Insurance Co. Ltd.</t>
  </si>
  <si>
    <t>Tata AIG General Insurance Co. Ltd.</t>
  </si>
  <si>
    <t>Private Sector Insurers Total</t>
  </si>
  <si>
    <t>Specialized Insurers</t>
  </si>
  <si>
    <t>Specialized Insurers Total</t>
  </si>
  <si>
    <t>(-10.79)</t>
  </si>
  <si>
    <t>Stand-alone Health Insurers</t>
  </si>
  <si>
    <t>Aditya Birla Health insurance Co. Ltd.</t>
  </si>
  <si>
    <t>Stand-alone Health Insurers Total</t>
  </si>
  <si>
    <t>Grand Total</t>
  </si>
  <si>
    <t>(12.26)</t>
  </si>
  <si>
    <t>(9.03)</t>
  </si>
  <si>
    <t xml:space="preserve">Note: </t>
  </si>
  <si>
    <t>Fire</t>
  </si>
  <si>
    <t xml:space="preserve"> Marine</t>
  </si>
  <si>
    <t>Motor</t>
  </si>
  <si>
    <t>Health</t>
  </si>
  <si>
    <t>Others</t>
  </si>
  <si>
    <t>Total</t>
  </si>
  <si>
    <t>NA</t>
  </si>
  <si>
    <t>Note:</t>
  </si>
  <si>
    <t>Aviation</t>
  </si>
  <si>
    <t>Engineering</t>
  </si>
  <si>
    <t>Motor Own Damage</t>
  </si>
  <si>
    <t>Motor Third Party</t>
  </si>
  <si>
    <t>Liability Insurance</t>
  </si>
  <si>
    <t>Crop Insurance</t>
  </si>
  <si>
    <t>Credit Insurance</t>
  </si>
  <si>
    <t>Miscellaneous</t>
  </si>
  <si>
    <t>States/Union Territory</t>
  </si>
  <si>
    <t>Marine Cargo</t>
  </si>
  <si>
    <t>Marine Hull</t>
  </si>
  <si>
    <t>Andhra Pradesh</t>
  </si>
  <si>
    <t>Arunachal Pradesh</t>
  </si>
  <si>
    <t>Assam</t>
  </si>
  <si>
    <t>Bihar</t>
  </si>
  <si>
    <t>Chattisgarh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</si>
  <si>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</si>
  <si>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</si>
  <si>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</si>
  <si>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</si>
  <si>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</si>
  <si>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</si>
  <si>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</si>
  <si>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</si>
  <si>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Maharasthra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</si>
  <si>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</si>
  <si>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</si>
  <si>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</si>
  <si>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</si>
  <si>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</si>
  <si>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</si>
  <si>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</si>
  <si>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</si>
  <si>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</si>
  <si>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</si>
  <si>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-</t>
  </si>
  <si>
    <t>Tripura</t>
  </si>
  <si>
    <t>Uttar Pradesh</t>
  </si>
  <si>
    <t>Uttrakhand</t>
  </si>
  <si>
    <t>West Bengal</t>
  </si>
  <si>
    <t>Andaman &amp; Nicobar Is.</t>
  </si>
  <si>
    <t>Chandigarh</t>
  </si>
  <si>
    <t>Dadra &amp; Nagara Haveli and Daman &amp; Diu</t>
  </si>
  <si>
    <t>Delhi</t>
  </si>
  <si>
    <t>Jammu &amp; Kashmir</t>
  </si>
  <si>
    <t>Ladakh</t>
  </si>
  <si>
    <t>Lakshadweep</t>
  </si>
  <si>
    <t>Puducherry</t>
  </si>
  <si>
    <t>Number of Policies Issued by General Insurers</t>
  </si>
  <si>
    <t>(In Lakhs)</t>
  </si>
  <si>
    <t>Public Sector</t>
  </si>
  <si>
    <t>(-12.99)</t>
  </si>
  <si>
    <t>(-0.96)</t>
  </si>
  <si>
    <t>(-6.44)</t>
  </si>
  <si>
    <t>(-8.1)</t>
  </si>
  <si>
    <t>(-0.07)</t>
  </si>
  <si>
    <t>Private Sector</t>
  </si>
  <si>
    <t>(11.54)</t>
  </si>
  <si>
    <t>TOTAL</t>
  </si>
  <si>
    <t>(As on March 31)</t>
  </si>
  <si>
    <t>Category</t>
  </si>
  <si>
    <t>Central Govt. Securities</t>
  </si>
  <si>
    <t xml:space="preserve">State Govt &amp; Other Approved Securities </t>
  </si>
  <si>
    <t>Housing &amp; Loans to State Govt. for Housing and Fire Fighting Equipments</t>
  </si>
  <si>
    <t>Infrastructure Investments</t>
  </si>
  <si>
    <t>Approved Investments</t>
  </si>
  <si>
    <t xml:space="preserve">Other Investments </t>
  </si>
  <si>
    <t xml:space="preserve">TOTAL </t>
  </si>
  <si>
    <t>Equity Share Capital of General and Health Insurers</t>
  </si>
  <si>
    <t>1. Reclassification/Regrouping in the previous year's figures, if any, by the insurer has not been considered.</t>
  </si>
  <si>
    <t>2. Infusion during the year includes cancellation, reduction and fresh issue of shares</t>
  </si>
  <si>
    <t>June 2013</t>
  </si>
  <si>
    <t>Sept 2013</t>
  </si>
  <si>
    <t>Dec 2013</t>
  </si>
  <si>
    <t>March 2014</t>
  </si>
  <si>
    <t xml:space="preserve"> June 2014</t>
  </si>
  <si>
    <t>Sept 2014</t>
  </si>
  <si>
    <t>Dec 2014</t>
  </si>
  <si>
    <t>March 2015</t>
  </si>
  <si>
    <t xml:space="preserve"> June 2015</t>
  </si>
  <si>
    <t>Sept 2015</t>
  </si>
  <si>
    <t>Dec 2015</t>
  </si>
  <si>
    <t>March 2016</t>
  </si>
  <si>
    <t xml:space="preserve"> June 2016</t>
  </si>
  <si>
    <t>Sept 2016</t>
  </si>
  <si>
    <t>Dec 2016</t>
  </si>
  <si>
    <t>March 2017</t>
  </si>
  <si>
    <t xml:space="preserve"> June 2017</t>
  </si>
  <si>
    <t>Sept 2017</t>
  </si>
  <si>
    <t>Dec 2017</t>
  </si>
  <si>
    <t>March 2018</t>
  </si>
  <si>
    <t xml:space="preserve"> June 2018</t>
  </si>
  <si>
    <t>Sept 2018</t>
  </si>
  <si>
    <t>Dec 2018</t>
  </si>
  <si>
    <t>March 2019</t>
  </si>
  <si>
    <t>June
 2019</t>
  </si>
  <si>
    <t>March 
2020</t>
  </si>
  <si>
    <t>National Insurance Co. Ltd.@</t>
  </si>
  <si>
    <t>The Oriental Insurance Co. Ltd.@</t>
  </si>
  <si>
    <t>United India Insurance Co. Ltd.@</t>
  </si>
  <si>
    <t>PRIVATE INSURERS</t>
  </si>
  <si>
    <t xml:space="preserve"> National</t>
  </si>
  <si>
    <t>New India</t>
  </si>
  <si>
    <t xml:space="preserve"> Oriental</t>
  </si>
  <si>
    <t>United India</t>
  </si>
  <si>
    <t>Marine</t>
  </si>
  <si>
    <t>Premiums earned (Net)</t>
  </si>
  <si>
    <t>Other Income (Net of Other Expenses)</t>
  </si>
  <si>
    <t>Interest, Dividend &amp; Rent – Gross</t>
  </si>
  <si>
    <t>TOTAL (A)</t>
  </si>
  <si>
    <t xml:space="preserve">Claims Incurred (Net) </t>
  </si>
  <si>
    <t>Commission</t>
  </si>
  <si>
    <t>Premium Deficiency</t>
  </si>
  <si>
    <t>TOTAL (B)</t>
  </si>
  <si>
    <t>Transfer to Shareholders’ Account</t>
  </si>
  <si>
    <t>2. Reclassification/Regrouping in the previous year's figures, if any, by the insurer has not been considered.</t>
  </si>
  <si>
    <t>PARTICULARS</t>
  </si>
  <si>
    <t>NATIONAL</t>
  </si>
  <si>
    <t>NEW INDIA</t>
  </si>
  <si>
    <t xml:space="preserve">ORIENTAL </t>
  </si>
  <si>
    <t>UNITED INDIA</t>
  </si>
  <si>
    <t>OPERATING PROFIT/(LOSS)</t>
  </si>
  <si>
    <t>(a) Fire Insurance</t>
  </si>
  <si>
    <t>(b) Marine Insurance</t>
  </si>
  <si>
    <t>(c ) Miscellaneous Insurance</t>
  </si>
  <si>
    <t>INCOME FROM INVESTMENTS</t>
  </si>
  <si>
    <t>(a) Interest, Dividend &amp; Rent – Gross</t>
  </si>
  <si>
    <t>(b) Profit on sale of investments</t>
  </si>
  <si>
    <t>Less: Loss on sale of investments</t>
  </si>
  <si>
    <t>OTHER INCOME</t>
  </si>
  <si>
    <t>PROVISIONS (Other than taxation)</t>
  </si>
  <si>
    <t>(a) For diminution in the value of investments</t>
  </si>
  <si>
    <t>(c) Others</t>
  </si>
  <si>
    <t>(a) Expenses other than those related to Insurance Business</t>
  </si>
  <si>
    <t>(b) Bad debts written off</t>
  </si>
  <si>
    <t>Profit Before Tax</t>
  </si>
  <si>
    <t>Prior Period Adjustments</t>
  </si>
  <si>
    <t>Provision for Taxation</t>
  </si>
  <si>
    <t>Profit after Tax</t>
  </si>
  <si>
    <t>APPROPRIATIONS</t>
  </si>
  <si>
    <t>(a) Interim dividends paid during the year</t>
  </si>
  <si>
    <t>(b) Proposed final dividend</t>
  </si>
  <si>
    <t>(c) Dividend distribution tax</t>
  </si>
  <si>
    <t>(d) Transfer to any Reserves or Other Accounts</t>
  </si>
  <si>
    <t>Balance of profit/ loss brought forward from last year</t>
  </si>
  <si>
    <t>Balance carried forward to Balance Sheet</t>
  </si>
  <si>
    <t>1. Figures in brackets indicate negative values.</t>
  </si>
  <si>
    <t>SHARE CAPITAL</t>
  </si>
  <si>
    <t>SHARE APPLICATION MONEY</t>
  </si>
  <si>
    <t>RESERVES AND SURPLUS</t>
  </si>
  <si>
    <t>CREDIT/[DEBIT] FAIR VALUE CHANGE ACCOUNT</t>
  </si>
  <si>
    <t>BORROWINGS</t>
  </si>
  <si>
    <t>INVESTMENTS</t>
  </si>
  <si>
    <t>LOANS</t>
  </si>
  <si>
    <t>FIXED ASSETS</t>
  </si>
  <si>
    <t>DEFERRED TAX ASSET/(LIABILITY)</t>
  </si>
  <si>
    <t>CURRENT ASSETS</t>
  </si>
  <si>
    <t xml:space="preserve">Cash and Bank Balances </t>
  </si>
  <si>
    <t xml:space="preserve">Advances and Other Assets </t>
  </si>
  <si>
    <t>CURRENT LIABILITIES</t>
  </si>
  <si>
    <t>PROVISIONS</t>
  </si>
  <si>
    <t>Sub-Total (B)</t>
  </si>
  <si>
    <t>MISCELLANEOUS EXPENDITURE 
(to the extent not written off or adjusted)</t>
  </si>
  <si>
    <t>DEBIT BALANCE IN PROFIT AND LOSS ACCOUNT</t>
  </si>
  <si>
    <t>Acko General</t>
  </si>
  <si>
    <t>Bajaj Allianz</t>
  </si>
  <si>
    <t>Bharti AXA</t>
  </si>
  <si>
    <t>Cholamandalam</t>
  </si>
  <si>
    <t>Edleweiss</t>
  </si>
  <si>
    <t>Future Generali</t>
  </si>
  <si>
    <t>Go Digit</t>
  </si>
  <si>
    <t>HDFC ERGO</t>
  </si>
  <si>
    <t xml:space="preserve"> ICICI Lombard</t>
  </si>
  <si>
    <t>IFFCO Tokio</t>
  </si>
  <si>
    <t>Kotak Mahindra</t>
  </si>
  <si>
    <t xml:space="preserve">1. Figures in brackets indicates negative values </t>
  </si>
  <si>
    <t>Raheja QBE</t>
  </si>
  <si>
    <t xml:space="preserve">Reliance </t>
  </si>
  <si>
    <t>Royal Sundaram</t>
  </si>
  <si>
    <t>SBI General</t>
  </si>
  <si>
    <t>Tata AIG</t>
  </si>
  <si>
    <t>Acko</t>
  </si>
  <si>
    <t>Bajaj 
Allianz</t>
  </si>
  <si>
    <t>HDFC ERGO*</t>
  </si>
  <si>
    <t xml:space="preserve"> IFFCO Tokio</t>
  </si>
  <si>
    <t>Liberty General</t>
  </si>
  <si>
    <t>Magma HDI</t>
  </si>
  <si>
    <t xml:space="preserve">Shriram </t>
  </si>
  <si>
    <t>Universal Sompo</t>
  </si>
  <si>
    <t>(b) For doubtful debts</t>
  </si>
  <si>
    <t>SOURCES OF FUNDS</t>
  </si>
  <si>
    <t>APPLICATION OF FUNDS</t>
  </si>
  <si>
    <t>OTHER EXPENSES</t>
  </si>
  <si>
    <t>ManipalCigna</t>
  </si>
  <si>
    <t>Max Bupa</t>
  </si>
  <si>
    <t>Star Health</t>
  </si>
  <si>
    <t>Aditya Birla</t>
  </si>
  <si>
    <t xml:space="preserve"> Star Health</t>
  </si>
  <si>
    <t xml:space="preserve"> </t>
  </si>
  <si>
    <t>State/U.T.</t>
  </si>
  <si>
    <t>General Insurers Total</t>
  </si>
  <si>
    <t>Stand-alone Health Total</t>
  </si>
  <si>
    <t>Edelweiss</t>
  </si>
  <si>
    <t>Godigit</t>
  </si>
  <si>
    <t>HDFC Ergo</t>
  </si>
  <si>
    <t>ICICI Lombard</t>
  </si>
  <si>
    <t>Kotak General</t>
  </si>
  <si>
    <t xml:space="preserve">Liberty </t>
  </si>
  <si>
    <t>NAVI</t>
  </si>
  <si>
    <t>Reliance General</t>
  </si>
  <si>
    <t>Shriram General</t>
  </si>
  <si>
    <t xml:space="preserve">National </t>
  </si>
  <si>
    <t>Oriental</t>
  </si>
  <si>
    <t>United</t>
  </si>
  <si>
    <t>AIC</t>
  </si>
  <si>
    <t>ECGC</t>
  </si>
  <si>
    <t>Chhattisgarh</t>
  </si>
  <si>
    <t>Status of Grievances with General and Health Insurers</t>
  </si>
  <si>
    <t>Opening Balance</t>
  </si>
  <si>
    <t>Reported during the year</t>
  </si>
  <si>
    <t>Resolved during the year</t>
  </si>
  <si>
    <t>Duplicate Complaints</t>
  </si>
  <si>
    <t>Actual Complaints</t>
  </si>
  <si>
    <t>Attended to during the year</t>
  </si>
  <si>
    <t>National</t>
  </si>
  <si>
    <t>Name of the centre</t>
  </si>
  <si>
    <t>Total No. of Complaints</t>
  </si>
  <si>
    <t>Complaints disposed by way of</t>
  </si>
  <si>
    <t>O/s at the beginning of the year</t>
  </si>
  <si>
    <t xml:space="preserve">Received upto March </t>
  </si>
  <si>
    <t>Recommendations</t>
  </si>
  <si>
    <t>Awards fvg complainant</t>
  </si>
  <si>
    <t>Non- Entertainable</t>
  </si>
  <si>
    <t>Total Disposed</t>
  </si>
  <si>
    <t>Within 3 months</t>
  </si>
  <si>
    <t>3 months to 1 year</t>
  </si>
  <si>
    <t>Above 1 year</t>
  </si>
  <si>
    <t>Total Outstanding</t>
  </si>
  <si>
    <t>Ahmedabad</t>
  </si>
  <si>
    <t>Bengaluru</t>
  </si>
  <si>
    <t>Bhopal</t>
  </si>
  <si>
    <t>Bubaneshwar</t>
  </si>
  <si>
    <t>Chennai</t>
  </si>
  <si>
    <t>Guwahati</t>
  </si>
  <si>
    <t>Hyderabad</t>
  </si>
  <si>
    <t>Jaipur</t>
  </si>
  <si>
    <t>Kochi</t>
  </si>
  <si>
    <t>Kolkata</t>
  </si>
  <si>
    <t>Lucknow</t>
  </si>
  <si>
    <t>Mumbai</t>
  </si>
  <si>
    <t>Noida</t>
  </si>
  <si>
    <t>Patna</t>
  </si>
  <si>
    <t>Pune</t>
  </si>
  <si>
    <t xml:space="preserve">Total </t>
  </si>
  <si>
    <t xml:space="preserve">Received  upto March </t>
  </si>
  <si>
    <t>Dissmissal awards fvg. Ins. Co.</t>
  </si>
  <si>
    <t>Withdrawal</t>
  </si>
  <si>
    <t>Premium Deficency</t>
  </si>
  <si>
    <t>1. Underwriting Profit/(Loss)= Net Earned Premium-Claims Incurred (Net)-Expenses of Management-Premium Deficiency</t>
  </si>
  <si>
    <t>General Insurance</t>
  </si>
  <si>
    <t>Health Insurance</t>
  </si>
  <si>
    <t>Duration-wise disposal of Complaints</t>
  </si>
  <si>
    <t>Duration-wise Outstanding complaints</t>
  </si>
  <si>
    <t xml:space="preserve"> FIRE INSURANCE</t>
  </si>
  <si>
    <t xml:space="preserve"> MARINE INSURANCE</t>
  </si>
  <si>
    <t xml:space="preserve"> MOTOR INSURANCE</t>
  </si>
  <si>
    <t>HEALTH INSURANCE</t>
  </si>
  <si>
    <t>OTHER SEGMENTS</t>
  </si>
  <si>
    <t xml:space="preserve"> ALL SEGMENTS</t>
  </si>
  <si>
    <t>INCURRED CLAIMS RATIO  (Percent)</t>
  </si>
  <si>
    <t/>
  </si>
  <si>
    <t>Net Earned Premium</t>
  </si>
  <si>
    <t>Claims Incurred (Net)</t>
  </si>
  <si>
    <t>Net Premium Earned, Incurred Claims and Incurred Claims Ratio of General and Health Insurers</t>
  </si>
  <si>
    <t>Policyholders Account of General and Health Insurers</t>
  </si>
  <si>
    <t>Shareholders Account of General and Health Insurers</t>
  </si>
  <si>
    <t>Balance Sheet of General and Health Insurers</t>
  </si>
  <si>
    <t>Performance of Ombudsmen at Different Centres - General and Health Insurance</t>
  </si>
  <si>
    <t>STAND-ALONE HEALTH INSURERS (PRIVATE SECTOR)</t>
  </si>
  <si>
    <t xml:space="preserve">* Erstwhile HDFC Ergo Health Insurance Co. Ltd. merged with  HDFC Ergo General Insurance Co. Ltd. w.e.f. 01.03.2020. </t>
  </si>
  <si>
    <t>Care Health Insurance Ltd.</t>
  </si>
  <si>
    <t>Reliance Health Insurance Ltd.@</t>
  </si>
  <si>
    <t xml:space="preserve"> 03.10.2018</t>
  </si>
  <si>
    <t>2020-21</t>
  </si>
  <si>
    <t>-- represents business not started.</t>
  </si>
  <si>
    <t>Navi General Insurance Limited</t>
  </si>
  <si>
    <t>^Erstwhile HDFC Ergo General Insurance Co. Ltd. merged with  L&amp;T General Insurance Co. Ltd. w.e.f. 01.01.2017.</t>
  </si>
  <si>
    <t>^^L&amp;T General Insurance co. Ltd. is renamed as HDFC Ergo General Insurance Co. Ltd.</t>
  </si>
  <si>
    <t>1. Figures in brackets indicate growth in per cent over previous year.</t>
  </si>
  <si>
    <t>(-12.70)</t>
  </si>
  <si>
    <t>(-1.73)</t>
  </si>
  <si>
    <t>HDFC ERGO Health Insurance Co. Ltd.*</t>
  </si>
  <si>
    <t xml:space="preserve">Gross Direct Premium of General and Health Insurers (Within and Outside India) </t>
  </si>
  <si>
    <t>Segment-wise Gross Direct Premium of General and Health Insurers (Within India)</t>
  </si>
  <si>
    <t>Type of Insurer</t>
  </si>
  <si>
    <t>Specilized Insurers</t>
  </si>
  <si>
    <t>(248.42)</t>
  </si>
  <si>
    <t>(-49.28)</t>
  </si>
  <si>
    <t>(-7.93)</t>
  </si>
  <si>
    <t>(508.80)</t>
  </si>
  <si>
    <t>(79.17)</t>
  </si>
  <si>
    <t>(-33.18)</t>
  </si>
  <si>
    <t>(314.71)</t>
  </si>
  <si>
    <t>(28.40)</t>
  </si>
  <si>
    <t>Note: Figures in brackets indicate the growth in per cent over the previous year.</t>
  </si>
  <si>
    <t>(-6.71)</t>
  </si>
  <si>
    <t>(-0.33)</t>
  </si>
  <si>
    <t>All India</t>
  </si>
  <si>
    <t>NET PREMIUM EARNED  (₹Crore)</t>
  </si>
  <si>
    <t>NA indicates that insurer's business was not in operation during the corresponding financial year or in the corresponding segment.</t>
  </si>
  <si>
    <t>Reliance Health Insurance Ltd.</t>
  </si>
  <si>
    <t>Amount (₹Crore)</t>
  </si>
  <si>
    <t>Growth (%)</t>
  </si>
  <si>
    <t>Share (%)</t>
  </si>
  <si>
    <t>Item</t>
  </si>
  <si>
    <t>Underwriting Profit/Loss</t>
  </si>
  <si>
    <t>Solvency Ratio of General, Health and Reinsurance Companies</t>
  </si>
  <si>
    <t>Underwriting Experience of General and Health Insurers</t>
  </si>
  <si>
    <t>Assets Under Management (Investments) of General, Health and Reinsurance Companies</t>
  </si>
  <si>
    <t>Sept 2019</t>
  </si>
  <si>
    <t>Dec 2019</t>
  </si>
  <si>
    <t>^Erstwhile HDFC Ergo General Insurance Co. Ltd. merged with  L&amp;T General Insurance Co. Ltd. w.e.f. 01.01.2017,  solvency ratios have been taken upto 3rd quarter ending on December 31, 2016.</t>
  </si>
  <si>
    <t>June
 2020</t>
  </si>
  <si>
    <t>March 
2021</t>
  </si>
  <si>
    <t>Sept 2020</t>
  </si>
  <si>
    <t>Dec 2020</t>
  </si>
  <si>
    <t xml:space="preserve">General Insurance Corporation of India </t>
  </si>
  <si>
    <t>ECGC LTD</t>
  </si>
  <si>
    <t>Sub-Total (A)</t>
  </si>
  <si>
    <t>(-2.68)</t>
  </si>
  <si>
    <t>HDFC ERGO General Insurance Co. Ltd.</t>
  </si>
  <si>
    <t>HDFC ERGO Health Insurance Co. Ltd.</t>
  </si>
  <si>
    <t>*merged with HDFC General Insurance company and merged entity is now known as HDFC ERGO General Insurance Company</t>
  </si>
  <si>
    <t>L&amp;T General Insurance Co. Ltd.*</t>
  </si>
  <si>
    <t>^^L&amp;T General Insurance Co. Ltd. is renamed as HDFC Ergo General Insurance Co. Ltd.</t>
  </si>
  <si>
    <t>Awards fvg. Ins. Co.</t>
  </si>
  <si>
    <t xml:space="preserve">HDFC ERGO </t>
  </si>
  <si>
    <t>Care Health</t>
  </si>
  <si>
    <t>HDFC Ergo Health*</t>
  </si>
  <si>
    <t>Reliance Health</t>
  </si>
  <si>
    <t xml:space="preserve">*Erstwhile HDFC Ergo Health Insurance Co. Ltd. merged with  HDFC Ergo General Insurance Co. Ltd. w.e.f. 01.03.2020. </t>
  </si>
  <si>
    <t>Till Bharti done</t>
  </si>
  <si>
    <t>(₹Crore)</t>
  </si>
  <si>
    <t>Operating Profit/(Loss) from Fire/Marine/Miscellaneous Business C= (A - B)</t>
  </si>
  <si>
    <t xml:space="preserve">Profit/ Loss on sale/redemption of Investments
</t>
  </si>
  <si>
    <t xml:space="preserve">Operating Expenses related to Insurance Business
</t>
  </si>
  <si>
    <t>Specialised Insurers Total</t>
  </si>
  <si>
    <r>
      <t>2</t>
    </r>
    <r>
      <rPr>
        <b/>
        <sz val="10"/>
        <rFont val="Arial"/>
        <family val="2"/>
      </rPr>
      <t>.</t>
    </r>
    <r>
      <rPr>
        <sz val="10"/>
        <rFont val="Arial"/>
        <family val="2"/>
      </rPr>
      <t xml:space="preserve"> Reclassification/Regrouping in the previous year's figures, if any, by the insurer has not been considered.</t>
    </r>
  </si>
  <si>
    <t>NET CURRENT ASSETS (C) = (A - B)</t>
  </si>
  <si>
    <t>HDFC Ergo Health</t>
  </si>
  <si>
    <t>Manipal Cigna</t>
  </si>
  <si>
    <t>2. Regrouping/Reclassification, if any, in previous years figures by the insurer has not been considered.</t>
  </si>
  <si>
    <t>*Includes Excess Management of Expenses charged to shareholders.</t>
  </si>
  <si>
    <t>Commission, Expenses of Management*</t>
  </si>
  <si>
    <t>State-wise Distribution of Offices of General and Health Insurers</t>
  </si>
  <si>
    <t>Reliance health</t>
  </si>
  <si>
    <t>Standalone Health Insurers</t>
  </si>
  <si>
    <t>Rural Sector Obligations
(in terms of Percentage of Gross Direct Premium)</t>
  </si>
  <si>
    <t>Target (%)</t>
  </si>
  <si>
    <t>Achieved (%)</t>
  </si>
  <si>
    <t>1. In respect of general insurance, the target percentage is calculated as a percentage of gross direct premium in the respective years</t>
  </si>
  <si>
    <t>2. Percentage of Social Sector Lives Computed on the Total Business Procured In the Preceding Financial Year</t>
  </si>
  <si>
    <t>Reliance Health Insurance Ltd.*</t>
  </si>
  <si>
    <t>*The insurer was issued the certificate of registration on 3rd Oct 2018 and it falls in the 2nd half of the FY. As such, the Obligation of insurers in Rural &amp; Social sector is not applicable to the insurer for the FY 2018-19.</t>
  </si>
  <si>
    <t xml:space="preserve">Rural and Social Sector Obligations of General and Health Insurers </t>
  </si>
  <si>
    <r>
      <t>(As on 31</t>
    </r>
    <r>
      <rPr>
        <vertAlign val="superscript"/>
        <sz val="10"/>
        <rFont val="Arial"/>
        <family val="2"/>
      </rPr>
      <t>st</t>
    </r>
    <r>
      <rPr>
        <sz val="10"/>
        <rFont val="Arial"/>
        <family val="2"/>
      </rPr>
      <t xml:space="preserve"> March) </t>
    </r>
  </si>
  <si>
    <t>Cholamandalam MS</t>
  </si>
  <si>
    <t>Aditya Birla Health</t>
  </si>
  <si>
    <t>CONTENTS</t>
  </si>
  <si>
    <t>HANDBOOK ON INDIAN INSURANCE STATISTICS 2021-22</t>
  </si>
  <si>
    <t>Niva Bupa Health Insurance Co. Ltd.</t>
  </si>
  <si>
    <t>ICICI Lombard General Insurance Co. Ltd.#</t>
  </si>
  <si>
    <t># Demerger of general insurance business of Bharti AXA General Insurance Co.Ltd. to ICICI Lombard General Insurance Co.Ltd. w.e.f April 01, 2021.</t>
  </si>
  <si>
    <t>@ The Authority vide order ref. No. IRDA/F&amp;A/ORD/SOLP/200/11/2019 dated November 06, 2019 issued directions to the Reliance Health Insurance Ltd. to stop selling new policies.</t>
  </si>
  <si>
    <t>Niva Bupa</t>
  </si>
  <si>
    <t>2021-22</t>
  </si>
  <si>
    <t>(4.15)</t>
  </si>
  <si>
    <t>NA indicates that insurer's business was not in operation during the corresponding financial year.</t>
  </si>
  <si>
    <t>Bharti AXA General Insurance Co. Ltd.#</t>
  </si>
  <si>
    <t>As on March 31, 2022</t>
  </si>
  <si>
    <t>Note: Reclassification/Regrouping in the previous year's figures, if any, by the insurer has not been considered.</t>
  </si>
  <si>
    <t>(-7.65)</t>
  </si>
  <si>
    <t>(13.00)</t>
  </si>
  <si>
    <r>
      <t xml:space="preserve"> CLAIMS INCURRED (NET) </t>
    </r>
    <r>
      <rPr>
        <sz val="10"/>
        <rFont val="Arial"/>
        <family val="2"/>
      </rPr>
      <t xml:space="preserve"> (₹</t>
    </r>
    <r>
      <rPr>
        <b/>
        <sz val="10"/>
        <rFont val="Arial"/>
        <family val="2"/>
      </rPr>
      <t>Crore</t>
    </r>
    <r>
      <rPr>
        <sz val="10"/>
        <rFont val="Arial"/>
        <family val="2"/>
      </rPr>
      <t>)</t>
    </r>
  </si>
  <si>
    <t>Reliance Health@</t>
  </si>
  <si>
    <t>Bharti AXA#</t>
  </si>
  <si>
    <t>HDFC Ergo Health^</t>
  </si>
  <si>
    <t xml:space="preserve">^Erstwhile HDFC Ergo Health Insurance Co. Ltd. merged with  HDFC Ergo General Insurance Co. Ltd. w.e.f. 01.03.2020. </t>
  </si>
  <si>
    <r>
      <rPr>
        <b/>
        <sz val="10"/>
        <rFont val="Arial"/>
        <family val="2"/>
      </rPr>
      <t>Note:</t>
    </r>
    <r>
      <rPr>
        <sz val="10"/>
        <rFont val="Arial"/>
        <family val="2"/>
      </rPr>
      <t xml:space="preserve"> Reclassification/Regrouping in the previous year's figures, if any, by the insurer has not been considered.</t>
    </r>
  </si>
  <si>
    <t>3. Figures in brackets indicate negative values</t>
  </si>
  <si>
    <t>June
 2021</t>
  </si>
  <si>
    <t>Sept 2021</t>
  </si>
  <si>
    <t>Dec 2021</t>
  </si>
  <si>
    <t>March 
2022</t>
  </si>
  <si>
    <t>NA indicates that insurer's business was not in operation during the corresponding period</t>
  </si>
  <si>
    <t xml:space="preserve">*Erstwhile HDFC Ergo Health Insurance Co. Ltd. merged with  HDFC Ergo General Insurance Co. Ltd. w.e.f. March 01, 2020. </t>
  </si>
  <si>
    <t>Reliance Health Insurance Ltd.&amp;</t>
  </si>
  <si>
    <t>&amp; The Authority vide order ref. No. IRDA/F&amp;A/ORD/SOLP/200/11/2019 dated November 06, 2019 issued directions to the Reliance Health Insurance Ltd. to stop selling new policies.</t>
  </si>
  <si>
    <r>
      <t xml:space="preserve">Note: </t>
    </r>
    <r>
      <rPr>
        <sz val="10"/>
        <rFont val="Arial"/>
        <family val="2"/>
      </rPr>
      <t>Reclassification/Regrouping in the previous year's figures, if any, by the insurer has not been considered.</t>
    </r>
  </si>
  <si>
    <t>Reinsurer</t>
  </si>
  <si>
    <t>@ after considering the forbearnance granted for solvency computation. Forbearance was granted since 2016-17.</t>
  </si>
  <si>
    <t>Social Sector Obligations 
(in terms of Percentage of Lives)</t>
  </si>
  <si>
    <t>Total No of Complaints</t>
  </si>
  <si>
    <t>Durationwise disposal of Complaints</t>
  </si>
  <si>
    <t>Durationwise Outstanding complaints</t>
  </si>
  <si>
    <t>Received up to March</t>
  </si>
  <si>
    <t>awards fvg. Ins. Co.</t>
  </si>
  <si>
    <t>withdrawal</t>
  </si>
  <si>
    <r>
      <rPr>
        <sz val="10"/>
        <rFont val="Arial"/>
        <family val="2"/>
      </rPr>
      <t>2</t>
    </r>
    <r>
      <rPr>
        <b/>
        <sz val="10"/>
        <rFont val="Arial"/>
        <family val="2"/>
      </rPr>
      <t>.</t>
    </r>
    <r>
      <rPr>
        <sz val="10"/>
        <rFont val="Arial"/>
        <family val="2"/>
      </rPr>
      <t xml:space="preserve"> Reclassification/Regrouping in the previous year's figures, if any, by the insurer has not been considered.</t>
    </r>
  </si>
  <si>
    <r>
      <rPr>
        <b/>
        <sz val="10"/>
        <rFont val="Arial"/>
        <family val="2"/>
      </rPr>
      <t>Note:</t>
    </r>
    <r>
      <rPr>
        <sz val="10"/>
        <rFont val="Arial"/>
        <family val="2"/>
      </rPr>
      <t xml:space="preserve"> </t>
    </r>
  </si>
  <si>
    <t>(e) Others</t>
  </si>
  <si>
    <t>PART II: NON-LIFE INSURANCE</t>
  </si>
  <si>
    <t>State-wise Gross Direct Premium Income - General Insurance</t>
  </si>
  <si>
    <t>Assets Under Management (Investments) of General, Health and Reinsurance Companies - Insurer-wise</t>
  </si>
  <si>
    <t xml:space="preserve">Status of Claims of General and Health Insurers </t>
  </si>
  <si>
    <t>TABLE 43: GENERAL AND HEALTH INSURANCE COMPANIES OPERATING IN INDIA</t>
  </si>
  <si>
    <t xml:space="preserve">TABLE 44 GROSS DIRECT PREMIUM OF GENERAL AND HEALTH INSURERS (WITHIN AND OUTSIDE INDIA) </t>
  </si>
  <si>
    <t xml:space="preserve">TABLE 45: SEGMENT-WISE GROSS DIRECT PREMIUM OF GENERAL AND HEALTH INSURERS (WITHIN INDIA) </t>
  </si>
  <si>
    <t>TABLE 46: STATE-WISE GROSS  DIRECT PREMIUM-GENERAL INSURANCE</t>
  </si>
  <si>
    <t>TABLE 47: NUMBER OF POLICIES ISSUED BY GENERAL INSURERS</t>
  </si>
  <si>
    <t>TABLE 48: NET PREMIUM EARNED, INCURRED CLAIMS  AND INCURRED CLAIMS RATIO OF GENERAL AND HEALTH INSURERS (WITHIN INDIA)</t>
  </si>
  <si>
    <t>TABLE 49: UNDERWRITING EXPERIENCE OF GENERAL AND HEALTH INSURERS</t>
  </si>
  <si>
    <t>TABLE 50: ASSETS UNDER MANAGEMENT (INVESTMENTS) OF GENERAL, HELATH AND REINSURANCE COMPANIES</t>
  </si>
  <si>
    <t>TABLE 52: EQUITY SHARE CAPITAL OF GENERAL AND HEALTH INSURERS</t>
  </si>
  <si>
    <t>TABLE 51: INVESTMENTS (ASSETS UNDER MANAGEMENT) OF GENERAL, HEALTH AND REINSURANCE COMPANIES - INSURER WISE</t>
  </si>
  <si>
    <t>(₹crore)</t>
  </si>
  <si>
    <t>Central Government  Securities</t>
  </si>
  <si>
    <t>State Government &amp; Other Approved Securities</t>
  </si>
  <si>
    <t>Housing &amp; Loans to State Government for Housing and FFE</t>
  </si>
  <si>
    <t xml:space="preserve">Approved Investments </t>
  </si>
  <si>
    <t xml:space="preserve">Total Investments </t>
  </si>
  <si>
    <t>Public Sector Total</t>
  </si>
  <si>
    <t>Bharti AXA*</t>
  </si>
  <si>
    <t>Edelweiss General</t>
  </si>
  <si>
    <t>Navi  General</t>
  </si>
  <si>
    <t>Reliance</t>
  </si>
  <si>
    <t>Private Sector Total</t>
  </si>
  <si>
    <t>Specialised Insurers</t>
  </si>
  <si>
    <t>Specialised Total</t>
  </si>
  <si>
    <t xml:space="preserve">Niva Bupa  </t>
  </si>
  <si>
    <t>SAHI Total</t>
  </si>
  <si>
    <t>GIC</t>
  </si>
  <si>
    <t>Reinsurer Total</t>
  </si>
  <si>
    <t>Branches of Foreign Reinsurers</t>
  </si>
  <si>
    <t>Allianz Global</t>
  </si>
  <si>
    <t>AXA France Vie</t>
  </si>
  <si>
    <t>General Reinsurance AG</t>
  </si>
  <si>
    <t>Hannover Re</t>
  </si>
  <si>
    <t>Munich Re</t>
  </si>
  <si>
    <t>RGA Life</t>
  </si>
  <si>
    <t>SCOR Se</t>
  </si>
  <si>
    <t>Swiss Re</t>
  </si>
  <si>
    <t>Xl Insurance Co.SE</t>
  </si>
  <si>
    <t>FRB Total</t>
  </si>
  <si>
    <t>* Demerger of general insurance business of Bharti AXA General Insurance Co.Ltd. to ICICI Lombard General Insurance Co.Ltd. w.e.f April 01, 2021.</t>
  </si>
  <si>
    <t xml:space="preserve">TABLE 57: STATUS OF CLAIMS OF GENERAL AND HEALTH INSURERS </t>
  </si>
  <si>
    <t>Number of Claims</t>
  </si>
  <si>
    <t>Age Analysis of Number of Claims Paid (%)</t>
  </si>
  <si>
    <t>Claims O/S at start of the period</t>
  </si>
  <si>
    <t>Claims intimated/ booked during the period</t>
  </si>
  <si>
    <t>Claims paid during the period</t>
  </si>
  <si>
    <t>Claims repudiated during the period</t>
  </si>
  <si>
    <t>Claims closed during the period</t>
  </si>
  <si>
    <t>Claims O/S at the end of period</t>
  </si>
  <si>
    <t>&lt; 3 months</t>
  </si>
  <si>
    <t>3 months to 6 months</t>
  </si>
  <si>
    <t>6 months to &lt;1 year</t>
  </si>
  <si>
    <t>1 year to &lt;3 years*</t>
  </si>
  <si>
    <t>3 years  to &lt;5 years**</t>
  </si>
  <si>
    <t>≥ 5 years</t>
  </si>
  <si>
    <t>Bharti AXA General Insurance Co. Ltd.@</t>
  </si>
  <si>
    <t>Future Generali India Insurance C. Ltd.</t>
  </si>
  <si>
    <t>HDFC ERGO General Insurance Co. Ltd.$</t>
  </si>
  <si>
    <t>Navi General Insurance Ltd.</t>
  </si>
  <si>
    <t>Agriculture Insurance Co. of India Ltd.</t>
  </si>
  <si>
    <t xml:space="preserve">General Insurers Total </t>
  </si>
  <si>
    <t>Star Health and Allied Insurance Co. Ltd.</t>
  </si>
  <si>
    <t>* In case of Stand-alone Health Insurers, age is 1 year to &lt; 2 years</t>
  </si>
  <si>
    <t>** In case of Stand-alone Health Insurers, age is beyond 2 years</t>
  </si>
  <si>
    <t>TABLE 53: SOLVENCY RATIO OF GENERAL, HEALTH AND REINSURANCE COMPANIES</t>
  </si>
  <si>
    <t>TABLE 54: POLICYHOLDERS ACCOUNT OF GENERAL AND HEALTH INSURERS</t>
  </si>
  <si>
    <t>TABLE 55: SHAREHOLDERS ACCOUNT OF GENERAL AND HEALTH INSURERS</t>
  </si>
  <si>
    <t>TABLE 56:  BALANCE SHEET OF GENERAL AND HEALTH INSURERS
 (AS AT 31ST MARCH)</t>
  </si>
  <si>
    <t>TABLE 58: STATE-WISE DISTRIBUTION OF OFFICES OF GENERAL AND HEALTH INSURERS</t>
  </si>
  <si>
    <t xml:space="preserve">TABLE 59: RURAL AND SOCIAL SECTOR OBLIGATIONS OF GENERAL AND HEALTH INSURERS </t>
  </si>
  <si>
    <t>TABLE 60: STATUS OF GRIEVANCES WITH GENERAL AND HEALTH INSURER</t>
  </si>
  <si>
    <t>TABLE 61: PERFORMANCE OF OMBUDSMEN AT DIFFERENT CENTRES - GENERAL AND HEALTH 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</si>
</sst>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1" formatCode="_ * #,##0_ ;_ * \-#,##0_ ;_ * &quot;-&quot;_ ;_ @_ "/>
    <numFmt numFmtId="43" formatCode="_ * #,##0.00_ ;_ * \-#,##0.00_ ;_ * &quot;-&quot;??_ ;_ @_ "/>
    <numFmt numFmtId="164" formatCode="_(* #,##0_);_(* \(#,##0\);_(* &quot;-&quot;_);_(@_)"/>
    <numFmt numFmtId="165" formatCode="_(* #,##0.00_);_(* \(#,##0.00\);_(* &quot;-&quot;??_);_(@_)"/>
    <numFmt numFmtId="166" formatCode="0.00_);\(0.00\)"/>
    <numFmt numFmtId="167" formatCode="\(0.00\)"/>
    <numFmt numFmtId="168" formatCode="0;[Red]0"/>
    <numFmt numFmtId="169" formatCode="0.0"/>
    <numFmt numFmtId="171" formatCode="0_);\(0\)"/>
    <numFmt numFmtId="172" formatCode="\-\-"/>
    <numFmt numFmtId="173" formatCode="_-* #,##0_-;\-* #,##0_-;_-* &quot;-&quot;_-;_-@_-"/>
    <numFmt numFmtId="174" formatCode="0.0%"/>
    <numFmt numFmtId="175" formatCode="#,##0.00%"/>
    <numFmt numFmtId="176" formatCode="0.0_);\(0.0\)"/>
    <numFmt numFmtId="177" formatCode="0.00;[Red]0.00"/>
    <numFmt numFmtId="178" formatCode="0.000"/>
    <numFmt numFmtId="181" formatCode="_(* #,##0.0_);_(* \(#,##0.0\);_(* &quot;-&quot;??_);_(@_)"/>
    <numFmt numFmtId="184" formatCode="_ * #,##0_ ;_ * \-#,##0_ ;_ * &quot;-&quot;??_ ;_ @_ "/>
    <numFmt numFmtId="185" formatCode="0.0000"/>
  </numFmts>
  <fonts count="3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b/>
      <sz val="10"/>
      <color indexed="63"/>
      <name val="Arial"/>
      <family val="2"/>
    </font>
    <font>
      <sz val="10"/>
      <color rgb="FF333333"/>
      <name val="Arial"/>
      <family val="2"/>
    </font>
    <font>
      <sz val="10"/>
      <color indexed="63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333333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i/>
      <sz val="10"/>
      <color rgb="FF000000"/>
      <name val="Arial"/>
      <family val="2"/>
    </font>
    <font>
      <b/>
      <sz val="10"/>
      <color indexed="8"/>
      <name val="Arial"/>
      <family val="2"/>
    </font>
    <font>
      <u/>
      <sz val="10"/>
      <color theme="1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0"/>
      <color indexed="10"/>
      <name val="Arial"/>
      <family val="2"/>
    </font>
    <font>
      <sz val="10"/>
      <color rgb="FFFF0000"/>
      <name val="Arial"/>
      <family val="2"/>
    </font>
    <font>
      <sz val="10"/>
      <color rgb="FFC00000"/>
      <name val="Arial"/>
      <family val="2"/>
    </font>
    <font>
      <b/>
      <sz val="10"/>
      <color rgb="FFC00000"/>
      <name val="Arial"/>
      <family val="2"/>
    </font>
    <font>
      <b/>
      <sz val="10"/>
      <color indexed="12"/>
      <name val="Arial"/>
      <family val="2"/>
    </font>
    <font>
      <sz val="10"/>
      <color rgb="FF2B2A29"/>
      <name val="Arial"/>
      <family val="2"/>
    </font>
    <font>
      <vertAlign val="superscript"/>
      <sz val="10"/>
      <name val="Arial"/>
      <family val="2"/>
    </font>
    <font>
      <i/>
      <sz val="9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3877A6"/>
      </left>
      <right style="thin">
        <color rgb="FF3877A6"/>
      </right>
      <top style="thin">
        <color indexed="64"/>
      </top>
      <bottom/>
      <diagonal/>
    </border>
    <border>
      <left style="thin">
        <color rgb="FF3877A6"/>
      </left>
      <right style="thin">
        <color indexed="64"/>
      </right>
      <top style="thin">
        <color indexed="64"/>
      </top>
      <bottom/>
      <diagonal/>
    </border>
    <border>
      <left style="thin">
        <color rgb="FF3877A6"/>
      </left>
      <right style="thin">
        <color rgb="FF3877A6"/>
      </right>
      <top/>
      <bottom/>
      <diagonal/>
    </border>
    <border>
      <left style="thin">
        <color rgb="FF3877A6"/>
      </left>
      <right style="thin">
        <color indexed="64"/>
      </right>
      <top/>
      <bottom/>
      <diagonal/>
    </border>
    <border>
      <left style="thin">
        <color rgb="FF3877A6"/>
      </left>
      <right style="thin">
        <color rgb="FF3877A6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3877A6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3877A6"/>
      </left>
      <right style="thin">
        <color indexed="64"/>
      </right>
      <top/>
      <bottom style="thin">
        <color rgb="FF3877A6"/>
      </bottom>
      <diagonal/>
    </border>
    <border>
      <left style="thin">
        <color rgb="FF3877A6"/>
      </left>
      <right/>
      <top/>
      <bottom/>
      <diagonal/>
    </border>
    <border>
      <left style="thin">
        <color rgb="FF3877A6"/>
      </left>
      <right style="thin">
        <color rgb="FF3877A6"/>
      </right>
      <top/>
      <bottom style="thin">
        <color rgb="FF3877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rgb="FF3877A6"/>
      </right>
      <top style="thin">
        <color indexed="64"/>
      </top>
      <bottom style="thin">
        <color indexed="64"/>
      </bottom>
      <diagonal/>
    </border>
  </borders>
  <cellStyleXfs count="66">
    <xf numFmtId="0" fontId="0" fillId="0" borderId="0"/>
    <xf numFmtId="43" fontId="4" fillId="0" borderId="0" applyFont="0" applyFill="0" applyBorder="0" applyAlignment="0" applyProtection="0"/>
    <xf numFmtId="0" fontId="5" fillId="0" borderId="0"/>
    <xf numFmtId="0" fontId="8" fillId="0" borderId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/>
    <xf numFmtId="0" fontId="8" fillId="0" borderId="0" applyNumberFormat="0" applyFill="0" applyBorder="0" applyAlignment="0" applyProtection="0"/>
    <xf numFmtId="0" fontId="24" fillId="0" borderId="0"/>
    <xf numFmtId="0" fontId="8" fillId="0" borderId="0" applyNumberFormat="0" applyFill="0" applyBorder="0" applyAlignment="0" applyProtection="0"/>
    <xf numFmtId="0" fontId="8" fillId="0" borderId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0" fontId="4" fillId="0" borderId="0"/>
    <xf numFmtId="0" fontId="24" fillId="0" borderId="0"/>
    <xf numFmtId="9" fontId="4" fillId="0" borderId="0" applyFont="0" applyFill="0" applyBorder="0" applyAlignment="0" applyProtection="0"/>
    <xf numFmtId="9" fontId="8" fillId="0" borderId="0" applyFill="0" applyBorder="0" applyAlignment="0" applyProtection="0"/>
    <xf numFmtId="9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0" fontId="8" fillId="0" borderId="0"/>
    <xf numFmtId="9" fontId="24" fillId="0" borderId="0" applyFont="0" applyFill="0" applyBorder="0" applyAlignment="0" applyProtection="0"/>
    <xf numFmtId="165" fontId="8" fillId="0" borderId="0" applyFill="0" applyBorder="0" applyAlignment="0" applyProtection="0"/>
    <xf numFmtId="0" fontId="24" fillId="0" borderId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8" fillId="0" borderId="0"/>
    <xf numFmtId="178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8" fillId="0" borderId="0" applyFill="0" applyBorder="0" applyAlignment="0" applyProtection="0"/>
    <xf numFmtId="0" fontId="8" fillId="0" borderId="0"/>
    <xf numFmtId="0" fontId="8" fillId="0" borderId="0"/>
    <xf numFmtId="0" fontId="8" fillId="0" borderId="0"/>
    <xf numFmtId="43" fontId="8" fillId="0" borderId="0" applyFill="0" applyBorder="0" applyAlignment="0" applyProtection="0"/>
    <xf numFmtId="0" fontId="8" fillId="0" borderId="0"/>
    <xf numFmtId="9" fontId="8" fillId="0" borderId="0" applyFill="0" applyBorder="0" applyAlignment="0" applyProtection="0"/>
    <xf numFmtId="165" fontId="4" fillId="0" borderId="0" applyFont="0" applyFill="0" applyBorder="0" applyAlignment="0" applyProtection="0"/>
    <xf numFmtId="165" fontId="8" fillId="0" borderId="0" applyFill="0" applyBorder="0" applyAlignment="0" applyProtection="0"/>
    <xf numFmtId="43" fontId="4" fillId="0" borderId="0" applyFont="0" applyFill="0" applyBorder="0" applyAlignment="0" applyProtection="0"/>
    <xf numFmtId="0" fontId="24" fillId="0" borderId="0"/>
    <xf numFmtId="0" fontId="8" fillId="0" borderId="0"/>
    <xf numFmtId="9" fontId="8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5" fillId="0" borderId="0"/>
    <xf numFmtId="165" fontId="5" fillId="0" borderId="0" applyFill="0" applyBorder="0" applyAlignment="0" applyProtection="0"/>
    <xf numFmtId="0" fontId="5" fillId="0" borderId="0"/>
    <xf numFmtId="0" fontId="4" fillId="0" borderId="0"/>
    <xf numFmtId="0" fontId="5" fillId="0" borderId="0" applyNumberFormat="0" applyFill="0" applyBorder="0" applyAlignment="0" applyProtection="0"/>
    <xf numFmtId="9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</cellStyleXfs>
  <cellXfs count="1140">
    <xf numFmtId="0" fontId="0" fillId="0" borderId="0" xfId="0"/>
    <xf numFmtId="0" fontId="6" fillId="0" borderId="0" xfId="2" applyFont="1" applyBorder="1" applyAlignment="1">
      <alignment vertical="center"/>
    </xf>
    <xf numFmtId="0" fontId="6" fillId="0" borderId="0" xfId="2" applyFont="1" applyAlignment="1">
      <alignment vertical="center"/>
    </xf>
    <xf numFmtId="0" fontId="8" fillId="0" borderId="3" xfId="2" quotePrefix="1" applyFont="1" applyFill="1" applyBorder="1" applyAlignment="1">
      <alignment horizontal="left" vertical="center" wrapText="1"/>
    </xf>
    <xf numFmtId="0" fontId="9" fillId="0" borderId="3" xfId="2" applyFont="1" applyBorder="1" applyAlignment="1">
      <alignment horizontal="left" vertical="center" wrapText="1"/>
    </xf>
    <xf numFmtId="0" fontId="9" fillId="0" borderId="3" xfId="2" applyFont="1" applyBorder="1" applyAlignment="1">
      <alignment horizontal="left" vertical="center"/>
    </xf>
    <xf numFmtId="0" fontId="8" fillId="0" borderId="3" xfId="2" applyFont="1" applyFill="1" applyBorder="1" applyAlignment="1">
      <alignment vertical="center" wrapText="1"/>
    </xf>
    <xf numFmtId="0" fontId="8" fillId="0" borderId="3" xfId="2" applyFont="1" applyFill="1" applyBorder="1" applyAlignment="1">
      <alignment horizontal="center" vertical="center" wrapText="1"/>
    </xf>
    <xf numFmtId="0" fontId="8" fillId="0" borderId="3" xfId="2" applyFont="1" applyBorder="1" applyAlignment="1">
      <alignment horizontal="left" vertical="center" wrapText="1"/>
    </xf>
    <xf numFmtId="0" fontId="8" fillId="0" borderId="3" xfId="2" applyFont="1" applyBorder="1" applyAlignment="1">
      <alignment horizontal="center" vertical="center" wrapText="1"/>
    </xf>
    <xf numFmtId="0" fontId="8" fillId="0" borderId="3" xfId="2" quotePrefix="1" applyFont="1" applyFill="1" applyBorder="1" applyAlignment="1">
      <alignment vertical="center" wrapText="1"/>
    </xf>
    <xf numFmtId="0" fontId="8" fillId="0" borderId="3" xfId="2" applyFont="1" applyBorder="1" applyAlignment="1">
      <alignment vertical="center"/>
    </xf>
    <xf numFmtId="0" fontId="8" fillId="0" borderId="3" xfId="2" quotePrefix="1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8" fillId="0" borderId="3" xfId="2" quotePrefix="1" applyFont="1" applyBorder="1" applyAlignment="1">
      <alignment horizontal="left" vertical="center"/>
    </xf>
    <xf numFmtId="0" fontId="8" fillId="0" borderId="3" xfId="2" applyFont="1" applyBorder="1" applyAlignment="1">
      <alignment horizontal="center" vertical="center"/>
    </xf>
    <xf numFmtId="0" fontId="8" fillId="0" borderId="0" xfId="2" applyFont="1" applyFill="1" applyAlignment="1">
      <alignment vertical="top"/>
    </xf>
    <xf numFmtId="0" fontId="8" fillId="0" borderId="0" xfId="2" applyFont="1" applyBorder="1" applyAlignment="1">
      <alignment horizontal="left" vertical="top" wrapText="1"/>
    </xf>
    <xf numFmtId="0" fontId="8" fillId="0" borderId="3" xfId="2" applyFont="1" applyBorder="1" applyAlignment="1">
      <alignment horizontal="center" vertical="top" wrapText="1"/>
    </xf>
    <xf numFmtId="0" fontId="8" fillId="0" borderId="5" xfId="2" applyFont="1" applyBorder="1" applyAlignment="1">
      <alignment horizontal="center" vertical="top" wrapText="1"/>
    </xf>
    <xf numFmtId="0" fontId="8" fillId="0" borderId="3" xfId="2" applyFont="1" applyFill="1" applyBorder="1" applyAlignment="1">
      <alignment horizontal="left" vertical="center" wrapText="1"/>
    </xf>
    <xf numFmtId="0" fontId="8" fillId="0" borderId="6" xfId="2" applyFont="1" applyBorder="1" applyAlignment="1">
      <alignment horizontal="left" vertical="center" wrapText="1"/>
    </xf>
    <xf numFmtId="0" fontId="7" fillId="0" borderId="0" xfId="2" applyFont="1" applyFill="1" applyBorder="1" applyAlignment="1">
      <alignment horizontal="center" vertical="center"/>
    </xf>
    <xf numFmtId="0" fontId="7" fillId="0" borderId="0" xfId="2" applyFont="1" applyBorder="1" applyAlignment="1">
      <alignment horizontal="right" vertical="center"/>
    </xf>
    <xf numFmtId="166" fontId="9" fillId="0" borderId="3" xfId="2" applyNumberFormat="1" applyFont="1" applyFill="1" applyBorder="1" applyAlignment="1">
      <alignment horizontal="right" vertical="center"/>
    </xf>
    <xf numFmtId="166" fontId="12" fillId="0" borderId="3" xfId="4" applyNumberFormat="1" applyFont="1" applyFill="1" applyBorder="1" applyAlignment="1">
      <alignment horizontal="right" vertical="center"/>
    </xf>
    <xf numFmtId="9" fontId="12" fillId="0" borderId="3" xfId="5" applyFont="1" applyFill="1" applyBorder="1" applyAlignment="1">
      <alignment horizontal="right" vertical="center"/>
    </xf>
    <xf numFmtId="165" fontId="13" fillId="0" borderId="3" xfId="6" applyFont="1" applyFill="1" applyBorder="1" applyAlignment="1">
      <alignment horizontal="right" vertical="center"/>
    </xf>
    <xf numFmtId="0" fontId="9" fillId="0" borderId="0" xfId="2" applyFont="1" applyFill="1" applyBorder="1" applyAlignment="1">
      <alignment vertical="center"/>
    </xf>
    <xf numFmtId="165" fontId="9" fillId="0" borderId="3" xfId="6" applyFont="1" applyFill="1" applyBorder="1" applyAlignment="1">
      <alignment horizontal="right" vertical="center"/>
    </xf>
    <xf numFmtId="165" fontId="12" fillId="0" borderId="3" xfId="6" applyFont="1" applyFill="1" applyBorder="1" applyAlignment="1">
      <alignment horizontal="right" vertical="center"/>
    </xf>
    <xf numFmtId="0" fontId="9" fillId="0" borderId="5" xfId="2" applyFont="1" applyFill="1" applyBorder="1" applyAlignment="1">
      <alignment vertical="center"/>
    </xf>
    <xf numFmtId="2" fontId="14" fillId="0" borderId="3" xfId="2" applyNumberFormat="1" applyFont="1" applyFill="1" applyBorder="1" applyAlignment="1">
      <alignment horizontal="right" vertical="center"/>
    </xf>
    <xf numFmtId="166" fontId="13" fillId="0" borderId="3" xfId="7" applyNumberFormat="1" applyFont="1" applyFill="1" applyBorder="1" applyAlignment="1">
      <alignment horizontal="right" vertical="center"/>
    </xf>
    <xf numFmtId="166" fontId="13" fillId="0" borderId="5" xfId="7" applyNumberFormat="1" applyFont="1" applyFill="1" applyBorder="1" applyAlignment="1">
      <alignment horizontal="right" vertical="center"/>
    </xf>
    <xf numFmtId="165" fontId="14" fillId="0" borderId="3" xfId="6" applyFont="1" applyFill="1" applyBorder="1" applyAlignment="1">
      <alignment horizontal="right" vertical="center"/>
    </xf>
    <xf numFmtId="49" fontId="13" fillId="0" borderId="5" xfId="2" applyNumberFormat="1" applyFont="1" applyFill="1" applyBorder="1" applyAlignment="1">
      <alignment horizontal="left" vertical="center" wrapText="1"/>
    </xf>
    <xf numFmtId="166" fontId="12" fillId="0" borderId="3" xfId="5" applyNumberFormat="1" applyFont="1" applyFill="1" applyBorder="1" applyAlignment="1">
      <alignment horizontal="right" vertical="center"/>
    </xf>
    <xf numFmtId="167" fontId="12" fillId="0" borderId="3" xfId="5" applyNumberFormat="1" applyFont="1" applyFill="1" applyBorder="1" applyAlignment="1">
      <alignment horizontal="right" vertical="center"/>
    </xf>
    <xf numFmtId="166" fontId="9" fillId="0" borderId="0" xfId="2" applyNumberFormat="1" applyFont="1" applyFill="1" applyBorder="1" applyAlignment="1">
      <alignment vertical="center"/>
    </xf>
    <xf numFmtId="2" fontId="9" fillId="0" borderId="2" xfId="3" applyNumberFormat="1" applyFont="1" applyFill="1" applyBorder="1" applyAlignment="1">
      <alignment horizontal="center" wrapText="1"/>
    </xf>
    <xf numFmtId="2" fontId="9" fillId="0" borderId="2" xfId="3" applyNumberFormat="1" applyFont="1" applyFill="1" applyBorder="1" applyAlignment="1">
      <alignment horizontal="center"/>
    </xf>
    <xf numFmtId="2" fontId="9" fillId="2" borderId="6" xfId="3" applyNumberFormat="1" applyFont="1" applyFill="1" applyBorder="1" applyAlignment="1">
      <alignment vertical="center" wrapText="1"/>
    </xf>
    <xf numFmtId="0" fontId="9" fillId="0" borderId="2" xfId="3" applyFont="1" applyBorder="1" applyAlignment="1">
      <alignment horizontal="center" vertical="center"/>
    </xf>
    <xf numFmtId="0" fontId="9" fillId="0" borderId="8" xfId="3" applyFont="1" applyBorder="1"/>
    <xf numFmtId="0" fontId="9" fillId="0" borderId="8" xfId="3" applyFont="1" applyBorder="1" applyAlignment="1">
      <alignment horizontal="right"/>
    </xf>
    <xf numFmtId="2" fontId="9" fillId="0" borderId="8" xfId="3" applyNumberFormat="1" applyFont="1" applyBorder="1" applyAlignment="1">
      <alignment horizontal="right"/>
    </xf>
    <xf numFmtId="0" fontId="9" fillId="0" borderId="3" xfId="3" applyFont="1" applyBorder="1"/>
    <xf numFmtId="0" fontId="9" fillId="0" borderId="3" xfId="3" applyFont="1" applyBorder="1" applyAlignment="1">
      <alignment horizontal="right"/>
    </xf>
    <xf numFmtId="2" fontId="9" fillId="0" borderId="3" xfId="3" applyNumberFormat="1" applyFont="1" applyBorder="1" applyAlignment="1">
      <alignment horizontal="right"/>
    </xf>
    <xf numFmtId="0" fontId="9" fillId="0" borderId="6" xfId="3" applyFont="1" applyBorder="1" applyAlignment="1">
      <alignment vertical="center" wrapText="1"/>
    </xf>
    <xf numFmtId="2" fontId="9" fillId="0" borderId="6" xfId="3" applyNumberFormat="1" applyFont="1" applyBorder="1" applyAlignment="1">
      <alignment horizontal="right" vertical="center"/>
    </xf>
    <xf numFmtId="43" fontId="21" fillId="0" borderId="0" xfId="1" applyFont="1" applyAlignment="1">
      <alignment vertical="center"/>
    </xf>
    <xf numFmtId="49" fontId="9" fillId="0" borderId="2" xfId="2" quotePrefix="1" applyNumberFormat="1" applyFont="1" applyFill="1" applyBorder="1" applyAlignment="1">
      <alignment horizontal="center" vertical="center" wrapText="1"/>
    </xf>
    <xf numFmtId="0" fontId="16" fillId="0" borderId="2" xfId="3" applyFont="1" applyFill="1" applyBorder="1" applyAlignment="1">
      <alignment horizontal="right" vertical="center"/>
    </xf>
    <xf numFmtId="2" fontId="14" fillId="0" borderId="2" xfId="3" applyNumberFormat="1" applyFont="1" applyFill="1" applyBorder="1" applyAlignment="1">
      <alignment horizontal="right" vertical="center"/>
    </xf>
    <xf numFmtId="2" fontId="16" fillId="0" borderId="2" xfId="3" applyNumberFormat="1" applyFont="1" applyFill="1" applyBorder="1" applyAlignment="1">
      <alignment horizontal="right" vertical="center"/>
    </xf>
    <xf numFmtId="0" fontId="9" fillId="0" borderId="2" xfId="2" applyFont="1" applyFill="1" applyBorder="1" applyAlignment="1">
      <alignment vertical="center"/>
    </xf>
    <xf numFmtId="17" fontId="9" fillId="0" borderId="2" xfId="2" quotePrefix="1" applyNumberFormat="1" applyFont="1" applyFill="1" applyBorder="1" applyAlignment="1">
      <alignment horizontal="right" vertical="center" wrapText="1"/>
    </xf>
    <xf numFmtId="0" fontId="9" fillId="0" borderId="2" xfId="2" quotePrefix="1" applyFont="1" applyFill="1" applyBorder="1" applyAlignment="1">
      <alignment horizontal="right" vertical="center" wrapText="1"/>
    </xf>
    <xf numFmtId="0" fontId="14" fillId="0" borderId="2" xfId="3" applyFont="1" applyFill="1" applyBorder="1" applyAlignment="1">
      <alignment horizontal="right" vertical="center"/>
    </xf>
    <xf numFmtId="0" fontId="16" fillId="2" borderId="2" xfId="3" applyFont="1" applyFill="1" applyBorder="1" applyAlignment="1">
      <alignment horizontal="right" vertical="center"/>
    </xf>
    <xf numFmtId="2" fontId="16" fillId="2" borderId="2" xfId="3" applyNumberFormat="1" applyFont="1" applyFill="1" applyBorder="1" applyAlignment="1">
      <alignment horizontal="right" vertical="center"/>
    </xf>
    <xf numFmtId="2" fontId="14" fillId="2" borderId="2" xfId="3" applyNumberFormat="1" applyFont="1" applyFill="1" applyBorder="1" applyAlignment="1">
      <alignment horizontal="right" vertical="center"/>
    </xf>
    <xf numFmtId="49" fontId="13" fillId="0" borderId="2" xfId="2" applyNumberFormat="1" applyFont="1" applyFill="1" applyBorder="1" applyAlignment="1">
      <alignment horizontal="left" vertical="center" wrapText="1"/>
    </xf>
    <xf numFmtId="2" fontId="14" fillId="0" borderId="2" xfId="3" quotePrefix="1" applyNumberFormat="1" applyFont="1" applyFill="1" applyBorder="1" applyAlignment="1">
      <alignment horizontal="right" vertical="center"/>
    </xf>
    <xf numFmtId="0" fontId="16" fillId="0" borderId="0" xfId="3" applyFont="1" applyBorder="1" applyAlignment="1">
      <alignment horizontal="right" vertical="justify"/>
    </xf>
    <xf numFmtId="2" fontId="14" fillId="3" borderId="0" xfId="3" applyNumberFormat="1" applyFont="1" applyFill="1" applyBorder="1" applyAlignment="1">
      <alignment horizontal="center" vertical="top"/>
    </xf>
    <xf numFmtId="171" fontId="9" fillId="0" borderId="0" xfId="2" applyNumberFormat="1" applyFont="1" applyFill="1" applyBorder="1" applyAlignment="1">
      <alignment horizontal="right" vertical="center"/>
    </xf>
    <xf numFmtId="1" fontId="9" fillId="0" borderId="0" xfId="2" applyNumberFormat="1" applyFont="1" applyFill="1" applyBorder="1" applyAlignment="1">
      <alignment vertical="center"/>
    </xf>
    <xf numFmtId="165" fontId="9" fillId="0" borderId="6" xfId="6" applyFont="1" applyFill="1" applyBorder="1" applyAlignment="1">
      <alignment horizontal="right" vertical="center"/>
    </xf>
    <xf numFmtId="165" fontId="9" fillId="0" borderId="0" xfId="6" applyFont="1" applyFill="1" applyBorder="1" applyAlignment="1">
      <alignment horizontal="right" vertical="center"/>
    </xf>
    <xf numFmtId="0" fontId="9" fillId="0" borderId="6" xfId="12" applyFont="1" applyFill="1" applyBorder="1" applyAlignment="1">
      <alignment vertical="center"/>
    </xf>
    <xf numFmtId="0" fontId="9" fillId="0" borderId="0" xfId="2" applyFont="1" applyBorder="1" applyAlignment="1">
      <alignment horizontal="center" vertical="center" wrapText="1"/>
    </xf>
    <xf numFmtId="0" fontId="9" fillId="0" borderId="3" xfId="2" applyFont="1" applyBorder="1" applyAlignment="1">
      <alignment vertical="top" wrapText="1"/>
    </xf>
    <xf numFmtId="0" fontId="16" fillId="0" borderId="3" xfId="2" applyFont="1" applyFill="1" applyBorder="1" applyAlignment="1">
      <alignment vertical="center" wrapText="1"/>
    </xf>
    <xf numFmtId="0" fontId="9" fillId="0" borderId="0" xfId="2" applyFont="1" applyBorder="1" applyAlignment="1">
      <alignment horizontal="right" vertical="center" wrapText="1"/>
    </xf>
    <xf numFmtId="0" fontId="9" fillId="0" borderId="8" xfId="2" applyFont="1" applyBorder="1" applyAlignment="1">
      <alignment horizontal="right" vertical="center" wrapText="1"/>
    </xf>
    <xf numFmtId="0" fontId="16" fillId="0" borderId="3" xfId="2" applyFont="1" applyFill="1" applyBorder="1" applyAlignment="1">
      <alignment horizontal="right" vertical="center" wrapText="1"/>
    </xf>
    <xf numFmtId="0" fontId="9" fillId="0" borderId="3" xfId="2" applyFont="1" applyBorder="1" applyAlignment="1">
      <alignment horizontal="left" vertical="top" wrapText="1"/>
    </xf>
    <xf numFmtId="0" fontId="15" fillId="0" borderId="3" xfId="2" applyFont="1" applyFill="1" applyBorder="1" applyAlignment="1">
      <alignment vertical="center" wrapText="1"/>
    </xf>
    <xf numFmtId="0" fontId="9" fillId="0" borderId="3" xfId="2" applyFont="1" applyBorder="1" applyAlignment="1">
      <alignment vertical="center" wrapText="1"/>
    </xf>
    <xf numFmtId="0" fontId="9" fillId="0" borderId="3" xfId="2" applyFont="1" applyBorder="1" applyAlignment="1">
      <alignment horizontal="right" vertical="center" wrapText="1" readingOrder="1"/>
    </xf>
    <xf numFmtId="0" fontId="9" fillId="0" borderId="4" xfId="2" applyFont="1" applyBorder="1" applyAlignment="1">
      <alignment vertical="top" wrapText="1"/>
    </xf>
    <xf numFmtId="0" fontId="9" fillId="0" borderId="6" xfId="2" applyFont="1" applyBorder="1" applyAlignment="1">
      <alignment horizontal="left" vertical="top" wrapText="1"/>
    </xf>
    <xf numFmtId="0" fontId="9" fillId="0" borderId="6" xfId="2" applyFont="1" applyBorder="1" applyAlignment="1">
      <alignment vertical="top" wrapText="1"/>
    </xf>
    <xf numFmtId="0" fontId="15" fillId="0" borderId="6" xfId="2" applyFont="1" applyFill="1" applyBorder="1" applyAlignment="1">
      <alignment vertical="center" wrapText="1"/>
    </xf>
    <xf numFmtId="0" fontId="9" fillId="0" borderId="6" xfId="2" applyFont="1" applyBorder="1" applyAlignment="1">
      <alignment vertical="center" wrapText="1"/>
    </xf>
    <xf numFmtId="0" fontId="9" fillId="0" borderId="6" xfId="2" applyFont="1" applyBorder="1" applyAlignment="1">
      <alignment horizontal="right" vertical="center" wrapText="1" readingOrder="1"/>
    </xf>
    <xf numFmtId="0" fontId="9" fillId="0" borderId="0" xfId="0" applyFont="1" applyFill="1"/>
    <xf numFmtId="2" fontId="25" fillId="0" borderId="8" xfId="0" applyNumberFormat="1" applyFont="1" applyFill="1" applyBorder="1"/>
    <xf numFmtId="0" fontId="8" fillId="0" borderId="3" xfId="17" applyFont="1" applyFill="1" applyBorder="1" applyAlignment="1">
      <alignment horizontal="right"/>
    </xf>
    <xf numFmtId="0" fontId="8" fillId="0" borderId="19" xfId="17" applyFont="1" applyFill="1" applyBorder="1" applyAlignment="1">
      <alignment horizontal="right"/>
    </xf>
    <xf numFmtId="0" fontId="8" fillId="0" borderId="8" xfId="17" applyFont="1" applyFill="1" applyBorder="1" applyAlignment="1">
      <alignment horizontal="right"/>
    </xf>
    <xf numFmtId="41" fontId="8" fillId="0" borderId="3" xfId="17" applyNumberFormat="1" applyFont="1" applyFill="1" applyBorder="1" applyAlignment="1">
      <alignment horizontal="right" vertical="center"/>
    </xf>
    <xf numFmtId="0" fontId="8" fillId="0" borderId="5" xfId="17" applyFont="1" applyFill="1" applyBorder="1" applyAlignment="1">
      <alignment horizontal="right"/>
    </xf>
    <xf numFmtId="1" fontId="9" fillId="0" borderId="0" xfId="0" applyNumberFormat="1" applyFont="1" applyFill="1" applyBorder="1"/>
    <xf numFmtId="0" fontId="9" fillId="0" borderId="0" xfId="0" applyFont="1" applyFill="1" applyBorder="1"/>
    <xf numFmtId="2" fontId="25" fillId="0" borderId="3" xfId="0" applyNumberFormat="1" applyFont="1" applyFill="1" applyBorder="1"/>
    <xf numFmtId="2" fontId="22" fillId="0" borderId="2" xfId="0" applyNumberFormat="1" applyFont="1" applyFill="1" applyBorder="1"/>
    <xf numFmtId="2" fontId="26" fillId="0" borderId="0" xfId="0" applyNumberFormat="1" applyFont="1" applyFill="1" applyBorder="1"/>
    <xf numFmtId="2" fontId="22" fillId="0" borderId="0" xfId="0" applyNumberFormat="1" applyFont="1" applyFill="1" applyBorder="1"/>
    <xf numFmtId="0" fontId="8" fillId="0" borderId="0" xfId="17" applyFont="1" applyFill="1" applyBorder="1" applyAlignment="1">
      <alignment horizontal="right"/>
    </xf>
    <xf numFmtId="0" fontId="9" fillId="0" borderId="0" xfId="0" applyFont="1" applyFill="1" applyAlignment="1">
      <alignment horizontal="center"/>
    </xf>
    <xf numFmtId="0" fontId="0" fillId="0" borderId="0" xfId="0" applyFill="1"/>
    <xf numFmtId="0" fontId="9" fillId="0" borderId="3" xfId="2" applyFont="1" applyBorder="1" applyAlignment="1">
      <alignment horizontal="center" vertical="center" wrapText="1" readingOrder="1"/>
    </xf>
    <xf numFmtId="0" fontId="15" fillId="0" borderId="3" xfId="2" applyFont="1" applyFill="1" applyBorder="1" applyAlignment="1">
      <alignment horizontal="center" vertical="center" wrapText="1" readingOrder="1"/>
    </xf>
    <xf numFmtId="0" fontId="9" fillId="0" borderId="0" xfId="0" applyFont="1" applyFill="1" applyAlignment="1"/>
    <xf numFmtId="0" fontId="9" fillId="0" borderId="1" xfId="3" applyFont="1" applyFill="1" applyBorder="1" applyAlignment="1">
      <alignment vertical="center"/>
    </xf>
    <xf numFmtId="0" fontId="9" fillId="0" borderId="0" xfId="3" applyFont="1" applyFill="1" applyBorder="1" applyAlignment="1">
      <alignment vertical="center"/>
    </xf>
    <xf numFmtId="0" fontId="9" fillId="0" borderId="0" xfId="3" applyFont="1" applyFill="1" applyAlignment="1">
      <alignment horizontal="center" vertical="top"/>
    </xf>
    <xf numFmtId="0" fontId="9" fillId="0" borderId="0" xfId="3" applyFont="1" applyFill="1" applyAlignment="1">
      <alignment horizontal="right" vertical="top"/>
    </xf>
    <xf numFmtId="0" fontId="9" fillId="0" borderId="0" xfId="3" applyFont="1" applyFill="1" applyAlignment="1">
      <alignment horizontal="center"/>
    </xf>
    <xf numFmtId="0" fontId="9" fillId="0" borderId="6" xfId="3" applyFont="1" applyFill="1" applyBorder="1" applyAlignment="1">
      <alignment horizontal="right" vertical="center"/>
    </xf>
    <xf numFmtId="165" fontId="13" fillId="4" borderId="3" xfId="6" applyFont="1" applyFill="1" applyBorder="1" applyAlignment="1">
      <alignment horizontal="right" vertical="center"/>
    </xf>
    <xf numFmtId="2" fontId="13" fillId="4" borderId="3" xfId="3" applyNumberFormat="1" applyFont="1" applyFill="1" applyBorder="1" applyAlignment="1">
      <alignment horizontal="right" vertical="center"/>
    </xf>
    <xf numFmtId="166" fontId="13" fillId="4" borderId="3" xfId="3" applyNumberFormat="1" applyFont="1" applyFill="1" applyBorder="1" applyAlignment="1">
      <alignment horizontal="right" vertical="center"/>
    </xf>
    <xf numFmtId="166" fontId="13" fillId="4" borderId="3" xfId="6" applyNumberFormat="1" applyFont="1" applyFill="1" applyBorder="1" applyAlignment="1">
      <alignment horizontal="right" vertical="center"/>
    </xf>
    <xf numFmtId="0" fontId="13" fillId="4" borderId="3" xfId="6" applyNumberFormat="1" applyFont="1" applyFill="1" applyBorder="1" applyAlignment="1">
      <alignment horizontal="right" vertical="center"/>
    </xf>
    <xf numFmtId="2" fontId="13" fillId="0" borderId="3" xfId="3" applyNumberFormat="1" applyFont="1" applyFill="1" applyBorder="1" applyAlignment="1">
      <alignment horizontal="right" vertical="center"/>
    </xf>
    <xf numFmtId="166" fontId="13" fillId="0" borderId="3" xfId="3" applyNumberFormat="1" applyFont="1" applyFill="1" applyBorder="1" applyAlignment="1">
      <alignment horizontal="right" vertical="center"/>
    </xf>
    <xf numFmtId="175" fontId="13" fillId="0" borderId="3" xfId="17" applyNumberFormat="1" applyFont="1" applyFill="1" applyBorder="1" applyAlignment="1">
      <alignment horizontal="right" vertical="center"/>
    </xf>
    <xf numFmtId="0" fontId="13" fillId="0" borderId="3" xfId="17" applyNumberFormat="1" applyFont="1" applyFill="1" applyBorder="1" applyAlignment="1">
      <alignment horizontal="right" vertical="center"/>
    </xf>
    <xf numFmtId="2" fontId="13" fillId="4" borderId="3" xfId="6" applyNumberFormat="1" applyFont="1" applyFill="1" applyBorder="1" applyAlignment="1">
      <alignment horizontal="right" vertical="center"/>
    </xf>
    <xf numFmtId="165" fontId="13" fillId="4" borderId="3" xfId="6" applyNumberFormat="1" applyFont="1" applyFill="1" applyBorder="1" applyAlignment="1">
      <alignment horizontal="right" vertical="center"/>
    </xf>
    <xf numFmtId="2" fontId="13" fillId="4" borderId="3" xfId="3" applyNumberFormat="1" applyFont="1" applyFill="1" applyBorder="1" applyAlignment="1">
      <alignment horizontal="right" vertical="center" wrapText="1"/>
    </xf>
    <xf numFmtId="2" fontId="13" fillId="0" borderId="3" xfId="3" applyNumberFormat="1" applyFont="1" applyFill="1" applyBorder="1" applyAlignment="1">
      <alignment horizontal="right" vertical="center" wrapText="1"/>
    </xf>
    <xf numFmtId="0" fontId="13" fillId="0" borderId="3" xfId="3" applyNumberFormat="1" applyFont="1" applyFill="1" applyBorder="1" applyAlignment="1">
      <alignment horizontal="right" vertical="center" wrapText="1"/>
    </xf>
    <xf numFmtId="0" fontId="13" fillId="4" borderId="3" xfId="3" applyNumberFormat="1" applyFont="1" applyFill="1" applyBorder="1" applyAlignment="1">
      <alignment horizontal="right" vertical="center" wrapText="1"/>
    </xf>
    <xf numFmtId="2" fontId="9" fillId="0" borderId="3" xfId="3" applyNumberFormat="1" applyFont="1" applyFill="1" applyBorder="1" applyAlignment="1">
      <alignment horizontal="right" vertical="center"/>
    </xf>
    <xf numFmtId="166" fontId="17" fillId="4" borderId="3" xfId="6" applyNumberFormat="1" applyFont="1" applyFill="1" applyBorder="1" applyAlignment="1">
      <alignment horizontal="right" vertical="center"/>
    </xf>
    <xf numFmtId="166" fontId="9" fillId="2" borderId="3" xfId="3" applyNumberFormat="1" applyFont="1" applyFill="1" applyBorder="1" applyAlignment="1">
      <alignment horizontal="right" vertical="center"/>
    </xf>
    <xf numFmtId="2" fontId="17" fillId="4" borderId="3" xfId="3" applyNumberFormat="1" applyFont="1" applyFill="1" applyBorder="1" applyAlignment="1">
      <alignment horizontal="right" vertical="center"/>
    </xf>
    <xf numFmtId="165" fontId="17" fillId="4" borderId="3" xfId="6" applyFont="1" applyFill="1" applyBorder="1" applyAlignment="1">
      <alignment horizontal="right" vertical="center"/>
    </xf>
    <xf numFmtId="166" fontId="9" fillId="0" borderId="3" xfId="3" applyNumberFormat="1" applyFont="1" applyFill="1" applyBorder="1" applyAlignment="1">
      <alignment horizontal="right" vertical="center"/>
    </xf>
    <xf numFmtId="166" fontId="17" fillId="4" borderId="3" xfId="3" applyNumberFormat="1" applyFont="1" applyFill="1" applyBorder="1" applyAlignment="1">
      <alignment horizontal="right" vertical="center"/>
    </xf>
    <xf numFmtId="0" fontId="9" fillId="0" borderId="3" xfId="3" applyNumberFormat="1" applyFont="1" applyFill="1" applyBorder="1" applyAlignment="1">
      <alignment horizontal="right"/>
    </xf>
    <xf numFmtId="2" fontId="9" fillId="0" borderId="3" xfId="3" applyNumberFormat="1" applyFont="1" applyFill="1" applyBorder="1" applyAlignment="1">
      <alignment horizontal="right"/>
    </xf>
    <xf numFmtId="0" fontId="17" fillId="4" borderId="3" xfId="6" applyNumberFormat="1" applyFont="1" applyFill="1" applyBorder="1" applyAlignment="1">
      <alignment horizontal="right" vertical="center"/>
    </xf>
    <xf numFmtId="2" fontId="9" fillId="4" borderId="3" xfId="3" applyNumberFormat="1" applyFont="1" applyFill="1" applyBorder="1" applyAlignment="1">
      <alignment horizontal="right" vertical="center"/>
    </xf>
    <xf numFmtId="0" fontId="9" fillId="0" borderId="3" xfId="3" applyNumberFormat="1" applyFont="1" applyFill="1" applyBorder="1" applyAlignment="1">
      <alignment horizontal="right" vertical="center"/>
    </xf>
    <xf numFmtId="165" fontId="17" fillId="0" borderId="3" xfId="6" applyFont="1" applyFill="1" applyBorder="1" applyAlignment="1">
      <alignment horizontal="right" vertical="center"/>
    </xf>
    <xf numFmtId="166" fontId="9" fillId="0" borderId="3" xfId="3" applyNumberFormat="1" applyFont="1" applyFill="1" applyBorder="1" applyAlignment="1">
      <alignment horizontal="right" vertical="center" wrapText="1"/>
    </xf>
    <xf numFmtId="166" fontId="17" fillId="0" borderId="3" xfId="3" applyNumberFormat="1" applyFont="1" applyFill="1" applyBorder="1" applyAlignment="1">
      <alignment horizontal="right" vertical="center"/>
    </xf>
    <xf numFmtId="0" fontId="9" fillId="0" borderId="3" xfId="3" applyFont="1" applyFill="1" applyBorder="1" applyAlignment="1">
      <alignment horizontal="right" vertical="center"/>
    </xf>
    <xf numFmtId="1" fontId="9" fillId="0" borderId="3" xfId="3" applyNumberFormat="1" applyFont="1" applyFill="1" applyBorder="1" applyAlignment="1">
      <alignment horizontal="right" vertical="center"/>
    </xf>
    <xf numFmtId="2" fontId="14" fillId="3" borderId="3" xfId="3" applyNumberFormat="1" applyFont="1" applyFill="1" applyBorder="1" applyAlignment="1">
      <alignment horizontal="right" vertical="center"/>
    </xf>
    <xf numFmtId="2" fontId="14" fillId="0" borderId="3" xfId="3" applyNumberFormat="1" applyFont="1" applyFill="1" applyBorder="1" applyAlignment="1">
      <alignment horizontal="right" vertical="center"/>
    </xf>
    <xf numFmtId="2" fontId="14" fillId="3" borderId="3" xfId="17" applyNumberFormat="1" applyFont="1" applyFill="1" applyBorder="1" applyAlignment="1">
      <alignment horizontal="right" vertical="center"/>
    </xf>
    <xf numFmtId="2" fontId="12" fillId="3" borderId="3" xfId="3" applyNumberFormat="1" applyFont="1" applyFill="1" applyBorder="1" applyAlignment="1">
      <alignment horizontal="right" vertical="center"/>
    </xf>
    <xf numFmtId="177" fontId="9" fillId="0" borderId="3" xfId="3" applyNumberFormat="1" applyFont="1" applyBorder="1" applyAlignment="1">
      <alignment horizontal="right" vertical="center"/>
    </xf>
    <xf numFmtId="2" fontId="12" fillId="0" borderId="3" xfId="3" applyNumberFormat="1" applyFont="1" applyFill="1" applyBorder="1" applyAlignment="1">
      <alignment horizontal="right" vertical="center"/>
    </xf>
    <xf numFmtId="177" fontId="9" fillId="0" borderId="3" xfId="3" applyNumberFormat="1" applyFont="1" applyFill="1" applyBorder="1" applyAlignment="1">
      <alignment horizontal="right" vertical="center"/>
    </xf>
    <xf numFmtId="2" fontId="12" fillId="3" borderId="3" xfId="17" applyNumberFormat="1" applyFont="1" applyFill="1" applyBorder="1" applyAlignment="1">
      <alignment horizontal="right" vertical="center"/>
    </xf>
    <xf numFmtId="2" fontId="14" fillId="0" borderId="3" xfId="17" applyNumberFormat="1" applyFont="1" applyFill="1" applyBorder="1" applyAlignment="1">
      <alignment horizontal="right" vertical="center"/>
    </xf>
    <xf numFmtId="166" fontId="14" fillId="0" borderId="3" xfId="3" applyNumberFormat="1" applyFont="1" applyFill="1" applyBorder="1" applyAlignment="1">
      <alignment horizontal="right" vertical="center"/>
    </xf>
    <xf numFmtId="166" fontId="14" fillId="3" borderId="3" xfId="3" applyNumberFormat="1" applyFont="1" applyFill="1" applyBorder="1" applyAlignment="1">
      <alignment horizontal="right" vertical="center"/>
    </xf>
    <xf numFmtId="2" fontId="12" fillId="0" borderId="3" xfId="17" applyNumberFormat="1" applyFont="1" applyFill="1" applyBorder="1" applyAlignment="1">
      <alignment horizontal="right" vertical="center"/>
    </xf>
    <xf numFmtId="0" fontId="9" fillId="0" borderId="3" xfId="3" applyFont="1" applyFill="1" applyBorder="1" applyAlignment="1">
      <alignment horizontal="right" vertical="center" wrapText="1"/>
    </xf>
    <xf numFmtId="166" fontId="12" fillId="0" borderId="3" xfId="3" applyNumberFormat="1" applyFont="1" applyFill="1" applyBorder="1" applyAlignment="1">
      <alignment horizontal="right" vertical="center"/>
    </xf>
    <xf numFmtId="166" fontId="9" fillId="2" borderId="3" xfId="3" applyNumberFormat="1" applyFont="1" applyFill="1" applyBorder="1" applyAlignment="1">
      <alignment horizontal="right" vertical="center" wrapText="1"/>
    </xf>
    <xf numFmtId="166" fontId="12" fillId="3" borderId="3" xfId="3" applyNumberFormat="1" applyFont="1" applyFill="1" applyBorder="1" applyAlignment="1">
      <alignment horizontal="right" vertical="center"/>
    </xf>
    <xf numFmtId="166" fontId="9" fillId="0" borderId="3" xfId="3" applyNumberFormat="1" applyFont="1" applyBorder="1" applyAlignment="1">
      <alignment horizontal="right" vertical="center"/>
    </xf>
    <xf numFmtId="2" fontId="9" fillId="0" borderId="3" xfId="3" applyNumberFormat="1" applyFont="1" applyFill="1" applyBorder="1" applyAlignment="1">
      <alignment horizontal="right" wrapText="1"/>
    </xf>
    <xf numFmtId="0" fontId="9" fillId="0" borderId="0" xfId="3" applyFont="1" applyFill="1" applyAlignment="1">
      <alignment horizontal="center" wrapText="1"/>
    </xf>
    <xf numFmtId="2" fontId="9" fillId="0" borderId="3" xfId="3" applyNumberFormat="1" applyFont="1" applyFill="1" applyBorder="1" applyAlignment="1">
      <alignment horizontal="right" vertical="center" wrapText="1"/>
    </xf>
    <xf numFmtId="2" fontId="17" fillId="4" borderId="3" xfId="3" applyNumberFormat="1" applyFont="1" applyFill="1" applyBorder="1" applyAlignment="1">
      <alignment horizontal="right" vertical="center" wrapText="1"/>
    </xf>
    <xf numFmtId="0" fontId="9" fillId="0" borderId="3" xfId="3" applyNumberFormat="1" applyFont="1" applyFill="1" applyBorder="1" applyAlignment="1">
      <alignment horizontal="right" vertical="center" wrapText="1"/>
    </xf>
    <xf numFmtId="2" fontId="9" fillId="0" borderId="6" xfId="3" applyNumberFormat="1" applyFont="1" applyFill="1" applyBorder="1" applyAlignment="1">
      <alignment horizontal="right" vertical="center"/>
    </xf>
    <xf numFmtId="166" fontId="9" fillId="0" borderId="6" xfId="3" applyNumberFormat="1" applyFont="1" applyFill="1" applyBorder="1" applyAlignment="1">
      <alignment horizontal="right" vertical="center"/>
    </xf>
    <xf numFmtId="166" fontId="9" fillId="2" borderId="6" xfId="3" applyNumberFormat="1" applyFont="1" applyFill="1" applyBorder="1" applyAlignment="1">
      <alignment horizontal="right" vertical="center"/>
    </xf>
    <xf numFmtId="0" fontId="9" fillId="0" borderId="6" xfId="3" applyNumberFormat="1" applyFont="1" applyFill="1" applyBorder="1" applyAlignment="1">
      <alignment horizontal="right" vertical="center"/>
    </xf>
    <xf numFmtId="2" fontId="9" fillId="0" borderId="6" xfId="3" applyNumberFormat="1" applyFont="1" applyFill="1" applyBorder="1" applyAlignment="1">
      <alignment horizontal="right"/>
    </xf>
    <xf numFmtId="166" fontId="9" fillId="0" borderId="6" xfId="3" applyNumberFormat="1" applyFont="1" applyFill="1" applyBorder="1" applyAlignment="1">
      <alignment horizontal="right" vertical="center" wrapText="1"/>
    </xf>
    <xf numFmtId="2" fontId="9" fillId="0" borderId="6" xfId="3" applyNumberFormat="1" applyFont="1" applyFill="1" applyBorder="1" applyAlignment="1">
      <alignment horizontal="right" vertical="center" wrapText="1"/>
    </xf>
    <xf numFmtId="0" fontId="19" fillId="0" borderId="0" xfId="3" applyFont="1" applyBorder="1" applyAlignment="1">
      <alignment vertical="top"/>
    </xf>
    <xf numFmtId="0" fontId="28" fillId="2" borderId="0" xfId="3" applyFont="1" applyFill="1" applyBorder="1" applyAlignment="1">
      <alignment horizontal="right"/>
    </xf>
    <xf numFmtId="171" fontId="28" fillId="0" borderId="0" xfId="3" applyNumberFormat="1" applyFont="1" applyFill="1" applyBorder="1" applyAlignment="1">
      <alignment horizontal="right" vertical="center"/>
    </xf>
    <xf numFmtId="1" fontId="28" fillId="0" borderId="0" xfId="3" applyNumberFormat="1" applyFont="1" applyFill="1" applyBorder="1" applyAlignment="1">
      <alignment horizontal="right"/>
    </xf>
    <xf numFmtId="171" fontId="28" fillId="0" borderId="0" xfId="3" applyNumberFormat="1" applyFont="1" applyFill="1" applyBorder="1" applyAlignment="1">
      <alignment horizontal="right" vertical="center" wrapText="1"/>
    </xf>
    <xf numFmtId="1" fontId="29" fillId="0" borderId="0" xfId="3" applyNumberFormat="1" applyFont="1" applyFill="1" applyAlignment="1">
      <alignment horizontal="right"/>
    </xf>
    <xf numFmtId="171" fontId="29" fillId="0" borderId="0" xfId="3" applyNumberFormat="1" applyFont="1" applyFill="1" applyAlignment="1">
      <alignment horizontal="right" vertical="center"/>
    </xf>
    <xf numFmtId="166" fontId="28" fillId="0" borderId="0" xfId="3" applyNumberFormat="1" applyFont="1" applyFill="1" applyAlignment="1">
      <alignment horizontal="right" vertical="center"/>
    </xf>
    <xf numFmtId="0" fontId="9" fillId="0" borderId="0" xfId="3" applyFont="1" applyFill="1" applyBorder="1" applyAlignment="1">
      <alignment horizontal="right" vertical="center"/>
    </xf>
    <xf numFmtId="0" fontId="28" fillId="0" borderId="0" xfId="3" applyFont="1" applyFill="1" applyAlignment="1">
      <alignment horizontal="right" vertical="center"/>
    </xf>
    <xf numFmtId="0" fontId="16" fillId="0" borderId="0" xfId="0" applyFont="1"/>
    <xf numFmtId="0" fontId="1" fillId="0" borderId="27" xfId="22" applyNumberFormat="1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/>
    </xf>
    <xf numFmtId="0" fontId="7" fillId="0" borderId="25" xfId="2" applyFont="1" applyBorder="1" applyAlignment="1">
      <alignment horizontal="center" vertical="center" wrapText="1"/>
    </xf>
    <xf numFmtId="0" fontId="7" fillId="0" borderId="23" xfId="2" applyFont="1" applyBorder="1" applyAlignment="1">
      <alignment horizontal="center" vertical="center" wrapText="1"/>
    </xf>
    <xf numFmtId="0" fontId="5" fillId="0" borderId="0" xfId="2" quotePrefix="1" applyFont="1" applyBorder="1" applyAlignment="1">
      <alignment horizontal="left" vertical="center"/>
    </xf>
    <xf numFmtId="0" fontId="5" fillId="0" borderId="3" xfId="2" quotePrefix="1" applyFont="1" applyFill="1" applyBorder="1" applyAlignment="1">
      <alignment horizontal="left" vertical="center" wrapText="1"/>
    </xf>
    <xf numFmtId="0" fontId="8" fillId="0" borderId="6" xfId="2" quotePrefix="1" applyFont="1" applyFill="1" applyBorder="1" applyAlignment="1">
      <alignment horizontal="left" vertical="center" wrapText="1"/>
    </xf>
    <xf numFmtId="0" fontId="8" fillId="0" borderId="6" xfId="2" applyFont="1" applyBorder="1" applyAlignment="1">
      <alignment horizontal="center" vertical="center"/>
    </xf>
    <xf numFmtId="0" fontId="5" fillId="0" borderId="3" xfId="2" applyFont="1" applyFill="1" applyBorder="1" applyAlignment="1">
      <alignment horizontal="left" vertical="center" wrapText="1"/>
    </xf>
    <xf numFmtId="0" fontId="5" fillId="0" borderId="3" xfId="2" applyFont="1" applyFill="1" applyBorder="1" applyAlignment="1">
      <alignment horizontal="center" vertical="center" wrapText="1"/>
    </xf>
    <xf numFmtId="0" fontId="5" fillId="0" borderId="0" xfId="2" applyFont="1" applyFill="1" applyBorder="1" applyAlignment="1">
      <alignment vertical="center"/>
    </xf>
    <xf numFmtId="2" fontId="12" fillId="0" borderId="3" xfId="6" applyNumberFormat="1" applyFont="1" applyFill="1" applyBorder="1" applyAlignment="1">
      <alignment horizontal="right" vertical="center"/>
    </xf>
    <xf numFmtId="4" fontId="13" fillId="0" borderId="3" xfId="6" applyNumberFormat="1" applyFont="1" applyFill="1" applyBorder="1" applyAlignment="1">
      <alignment horizontal="right" vertical="center"/>
    </xf>
    <xf numFmtId="165" fontId="5" fillId="0" borderId="3" xfId="6" applyFont="1" applyFill="1" applyBorder="1" applyAlignment="1">
      <alignment horizontal="right" vertical="center"/>
    </xf>
    <xf numFmtId="0" fontId="5" fillId="0" borderId="5" xfId="2" applyFont="1" applyFill="1" applyBorder="1" applyAlignment="1">
      <alignment horizontal="right" vertical="center"/>
    </xf>
    <xf numFmtId="0" fontId="5" fillId="0" borderId="3" xfId="2" applyFont="1" applyFill="1" applyBorder="1" applyAlignment="1">
      <alignment horizontal="right" vertical="center"/>
    </xf>
    <xf numFmtId="0" fontId="5" fillId="0" borderId="3" xfId="2" applyFont="1" applyBorder="1" applyAlignment="1">
      <alignment horizontal="left" vertical="center" wrapText="1"/>
    </xf>
    <xf numFmtId="165" fontId="5" fillId="0" borderId="3" xfId="6" quotePrefix="1" applyFont="1" applyFill="1" applyBorder="1" applyAlignment="1">
      <alignment horizontal="right" vertical="center"/>
    </xf>
    <xf numFmtId="0" fontId="5" fillId="0" borderId="0" xfId="2" quotePrefix="1" applyFont="1" applyFill="1" applyBorder="1" applyAlignment="1">
      <alignment horizontal="left" vertical="center"/>
    </xf>
    <xf numFmtId="0" fontId="5" fillId="0" borderId="1" xfId="2" applyFont="1" applyFill="1" applyBorder="1" applyAlignment="1">
      <alignment vertical="center"/>
    </xf>
    <xf numFmtId="0" fontId="15" fillId="0" borderId="28" xfId="3" applyFont="1" applyFill="1" applyBorder="1" applyAlignment="1">
      <alignment horizontal="center" vertical="center"/>
    </xf>
    <xf numFmtId="49" fontId="13" fillId="0" borderId="0" xfId="3" applyNumberFormat="1" applyFont="1" applyFill="1" applyBorder="1" applyAlignment="1">
      <alignment horizontal="left" vertical="center" wrapText="1"/>
    </xf>
    <xf numFmtId="166" fontId="9" fillId="0" borderId="29" xfId="3" applyNumberFormat="1" applyFont="1" applyFill="1" applyBorder="1" applyAlignment="1">
      <alignment horizontal="right" vertical="center"/>
    </xf>
    <xf numFmtId="43" fontId="9" fillId="0" borderId="5" xfId="8" applyFont="1" applyFill="1" applyBorder="1" applyAlignment="1">
      <alignment horizontal="right" vertical="center"/>
    </xf>
    <xf numFmtId="43" fontId="14" fillId="0" borderId="5" xfId="8" applyFont="1" applyFill="1" applyBorder="1" applyAlignment="1">
      <alignment horizontal="right" vertical="center"/>
    </xf>
    <xf numFmtId="43" fontId="13" fillId="0" borderId="5" xfId="8" applyFont="1" applyFill="1" applyBorder="1" applyAlignment="1">
      <alignment horizontal="right" vertical="center"/>
    </xf>
    <xf numFmtId="43" fontId="17" fillId="0" borderId="5" xfId="8" applyFont="1" applyFill="1" applyBorder="1" applyAlignment="1">
      <alignment horizontal="right" vertical="center"/>
    </xf>
    <xf numFmtId="43" fontId="15" fillId="0" borderId="7" xfId="8" applyFont="1" applyFill="1" applyBorder="1" applyAlignment="1">
      <alignment horizontal="right" vertical="center"/>
    </xf>
    <xf numFmtId="0" fontId="9" fillId="0" borderId="2" xfId="2" applyFont="1" applyBorder="1" applyAlignment="1">
      <alignment horizontal="center" vertical="center"/>
    </xf>
    <xf numFmtId="0" fontId="5" fillId="0" borderId="0" xfId="3" applyFont="1" applyFill="1" applyBorder="1" applyAlignment="1">
      <alignment vertical="center"/>
    </xf>
    <xf numFmtId="0" fontId="5" fillId="0" borderId="6" xfId="3" applyFont="1" applyBorder="1" applyAlignment="1">
      <alignment horizontal="right"/>
    </xf>
    <xf numFmtId="2" fontId="9" fillId="0" borderId="31" xfId="3" applyNumberFormat="1" applyFont="1" applyFill="1" applyBorder="1" applyAlignment="1">
      <alignment horizontal="center" wrapText="1"/>
    </xf>
    <xf numFmtId="2" fontId="9" fillId="0" borderId="0" xfId="3" applyNumberFormat="1" applyFont="1" applyFill="1" applyBorder="1" applyAlignment="1"/>
    <xf numFmtId="2" fontId="9" fillId="0" borderId="0" xfId="3" applyNumberFormat="1" applyFont="1" applyFill="1" applyBorder="1" applyAlignment="1">
      <alignment horizontal="center" vertical="center" wrapText="1"/>
    </xf>
    <xf numFmtId="1" fontId="5" fillId="2" borderId="8" xfId="3" applyNumberFormat="1" applyFont="1" applyFill="1" applyBorder="1" applyAlignment="1">
      <alignment horizontal="center" vertical="center" wrapText="1"/>
    </xf>
    <xf numFmtId="2" fontId="5" fillId="2" borderId="8" xfId="3" applyNumberFormat="1" applyFont="1" applyFill="1" applyBorder="1" applyAlignment="1">
      <alignment vertical="center" wrapText="1"/>
    </xf>
    <xf numFmtId="2" fontId="5" fillId="0" borderId="0" xfId="3" applyNumberFormat="1" applyFont="1" applyFill="1" applyBorder="1" applyAlignment="1"/>
    <xf numFmtId="1" fontId="5" fillId="2" borderId="3" xfId="3" applyNumberFormat="1" applyFont="1" applyFill="1" applyBorder="1" applyAlignment="1">
      <alignment horizontal="center" vertical="center" wrapText="1"/>
    </xf>
    <xf numFmtId="2" fontId="5" fillId="2" borderId="3" xfId="3" applyNumberFormat="1" applyFont="1" applyFill="1" applyBorder="1" applyAlignment="1">
      <alignment vertical="center" wrapText="1"/>
    </xf>
    <xf numFmtId="2" fontId="27" fillId="0" borderId="0" xfId="3" applyNumberFormat="1" applyFont="1" applyFill="1" applyBorder="1" applyAlignment="1"/>
    <xf numFmtId="2" fontId="5" fillId="2" borderId="0" xfId="3" applyNumberFormat="1" applyFont="1" applyFill="1" applyBorder="1" applyAlignment="1"/>
    <xf numFmtId="2" fontId="9" fillId="0" borderId="0" xfId="3" quotePrefix="1" applyNumberFormat="1" applyFont="1" applyFill="1" applyBorder="1" applyAlignment="1">
      <alignment horizontal="left" vertical="top"/>
    </xf>
    <xf numFmtId="2" fontId="9" fillId="0" borderId="0" xfId="3" applyNumberFormat="1" applyFont="1" applyFill="1" applyBorder="1" applyAlignment="1">
      <alignment vertical="top"/>
    </xf>
    <xf numFmtId="0" fontId="9" fillId="0" borderId="31" xfId="3" applyFont="1" applyFill="1" applyBorder="1" applyAlignment="1">
      <alignment horizontal="center" vertical="center"/>
    </xf>
    <xf numFmtId="165" fontId="13" fillId="4" borderId="24" xfId="6" applyFont="1" applyFill="1" applyBorder="1" applyAlignment="1">
      <alignment horizontal="right" vertical="center"/>
    </xf>
    <xf numFmtId="166" fontId="17" fillId="4" borderId="24" xfId="6" applyNumberFormat="1" applyFont="1" applyFill="1" applyBorder="1" applyAlignment="1">
      <alignment horizontal="right" vertical="center"/>
    </xf>
    <xf numFmtId="0" fontId="9" fillId="0" borderId="24" xfId="3" applyFont="1" applyFill="1" applyBorder="1" applyAlignment="1">
      <alignment horizontal="right" vertical="center"/>
    </xf>
    <xf numFmtId="2" fontId="14" fillId="3" borderId="24" xfId="3" applyNumberFormat="1" applyFont="1" applyFill="1" applyBorder="1" applyAlignment="1">
      <alignment horizontal="right" vertical="center"/>
    </xf>
    <xf numFmtId="2" fontId="12" fillId="3" borderId="24" xfId="3" applyNumberFormat="1" applyFont="1" applyFill="1" applyBorder="1" applyAlignment="1">
      <alignment horizontal="right" vertical="center"/>
    </xf>
    <xf numFmtId="165" fontId="17" fillId="4" borderId="24" xfId="6" applyFont="1" applyFill="1" applyBorder="1" applyAlignment="1">
      <alignment horizontal="right" vertical="center"/>
    </xf>
    <xf numFmtId="1" fontId="9" fillId="0" borderId="24" xfId="3" applyNumberFormat="1" applyFont="1" applyFill="1" applyBorder="1" applyAlignment="1">
      <alignment horizontal="right" vertical="center"/>
    </xf>
    <xf numFmtId="166" fontId="9" fillId="0" borderId="24" xfId="3" applyNumberFormat="1" applyFont="1" applyFill="1" applyBorder="1" applyAlignment="1">
      <alignment horizontal="right" vertical="center"/>
    </xf>
    <xf numFmtId="2" fontId="9" fillId="0" borderId="24" xfId="3" applyNumberFormat="1" applyFont="1" applyFill="1" applyBorder="1" applyAlignment="1">
      <alignment horizontal="right"/>
    </xf>
    <xf numFmtId="166" fontId="13" fillId="4" borderId="24" xfId="6" applyNumberFormat="1" applyFont="1" applyFill="1" applyBorder="1" applyAlignment="1">
      <alignment horizontal="right" vertical="center"/>
    </xf>
    <xf numFmtId="165" fontId="13" fillId="4" borderId="24" xfId="6" applyNumberFormat="1" applyFont="1" applyFill="1" applyBorder="1" applyAlignment="1">
      <alignment horizontal="right" vertical="center"/>
    </xf>
    <xf numFmtId="165" fontId="13" fillId="0" borderId="24" xfId="6" applyFont="1" applyFill="1" applyBorder="1" applyAlignment="1">
      <alignment horizontal="right" vertical="center"/>
    </xf>
    <xf numFmtId="165" fontId="17" fillId="0" borderId="24" xfId="6" applyFont="1" applyFill="1" applyBorder="1" applyAlignment="1">
      <alignment horizontal="right" vertical="center"/>
    </xf>
    <xf numFmtId="2" fontId="14" fillId="0" borderId="24" xfId="3" applyNumberFormat="1" applyFont="1" applyFill="1" applyBorder="1" applyAlignment="1">
      <alignment horizontal="right" vertical="center"/>
    </xf>
    <xf numFmtId="2" fontId="12" fillId="0" borderId="24" xfId="3" applyNumberFormat="1" applyFont="1" applyFill="1" applyBorder="1" applyAlignment="1">
      <alignment horizontal="right" vertical="center"/>
    </xf>
    <xf numFmtId="0" fontId="9" fillId="0" borderId="24" xfId="3" applyFont="1" applyFill="1" applyBorder="1" applyAlignment="1">
      <alignment horizontal="right" vertical="center" wrapText="1"/>
    </xf>
    <xf numFmtId="2" fontId="12" fillId="0" borderId="24" xfId="17" applyNumberFormat="1" applyFont="1" applyFill="1" applyBorder="1" applyAlignment="1">
      <alignment horizontal="right" vertical="center"/>
    </xf>
    <xf numFmtId="2" fontId="9" fillId="0" borderId="24" xfId="3" applyNumberFormat="1" applyFont="1" applyFill="1" applyBorder="1" applyAlignment="1">
      <alignment horizontal="right" vertical="center"/>
    </xf>
    <xf numFmtId="2" fontId="12" fillId="3" borderId="24" xfId="17" applyNumberFormat="1" applyFont="1" applyFill="1" applyBorder="1" applyAlignment="1">
      <alignment horizontal="right" vertical="center"/>
    </xf>
    <xf numFmtId="0" fontId="5" fillId="0" borderId="0" xfId="3" applyFont="1" applyFill="1" applyBorder="1"/>
    <xf numFmtId="0" fontId="5" fillId="0" borderId="0" xfId="3" applyFont="1" applyFill="1" applyAlignment="1">
      <alignment horizontal="center"/>
    </xf>
    <xf numFmtId="2" fontId="5" fillId="2" borderId="3" xfId="3" applyNumberFormat="1" applyFont="1" applyFill="1" applyBorder="1" applyAlignment="1">
      <alignment horizontal="right" vertical="center"/>
    </xf>
    <xf numFmtId="166" fontId="5" fillId="2" borderId="3" xfId="3" applyNumberFormat="1" applyFont="1" applyFill="1" applyBorder="1" applyAlignment="1">
      <alignment horizontal="right" vertical="center"/>
    </xf>
    <xf numFmtId="166" fontId="5" fillId="0" borderId="3" xfId="3" applyNumberFormat="1" applyFont="1" applyFill="1" applyBorder="1" applyAlignment="1">
      <alignment horizontal="right" vertical="center"/>
    </xf>
    <xf numFmtId="2" fontId="5" fillId="0" borderId="3" xfId="3" applyNumberFormat="1" applyFont="1" applyFill="1" applyBorder="1" applyAlignment="1">
      <alignment horizontal="right" vertical="center"/>
    </xf>
    <xf numFmtId="0" fontId="5" fillId="0" borderId="3" xfId="3" applyFont="1" applyFill="1" applyBorder="1" applyAlignment="1">
      <alignment horizontal="right" vertical="center"/>
    </xf>
    <xf numFmtId="0" fontId="5" fillId="0" borderId="3" xfId="3" applyNumberFormat="1" applyFont="1" applyFill="1" applyBorder="1" applyAlignment="1">
      <alignment horizontal="right"/>
    </xf>
    <xf numFmtId="2" fontId="5" fillId="0" borderId="3" xfId="3" applyNumberFormat="1" applyFont="1" applyFill="1" applyBorder="1" applyAlignment="1">
      <alignment horizontal="right"/>
    </xf>
    <xf numFmtId="2" fontId="5" fillId="0" borderId="24" xfId="3" applyNumberFormat="1" applyFont="1" applyFill="1" applyBorder="1" applyAlignment="1">
      <alignment horizontal="right"/>
    </xf>
    <xf numFmtId="0" fontId="5" fillId="0" borderId="3" xfId="3" applyNumberFormat="1" applyFont="1" applyFill="1" applyBorder="1" applyAlignment="1">
      <alignment horizontal="right" vertical="center"/>
    </xf>
    <xf numFmtId="166" fontId="5" fillId="0" borderId="3" xfId="3" applyNumberFormat="1" applyFont="1" applyFill="1" applyBorder="1" applyAlignment="1">
      <alignment horizontal="right" vertical="center" wrapText="1"/>
    </xf>
    <xf numFmtId="2" fontId="5" fillId="4" borderId="3" xfId="3" applyNumberFormat="1" applyFont="1" applyFill="1" applyBorder="1" applyAlignment="1">
      <alignment horizontal="right" vertical="center" wrapText="1"/>
    </xf>
    <xf numFmtId="165" fontId="5" fillId="4" borderId="3" xfId="6" applyFont="1" applyFill="1" applyBorder="1" applyAlignment="1">
      <alignment horizontal="right" vertical="center"/>
    </xf>
    <xf numFmtId="165" fontId="5" fillId="4" borderId="3" xfId="6" quotePrefix="1" applyFont="1" applyFill="1" applyBorder="1" applyAlignment="1">
      <alignment horizontal="right" vertical="center"/>
    </xf>
    <xf numFmtId="165" fontId="5" fillId="4" borderId="24" xfId="6" quotePrefix="1" applyFont="1" applyFill="1" applyBorder="1" applyAlignment="1">
      <alignment horizontal="right" vertical="center"/>
    </xf>
    <xf numFmtId="2" fontId="5" fillId="4" borderId="3" xfId="3" applyNumberFormat="1" applyFont="1" applyFill="1" applyBorder="1" applyAlignment="1">
      <alignment horizontal="right" vertical="center"/>
    </xf>
    <xf numFmtId="166" fontId="5" fillId="4" borderId="3" xfId="3" applyNumberFormat="1" applyFont="1" applyFill="1" applyBorder="1" applyAlignment="1">
      <alignment horizontal="right" vertical="center"/>
    </xf>
    <xf numFmtId="2" fontId="5" fillId="0" borderId="3" xfId="3" quotePrefix="1" applyNumberFormat="1" applyFont="1" applyFill="1" applyBorder="1" applyAlignment="1">
      <alignment horizontal="right" vertical="center"/>
    </xf>
    <xf numFmtId="0" fontId="5" fillId="0" borderId="24" xfId="3" applyNumberFormat="1" applyFont="1" applyFill="1" applyBorder="1" applyAlignment="1">
      <alignment horizontal="right"/>
    </xf>
    <xf numFmtId="0" fontId="5" fillId="0" borderId="3" xfId="3" quotePrefix="1" applyNumberFormat="1" applyFont="1" applyFill="1" applyBorder="1" applyAlignment="1">
      <alignment horizontal="right" vertical="center"/>
    </xf>
    <xf numFmtId="1" fontId="5" fillId="0" borderId="3" xfId="3" applyNumberFormat="1" applyFont="1" applyFill="1" applyBorder="1" applyAlignment="1">
      <alignment horizontal="right" vertical="center"/>
    </xf>
    <xf numFmtId="176" fontId="5" fillId="0" borderId="3" xfId="3" applyNumberFormat="1" applyFont="1" applyFill="1" applyBorder="1" applyAlignment="1">
      <alignment horizontal="right" vertical="center"/>
    </xf>
    <xf numFmtId="166" fontId="5" fillId="2" borderId="24" xfId="3" applyNumberFormat="1" applyFont="1" applyFill="1" applyBorder="1" applyAlignment="1">
      <alignment horizontal="right" vertical="center"/>
    </xf>
    <xf numFmtId="0" fontId="5" fillId="0" borderId="24" xfId="3" applyFont="1" applyFill="1" applyBorder="1" applyAlignment="1">
      <alignment horizontal="right" vertical="center"/>
    </xf>
    <xf numFmtId="166" fontId="5" fillId="0" borderId="24" xfId="3" applyNumberFormat="1" applyFont="1" applyFill="1" applyBorder="1" applyAlignment="1">
      <alignment horizontal="right" vertical="center"/>
    </xf>
    <xf numFmtId="177" fontId="5" fillId="0" borderId="3" xfId="3" applyNumberFormat="1" applyFont="1" applyBorder="1" applyAlignment="1">
      <alignment horizontal="right" vertical="center"/>
    </xf>
    <xf numFmtId="177" fontId="5" fillId="0" borderId="3" xfId="3" applyNumberFormat="1" applyFont="1" applyFill="1" applyBorder="1" applyAlignment="1">
      <alignment horizontal="right" vertical="center"/>
    </xf>
    <xf numFmtId="2" fontId="5" fillId="0" borderId="3" xfId="3" applyNumberFormat="1" applyFont="1" applyFill="1" applyBorder="1" applyAlignment="1">
      <alignment horizontal="right" vertical="center" wrapText="1"/>
    </xf>
    <xf numFmtId="0" fontId="5" fillId="0" borderId="3" xfId="3" applyNumberFormat="1" applyFont="1" applyFill="1" applyBorder="1" applyAlignment="1">
      <alignment horizontal="right" vertical="center" wrapText="1"/>
    </xf>
    <xf numFmtId="166" fontId="5" fillId="0" borderId="3" xfId="3" applyNumberFormat="1" applyFont="1" applyFill="1" applyBorder="1" applyAlignment="1">
      <alignment horizontal="right"/>
    </xf>
    <xf numFmtId="166" fontId="5" fillId="0" borderId="24" xfId="3" applyNumberFormat="1" applyFont="1" applyFill="1" applyBorder="1" applyAlignment="1">
      <alignment horizontal="right"/>
    </xf>
    <xf numFmtId="2" fontId="5" fillId="0" borderId="3" xfId="17" applyNumberFormat="1" applyFont="1" applyFill="1" applyBorder="1" applyAlignment="1">
      <alignment horizontal="right" vertical="center"/>
    </xf>
    <xf numFmtId="166" fontId="5" fillId="2" borderId="3" xfId="3" applyNumberFormat="1" applyFont="1" applyFill="1" applyBorder="1" applyAlignment="1">
      <alignment horizontal="right" vertical="center" wrapText="1"/>
    </xf>
    <xf numFmtId="166" fontId="5" fillId="0" borderId="3" xfId="3" applyNumberFormat="1" applyFont="1" applyBorder="1" applyAlignment="1">
      <alignment horizontal="right" vertical="center"/>
    </xf>
    <xf numFmtId="2" fontId="5" fillId="0" borderId="3" xfId="3" applyNumberFormat="1" applyFont="1" applyFill="1" applyBorder="1" applyAlignment="1">
      <alignment horizontal="right" wrapText="1"/>
    </xf>
    <xf numFmtId="0" fontId="5" fillId="0" borderId="0" xfId="3" applyNumberFormat="1" applyFont="1" applyFill="1" applyAlignment="1">
      <alignment horizontal="right"/>
    </xf>
    <xf numFmtId="0" fontId="5" fillId="0" borderId="0" xfId="3" applyFont="1" applyFill="1" applyAlignment="1">
      <alignment horizontal="right"/>
    </xf>
    <xf numFmtId="0" fontId="5" fillId="0" borderId="0" xfId="3" applyFont="1" applyFill="1" applyAlignment="1">
      <alignment horizontal="left"/>
    </xf>
    <xf numFmtId="0" fontId="5" fillId="0" borderId="0" xfId="3" applyFont="1" applyFill="1" applyBorder="1" applyAlignment="1">
      <alignment horizontal="right" vertical="center"/>
    </xf>
    <xf numFmtId="0" fontId="13" fillId="4" borderId="24" xfId="6" applyNumberFormat="1" applyFont="1" applyFill="1" applyBorder="1" applyAlignment="1">
      <alignment horizontal="right" vertical="center"/>
    </xf>
    <xf numFmtId="175" fontId="13" fillId="0" borderId="24" xfId="17" applyNumberFormat="1" applyFont="1" applyFill="1" applyBorder="1" applyAlignment="1">
      <alignment horizontal="right" vertical="center"/>
    </xf>
    <xf numFmtId="0" fontId="13" fillId="0" borderId="24" xfId="17" applyNumberFormat="1" applyFont="1" applyFill="1" applyBorder="1" applyAlignment="1">
      <alignment horizontal="right" vertical="center"/>
    </xf>
    <xf numFmtId="2" fontId="5" fillId="0" borderId="0" xfId="3" applyNumberFormat="1" applyFont="1" applyFill="1" applyBorder="1" applyAlignment="1">
      <alignment horizontal="right" vertical="center"/>
    </xf>
    <xf numFmtId="0" fontId="5" fillId="0" borderId="0" xfId="3" applyFont="1" applyFill="1" applyAlignment="1">
      <alignment horizontal="right" vertical="center"/>
    </xf>
    <xf numFmtId="0" fontId="5" fillId="0" borderId="0" xfId="3" applyFont="1" applyFill="1" applyBorder="1" applyAlignment="1">
      <alignment horizontal="right"/>
    </xf>
    <xf numFmtId="2" fontId="5" fillId="0" borderId="0" xfId="3" applyNumberFormat="1" applyFont="1" applyFill="1" applyAlignment="1">
      <alignment horizontal="right" vertical="center"/>
    </xf>
    <xf numFmtId="0" fontId="5" fillId="0" borderId="0" xfId="3" applyFont="1" applyFill="1" applyAlignment="1">
      <alignment horizontal="right" vertical="top"/>
    </xf>
    <xf numFmtId="0" fontId="9" fillId="0" borderId="0" xfId="3" applyFont="1" applyFill="1" applyAlignment="1">
      <alignment horizontal="right" vertical="center"/>
    </xf>
    <xf numFmtId="2" fontId="5" fillId="0" borderId="24" xfId="3" applyNumberFormat="1" applyFont="1" applyFill="1" applyBorder="1" applyAlignment="1">
      <alignment horizontal="right" vertical="center"/>
    </xf>
    <xf numFmtId="174" fontId="13" fillId="4" borderId="24" xfId="4" applyNumberFormat="1" applyFont="1" applyFill="1" applyBorder="1" applyAlignment="1">
      <alignment horizontal="right" vertical="center"/>
    </xf>
    <xf numFmtId="165" fontId="5" fillId="4" borderId="24" xfId="6" applyFont="1" applyFill="1" applyBorder="1" applyAlignment="1">
      <alignment horizontal="right" vertical="center"/>
    </xf>
    <xf numFmtId="166" fontId="9" fillId="2" borderId="24" xfId="3" applyNumberFormat="1" applyFont="1" applyFill="1" applyBorder="1" applyAlignment="1">
      <alignment horizontal="right" vertical="center"/>
    </xf>
    <xf numFmtId="2" fontId="5" fillId="0" borderId="24" xfId="3" applyNumberFormat="1" applyFont="1" applyFill="1" applyBorder="1" applyAlignment="1">
      <alignment horizontal="right" vertical="center" wrapText="1"/>
    </xf>
    <xf numFmtId="166" fontId="5" fillId="0" borderId="0" xfId="3" applyNumberFormat="1" applyFont="1" applyFill="1" applyAlignment="1">
      <alignment horizontal="right" vertical="center"/>
    </xf>
    <xf numFmtId="0" fontId="5" fillId="0" borderId="0" xfId="3" applyNumberFormat="1" applyFont="1" applyFill="1" applyAlignment="1">
      <alignment horizontal="right" vertical="center"/>
    </xf>
    <xf numFmtId="2" fontId="9" fillId="0" borderId="0" xfId="3" applyNumberFormat="1" applyFont="1" applyFill="1" applyAlignment="1">
      <alignment horizontal="right" vertical="center"/>
    </xf>
    <xf numFmtId="0" fontId="28" fillId="2" borderId="0" xfId="3" applyFont="1" applyFill="1" applyAlignment="1">
      <alignment horizontal="right"/>
    </xf>
    <xf numFmtId="0" fontId="28" fillId="0" borderId="0" xfId="3" applyFont="1" applyFill="1" applyAlignment="1">
      <alignment horizontal="right"/>
    </xf>
    <xf numFmtId="2" fontId="9" fillId="0" borderId="0" xfId="3" applyNumberFormat="1" applyFont="1" applyFill="1" applyBorder="1" applyAlignment="1">
      <alignment horizontal="right" vertical="center"/>
    </xf>
    <xf numFmtId="0" fontId="9" fillId="0" borderId="0" xfId="3" applyFont="1" applyFill="1" applyBorder="1" applyAlignment="1">
      <alignment horizontal="center"/>
    </xf>
    <xf numFmtId="0" fontId="9" fillId="0" borderId="0" xfId="3" quotePrefix="1" applyFont="1" applyFill="1" applyBorder="1" applyAlignment="1">
      <alignment vertical="top"/>
    </xf>
    <xf numFmtId="0" fontId="9" fillId="0" borderId="0" xfId="3" quotePrefix="1" applyFont="1" applyFill="1" applyBorder="1" applyAlignment="1">
      <alignment horizontal="left" vertical="top"/>
    </xf>
    <xf numFmtId="43" fontId="5" fillId="0" borderId="5" xfId="8" applyFont="1" applyFill="1" applyBorder="1" applyAlignment="1">
      <alignment horizontal="right" vertical="center"/>
    </xf>
    <xf numFmtId="0" fontId="5" fillId="0" borderId="0" xfId="3" quotePrefix="1" applyFont="1" applyFill="1" applyBorder="1" applyAlignment="1">
      <alignment horizontal="left" vertical="center" wrapText="1"/>
    </xf>
    <xf numFmtId="166" fontId="5" fillId="0" borderId="5" xfId="3" applyNumberFormat="1" applyFont="1" applyFill="1" applyBorder="1" applyAlignment="1">
      <alignment horizontal="right" vertical="center"/>
    </xf>
    <xf numFmtId="0" fontId="5" fillId="0" borderId="0" xfId="3" quotePrefix="1" applyFont="1" applyFill="1" applyBorder="1" applyAlignment="1">
      <alignment horizontal="left" vertical="center"/>
    </xf>
    <xf numFmtId="0" fontId="5" fillId="0" borderId="0" xfId="3" applyFont="1" applyFill="1" applyBorder="1" applyAlignment="1">
      <alignment horizontal="left" vertical="center" wrapText="1"/>
    </xf>
    <xf numFmtId="0" fontId="5" fillId="0" borderId="0" xfId="3" applyFont="1" applyBorder="1" applyAlignment="1">
      <alignment vertical="center"/>
    </xf>
    <xf numFmtId="0" fontId="5" fillId="0" borderId="0" xfId="3" applyFont="1" applyFill="1" applyBorder="1" applyAlignment="1">
      <alignment wrapText="1"/>
    </xf>
    <xf numFmtId="49" fontId="14" fillId="3" borderId="0" xfId="3" applyNumberFormat="1" applyFont="1" applyFill="1" applyBorder="1" applyAlignment="1">
      <alignment horizontal="left" vertical="center"/>
    </xf>
    <xf numFmtId="0" fontId="5" fillId="0" borderId="0" xfId="2" applyFont="1" applyBorder="1" applyAlignment="1">
      <alignment vertical="center"/>
    </xf>
    <xf numFmtId="43" fontId="5" fillId="0" borderId="0" xfId="3" applyNumberFormat="1" applyFont="1" applyFill="1" applyBorder="1" applyAlignment="1">
      <alignment vertical="center"/>
    </xf>
    <xf numFmtId="0" fontId="9" fillId="0" borderId="5" xfId="3" applyFont="1" applyFill="1" applyBorder="1" applyAlignment="1">
      <alignment horizontal="center" vertical="center" wrapText="1"/>
    </xf>
    <xf numFmtId="168" fontId="5" fillId="0" borderId="0" xfId="3" applyNumberFormat="1" applyFont="1" applyFill="1" applyBorder="1" applyAlignment="1">
      <alignment vertical="center"/>
    </xf>
    <xf numFmtId="0" fontId="5" fillId="0" borderId="5" xfId="3" applyFont="1" applyBorder="1" applyAlignment="1">
      <alignment vertical="top"/>
    </xf>
    <xf numFmtId="0" fontId="5" fillId="0" borderId="5" xfId="3" applyFont="1" applyFill="1" applyBorder="1" applyAlignment="1">
      <alignment vertical="center"/>
    </xf>
    <xf numFmtId="0" fontId="5" fillId="0" borderId="7" xfId="3" applyFont="1" applyFill="1" applyBorder="1" applyAlignment="1">
      <alignment vertical="center"/>
    </xf>
    <xf numFmtId="1" fontId="5" fillId="2" borderId="0" xfId="3" applyNumberFormat="1" applyFont="1" applyFill="1" applyBorder="1" applyAlignment="1">
      <alignment horizontal="center"/>
    </xf>
    <xf numFmtId="1" fontId="5" fillId="0" borderId="0" xfId="3" applyNumberFormat="1" applyFont="1" applyFill="1" applyBorder="1" applyAlignment="1">
      <alignment horizontal="center"/>
    </xf>
    <xf numFmtId="0" fontId="9" fillId="0" borderId="2" xfId="2" applyFont="1" applyBorder="1" applyAlignment="1">
      <alignment vertical="center"/>
    </xf>
    <xf numFmtId="0" fontId="5" fillId="0" borderId="5" xfId="2" applyFont="1" applyBorder="1" applyAlignment="1">
      <alignment vertical="center"/>
    </xf>
    <xf numFmtId="49" fontId="12" fillId="3" borderId="5" xfId="3" applyNumberFormat="1" applyFont="1" applyFill="1" applyBorder="1" applyAlignment="1">
      <alignment vertical="center"/>
    </xf>
    <xf numFmtId="165" fontId="5" fillId="0" borderId="0" xfId="2" applyNumberFormat="1" applyFont="1" applyBorder="1" applyAlignment="1">
      <alignment vertical="center"/>
    </xf>
    <xf numFmtId="166" fontId="9" fillId="0" borderId="0" xfId="2" applyNumberFormat="1" applyFont="1" applyBorder="1" applyAlignment="1">
      <alignment vertical="center"/>
    </xf>
    <xf numFmtId="166" fontId="9" fillId="0" borderId="5" xfId="2" applyNumberFormat="1" applyFont="1" applyBorder="1" applyAlignment="1">
      <alignment vertical="center"/>
    </xf>
    <xf numFmtId="0" fontId="5" fillId="0" borderId="7" xfId="2" applyFont="1" applyBorder="1" applyAlignment="1">
      <alignment vertical="center"/>
    </xf>
    <xf numFmtId="165" fontId="9" fillId="0" borderId="0" xfId="6" applyFont="1" applyFill="1" applyBorder="1" applyAlignment="1">
      <alignment vertical="center"/>
    </xf>
    <xf numFmtId="49" fontId="12" fillId="3" borderId="0" xfId="3" applyNumberFormat="1" applyFont="1" applyFill="1" applyBorder="1" applyAlignment="1">
      <alignment horizontal="left" vertical="center"/>
    </xf>
    <xf numFmtId="0" fontId="5" fillId="0" borderId="0" xfId="3" applyFont="1" applyAlignment="1">
      <alignment vertical="center"/>
    </xf>
    <xf numFmtId="0" fontId="5" fillId="0" borderId="29" xfId="3" applyFont="1" applyBorder="1" applyAlignment="1">
      <alignment vertical="top"/>
    </xf>
    <xf numFmtId="49" fontId="12" fillId="3" borderId="30" xfId="3" applyNumberFormat="1" applyFont="1" applyFill="1" applyBorder="1" applyAlignment="1">
      <alignment vertical="top"/>
    </xf>
    <xf numFmtId="0" fontId="5" fillId="0" borderId="3" xfId="3" applyFont="1" applyFill="1" applyBorder="1" applyAlignment="1">
      <alignment vertical="top"/>
    </xf>
    <xf numFmtId="0" fontId="9" fillId="0" borderId="0" xfId="2" applyFont="1" applyFill="1" applyBorder="1" applyAlignment="1">
      <alignment vertical="top"/>
    </xf>
    <xf numFmtId="0" fontId="9" fillId="0" borderId="5" xfId="2" applyFont="1" applyFill="1" applyBorder="1" applyAlignment="1">
      <alignment vertical="top"/>
    </xf>
    <xf numFmtId="0" fontId="5" fillId="0" borderId="24" xfId="3" applyFont="1" applyFill="1" applyBorder="1" applyAlignment="1">
      <alignment vertical="top"/>
    </xf>
    <xf numFmtId="0" fontId="5" fillId="0" borderId="5" xfId="3" applyFont="1" applyFill="1" applyBorder="1" applyAlignment="1">
      <alignment vertical="top"/>
    </xf>
    <xf numFmtId="49" fontId="12" fillId="3" borderId="5" xfId="3" applyNumberFormat="1" applyFont="1" applyFill="1" applyBorder="1" applyAlignment="1">
      <alignment vertical="top"/>
    </xf>
    <xf numFmtId="0" fontId="5" fillId="0" borderId="7" xfId="3" applyFont="1" applyFill="1" applyBorder="1" applyAlignment="1">
      <alignment vertical="top"/>
    </xf>
    <xf numFmtId="0" fontId="9" fillId="0" borderId="6" xfId="3" applyFont="1" applyFill="1" applyBorder="1" applyAlignment="1">
      <alignment vertical="top"/>
    </xf>
    <xf numFmtId="49" fontId="13" fillId="0" borderId="0" xfId="3" applyNumberFormat="1" applyFont="1" applyFill="1" applyBorder="1" applyAlignment="1">
      <alignment horizontal="left" vertical="center"/>
    </xf>
    <xf numFmtId="0" fontId="13" fillId="4" borderId="3" xfId="3" applyNumberFormat="1" applyFont="1" applyFill="1" applyBorder="1" applyAlignment="1">
      <alignment horizontal="right" vertical="center"/>
    </xf>
    <xf numFmtId="0" fontId="17" fillId="4" borderId="3" xfId="3" applyNumberFormat="1" applyFont="1" applyFill="1" applyBorder="1" applyAlignment="1">
      <alignment horizontal="right" vertical="center" wrapText="1"/>
    </xf>
    <xf numFmtId="0" fontId="9" fillId="0" borderId="24" xfId="3" applyFont="1" applyBorder="1" applyAlignment="1">
      <alignment vertical="center" wrapText="1"/>
    </xf>
    <xf numFmtId="2" fontId="9" fillId="0" borderId="24" xfId="3" applyNumberFormat="1" applyFont="1" applyBorder="1" applyAlignment="1">
      <alignment horizontal="right" vertical="center" wrapText="1"/>
    </xf>
    <xf numFmtId="166" fontId="9" fillId="0" borderId="3" xfId="3" applyNumberFormat="1" applyFont="1" applyBorder="1" applyAlignment="1">
      <alignment horizontal="right" vertical="center" wrapText="1"/>
    </xf>
    <xf numFmtId="0" fontId="5" fillId="0" borderId="24" xfId="3" applyFont="1" applyBorder="1" applyAlignment="1">
      <alignment vertical="center" wrapText="1"/>
    </xf>
    <xf numFmtId="0" fontId="5" fillId="0" borderId="32" xfId="3" applyFont="1" applyBorder="1" applyAlignment="1">
      <alignment vertical="center" wrapText="1"/>
    </xf>
    <xf numFmtId="0" fontId="5" fillId="0" borderId="6" xfId="3" applyFont="1" applyBorder="1" applyAlignment="1">
      <alignment vertical="center" wrapText="1"/>
    </xf>
    <xf numFmtId="0" fontId="9" fillId="0" borderId="2" xfId="3" applyFont="1" applyBorder="1" applyAlignment="1">
      <alignment horizontal="left" vertical="center"/>
    </xf>
    <xf numFmtId="43" fontId="9" fillId="0" borderId="3" xfId="1" applyFont="1" applyBorder="1" applyAlignment="1">
      <alignment horizontal="right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/>
    </xf>
    <xf numFmtId="0" fontId="9" fillId="0" borderId="23" xfId="0" applyFont="1" applyFill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9" fillId="0" borderId="3" xfId="0" applyFont="1" applyFill="1" applyBorder="1" applyAlignment="1">
      <alignment vertical="center"/>
    </xf>
    <xf numFmtId="49" fontId="13" fillId="0" borderId="3" xfId="0" applyNumberFormat="1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9" fillId="0" borderId="3" xfId="0" applyFont="1" applyFill="1" applyBorder="1" applyAlignment="1">
      <alignment wrapText="1"/>
    </xf>
    <xf numFmtId="43" fontId="9" fillId="0" borderId="3" xfId="1" applyFont="1" applyBorder="1" applyAlignment="1">
      <alignment horizontal="right"/>
    </xf>
    <xf numFmtId="43" fontId="9" fillId="0" borderId="3" xfId="1" applyFont="1" applyFill="1" applyBorder="1" applyAlignment="1">
      <alignment wrapText="1"/>
    </xf>
    <xf numFmtId="43" fontId="9" fillId="0" borderId="3" xfId="1" applyFont="1" applyFill="1" applyBorder="1" applyAlignment="1">
      <alignment horizontal="right" wrapText="1"/>
    </xf>
    <xf numFmtId="43" fontId="9" fillId="0" borderId="3" xfId="1" quotePrefix="1" applyFont="1" applyBorder="1" applyAlignment="1">
      <alignment wrapText="1"/>
    </xf>
    <xf numFmtId="43" fontId="9" fillId="0" borderId="3" xfId="1" quotePrefix="1" applyFont="1" applyBorder="1" applyAlignment="1"/>
    <xf numFmtId="43" fontId="9" fillId="0" borderId="6" xfId="1" applyFont="1" applyBorder="1" applyAlignment="1">
      <alignment horizontal="right"/>
    </xf>
    <xf numFmtId="43" fontId="9" fillId="0" borderId="3" xfId="1" applyFont="1" applyFill="1" applyBorder="1" applyAlignment="1">
      <alignment horizontal="right"/>
    </xf>
    <xf numFmtId="43" fontId="13" fillId="0" borderId="3" xfId="1" applyFont="1" applyFill="1" applyBorder="1" applyAlignment="1">
      <alignment horizontal="right"/>
    </xf>
    <xf numFmtId="43" fontId="17" fillId="4" borderId="3" xfId="1" applyFont="1" applyFill="1" applyBorder="1" applyAlignment="1">
      <alignment horizontal="right"/>
    </xf>
    <xf numFmtId="43" fontId="16" fillId="0" borderId="3" xfId="1" applyFont="1" applyBorder="1" applyAlignment="1">
      <alignment horizontal="right"/>
    </xf>
    <xf numFmtId="43" fontId="15" fillId="0" borderId="3" xfId="1" applyFont="1" applyBorder="1" applyAlignment="1">
      <alignment horizontal="right"/>
    </xf>
    <xf numFmtId="49" fontId="9" fillId="0" borderId="0" xfId="2" quotePrefix="1" applyNumberFormat="1" applyFont="1" applyFill="1" applyBorder="1" applyAlignment="1">
      <alignment horizontal="center" vertical="center" wrapText="1"/>
    </xf>
    <xf numFmtId="0" fontId="5" fillId="0" borderId="3" xfId="2" applyFont="1" applyBorder="1" applyAlignment="1">
      <alignment vertical="top" wrapText="1"/>
    </xf>
    <xf numFmtId="0" fontId="9" fillId="0" borderId="3" xfId="2" applyFont="1" applyBorder="1" applyAlignment="1">
      <alignment horizontal="right" vertical="top" wrapText="1"/>
    </xf>
    <xf numFmtId="0" fontId="9" fillId="0" borderId="3" xfId="2" applyFont="1" applyBorder="1" applyAlignment="1">
      <alignment horizontal="right" vertical="center" wrapText="1"/>
    </xf>
    <xf numFmtId="0" fontId="5" fillId="0" borderId="3" xfId="2" applyFont="1" applyBorder="1" applyAlignment="1">
      <alignment horizontal="right" vertical="top" wrapText="1"/>
    </xf>
    <xf numFmtId="0" fontId="9" fillId="0" borderId="4" xfId="2" applyFont="1" applyBorder="1" applyAlignment="1">
      <alignment horizontal="right" vertical="top" wrapText="1"/>
    </xf>
    <xf numFmtId="0" fontId="16" fillId="0" borderId="4" xfId="2" applyFont="1" applyBorder="1" applyAlignment="1">
      <alignment horizontal="right" vertical="center" wrapText="1"/>
    </xf>
    <xf numFmtId="0" fontId="9" fillId="0" borderId="6" xfId="2" applyFont="1" applyBorder="1" applyAlignment="1">
      <alignment horizontal="right" vertical="top" wrapText="1"/>
    </xf>
    <xf numFmtId="0" fontId="5" fillId="0" borderId="3" xfId="2" applyFont="1" applyBorder="1" applyAlignment="1">
      <alignment vertical="center" wrapText="1"/>
    </xf>
    <xf numFmtId="0" fontId="5" fillId="0" borderId="3" xfId="2" applyFont="1" applyBorder="1" applyAlignment="1">
      <alignment horizontal="right" vertical="center" wrapText="1" readingOrder="1"/>
    </xf>
    <xf numFmtId="0" fontId="5" fillId="0" borderId="3" xfId="2" applyFont="1" applyBorder="1" applyAlignment="1">
      <alignment horizontal="right" vertical="top" wrapText="1" readingOrder="1"/>
    </xf>
    <xf numFmtId="0" fontId="5" fillId="0" borderId="3" xfId="2" applyFont="1" applyBorder="1" applyAlignment="1">
      <alignment horizontal="right" vertical="center" wrapText="1"/>
    </xf>
    <xf numFmtId="0" fontId="5" fillId="0" borderId="3" xfId="2" applyFont="1" applyFill="1" applyBorder="1" applyAlignment="1">
      <alignment vertical="top" wrapText="1"/>
    </xf>
    <xf numFmtId="0" fontId="9" fillId="0" borderId="1" xfId="2" quotePrefix="1" applyFont="1" applyFill="1" applyBorder="1" applyAlignment="1">
      <alignment horizontal="left" vertical="center"/>
    </xf>
    <xf numFmtId="0" fontId="9" fillId="0" borderId="1" xfId="2" quotePrefix="1" applyFont="1" applyFill="1" applyBorder="1" applyAlignment="1">
      <alignment horizontal="left" vertical="center" wrapText="1"/>
    </xf>
    <xf numFmtId="0" fontId="5" fillId="0" borderId="0" xfId="2" applyFont="1" applyBorder="1" applyAlignment="1">
      <alignment horizontal="center" vertical="center" wrapText="1"/>
    </xf>
    <xf numFmtId="0" fontId="30" fillId="0" borderId="0" xfId="2" applyFont="1" applyBorder="1" applyAlignment="1">
      <alignment horizontal="center" vertical="top" wrapText="1"/>
    </xf>
    <xf numFmtId="0" fontId="5" fillId="0" borderId="0" xfId="2" applyFont="1" applyBorder="1" applyAlignment="1">
      <alignment horizontal="center" vertical="top" wrapText="1"/>
    </xf>
    <xf numFmtId="0" fontId="9" fillId="0" borderId="0" xfId="2" applyFont="1" applyBorder="1" applyAlignment="1">
      <alignment horizontal="center" vertical="top" wrapText="1"/>
    </xf>
    <xf numFmtId="0" fontId="5" fillId="0" borderId="0" xfId="2" applyFont="1" applyBorder="1" applyAlignment="1">
      <alignment horizontal="right" vertical="top" wrapText="1"/>
    </xf>
    <xf numFmtId="0" fontId="9" fillId="0" borderId="24" xfId="2" applyFont="1" applyBorder="1" applyAlignment="1">
      <alignment horizontal="left" vertical="top" wrapText="1"/>
    </xf>
    <xf numFmtId="0" fontId="5" fillId="0" borderId="24" xfId="2" applyFont="1" applyBorder="1" applyAlignment="1">
      <alignment horizontal="left" vertical="top" wrapText="1"/>
    </xf>
    <xf numFmtId="0" fontId="9" fillId="0" borderId="24" xfId="2" applyFont="1" applyBorder="1" applyAlignment="1">
      <alignment horizontal="left" vertical="center" wrapText="1"/>
    </xf>
    <xf numFmtId="0" fontId="16" fillId="0" borderId="4" xfId="2" applyFont="1" applyBorder="1" applyAlignment="1">
      <alignment horizontal="left" vertical="center" readingOrder="1"/>
    </xf>
    <xf numFmtId="0" fontId="16" fillId="0" borderId="3" xfId="2" applyFont="1" applyBorder="1" applyAlignment="1">
      <alignment horizontal="left" vertical="center" readingOrder="1"/>
    </xf>
    <xf numFmtId="0" fontId="5" fillId="0" borderId="3" xfId="2" applyFont="1" applyBorder="1" applyAlignment="1">
      <alignment horizontal="left" vertical="center"/>
    </xf>
    <xf numFmtId="0" fontId="5" fillId="0" borderId="3" xfId="2" applyFont="1" applyBorder="1" applyAlignment="1">
      <alignment vertical="top"/>
    </xf>
    <xf numFmtId="0" fontId="5" fillId="0" borderId="0" xfId="2" applyFont="1" applyBorder="1" applyAlignment="1">
      <alignment horizontal="left" vertical="top"/>
    </xf>
    <xf numFmtId="0" fontId="5" fillId="0" borderId="0" xfId="20" applyFont="1" applyFill="1" applyAlignment="1">
      <alignment horizontal="left" vertical="top"/>
    </xf>
    <xf numFmtId="0" fontId="9" fillId="0" borderId="0" xfId="20" applyFont="1" applyFill="1" applyAlignment="1">
      <alignment horizontal="left" vertical="top"/>
    </xf>
    <xf numFmtId="165" fontId="5" fillId="0" borderId="0" xfId="21" applyFont="1" applyFill="1" applyAlignment="1">
      <alignment horizontal="left" vertical="top"/>
    </xf>
    <xf numFmtId="165" fontId="9" fillId="0" borderId="0" xfId="21" applyFont="1" applyFill="1" applyBorder="1" applyAlignment="1">
      <alignment horizontal="left" vertical="top"/>
    </xf>
    <xf numFmtId="0" fontId="19" fillId="0" borderId="0" xfId="20" applyFont="1" applyFill="1" applyAlignment="1">
      <alignment horizontal="left" vertical="top"/>
    </xf>
    <xf numFmtId="165" fontId="19" fillId="0" borderId="0" xfId="20" applyNumberFormat="1" applyFont="1" applyFill="1" applyAlignment="1">
      <alignment horizontal="left" vertical="top"/>
    </xf>
    <xf numFmtId="165" fontId="5" fillId="0" borderId="0" xfId="20" applyNumberFormat="1" applyFont="1" applyFill="1" applyAlignment="1">
      <alignment horizontal="left" vertical="top"/>
    </xf>
    <xf numFmtId="165" fontId="9" fillId="0" borderId="0" xfId="20" applyNumberFormat="1" applyFont="1" applyFill="1" applyAlignment="1">
      <alignment horizontal="left" vertical="top"/>
    </xf>
    <xf numFmtId="165" fontId="19" fillId="0" borderId="0" xfId="21" applyFont="1" applyFill="1" applyAlignment="1">
      <alignment horizontal="left" vertical="top"/>
    </xf>
    <xf numFmtId="165" fontId="9" fillId="0" borderId="0" xfId="21" applyFont="1" applyFill="1" applyAlignment="1">
      <alignment horizontal="left" vertical="top"/>
    </xf>
    <xf numFmtId="181" fontId="9" fillId="0" borderId="0" xfId="21" applyNumberFormat="1" applyFont="1" applyFill="1" applyAlignment="1">
      <alignment horizontal="left" vertical="top"/>
    </xf>
    <xf numFmtId="1" fontId="5" fillId="0" borderId="0" xfId="2" quotePrefix="1" applyNumberFormat="1" applyFont="1" applyFill="1" applyBorder="1" applyAlignment="1">
      <alignment horizontal="right" vertical="center" wrapText="1"/>
    </xf>
    <xf numFmtId="1" fontId="9" fillId="0" borderId="0" xfId="2" applyNumberFormat="1" applyFont="1" applyFill="1" applyBorder="1" applyAlignment="1">
      <alignment horizontal="right" vertical="center"/>
    </xf>
    <xf numFmtId="171" fontId="5" fillId="0" borderId="0" xfId="2" quotePrefix="1" applyNumberFormat="1" applyFont="1" applyFill="1" applyBorder="1" applyAlignment="1">
      <alignment horizontal="right" vertical="center" wrapText="1"/>
    </xf>
    <xf numFmtId="0" fontId="5" fillId="0" borderId="0" xfId="2" applyFont="1" applyFill="1" applyBorder="1" applyAlignment="1">
      <alignment horizontal="right" vertical="center"/>
    </xf>
    <xf numFmtId="1" fontId="5" fillId="0" borderId="0" xfId="2" applyNumberFormat="1" applyFont="1" applyFill="1" applyBorder="1" applyAlignment="1">
      <alignment horizontal="right" vertical="center"/>
    </xf>
    <xf numFmtId="171" fontId="5" fillId="0" borderId="0" xfId="2" applyNumberFormat="1" applyFont="1" applyFill="1" applyBorder="1" applyAlignment="1">
      <alignment horizontal="right" vertical="center"/>
    </xf>
    <xf numFmtId="1" fontId="9" fillId="0" borderId="0" xfId="2" quotePrefix="1" applyNumberFormat="1" applyFont="1" applyFill="1" applyBorder="1" applyAlignment="1">
      <alignment horizontal="right" vertical="center" wrapText="1"/>
    </xf>
    <xf numFmtId="171" fontId="9" fillId="0" borderId="0" xfId="2" quotePrefix="1" applyNumberFormat="1" applyFont="1" applyFill="1" applyBorder="1" applyAlignment="1">
      <alignment horizontal="right" vertical="center" wrapText="1"/>
    </xf>
    <xf numFmtId="1" fontId="9" fillId="0" borderId="0" xfId="2" applyNumberFormat="1" applyFont="1" applyFill="1" applyBorder="1" applyAlignment="1">
      <alignment horizontal="right" vertical="center" wrapText="1"/>
    </xf>
    <xf numFmtId="171" fontId="9" fillId="0" borderId="0" xfId="2" applyNumberFormat="1" applyFont="1" applyFill="1" applyBorder="1" applyAlignment="1">
      <alignment horizontal="right" vertical="center" wrapText="1"/>
    </xf>
    <xf numFmtId="1" fontId="18" fillId="0" borderId="0" xfId="2" applyNumberFormat="1" applyFont="1" applyFill="1" applyBorder="1" applyAlignment="1">
      <alignment horizontal="right" vertical="center" wrapText="1"/>
    </xf>
    <xf numFmtId="171" fontId="18" fillId="0" borderId="0" xfId="2" applyNumberFormat="1" applyFont="1" applyFill="1" applyBorder="1" applyAlignment="1">
      <alignment horizontal="right" vertical="center" wrapText="1"/>
    </xf>
    <xf numFmtId="1" fontId="5" fillId="0" borderId="0" xfId="56" applyNumberFormat="1" applyFont="1" applyFill="1" applyBorder="1" applyAlignment="1">
      <alignment horizontal="right" vertical="center" wrapText="1"/>
    </xf>
    <xf numFmtId="1" fontId="9" fillId="0" borderId="0" xfId="56" applyNumberFormat="1" applyFont="1" applyFill="1" applyBorder="1" applyAlignment="1">
      <alignment horizontal="right" vertical="center"/>
    </xf>
    <xf numFmtId="171" fontId="5" fillId="0" borderId="0" xfId="2" applyNumberFormat="1" applyFont="1" applyFill="1" applyBorder="1" applyAlignment="1">
      <alignment horizontal="right" vertical="center" wrapText="1"/>
    </xf>
    <xf numFmtId="1" fontId="5" fillId="0" borderId="0" xfId="56" quotePrefix="1" applyNumberFormat="1" applyFont="1" applyFill="1" applyBorder="1" applyAlignment="1">
      <alignment horizontal="right" vertical="center" wrapText="1"/>
    </xf>
    <xf numFmtId="1" fontId="9" fillId="0" borderId="0" xfId="56" applyNumberFormat="1" applyFont="1" applyFill="1" applyBorder="1" applyAlignment="1">
      <alignment horizontal="right" vertical="center" wrapText="1"/>
    </xf>
    <xf numFmtId="171" fontId="9" fillId="0" borderId="0" xfId="56" applyNumberFormat="1" applyFont="1" applyFill="1" applyBorder="1" applyAlignment="1">
      <alignment horizontal="right" vertical="center" wrapText="1"/>
    </xf>
    <xf numFmtId="171" fontId="9" fillId="0" borderId="0" xfId="56" applyNumberFormat="1" applyFont="1" applyFill="1" applyBorder="1" applyAlignment="1">
      <alignment horizontal="right" vertical="center"/>
    </xf>
    <xf numFmtId="1" fontId="18" fillId="0" borderId="0" xfId="56" applyNumberFormat="1" applyFont="1" applyFill="1" applyBorder="1" applyAlignment="1">
      <alignment horizontal="right" vertical="center" wrapText="1"/>
    </xf>
    <xf numFmtId="0" fontId="5" fillId="0" borderId="0" xfId="2" applyFont="1" applyFill="1" applyBorder="1" applyAlignment="1">
      <alignment horizontal="right" vertical="center" wrapText="1"/>
    </xf>
    <xf numFmtId="0" fontId="9" fillId="0" borderId="0" xfId="2" applyFont="1" applyFill="1" applyBorder="1" applyAlignment="1">
      <alignment horizontal="right" vertical="center" wrapText="1"/>
    </xf>
    <xf numFmtId="0" fontId="18" fillId="0" borderId="0" xfId="2" applyFont="1" applyFill="1" applyBorder="1" applyAlignment="1">
      <alignment horizontal="right" vertical="center" wrapText="1"/>
    </xf>
    <xf numFmtId="0" fontId="5" fillId="0" borderId="0" xfId="2" quotePrefix="1" applyFont="1" applyFill="1" applyBorder="1" applyAlignment="1">
      <alignment horizontal="right" vertical="center" wrapText="1"/>
    </xf>
    <xf numFmtId="165" fontId="5" fillId="0" borderId="4" xfId="6" applyFont="1" applyFill="1" applyBorder="1" applyAlignment="1">
      <alignment horizontal="left"/>
    </xf>
    <xf numFmtId="49" fontId="9" fillId="0" borderId="23" xfId="2" applyNumberFormat="1" applyFont="1" applyFill="1" applyBorder="1" applyAlignment="1">
      <alignment horizontal="center" vertical="center" wrapText="1"/>
    </xf>
    <xf numFmtId="171" fontId="5" fillId="2" borderId="0" xfId="2" applyNumberFormat="1" applyFont="1" applyFill="1" applyBorder="1" applyAlignment="1">
      <alignment vertical="center"/>
    </xf>
    <xf numFmtId="171" fontId="9" fillId="0" borderId="0" xfId="2" applyNumberFormat="1" applyFont="1" applyFill="1" applyBorder="1" applyAlignment="1">
      <alignment vertical="center" wrapText="1"/>
    </xf>
    <xf numFmtId="171" fontId="9" fillId="0" borderId="0" xfId="2" applyNumberFormat="1" applyFont="1" applyFill="1" applyBorder="1" applyAlignment="1">
      <alignment vertical="center"/>
    </xf>
    <xf numFmtId="171" fontId="5" fillId="0" borderId="0" xfId="2" applyNumberFormat="1" applyFont="1" applyFill="1" applyBorder="1" applyAlignment="1">
      <alignment vertical="center" wrapText="1"/>
    </xf>
    <xf numFmtId="171" fontId="15" fillId="0" borderId="0" xfId="56" applyNumberFormat="1" applyFont="1" applyFill="1" applyBorder="1" applyAlignment="1">
      <alignment vertical="center" wrapText="1"/>
    </xf>
    <xf numFmtId="171" fontId="16" fillId="0" borderId="0" xfId="56" applyNumberFormat="1" applyFont="1" applyFill="1" applyBorder="1" applyAlignment="1">
      <alignment vertical="center" wrapText="1"/>
    </xf>
    <xf numFmtId="171" fontId="15" fillId="0" borderId="0" xfId="56" applyNumberFormat="1" applyFont="1" applyFill="1" applyBorder="1" applyAlignment="1">
      <alignment vertical="center"/>
    </xf>
    <xf numFmtId="171" fontId="16" fillId="0" borderId="0" xfId="56" applyNumberFormat="1" applyFont="1" applyFill="1" applyBorder="1" applyAlignment="1">
      <alignment vertical="center"/>
    </xf>
    <xf numFmtId="0" fontId="9" fillId="0" borderId="23" xfId="2" applyFont="1" applyBorder="1" applyAlignment="1">
      <alignment horizontal="center" vertical="center" wrapText="1"/>
    </xf>
    <xf numFmtId="171" fontId="9" fillId="2" borderId="23" xfId="2" applyNumberFormat="1" applyFont="1" applyFill="1" applyBorder="1" applyAlignment="1">
      <alignment horizontal="center" vertical="center" wrapText="1"/>
    </xf>
    <xf numFmtId="0" fontId="9" fillId="2" borderId="23" xfId="2" applyFont="1" applyFill="1" applyBorder="1" applyAlignment="1">
      <alignment horizontal="center" vertical="center" wrapText="1"/>
    </xf>
    <xf numFmtId="0" fontId="5" fillId="0" borderId="0" xfId="2" applyFont="1"/>
    <xf numFmtId="0" fontId="5" fillId="2" borderId="0" xfId="2" applyFont="1" applyFill="1" applyBorder="1" applyAlignment="1">
      <alignment horizontal="left" vertical="center"/>
    </xf>
    <xf numFmtId="166" fontId="5" fillId="0" borderId="0" xfId="2" applyNumberFormat="1" applyFont="1" applyFill="1" applyBorder="1" applyAlignment="1">
      <alignment vertical="center"/>
    </xf>
    <xf numFmtId="166" fontId="5" fillId="2" borderId="0" xfId="2" applyNumberFormat="1" applyFont="1" applyFill="1" applyBorder="1" applyAlignment="1">
      <alignment vertical="center"/>
    </xf>
    <xf numFmtId="0" fontId="5" fillId="2" borderId="0" xfId="2" applyFont="1" applyFill="1" applyBorder="1" applyAlignment="1">
      <alignment horizontal="left" vertical="center" wrapText="1"/>
    </xf>
    <xf numFmtId="0" fontId="5" fillId="0" borderId="0" xfId="2" applyFont="1" applyFill="1" applyBorder="1" applyAlignment="1">
      <alignment horizontal="left" vertical="center" wrapText="1"/>
    </xf>
    <xf numFmtId="0" fontId="9" fillId="2" borderId="0" xfId="2" applyFont="1" applyFill="1" applyBorder="1" applyAlignment="1">
      <alignment wrapText="1"/>
    </xf>
    <xf numFmtId="0" fontId="9" fillId="0" borderId="0" xfId="2" applyFont="1" applyFill="1" applyBorder="1" applyAlignment="1">
      <alignment horizontal="center" vertical="center"/>
    </xf>
    <xf numFmtId="166" fontId="9" fillId="0" borderId="23" xfId="2" applyNumberFormat="1" applyFont="1" applyFill="1" applyBorder="1" applyAlignment="1">
      <alignment horizontal="center" vertical="center"/>
    </xf>
    <xf numFmtId="165" fontId="2" fillId="0" borderId="0" xfId="21" quotePrefix="1" applyFont="1" applyAlignment="1">
      <alignment horizontal="left" vertical="top"/>
    </xf>
    <xf numFmtId="0" fontId="19" fillId="0" borderId="0" xfId="56" quotePrefix="1" applyFont="1" applyBorder="1" applyAlignment="1">
      <alignment horizontal="left" vertical="center"/>
    </xf>
    <xf numFmtId="1" fontId="9" fillId="2" borderId="0" xfId="2" applyNumberFormat="1" applyFont="1" applyFill="1" applyBorder="1" applyAlignment="1">
      <alignment horizontal="left" vertical="center" wrapText="1"/>
    </xf>
    <xf numFmtId="0" fontId="5" fillId="0" borderId="0" xfId="2" applyFont="1" applyFill="1" applyBorder="1" applyAlignment="1">
      <alignment horizontal="center" vertical="center"/>
    </xf>
    <xf numFmtId="49" fontId="9" fillId="0" borderId="0" xfId="20" applyNumberFormat="1" applyFont="1" applyFill="1" applyBorder="1" applyAlignment="1">
      <alignment vertical="top" wrapText="1"/>
    </xf>
    <xf numFmtId="165" fontId="18" fillId="0" borderId="0" xfId="21" applyFont="1" applyFill="1" applyBorder="1" applyAlignment="1">
      <alignment horizontal="left" vertical="top"/>
    </xf>
    <xf numFmtId="171" fontId="5" fillId="2" borderId="0" xfId="2" applyNumberFormat="1" applyFont="1" applyFill="1" applyBorder="1" applyAlignment="1">
      <alignment horizontal="left" vertical="center" wrapText="1"/>
    </xf>
    <xf numFmtId="165" fontId="21" fillId="0" borderId="0" xfId="21" quotePrefix="1" applyFont="1" applyAlignment="1">
      <alignment vertical="top"/>
    </xf>
    <xf numFmtId="171" fontId="9" fillId="2" borderId="0" xfId="2" applyNumberFormat="1" applyFont="1" applyFill="1" applyBorder="1" applyAlignment="1">
      <alignment horizontal="left" vertical="center" wrapText="1"/>
    </xf>
    <xf numFmtId="165" fontId="19" fillId="0" borderId="0" xfId="21" applyFont="1" applyFill="1" applyAlignment="1">
      <alignment vertical="top" wrapText="1"/>
    </xf>
    <xf numFmtId="171" fontId="9" fillId="2" borderId="0" xfId="2" applyNumberFormat="1" applyFont="1" applyFill="1" applyBorder="1" applyAlignment="1">
      <alignment horizontal="center" vertical="center"/>
    </xf>
    <xf numFmtId="171" fontId="5" fillId="0" borderId="0" xfId="2" applyNumberFormat="1" applyFont="1" applyFill="1" applyBorder="1" applyAlignment="1">
      <alignment vertical="center"/>
    </xf>
    <xf numFmtId="1" fontId="9" fillId="2" borderId="0" xfId="2" applyNumberFormat="1" applyFont="1" applyFill="1" applyBorder="1" applyAlignment="1">
      <alignment horizontal="right" vertical="center" wrapText="1"/>
    </xf>
    <xf numFmtId="171" fontId="9" fillId="2" borderId="0" xfId="2" applyNumberFormat="1" applyFont="1" applyFill="1" applyBorder="1" applyAlignment="1">
      <alignment horizontal="right" vertical="center" wrapText="1"/>
    </xf>
    <xf numFmtId="171" fontId="5" fillId="2" borderId="0" xfId="2" applyNumberFormat="1" applyFont="1" applyFill="1" applyBorder="1" applyAlignment="1">
      <alignment horizontal="right" vertical="center" wrapText="1"/>
    </xf>
    <xf numFmtId="0" fontId="5" fillId="0" borderId="0" xfId="2" applyFont="1" applyFill="1" applyBorder="1" applyAlignment="1">
      <alignment vertical="center" wrapText="1"/>
    </xf>
    <xf numFmtId="0" fontId="5" fillId="0" borderId="4" xfId="2" applyFont="1" applyFill="1" applyBorder="1" applyAlignment="1">
      <alignment vertical="center"/>
    </xf>
    <xf numFmtId="0" fontId="5" fillId="0" borderId="0" xfId="2" applyFont="1" applyFill="1" applyBorder="1" applyAlignment="1">
      <alignment horizontal="left" vertical="center"/>
    </xf>
    <xf numFmtId="1" fontId="5" fillId="0" borderId="0" xfId="2" applyNumberFormat="1" applyFont="1" applyFill="1" applyBorder="1" applyAlignment="1">
      <alignment vertical="center"/>
    </xf>
    <xf numFmtId="1" fontId="5" fillId="0" borderId="4" xfId="2" applyNumberFormat="1" applyFont="1" applyFill="1" applyBorder="1" applyAlignment="1">
      <alignment vertical="center"/>
    </xf>
    <xf numFmtId="1" fontId="9" fillId="0" borderId="0" xfId="2" applyNumberFormat="1" applyFont="1" applyFill="1" applyBorder="1" applyAlignment="1">
      <alignment horizontal="center" vertical="center" wrapText="1"/>
    </xf>
    <xf numFmtId="1" fontId="9" fillId="0" borderId="0" xfId="2" applyNumberFormat="1" applyFont="1" applyFill="1" applyBorder="1" applyAlignment="1">
      <alignment horizontal="center" vertical="center"/>
    </xf>
    <xf numFmtId="171" fontId="5" fillId="0" borderId="0" xfId="2" quotePrefix="1" applyNumberFormat="1" applyFont="1" applyFill="1" applyBorder="1" applyAlignment="1">
      <alignment vertical="center" wrapText="1"/>
    </xf>
    <xf numFmtId="171" fontId="9" fillId="0" borderId="0" xfId="2" quotePrefix="1" applyNumberFormat="1" applyFont="1" applyFill="1" applyBorder="1" applyAlignment="1">
      <alignment vertical="center" wrapText="1"/>
    </xf>
    <xf numFmtId="171" fontId="18" fillId="0" borderId="0" xfId="2" applyNumberFormat="1" applyFont="1" applyFill="1" applyBorder="1" applyAlignment="1">
      <alignment vertical="center" wrapText="1"/>
    </xf>
    <xf numFmtId="171" fontId="5" fillId="2" borderId="0" xfId="2" applyNumberFormat="1" applyFont="1" applyFill="1" applyBorder="1" applyAlignment="1">
      <alignment vertical="center" wrapText="1"/>
    </xf>
    <xf numFmtId="49" fontId="9" fillId="0" borderId="0" xfId="20" applyNumberFormat="1" applyFont="1" applyFill="1" applyBorder="1" applyAlignment="1">
      <alignment horizontal="left" vertical="top" wrapText="1"/>
    </xf>
    <xf numFmtId="49" fontId="5" fillId="0" borderId="0" xfId="20" applyNumberFormat="1" applyFont="1" applyFill="1" applyBorder="1" applyAlignment="1">
      <alignment horizontal="left" vertical="top" wrapText="1"/>
    </xf>
    <xf numFmtId="0" fontId="5" fillId="0" borderId="0" xfId="20" applyFont="1" applyFill="1" applyBorder="1" applyAlignment="1">
      <alignment horizontal="left" vertical="top" wrapText="1"/>
    </xf>
    <xf numFmtId="49" fontId="5" fillId="0" borderId="1" xfId="20" applyNumberFormat="1" applyFont="1" applyFill="1" applyBorder="1" applyAlignment="1">
      <alignment horizontal="left" vertical="top" wrapText="1"/>
    </xf>
    <xf numFmtId="165" fontId="5" fillId="0" borderId="5" xfId="6" applyFont="1" applyFill="1" applyBorder="1" applyAlignment="1">
      <alignment horizontal="left" vertical="center"/>
    </xf>
    <xf numFmtId="165" fontId="5" fillId="2" borderId="5" xfId="6" applyFont="1" applyFill="1" applyBorder="1" applyAlignment="1">
      <alignment horizontal="left" vertical="center"/>
    </xf>
    <xf numFmtId="165" fontId="9" fillId="0" borderId="5" xfId="6" applyFont="1" applyFill="1" applyBorder="1" applyAlignment="1">
      <alignment horizontal="left" vertical="center"/>
    </xf>
    <xf numFmtId="165" fontId="9" fillId="0" borderId="7" xfId="6" applyFont="1" applyFill="1" applyBorder="1" applyAlignment="1">
      <alignment horizontal="left" vertical="center"/>
    </xf>
    <xf numFmtId="0" fontId="9" fillId="0" borderId="0" xfId="20" applyFont="1" applyFill="1" applyAlignment="1">
      <alignment horizontal="center" vertical="center" wrapText="1"/>
    </xf>
    <xf numFmtId="49" fontId="9" fillId="0" borderId="23" xfId="20" applyNumberFormat="1" applyFont="1" applyFill="1" applyBorder="1" applyAlignment="1">
      <alignment horizontal="center" vertical="center" wrapText="1"/>
    </xf>
    <xf numFmtId="49" fontId="9" fillId="0" borderId="23" xfId="20" quotePrefix="1" applyNumberFormat="1" applyFont="1" applyFill="1" applyBorder="1" applyAlignment="1">
      <alignment horizontal="center" vertical="center" wrapText="1"/>
    </xf>
    <xf numFmtId="49" fontId="9" fillId="0" borderId="34" xfId="2" applyNumberFormat="1" applyFont="1" applyFill="1" applyBorder="1" applyAlignment="1">
      <alignment horizontal="center" vertical="center" wrapText="1"/>
    </xf>
    <xf numFmtId="0" fontId="9" fillId="0" borderId="23" xfId="2" applyFont="1" applyFill="1" applyBorder="1" applyAlignment="1">
      <alignment horizontal="center" vertical="center" wrapText="1"/>
    </xf>
    <xf numFmtId="2" fontId="5" fillId="0" borderId="0" xfId="2" applyNumberFormat="1" applyFont="1" applyFill="1" applyBorder="1" applyAlignment="1">
      <alignment vertical="center"/>
    </xf>
    <xf numFmtId="0" fontId="5" fillId="2" borderId="0" xfId="2" applyFont="1" applyFill="1" applyBorder="1" applyAlignment="1">
      <alignment vertical="center"/>
    </xf>
    <xf numFmtId="2" fontId="5" fillId="0" borderId="0" xfId="2" applyNumberFormat="1" applyFont="1" applyFill="1" applyBorder="1" applyAlignment="1">
      <alignment horizontal="left" vertical="center" wrapText="1"/>
    </xf>
    <xf numFmtId="0" fontId="9" fillId="0" borderId="0" xfId="2" applyFont="1" applyFill="1" applyBorder="1" applyAlignment="1">
      <alignment vertical="center" wrapText="1"/>
    </xf>
    <xf numFmtId="0" fontId="5" fillId="0" borderId="11" xfId="2" applyFont="1" applyFill="1" applyBorder="1" applyAlignment="1">
      <alignment vertical="center"/>
    </xf>
    <xf numFmtId="0" fontId="5" fillId="0" borderId="11" xfId="2" applyFont="1" applyFill="1" applyBorder="1" applyAlignment="1">
      <alignment horizontal="center" vertical="center"/>
    </xf>
    <xf numFmtId="0" fontId="5" fillId="0" borderId="36" xfId="2" applyFont="1" applyFill="1" applyBorder="1" applyAlignment="1">
      <alignment vertical="center"/>
    </xf>
    <xf numFmtId="0" fontId="5" fillId="0" borderId="0" xfId="2" applyFont="1" applyFill="1" applyBorder="1" applyAlignment="1">
      <alignment horizontal="right"/>
    </xf>
    <xf numFmtId="173" fontId="9" fillId="0" borderId="0" xfId="2" applyNumberFormat="1" applyFont="1" applyFill="1" applyBorder="1" applyAlignment="1">
      <alignment horizontal="right" wrapText="1"/>
    </xf>
    <xf numFmtId="173" fontId="5" fillId="0" borderId="0" xfId="2" applyNumberFormat="1" applyFont="1" applyFill="1" applyBorder="1" applyAlignment="1">
      <alignment horizontal="right" wrapText="1"/>
    </xf>
    <xf numFmtId="173" fontId="5" fillId="0" borderId="0" xfId="2" applyNumberFormat="1" applyFont="1" applyFill="1" applyBorder="1" applyAlignment="1">
      <alignment horizontal="right"/>
    </xf>
    <xf numFmtId="0" fontId="5" fillId="0" borderId="0" xfId="2" applyFont="1" applyFill="1" applyBorder="1" applyAlignment="1">
      <alignment horizontal="right" wrapText="1"/>
    </xf>
    <xf numFmtId="0" fontId="9" fillId="0" borderId="5" xfId="2" applyFont="1" applyFill="1" applyBorder="1" applyAlignment="1">
      <alignment horizontal="right" wrapText="1"/>
    </xf>
    <xf numFmtId="0" fontId="9" fillId="0" borderId="12" xfId="2" applyFont="1" applyFill="1" applyBorder="1" applyAlignment="1">
      <alignment horizontal="right" wrapText="1"/>
    </xf>
    <xf numFmtId="0" fontId="9" fillId="0" borderId="13" xfId="2" applyFont="1" applyFill="1" applyBorder="1" applyAlignment="1">
      <alignment horizontal="right" wrapText="1"/>
    </xf>
    <xf numFmtId="2" fontId="5" fillId="0" borderId="24" xfId="2" applyNumberFormat="1" applyFont="1" applyFill="1" applyBorder="1" applyAlignment="1">
      <alignment horizontal="right"/>
    </xf>
    <xf numFmtId="166" fontId="5" fillId="0" borderId="14" xfId="2" applyNumberFormat="1" applyFont="1" applyFill="1" applyBorder="1" applyAlignment="1">
      <alignment horizontal="right" wrapText="1"/>
    </xf>
    <xf numFmtId="166" fontId="5" fillId="0" borderId="15" xfId="2" applyNumberFormat="1" applyFont="1" applyFill="1" applyBorder="1" applyAlignment="1">
      <alignment horizontal="right" wrapText="1"/>
    </xf>
    <xf numFmtId="0" fontId="5" fillId="0" borderId="5" xfId="2" applyFont="1" applyFill="1" applyBorder="1" applyAlignment="1">
      <alignment horizontal="right"/>
    </xf>
    <xf numFmtId="0" fontId="9" fillId="0" borderId="0" xfId="2" applyFont="1" applyFill="1" applyBorder="1" applyAlignment="1">
      <alignment horizontal="right"/>
    </xf>
    <xf numFmtId="166" fontId="5" fillId="0" borderId="0" xfId="2" applyNumberFormat="1" applyFont="1" applyFill="1" applyBorder="1" applyAlignment="1">
      <alignment horizontal="right" wrapText="1"/>
    </xf>
    <xf numFmtId="2" fontId="5" fillId="0" borderId="5" xfId="2" applyNumberFormat="1" applyFont="1" applyFill="1" applyBorder="1" applyAlignment="1">
      <alignment horizontal="right"/>
    </xf>
    <xf numFmtId="2" fontId="5" fillId="0" borderId="0" xfId="2" applyNumberFormat="1" applyFont="1" applyFill="1" applyBorder="1" applyAlignment="1">
      <alignment horizontal="right"/>
    </xf>
    <xf numFmtId="166" fontId="5" fillId="0" borderId="14" xfId="2" applyNumberFormat="1" applyFont="1" applyFill="1" applyBorder="1" applyAlignment="1">
      <alignment horizontal="right"/>
    </xf>
    <xf numFmtId="2" fontId="9" fillId="0" borderId="24" xfId="2" applyNumberFormat="1" applyFont="1" applyFill="1" applyBorder="1" applyAlignment="1">
      <alignment horizontal="right"/>
    </xf>
    <xf numFmtId="166" fontId="9" fillId="0" borderId="14" xfId="2" applyNumberFormat="1" applyFont="1" applyFill="1" applyBorder="1" applyAlignment="1">
      <alignment horizontal="right" wrapText="1"/>
    </xf>
    <xf numFmtId="166" fontId="9" fillId="0" borderId="15" xfId="2" applyNumberFormat="1" applyFont="1" applyFill="1" applyBorder="1" applyAlignment="1">
      <alignment horizontal="right" wrapText="1"/>
    </xf>
    <xf numFmtId="166" fontId="9" fillId="0" borderId="24" xfId="2" applyNumberFormat="1" applyFont="1" applyFill="1" applyBorder="1" applyAlignment="1">
      <alignment horizontal="right"/>
    </xf>
    <xf numFmtId="166" fontId="9" fillId="0" borderId="6" xfId="2" applyNumberFormat="1" applyFont="1" applyFill="1" applyBorder="1" applyAlignment="1">
      <alignment horizontal="right"/>
    </xf>
    <xf numFmtId="2" fontId="9" fillId="0" borderId="6" xfId="2" applyNumberFormat="1" applyFont="1" applyFill="1" applyBorder="1" applyAlignment="1">
      <alignment horizontal="right"/>
    </xf>
    <xf numFmtId="166" fontId="9" fillId="0" borderId="22" xfId="2" applyNumberFormat="1" applyFont="1" applyFill="1" applyBorder="1" applyAlignment="1">
      <alignment horizontal="right" wrapText="1"/>
    </xf>
    <xf numFmtId="166" fontId="9" fillId="0" borderId="20" xfId="2" applyNumberFormat="1" applyFont="1" applyFill="1" applyBorder="1" applyAlignment="1">
      <alignment horizontal="right" wrapText="1"/>
    </xf>
    <xf numFmtId="166" fontId="9" fillId="0" borderId="6" xfId="2" applyNumberFormat="1" applyFont="1" applyFill="1" applyBorder="1" applyAlignment="1">
      <alignment horizontal="right" wrapText="1"/>
    </xf>
    <xf numFmtId="0" fontId="5" fillId="0" borderId="1" xfId="2" applyFont="1" applyBorder="1" applyAlignment="1">
      <alignment horizontal="right" vertical="center"/>
    </xf>
    <xf numFmtId="0" fontId="5" fillId="0" borderId="0" xfId="23" applyFont="1" applyFill="1"/>
    <xf numFmtId="0" fontId="16" fillId="0" borderId="0" xfId="0" applyFont="1" applyFill="1"/>
    <xf numFmtId="0" fontId="5" fillId="0" borderId="1" xfId="2" applyFont="1" applyBorder="1" applyAlignment="1">
      <alignment vertical="center"/>
    </xf>
    <xf numFmtId="0" fontId="5" fillId="0" borderId="0" xfId="0" applyFont="1" applyBorder="1" applyAlignment="1">
      <alignment vertical="center" wrapText="1"/>
    </xf>
    <xf numFmtId="2" fontId="5" fillId="0" borderId="24" xfId="0" applyNumberFormat="1" applyFont="1" applyFill="1" applyBorder="1" applyAlignment="1">
      <alignment vertical="center"/>
    </xf>
    <xf numFmtId="0" fontId="5" fillId="0" borderId="0" xfId="2" applyFont="1" applyFill="1" applyBorder="1"/>
    <xf numFmtId="0" fontId="16" fillId="2" borderId="0" xfId="0" applyFont="1" applyFill="1"/>
    <xf numFmtId="0" fontId="16" fillId="0" borderId="5" xfId="0" applyFont="1" applyBorder="1"/>
    <xf numFmtId="3" fontId="9" fillId="0" borderId="5" xfId="58" applyNumberFormat="1" applyFont="1" applyFill="1" applyBorder="1" applyAlignment="1">
      <alignment horizontal="center" vertical="center"/>
    </xf>
    <xf numFmtId="0" fontId="20" fillId="0" borderId="0" xfId="0" applyFont="1" applyFill="1"/>
    <xf numFmtId="0" fontId="20" fillId="0" borderId="0" xfId="0" applyFont="1" applyFill="1" applyAlignment="1">
      <alignment wrapText="1"/>
    </xf>
    <xf numFmtId="0" fontId="2" fillId="0" borderId="0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9" fillId="0" borderId="31" xfId="3" applyFont="1" applyBorder="1" applyAlignment="1">
      <alignment horizontal="center" vertical="center"/>
    </xf>
    <xf numFmtId="0" fontId="9" fillId="0" borderId="0" xfId="3" applyFont="1" applyBorder="1" applyAlignment="1">
      <alignment vertical="top"/>
    </xf>
    <xf numFmtId="0" fontId="5" fillId="0" borderId="0" xfId="3" applyFont="1" applyBorder="1"/>
    <xf numFmtId="0" fontId="5" fillId="0" borderId="1" xfId="3" applyFont="1" applyBorder="1" applyAlignment="1"/>
    <xf numFmtId="0" fontId="9" fillId="0" borderId="0" xfId="3" applyFont="1" applyBorder="1"/>
    <xf numFmtId="0" fontId="5" fillId="0" borderId="3" xfId="3" applyFont="1" applyBorder="1" applyAlignment="1">
      <alignment horizontal="right"/>
    </xf>
    <xf numFmtId="166" fontId="5" fillId="0" borderId="3" xfId="3" applyNumberFormat="1" applyFont="1" applyBorder="1" applyAlignment="1">
      <alignment horizontal="right"/>
    </xf>
    <xf numFmtId="2" fontId="5" fillId="0" borderId="0" xfId="3" applyNumberFormat="1" applyFont="1" applyBorder="1"/>
    <xf numFmtId="0" fontId="5" fillId="0" borderId="3" xfId="3" applyFont="1" applyBorder="1"/>
    <xf numFmtId="0" fontId="5" fillId="0" borderId="6" xfId="3" applyFont="1" applyBorder="1"/>
    <xf numFmtId="167" fontId="5" fillId="0" borderId="6" xfId="3" applyNumberFormat="1" applyFont="1" applyBorder="1" applyAlignment="1">
      <alignment horizontal="right"/>
    </xf>
    <xf numFmtId="0" fontId="5" fillId="0" borderId="0" xfId="3" applyFont="1" applyBorder="1" applyAlignment="1"/>
    <xf numFmtId="10" fontId="5" fillId="0" borderId="0" xfId="24" applyNumberFormat="1" applyFont="1" applyBorder="1"/>
    <xf numFmtId="0" fontId="5" fillId="0" borderId="0" xfId="3" applyFont="1" applyBorder="1" applyAlignment="1">
      <alignment horizontal="center"/>
    </xf>
    <xf numFmtId="0" fontId="5" fillId="0" borderId="0" xfId="3" applyFont="1"/>
    <xf numFmtId="43" fontId="5" fillId="0" borderId="32" xfId="1" applyFont="1" applyBorder="1" applyAlignment="1">
      <alignment horizontal="right" vertical="center" wrapText="1"/>
    </xf>
    <xf numFmtId="166" fontId="5" fillId="0" borderId="24" xfId="3" applyNumberFormat="1" applyFont="1" applyBorder="1" applyAlignment="1">
      <alignment horizontal="right" vertical="center" wrapText="1"/>
    </xf>
    <xf numFmtId="2" fontId="5" fillId="0" borderId="6" xfId="9" applyNumberFormat="1" applyFont="1" applyBorder="1" applyAlignment="1">
      <alignment horizontal="right" vertical="center" wrapText="1"/>
    </xf>
    <xf numFmtId="2" fontId="5" fillId="0" borderId="6" xfId="3" applyNumberFormat="1" applyFont="1" applyBorder="1" applyAlignment="1">
      <alignment horizontal="right" vertical="center" wrapText="1"/>
    </xf>
    <xf numFmtId="166" fontId="5" fillId="0" borderId="6" xfId="3" applyNumberFormat="1" applyFont="1" applyBorder="1" applyAlignment="1">
      <alignment horizontal="right" vertical="center" wrapText="1"/>
    </xf>
    <xf numFmtId="166" fontId="5" fillId="0" borderId="3" xfId="3" applyNumberFormat="1" applyFont="1" applyBorder="1" applyAlignment="1">
      <alignment horizontal="right" vertical="center" wrapText="1"/>
    </xf>
    <xf numFmtId="2" fontId="5" fillId="0" borderId="3" xfId="3" applyNumberFormat="1" applyFont="1" applyBorder="1" applyAlignment="1">
      <alignment horizontal="right" vertical="center" wrapText="1"/>
    </xf>
    <xf numFmtId="0" fontId="9" fillId="0" borderId="0" xfId="3" applyFont="1" applyAlignment="1">
      <alignment horizontal="left" vertical="center" wrapText="1"/>
    </xf>
    <xf numFmtId="0" fontId="9" fillId="0" borderId="0" xfId="3" applyFont="1" applyAlignment="1">
      <alignment horizontal="left" wrapText="1"/>
    </xf>
    <xf numFmtId="0" fontId="19" fillId="0" borderId="0" xfId="0" applyFont="1" applyBorder="1" applyAlignment="1">
      <alignment vertical="center" wrapText="1"/>
    </xf>
    <xf numFmtId="43" fontId="5" fillId="0" borderId="3" xfId="1" applyFont="1" applyBorder="1" applyAlignment="1">
      <alignment horizontal="right"/>
    </xf>
    <xf numFmtId="43" fontId="5" fillId="0" borderId="3" xfId="1" applyFont="1" applyFill="1" applyBorder="1" applyAlignment="1">
      <alignment horizontal="right"/>
    </xf>
    <xf numFmtId="0" fontId="5" fillId="0" borderId="3" xfId="0" applyFont="1" applyBorder="1" applyAlignment="1">
      <alignment horizontal="left" vertical="center" wrapText="1"/>
    </xf>
    <xf numFmtId="0" fontId="5" fillId="0" borderId="3" xfId="0" quotePrefix="1" applyFont="1" applyFill="1" applyBorder="1" applyAlignment="1">
      <alignment horizontal="left" vertical="center" wrapText="1"/>
    </xf>
    <xf numFmtId="43" fontId="5" fillId="2" borderId="3" xfId="1" applyFont="1" applyFill="1" applyBorder="1" applyAlignment="1">
      <alignment horizontal="right"/>
    </xf>
    <xf numFmtId="0" fontId="5" fillId="0" borderId="3" xfId="0" quotePrefix="1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left" vertical="center" wrapText="1"/>
    </xf>
    <xf numFmtId="0" fontId="9" fillId="0" borderId="0" xfId="0" applyFont="1" applyBorder="1" applyAlignment="1">
      <alignment vertical="top" wrapText="1"/>
    </xf>
    <xf numFmtId="0" fontId="19" fillId="0" borderId="0" xfId="0" applyFont="1" applyBorder="1" applyAlignment="1">
      <alignment vertical="top" wrapText="1"/>
    </xf>
    <xf numFmtId="0" fontId="2" fillId="0" borderId="0" xfId="0" applyNumberFormat="1" applyFont="1" applyAlignment="1">
      <alignment vertical="center"/>
    </xf>
    <xf numFmtId="0" fontId="9" fillId="0" borderId="23" xfId="0" applyFont="1" applyBorder="1" applyAlignment="1">
      <alignment vertical="center"/>
    </xf>
    <xf numFmtId="0" fontId="16" fillId="2" borderId="5" xfId="0" applyFont="1" applyFill="1" applyBorder="1"/>
    <xf numFmtId="0" fontId="16" fillId="0" borderId="7" xfId="0" applyFont="1" applyBorder="1"/>
    <xf numFmtId="0" fontId="16" fillId="0" borderId="0" xfId="0" applyFont="1" applyBorder="1"/>
    <xf numFmtId="43" fontId="16" fillId="0" borderId="0" xfId="1" applyFont="1" applyAlignment="1">
      <alignment vertical="center"/>
    </xf>
    <xf numFmtId="0" fontId="9" fillId="0" borderId="1" xfId="2" quotePrefix="1" applyFont="1" applyFill="1" applyBorder="1" applyAlignment="1">
      <alignment vertical="top"/>
    </xf>
    <xf numFmtId="0" fontId="5" fillId="0" borderId="0" xfId="2" applyFont="1" applyFill="1" applyAlignment="1">
      <alignment vertical="center"/>
    </xf>
    <xf numFmtId="49" fontId="12" fillId="3" borderId="2" xfId="3" applyNumberFormat="1" applyFont="1" applyFill="1" applyBorder="1" applyAlignment="1">
      <alignment vertical="center"/>
    </xf>
    <xf numFmtId="2" fontId="5" fillId="0" borderId="2" xfId="2" applyNumberFormat="1" applyFont="1" applyFill="1" applyBorder="1" applyAlignment="1">
      <alignment horizontal="right" vertical="center"/>
    </xf>
    <xf numFmtId="0" fontId="5" fillId="0" borderId="2" xfId="2" applyFont="1" applyFill="1" applyBorder="1" applyAlignment="1">
      <alignment horizontal="right" vertical="center"/>
    </xf>
    <xf numFmtId="2" fontId="5" fillId="0" borderId="2" xfId="2" applyNumberFormat="1" applyFont="1" applyFill="1" applyBorder="1" applyAlignment="1">
      <alignment vertical="center"/>
    </xf>
    <xf numFmtId="0" fontId="5" fillId="0" borderId="2" xfId="2" applyFont="1" applyFill="1" applyBorder="1" applyAlignment="1">
      <alignment vertical="center"/>
    </xf>
    <xf numFmtId="2" fontId="5" fillId="0" borderId="2" xfId="2" applyNumberFormat="1" applyFont="1" applyFill="1" applyBorder="1" applyAlignment="1">
      <alignment horizontal="right" vertical="center" wrapText="1"/>
    </xf>
    <xf numFmtId="0" fontId="5" fillId="0" borderId="2" xfId="2" applyFont="1" applyBorder="1" applyAlignment="1">
      <alignment horizontal="left" vertical="center" wrapText="1"/>
    </xf>
    <xf numFmtId="0" fontId="5" fillId="0" borderId="2" xfId="2" quotePrefix="1" applyFont="1" applyFill="1" applyBorder="1" applyAlignment="1">
      <alignment horizontal="left" vertical="center" wrapText="1"/>
    </xf>
    <xf numFmtId="2" fontId="5" fillId="2" borderId="2" xfId="2" applyNumberFormat="1" applyFont="1" applyFill="1" applyBorder="1" applyAlignment="1">
      <alignment horizontal="right" vertical="center"/>
    </xf>
    <xf numFmtId="2" fontId="5" fillId="2" borderId="2" xfId="2" applyNumberFormat="1" applyFont="1" applyFill="1" applyBorder="1" applyAlignment="1">
      <alignment vertical="center"/>
    </xf>
    <xf numFmtId="0" fontId="5" fillId="2" borderId="2" xfId="2" applyFont="1" applyFill="1" applyBorder="1" applyAlignment="1">
      <alignment vertical="center"/>
    </xf>
    <xf numFmtId="0" fontId="5" fillId="0" borderId="2" xfId="2" quotePrefix="1" applyFont="1" applyFill="1" applyBorder="1" applyAlignment="1">
      <alignment horizontal="left" vertical="center"/>
    </xf>
    <xf numFmtId="2" fontId="5" fillId="0" borderId="2" xfId="2" quotePrefix="1" applyNumberFormat="1" applyFont="1" applyFill="1" applyBorder="1" applyAlignment="1">
      <alignment horizontal="right" vertical="center"/>
    </xf>
    <xf numFmtId="172" fontId="5" fillId="0" borderId="2" xfId="3" applyNumberFormat="1" applyFont="1" applyFill="1" applyBorder="1" applyAlignment="1">
      <alignment horizontal="right" vertical="center"/>
    </xf>
    <xf numFmtId="0" fontId="5" fillId="0" borderId="2" xfId="2" applyFont="1" applyFill="1" applyBorder="1" applyAlignment="1">
      <alignment horizontal="left" vertical="center" wrapText="1"/>
    </xf>
    <xf numFmtId="0" fontId="5" fillId="0" borderId="0" xfId="3" quotePrefix="1" applyFont="1" applyBorder="1" applyAlignment="1">
      <alignment vertical="top"/>
    </xf>
    <xf numFmtId="0" fontId="5" fillId="0" borderId="0" xfId="3" applyFont="1" applyBorder="1" applyAlignment="1">
      <alignment vertical="top"/>
    </xf>
    <xf numFmtId="0" fontId="5" fillId="0" borderId="0" xfId="10" applyFont="1" applyFill="1" applyAlignment="1"/>
    <xf numFmtId="0" fontId="5" fillId="0" borderId="0" xfId="10" applyNumberFormat="1" applyFont="1" applyFill="1" applyAlignment="1"/>
    <xf numFmtId="2" fontId="5" fillId="0" borderId="0" xfId="2" applyNumberFormat="1" applyFont="1" applyBorder="1" applyAlignment="1">
      <alignment horizontal="right" vertical="center"/>
    </xf>
    <xf numFmtId="172" fontId="5" fillId="0" borderId="0" xfId="3" applyNumberFormat="1" applyFont="1" applyBorder="1" applyAlignment="1">
      <alignment horizontal="center" vertical="top"/>
    </xf>
    <xf numFmtId="0" fontId="5" fillId="0" borderId="2" xfId="2" applyFont="1" applyBorder="1" applyAlignment="1">
      <alignment vertical="center"/>
    </xf>
    <xf numFmtId="0" fontId="9" fillId="0" borderId="2" xfId="17" applyFont="1" applyFill="1" applyBorder="1" applyAlignment="1">
      <alignment horizontal="right"/>
    </xf>
    <xf numFmtId="0" fontId="9" fillId="0" borderId="9" xfId="17" applyFont="1" applyFill="1" applyBorder="1" applyAlignment="1">
      <alignment horizontal="right"/>
    </xf>
    <xf numFmtId="41" fontId="9" fillId="0" borderId="2" xfId="17" applyNumberFormat="1" applyFont="1" applyFill="1" applyBorder="1" applyAlignment="1">
      <alignment horizontal="right" vertical="center"/>
    </xf>
    <xf numFmtId="0" fontId="9" fillId="0" borderId="2" xfId="2" applyFont="1" applyBorder="1" applyAlignment="1">
      <alignment horizontal="center" vertical="center"/>
    </xf>
    <xf numFmtId="0" fontId="9" fillId="0" borderId="28" xfId="3" applyFont="1" applyFill="1" applyBorder="1" applyAlignment="1">
      <alignment horizontal="center" vertical="center" wrapText="1"/>
    </xf>
    <xf numFmtId="49" fontId="12" fillId="0" borderId="3" xfId="6" applyNumberFormat="1" applyFont="1" applyFill="1" applyBorder="1" applyAlignment="1">
      <alignment horizontal="right" vertical="center"/>
    </xf>
    <xf numFmtId="2" fontId="5" fillId="0" borderId="3" xfId="2" applyNumberFormat="1" applyFont="1" applyFill="1" applyBorder="1" applyAlignment="1">
      <alignment horizontal="right" vertical="center"/>
    </xf>
    <xf numFmtId="165" fontId="9" fillId="0" borderId="5" xfId="6" applyFont="1" applyFill="1" applyBorder="1" applyAlignment="1">
      <alignment horizontal="right" vertical="center"/>
    </xf>
    <xf numFmtId="165" fontId="9" fillId="0" borderId="7" xfId="6" applyFont="1" applyFill="1" applyBorder="1" applyAlignment="1">
      <alignment horizontal="right" vertical="center"/>
    </xf>
    <xf numFmtId="0" fontId="15" fillId="0" borderId="38" xfId="3" applyFont="1" applyFill="1" applyBorder="1" applyAlignment="1">
      <alignment horizontal="center" vertical="center"/>
    </xf>
    <xf numFmtId="166" fontId="9" fillId="0" borderId="39" xfId="3" applyNumberFormat="1" applyFont="1" applyFill="1" applyBorder="1" applyAlignment="1">
      <alignment horizontal="right" vertical="center"/>
    </xf>
    <xf numFmtId="0" fontId="5" fillId="0" borderId="29" xfId="3" applyFont="1" applyFill="1" applyBorder="1" applyAlignment="1">
      <alignment vertical="center"/>
    </xf>
    <xf numFmtId="49" fontId="12" fillId="0" borderId="30" xfId="3" applyNumberFormat="1" applyFont="1" applyFill="1" applyBorder="1" applyAlignment="1">
      <alignment vertical="center"/>
    </xf>
    <xf numFmtId="49" fontId="12" fillId="0" borderId="0" xfId="3" applyNumberFormat="1" applyFont="1" applyFill="1" applyBorder="1" applyAlignment="1">
      <alignment vertical="center"/>
    </xf>
    <xf numFmtId="2" fontId="5" fillId="0" borderId="0" xfId="3" applyNumberFormat="1" applyFont="1" applyFill="1" applyBorder="1" applyAlignment="1">
      <alignment vertical="center"/>
    </xf>
    <xf numFmtId="169" fontId="5" fillId="0" borderId="0" xfId="3" applyNumberFormat="1" applyFont="1" applyFill="1" applyBorder="1" applyAlignment="1">
      <alignment vertical="center"/>
    </xf>
    <xf numFmtId="169" fontId="5" fillId="0" borderId="0" xfId="3" applyNumberFormat="1" applyFont="1" applyFill="1" applyBorder="1" applyAlignment="1">
      <alignment horizontal="right" vertical="center"/>
    </xf>
    <xf numFmtId="49" fontId="14" fillId="0" borderId="0" xfId="3" applyNumberFormat="1" applyFont="1" applyFill="1" applyBorder="1" applyAlignment="1">
      <alignment horizontal="left" vertical="center"/>
    </xf>
    <xf numFmtId="2" fontId="9" fillId="0" borderId="0" xfId="3" applyNumberFormat="1" applyFont="1" applyFill="1" applyBorder="1" applyAlignment="1">
      <alignment vertical="center"/>
    </xf>
    <xf numFmtId="169" fontId="9" fillId="0" borderId="0" xfId="3" applyNumberFormat="1" applyFont="1" applyFill="1" applyBorder="1" applyAlignment="1">
      <alignment vertical="center"/>
    </xf>
    <xf numFmtId="169" fontId="9" fillId="0" borderId="0" xfId="3" applyNumberFormat="1" applyFont="1" applyFill="1" applyBorder="1" applyAlignment="1">
      <alignment horizontal="right" vertical="center"/>
    </xf>
    <xf numFmtId="169" fontId="5" fillId="0" borderId="0" xfId="3" applyNumberFormat="1" applyFont="1" applyFill="1" applyBorder="1"/>
    <xf numFmtId="2" fontId="5" fillId="0" borderId="0" xfId="3" applyNumberFormat="1" applyFont="1" applyFill="1" applyBorder="1"/>
    <xf numFmtId="169" fontId="5" fillId="0" borderId="0" xfId="3" applyNumberFormat="1" applyFont="1" applyFill="1" applyBorder="1" applyAlignment="1">
      <alignment horizontal="center"/>
    </xf>
    <xf numFmtId="2" fontId="9" fillId="0" borderId="38" xfId="3" applyNumberFormat="1" applyFont="1" applyFill="1" applyBorder="1" applyAlignment="1">
      <alignment horizontal="center" wrapText="1"/>
    </xf>
    <xf numFmtId="43" fontId="5" fillId="2" borderId="8" xfId="1" applyFont="1" applyFill="1" applyBorder="1" applyAlignment="1"/>
    <xf numFmtId="43" fontId="5" fillId="2" borderId="32" xfId="1" applyFont="1" applyFill="1" applyBorder="1" applyAlignment="1"/>
    <xf numFmtId="43" fontId="5" fillId="2" borderId="37" xfId="1" applyFont="1" applyFill="1" applyBorder="1" applyAlignment="1"/>
    <xf numFmtId="43" fontId="5" fillId="2" borderId="3" xfId="1" applyFont="1" applyFill="1" applyBorder="1" applyAlignment="1"/>
    <xf numFmtId="43" fontId="5" fillId="2" borderId="24" xfId="1" applyFont="1" applyFill="1" applyBorder="1" applyAlignment="1"/>
    <xf numFmtId="43" fontId="9" fillId="2" borderId="6" xfId="1" applyFont="1" applyFill="1" applyBorder="1" applyAlignment="1"/>
    <xf numFmtId="2" fontId="9" fillId="0" borderId="0" xfId="3" applyNumberFormat="1" applyFont="1" applyBorder="1"/>
    <xf numFmtId="166" fontId="5" fillId="0" borderId="6" xfId="3" applyNumberFormat="1" applyFont="1" applyBorder="1" applyAlignment="1">
      <alignment horizontal="right"/>
    </xf>
    <xf numFmtId="0" fontId="5" fillId="0" borderId="5" xfId="3" applyFont="1" applyFill="1" applyBorder="1" applyAlignment="1">
      <alignment horizontal="center"/>
    </xf>
    <xf numFmtId="0" fontId="9" fillId="0" borderId="38" xfId="3" applyFont="1" applyFill="1" applyBorder="1" applyAlignment="1">
      <alignment horizontal="center" vertical="center"/>
    </xf>
    <xf numFmtId="0" fontId="9" fillId="0" borderId="6" xfId="3" applyFont="1" applyFill="1" applyBorder="1" applyAlignment="1">
      <alignment horizontal="center" vertical="center"/>
    </xf>
    <xf numFmtId="165" fontId="15" fillId="0" borderId="0" xfId="18" applyFont="1" applyFill="1" applyAlignment="1" applyProtection="1">
      <alignment horizontal="left"/>
      <protection locked="0"/>
    </xf>
    <xf numFmtId="165" fontId="16" fillId="0" borderId="0" xfId="18" applyFont="1" applyFill="1" applyAlignment="1" applyProtection="1">
      <alignment horizontal="center"/>
      <protection locked="0"/>
    </xf>
    <xf numFmtId="165" fontId="3" fillId="0" borderId="0" xfId="18" applyFont="1" applyFill="1" applyAlignment="1" applyProtection="1">
      <alignment horizontal="center"/>
      <protection locked="0"/>
    </xf>
    <xf numFmtId="0" fontId="2" fillId="0" borderId="0" xfId="19" applyFont="1" applyFill="1" applyProtection="1">
      <protection locked="0"/>
    </xf>
    <xf numFmtId="165" fontId="3" fillId="0" borderId="0" xfId="18" applyFont="1" applyFill="1" applyBorder="1" applyAlignment="1" applyProtection="1">
      <alignment horizontal="center"/>
      <protection locked="0"/>
    </xf>
    <xf numFmtId="165" fontId="2" fillId="0" borderId="0" xfId="18" applyFont="1" applyFill="1" applyProtection="1">
      <protection locked="0"/>
    </xf>
    <xf numFmtId="0" fontId="2" fillId="0" borderId="0" xfId="19" applyFont="1" applyFill="1"/>
    <xf numFmtId="2" fontId="15" fillId="0" borderId="44" xfId="21" applyNumberFormat="1" applyFont="1" applyFill="1" applyBorder="1" applyAlignment="1" applyProtection="1">
      <alignment horizontal="center" vertical="center" wrapText="1"/>
      <protection locked="0"/>
    </xf>
    <xf numFmtId="0" fontId="2" fillId="0" borderId="0" xfId="19" applyFont="1" applyFill="1" applyAlignment="1">
      <alignment vertical="center"/>
    </xf>
    <xf numFmtId="2" fontId="15" fillId="0" borderId="23" xfId="18" applyNumberFormat="1" applyFont="1" applyFill="1" applyBorder="1" applyAlignment="1" applyProtection="1">
      <alignment horizontal="center" vertical="center"/>
      <protection locked="0"/>
    </xf>
    <xf numFmtId="2" fontId="15" fillId="0" borderId="23" xfId="21" applyNumberFormat="1" applyFont="1" applyFill="1" applyBorder="1" applyAlignment="1" applyProtection="1">
      <alignment horizontal="center" vertical="center"/>
      <protection locked="0"/>
    </xf>
    <xf numFmtId="2" fontId="15" fillId="0" borderId="23" xfId="21" applyNumberFormat="1" applyFont="1" applyFill="1" applyBorder="1" applyAlignment="1" applyProtection="1">
      <alignment horizontal="center" vertical="center"/>
    </xf>
    <xf numFmtId="2" fontId="15" fillId="0" borderId="23" xfId="18" applyNumberFormat="1" applyFont="1" applyFill="1" applyBorder="1" applyAlignment="1" applyProtection="1">
      <alignment horizontal="center" vertical="center"/>
    </xf>
    <xf numFmtId="2" fontId="15" fillId="0" borderId="6" xfId="21" applyNumberFormat="1" applyFont="1" applyFill="1" applyBorder="1" applyAlignment="1" applyProtection="1">
      <alignment horizontal="center" vertical="center"/>
    </xf>
    <xf numFmtId="2" fontId="15" fillId="0" borderId="6" xfId="21" applyNumberFormat="1" applyFont="1" applyFill="1" applyBorder="1" applyAlignment="1" applyProtection="1">
      <alignment horizontal="center" vertical="center"/>
      <protection locked="0"/>
    </xf>
    <xf numFmtId="0" fontId="2" fillId="0" borderId="0" xfId="19" applyFont="1" applyFill="1" applyAlignment="1">
      <alignment horizontal="center" vertical="center"/>
    </xf>
    <xf numFmtId="49" fontId="16" fillId="0" borderId="23" xfId="19" applyNumberFormat="1" applyFont="1" applyFill="1" applyBorder="1" applyAlignment="1" applyProtection="1">
      <alignment horizontal="left" vertical="top" wrapText="1"/>
    </xf>
    <xf numFmtId="165" fontId="16" fillId="0" borderId="23" xfId="18" applyFont="1" applyFill="1" applyBorder="1" applyAlignment="1" applyProtection="1">
      <alignment horizontal="right" vertical="top"/>
    </xf>
    <xf numFmtId="165" fontId="16" fillId="0" borderId="23" xfId="18" applyFont="1" applyFill="1" applyBorder="1" applyAlignment="1" applyProtection="1">
      <alignment horizontal="right" vertical="top"/>
      <protection locked="0"/>
    </xf>
    <xf numFmtId="165" fontId="16" fillId="0" borderId="23" xfId="21" applyFont="1" applyFill="1" applyBorder="1" applyAlignment="1" applyProtection="1">
      <alignment horizontal="right" vertical="top"/>
      <protection locked="0"/>
    </xf>
    <xf numFmtId="165" fontId="15" fillId="0" borderId="23" xfId="18" applyFont="1" applyFill="1" applyBorder="1" applyAlignment="1" applyProtection="1">
      <alignment horizontal="right" vertical="top"/>
    </xf>
    <xf numFmtId="165" fontId="15" fillId="0" borderId="23" xfId="18" applyFont="1" applyFill="1" applyBorder="1" applyAlignment="1" applyProtection="1">
      <alignment horizontal="right" vertical="top"/>
      <protection locked="0"/>
    </xf>
    <xf numFmtId="165" fontId="15" fillId="0" borderId="23" xfId="21" applyFont="1" applyFill="1" applyBorder="1" applyAlignment="1" applyProtection="1">
      <alignment horizontal="right" vertical="top"/>
      <protection locked="0"/>
    </xf>
    <xf numFmtId="165" fontId="16" fillId="0" borderId="23" xfId="21" applyFont="1" applyFill="1" applyBorder="1" applyAlignment="1" applyProtection="1">
      <alignment horizontal="right" vertical="top"/>
    </xf>
    <xf numFmtId="165" fontId="15" fillId="0" borderId="23" xfId="21" applyFont="1" applyFill="1" applyBorder="1" applyAlignment="1" applyProtection="1">
      <alignment horizontal="right" vertical="top"/>
    </xf>
    <xf numFmtId="165" fontId="15" fillId="0" borderId="23" xfId="18" applyFont="1" applyFill="1" applyBorder="1" applyAlignment="1" applyProtection="1">
      <alignment horizontal="left" vertical="top"/>
    </xf>
    <xf numFmtId="165" fontId="15" fillId="0" borderId="23" xfId="18" applyFont="1" applyFill="1" applyBorder="1" applyAlignment="1" applyProtection="1">
      <alignment horizontal="left" vertical="top"/>
      <protection locked="0"/>
    </xf>
    <xf numFmtId="165" fontId="2" fillId="0" borderId="0" xfId="19" applyNumberFormat="1" applyFont="1" applyFill="1"/>
    <xf numFmtId="165" fontId="16" fillId="0" borderId="0" xfId="21" applyFont="1" applyFill="1" applyBorder="1" applyAlignment="1" applyProtection="1">
      <alignment horizontal="right" vertical="top"/>
      <protection locked="0"/>
    </xf>
    <xf numFmtId="165" fontId="2" fillId="0" borderId="0" xfId="19" applyNumberFormat="1" applyFont="1" applyFill="1" applyBorder="1"/>
    <xf numFmtId="0" fontId="2" fillId="0" borderId="0" xfId="19" applyFont="1" applyFill="1" applyBorder="1"/>
    <xf numFmtId="49" fontId="15" fillId="0" borderId="23" xfId="19" applyNumberFormat="1" applyFont="1" applyFill="1" applyBorder="1" applyAlignment="1" applyProtection="1">
      <alignment horizontal="left" vertical="top" wrapText="1"/>
    </xf>
    <xf numFmtId="0" fontId="3" fillId="0" borderId="0" xfId="19" applyFont="1" applyFill="1"/>
    <xf numFmtId="49" fontId="16" fillId="0" borderId="23" xfId="19" applyNumberFormat="1" applyFont="1" applyFill="1" applyBorder="1" applyAlignment="1" applyProtection="1">
      <alignment horizontal="left" vertical="top"/>
    </xf>
    <xf numFmtId="0" fontId="5" fillId="0" borderId="0" xfId="56" applyFont="1" applyFill="1" applyAlignment="1">
      <alignment vertical="center"/>
    </xf>
    <xf numFmtId="49" fontId="15" fillId="0" borderId="0" xfId="0" applyNumberFormat="1" applyFont="1" applyFill="1" applyBorder="1" applyAlignment="1">
      <alignment horizontal="left" vertical="top" wrapText="1"/>
    </xf>
    <xf numFmtId="43" fontId="13" fillId="0" borderId="3" xfId="1" quotePrefix="1" applyFont="1" applyFill="1" applyBorder="1" applyAlignment="1">
      <alignment horizontal="right"/>
    </xf>
    <xf numFmtId="0" fontId="9" fillId="0" borderId="0" xfId="0" applyFont="1" applyFill="1" applyAlignment="1">
      <alignment horizontal="center"/>
    </xf>
    <xf numFmtId="0" fontId="5" fillId="0" borderId="24" xfId="17" applyFont="1" applyFill="1" applyBorder="1" applyAlignment="1">
      <alignment horizontal="right"/>
    </xf>
    <xf numFmtId="0" fontId="5" fillId="0" borderId="39" xfId="17" applyFont="1" applyFill="1" applyBorder="1" applyAlignment="1">
      <alignment horizontal="right"/>
    </xf>
    <xf numFmtId="0" fontId="5" fillId="0" borderId="37" xfId="17" applyFont="1" applyFill="1" applyBorder="1" applyAlignment="1">
      <alignment horizontal="right"/>
    </xf>
    <xf numFmtId="41" fontId="5" fillId="0" borderId="24" xfId="17" applyNumberFormat="1" applyFont="1" applyFill="1" applyBorder="1" applyAlignment="1">
      <alignment horizontal="right" vertical="center"/>
    </xf>
    <xf numFmtId="0" fontId="5" fillId="0" borderId="5" xfId="17" applyFont="1" applyFill="1" applyBorder="1" applyAlignment="1">
      <alignment horizontal="right"/>
    </xf>
    <xf numFmtId="0" fontId="5" fillId="0" borderId="0" xfId="17" applyFont="1" applyFill="1" applyBorder="1" applyAlignment="1">
      <alignment horizontal="right"/>
    </xf>
    <xf numFmtId="0" fontId="5" fillId="0" borderId="7" xfId="17" applyFont="1" applyFill="1" applyBorder="1" applyAlignment="1">
      <alignment horizontal="right"/>
    </xf>
    <xf numFmtId="0" fontId="5" fillId="0" borderId="6" xfId="17" applyFont="1" applyFill="1" applyBorder="1" applyAlignment="1">
      <alignment horizontal="right"/>
    </xf>
    <xf numFmtId="0" fontId="9" fillId="0" borderId="23" xfId="17" applyFont="1" applyFill="1" applyBorder="1" applyAlignment="1">
      <alignment horizontal="right"/>
    </xf>
    <xf numFmtId="0" fontId="9" fillId="0" borderId="45" xfId="17" applyFont="1" applyFill="1" applyBorder="1" applyAlignment="1">
      <alignment horizontal="right"/>
    </xf>
    <xf numFmtId="41" fontId="9" fillId="0" borderId="23" xfId="17" applyNumberFormat="1" applyFont="1" applyFill="1" applyBorder="1" applyAlignment="1">
      <alignment horizontal="right" vertical="center"/>
    </xf>
    <xf numFmtId="0" fontId="9" fillId="0" borderId="0" xfId="61" quotePrefix="1" applyFont="1" applyFill="1" applyBorder="1" applyAlignment="1">
      <alignment vertical="center"/>
    </xf>
    <xf numFmtId="0" fontId="5" fillId="0" borderId="0" xfId="61" applyFont="1" applyFill="1" applyBorder="1" applyAlignment="1">
      <alignment vertical="center"/>
    </xf>
    <xf numFmtId="0" fontId="9" fillId="0" borderId="0" xfId="61" quotePrefix="1" applyFont="1" applyFill="1" applyBorder="1" applyAlignment="1">
      <alignment vertical="center" wrapText="1"/>
    </xf>
    <xf numFmtId="0" fontId="9" fillId="0" borderId="0" xfId="61" quotePrefix="1" applyFont="1" applyFill="1" applyBorder="1" applyAlignment="1" applyProtection="1">
      <alignment vertical="center" wrapText="1"/>
      <protection locked="0"/>
    </xf>
    <xf numFmtId="0" fontId="5" fillId="0" borderId="0" xfId="61" applyFont="1" applyFill="1" applyBorder="1" applyAlignment="1" applyProtection="1">
      <alignment horizontal="center" vertical="center"/>
      <protection locked="0"/>
    </xf>
    <xf numFmtId="0" fontId="5" fillId="0" borderId="0" xfId="61" applyFont="1" applyFill="1" applyBorder="1" applyAlignment="1">
      <alignment horizontal="center" vertical="center"/>
    </xf>
    <xf numFmtId="0" fontId="5" fillId="0" borderId="1" xfId="61" quotePrefix="1" applyFont="1" applyFill="1" applyBorder="1" applyAlignment="1">
      <alignment vertical="center" wrapText="1"/>
    </xf>
    <xf numFmtId="0" fontId="9" fillId="0" borderId="1" xfId="61" quotePrefix="1" applyFont="1" applyFill="1" applyBorder="1" applyAlignment="1">
      <alignment vertical="center" wrapText="1"/>
    </xf>
    <xf numFmtId="0" fontId="9" fillId="0" borderId="1" xfId="61" quotePrefix="1" applyFont="1" applyFill="1" applyBorder="1" applyAlignment="1" applyProtection="1">
      <alignment vertical="center" wrapText="1"/>
      <protection locked="0"/>
    </xf>
    <xf numFmtId="0" fontId="9" fillId="0" borderId="37" xfId="61" applyFont="1" applyFill="1" applyBorder="1" applyAlignment="1">
      <alignment vertical="center" wrapText="1"/>
    </xf>
    <xf numFmtId="0" fontId="9" fillId="0" borderId="26" xfId="61" applyFont="1" applyFill="1" applyBorder="1" applyAlignment="1">
      <alignment vertical="center" wrapText="1"/>
    </xf>
    <xf numFmtId="0" fontId="9" fillId="0" borderId="44" xfId="61" applyFont="1" applyFill="1" applyBorder="1" applyAlignment="1">
      <alignment horizontal="center" vertical="center" wrapText="1"/>
    </xf>
    <xf numFmtId="0" fontId="9" fillId="0" borderId="0" xfId="61" applyFont="1" applyFill="1" applyBorder="1" applyAlignment="1">
      <alignment horizontal="center" vertical="center" wrapText="1"/>
    </xf>
    <xf numFmtId="0" fontId="9" fillId="0" borderId="6" xfId="61" applyFont="1" applyFill="1" applyBorder="1" applyAlignment="1">
      <alignment vertical="center" wrapText="1"/>
    </xf>
    <xf numFmtId="0" fontId="9" fillId="0" borderId="17" xfId="61" applyFont="1" applyFill="1" applyBorder="1" applyAlignment="1">
      <alignment vertical="center" wrapText="1"/>
    </xf>
    <xf numFmtId="0" fontId="9" fillId="0" borderId="23" xfId="61" applyFont="1" applyFill="1" applyBorder="1" applyAlignment="1">
      <alignment horizontal="center" vertical="center" wrapText="1"/>
    </xf>
    <xf numFmtId="0" fontId="9" fillId="0" borderId="23" xfId="61" applyFont="1" applyFill="1" applyBorder="1" applyAlignment="1" applyProtection="1">
      <alignment horizontal="center" vertical="center" wrapText="1"/>
      <protection locked="0"/>
    </xf>
    <xf numFmtId="0" fontId="9" fillId="0" borderId="23" xfId="12" applyFont="1" applyFill="1" applyBorder="1" applyAlignment="1">
      <alignment horizontal="center" vertical="center" wrapText="1"/>
    </xf>
    <xf numFmtId="0" fontId="9" fillId="0" borderId="25" xfId="61" applyFont="1" applyFill="1" applyBorder="1" applyAlignment="1">
      <alignment horizontal="center" vertical="center" wrapText="1"/>
    </xf>
    <xf numFmtId="0" fontId="9" fillId="0" borderId="6" xfId="61" applyFont="1" applyFill="1" applyBorder="1" applyAlignment="1">
      <alignment horizontal="center" vertical="center" wrapText="1"/>
    </xf>
    <xf numFmtId="0" fontId="5" fillId="0" borderId="24" xfId="61" applyFont="1" applyFill="1" applyBorder="1" applyAlignment="1">
      <alignment horizontal="center" vertical="center"/>
    </xf>
    <xf numFmtId="0" fontId="5" fillId="0" borderId="24" xfId="61" applyFont="1" applyFill="1" applyBorder="1" applyAlignment="1">
      <alignment horizontal="left" vertical="center"/>
    </xf>
    <xf numFmtId="0" fontId="5" fillId="0" borderId="37" xfId="12" applyFont="1" applyFill="1" applyBorder="1" applyAlignment="1">
      <alignment vertical="center"/>
    </xf>
    <xf numFmtId="171" fontId="16" fillId="0" borderId="37" xfId="13" applyNumberFormat="1" applyFont="1" applyFill="1" applyBorder="1" applyAlignment="1">
      <alignment vertical="center" wrapText="1"/>
    </xf>
    <xf numFmtId="0" fontId="5" fillId="0" borderId="37" xfId="61" applyFont="1" applyFill="1" applyBorder="1" applyAlignment="1">
      <alignment vertical="center"/>
    </xf>
    <xf numFmtId="0" fontId="5" fillId="0" borderId="37" xfId="61" applyFont="1" applyFill="1" applyBorder="1" applyAlignment="1" applyProtection="1">
      <alignment vertical="center"/>
      <protection locked="0"/>
    </xf>
    <xf numFmtId="0" fontId="16" fillId="0" borderId="37" xfId="12" applyFont="1" applyFill="1" applyBorder="1" applyAlignment="1">
      <alignment vertical="center"/>
    </xf>
    <xf numFmtId="0" fontId="16" fillId="0" borderId="37" xfId="12" applyFont="1" applyFill="1" applyBorder="1" applyAlignment="1" applyProtection="1">
      <alignment vertical="center"/>
      <protection locked="0"/>
    </xf>
    <xf numFmtId="0" fontId="5" fillId="0" borderId="37" xfId="61" applyFont="1" applyFill="1" applyBorder="1" applyAlignment="1">
      <alignment horizontal="right" vertical="center"/>
    </xf>
    <xf numFmtId="0" fontId="5" fillId="0" borderId="37" xfId="61" applyFont="1" applyFill="1" applyBorder="1" applyAlignment="1" applyProtection="1">
      <alignment horizontal="right" vertical="center"/>
      <protection locked="0"/>
    </xf>
    <xf numFmtId="171" fontId="16" fillId="0" borderId="37" xfId="13" applyNumberFormat="1" applyFont="1" applyFill="1" applyBorder="1" applyAlignment="1" applyProtection="1">
      <alignment vertical="center" wrapText="1"/>
      <protection locked="0"/>
    </xf>
    <xf numFmtId="1" fontId="5" fillId="0" borderId="37" xfId="62" applyNumberFormat="1" applyFont="1" applyFill="1" applyBorder="1" applyAlignment="1" applyProtection="1">
      <alignment vertical="center" wrapText="1"/>
    </xf>
    <xf numFmtId="1" fontId="5" fillId="0" borderId="37" xfId="62" applyNumberFormat="1" applyFont="1" applyFill="1" applyBorder="1" applyAlignment="1" applyProtection="1">
      <alignment vertical="center" wrapText="1"/>
      <protection locked="0"/>
    </xf>
    <xf numFmtId="0" fontId="9" fillId="0" borderId="37" xfId="61" applyFont="1" applyFill="1" applyBorder="1" applyAlignment="1">
      <alignment vertical="center"/>
    </xf>
    <xf numFmtId="0" fontId="9" fillId="0" borderId="37" xfId="61" applyFont="1" applyFill="1" applyBorder="1" applyAlignment="1" applyProtection="1">
      <alignment vertical="center"/>
      <protection locked="0"/>
    </xf>
    <xf numFmtId="0" fontId="5" fillId="0" borderId="37" xfId="15" applyFont="1" applyFill="1" applyBorder="1" applyAlignment="1" applyProtection="1">
      <alignment vertical="center" wrapText="1"/>
    </xf>
    <xf numFmtId="1" fontId="9" fillId="0" borderId="37" xfId="63" applyNumberFormat="1" applyFont="1" applyFill="1" applyBorder="1" applyAlignment="1">
      <alignment vertical="center" wrapText="1"/>
    </xf>
    <xf numFmtId="0" fontId="5" fillId="0" borderId="0" xfId="61" applyFont="1" applyFill="1" applyBorder="1" applyAlignment="1">
      <alignment horizontal="right" vertical="center"/>
    </xf>
    <xf numFmtId="0" fontId="5" fillId="0" borderId="24" xfId="12" applyFont="1" applyFill="1" applyBorder="1" applyAlignment="1">
      <alignment vertical="center"/>
    </xf>
    <xf numFmtId="171" fontId="16" fillId="0" borderId="24" xfId="13" applyNumberFormat="1" applyFont="1" applyFill="1" applyBorder="1" applyAlignment="1">
      <alignment vertical="center" wrapText="1"/>
    </xf>
    <xf numFmtId="0" fontId="5" fillId="0" borderId="24" xfId="61" applyFont="1" applyFill="1" applyBorder="1" applyAlignment="1">
      <alignment vertical="center"/>
    </xf>
    <xf numFmtId="0" fontId="5" fillId="0" borderId="24" xfId="61" applyFont="1" applyFill="1" applyBorder="1" applyAlignment="1" applyProtection="1">
      <alignment vertical="center"/>
      <protection locked="0"/>
    </xf>
    <xf numFmtId="0" fontId="16" fillId="0" borderId="24" xfId="12" applyFont="1" applyFill="1" applyBorder="1" applyAlignment="1">
      <alignment vertical="center"/>
    </xf>
    <xf numFmtId="0" fontId="16" fillId="0" borderId="24" xfId="12" applyFont="1" applyFill="1" applyBorder="1" applyAlignment="1" applyProtection="1">
      <alignment vertical="center"/>
      <protection locked="0"/>
    </xf>
    <xf numFmtId="0" fontId="5" fillId="0" borderId="24" xfId="61" applyFont="1" applyFill="1" applyBorder="1" applyAlignment="1">
      <alignment horizontal="right" vertical="center"/>
    </xf>
    <xf numFmtId="0" fontId="5" fillId="0" borderId="24" xfId="61" applyFont="1" applyFill="1" applyBorder="1" applyAlignment="1" applyProtection="1">
      <alignment horizontal="right" vertical="center"/>
      <protection locked="0"/>
    </xf>
    <xf numFmtId="171" fontId="16" fillId="0" borderId="24" xfId="13" applyNumberFormat="1" applyFont="1" applyFill="1" applyBorder="1" applyAlignment="1" applyProtection="1">
      <alignment vertical="center" wrapText="1"/>
      <protection locked="0"/>
    </xf>
    <xf numFmtId="1" fontId="5" fillId="0" borderId="24" xfId="62" applyNumberFormat="1" applyFont="1" applyFill="1" applyBorder="1" applyAlignment="1" applyProtection="1">
      <alignment vertical="center" wrapText="1"/>
    </xf>
    <xf numFmtId="1" fontId="5" fillId="0" borderId="24" xfId="62" applyNumberFormat="1" applyFont="1" applyFill="1" applyBorder="1" applyAlignment="1" applyProtection="1">
      <alignment vertical="center" wrapText="1"/>
      <protection locked="0"/>
    </xf>
    <xf numFmtId="0" fontId="9" fillId="0" borderId="24" xfId="61" applyFont="1" applyFill="1" applyBorder="1" applyAlignment="1">
      <alignment vertical="center"/>
    </xf>
    <xf numFmtId="0" fontId="9" fillId="0" borderId="24" xfId="61" applyFont="1" applyFill="1" applyBorder="1" applyAlignment="1" applyProtection="1">
      <alignment vertical="center"/>
      <protection locked="0"/>
    </xf>
    <xf numFmtId="0" fontId="5" fillId="0" borderId="24" xfId="15" applyFont="1" applyFill="1" applyBorder="1" applyAlignment="1" applyProtection="1">
      <alignment vertical="center" wrapText="1"/>
    </xf>
    <xf numFmtId="1" fontId="9" fillId="0" borderId="24" xfId="63" applyNumberFormat="1" applyFont="1" applyFill="1" applyBorder="1" applyAlignment="1">
      <alignment vertical="center" wrapText="1"/>
    </xf>
    <xf numFmtId="0" fontId="5" fillId="0" borderId="24" xfId="15" applyFont="1" applyFill="1" applyBorder="1" applyAlignment="1" applyProtection="1">
      <alignment vertical="top" wrapText="1"/>
    </xf>
    <xf numFmtId="1" fontId="16" fillId="0" borderId="24" xfId="12" applyNumberFormat="1" applyFont="1" applyFill="1" applyBorder="1" applyAlignment="1" applyProtection="1">
      <alignment wrapText="1"/>
    </xf>
    <xf numFmtId="0" fontId="9" fillId="0" borderId="24" xfId="61" applyFont="1" applyFill="1" applyBorder="1" applyAlignment="1" applyProtection="1">
      <alignment horizontal="right" vertical="center"/>
      <protection locked="0"/>
    </xf>
    <xf numFmtId="168" fontId="25" fillId="0" borderId="24" xfId="56" applyNumberFormat="1" applyFont="1" applyFill="1" applyBorder="1" applyAlignment="1">
      <alignment vertical="center"/>
    </xf>
    <xf numFmtId="168" fontId="9" fillId="0" borderId="24" xfId="61" applyNumberFormat="1" applyFont="1" applyFill="1" applyBorder="1" applyAlignment="1">
      <alignment vertical="center"/>
    </xf>
    <xf numFmtId="168" fontId="9" fillId="0" borderId="24" xfId="61" applyNumberFormat="1" applyFont="1" applyFill="1" applyBorder="1" applyAlignment="1" applyProtection="1">
      <alignment vertical="center"/>
      <protection locked="0"/>
    </xf>
    <xf numFmtId="168" fontId="5" fillId="0" borderId="24" xfId="61" applyNumberFormat="1" applyFont="1" applyFill="1" applyBorder="1" applyAlignment="1">
      <alignment vertical="center"/>
    </xf>
    <xf numFmtId="168" fontId="5" fillId="0" borderId="24" xfId="61" applyNumberFormat="1" applyFont="1" applyFill="1" applyBorder="1" applyAlignment="1">
      <alignment vertical="center" wrapText="1"/>
    </xf>
    <xf numFmtId="0" fontId="5" fillId="0" borderId="24" xfId="61" applyFont="1" applyFill="1" applyBorder="1" applyAlignment="1">
      <alignment horizontal="left" vertical="center" wrapText="1"/>
    </xf>
    <xf numFmtId="0" fontId="5" fillId="0" borderId="24" xfId="61" applyFont="1" applyFill="1" applyBorder="1" applyAlignment="1">
      <alignment horizontal="right" vertical="center" wrapText="1"/>
    </xf>
    <xf numFmtId="0" fontId="5" fillId="0" borderId="24" xfId="61" applyFont="1" applyFill="1" applyBorder="1" applyAlignment="1" applyProtection="1">
      <alignment horizontal="right" vertical="center" wrapText="1"/>
      <protection locked="0"/>
    </xf>
    <xf numFmtId="0" fontId="5" fillId="0" borderId="24" xfId="61" applyFont="1" applyFill="1" applyBorder="1" applyAlignment="1">
      <alignment vertical="center" wrapText="1"/>
    </xf>
    <xf numFmtId="0" fontId="5" fillId="0" borderId="24" xfId="12" applyFont="1" applyFill="1" applyBorder="1" applyProtection="1">
      <protection locked="0"/>
    </xf>
    <xf numFmtId="0" fontId="9" fillId="0" borderId="6" xfId="61" applyFont="1" applyFill="1" applyBorder="1" applyAlignment="1">
      <alignment horizontal="center" vertical="center"/>
    </xf>
    <xf numFmtId="0" fontId="9" fillId="0" borderId="6" xfId="61" applyFont="1" applyFill="1" applyBorder="1" applyAlignment="1">
      <alignment horizontal="left" vertical="center"/>
    </xf>
    <xf numFmtId="1" fontId="15" fillId="0" borderId="6" xfId="13" applyNumberFormat="1" applyFont="1" applyFill="1" applyBorder="1" applyAlignment="1">
      <alignment vertical="center" wrapText="1"/>
    </xf>
    <xf numFmtId="0" fontId="9" fillId="0" borderId="6" xfId="61" applyFont="1" applyFill="1" applyBorder="1" applyAlignment="1">
      <alignment vertical="center"/>
    </xf>
    <xf numFmtId="0" fontId="9" fillId="0" borderId="6" xfId="61" applyFont="1" applyFill="1" applyBorder="1" applyAlignment="1" applyProtection="1">
      <alignment vertical="center"/>
      <protection locked="0"/>
    </xf>
    <xf numFmtId="0" fontId="15" fillId="0" borderId="6" xfId="12" applyFont="1" applyFill="1" applyBorder="1" applyAlignment="1">
      <alignment vertical="center"/>
    </xf>
    <xf numFmtId="0" fontId="15" fillId="0" borderId="6" xfId="12" applyFont="1" applyFill="1" applyBorder="1" applyAlignment="1" applyProtection="1">
      <alignment vertical="center"/>
      <protection locked="0"/>
    </xf>
    <xf numFmtId="0" fontId="9" fillId="0" borderId="6" xfId="61" applyFont="1" applyFill="1" applyBorder="1" applyAlignment="1">
      <alignment horizontal="right" vertical="center"/>
    </xf>
    <xf numFmtId="0" fontId="9" fillId="0" borderId="6" xfId="61" applyFont="1" applyFill="1" applyBorder="1" applyAlignment="1" applyProtection="1">
      <alignment horizontal="right" vertical="center"/>
      <protection locked="0"/>
    </xf>
    <xf numFmtId="3" fontId="15" fillId="0" borderId="6" xfId="13" applyNumberFormat="1" applyFont="1" applyFill="1" applyBorder="1" applyAlignment="1">
      <alignment vertical="center" wrapText="1"/>
    </xf>
    <xf numFmtId="0" fontId="9" fillId="0" borderId="6" xfId="12" applyFont="1" applyFill="1" applyBorder="1" applyAlignment="1" applyProtection="1">
      <alignment vertical="center"/>
      <protection locked="0"/>
    </xf>
    <xf numFmtId="168" fontId="22" fillId="0" borderId="6" xfId="12" applyNumberFormat="1" applyFont="1" applyFill="1" applyBorder="1" applyAlignment="1">
      <alignment vertical="center"/>
    </xf>
    <xf numFmtId="168" fontId="22" fillId="0" borderId="6" xfId="12" applyNumberFormat="1" applyFont="1" applyFill="1" applyBorder="1" applyAlignment="1">
      <alignment vertical="center" wrapText="1"/>
    </xf>
    <xf numFmtId="0" fontId="9" fillId="0" borderId="6" xfId="15" applyFont="1" applyFill="1" applyBorder="1" applyAlignment="1" applyProtection="1">
      <alignment vertical="center" wrapText="1"/>
    </xf>
    <xf numFmtId="1" fontId="9" fillId="0" borderId="6" xfId="63" applyNumberFormat="1" applyFont="1" applyFill="1" applyBorder="1" applyAlignment="1">
      <alignment vertical="center"/>
    </xf>
    <xf numFmtId="0" fontId="9" fillId="0" borderId="1" xfId="61" applyFont="1" applyFill="1" applyBorder="1" applyAlignment="1">
      <alignment horizontal="right" vertical="center"/>
    </xf>
    <xf numFmtId="0" fontId="2" fillId="0" borderId="33" xfId="12" applyFont="1" applyFill="1" applyBorder="1" applyAlignment="1">
      <alignment horizontal="left" vertical="center"/>
    </xf>
    <xf numFmtId="0" fontId="9" fillId="0" borderId="0" xfId="12" applyFont="1" applyFill="1" applyBorder="1" applyAlignment="1">
      <alignment vertical="center"/>
    </xf>
    <xf numFmtId="1" fontId="15" fillId="0" borderId="0" xfId="13" applyNumberFormat="1" applyFont="1" applyFill="1" applyBorder="1" applyAlignment="1">
      <alignment vertical="center" wrapText="1"/>
    </xf>
    <xf numFmtId="0" fontId="9" fillId="0" borderId="0" xfId="61" applyFont="1" applyFill="1" applyBorder="1" applyAlignment="1">
      <alignment vertical="center"/>
    </xf>
    <xf numFmtId="0" fontId="9" fillId="0" borderId="0" xfId="61" applyFont="1" applyFill="1" applyBorder="1" applyAlignment="1" applyProtection="1">
      <alignment vertical="center"/>
      <protection locked="0"/>
    </xf>
    <xf numFmtId="0" fontId="16" fillId="0" borderId="0" xfId="12" applyFont="1" applyFill="1" applyBorder="1" applyAlignment="1">
      <alignment vertical="center"/>
    </xf>
    <xf numFmtId="0" fontId="16" fillId="0" borderId="0" xfId="12" applyFont="1" applyFill="1" applyBorder="1" applyAlignment="1" applyProtection="1">
      <alignment vertical="center"/>
      <protection locked="0"/>
    </xf>
    <xf numFmtId="0" fontId="2" fillId="0" borderId="33" xfId="12" applyFont="1" applyFill="1" applyBorder="1" applyAlignment="1" applyProtection="1">
      <alignment horizontal="left" vertical="center"/>
      <protection locked="0"/>
    </xf>
    <xf numFmtId="0" fontId="9" fillId="0" borderId="0" xfId="12" applyFont="1" applyFill="1" applyBorder="1" applyAlignment="1" applyProtection="1">
      <alignment vertical="center"/>
      <protection locked="0"/>
    </xf>
    <xf numFmtId="3" fontId="15" fillId="0" borderId="0" xfId="13" applyNumberFormat="1" applyFont="1" applyFill="1" applyBorder="1" applyAlignment="1">
      <alignment vertical="center" wrapText="1"/>
    </xf>
    <xf numFmtId="168" fontId="22" fillId="0" borderId="0" xfId="12" applyNumberFormat="1" applyFont="1" applyFill="1" applyBorder="1" applyAlignment="1">
      <alignment vertical="center"/>
    </xf>
    <xf numFmtId="168" fontId="22" fillId="0" borderId="0" xfId="12" applyNumberFormat="1" applyFont="1" applyFill="1" applyBorder="1" applyAlignment="1">
      <alignment vertical="center" wrapText="1"/>
    </xf>
    <xf numFmtId="0" fontId="9" fillId="0" borderId="0" xfId="15" applyFont="1" applyFill="1" applyBorder="1" applyAlignment="1" applyProtection="1">
      <alignment vertical="center" wrapText="1"/>
    </xf>
    <xf numFmtId="0" fontId="9" fillId="0" borderId="0" xfId="61" applyFont="1" applyFill="1" applyBorder="1" applyAlignment="1">
      <alignment horizontal="right" vertical="center"/>
    </xf>
    <xf numFmtId="1" fontId="9" fillId="0" borderId="0" xfId="63" applyNumberFormat="1" applyFont="1" applyFill="1" applyBorder="1" applyAlignment="1">
      <alignment vertical="center"/>
    </xf>
    <xf numFmtId="1" fontId="9" fillId="0" borderId="0" xfId="63" applyNumberFormat="1" applyFont="1" applyFill="1" applyBorder="1" applyAlignment="1" applyProtection="1">
      <alignment vertical="center"/>
      <protection locked="0"/>
    </xf>
    <xf numFmtId="0" fontId="9" fillId="0" borderId="0" xfId="15" applyFont="1" applyFill="1" applyBorder="1" applyAlignment="1" applyProtection="1">
      <alignment vertical="center" wrapText="1"/>
      <protection locked="0"/>
    </xf>
    <xf numFmtId="171" fontId="9" fillId="0" borderId="0" xfId="61" applyNumberFormat="1" applyFont="1" applyFill="1" applyBorder="1" applyAlignment="1">
      <alignment vertical="center"/>
    </xf>
    <xf numFmtId="1" fontId="9" fillId="0" borderId="0" xfId="61" applyNumberFormat="1" applyFont="1" applyFill="1" applyBorder="1" applyAlignment="1">
      <alignment horizontal="right" vertical="center"/>
    </xf>
    <xf numFmtId="0" fontId="9" fillId="0" borderId="0" xfId="61" applyFont="1" applyFill="1" applyBorder="1" applyAlignment="1" applyProtection="1">
      <alignment horizontal="right" vertical="center"/>
      <protection locked="0"/>
    </xf>
    <xf numFmtId="0" fontId="19" fillId="0" borderId="0" xfId="61" applyFont="1" applyFill="1" applyBorder="1" applyAlignment="1">
      <alignment vertical="center"/>
    </xf>
    <xf numFmtId="168" fontId="5" fillId="0" borderId="0" xfId="61" applyNumberFormat="1" applyFont="1" applyFill="1" applyBorder="1" applyAlignment="1">
      <alignment horizontal="center" vertical="center"/>
    </xf>
    <xf numFmtId="168" fontId="5" fillId="0" borderId="0" xfId="61" applyNumberFormat="1" applyFont="1" applyFill="1" applyBorder="1" applyAlignment="1" applyProtection="1">
      <alignment horizontal="center" vertical="center"/>
      <protection locked="0"/>
    </xf>
    <xf numFmtId="0" fontId="5" fillId="0" borderId="0" xfId="61" applyFont="1" applyFill="1" applyBorder="1" applyAlignment="1" applyProtection="1">
      <alignment vertical="center"/>
      <protection locked="0"/>
    </xf>
    <xf numFmtId="1" fontId="5" fillId="0" borderId="0" xfId="61" applyNumberFormat="1" applyFont="1" applyFill="1" applyBorder="1" applyAlignment="1">
      <alignment horizontal="center" vertical="center"/>
    </xf>
    <xf numFmtId="0" fontId="9" fillId="0" borderId="37" xfId="61" applyFont="1" applyFill="1" applyBorder="1" applyAlignment="1" applyProtection="1">
      <alignment horizontal="right" vertical="center"/>
      <protection locked="0"/>
    </xf>
    <xf numFmtId="1" fontId="5" fillId="0" borderId="0" xfId="61" applyNumberFormat="1" applyFont="1" applyFill="1" applyBorder="1" applyAlignment="1">
      <alignment horizontal="right" vertical="center"/>
    </xf>
    <xf numFmtId="49" fontId="9" fillId="0" borderId="23" xfId="20" applyNumberFormat="1" applyFont="1" applyFill="1" applyBorder="1" applyAlignment="1">
      <alignment horizontal="center" vertical="center" wrapText="1"/>
    </xf>
    <xf numFmtId="49" fontId="9" fillId="0" borderId="23" xfId="20" applyNumberFormat="1" applyFont="1" applyFill="1" applyBorder="1" applyAlignment="1">
      <alignment horizontal="center" vertical="center" wrapText="1"/>
    </xf>
    <xf numFmtId="49" fontId="9" fillId="0" borderId="23" xfId="20" quotePrefix="1" applyNumberFormat="1" applyFont="1" applyFill="1" applyBorder="1" applyAlignment="1">
      <alignment horizontal="center" vertical="center" wrapText="1"/>
    </xf>
    <xf numFmtId="0" fontId="5" fillId="0" borderId="0" xfId="2" applyFont="1" applyFill="1" applyBorder="1" applyAlignment="1">
      <alignment horizontal="left" vertical="center" wrapText="1"/>
    </xf>
    <xf numFmtId="0" fontId="9" fillId="0" borderId="23" xfId="2" applyFont="1" applyFill="1" applyBorder="1" applyAlignment="1">
      <alignment horizontal="center" vertical="center" wrapText="1"/>
    </xf>
    <xf numFmtId="0" fontId="9" fillId="0" borderId="23" xfId="2" applyFont="1" applyFill="1" applyBorder="1" applyAlignment="1">
      <alignment horizontal="center" vertical="center" wrapText="1"/>
    </xf>
    <xf numFmtId="171" fontId="9" fillId="0" borderId="0" xfId="2" applyNumberFormat="1" applyFont="1" applyFill="1" applyBorder="1" applyAlignment="1">
      <alignment horizontal="center" vertical="center"/>
    </xf>
    <xf numFmtId="165" fontId="9" fillId="0" borderId="0" xfId="2" applyNumberFormat="1" applyFont="1" applyFill="1" applyBorder="1" applyAlignment="1">
      <alignment vertical="center"/>
    </xf>
    <xf numFmtId="0" fontId="5" fillId="0" borderId="0" xfId="2" applyNumberFormat="1" applyFont="1" applyFill="1" applyBorder="1" applyAlignment="1">
      <alignment vertical="center"/>
    </xf>
    <xf numFmtId="165" fontId="5" fillId="0" borderId="0" xfId="2" applyNumberFormat="1" applyFont="1" applyFill="1" applyBorder="1" applyAlignment="1">
      <alignment vertical="center"/>
    </xf>
    <xf numFmtId="2" fontId="9" fillId="0" borderId="23" xfId="64" applyNumberFormat="1" applyFont="1" applyFill="1" applyBorder="1" applyAlignment="1">
      <alignment horizontal="center" vertical="center"/>
    </xf>
    <xf numFmtId="2" fontId="9" fillId="0" borderId="23" xfId="64" applyNumberFormat="1" applyFont="1" applyFill="1" applyBorder="1" applyAlignment="1">
      <alignment horizontal="center"/>
    </xf>
    <xf numFmtId="165" fontId="9" fillId="0" borderId="14" xfId="64" applyFont="1" applyFill="1" applyBorder="1" applyAlignment="1">
      <alignment horizontal="left" vertical="center"/>
    </xf>
    <xf numFmtId="165" fontId="9" fillId="0" borderId="24" xfId="64" applyFont="1" applyFill="1" applyBorder="1" applyAlignment="1">
      <alignment horizontal="right"/>
    </xf>
    <xf numFmtId="165" fontId="9" fillId="0" borderId="24" xfId="64" applyFont="1" applyFill="1" applyBorder="1" applyAlignment="1">
      <alignment horizontal="left" wrapText="1"/>
    </xf>
    <xf numFmtId="165" fontId="5" fillId="0" borderId="14" xfId="64" applyFont="1" applyFill="1" applyBorder="1" applyAlignment="1">
      <alignment horizontal="left" vertical="center"/>
    </xf>
    <xf numFmtId="165" fontId="5" fillId="0" borderId="24" xfId="64" applyFont="1" applyFill="1" applyBorder="1" applyAlignment="1">
      <alignment horizontal="right"/>
    </xf>
    <xf numFmtId="165" fontId="5" fillId="0" borderId="24" xfId="64" applyFont="1" applyFill="1" applyBorder="1" applyAlignment="1">
      <alignment horizontal="left" wrapText="1"/>
    </xf>
    <xf numFmtId="165" fontId="5" fillId="0" borderId="0" xfId="64" applyFont="1" applyFill="1" applyBorder="1" applyAlignment="1">
      <alignment horizontal="right"/>
    </xf>
    <xf numFmtId="165" fontId="5" fillId="0" borderId="14" xfId="64" applyFont="1" applyFill="1" applyBorder="1" applyAlignment="1">
      <alignment horizontal="left" vertical="center" wrapText="1"/>
    </xf>
    <xf numFmtId="165" fontId="9" fillId="0" borderId="14" xfId="64" applyFont="1" applyFill="1" applyBorder="1" applyAlignment="1">
      <alignment horizontal="left" vertical="center" wrapText="1"/>
    </xf>
    <xf numFmtId="165" fontId="5" fillId="0" borderId="16" xfId="64" applyFont="1" applyFill="1" applyBorder="1" applyAlignment="1">
      <alignment horizontal="left" vertical="center"/>
    </xf>
    <xf numFmtId="165" fontId="9" fillId="0" borderId="6" xfId="64" applyFont="1" applyFill="1" applyBorder="1" applyAlignment="1">
      <alignment horizontal="left" wrapText="1"/>
    </xf>
    <xf numFmtId="165" fontId="9" fillId="0" borderId="6" xfId="64" applyFont="1" applyFill="1" applyBorder="1" applyAlignment="1">
      <alignment horizontal="right"/>
    </xf>
    <xf numFmtId="0" fontId="19" fillId="0" borderId="0" xfId="2" applyFont="1" applyFill="1" applyBorder="1" applyAlignment="1">
      <alignment horizontal="left" vertical="center" wrapText="1"/>
    </xf>
    <xf numFmtId="2" fontId="19" fillId="0" borderId="0" xfId="2" quotePrefix="1" applyNumberFormat="1" applyFont="1" applyFill="1" applyBorder="1" applyAlignment="1">
      <alignment vertical="center" wrapText="1"/>
    </xf>
    <xf numFmtId="165" fontId="9" fillId="0" borderId="0" xfId="64" applyFont="1" applyFill="1" applyBorder="1" applyAlignment="1">
      <alignment horizontal="right" vertical="center"/>
    </xf>
    <xf numFmtId="2" fontId="19" fillId="0" borderId="0" xfId="2" applyNumberFormat="1" applyFont="1" applyFill="1" applyBorder="1" applyAlignment="1">
      <alignment vertical="center"/>
    </xf>
    <xf numFmtId="2" fontId="19" fillId="0" borderId="0" xfId="2" applyNumberFormat="1" applyFont="1" applyFill="1" applyBorder="1" applyAlignment="1">
      <alignment horizontal="left" vertical="center"/>
    </xf>
    <xf numFmtId="2" fontId="18" fillId="0" borderId="0" xfId="2" applyNumberFormat="1" applyFont="1" applyFill="1" applyBorder="1" applyAlignment="1">
      <alignment vertical="center"/>
    </xf>
    <xf numFmtId="0" fontId="19" fillId="0" borderId="0" xfId="2" applyFont="1" applyFill="1" applyBorder="1" applyAlignment="1">
      <alignment vertical="center" wrapText="1"/>
    </xf>
    <xf numFmtId="2" fontId="18" fillId="0" borderId="0" xfId="2" applyNumberFormat="1" applyFont="1" applyFill="1" applyBorder="1" applyAlignment="1">
      <alignment horizontal="left" vertical="center"/>
    </xf>
    <xf numFmtId="2" fontId="19" fillId="0" borderId="0" xfId="56" applyNumberFormat="1" applyFont="1" applyFill="1" applyBorder="1" applyAlignment="1">
      <alignment vertical="center"/>
    </xf>
    <xf numFmtId="2" fontId="19" fillId="0" borderId="0" xfId="56" applyNumberFormat="1" applyFont="1" applyFill="1" applyBorder="1" applyAlignment="1">
      <alignment horizontal="center" vertical="center"/>
    </xf>
    <xf numFmtId="2" fontId="18" fillId="0" borderId="0" xfId="56" applyNumberFormat="1" applyFont="1" applyFill="1" applyBorder="1" applyAlignment="1">
      <alignment vertical="center"/>
    </xf>
    <xf numFmtId="0" fontId="5" fillId="0" borderId="35" xfId="2" applyFont="1" applyFill="1" applyBorder="1" applyAlignment="1">
      <alignment vertical="center"/>
    </xf>
    <xf numFmtId="2" fontId="9" fillId="0" borderId="0" xfId="2" applyNumberFormat="1" applyFont="1" applyFill="1" applyBorder="1" applyAlignment="1">
      <alignment vertical="center"/>
    </xf>
    <xf numFmtId="0" fontId="5" fillId="0" borderId="47" xfId="2" applyFont="1" applyFill="1" applyBorder="1" applyAlignment="1">
      <alignment vertical="center"/>
    </xf>
    <xf numFmtId="0" fontId="5" fillId="0" borderId="0" xfId="2" applyNumberFormat="1" applyFont="1" applyFill="1" applyBorder="1" applyAlignment="1">
      <alignment horizontal="right" vertical="center"/>
    </xf>
    <xf numFmtId="0" fontId="9" fillId="0" borderId="0" xfId="2" applyFont="1" applyFill="1" applyBorder="1" applyAlignment="1">
      <alignment horizontal="right" wrapText="1"/>
    </xf>
    <xf numFmtId="0" fontId="19" fillId="0" borderId="1" xfId="2" applyFont="1" applyFill="1" applyBorder="1" applyAlignment="1">
      <alignment vertical="center" wrapText="1"/>
    </xf>
    <xf numFmtId="0" fontId="19" fillId="0" borderId="1" xfId="2" applyFont="1" applyFill="1" applyBorder="1" applyAlignment="1">
      <alignment horizontal="right" wrapText="1"/>
    </xf>
    <xf numFmtId="0" fontId="19" fillId="0" borderId="0" xfId="2" applyFont="1" applyFill="1" applyBorder="1" applyAlignment="1">
      <alignment horizontal="right" wrapText="1"/>
    </xf>
    <xf numFmtId="0" fontId="19" fillId="0" borderId="0" xfId="2" applyFont="1" applyFill="1" applyBorder="1" applyAlignment="1">
      <alignment horizontal="right"/>
    </xf>
    <xf numFmtId="165" fontId="15" fillId="0" borderId="46" xfId="64" applyFont="1" applyFill="1" applyBorder="1" applyAlignment="1">
      <alignment vertical="center" wrapText="1"/>
    </xf>
    <xf numFmtId="0" fontId="9" fillId="0" borderId="46" xfId="2" applyFont="1" applyFill="1" applyBorder="1" applyAlignment="1">
      <alignment horizontal="right" wrapText="1"/>
    </xf>
    <xf numFmtId="0" fontId="9" fillId="0" borderId="26" xfId="2" applyFont="1" applyFill="1" applyBorder="1" applyAlignment="1">
      <alignment horizontal="right" wrapText="1"/>
    </xf>
    <xf numFmtId="0" fontId="9" fillId="0" borderId="24" xfId="2" applyFont="1" applyFill="1" applyBorder="1" applyAlignment="1">
      <alignment horizontal="right" wrapText="1"/>
    </xf>
    <xf numFmtId="165" fontId="15" fillId="0" borderId="39" xfId="64" applyFont="1" applyFill="1" applyBorder="1" applyAlignment="1">
      <alignment horizontal="right" wrapText="1"/>
    </xf>
    <xf numFmtId="2" fontId="16" fillId="0" borderId="46" xfId="64" applyNumberFormat="1" applyFont="1" applyFill="1" applyBorder="1" applyAlignment="1">
      <alignment horizontal="right"/>
    </xf>
    <xf numFmtId="171" fontId="5" fillId="0" borderId="46" xfId="2" applyNumberFormat="1" applyFont="1" applyFill="1" applyBorder="1" applyAlignment="1">
      <alignment horizontal="right"/>
    </xf>
    <xf numFmtId="171" fontId="5" fillId="0" borderId="46" xfId="2" applyNumberFormat="1" applyFont="1" applyFill="1" applyBorder="1" applyAlignment="1">
      <alignment horizontal="right" wrapText="1"/>
    </xf>
    <xf numFmtId="171" fontId="9" fillId="0" borderId="46" xfId="2" applyNumberFormat="1" applyFont="1" applyFill="1" applyBorder="1" applyAlignment="1">
      <alignment horizontal="right"/>
    </xf>
    <xf numFmtId="171" fontId="9" fillId="0" borderId="26" xfId="2" applyNumberFormat="1" applyFont="1" applyFill="1" applyBorder="1" applyAlignment="1">
      <alignment horizontal="right"/>
    </xf>
    <xf numFmtId="173" fontId="5" fillId="0" borderId="24" xfId="2" applyNumberFormat="1" applyFont="1" applyFill="1" applyBorder="1" applyAlignment="1">
      <alignment horizontal="right"/>
    </xf>
    <xf numFmtId="4" fontId="5" fillId="0" borderId="24" xfId="2" applyNumberFormat="1" applyFont="1" applyFill="1" applyBorder="1" applyAlignment="1">
      <alignment horizontal="right"/>
    </xf>
    <xf numFmtId="0" fontId="9" fillId="0" borderId="24" xfId="2" applyFont="1" applyFill="1" applyBorder="1" applyAlignment="1">
      <alignment horizontal="right"/>
    </xf>
    <xf numFmtId="0" fontId="9" fillId="0" borderId="46" xfId="2" applyFont="1" applyFill="1" applyBorder="1" applyAlignment="1">
      <alignment horizontal="right"/>
    </xf>
    <xf numFmtId="166" fontId="16" fillId="0" borderId="46" xfId="64" applyNumberFormat="1" applyFont="1" applyFill="1" applyBorder="1" applyAlignment="1">
      <alignment horizontal="right"/>
    </xf>
    <xf numFmtId="0" fontId="9" fillId="0" borderId="26" xfId="2" applyFont="1" applyFill="1" applyBorder="1" applyAlignment="1">
      <alignment horizontal="right"/>
    </xf>
    <xf numFmtId="165" fontId="16" fillId="0" borderId="24" xfId="64" applyFont="1" applyFill="1" applyBorder="1" applyAlignment="1">
      <alignment vertical="center" wrapText="1"/>
    </xf>
    <xf numFmtId="166" fontId="5" fillId="0" borderId="24" xfId="2" applyNumberFormat="1" applyFont="1" applyFill="1" applyBorder="1" applyAlignment="1">
      <alignment horizontal="right"/>
    </xf>
    <xf numFmtId="165" fontId="16" fillId="0" borderId="24" xfId="64" applyFont="1" applyFill="1" applyBorder="1" applyAlignment="1">
      <alignment horizontal="right"/>
    </xf>
    <xf numFmtId="165" fontId="16" fillId="0" borderId="4" xfId="64" applyFont="1" applyFill="1" applyBorder="1" applyAlignment="1">
      <alignment horizontal="right"/>
    </xf>
    <xf numFmtId="2" fontId="16" fillId="0" borderId="24" xfId="64" applyNumberFormat="1" applyFont="1" applyFill="1" applyBorder="1" applyAlignment="1">
      <alignment horizontal="right"/>
    </xf>
    <xf numFmtId="2" fontId="16" fillId="0" borderId="5" xfId="64" applyNumberFormat="1" applyFont="1" applyFill="1" applyBorder="1" applyAlignment="1">
      <alignment horizontal="right"/>
    </xf>
    <xf numFmtId="165" fontId="16" fillId="0" borderId="5" xfId="64" applyFont="1" applyFill="1" applyBorder="1" applyAlignment="1">
      <alignment horizontal="right" wrapText="1"/>
    </xf>
    <xf numFmtId="166" fontId="5" fillId="0" borderId="24" xfId="2" applyNumberFormat="1" applyFont="1" applyFill="1" applyBorder="1" applyAlignment="1">
      <alignment horizontal="right" wrapText="1"/>
    </xf>
    <xf numFmtId="165" fontId="5" fillId="0" borderId="4" xfId="64" applyFont="1" applyFill="1" applyBorder="1" applyAlignment="1">
      <alignment horizontal="right"/>
    </xf>
    <xf numFmtId="0" fontId="5" fillId="0" borderId="24" xfId="2" applyFont="1" applyFill="1" applyBorder="1" applyAlignment="1">
      <alignment horizontal="right"/>
    </xf>
    <xf numFmtId="165" fontId="15" fillId="0" borderId="24" xfId="64" applyFont="1" applyFill="1" applyBorder="1" applyAlignment="1">
      <alignment horizontal="right"/>
    </xf>
    <xf numFmtId="165" fontId="15" fillId="0" borderId="24" xfId="64" applyFont="1" applyFill="1" applyBorder="1" applyAlignment="1">
      <alignment vertical="center" wrapText="1"/>
    </xf>
    <xf numFmtId="165" fontId="15" fillId="0" borderId="4" xfId="64" applyFont="1" applyFill="1" applyBorder="1" applyAlignment="1">
      <alignment horizontal="right"/>
    </xf>
    <xf numFmtId="2" fontId="15" fillId="0" borderId="24" xfId="64" applyNumberFormat="1" applyFont="1" applyFill="1" applyBorder="1" applyAlignment="1">
      <alignment horizontal="right"/>
    </xf>
    <xf numFmtId="2" fontId="15" fillId="0" borderId="5" xfId="64" applyNumberFormat="1" applyFont="1" applyFill="1" applyBorder="1" applyAlignment="1">
      <alignment horizontal="right"/>
    </xf>
    <xf numFmtId="165" fontId="15" fillId="0" borderId="5" xfId="64" applyFont="1" applyFill="1" applyBorder="1" applyAlignment="1">
      <alignment horizontal="right" wrapText="1"/>
    </xf>
    <xf numFmtId="166" fontId="9" fillId="0" borderId="24" xfId="2" applyNumberFormat="1" applyFont="1" applyFill="1" applyBorder="1" applyAlignment="1">
      <alignment horizontal="right" wrapText="1"/>
    </xf>
    <xf numFmtId="165" fontId="9" fillId="0" borderId="4" xfId="64" applyFont="1" applyFill="1" applyBorder="1" applyAlignment="1">
      <alignment horizontal="right"/>
    </xf>
    <xf numFmtId="165" fontId="23" fillId="0" borderId="5" xfId="64" applyFont="1" applyFill="1" applyBorder="1" applyAlignment="1">
      <alignment horizontal="right" wrapText="1"/>
    </xf>
    <xf numFmtId="165" fontId="15" fillId="0" borderId="5" xfId="64" applyFont="1" applyFill="1" applyBorder="1" applyAlignment="1">
      <alignment horizontal="right"/>
    </xf>
    <xf numFmtId="165" fontId="15" fillId="0" borderId="6" xfId="64" applyFont="1" applyFill="1" applyBorder="1" applyAlignment="1">
      <alignment vertical="center" wrapText="1"/>
    </xf>
    <xf numFmtId="165" fontId="15" fillId="0" borderId="6" xfId="64" applyFont="1" applyFill="1" applyBorder="1" applyAlignment="1">
      <alignment horizontal="right"/>
    </xf>
    <xf numFmtId="165" fontId="15" fillId="0" borderId="17" xfId="64" applyFont="1" applyFill="1" applyBorder="1" applyAlignment="1">
      <alignment horizontal="right"/>
    </xf>
    <xf numFmtId="165" fontId="15" fillId="0" borderId="6" xfId="64" applyFont="1" applyFill="1" applyBorder="1" applyAlignment="1">
      <alignment horizontal="right" wrapText="1"/>
    </xf>
    <xf numFmtId="165" fontId="9" fillId="0" borderId="17" xfId="64" applyFont="1" applyFill="1" applyBorder="1" applyAlignment="1">
      <alignment horizontal="right"/>
    </xf>
    <xf numFmtId="0" fontId="9" fillId="0" borderId="23" xfId="2" applyFont="1" applyFill="1" applyBorder="1" applyAlignment="1">
      <alignment horizontal="center" vertical="center" wrapText="1"/>
    </xf>
    <xf numFmtId="0" fontId="9" fillId="0" borderId="43" xfId="2" applyFont="1" applyFill="1" applyBorder="1" applyAlignment="1">
      <alignment horizontal="center" vertical="center" wrapText="1"/>
    </xf>
    <xf numFmtId="168" fontId="9" fillId="0" borderId="23" xfId="2" applyNumberFormat="1" applyFont="1" applyFill="1" applyBorder="1" applyAlignment="1">
      <alignment horizontal="center" vertical="center" wrapText="1"/>
    </xf>
    <xf numFmtId="168" fontId="9" fillId="0" borderId="43" xfId="2" applyNumberFormat="1" applyFont="1" applyFill="1" applyBorder="1" applyAlignment="1">
      <alignment horizontal="center" vertical="center" wrapText="1"/>
    </xf>
    <xf numFmtId="168" fontId="15" fillId="0" borderId="23" xfId="64" applyNumberFormat="1" applyFont="1" applyFill="1" applyBorder="1" applyAlignment="1">
      <alignment horizontal="center" vertical="center"/>
    </xf>
    <xf numFmtId="168" fontId="15" fillId="0" borderId="14" xfId="64" applyNumberFormat="1" applyFont="1" applyFill="1" applyBorder="1" applyAlignment="1">
      <alignment horizontal="center" vertical="center"/>
    </xf>
    <xf numFmtId="168" fontId="15" fillId="0" borderId="21" xfId="64" applyNumberFormat="1" applyFont="1" applyFill="1" applyBorder="1" applyAlignment="1">
      <alignment horizontal="center" vertical="center"/>
    </xf>
    <xf numFmtId="168" fontId="15" fillId="0" borderId="13" xfId="64" applyNumberFormat="1" applyFont="1" applyFill="1" applyBorder="1" applyAlignment="1">
      <alignment horizontal="center" vertical="center"/>
    </xf>
    <xf numFmtId="43" fontId="5" fillId="0" borderId="0" xfId="2" applyNumberFormat="1" applyFont="1" applyFill="1" applyBorder="1" applyAlignment="1">
      <alignment vertical="center"/>
    </xf>
    <xf numFmtId="0" fontId="15" fillId="0" borderId="0" xfId="57" applyFont="1" applyFill="1" applyAlignment="1">
      <alignment vertical="center"/>
    </xf>
    <xf numFmtId="0" fontId="16" fillId="0" borderId="0" xfId="57" applyFont="1" applyFill="1" applyAlignment="1">
      <alignment vertical="center"/>
    </xf>
    <xf numFmtId="0" fontId="15" fillId="0" borderId="0" xfId="57" applyFont="1" applyFill="1" applyAlignment="1">
      <alignment vertical="center" wrapText="1"/>
    </xf>
    <xf numFmtId="0" fontId="15" fillId="0" borderId="5" xfId="57" applyFont="1" applyFill="1" applyBorder="1" applyAlignment="1">
      <alignment vertical="center"/>
    </xf>
    <xf numFmtId="0" fontId="9" fillId="0" borderId="3" xfId="12" applyFont="1" applyFill="1" applyBorder="1" applyAlignment="1">
      <alignment horizontal="center" vertical="center" wrapText="1"/>
    </xf>
    <xf numFmtId="0" fontId="9" fillId="0" borderId="24" xfId="12" applyFont="1" applyFill="1" applyBorder="1" applyAlignment="1">
      <alignment horizontal="center" vertical="center" wrapText="1"/>
    </xf>
    <xf numFmtId="0" fontId="16" fillId="0" borderId="5" xfId="57" applyFont="1" applyFill="1" applyBorder="1" applyAlignment="1">
      <alignment vertical="center"/>
    </xf>
    <xf numFmtId="169" fontId="31" fillId="0" borderId="3" xfId="56" applyNumberFormat="1" applyFont="1" applyFill="1" applyBorder="1" applyAlignment="1">
      <alignment horizontal="right" vertical="center"/>
    </xf>
    <xf numFmtId="169" fontId="31" fillId="0" borderId="24" xfId="56" applyNumberFormat="1" applyFont="1" applyFill="1" applyBorder="1" applyAlignment="1">
      <alignment horizontal="right" vertical="center"/>
    </xf>
    <xf numFmtId="169" fontId="31" fillId="0" borderId="3" xfId="56" quotePrefix="1" applyNumberFormat="1" applyFont="1" applyFill="1" applyBorder="1" applyAlignment="1">
      <alignment horizontal="right" vertical="center"/>
    </xf>
    <xf numFmtId="169" fontId="31" fillId="0" borderId="24" xfId="56" quotePrefix="1" applyNumberFormat="1" applyFont="1" applyFill="1" applyBorder="1" applyAlignment="1">
      <alignment horizontal="right" vertical="center"/>
    </xf>
    <xf numFmtId="169" fontId="5" fillId="0" borderId="3" xfId="12" applyNumberFormat="1" applyFill="1" applyBorder="1" applyAlignment="1">
      <alignment horizontal="right"/>
    </xf>
    <xf numFmtId="0" fontId="16" fillId="0" borderId="7" xfId="57" applyFont="1" applyFill="1" applyBorder="1" applyAlignment="1">
      <alignment vertical="center"/>
    </xf>
    <xf numFmtId="169" fontId="5" fillId="0" borderId="6" xfId="12" applyNumberFormat="1" applyFill="1" applyBorder="1" applyAlignment="1">
      <alignment horizontal="right"/>
    </xf>
    <xf numFmtId="0" fontId="16" fillId="0" borderId="0" xfId="57" applyFont="1" applyFill="1" applyBorder="1" applyAlignment="1">
      <alignment vertical="center"/>
    </xf>
    <xf numFmtId="0" fontId="5" fillId="0" borderId="0" xfId="12" applyFill="1" applyBorder="1" applyAlignment="1">
      <alignment horizontal="right"/>
    </xf>
    <xf numFmtId="0" fontId="5" fillId="0" borderId="0" xfId="12" applyFont="1" applyFill="1"/>
    <xf numFmtId="1" fontId="31" fillId="0" borderId="0" xfId="56" applyNumberFormat="1" applyFont="1" applyFill="1" applyBorder="1" applyAlignment="1">
      <alignment horizontal="right" vertical="center"/>
    </xf>
    <xf numFmtId="2" fontId="31" fillId="0" borderId="0" xfId="56" applyNumberFormat="1" applyFont="1" applyFill="1" applyBorder="1" applyAlignment="1">
      <alignment horizontal="right" vertical="center"/>
    </xf>
    <xf numFmtId="0" fontId="16" fillId="0" borderId="0" xfId="57" applyFont="1" applyFill="1" applyBorder="1" applyAlignment="1">
      <alignment horizontal="right" vertical="center"/>
    </xf>
    <xf numFmtId="2" fontId="16" fillId="0" borderId="0" xfId="57" applyNumberFormat="1" applyFont="1" applyFill="1" applyBorder="1" applyAlignment="1">
      <alignment horizontal="right" vertical="center"/>
    </xf>
    <xf numFmtId="0" fontId="9" fillId="0" borderId="0" xfId="12" applyFont="1" applyFill="1"/>
    <xf numFmtId="0" fontId="9" fillId="0" borderId="2" xfId="2" applyFont="1" applyBorder="1" applyAlignment="1">
      <alignment horizontal="center" vertical="center" wrapText="1"/>
    </xf>
    <xf numFmtId="0" fontId="15" fillId="0" borderId="2" xfId="2" applyFont="1" applyFill="1" applyBorder="1" applyAlignment="1">
      <alignment horizontal="center" vertical="center" wrapText="1"/>
    </xf>
    <xf numFmtId="0" fontId="1" fillId="5" borderId="0" xfId="22" applyFont="1" applyFill="1" applyBorder="1" applyAlignment="1">
      <alignment horizontal="center" vertical="center" wrapText="1"/>
    </xf>
    <xf numFmtId="0" fontId="1" fillId="6" borderId="0" xfId="22" applyFont="1" applyFill="1" applyBorder="1" applyAlignment="1">
      <alignment horizontal="center" vertical="center" wrapText="1"/>
    </xf>
    <xf numFmtId="0" fontId="1" fillId="7" borderId="0" xfId="22" applyFont="1" applyFill="1" applyBorder="1" applyAlignment="1">
      <alignment horizontal="center" vertical="center" wrapText="1"/>
    </xf>
    <xf numFmtId="0" fontId="9" fillId="0" borderId="0" xfId="2" applyFont="1" applyBorder="1" applyAlignment="1">
      <alignment horizontal="center" vertical="center"/>
    </xf>
    <xf numFmtId="0" fontId="5" fillId="0" borderId="1" xfId="3" applyFont="1" applyFill="1" applyBorder="1" applyAlignment="1">
      <alignment horizontal="right" vertical="center"/>
    </xf>
    <xf numFmtId="0" fontId="9" fillId="0" borderId="28" xfId="3" applyFont="1" applyFill="1" applyBorder="1" applyAlignment="1">
      <alignment horizontal="center" vertical="center"/>
    </xf>
    <xf numFmtId="0" fontId="9" fillId="0" borderId="28" xfId="3" applyFont="1" applyFill="1" applyBorder="1" applyAlignment="1">
      <alignment horizontal="center" vertical="center" wrapText="1"/>
    </xf>
    <xf numFmtId="1" fontId="9" fillId="0" borderId="40" xfId="3" applyNumberFormat="1" applyFont="1" applyFill="1" applyBorder="1" applyAlignment="1">
      <alignment horizontal="center" vertical="center"/>
    </xf>
    <xf numFmtId="1" fontId="9" fillId="0" borderId="41" xfId="3" applyNumberFormat="1" applyFont="1" applyFill="1" applyBorder="1" applyAlignment="1">
      <alignment horizontal="center" vertical="center"/>
    </xf>
    <xf numFmtId="1" fontId="9" fillId="0" borderId="42" xfId="3" applyNumberFormat="1" applyFont="1" applyFill="1" applyBorder="1" applyAlignment="1">
      <alignment horizontal="center" vertical="center"/>
    </xf>
    <xf numFmtId="1" fontId="9" fillId="0" borderId="38" xfId="3" applyNumberFormat="1" applyFont="1" applyFill="1" applyBorder="1" applyAlignment="1">
      <alignment horizontal="center" vertical="center"/>
    </xf>
    <xf numFmtId="2" fontId="5" fillId="0" borderId="1" xfId="3" applyNumberFormat="1" applyFont="1" applyFill="1" applyBorder="1" applyAlignment="1">
      <alignment horizontal="right"/>
    </xf>
    <xf numFmtId="2" fontId="9" fillId="0" borderId="2" xfId="3" applyNumberFormat="1" applyFont="1" applyFill="1" applyBorder="1" applyAlignment="1">
      <alignment horizontal="center" vertical="center" wrapText="1"/>
    </xf>
    <xf numFmtId="2" fontId="9" fillId="0" borderId="40" xfId="3" applyNumberFormat="1" applyFont="1" applyFill="1" applyBorder="1" applyAlignment="1">
      <alignment horizontal="center" vertical="center" wrapText="1"/>
    </xf>
    <xf numFmtId="2" fontId="9" fillId="0" borderId="41" xfId="3" applyNumberFormat="1" applyFont="1" applyFill="1" applyBorder="1" applyAlignment="1">
      <alignment horizontal="center" vertical="center" wrapText="1"/>
    </xf>
    <xf numFmtId="2" fontId="9" fillId="0" borderId="42" xfId="3" applyNumberFormat="1" applyFont="1" applyFill="1" applyBorder="1" applyAlignment="1">
      <alignment horizontal="center" vertical="center" wrapText="1"/>
    </xf>
    <xf numFmtId="2" fontId="9" fillId="0" borderId="38" xfId="3" applyNumberFormat="1" applyFont="1" applyFill="1" applyBorder="1" applyAlignment="1">
      <alignment horizontal="center" vertical="center" wrapText="1"/>
    </xf>
    <xf numFmtId="2" fontId="9" fillId="0" borderId="40" xfId="3" quotePrefix="1" applyNumberFormat="1" applyFont="1" applyFill="1" applyBorder="1" applyAlignment="1">
      <alignment horizontal="center" vertical="center" wrapText="1"/>
    </xf>
    <xf numFmtId="2" fontId="9" fillId="0" borderId="41" xfId="3" quotePrefix="1" applyNumberFormat="1" applyFont="1" applyFill="1" applyBorder="1" applyAlignment="1">
      <alignment horizontal="center" vertical="center" wrapText="1"/>
    </xf>
    <xf numFmtId="2" fontId="9" fillId="0" borderId="42" xfId="3" quotePrefix="1" applyNumberFormat="1" applyFont="1" applyFill="1" applyBorder="1" applyAlignment="1">
      <alignment horizontal="center" vertical="center" wrapText="1"/>
    </xf>
    <xf numFmtId="0" fontId="9" fillId="0" borderId="40" xfId="3" quotePrefix="1" applyFont="1" applyFill="1" applyBorder="1" applyAlignment="1">
      <alignment horizontal="center" vertical="center"/>
    </xf>
    <xf numFmtId="0" fontId="9" fillId="0" borderId="41" xfId="3" quotePrefix="1" applyFont="1" applyFill="1" applyBorder="1" applyAlignment="1">
      <alignment horizontal="center" vertical="center"/>
    </xf>
    <xf numFmtId="0" fontId="9" fillId="0" borderId="42" xfId="3" quotePrefix="1" applyFont="1" applyFill="1" applyBorder="1" applyAlignment="1">
      <alignment horizontal="center" vertical="center"/>
    </xf>
    <xf numFmtId="0" fontId="9" fillId="0" borderId="40" xfId="3" applyFont="1" applyFill="1" applyBorder="1" applyAlignment="1">
      <alignment horizontal="center" vertical="center"/>
    </xf>
    <xf numFmtId="0" fontId="9" fillId="0" borderId="41" xfId="3" applyFont="1" applyFill="1" applyBorder="1" applyAlignment="1">
      <alignment horizontal="center" vertical="center"/>
    </xf>
    <xf numFmtId="0" fontId="9" fillId="0" borderId="42" xfId="3" applyFont="1" applyFill="1" applyBorder="1" applyAlignment="1">
      <alignment horizontal="center" vertical="center"/>
    </xf>
    <xf numFmtId="0" fontId="9" fillId="0" borderId="38" xfId="3" quotePrefix="1" applyFont="1" applyFill="1" applyBorder="1" applyAlignment="1">
      <alignment horizontal="center" vertical="center"/>
    </xf>
    <xf numFmtId="0" fontId="9" fillId="0" borderId="38" xfId="3" applyFont="1" applyFill="1" applyBorder="1" applyAlignment="1">
      <alignment horizontal="center" vertical="center"/>
    </xf>
    <xf numFmtId="0" fontId="9" fillId="0" borderId="31" xfId="3" applyFont="1" applyBorder="1" applyAlignment="1">
      <alignment horizontal="center" vertical="center"/>
    </xf>
    <xf numFmtId="0" fontId="9" fillId="0" borderId="31" xfId="3" applyFont="1" applyFill="1" applyBorder="1" applyAlignment="1">
      <alignment horizontal="center" vertical="center"/>
    </xf>
    <xf numFmtId="2" fontId="15" fillId="0" borderId="43" xfId="21" applyNumberFormat="1" applyFont="1" applyFill="1" applyBorder="1" applyAlignment="1" applyProtection="1">
      <alignment horizontal="center" vertical="center" wrapText="1"/>
      <protection locked="0"/>
    </xf>
    <xf numFmtId="2" fontId="15" fillId="0" borderId="44" xfId="21" applyNumberFormat="1" applyFont="1" applyFill="1" applyBorder="1" applyAlignment="1" applyProtection="1">
      <alignment horizontal="center" vertical="center" wrapText="1"/>
      <protection locked="0"/>
    </xf>
    <xf numFmtId="2" fontId="15" fillId="0" borderId="45" xfId="21" applyNumberFormat="1" applyFont="1" applyFill="1" applyBorder="1" applyAlignment="1" applyProtection="1">
      <alignment horizontal="center" vertical="center" wrapText="1"/>
      <protection locked="0"/>
    </xf>
    <xf numFmtId="165" fontId="15" fillId="0" borderId="23" xfId="44" applyFont="1" applyFill="1" applyBorder="1" applyAlignment="1" applyProtection="1">
      <alignment horizontal="center" vertical="center" wrapText="1"/>
      <protection locked="0"/>
    </xf>
    <xf numFmtId="2" fontId="15" fillId="0" borderId="43" xfId="18" applyNumberFormat="1" applyFont="1" applyFill="1" applyBorder="1" applyAlignment="1" applyProtection="1">
      <alignment horizontal="center" vertical="center" wrapText="1"/>
      <protection locked="0"/>
    </xf>
    <xf numFmtId="2" fontId="15" fillId="0" borderId="44" xfId="18" applyNumberFormat="1" applyFont="1" applyFill="1" applyBorder="1" applyAlignment="1" applyProtection="1">
      <alignment horizontal="center" vertical="center" wrapText="1"/>
      <protection locked="0"/>
    </xf>
    <xf numFmtId="2" fontId="15" fillId="0" borderId="45" xfId="18" applyNumberFormat="1" applyFont="1" applyFill="1" applyBorder="1" applyAlignment="1" applyProtection="1">
      <alignment horizontal="center" vertical="center" wrapText="1"/>
      <protection locked="0"/>
    </xf>
    <xf numFmtId="0" fontId="16" fillId="0" borderId="1" xfId="0" applyFont="1" applyFill="1" applyBorder="1" applyAlignment="1" applyProtection="1">
      <alignment horizontal="right"/>
      <protection locked="0"/>
    </xf>
    <xf numFmtId="0" fontId="9" fillId="0" borderId="0" xfId="3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0" borderId="32" xfId="3" applyFont="1" applyBorder="1" applyAlignment="1">
      <alignment horizontal="left" vertical="top" wrapText="1"/>
    </xf>
    <xf numFmtId="0" fontId="9" fillId="0" borderId="24" xfId="3" applyFont="1" applyBorder="1" applyAlignment="1">
      <alignment horizontal="left" vertical="top" wrapText="1"/>
    </xf>
    <xf numFmtId="0" fontId="9" fillId="0" borderId="6" xfId="3" applyFont="1" applyBorder="1" applyAlignment="1">
      <alignment horizontal="left" vertical="top" wrapText="1"/>
    </xf>
    <xf numFmtId="0" fontId="5" fillId="0" borderId="0" xfId="0" applyFont="1" applyBorder="1" applyAlignment="1">
      <alignment horizontal="center" vertical="center"/>
    </xf>
    <xf numFmtId="0" fontId="9" fillId="0" borderId="0" xfId="0" quotePrefix="1" applyFont="1" applyBorder="1" applyAlignment="1">
      <alignment horizontal="center" vertical="center"/>
    </xf>
    <xf numFmtId="0" fontId="5" fillId="0" borderId="1" xfId="20" applyFont="1" applyFill="1" applyBorder="1" applyAlignment="1">
      <alignment horizontal="right" vertical="top"/>
    </xf>
    <xf numFmtId="49" fontId="9" fillId="0" borderId="23" xfId="20" applyNumberFormat="1" applyFont="1" applyFill="1" applyBorder="1" applyAlignment="1">
      <alignment horizontal="center" vertical="center" wrapText="1"/>
    </xf>
    <xf numFmtId="0" fontId="9" fillId="0" borderId="23" xfId="20" applyFont="1" applyFill="1" applyBorder="1" applyAlignment="1">
      <alignment horizontal="center" vertical="center" wrapText="1"/>
    </xf>
    <xf numFmtId="49" fontId="9" fillId="0" borderId="23" xfId="20" quotePrefix="1" applyNumberFormat="1" applyFont="1" applyFill="1" applyBorder="1" applyAlignment="1">
      <alignment horizontal="center" vertical="center" wrapText="1"/>
    </xf>
    <xf numFmtId="49" fontId="9" fillId="0" borderId="23" xfId="20" quotePrefix="1" applyNumberFormat="1" applyFont="1" applyFill="1" applyBorder="1" applyAlignment="1">
      <alignment vertical="center" wrapText="1"/>
    </xf>
    <xf numFmtId="49" fontId="9" fillId="0" borderId="23" xfId="20" applyNumberFormat="1" applyFont="1" applyFill="1" applyBorder="1" applyAlignment="1">
      <alignment vertical="center" wrapText="1"/>
    </xf>
    <xf numFmtId="49" fontId="9" fillId="0" borderId="23" xfId="2" applyNumberFormat="1" applyFont="1" applyFill="1" applyBorder="1" applyAlignment="1">
      <alignment horizontal="center" vertical="center" wrapText="1"/>
    </xf>
    <xf numFmtId="49" fontId="9" fillId="0" borderId="23" xfId="20" applyNumberFormat="1" applyFont="1" applyFill="1" applyBorder="1" applyAlignment="1">
      <alignment horizontal="center" vertical="center"/>
    </xf>
    <xf numFmtId="1" fontId="9" fillId="0" borderId="0" xfId="2" applyNumberFormat="1" applyFont="1" applyFill="1" applyBorder="1" applyAlignment="1">
      <alignment horizontal="center" vertical="center" wrapText="1"/>
    </xf>
    <xf numFmtId="0" fontId="5" fillId="2" borderId="0" xfId="2" applyFont="1" applyFill="1" applyBorder="1" applyAlignment="1">
      <alignment horizontal="left" vertical="center" wrapText="1"/>
    </xf>
    <xf numFmtId="0" fontId="5" fillId="0" borderId="0" xfId="2" applyFont="1" applyFill="1" applyBorder="1" applyAlignment="1">
      <alignment horizontal="left" vertical="center" wrapText="1"/>
    </xf>
    <xf numFmtId="0" fontId="9" fillId="0" borderId="23" xfId="2" applyFont="1" applyBorder="1" applyAlignment="1">
      <alignment horizontal="center" vertical="center"/>
    </xf>
    <xf numFmtId="0" fontId="9" fillId="0" borderId="23" xfId="2" applyFont="1" applyFill="1" applyBorder="1" applyAlignment="1">
      <alignment horizontal="center" vertical="center"/>
    </xf>
    <xf numFmtId="2" fontId="9" fillId="0" borderId="43" xfId="64" applyNumberFormat="1" applyFont="1" applyFill="1" applyBorder="1" applyAlignment="1">
      <alignment horizontal="center" vertical="center" wrapText="1"/>
    </xf>
    <xf numFmtId="2" fontId="9" fillId="0" borderId="44" xfId="64" applyNumberFormat="1" applyFont="1" applyFill="1" applyBorder="1" applyAlignment="1">
      <alignment horizontal="center" vertical="center" wrapText="1"/>
    </xf>
    <xf numFmtId="2" fontId="9" fillId="0" borderId="45" xfId="64" applyNumberFormat="1" applyFont="1" applyFill="1" applyBorder="1" applyAlignment="1">
      <alignment horizontal="center" vertical="center" wrapText="1"/>
    </xf>
    <xf numFmtId="0" fontId="9" fillId="0" borderId="23" xfId="2" applyFont="1" applyFill="1" applyBorder="1" applyAlignment="1">
      <alignment horizontal="center" vertical="center" wrapText="1"/>
    </xf>
    <xf numFmtId="2" fontId="9" fillId="0" borderId="43" xfId="64" applyNumberFormat="1" applyFont="1" applyFill="1" applyBorder="1" applyAlignment="1">
      <alignment horizontal="center" vertical="center"/>
    </xf>
    <xf numFmtId="2" fontId="9" fillId="0" borderId="44" xfId="64" applyNumberFormat="1" applyFont="1" applyFill="1" applyBorder="1" applyAlignment="1">
      <alignment horizontal="center" vertical="center"/>
    </xf>
    <xf numFmtId="2" fontId="9" fillId="0" borderId="45" xfId="64" applyNumberFormat="1" applyFont="1" applyFill="1" applyBorder="1" applyAlignment="1">
      <alignment horizontal="center" vertical="center"/>
    </xf>
    <xf numFmtId="0" fontId="9" fillId="0" borderId="43" xfId="2" applyFont="1" applyFill="1" applyBorder="1" applyAlignment="1">
      <alignment horizontal="center" vertical="center" wrapText="1"/>
    </xf>
    <xf numFmtId="0" fontId="9" fillId="0" borderId="44" xfId="2" applyFont="1" applyFill="1" applyBorder="1" applyAlignment="1">
      <alignment horizontal="center" vertical="center" wrapText="1"/>
    </xf>
    <xf numFmtId="0" fontId="9" fillId="0" borderId="45" xfId="2" applyFont="1" applyFill="1" applyBorder="1" applyAlignment="1">
      <alignment horizontal="center" vertical="center" wrapText="1"/>
    </xf>
    <xf numFmtId="0" fontId="9" fillId="0" borderId="43" xfId="2" quotePrefix="1" applyFont="1" applyFill="1" applyBorder="1" applyAlignment="1">
      <alignment horizontal="center" vertical="center" wrapText="1"/>
    </xf>
    <xf numFmtId="0" fontId="9" fillId="0" borderId="44" xfId="2" quotePrefix="1" applyFont="1" applyFill="1" applyBorder="1" applyAlignment="1">
      <alignment horizontal="center" vertical="center" wrapText="1"/>
    </xf>
    <xf numFmtId="0" fontId="9" fillId="0" borderId="45" xfId="2" quotePrefix="1" applyFont="1" applyFill="1" applyBorder="1" applyAlignment="1">
      <alignment horizontal="center" vertical="center" wrapText="1"/>
    </xf>
    <xf numFmtId="0" fontId="9" fillId="0" borderId="43" xfId="2" applyFont="1" applyFill="1" applyBorder="1" applyAlignment="1">
      <alignment horizontal="center" vertical="center"/>
    </xf>
    <xf numFmtId="0" fontId="9" fillId="0" borderId="44" xfId="2" applyFont="1" applyFill="1" applyBorder="1" applyAlignment="1">
      <alignment horizontal="center" vertical="center"/>
    </xf>
    <xf numFmtId="0" fontId="9" fillId="0" borderId="45" xfId="2" applyFont="1" applyFill="1" applyBorder="1" applyAlignment="1">
      <alignment horizontal="center" vertical="center"/>
    </xf>
    <xf numFmtId="171" fontId="9" fillId="0" borderId="43" xfId="2" applyNumberFormat="1" applyFont="1" applyFill="1" applyBorder="1" applyAlignment="1">
      <alignment horizontal="center" vertical="center" wrapText="1"/>
    </xf>
    <xf numFmtId="171" fontId="9" fillId="0" borderId="44" xfId="2" applyNumberFormat="1" applyFont="1" applyFill="1" applyBorder="1" applyAlignment="1">
      <alignment horizontal="center" vertical="center" wrapText="1"/>
    </xf>
    <xf numFmtId="171" fontId="9" fillId="0" borderId="45" xfId="2" applyNumberFormat="1" applyFont="1" applyFill="1" applyBorder="1" applyAlignment="1">
      <alignment horizontal="center" vertical="center" wrapText="1"/>
    </xf>
    <xf numFmtId="0" fontId="9" fillId="0" borderId="25" xfId="2" applyFont="1" applyFill="1" applyBorder="1" applyAlignment="1">
      <alignment horizontal="center" vertical="center" wrapText="1"/>
    </xf>
    <xf numFmtId="2" fontId="9" fillId="0" borderId="23" xfId="64" applyNumberFormat="1" applyFont="1" applyFill="1" applyBorder="1" applyAlignment="1">
      <alignment horizontal="center" vertical="center" wrapText="1"/>
    </xf>
    <xf numFmtId="2" fontId="15" fillId="0" borderId="43" xfId="64" applyNumberFormat="1" applyFont="1" applyFill="1" applyBorder="1" applyAlignment="1">
      <alignment horizontal="center" wrapText="1"/>
    </xf>
    <xf numFmtId="2" fontId="15" fillId="0" borderId="44" xfId="64" applyNumberFormat="1" applyFont="1" applyFill="1" applyBorder="1" applyAlignment="1">
      <alignment horizontal="center" wrapText="1"/>
    </xf>
    <xf numFmtId="2" fontId="15" fillId="0" borderId="45" xfId="64" applyNumberFormat="1" applyFont="1" applyFill="1" applyBorder="1" applyAlignment="1">
      <alignment horizontal="center" wrapText="1"/>
    </xf>
    <xf numFmtId="2" fontId="15" fillId="0" borderId="18" xfId="64" applyNumberFormat="1" applyFont="1" applyFill="1" applyBorder="1" applyAlignment="1">
      <alignment horizontal="center" wrapText="1"/>
    </xf>
    <xf numFmtId="2" fontId="15" fillId="0" borderId="48" xfId="64" applyNumberFormat="1" applyFont="1" applyFill="1" applyBorder="1" applyAlignment="1">
      <alignment horizontal="center" wrapText="1"/>
    </xf>
    <xf numFmtId="0" fontId="9" fillId="0" borderId="43" xfId="2" applyFont="1" applyFill="1" applyBorder="1" applyAlignment="1">
      <alignment horizontal="center"/>
    </xf>
    <xf numFmtId="0" fontId="9" fillId="0" borderId="44" xfId="2" applyFont="1" applyFill="1" applyBorder="1" applyAlignment="1">
      <alignment horizontal="center"/>
    </xf>
    <xf numFmtId="0" fontId="9" fillId="0" borderId="45" xfId="2" applyFont="1" applyFill="1" applyBorder="1" applyAlignment="1">
      <alignment horizontal="center"/>
    </xf>
    <xf numFmtId="0" fontId="9" fillId="0" borderId="43" xfId="2" applyFont="1" applyFill="1" applyBorder="1" applyAlignment="1">
      <alignment horizontal="center" wrapText="1"/>
    </xf>
    <xf numFmtId="0" fontId="9" fillId="0" borderId="44" xfId="2" applyFont="1" applyFill="1" applyBorder="1" applyAlignment="1">
      <alignment horizontal="center" wrapText="1"/>
    </xf>
    <xf numFmtId="0" fontId="9" fillId="0" borderId="45" xfId="2" applyFont="1" applyFill="1" applyBorder="1" applyAlignment="1">
      <alignment horizontal="center" wrapText="1"/>
    </xf>
    <xf numFmtId="0" fontId="9" fillId="0" borderId="23" xfId="0" applyFont="1" applyFill="1" applyBorder="1" applyAlignment="1">
      <alignment horizontal="center"/>
    </xf>
    <xf numFmtId="0" fontId="9" fillId="0" borderId="25" xfId="61" applyFont="1" applyFill="1" applyBorder="1" applyAlignment="1">
      <alignment horizontal="center" vertical="center" wrapText="1"/>
    </xf>
    <xf numFmtId="0" fontId="9" fillId="0" borderId="44" xfId="61" applyFont="1" applyFill="1" applyBorder="1" applyAlignment="1">
      <alignment horizontal="center" vertical="center" wrapText="1"/>
    </xf>
    <xf numFmtId="0" fontId="9" fillId="0" borderId="45" xfId="61" applyFont="1" applyFill="1" applyBorder="1" applyAlignment="1">
      <alignment horizontal="center" vertical="center" wrapText="1"/>
    </xf>
    <xf numFmtId="0" fontId="9" fillId="0" borderId="25" xfId="61" quotePrefix="1" applyFont="1" applyFill="1" applyBorder="1" applyAlignment="1">
      <alignment horizontal="center" vertical="center" wrapText="1"/>
    </xf>
    <xf numFmtId="0" fontId="9" fillId="0" borderId="44" xfId="61" quotePrefix="1" applyFont="1" applyFill="1" applyBorder="1" applyAlignment="1">
      <alignment horizontal="center" vertical="center" wrapText="1"/>
    </xf>
    <xf numFmtId="0" fontId="9" fillId="0" borderId="45" xfId="61" quotePrefix="1" applyFont="1" applyFill="1" applyBorder="1" applyAlignment="1">
      <alignment horizontal="center" vertical="center" wrapText="1"/>
    </xf>
    <xf numFmtId="0" fontId="9" fillId="0" borderId="23" xfId="12" applyFont="1" applyFill="1" applyBorder="1" applyAlignment="1">
      <alignment horizontal="center" vertical="center"/>
    </xf>
    <xf numFmtId="0" fontId="15" fillId="0" borderId="23" xfId="12" applyFont="1" applyFill="1" applyBorder="1" applyAlignment="1">
      <alignment horizontal="center" vertical="center" wrapText="1"/>
    </xf>
    <xf numFmtId="0" fontId="15" fillId="0" borderId="23" xfId="12" applyFont="1" applyFill="1" applyBorder="1" applyAlignment="1">
      <alignment horizontal="center" vertical="center"/>
    </xf>
    <xf numFmtId="3" fontId="9" fillId="0" borderId="23" xfId="58" applyNumberFormat="1" applyFont="1" applyFill="1" applyBorder="1" applyAlignment="1">
      <alignment horizontal="center" vertical="center"/>
    </xf>
    <xf numFmtId="0" fontId="15" fillId="0" borderId="25" xfId="12" applyFont="1" applyFill="1" applyBorder="1" applyAlignment="1">
      <alignment horizontal="center" wrapText="1"/>
    </xf>
    <xf numFmtId="0" fontId="15" fillId="0" borderId="44" xfId="12" applyFont="1" applyFill="1" applyBorder="1" applyAlignment="1">
      <alignment horizontal="center" wrapText="1"/>
    </xf>
    <xf numFmtId="0" fontId="15" fillId="0" borderId="45" xfId="12" applyFont="1" applyFill="1" applyBorder="1" applyAlignment="1">
      <alignment horizontal="center" wrapText="1"/>
    </xf>
    <xf numFmtId="0" fontId="9" fillId="0" borderId="43" xfId="2" applyFont="1" applyBorder="1" applyAlignment="1">
      <alignment horizontal="center" vertical="center" wrapText="1"/>
    </xf>
    <xf numFmtId="0" fontId="9" fillId="0" borderId="44" xfId="2" applyFont="1" applyBorder="1" applyAlignment="1">
      <alignment horizontal="center" vertical="center" wrapText="1"/>
    </xf>
    <xf numFmtId="0" fontId="9" fillId="0" borderId="45" xfId="2" applyFont="1" applyBorder="1" applyAlignment="1">
      <alignment horizontal="center" vertical="center" wrapText="1"/>
    </xf>
    <xf numFmtId="0" fontId="9" fillId="0" borderId="38" xfId="2" applyFont="1" applyBorder="1" applyAlignment="1">
      <alignment horizontal="center" vertical="center" wrapText="1"/>
    </xf>
    <xf numFmtId="0" fontId="9" fillId="0" borderId="46" xfId="2" applyFont="1" applyBorder="1" applyAlignment="1">
      <alignment horizontal="center" vertical="center" wrapText="1"/>
    </xf>
    <xf numFmtId="0" fontId="9" fillId="0" borderId="6" xfId="2" applyFont="1" applyBorder="1" applyAlignment="1">
      <alignment horizontal="center" vertical="center" wrapText="1"/>
    </xf>
    <xf numFmtId="0" fontId="9" fillId="0" borderId="43" xfId="2" applyFont="1" applyBorder="1" applyAlignment="1">
      <alignment horizontal="center" vertical="center"/>
    </xf>
    <xf numFmtId="0" fontId="9" fillId="0" borderId="44" xfId="2" applyFont="1" applyBorder="1" applyAlignment="1">
      <alignment horizontal="center" vertical="center"/>
    </xf>
    <xf numFmtId="0" fontId="9" fillId="0" borderId="45" xfId="2" applyFont="1" applyBorder="1" applyAlignment="1">
      <alignment horizontal="center" vertical="center"/>
    </xf>
    <xf numFmtId="0" fontId="9" fillId="0" borderId="23" xfId="0" applyFont="1" applyFill="1" applyBorder="1" applyAlignment="1">
      <alignment horizontal="center" vertical="center" wrapText="1"/>
    </xf>
    <xf numFmtId="0" fontId="9" fillId="0" borderId="25" xfId="0" applyFont="1" applyFill="1" applyBorder="1" applyAlignment="1">
      <alignment horizontal="center"/>
    </xf>
    <xf numFmtId="0" fontId="9" fillId="0" borderId="44" xfId="0" applyFont="1" applyFill="1" applyBorder="1" applyAlignment="1">
      <alignment horizontal="center"/>
    </xf>
    <xf numFmtId="0" fontId="9" fillId="0" borderId="45" xfId="0" applyFont="1" applyFill="1" applyBorder="1" applyAlignment="1">
      <alignment horizontal="center"/>
    </xf>
    <xf numFmtId="0" fontId="9" fillId="0" borderId="45" xfId="0" applyFont="1" applyFill="1" applyBorder="1" applyAlignment="1">
      <alignment horizontal="center" vertical="center" wrapText="1"/>
    </xf>
    <xf numFmtId="0" fontId="20" fillId="0" borderId="2" xfId="0" applyFont="1" applyFill="1" applyBorder="1" applyAlignment="1">
      <alignment horizontal="center" vertical="center" wrapText="1"/>
    </xf>
    <xf numFmtId="0" fontId="20" fillId="0" borderId="9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/>
    </xf>
    <xf numFmtId="0" fontId="7" fillId="0" borderId="23" xfId="0" applyFont="1" applyFill="1" applyBorder="1" applyAlignment="1">
      <alignment horizontal="center"/>
    </xf>
    <xf numFmtId="0" fontId="9" fillId="0" borderId="44" xfId="0" applyFont="1" applyFill="1" applyBorder="1" applyAlignment="1">
      <alignment horizontal="center" vertical="center" wrapText="1"/>
    </xf>
    <xf numFmtId="0" fontId="9" fillId="0" borderId="23" xfId="0" applyFont="1" applyFill="1" applyBorder="1" applyAlignment="1">
      <alignment horizontal="center" vertical="center"/>
    </xf>
    <xf numFmtId="0" fontId="9" fillId="0" borderId="23" xfId="0" applyFont="1" applyFill="1" applyBorder="1" applyAlignment="1">
      <alignment horizontal="center" wrapText="1"/>
    </xf>
    <xf numFmtId="0" fontId="7" fillId="0" borderId="2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0" fontId="20" fillId="0" borderId="10" xfId="0" applyFont="1" applyFill="1" applyBorder="1" applyAlignment="1">
      <alignment horizontal="center" vertical="center"/>
    </xf>
    <xf numFmtId="0" fontId="20" fillId="0" borderId="9" xfId="0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horizontal="center" vertical="center"/>
    </xf>
    <xf numFmtId="2" fontId="9" fillId="0" borderId="0" xfId="0" applyNumberFormat="1" applyFont="1" applyFill="1" applyBorder="1" applyAlignment="1">
      <alignment vertical="center"/>
    </xf>
    <xf numFmtId="0" fontId="9" fillId="0" borderId="0" xfId="0" applyFont="1" applyFill="1" applyBorder="1" applyAlignment="1">
      <alignment horizontal="right" vertical="center"/>
    </xf>
    <xf numFmtId="0" fontId="15" fillId="2" borderId="38" xfId="0" applyFont="1" applyFill="1" applyBorder="1" applyAlignment="1">
      <alignment horizontal="center" vertical="center"/>
    </xf>
    <xf numFmtId="2" fontId="9" fillId="0" borderId="46" xfId="0" applyNumberFormat="1" applyFont="1" applyFill="1" applyBorder="1" applyAlignment="1">
      <alignment horizontal="center" vertical="center"/>
    </xf>
    <xf numFmtId="0" fontId="9" fillId="0" borderId="43" xfId="0" quotePrefix="1" applyFont="1" applyFill="1" applyBorder="1" applyAlignment="1">
      <alignment horizontal="center" vertical="center" wrapText="1"/>
    </xf>
    <xf numFmtId="0" fontId="9" fillId="0" borderId="45" xfId="0" quotePrefix="1" applyFont="1" applyFill="1" applyBorder="1" applyAlignment="1">
      <alignment horizontal="center" vertical="center" wrapText="1"/>
    </xf>
    <xf numFmtId="0" fontId="9" fillId="0" borderId="43" xfId="0" applyFont="1" applyFill="1" applyBorder="1" applyAlignment="1">
      <alignment horizontal="center" vertical="center" wrapText="1"/>
    </xf>
    <xf numFmtId="2" fontId="9" fillId="0" borderId="6" xfId="0" applyNumberFormat="1" applyFont="1" applyFill="1" applyBorder="1" applyAlignment="1">
      <alignment horizontal="center" vertical="center"/>
    </xf>
    <xf numFmtId="1" fontId="15" fillId="2" borderId="38" xfId="0" applyNumberFormat="1" applyFont="1" applyFill="1" applyBorder="1" applyAlignment="1">
      <alignment horizontal="center" vertical="center" wrapText="1"/>
    </xf>
    <xf numFmtId="2" fontId="9" fillId="0" borderId="46" xfId="0" applyNumberFormat="1" applyFont="1" applyFill="1" applyBorder="1" applyAlignment="1">
      <alignment horizontal="left" vertical="center"/>
    </xf>
    <xf numFmtId="43" fontId="9" fillId="0" borderId="46" xfId="1" applyFont="1" applyFill="1" applyBorder="1" applyAlignment="1">
      <alignment horizontal="right" vertical="center"/>
    </xf>
    <xf numFmtId="1" fontId="5" fillId="0" borderId="24" xfId="0" applyNumberFormat="1" applyFont="1" applyFill="1" applyBorder="1" applyAlignment="1">
      <alignment horizontal="center" vertical="center"/>
    </xf>
    <xf numFmtId="43" fontId="13" fillId="0" borderId="24" xfId="1" applyFont="1" applyFill="1" applyBorder="1" applyAlignment="1">
      <alignment horizontal="right" vertical="center"/>
    </xf>
    <xf numFmtId="2" fontId="5" fillId="0" borderId="24" xfId="0" applyNumberFormat="1" applyFont="1" applyFill="1" applyBorder="1" applyAlignment="1">
      <alignment horizontal="left" vertical="center"/>
    </xf>
    <xf numFmtId="2" fontId="9" fillId="0" borderId="24" xfId="0" applyNumberFormat="1" applyFont="1" applyFill="1" applyBorder="1" applyAlignment="1">
      <alignment horizontal="left" vertical="center"/>
    </xf>
    <xf numFmtId="43" fontId="9" fillId="0" borderId="24" xfId="1" applyFont="1" applyFill="1" applyBorder="1" applyAlignment="1">
      <alignment horizontal="right" vertical="center"/>
    </xf>
    <xf numFmtId="2" fontId="16" fillId="0" borderId="0" xfId="0" applyNumberFormat="1" applyFont="1" applyFill="1"/>
    <xf numFmtId="15" fontId="9" fillId="0" borderId="24" xfId="0" applyNumberFormat="1" applyFont="1" applyFill="1" applyBorder="1" applyAlignment="1">
      <alignment horizontal="center" vertical="center" wrapText="1"/>
    </xf>
    <xf numFmtId="2" fontId="2" fillId="0" borderId="24" xfId="0" applyNumberFormat="1" applyFont="1" applyFill="1" applyBorder="1" applyAlignment="1">
      <alignment horizontal="left" vertical="center" wrapText="1"/>
    </xf>
    <xf numFmtId="43" fontId="13" fillId="0" borderId="24" xfId="1" applyFont="1" applyFill="1" applyBorder="1" applyAlignment="1">
      <alignment horizontal="right"/>
    </xf>
    <xf numFmtId="2" fontId="5" fillId="0" borderId="24" xfId="0" applyNumberFormat="1" applyFont="1" applyFill="1" applyBorder="1" applyAlignment="1">
      <alignment horizontal="left" vertical="center" wrapText="1"/>
    </xf>
    <xf numFmtId="43" fontId="2" fillId="0" borderId="24" xfId="1" applyFont="1" applyFill="1" applyBorder="1" applyAlignment="1">
      <alignment vertical="center"/>
    </xf>
    <xf numFmtId="0" fontId="5" fillId="0" borderId="24" xfId="0" applyFont="1" applyFill="1" applyBorder="1" applyAlignment="1">
      <alignment vertical="center"/>
    </xf>
    <xf numFmtId="2" fontId="5" fillId="0" borderId="0" xfId="0" applyNumberFormat="1" applyFont="1" applyFill="1" applyBorder="1" applyAlignment="1">
      <alignment horizontal="right" vertical="center"/>
    </xf>
    <xf numFmtId="2" fontId="9" fillId="0" borderId="24" xfId="0" applyNumberFormat="1" applyFont="1" applyFill="1" applyBorder="1" applyAlignment="1">
      <alignment horizontal="left" vertical="center" wrapText="1"/>
    </xf>
    <xf numFmtId="43" fontId="5" fillId="0" borderId="24" xfId="1" applyFont="1" applyFill="1" applyBorder="1" applyAlignment="1">
      <alignment horizontal="right" vertical="center"/>
    </xf>
    <xf numFmtId="2" fontId="5" fillId="0" borderId="24" xfId="0" quotePrefix="1" applyNumberFormat="1" applyFont="1" applyFill="1" applyBorder="1" applyAlignment="1">
      <alignment horizontal="left" vertical="center"/>
    </xf>
    <xf numFmtId="43" fontId="5" fillId="0" borderId="24" xfId="1" applyFont="1" applyFill="1" applyBorder="1" applyAlignment="1">
      <alignment vertical="center"/>
    </xf>
    <xf numFmtId="2" fontId="2" fillId="0" borderId="24" xfId="0" applyNumberFormat="1" applyFont="1" applyFill="1" applyBorder="1" applyAlignment="1">
      <alignment vertical="center"/>
    </xf>
    <xf numFmtId="43" fontId="9" fillId="0" borderId="24" xfId="1" applyFont="1" applyFill="1" applyBorder="1" applyAlignment="1">
      <alignment vertical="center"/>
    </xf>
    <xf numFmtId="0" fontId="9" fillId="0" borderId="6" xfId="0" applyFont="1" applyFill="1" applyBorder="1" applyAlignment="1">
      <alignment horizontal="right" vertical="center"/>
    </xf>
    <xf numFmtId="0" fontId="9" fillId="0" borderId="6" xfId="0" applyFont="1" applyFill="1" applyBorder="1" applyAlignment="1">
      <alignment horizontal="left" vertical="center"/>
    </xf>
    <xf numFmtId="43" fontId="9" fillId="0" borderId="6" xfId="1" applyFont="1" applyFill="1" applyBorder="1" applyAlignment="1">
      <alignment vertical="center"/>
    </xf>
    <xf numFmtId="0" fontId="10" fillId="0" borderId="0" xfId="65" applyFont="1" applyFill="1" applyAlignment="1"/>
    <xf numFmtId="2" fontId="5" fillId="0" borderId="47" xfId="0" applyNumberFormat="1" applyFont="1" applyFill="1" applyBorder="1" applyAlignment="1">
      <alignment vertical="center"/>
    </xf>
    <xf numFmtId="0" fontId="9" fillId="0" borderId="0" xfId="2" applyFont="1" applyFill="1" applyAlignment="1">
      <alignment vertical="center"/>
    </xf>
    <xf numFmtId="0" fontId="9" fillId="0" borderId="0" xfId="2" applyFont="1" applyFill="1" applyAlignment="1"/>
    <xf numFmtId="0" fontId="5" fillId="0" borderId="0" xfId="2" applyFont="1" applyFill="1"/>
    <xf numFmtId="0" fontId="9" fillId="0" borderId="38" xfId="2" applyFont="1" applyFill="1" applyBorder="1" applyAlignment="1">
      <alignment horizontal="center" vertical="center" wrapText="1"/>
    </xf>
    <xf numFmtId="0" fontId="9" fillId="0" borderId="38" xfId="2" applyFont="1" applyFill="1" applyBorder="1" applyAlignment="1">
      <alignment horizontal="center"/>
    </xf>
    <xf numFmtId="0" fontId="9" fillId="0" borderId="46" xfId="2" applyFont="1" applyFill="1" applyBorder="1" applyAlignment="1">
      <alignment horizontal="center" vertical="center" wrapText="1"/>
    </xf>
    <xf numFmtId="0" fontId="9" fillId="0" borderId="46" xfId="2" applyFont="1" applyFill="1" applyBorder="1" applyAlignment="1">
      <alignment horizontal="center" wrapText="1"/>
    </xf>
    <xf numFmtId="0" fontId="9" fillId="0" borderId="46" xfId="2" applyFont="1" applyFill="1" applyBorder="1" applyAlignment="1">
      <alignment horizontal="center" vertical="center" wrapText="1"/>
    </xf>
    <xf numFmtId="0" fontId="5" fillId="0" borderId="0" xfId="2" applyFont="1" applyFill="1" applyAlignment="1">
      <alignment wrapText="1"/>
    </xf>
    <xf numFmtId="0" fontId="9" fillId="0" borderId="5" xfId="2" applyFont="1" applyFill="1" applyBorder="1"/>
    <xf numFmtId="0" fontId="9" fillId="0" borderId="24" xfId="2" applyFont="1" applyFill="1" applyBorder="1"/>
    <xf numFmtId="184" fontId="5" fillId="0" borderId="24" xfId="1" applyNumberFormat="1" applyFont="1" applyFill="1" applyBorder="1"/>
    <xf numFmtId="184" fontId="5" fillId="0" borderId="0" xfId="1" applyNumberFormat="1" applyFont="1" applyFill="1" applyBorder="1"/>
    <xf numFmtId="2" fontId="5" fillId="0" borderId="24" xfId="24" applyNumberFormat="1" applyFont="1" applyFill="1" applyBorder="1"/>
    <xf numFmtId="0" fontId="5" fillId="0" borderId="0" xfId="2" applyFont="1" applyFill="1" applyAlignment="1"/>
    <xf numFmtId="0" fontId="5" fillId="0" borderId="5" xfId="2" applyFont="1" applyFill="1" applyBorder="1"/>
    <xf numFmtId="0" fontId="5" fillId="0" borderId="24" xfId="2" applyFont="1" applyFill="1" applyBorder="1"/>
    <xf numFmtId="184" fontId="5" fillId="0" borderId="0" xfId="2" applyNumberFormat="1" applyFont="1" applyFill="1" applyAlignment="1"/>
    <xf numFmtId="0" fontId="9" fillId="0" borderId="5" xfId="2" applyFont="1" applyFill="1" applyBorder="1" applyAlignment="1">
      <alignment wrapText="1"/>
    </xf>
    <xf numFmtId="0" fontId="9" fillId="0" borderId="24" xfId="2" applyFont="1" applyFill="1" applyBorder="1" applyAlignment="1"/>
    <xf numFmtId="0" fontId="9" fillId="0" borderId="24" xfId="2" applyFont="1" applyFill="1" applyBorder="1" applyAlignment="1">
      <alignment horizontal="center" wrapText="1"/>
    </xf>
    <xf numFmtId="0" fontId="9" fillId="0" borderId="0" xfId="2" applyFont="1" applyFill="1" applyBorder="1" applyAlignment="1">
      <alignment horizontal="center" wrapText="1"/>
    </xf>
    <xf numFmtId="43" fontId="5" fillId="0" borderId="24" xfId="24" applyNumberFormat="1" applyFont="1" applyFill="1" applyBorder="1"/>
    <xf numFmtId="184" fontId="5" fillId="0" borderId="24" xfId="1" quotePrefix="1" applyNumberFormat="1" applyFont="1" applyFill="1" applyBorder="1" applyAlignment="1">
      <alignment horizontal="center" vertical="center"/>
    </xf>
    <xf numFmtId="184" fontId="5" fillId="0" borderId="0" xfId="1" quotePrefix="1" applyNumberFormat="1" applyFont="1" applyFill="1" applyBorder="1" applyAlignment="1">
      <alignment horizontal="center" vertical="center"/>
    </xf>
    <xf numFmtId="0" fontId="9" fillId="0" borderId="24" xfId="2" applyFont="1" applyFill="1" applyBorder="1" applyAlignment="1">
      <alignment vertical="top" wrapText="1"/>
    </xf>
    <xf numFmtId="184" fontId="9" fillId="0" borderId="24" xfId="1" applyNumberFormat="1" applyFont="1" applyFill="1" applyBorder="1"/>
    <xf numFmtId="184" fontId="9" fillId="0" borderId="0" xfId="1" applyNumberFormat="1" applyFont="1" applyFill="1" applyBorder="1"/>
    <xf numFmtId="2" fontId="9" fillId="0" borderId="24" xfId="24" applyNumberFormat="1" applyFont="1" applyFill="1" applyBorder="1" applyAlignment="1">
      <alignment horizontal="right"/>
    </xf>
    <xf numFmtId="0" fontId="9" fillId="0" borderId="7" xfId="2" applyFont="1" applyFill="1" applyBorder="1"/>
    <xf numFmtId="0" fontId="9" fillId="0" borderId="6" xfId="2" applyFont="1" applyFill="1" applyBorder="1" applyAlignment="1">
      <alignment vertical="center"/>
    </xf>
    <xf numFmtId="184" fontId="9" fillId="0" borderId="6" xfId="1" quotePrefix="1" applyNumberFormat="1" applyFont="1" applyFill="1" applyBorder="1" applyAlignment="1">
      <alignment horizontal="center" vertical="center"/>
    </xf>
    <xf numFmtId="184" fontId="9" fillId="0" borderId="1" xfId="1" applyNumberFormat="1" applyFont="1" applyFill="1" applyBorder="1" applyAlignment="1">
      <alignment vertical="center"/>
    </xf>
    <xf numFmtId="43" fontId="9" fillId="0" borderId="6" xfId="24" applyNumberFormat="1" applyFont="1" applyFill="1" applyBorder="1" applyAlignment="1">
      <alignment vertical="center"/>
    </xf>
    <xf numFmtId="184" fontId="9" fillId="0" borderId="0" xfId="2" applyNumberFormat="1" applyFont="1" applyFill="1" applyAlignment="1"/>
    <xf numFmtId="0" fontId="9" fillId="0" borderId="0" xfId="2" applyFont="1" applyFill="1"/>
    <xf numFmtId="0" fontId="33" fillId="0" borderId="0" xfId="0" applyFont="1" applyBorder="1"/>
    <xf numFmtId="2" fontId="5" fillId="0" borderId="0" xfId="24" applyNumberFormat="1" applyFont="1" applyFill="1" applyBorder="1"/>
    <xf numFmtId="2" fontId="5" fillId="0" borderId="0" xfId="24" applyNumberFormat="1" applyFont="1" applyFill="1" applyBorder="1" applyAlignment="1">
      <alignment horizontal="right"/>
    </xf>
    <xf numFmtId="43" fontId="5" fillId="0" borderId="0" xfId="24" applyNumberFormat="1" applyFont="1" applyFill="1" applyBorder="1"/>
    <xf numFmtId="185" fontId="5" fillId="0" borderId="0" xfId="24" applyNumberFormat="1" applyFont="1" applyFill="1" applyBorder="1" applyAlignment="1">
      <alignment horizontal="right"/>
    </xf>
    <xf numFmtId="0" fontId="33" fillId="0" borderId="0" xfId="0" applyFont="1" applyFill="1" applyBorder="1"/>
    <xf numFmtId="178" fontId="5" fillId="0" borderId="0" xfId="24" applyNumberFormat="1" applyFont="1" applyFill="1" applyBorder="1" applyAlignment="1">
      <alignment horizontal="right"/>
    </xf>
    <xf numFmtId="2" fontId="5" fillId="0" borderId="0" xfId="2" applyNumberFormat="1" applyFont="1" applyFill="1"/>
    <xf numFmtId="0" fontId="11" fillId="0" borderId="0" xfId="2" applyFont="1" applyFill="1" applyBorder="1"/>
    <xf numFmtId="0" fontId="9" fillId="0" borderId="0" xfId="3" applyFont="1" applyBorder="1" applyAlignment="1">
      <alignment horizontal="center" vertical="top"/>
    </xf>
    <xf numFmtId="0" fontId="9" fillId="0" borderId="0" xfId="2" quotePrefix="1" applyFont="1" applyBorder="1" applyAlignment="1">
      <alignment horizontal="center" vertical="top"/>
    </xf>
    <xf numFmtId="0" fontId="9" fillId="0" borderId="1" xfId="2" quotePrefix="1" applyFont="1" applyBorder="1" applyAlignment="1">
      <alignment horizontal="center" vertical="top"/>
    </xf>
  </cellXfs>
  <cellStyles count="66">
    <cellStyle name="Comma" xfId="1" builtinId="3"/>
    <cellStyle name="Comma [0] 2" xfId="60"/>
    <cellStyle name="Comma 10" xfId="45"/>
    <cellStyle name="Comma 11" xfId="27"/>
    <cellStyle name="Comma 11 2" xfId="32"/>
    <cellStyle name="Comma 2" xfId="6"/>
    <cellStyle name="Comma 2 15" xfId="30"/>
    <cellStyle name="Comma 2 15 2" xfId="37"/>
    <cellStyle name="Comma 2 2" xfId="21"/>
    <cellStyle name="Comma 2 2 2" xfId="35"/>
    <cellStyle name="Comma 2 2 3" xfId="36"/>
    <cellStyle name="Comma 2 2 4" xfId="33"/>
    <cellStyle name="Comma 2 2 5" xfId="46"/>
    <cellStyle name="Comma 2 3" xfId="44"/>
    <cellStyle name="Comma 2 4" xfId="55"/>
    <cellStyle name="Comma 2 5" xfId="64"/>
    <cellStyle name="Comma 3" xfId="7"/>
    <cellStyle name="Comma 3 2" xfId="18"/>
    <cellStyle name="Comma 3 2 2 2" xfId="52"/>
    <cellStyle name="Comma 3 3" xfId="53"/>
    <cellStyle name="Comma 4" xfId="8"/>
    <cellStyle name="Comma 9" xfId="41"/>
    <cellStyle name="Excel Built-in Normal" xfId="15"/>
    <cellStyle name="Normal" xfId="0" builtinId="0"/>
    <cellStyle name="Normal 10" xfId="48"/>
    <cellStyle name="Normal 10 2" xfId="54"/>
    <cellStyle name="Normal 11" xfId="22"/>
    <cellStyle name="Normal 2" xfId="2"/>
    <cellStyle name="Normal 2 10" xfId="28"/>
    <cellStyle name="Normal 2 10 2" xfId="51"/>
    <cellStyle name="Normal 2 2" xfId="3"/>
    <cellStyle name="Normal 2 2 2" xfId="56"/>
    <cellStyle name="Normal 2 20" xfId="47"/>
    <cellStyle name="Normal 2 3" xfId="9"/>
    <cellStyle name="Normal 2 3 2" xfId="13"/>
    <cellStyle name="Normal 2 4" xfId="20"/>
    <cellStyle name="Normal 2 5" xfId="23"/>
    <cellStyle name="Normal 2 5 2" xfId="34"/>
    <cellStyle name="Normal 25" xfId="38"/>
    <cellStyle name="Normal 26" xfId="39"/>
    <cellStyle name="Normal 27" xfId="40"/>
    <cellStyle name="Normal 28" xfId="31"/>
    <cellStyle name="Normal 29" xfId="42"/>
    <cellStyle name="Normal 3" xfId="11"/>
    <cellStyle name="Normal 3 2" xfId="17"/>
    <cellStyle name="Normal 3 3" xfId="16"/>
    <cellStyle name="Normal 3 3 2" xfId="63"/>
    <cellStyle name="Normal 3 4" xfId="19"/>
    <cellStyle name="Normal 3 5" xfId="57"/>
    <cellStyle name="Normal 3 6" xfId="61"/>
    <cellStyle name="Normal 3 7" xfId="14"/>
    <cellStyle name="Normal 3 7 2" xfId="62"/>
    <cellStyle name="Normal 4" xfId="12"/>
    <cellStyle name="Normal 5" xfId="10"/>
    <cellStyle name="Normal 5 2" xfId="65"/>
    <cellStyle name="Normal_Final of R&amp;S  life &amp; nonlife 06-07 2" xfId="58"/>
    <cellStyle name="Percent" xfId="24" builtinId="5"/>
    <cellStyle name="Percent 2" xfId="4"/>
    <cellStyle name="Percent 2 15" xfId="26"/>
    <cellStyle name="Percent 2 15 2" xfId="50"/>
    <cellStyle name="Percent 2 2" xfId="25"/>
    <cellStyle name="Percent 3" xfId="5"/>
    <cellStyle name="Percent 4" xfId="49"/>
    <cellStyle name="Percent 5" xfId="59"/>
    <cellStyle name="Percent 6" xfId="29"/>
    <cellStyle name="Percent 7" xfId="43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numFmt numFmtId="0" formatCode="General"/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orm%201%20To%20X\2020-21_4.Form%201%20to%20X_upto%20March_2021_Audited_under%20check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IRDA%20ANNUAL%20REPORT%202013-14\arirda2.fna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Handbook%202021-22/Draft%20Handbook%202021-22/Handbook%202021-22_new%20table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yaz/Desktop/arirda2.fna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brahmanyam/Desktop/Annual%20Report%20and%20Handbook%202014-15/AR-HB%20data%20for%202014-15/Annual%20Report-final%20fna%20life-revised/arirda2.fn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mark"/>
      <sheetName val="Input"/>
      <sheetName val="Sector Master"/>
      <sheetName val="State Master"/>
      <sheetName val="Reports"/>
      <sheetName val="Form I"/>
      <sheetName val="State_Seg_GDP_F1"/>
      <sheetName val="Ins_Seg_GDP_F1"/>
      <sheetName val="Sheet1"/>
      <sheetName val="Form II"/>
      <sheetName val="Channel_Seg_GDP_F2"/>
      <sheetName val="Ins_Seg_GDP_F2"/>
      <sheetName val="Ins_Channel_GDP_F2"/>
      <sheetName val="Validation_Total_FII"/>
      <sheetName val="Form III"/>
      <sheetName val="Validation_Total_F3"/>
      <sheetName val="State_Seg_RC_F3"/>
      <sheetName val="Ins_Seg_RC_F3"/>
      <sheetName val="Form IV"/>
      <sheetName val="Validation_Total_F4"/>
      <sheetName val="Ins_Seg_IC_F4"/>
      <sheetName val="State_Segment_IC_F4"/>
      <sheetName val="Form V"/>
      <sheetName val="Channel_Seg_PC_F5"/>
      <sheetName val="Ins_Seg_PC_F5"/>
      <sheetName val="Ins_Channel_PC_F5"/>
      <sheetName val="Validation_Total_F5"/>
      <sheetName val="Form VI"/>
      <sheetName val="Gross IncurredtoGDP Ratio"/>
      <sheetName val="Sheet2"/>
      <sheetName val="AA_Seg_PC_F6"/>
      <sheetName val="AA_Seg_OC_F6"/>
      <sheetName val="AA_Ins_Seg_PC_F6"/>
      <sheetName val="AA_Ins_Seg_OC_F6"/>
      <sheetName val="Ins_Seg_Num_Claims_F6"/>
      <sheetName val="Ins_Seg_Amt_Claims_F6"/>
      <sheetName val="Seg_Num_Claims_F6"/>
      <sheetName val="Filter Master"/>
      <sheetName val="Seg_Amt_Claims_F6"/>
      <sheetName val="Form IX"/>
      <sheetName val="Agents Master"/>
      <sheetName val="Ins_Individual agents"/>
      <sheetName val="Ins_Agents_F9"/>
      <sheetName val="Ins_Offices_F10"/>
      <sheetName val="Ins_Offices_F10 (2)"/>
      <sheetName val="Form X"/>
      <sheetName val="State_Offices_F10"/>
      <sheetName val="State_Ins_Offices_F10"/>
      <sheetName val="Form VII"/>
      <sheetName val="Ins_MI_F7"/>
      <sheetName val="Form VIII"/>
      <sheetName val="Ins_MI_Claims_F8"/>
      <sheetName val="AA_Ins_MI_PC_F8"/>
      <sheetName val="AA_Ins_MI_OC_F8"/>
      <sheetName val="State_wise_Summary"/>
      <sheetName val="Summary"/>
      <sheetName val="Insurer Wise Summary"/>
      <sheetName val="LOB_ wise Summary"/>
      <sheetName val="Valiadation_Check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>
        <row r="7">
          <cell r="B7">
            <v>2</v>
          </cell>
          <cell r="C7">
            <v>1.4231699999999996E-2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803659</v>
          </cell>
          <cell r="M7">
            <v>79.265648808965167</v>
          </cell>
          <cell r="N7">
            <v>293070</v>
          </cell>
          <cell r="O7">
            <v>188.83037522087804</v>
          </cell>
          <cell r="P7">
            <v>85</v>
          </cell>
          <cell r="Q7">
            <v>31.281904599999997</v>
          </cell>
          <cell r="R7">
            <v>42</v>
          </cell>
          <cell r="S7">
            <v>4.6650973955713786</v>
          </cell>
          <cell r="T7">
            <v>956</v>
          </cell>
          <cell r="U7">
            <v>117066168</v>
          </cell>
          <cell r="V7">
            <v>118.05089579955062</v>
          </cell>
          <cell r="W7">
            <v>2</v>
          </cell>
          <cell r="X7">
            <v>0.26759550847457636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1</v>
          </cell>
          <cell r="AD7">
            <v>1.0763199999999999E-2</v>
          </cell>
          <cell r="AE7">
            <v>1097817</v>
          </cell>
          <cell r="AF7">
            <v>422.3865122334397</v>
          </cell>
        </row>
        <row r="8">
          <cell r="B8">
            <v>1163385</v>
          </cell>
          <cell r="C8">
            <v>1656.5497718000001</v>
          </cell>
          <cell r="D8">
            <v>141163</v>
          </cell>
          <cell r="E8">
            <v>155.83689380000001</v>
          </cell>
          <cell r="F8">
            <v>46</v>
          </cell>
          <cell r="G8">
            <v>10.5105168</v>
          </cell>
          <cell r="H8">
            <v>153</v>
          </cell>
          <cell r="I8">
            <v>17.693372399999998</v>
          </cell>
          <cell r="J8">
            <v>8761</v>
          </cell>
          <cell r="K8">
            <v>220.81086120000001</v>
          </cell>
          <cell r="L8">
            <v>5389070</v>
          </cell>
          <cell r="M8">
            <v>2011.158476999999</v>
          </cell>
          <cell r="N8">
            <v>2680596</v>
          </cell>
          <cell r="O8">
            <v>2715.173386200001</v>
          </cell>
          <cell r="P8">
            <v>50605</v>
          </cell>
          <cell r="Q8">
            <v>330.35146020000002</v>
          </cell>
          <cell r="R8">
            <v>5225937</v>
          </cell>
          <cell r="S8">
            <v>201.58635410000005</v>
          </cell>
          <cell r="T8">
            <v>3549892</v>
          </cell>
          <cell r="U8">
            <v>17824776</v>
          </cell>
          <cell r="V8">
            <v>2074.5896243999996</v>
          </cell>
          <cell r="W8">
            <v>142290</v>
          </cell>
          <cell r="X8">
            <v>25.561254700000003</v>
          </cell>
          <cell r="Y8">
            <v>1526397</v>
          </cell>
          <cell r="Z8">
            <v>2556.3815753000003</v>
          </cell>
          <cell r="AA8">
            <v>36</v>
          </cell>
          <cell r="AB8">
            <v>13.0701857</v>
          </cell>
          <cell r="AC8">
            <v>5095108</v>
          </cell>
          <cell r="AD8">
            <v>580.25621489999992</v>
          </cell>
          <cell r="AE8">
            <v>24973439</v>
          </cell>
          <cell r="AF8">
            <v>12569.529948500003</v>
          </cell>
        </row>
        <row r="9">
          <cell r="B9">
            <v>100895</v>
          </cell>
          <cell r="C9">
            <v>324.21520034799994</v>
          </cell>
          <cell r="D9">
            <v>45423</v>
          </cell>
          <cell r="E9">
            <v>75.122733793999984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2876</v>
          </cell>
          <cell r="K9">
            <v>40.252924538000002</v>
          </cell>
          <cell r="L9">
            <v>2476288</v>
          </cell>
          <cell r="M9">
            <v>806.10269450900012</v>
          </cell>
          <cell r="N9">
            <v>995434</v>
          </cell>
          <cell r="O9">
            <v>562.3772096670001</v>
          </cell>
          <cell r="P9">
            <v>8868</v>
          </cell>
          <cell r="Q9">
            <v>49.790065860000013</v>
          </cell>
          <cell r="R9">
            <v>262935</v>
          </cell>
          <cell r="S9">
            <v>48.03388627800004</v>
          </cell>
          <cell r="T9">
            <v>1835782</v>
          </cell>
          <cell r="U9">
            <v>2744989</v>
          </cell>
          <cell r="V9">
            <v>393.72395543700162</v>
          </cell>
          <cell r="W9">
            <v>15456</v>
          </cell>
          <cell r="X9">
            <v>15.023392817000003</v>
          </cell>
          <cell r="Y9">
            <v>149061</v>
          </cell>
          <cell r="Z9">
            <v>804.14798935099782</v>
          </cell>
          <cell r="AA9">
            <v>6</v>
          </cell>
          <cell r="AB9">
            <v>1.9981738000000002</v>
          </cell>
          <cell r="AC9">
            <v>199871</v>
          </cell>
          <cell r="AD9">
            <v>39.115865403001401</v>
          </cell>
          <cell r="AE9">
            <v>6092895</v>
          </cell>
          <cell r="AF9">
            <v>3159.9040918020014</v>
          </cell>
        </row>
        <row r="10">
          <cell r="B10">
            <v>708022</v>
          </cell>
          <cell r="C10">
            <v>444.71069931599976</v>
          </cell>
          <cell r="D10">
            <v>18624</v>
          </cell>
          <cell r="E10">
            <v>77.963553039999908</v>
          </cell>
          <cell r="F10">
            <v>2</v>
          </cell>
          <cell r="G10">
            <v>0.58201396799999994</v>
          </cell>
          <cell r="H10">
            <v>0</v>
          </cell>
          <cell r="I10">
            <v>0</v>
          </cell>
          <cell r="J10">
            <v>6894</v>
          </cell>
          <cell r="K10">
            <v>29.195997563999999</v>
          </cell>
          <cell r="L10">
            <v>5247469</v>
          </cell>
          <cell r="M10">
            <v>1077.2991630480005</v>
          </cell>
          <cell r="N10">
            <v>51959</v>
          </cell>
          <cell r="O10">
            <v>2047.5828365610062</v>
          </cell>
          <cell r="P10">
            <v>4657</v>
          </cell>
          <cell r="Q10">
            <v>18.023802619999998</v>
          </cell>
          <cell r="R10">
            <v>37823</v>
          </cell>
          <cell r="S10">
            <v>247.89314729999995</v>
          </cell>
          <cell r="T10">
            <v>250610</v>
          </cell>
          <cell r="U10">
            <v>4566345</v>
          </cell>
          <cell r="V10">
            <v>414.36586603900003</v>
          </cell>
          <cell r="W10">
            <v>799</v>
          </cell>
          <cell r="X10">
            <v>0.28637400000000002</v>
          </cell>
          <cell r="Y10">
            <v>51</v>
          </cell>
          <cell r="Z10">
            <v>1.7186311000000001</v>
          </cell>
          <cell r="AA10">
            <v>0</v>
          </cell>
          <cell r="AB10">
            <v>0</v>
          </cell>
          <cell r="AC10">
            <v>43515</v>
          </cell>
          <cell r="AD10">
            <v>28.586151215000001</v>
          </cell>
          <cell r="AE10">
            <v>6370425</v>
          </cell>
          <cell r="AF10">
            <v>4388.2082357710069</v>
          </cell>
        </row>
        <row r="11">
          <cell r="B11">
            <v>84388</v>
          </cell>
          <cell r="C11">
            <v>30.68075771799986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129121</v>
          </cell>
          <cell r="M11">
            <v>15.470908947999874</v>
          </cell>
          <cell r="N11">
            <v>37655</v>
          </cell>
          <cell r="O11">
            <v>26.348136174001134</v>
          </cell>
          <cell r="P11">
            <v>0</v>
          </cell>
          <cell r="Q11">
            <v>0</v>
          </cell>
          <cell r="R11">
            <v>28832</v>
          </cell>
          <cell r="S11">
            <v>5.2200729829999863</v>
          </cell>
          <cell r="T11">
            <v>36077</v>
          </cell>
          <cell r="U11">
            <v>53196</v>
          </cell>
          <cell r="V11">
            <v>20.598353825499967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14</v>
          </cell>
          <cell r="AD11">
            <v>6.0814473379278402</v>
          </cell>
          <cell r="AE11">
            <v>316087</v>
          </cell>
          <cell r="AF11">
            <v>104.39967698642866</v>
          </cell>
        </row>
        <row r="12">
          <cell r="B12">
            <v>1403</v>
          </cell>
          <cell r="C12">
            <v>10.88936495463339</v>
          </cell>
          <cell r="D12">
            <v>38</v>
          </cell>
          <cell r="E12">
            <v>5.6320993958644081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23</v>
          </cell>
          <cell r="K12">
            <v>1.4646723211270085</v>
          </cell>
          <cell r="L12">
            <v>117689</v>
          </cell>
          <cell r="M12">
            <v>71.228898205999499</v>
          </cell>
          <cell r="N12">
            <v>23373</v>
          </cell>
          <cell r="O12">
            <v>40.212741604000414</v>
          </cell>
          <cell r="P12">
            <v>0</v>
          </cell>
          <cell r="Q12">
            <v>5.0000000000000002E-5</v>
          </cell>
          <cell r="R12">
            <v>111</v>
          </cell>
          <cell r="S12">
            <v>4.7266484387365022</v>
          </cell>
          <cell r="T12">
            <v>45475</v>
          </cell>
          <cell r="U12">
            <v>265467</v>
          </cell>
          <cell r="V12">
            <v>84.095581729171172</v>
          </cell>
          <cell r="W12">
            <v>1</v>
          </cell>
          <cell r="X12">
            <v>9.7007542000000002E-2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45</v>
          </cell>
          <cell r="AD12">
            <v>0.22670091128602299</v>
          </cell>
          <cell r="AE12">
            <v>188158</v>
          </cell>
          <cell r="AF12">
            <v>218.57376510281844</v>
          </cell>
        </row>
        <row r="13">
          <cell r="B13">
            <v>178214</v>
          </cell>
          <cell r="C13">
            <v>443.79620800500049</v>
          </cell>
          <cell r="D13">
            <v>53258</v>
          </cell>
          <cell r="E13">
            <v>62.987744390999943</v>
          </cell>
          <cell r="F13">
            <v>1</v>
          </cell>
          <cell r="G13">
            <v>0.72341890000000009</v>
          </cell>
          <cell r="H13">
            <v>2</v>
          </cell>
          <cell r="I13">
            <v>4.6678046200000001</v>
          </cell>
          <cell r="J13">
            <v>7272</v>
          </cell>
          <cell r="K13">
            <v>46.879388247000009</v>
          </cell>
          <cell r="L13">
            <v>1181349</v>
          </cell>
          <cell r="M13">
            <v>625.32003274700469</v>
          </cell>
          <cell r="N13">
            <v>399707</v>
          </cell>
          <cell r="O13">
            <v>726.06310155098322</v>
          </cell>
          <cell r="P13">
            <v>22623</v>
          </cell>
          <cell r="Q13">
            <v>57.858052952000008</v>
          </cell>
          <cell r="R13">
            <v>689783</v>
          </cell>
          <cell r="S13">
            <v>79.252739681988913</v>
          </cell>
          <cell r="T13">
            <v>324238</v>
          </cell>
          <cell r="U13">
            <v>2589499</v>
          </cell>
          <cell r="V13">
            <v>448.16560800900629</v>
          </cell>
          <cell r="W13">
            <v>2641</v>
          </cell>
          <cell r="X13">
            <v>1.1749466429999993</v>
          </cell>
          <cell r="Y13">
            <v>105</v>
          </cell>
          <cell r="Z13">
            <v>1133.7712777649999</v>
          </cell>
          <cell r="AA13">
            <v>0</v>
          </cell>
          <cell r="AB13">
            <v>0</v>
          </cell>
          <cell r="AC13">
            <v>355297</v>
          </cell>
          <cell r="AD13">
            <v>204.57384765500129</v>
          </cell>
          <cell r="AE13">
            <v>3214490</v>
          </cell>
          <cell r="AF13">
            <v>3835.2341711669847</v>
          </cell>
        </row>
        <row r="14">
          <cell r="B14">
            <v>26788</v>
          </cell>
          <cell r="C14">
            <v>162.16649587900002</v>
          </cell>
          <cell r="D14">
            <v>65</v>
          </cell>
          <cell r="E14">
            <v>0.98469859999999998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1700</v>
          </cell>
          <cell r="K14">
            <v>8.4215780319999993</v>
          </cell>
          <cell r="L14">
            <v>2672650</v>
          </cell>
          <cell r="M14">
            <v>525.14439887599997</v>
          </cell>
          <cell r="N14">
            <v>2795470</v>
          </cell>
          <cell r="O14">
            <v>1432.1677914209993</v>
          </cell>
          <cell r="P14">
            <v>7604</v>
          </cell>
          <cell r="Q14">
            <v>70.776839579000011</v>
          </cell>
          <cell r="R14">
            <v>5675</v>
          </cell>
          <cell r="S14">
            <v>28.075524100999996</v>
          </cell>
          <cell r="T14">
            <v>37600</v>
          </cell>
          <cell r="U14">
            <v>0</v>
          </cell>
          <cell r="V14">
            <v>185.45397860199998</v>
          </cell>
          <cell r="W14">
            <v>1477</v>
          </cell>
          <cell r="X14">
            <v>0.50786989799999993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8463</v>
          </cell>
          <cell r="AD14">
            <v>3.9203144020000007</v>
          </cell>
          <cell r="AE14">
            <v>5557493</v>
          </cell>
          <cell r="AF14">
            <v>2417.6194893899992</v>
          </cell>
        </row>
        <row r="15">
          <cell r="B15">
            <v>211699</v>
          </cell>
          <cell r="C15">
            <v>1175.11938271028</v>
          </cell>
          <cell r="D15">
            <v>324211</v>
          </cell>
          <cell r="E15">
            <v>126.60891483910004</v>
          </cell>
          <cell r="F15">
            <v>33</v>
          </cell>
          <cell r="G15">
            <v>22.277012373999995</v>
          </cell>
          <cell r="H15">
            <v>32</v>
          </cell>
          <cell r="I15">
            <v>12.193415868859999</v>
          </cell>
          <cell r="J15">
            <v>4420</v>
          </cell>
          <cell r="K15">
            <v>174.80580584417999</v>
          </cell>
          <cell r="L15">
            <v>4153283</v>
          </cell>
          <cell r="M15">
            <v>1504.9514522960003</v>
          </cell>
          <cell r="N15">
            <v>1990150</v>
          </cell>
          <cell r="O15">
            <v>1901.5040104309874</v>
          </cell>
          <cell r="P15">
            <v>10067</v>
          </cell>
          <cell r="Q15">
            <v>313.22859486953996</v>
          </cell>
          <cell r="R15">
            <v>1503746</v>
          </cell>
          <cell r="S15">
            <v>539.9682785240002</v>
          </cell>
          <cell r="T15">
            <v>1957935</v>
          </cell>
          <cell r="U15">
            <v>7818743</v>
          </cell>
          <cell r="V15">
            <v>3733.4807012850001</v>
          </cell>
          <cell r="W15">
            <v>6965</v>
          </cell>
          <cell r="X15">
            <v>8.1515693210000002</v>
          </cell>
          <cell r="Y15">
            <v>980</v>
          </cell>
          <cell r="Z15">
            <v>2572.9720802590064</v>
          </cell>
          <cell r="AA15">
            <v>85</v>
          </cell>
          <cell r="AB15">
            <v>40.563043629999996</v>
          </cell>
          <cell r="AC15">
            <v>41110</v>
          </cell>
          <cell r="AD15">
            <v>169.27849775086995</v>
          </cell>
          <cell r="AE15">
            <v>10204716</v>
          </cell>
          <cell r="AF15">
            <v>12295.102760002823</v>
          </cell>
        </row>
        <row r="16">
          <cell r="B16">
            <v>245352</v>
          </cell>
          <cell r="C16">
            <v>2157.7882299999997</v>
          </cell>
          <cell r="D16">
            <v>82001</v>
          </cell>
          <cell r="E16">
            <v>391.62126320000004</v>
          </cell>
          <cell r="F16">
            <v>134</v>
          </cell>
          <cell r="G16">
            <v>87.105916999999977</v>
          </cell>
          <cell r="H16">
            <v>194</v>
          </cell>
          <cell r="I16">
            <v>108.19214000000002</v>
          </cell>
          <cell r="J16">
            <v>26949</v>
          </cell>
          <cell r="K16">
            <v>389.65186869999991</v>
          </cell>
          <cell r="L16">
            <v>11750664</v>
          </cell>
          <cell r="M16">
            <v>3684.5887687000004</v>
          </cell>
          <cell r="N16">
            <v>8026252</v>
          </cell>
          <cell r="O16">
            <v>3335.33878</v>
          </cell>
          <cell r="P16">
            <v>136067</v>
          </cell>
          <cell r="Q16">
            <v>504.10605999999984</v>
          </cell>
          <cell r="R16">
            <v>135389</v>
          </cell>
          <cell r="S16">
            <v>330.57048089999995</v>
          </cell>
          <cell r="T16">
            <v>552329</v>
          </cell>
          <cell r="U16">
            <v>7909742</v>
          </cell>
          <cell r="V16">
            <v>2639.1749244999992</v>
          </cell>
          <cell r="W16">
            <v>194534</v>
          </cell>
          <cell r="X16">
            <v>51.603957900000026</v>
          </cell>
          <cell r="Y16">
            <v>496</v>
          </cell>
          <cell r="Z16">
            <v>32.549640000000004</v>
          </cell>
          <cell r="AA16">
            <v>83</v>
          </cell>
          <cell r="AB16">
            <v>36.404959999999996</v>
          </cell>
          <cell r="AC16">
            <v>582632</v>
          </cell>
          <cell r="AD16">
            <v>254.39708359999997</v>
          </cell>
          <cell r="AE16">
            <v>21733076</v>
          </cell>
          <cell r="AF16">
            <v>14003.094074500001</v>
          </cell>
        </row>
        <row r="17">
          <cell r="B17">
            <v>121555</v>
          </cell>
          <cell r="C17">
            <v>814.95810722900148</v>
          </cell>
          <cell r="D17">
            <v>30906</v>
          </cell>
          <cell r="E17">
            <v>143.00727567900006</v>
          </cell>
          <cell r="F17">
            <v>661</v>
          </cell>
          <cell r="G17">
            <v>13.005169330000001</v>
          </cell>
          <cell r="H17">
            <v>0</v>
          </cell>
          <cell r="I17">
            <v>8.4986400000000004E-2</v>
          </cell>
          <cell r="J17">
            <v>15723</v>
          </cell>
          <cell r="K17">
            <v>100.79065461200004</v>
          </cell>
          <cell r="L17">
            <v>4621642</v>
          </cell>
          <cell r="M17">
            <v>1723.0950106495</v>
          </cell>
          <cell r="N17">
            <v>3060353</v>
          </cell>
          <cell r="O17">
            <v>1998.0391477110004</v>
          </cell>
          <cell r="P17">
            <v>7383</v>
          </cell>
          <cell r="Q17">
            <v>114.70414654999999</v>
          </cell>
          <cell r="R17">
            <v>177805</v>
          </cell>
          <cell r="S17">
            <v>101.69322425000014</v>
          </cell>
          <cell r="T17">
            <v>430058</v>
          </cell>
          <cell r="U17">
            <v>17672266</v>
          </cell>
          <cell r="V17">
            <v>1561.6943454760008</v>
          </cell>
          <cell r="W17">
            <v>1800</v>
          </cell>
          <cell r="X17">
            <v>0.85441212900000052</v>
          </cell>
          <cell r="Y17">
            <v>261</v>
          </cell>
          <cell r="Z17">
            <v>1541.2858947</v>
          </cell>
          <cell r="AA17">
            <v>55</v>
          </cell>
          <cell r="AB17">
            <v>46.011138504999998</v>
          </cell>
          <cell r="AC17">
            <v>365375</v>
          </cell>
          <cell r="AD17">
            <v>251.65987244800039</v>
          </cell>
          <cell r="AE17">
            <v>8833577</v>
          </cell>
          <cell r="AF17">
            <v>8410.8833856684978</v>
          </cell>
        </row>
        <row r="18">
          <cell r="B18">
            <v>25971</v>
          </cell>
          <cell r="C18">
            <v>35.470099517999962</v>
          </cell>
          <cell r="D18">
            <v>3</v>
          </cell>
          <cell r="E18">
            <v>9.2728330999999997E-2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152</v>
          </cell>
          <cell r="K18">
            <v>1.2121736209999998</v>
          </cell>
          <cell r="L18">
            <v>432251</v>
          </cell>
          <cell r="M18">
            <v>159.78854803127189</v>
          </cell>
          <cell r="N18">
            <v>106379</v>
          </cell>
          <cell r="O18">
            <v>126.51972178356759</v>
          </cell>
          <cell r="P18">
            <v>301</v>
          </cell>
          <cell r="Q18">
            <v>0.73446911399999992</v>
          </cell>
          <cell r="R18">
            <v>518117</v>
          </cell>
          <cell r="S18">
            <v>28.542017081005362</v>
          </cell>
          <cell r="T18">
            <v>1167142</v>
          </cell>
          <cell r="U18">
            <v>1323436</v>
          </cell>
          <cell r="V18">
            <v>179.16860436000644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10205</v>
          </cell>
          <cell r="AD18">
            <v>12.463957725000002</v>
          </cell>
          <cell r="AE18">
            <v>2260521</v>
          </cell>
          <cell r="AF18">
            <v>543.99231956485119</v>
          </cell>
        </row>
        <row r="19">
          <cell r="B19">
            <v>-21894</v>
          </cell>
          <cell r="C19">
            <v>97.897833778000006</v>
          </cell>
          <cell r="D19">
            <v>14338</v>
          </cell>
          <cell r="E19">
            <v>30.240298299999996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1954</v>
          </cell>
          <cell r="K19">
            <v>27.170825220999994</v>
          </cell>
          <cell r="L19">
            <v>1971504</v>
          </cell>
          <cell r="M19">
            <v>545.58263210600012</v>
          </cell>
          <cell r="N19">
            <v>31180</v>
          </cell>
          <cell r="O19">
            <v>407.13558451699549</v>
          </cell>
          <cell r="P19">
            <v>4182</v>
          </cell>
          <cell r="Q19">
            <v>22.326208190999999</v>
          </cell>
          <cell r="R19">
            <v>105857</v>
          </cell>
          <cell r="S19">
            <v>20.218613966999992</v>
          </cell>
          <cell r="T19">
            <v>92711</v>
          </cell>
          <cell r="U19">
            <v>697112</v>
          </cell>
          <cell r="V19">
            <v>220.16712130899984</v>
          </cell>
          <cell r="W19">
            <v>266900</v>
          </cell>
          <cell r="X19">
            <v>7.9040604140038591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190703</v>
          </cell>
          <cell r="AD19">
            <v>67.068277407000011</v>
          </cell>
          <cell r="AE19">
            <v>2657435</v>
          </cell>
          <cell r="AF19">
            <v>1445.7114552099988</v>
          </cell>
        </row>
        <row r="20">
          <cell r="B20">
            <v>16538</v>
          </cell>
          <cell r="C20">
            <v>144.49903685899997</v>
          </cell>
          <cell r="D20">
            <v>513</v>
          </cell>
          <cell r="E20">
            <v>21.430428399999997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489</v>
          </cell>
          <cell r="K20">
            <v>7.2105268370000006</v>
          </cell>
          <cell r="L20">
            <v>1431785</v>
          </cell>
          <cell r="M20">
            <v>285.87149714899988</v>
          </cell>
          <cell r="N20">
            <v>39554</v>
          </cell>
          <cell r="O20">
            <v>682.66709101899994</v>
          </cell>
          <cell r="P20">
            <v>1230</v>
          </cell>
          <cell r="Q20">
            <v>51.563435899999995</v>
          </cell>
          <cell r="R20">
            <v>27954</v>
          </cell>
          <cell r="S20">
            <v>4.4130157069999987</v>
          </cell>
          <cell r="T20">
            <v>60038</v>
          </cell>
          <cell r="U20">
            <v>244379</v>
          </cell>
          <cell r="V20">
            <v>76.207799039999998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5443</v>
          </cell>
          <cell r="AD20">
            <v>9.729700244</v>
          </cell>
          <cell r="AE20">
            <v>1583544</v>
          </cell>
          <cell r="AF20">
            <v>1283.592531155</v>
          </cell>
        </row>
        <row r="21">
          <cell r="B21">
            <v>547</v>
          </cell>
          <cell r="C21">
            <v>11.787559265999995</v>
          </cell>
          <cell r="D21">
            <v>6</v>
          </cell>
          <cell r="E21">
            <v>0.24644056900000003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172</v>
          </cell>
          <cell r="K21">
            <v>1.2072868439999995</v>
          </cell>
          <cell r="L21">
            <v>146641</v>
          </cell>
          <cell r="M21">
            <v>122.8760328540002</v>
          </cell>
          <cell r="N21">
            <v>2204</v>
          </cell>
          <cell r="O21">
            <v>51.002871445992405</v>
          </cell>
          <cell r="P21">
            <v>4603</v>
          </cell>
          <cell r="Q21">
            <v>59.73514285800001</v>
          </cell>
          <cell r="R21">
            <v>105651</v>
          </cell>
          <cell r="S21">
            <v>3.5587841960001487</v>
          </cell>
          <cell r="T21">
            <v>68611</v>
          </cell>
          <cell r="U21">
            <v>159739</v>
          </cell>
          <cell r="V21">
            <v>19.203123800999993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1.0993634000000001</v>
          </cell>
          <cell r="AC21">
            <v>361</v>
          </cell>
          <cell r="AD21">
            <v>1.4985903209999991</v>
          </cell>
          <cell r="AE21">
            <v>328796</v>
          </cell>
          <cell r="AF21">
            <v>272.2151955549927</v>
          </cell>
        </row>
        <row r="22">
          <cell r="B22">
            <v>418592</v>
          </cell>
          <cell r="C22">
            <v>874.33420656344504</v>
          </cell>
          <cell r="D22">
            <v>32590</v>
          </cell>
          <cell r="E22">
            <v>72.818800820130022</v>
          </cell>
          <cell r="F22">
            <v>20</v>
          </cell>
          <cell r="G22">
            <v>11.783360750199996</v>
          </cell>
          <cell r="H22">
            <v>28</v>
          </cell>
          <cell r="I22">
            <v>27.586811553000008</v>
          </cell>
          <cell r="J22">
            <v>13028</v>
          </cell>
          <cell r="K22">
            <v>140.08728279810003</v>
          </cell>
          <cell r="L22">
            <v>2928397</v>
          </cell>
          <cell r="M22">
            <v>1314.5267450849999</v>
          </cell>
          <cell r="N22">
            <v>2295042</v>
          </cell>
          <cell r="O22">
            <v>2259.0697809629642</v>
          </cell>
          <cell r="P22">
            <v>28742</v>
          </cell>
          <cell r="Q22">
            <v>52.756795503745394</v>
          </cell>
          <cell r="R22">
            <v>31921</v>
          </cell>
          <cell r="S22">
            <v>53.54674727945018</v>
          </cell>
          <cell r="T22">
            <v>129678</v>
          </cell>
          <cell r="U22">
            <v>6391955</v>
          </cell>
          <cell r="V22">
            <v>887.20649255189608</v>
          </cell>
          <cell r="W22">
            <v>41432</v>
          </cell>
          <cell r="X22">
            <v>14.293085341000015</v>
          </cell>
          <cell r="Y22">
            <v>10977</v>
          </cell>
          <cell r="Z22">
            <v>2556.4802979464394</v>
          </cell>
          <cell r="AA22">
            <v>0</v>
          </cell>
          <cell r="AB22">
            <v>0</v>
          </cell>
          <cell r="AC22">
            <v>48195</v>
          </cell>
          <cell r="AD22">
            <v>45.789614263700507</v>
          </cell>
          <cell r="AE22">
            <v>5978642</v>
          </cell>
          <cell r="AF22">
            <v>8310.2800214190702</v>
          </cell>
        </row>
        <row r="23">
          <cell r="B23">
            <v>21832</v>
          </cell>
          <cell r="C23">
            <v>272.59274695250002</v>
          </cell>
          <cell r="D23">
            <v>60983</v>
          </cell>
          <cell r="E23">
            <v>35.271838127179997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6471</v>
          </cell>
          <cell r="K23">
            <v>62.007689595999985</v>
          </cell>
          <cell r="L23">
            <v>1513455</v>
          </cell>
          <cell r="M23">
            <v>996.14876523126554</v>
          </cell>
          <cell r="N23">
            <v>190883</v>
          </cell>
          <cell r="O23">
            <v>982.46510746966669</v>
          </cell>
          <cell r="P23">
            <v>3513</v>
          </cell>
          <cell r="Q23">
            <v>12.088163591999995</v>
          </cell>
          <cell r="R23">
            <v>20575</v>
          </cell>
          <cell r="S23">
            <v>51.853063075999991</v>
          </cell>
          <cell r="T23">
            <v>186079</v>
          </cell>
          <cell r="U23">
            <v>1036331</v>
          </cell>
          <cell r="V23">
            <v>342.86502527099998</v>
          </cell>
          <cell r="W23">
            <v>1788</v>
          </cell>
          <cell r="X23">
            <v>0.81363459999999999</v>
          </cell>
          <cell r="Y23">
            <v>56</v>
          </cell>
          <cell r="Z23">
            <v>56.911543188000024</v>
          </cell>
          <cell r="AA23">
            <v>0</v>
          </cell>
          <cell r="AB23">
            <v>0</v>
          </cell>
          <cell r="AC23">
            <v>1690</v>
          </cell>
          <cell r="AD23">
            <v>9.2658288422999995</v>
          </cell>
          <cell r="AE23">
            <v>2007325</v>
          </cell>
          <cell r="AF23">
            <v>2822.2834059459124</v>
          </cell>
        </row>
        <row r="24">
          <cell r="B24">
            <v>1481957</v>
          </cell>
          <cell r="C24">
            <v>1411.4378271</v>
          </cell>
          <cell r="D24">
            <v>6181</v>
          </cell>
          <cell r="E24">
            <v>33.592494517000006</v>
          </cell>
          <cell r="F24">
            <v>0</v>
          </cell>
          <cell r="G24">
            <v>0</v>
          </cell>
          <cell r="H24">
            <v>1</v>
          </cell>
          <cell r="I24">
            <v>0.10831810000000001</v>
          </cell>
          <cell r="J24">
            <v>2666</v>
          </cell>
          <cell r="K24">
            <v>41.472683671999995</v>
          </cell>
          <cell r="L24">
            <v>1299337</v>
          </cell>
          <cell r="M24">
            <v>888.74155158778001</v>
          </cell>
          <cell r="N24">
            <v>237924</v>
          </cell>
          <cell r="O24">
            <v>1255.1657434987815</v>
          </cell>
          <cell r="P24">
            <v>3643</v>
          </cell>
          <cell r="Q24">
            <v>34.692898703999802</v>
          </cell>
          <cell r="R24">
            <v>994243</v>
          </cell>
          <cell r="S24">
            <v>865.61609342898703</v>
          </cell>
          <cell r="T24">
            <v>638091</v>
          </cell>
          <cell r="U24">
            <v>5346063</v>
          </cell>
          <cell r="V24">
            <v>1256.3326785463403</v>
          </cell>
          <cell r="W24">
            <v>549</v>
          </cell>
          <cell r="X24">
            <v>0.4302587060000001</v>
          </cell>
          <cell r="Y24">
            <v>3103417</v>
          </cell>
          <cell r="Z24">
            <v>2277.0747154919836</v>
          </cell>
          <cell r="AA24">
            <v>93</v>
          </cell>
          <cell r="AB24">
            <v>30.130741415999996</v>
          </cell>
          <cell r="AC24">
            <v>833015</v>
          </cell>
          <cell r="AD24">
            <v>170.06151270006973</v>
          </cell>
          <cell r="AE24">
            <v>8601117</v>
          </cell>
          <cell r="AF24">
            <v>8264.8575174689431</v>
          </cell>
        </row>
        <row r="25">
          <cell r="B25">
            <v>63054</v>
          </cell>
          <cell r="C25">
            <v>39.632788299999994</v>
          </cell>
          <cell r="D25">
            <v>3147</v>
          </cell>
          <cell r="E25">
            <v>1.2053885999999998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6256</v>
          </cell>
          <cell r="K25">
            <v>14.599818130000001</v>
          </cell>
          <cell r="L25">
            <v>3590602</v>
          </cell>
          <cell r="M25">
            <v>476.94128484099997</v>
          </cell>
          <cell r="N25">
            <v>90659</v>
          </cell>
          <cell r="O25">
            <v>1572.2950201179999</v>
          </cell>
          <cell r="P25">
            <v>4762</v>
          </cell>
          <cell r="Q25">
            <v>4.7903500000000001</v>
          </cell>
          <cell r="R25">
            <v>105296</v>
          </cell>
          <cell r="S25">
            <v>12.509558678000001</v>
          </cell>
          <cell r="T25">
            <v>32219</v>
          </cell>
          <cell r="U25">
            <v>34945</v>
          </cell>
          <cell r="V25">
            <v>4.7405951000000002</v>
          </cell>
          <cell r="W25">
            <v>4</v>
          </cell>
          <cell r="X25">
            <v>8.7415999999999987E-3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39227</v>
          </cell>
          <cell r="AD25">
            <v>12.154044599999999</v>
          </cell>
          <cell r="AE25">
            <v>3935226</v>
          </cell>
          <cell r="AF25">
            <v>2138.8775899669999</v>
          </cell>
        </row>
        <row r="26">
          <cell r="B26">
            <v>662469</v>
          </cell>
          <cell r="C26">
            <v>1433.89932312</v>
          </cell>
          <cell r="D26">
            <v>66474</v>
          </cell>
          <cell r="E26">
            <v>346.29837391000018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7783</v>
          </cell>
          <cell r="K26">
            <v>75.989084017999971</v>
          </cell>
          <cell r="L26">
            <v>5219580</v>
          </cell>
          <cell r="M26">
            <v>2072.9035552029927</v>
          </cell>
          <cell r="N26">
            <v>506712</v>
          </cell>
          <cell r="O26">
            <v>2266.379834790001</v>
          </cell>
          <cell r="P26">
            <v>29951</v>
          </cell>
          <cell r="Q26">
            <v>380.61367249899973</v>
          </cell>
          <cell r="R26">
            <v>170599</v>
          </cell>
          <cell r="S26">
            <v>151.25802209999901</v>
          </cell>
          <cell r="T26">
            <v>266237</v>
          </cell>
          <cell r="U26">
            <v>4194204</v>
          </cell>
          <cell r="V26">
            <v>1070.1596846390005</v>
          </cell>
          <cell r="W26">
            <v>82723</v>
          </cell>
          <cell r="X26">
            <v>79.24287267699998</v>
          </cell>
          <cell r="Y26">
            <v>18649</v>
          </cell>
          <cell r="Z26">
            <v>62.534020151000007</v>
          </cell>
          <cell r="AA26">
            <v>143</v>
          </cell>
          <cell r="AB26">
            <v>55.087186700000004</v>
          </cell>
          <cell r="AC26">
            <v>617426</v>
          </cell>
          <cell r="AD26">
            <v>47.696784222999874</v>
          </cell>
          <cell r="AE26">
            <v>7648746</v>
          </cell>
          <cell r="AF26">
            <v>8042.062414029996</v>
          </cell>
        </row>
        <row r="27">
          <cell r="B27">
            <v>154812</v>
          </cell>
          <cell r="C27">
            <v>194.87779510000001</v>
          </cell>
          <cell r="D27">
            <v>1292</v>
          </cell>
          <cell r="E27">
            <v>11.975250099999997</v>
          </cell>
          <cell r="F27">
            <v>42</v>
          </cell>
          <cell r="G27">
            <v>24.339822300000002</v>
          </cell>
          <cell r="H27">
            <v>0</v>
          </cell>
          <cell r="I27">
            <v>0</v>
          </cell>
          <cell r="J27">
            <v>1246</v>
          </cell>
          <cell r="K27">
            <v>8.1727886999999981</v>
          </cell>
          <cell r="L27">
            <v>710704</v>
          </cell>
          <cell r="M27">
            <v>420.29988250000002</v>
          </cell>
          <cell r="N27">
            <v>1027235</v>
          </cell>
          <cell r="O27">
            <v>590.42926269999998</v>
          </cell>
          <cell r="P27">
            <v>288</v>
          </cell>
          <cell r="Q27">
            <v>4.4036219000000001</v>
          </cell>
          <cell r="R27">
            <v>15979</v>
          </cell>
          <cell r="S27">
            <v>131.37610169999999</v>
          </cell>
          <cell r="T27">
            <v>275370</v>
          </cell>
          <cell r="U27">
            <v>2425322</v>
          </cell>
          <cell r="V27">
            <v>244.82820875799999</v>
          </cell>
          <cell r="W27">
            <v>348</v>
          </cell>
          <cell r="X27">
            <v>8.7486699999999987E-2</v>
          </cell>
          <cell r="Y27">
            <v>664</v>
          </cell>
          <cell r="Z27">
            <v>1349.9047913000002</v>
          </cell>
          <cell r="AA27">
            <v>5</v>
          </cell>
          <cell r="AB27">
            <v>12.072899399999999</v>
          </cell>
          <cell r="AC27">
            <v>200077</v>
          </cell>
          <cell r="AD27">
            <v>59.39312319999997</v>
          </cell>
          <cell r="AE27">
            <v>2388062</v>
          </cell>
          <cell r="AF27">
            <v>3052.1610343579996</v>
          </cell>
        </row>
        <row r="28">
          <cell r="B28">
            <v>690405</v>
          </cell>
          <cell r="C28">
            <v>3771.3093020340002</v>
          </cell>
          <cell r="D28">
            <v>232042</v>
          </cell>
          <cell r="E28">
            <v>365.26126700000003</v>
          </cell>
          <cell r="F28">
            <v>10493</v>
          </cell>
          <cell r="G28">
            <v>485.68048958699995</v>
          </cell>
          <cell r="H28">
            <v>415</v>
          </cell>
          <cell r="I28">
            <v>272.27120720000005</v>
          </cell>
          <cell r="J28">
            <v>71385</v>
          </cell>
          <cell r="K28">
            <v>660.38994890000004</v>
          </cell>
          <cell r="L28">
            <v>9397536</v>
          </cell>
          <cell r="M28">
            <v>2691.1538770679999</v>
          </cell>
          <cell r="N28">
            <v>14236170</v>
          </cell>
          <cell r="O28">
            <v>6110.3805252000002</v>
          </cell>
          <cell r="P28">
            <v>178401</v>
          </cell>
          <cell r="Q28">
            <v>493.43600684700004</v>
          </cell>
          <cell r="R28">
            <v>2447037</v>
          </cell>
          <cell r="S28">
            <v>620.15324338799996</v>
          </cell>
          <cell r="T28">
            <v>1913387</v>
          </cell>
          <cell r="U28">
            <v>18982915</v>
          </cell>
          <cell r="V28">
            <v>10780.553327297001</v>
          </cell>
          <cell r="W28">
            <v>5412</v>
          </cell>
          <cell r="X28">
            <v>3.7165212999999993</v>
          </cell>
          <cell r="Y28">
            <v>4968</v>
          </cell>
          <cell r="Z28">
            <v>1067.5285495999999</v>
          </cell>
          <cell r="AA28">
            <v>175</v>
          </cell>
          <cell r="AB28">
            <v>96.545402399999986</v>
          </cell>
          <cell r="AC28">
            <v>992896</v>
          </cell>
          <cell r="AD28">
            <v>1130.096104724</v>
          </cell>
          <cell r="AE28">
            <v>30180722</v>
          </cell>
          <cell r="AF28">
            <v>28548.475772544985</v>
          </cell>
        </row>
        <row r="29">
          <cell r="B29">
            <v>252946</v>
          </cell>
          <cell r="C29">
            <v>1175.2862313059998</v>
          </cell>
          <cell r="D29">
            <v>66120</v>
          </cell>
          <cell r="E29">
            <v>108.41057177699999</v>
          </cell>
          <cell r="F29">
            <v>5837</v>
          </cell>
          <cell r="G29">
            <v>84.384205500000007</v>
          </cell>
          <cell r="H29">
            <v>502</v>
          </cell>
          <cell r="I29">
            <v>95.874597200000011</v>
          </cell>
          <cell r="J29">
            <v>24480</v>
          </cell>
          <cell r="K29">
            <v>277.31715819999999</v>
          </cell>
          <cell r="L29">
            <v>6863491</v>
          </cell>
          <cell r="M29">
            <v>1488.9329889999999</v>
          </cell>
          <cell r="N29">
            <v>4467547</v>
          </cell>
          <cell r="O29">
            <v>3376.8257744999996</v>
          </cell>
          <cell r="P29">
            <v>34434</v>
          </cell>
          <cell r="Q29">
            <v>79.665795700000004</v>
          </cell>
          <cell r="R29">
            <v>298479</v>
          </cell>
          <cell r="S29">
            <v>221.00394490000002</v>
          </cell>
          <cell r="T29">
            <v>1511375</v>
          </cell>
          <cell r="U29">
            <v>51410606</v>
          </cell>
          <cell r="V29">
            <v>5547.4600334940005</v>
          </cell>
          <cell r="W29">
            <v>1375</v>
          </cell>
          <cell r="X29">
            <v>1.062886606</v>
          </cell>
          <cell r="Y29">
            <v>552</v>
          </cell>
          <cell r="Z29">
            <v>1343.1353399610005</v>
          </cell>
          <cell r="AA29">
            <v>0</v>
          </cell>
          <cell r="AB29">
            <v>0</v>
          </cell>
          <cell r="AC29">
            <v>358778</v>
          </cell>
          <cell r="AD29">
            <v>341.47218698199998</v>
          </cell>
          <cell r="AE29">
            <v>13885916</v>
          </cell>
          <cell r="AF29">
            <v>14140.831715126</v>
          </cell>
        </row>
        <row r="30">
          <cell r="B30">
            <v>396749</v>
          </cell>
          <cell r="C30">
            <v>1650.5083</v>
          </cell>
          <cell r="D30">
            <v>117321</v>
          </cell>
          <cell r="E30">
            <v>191.17660000000001</v>
          </cell>
          <cell r="F30">
            <v>5909</v>
          </cell>
          <cell r="G30">
            <v>149.2124</v>
          </cell>
          <cell r="H30">
            <v>390</v>
          </cell>
          <cell r="I30">
            <v>124.6268</v>
          </cell>
          <cell r="J30">
            <v>23768</v>
          </cell>
          <cell r="K30">
            <v>254.71639999139992</v>
          </cell>
          <cell r="L30">
            <v>4034421</v>
          </cell>
          <cell r="M30">
            <v>1035.6643999999999</v>
          </cell>
          <cell r="N30">
            <v>1419248</v>
          </cell>
          <cell r="O30">
            <v>2711.3075000000008</v>
          </cell>
          <cell r="P30">
            <v>91827</v>
          </cell>
          <cell r="Q30">
            <v>137.59620000000004</v>
          </cell>
          <cell r="R30">
            <v>563946</v>
          </cell>
          <cell r="S30">
            <v>239.74480002000001</v>
          </cell>
          <cell r="T30">
            <v>2427156</v>
          </cell>
          <cell r="U30">
            <v>2296093</v>
          </cell>
          <cell r="V30">
            <v>4741.8603999999996</v>
          </cell>
          <cell r="W30">
            <v>2628</v>
          </cell>
          <cell r="X30">
            <v>1.9414000000000002</v>
          </cell>
          <cell r="Y30">
            <v>68</v>
          </cell>
          <cell r="Z30">
            <v>793.81610000000001</v>
          </cell>
          <cell r="AA30">
            <v>0</v>
          </cell>
          <cell r="AB30">
            <v>0</v>
          </cell>
          <cell r="AC30">
            <v>493565</v>
          </cell>
          <cell r="AD30">
            <v>417.53729996199996</v>
          </cell>
          <cell r="AE30">
            <v>9576996</v>
          </cell>
          <cell r="AF30">
            <v>12449.708599973397</v>
          </cell>
        </row>
        <row r="31">
          <cell r="B31">
            <v>569504</v>
          </cell>
          <cell r="C31">
            <v>1778.280238199</v>
          </cell>
          <cell r="D31">
            <v>74049</v>
          </cell>
          <cell r="E31">
            <v>179.900625835</v>
          </cell>
          <cell r="F31">
            <v>13884</v>
          </cell>
          <cell r="G31">
            <v>160.80084959999999</v>
          </cell>
          <cell r="H31">
            <v>409</v>
          </cell>
          <cell r="I31">
            <v>89.882223900000014</v>
          </cell>
          <cell r="J31">
            <v>38053</v>
          </cell>
          <cell r="K31">
            <v>385.86586210000002</v>
          </cell>
          <cell r="L31">
            <v>7136108</v>
          </cell>
          <cell r="M31">
            <v>1436.9266800959999</v>
          </cell>
          <cell r="N31">
            <v>4500072</v>
          </cell>
          <cell r="O31">
            <v>4366.9114306000001</v>
          </cell>
          <cell r="P31">
            <v>128263</v>
          </cell>
          <cell r="Q31">
            <v>205.47860456399997</v>
          </cell>
          <cell r="R31">
            <v>614406</v>
          </cell>
          <cell r="S31">
            <v>503.69274606799985</v>
          </cell>
          <cell r="T31">
            <v>1118204</v>
          </cell>
          <cell r="U31">
            <v>161265248</v>
          </cell>
          <cell r="V31">
            <v>6240.4654181209971</v>
          </cell>
          <cell r="W31">
            <v>1302</v>
          </cell>
          <cell r="X31">
            <v>1.0647667690000002</v>
          </cell>
          <cell r="Y31">
            <v>101</v>
          </cell>
          <cell r="Z31">
            <v>917.0747898999997</v>
          </cell>
          <cell r="AA31">
            <v>0</v>
          </cell>
          <cell r="AB31">
            <v>0</v>
          </cell>
          <cell r="AC31">
            <v>588956</v>
          </cell>
          <cell r="AD31">
            <v>438.35173346700003</v>
          </cell>
          <cell r="AE31">
            <v>14783311</v>
          </cell>
          <cell r="AF31">
            <v>16704.695969218992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41781171</v>
          </cell>
          <cell r="Z32">
            <v>12052.574355787783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41781171</v>
          </cell>
          <cell r="AF32">
            <v>12052.574355787783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11651</v>
          </cell>
          <cell r="AB33">
            <v>1062.2819</v>
          </cell>
          <cell r="AC33">
            <v>0</v>
          </cell>
          <cell r="AD33">
            <v>0</v>
          </cell>
          <cell r="AE33">
            <v>11651</v>
          </cell>
          <cell r="AF33">
            <v>1062.2819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126119</v>
          </cell>
          <cell r="S34">
            <v>134.79561680822724</v>
          </cell>
          <cell r="T34">
            <v>495847</v>
          </cell>
          <cell r="U34">
            <v>9954420</v>
          </cell>
          <cell r="V34">
            <v>1165.8420226489282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621966</v>
          </cell>
          <cell r="AF34">
            <v>1300.6376394571553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16457</v>
          </cell>
          <cell r="S35">
            <v>9.6929757980827667</v>
          </cell>
          <cell r="T35">
            <v>288497</v>
          </cell>
          <cell r="U35">
            <v>4791896</v>
          </cell>
          <cell r="V35">
            <v>744.52714717897118</v>
          </cell>
          <cell r="W35">
            <v>28</v>
          </cell>
          <cell r="X35">
            <v>1.2710310630000001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304982</v>
          </cell>
          <cell r="AF35">
            <v>755.49115404005363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149325</v>
          </cell>
          <cell r="S36">
            <v>81.058953023998868</v>
          </cell>
          <cell r="T36">
            <v>1249487</v>
          </cell>
          <cell r="U36">
            <v>6105586</v>
          </cell>
          <cell r="V36">
            <v>1665.9829267158907</v>
          </cell>
          <cell r="W36">
            <v>0</v>
          </cell>
          <cell r="X36">
            <v>3.7360229989999998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1398812</v>
          </cell>
          <cell r="AF36">
            <v>1750.777902738889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-93</v>
          </cell>
          <cell r="U37">
            <v>-10</v>
          </cell>
          <cell r="V37">
            <v>-1.3456684999999998E-2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-93</v>
          </cell>
          <cell r="AF37">
            <v>-1.3456684999999998E-2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151281</v>
          </cell>
          <cell r="S38">
            <v>225.69736575700509</v>
          </cell>
          <cell r="T38">
            <v>1178380</v>
          </cell>
          <cell r="U38">
            <v>7342207</v>
          </cell>
          <cell r="V38">
            <v>2310.0239739271569</v>
          </cell>
          <cell r="W38">
            <v>47151</v>
          </cell>
          <cell r="X38">
            <v>24.032300695999993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1376812</v>
          </cell>
          <cell r="AF38">
            <v>2559.7536403801637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591558</v>
          </cell>
          <cell r="S39">
            <v>169.26137542216671</v>
          </cell>
          <cell r="T39">
            <v>6398761</v>
          </cell>
          <cell r="U39">
            <v>18922815</v>
          </cell>
          <cell r="V39">
            <v>9218.5888470554983</v>
          </cell>
          <cell r="W39">
            <v>16</v>
          </cell>
          <cell r="X39">
            <v>0.68852307499999998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6990335</v>
          </cell>
          <cell r="AF39">
            <v>9388.5387455526634</v>
          </cell>
        </row>
        <row r="40">
          <cell r="B40">
            <v>7575185</v>
          </cell>
          <cell r="C40">
            <v>20112.701737755859</v>
          </cell>
          <cell r="D40">
            <v>1370748</v>
          </cell>
          <cell r="E40">
            <v>2437.6862830252749</v>
          </cell>
          <cell r="F40">
            <v>37063</v>
          </cell>
          <cell r="G40">
            <v>1050.4051761092001</v>
          </cell>
          <cell r="H40">
            <v>2126</v>
          </cell>
          <cell r="I40">
            <v>753.18167724186014</v>
          </cell>
          <cell r="J40">
            <v>272521</v>
          </cell>
          <cell r="K40">
            <v>2969.6932796868068</v>
          </cell>
          <cell r="L40">
            <v>85218696</v>
          </cell>
          <cell r="M40">
            <v>26059.983894540779</v>
          </cell>
          <cell r="N40">
            <v>49504828</v>
          </cell>
          <cell r="O40">
            <v>41732.192765145832</v>
          </cell>
          <cell r="P40">
            <v>762099</v>
          </cell>
          <cell r="Q40">
            <v>3030.0023426032849</v>
          </cell>
          <cell r="R40">
            <v>15122878</v>
          </cell>
          <cell r="S40">
            <v>5119.6784923512187</v>
          </cell>
          <cell r="T40">
            <v>28518129</v>
          </cell>
          <cell r="U40">
            <v>481436453</v>
          </cell>
          <cell r="V40">
            <v>58389.563808231913</v>
          </cell>
          <cell r="W40">
            <v>817621</v>
          </cell>
          <cell r="X40">
            <v>243.82197300447848</v>
          </cell>
          <cell r="Y40">
            <v>46597974</v>
          </cell>
          <cell r="Z40">
            <v>31119.861591801211</v>
          </cell>
          <cell r="AA40">
            <v>12332</v>
          </cell>
          <cell r="AB40">
            <v>1395.2649949509998</v>
          </cell>
          <cell r="AC40">
            <v>11071968</v>
          </cell>
          <cell r="AD40">
            <v>4300.6855174841567</v>
          </cell>
          <cell r="AE40">
            <v>246884168</v>
          </cell>
          <cell r="AF40">
            <v>198714.72353393285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 sheet"/>
      <sheetName val="Statement 3 (P)"/>
      <sheetName val="state 3 CYAR vs PYAR"/>
      <sheetName val="Statement 4 (P)"/>
      <sheetName val="state 4 CYAR vs PYAR"/>
      <sheetName val="Statement 12-1314"/>
      <sheetName val="Statement 12-1314 (P)"/>
      <sheetName val="Statement 12-1213"/>
      <sheetName val="Statement 12-1213 (P)"/>
      <sheetName val="Statement 12-1213 as per PYAR"/>
      <sheetName val="state12 CYAR vs PYAR"/>
      <sheetName val="Statement 13"/>
      <sheetName val="Statement 13 (P)"/>
      <sheetName val="Statement 13 CYAR vs PYAR"/>
      <sheetName val="Statement 19 "/>
      <sheetName val="Statement 19 (P)"/>
      <sheetName val="Statement 19 CYAR vs PYAR"/>
      <sheetName val="21"/>
      <sheetName val="21(P)"/>
      <sheetName val="21 CYAR vs PYAR"/>
      <sheetName val="Statement 22 "/>
      <sheetName val="Statement 22  (P)"/>
      <sheetName val="Statement 22 (P)  (2)"/>
      <sheetName val="Statement 23"/>
      <sheetName val="Statement 23 (P)"/>
      <sheetName val="Statement 23 (P) (3)"/>
      <sheetName val="Statement 24 (P)"/>
      <sheetName val="Statement 25 (P)"/>
      <sheetName val="Statement 26 (P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 Index 2021-22"/>
      <sheetName val="New Tables"/>
      <sheetName val="A (OLD)"/>
      <sheetName val="B"/>
      <sheetName val="A"/>
      <sheetName val="4"/>
      <sheetName val="5"/>
      <sheetName val="7"/>
      <sheetName val="9"/>
      <sheetName val="16"/>
      <sheetName val="18"/>
      <sheetName val="22"/>
      <sheetName val="51"/>
      <sheetName val="57"/>
      <sheetName val="8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 sheet"/>
      <sheetName val="F &amp; A Life"/>
      <sheetName val="Statement 3 (P)"/>
      <sheetName val="state 3 CYAR vs PYAR"/>
      <sheetName val="Statement 4 (P)"/>
      <sheetName val="state 4 CYAR vs PYAR"/>
      <sheetName val="Statement 12-1314"/>
      <sheetName val="Statement 12-1314 (P)"/>
      <sheetName val="Statement 12-1213"/>
      <sheetName val="Statement 12-1213 (P)"/>
      <sheetName val="Statement 12-1213 as per PYAR"/>
      <sheetName val="state12 CYAR vs PYAR"/>
      <sheetName val="Statement 13"/>
      <sheetName val="Statement 13 (P)"/>
      <sheetName val="Statement 13 CYAR vs PYAR"/>
      <sheetName val="Statement 19 "/>
      <sheetName val="Statement 19 (P)"/>
      <sheetName val="Statement 19 CYAR vs PYAR"/>
      <sheetName val="21"/>
      <sheetName val="investments "/>
      <sheetName val="21(P)"/>
      <sheetName val="21 CYAR vs PYAR"/>
      <sheetName val="Statement 22 "/>
      <sheetName val="Statement 22  (2)"/>
      <sheetName val="Statement 22  (P)"/>
      <sheetName val="Statement 22 (P)  (2)"/>
      <sheetName val="Statement 23"/>
      <sheetName val="Statement 23 (P)"/>
      <sheetName val="Statement 23 (P) (3)"/>
      <sheetName val="Statement 24 (P)"/>
      <sheetName val="Statement 25 (P)"/>
      <sheetName val="Statement 26 (P)"/>
      <sheetName val="3 (P)"/>
      <sheetName val="4 (P)"/>
      <sheetName val="6 (P)"/>
      <sheetName val="6.1 (P)"/>
      <sheetName val="7 (P)"/>
      <sheetName val="7.1 (P) "/>
      <sheetName val="8 (P)"/>
      <sheetName val="9 (P)"/>
      <sheetName val="penalties - 10 (P)"/>
      <sheetName val="circulars - 11 (P)"/>
      <sheetName val="COMMISSION -13-14-LIN-NONLIN"/>
      <sheetName val="COMMISSION-13-14-LIN-NONLIN(P)"/>
      <sheetName val="COMMISSION - 12-13 - LIN-NONLIN"/>
      <sheetName val="COMMISSION-12-13-LIN-NONLIN(P)"/>
      <sheetName val="Sheet1"/>
      <sheetName val="Surrenders"/>
      <sheetName val="surrender (2)"/>
      <sheetName val="surrenders (P) (2)"/>
      <sheetName val="surrender"/>
      <sheetName val="surrenders (P)"/>
      <sheetName val="surrender CYAR vs PYAR"/>
      <sheetName val="Statement 13 (P) validations"/>
      <sheetName val="Statement 13 (P)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7">
          <cell r="B17">
            <v>162643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 sheet"/>
      <sheetName val="Statement 3 (P)"/>
      <sheetName val="state 3 CYAR vs PYAR"/>
      <sheetName val="Statement 4 (P)"/>
      <sheetName val="state 4 CYAR vs PYAR"/>
      <sheetName val="Statement 12-1314"/>
      <sheetName val="Statement 12-1314 (P)"/>
      <sheetName val="Statement 12-1213"/>
      <sheetName val="Statement 12-1213 (P)"/>
      <sheetName val="Statement 12-1213 as per PYAR"/>
      <sheetName val="state12 CYAR vs PYAR"/>
      <sheetName val="Statement 13"/>
      <sheetName val="Statement 13 (P)"/>
      <sheetName val="Statement 13 CYAR vs PYAR"/>
      <sheetName val="Statement 19 "/>
      <sheetName val="Statement 19 (P)"/>
      <sheetName val="Statement 19 CYAR vs PYAR"/>
      <sheetName val="21"/>
      <sheetName val="21(P)"/>
      <sheetName val="21 CYAR vs PYAR"/>
      <sheetName val="Statement 22 "/>
      <sheetName val="Statement 22  (P)"/>
      <sheetName val="Statement 22 (P)  (2)"/>
      <sheetName val="Statement 23"/>
      <sheetName val="Statement 23 (P)"/>
      <sheetName val="Statement 23 (P) (3)"/>
      <sheetName val="Statement 24 (P)"/>
      <sheetName val="Statement 25 (P)"/>
      <sheetName val="Statement 26 (P)"/>
      <sheetName val="3 (P)"/>
      <sheetName val="4 (P)"/>
      <sheetName val="6 (P)"/>
      <sheetName val="6.1 (P)"/>
      <sheetName val="7 (P)"/>
      <sheetName val="7.1 (P) "/>
      <sheetName val="8 (P)"/>
      <sheetName val="9 (P)"/>
      <sheetName val="penalties - 10 (P)"/>
      <sheetName val="circulars - 11 (P)"/>
      <sheetName val="COMMISSION -13-14-LIN-NONLIN"/>
      <sheetName val="COMMISSION-13-14-LIN-NONLIN(P)"/>
      <sheetName val="COMMISSION - 12-13 - LIN-NONLIN"/>
      <sheetName val="COMMISSION-12-13-LIN-NONLIN(P)"/>
      <sheetName val="Sheet1"/>
      <sheetName val="Surrenders"/>
      <sheetName val="surrender"/>
      <sheetName val="surrenders (P)"/>
      <sheetName val="surrender CYAR vs PYAR"/>
      <sheetName val="Sheet2"/>
      <sheetName val="Sheet2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ables/table1.xml><?xml version="1.0" encoding="utf-8"?>
<table xmlns="http://schemas.openxmlformats.org/spreadsheetml/2006/main" id="1" name="Table1" displayName="Table1" ref="A4:B23" totalsRowShown="0" headerRowDxfId="6" headerRowBorderDxfId="5" tableBorderDxfId="4" headerRowCellStyle="Normal 11">
  <tableColumns count="2">
    <tableColumn id="3" name="Table No." dataDxfId="3" totalsRowDxfId="2"/>
    <tableColumn id="2" name="Particulars" dataDxfId="1" totalsRow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file:///\\10.10.13.11\..\Notes%20to%20Annual%20Report%20and%20Handbook.xlsx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showGridLines="0" tabSelected="1" zoomScale="90" zoomScaleNormal="90" workbookViewId="0">
      <selection sqref="A1:B1"/>
    </sheetView>
  </sheetViews>
  <sheetFormatPr defaultColWidth="64.140625" defaultRowHeight="15" x14ac:dyDescent="0.25"/>
  <cols>
    <col min="1" max="1" width="7.140625" style="550" customWidth="1"/>
    <col min="2" max="2" width="92.7109375" style="104" customWidth="1"/>
    <col min="3" max="3" width="16.7109375" customWidth="1"/>
    <col min="4" max="11" width="16.7109375" style="104" customWidth="1"/>
    <col min="12" max="16384" width="64.140625" style="104"/>
  </cols>
  <sheetData>
    <row r="1" spans="1:3" ht="24" customHeight="1" x14ac:dyDescent="0.25">
      <c r="A1" s="927" t="s">
        <v>501</v>
      </c>
      <c r="B1" s="927"/>
      <c r="C1" s="104"/>
    </row>
    <row r="2" spans="1:3" ht="19.5" customHeight="1" x14ac:dyDescent="0.25">
      <c r="A2" s="928" t="s">
        <v>543</v>
      </c>
      <c r="B2" s="928"/>
      <c r="C2" s="104"/>
    </row>
    <row r="3" spans="1:3" x14ac:dyDescent="0.25">
      <c r="A3" s="929" t="s">
        <v>500</v>
      </c>
      <c r="B3" s="929"/>
      <c r="C3" s="104"/>
    </row>
    <row r="4" spans="1:3" ht="30" x14ac:dyDescent="0.25">
      <c r="A4" s="186" t="s">
        <v>1</v>
      </c>
      <c r="B4" s="186" t="s">
        <v>0</v>
      </c>
      <c r="C4" s="104"/>
    </row>
    <row r="5" spans="1:3" x14ac:dyDescent="0.25">
      <c r="A5" s="549">
        <v>43</v>
      </c>
      <c r="B5" s="187" t="s">
        <v>100</v>
      </c>
      <c r="C5" s="104"/>
    </row>
    <row r="6" spans="1:3" x14ac:dyDescent="0.25">
      <c r="A6" s="549">
        <v>44</v>
      </c>
      <c r="B6" s="187" t="s">
        <v>424</v>
      </c>
      <c r="C6" s="104"/>
    </row>
    <row r="7" spans="1:3" x14ac:dyDescent="0.25">
      <c r="A7" s="549">
        <v>45</v>
      </c>
      <c r="B7" s="187" t="s">
        <v>425</v>
      </c>
      <c r="C7" s="104"/>
    </row>
    <row r="8" spans="1:3" x14ac:dyDescent="0.25">
      <c r="A8" s="549">
        <v>46</v>
      </c>
      <c r="B8" s="187" t="s">
        <v>544</v>
      </c>
      <c r="C8" s="104"/>
    </row>
    <row r="9" spans="1:3" x14ac:dyDescent="0.25">
      <c r="A9" s="549">
        <v>47</v>
      </c>
      <c r="B9" s="187" t="s">
        <v>180</v>
      </c>
      <c r="C9" s="104"/>
    </row>
    <row r="10" spans="1:3" x14ac:dyDescent="0.25">
      <c r="A10" s="549">
        <v>48</v>
      </c>
      <c r="B10" s="187" t="s">
        <v>405</v>
      </c>
      <c r="C10" s="104"/>
    </row>
    <row r="11" spans="1:3" x14ac:dyDescent="0.25">
      <c r="A11" s="549">
        <v>49</v>
      </c>
      <c r="B11" s="187" t="s">
        <v>449</v>
      </c>
      <c r="C11" s="104"/>
    </row>
    <row r="12" spans="1:3" x14ac:dyDescent="0.25">
      <c r="A12" s="549">
        <v>50</v>
      </c>
      <c r="B12" s="187" t="s">
        <v>450</v>
      </c>
      <c r="C12" s="104"/>
    </row>
    <row r="13" spans="1:3" x14ac:dyDescent="0.25">
      <c r="A13" s="549">
        <v>51</v>
      </c>
      <c r="B13" s="187" t="s">
        <v>545</v>
      </c>
      <c r="C13" s="104"/>
    </row>
    <row r="14" spans="1:3" x14ac:dyDescent="0.25">
      <c r="A14" s="549">
        <v>52</v>
      </c>
      <c r="B14" s="187" t="s">
        <v>200</v>
      </c>
      <c r="C14" s="104"/>
    </row>
    <row r="15" spans="1:3" x14ac:dyDescent="0.25">
      <c r="A15" s="549">
        <v>53</v>
      </c>
      <c r="B15" s="187" t="s">
        <v>448</v>
      </c>
      <c r="C15" s="104"/>
    </row>
    <row r="16" spans="1:3" x14ac:dyDescent="0.25">
      <c r="A16" s="549">
        <v>54</v>
      </c>
      <c r="B16" s="187" t="s">
        <v>406</v>
      </c>
      <c r="C16" s="104"/>
    </row>
    <row r="17" spans="1:3" x14ac:dyDescent="0.25">
      <c r="A17" s="549">
        <v>55</v>
      </c>
      <c r="B17" s="187" t="s">
        <v>407</v>
      </c>
      <c r="C17" s="104"/>
    </row>
    <row r="18" spans="1:3" x14ac:dyDescent="0.25">
      <c r="A18" s="549">
        <v>56</v>
      </c>
      <c r="B18" s="187" t="s">
        <v>408</v>
      </c>
      <c r="C18" s="104"/>
    </row>
    <row r="19" spans="1:3" x14ac:dyDescent="0.25">
      <c r="A19" s="549">
        <v>57</v>
      </c>
      <c r="B19" s="187" t="s">
        <v>546</v>
      </c>
      <c r="C19" s="104"/>
    </row>
    <row r="20" spans="1:3" x14ac:dyDescent="0.25">
      <c r="A20" s="549">
        <v>58</v>
      </c>
      <c r="B20" s="187" t="s">
        <v>486</v>
      </c>
      <c r="C20" s="104"/>
    </row>
    <row r="21" spans="1:3" x14ac:dyDescent="0.25">
      <c r="A21" s="549">
        <v>59</v>
      </c>
      <c r="B21" s="187" t="s">
        <v>496</v>
      </c>
      <c r="C21" s="104"/>
    </row>
    <row r="22" spans="1:3" x14ac:dyDescent="0.25">
      <c r="A22" s="549">
        <v>60</v>
      </c>
      <c r="B22" s="187" t="s">
        <v>349</v>
      </c>
      <c r="C22" s="104"/>
    </row>
    <row r="23" spans="1:3" x14ac:dyDescent="0.25">
      <c r="A23" s="549">
        <v>61</v>
      </c>
      <c r="B23" s="187" t="s">
        <v>409</v>
      </c>
      <c r="C23" s="104"/>
    </row>
  </sheetData>
  <mergeCells count="3">
    <mergeCell ref="A1:B1"/>
    <mergeCell ref="A2:B2"/>
    <mergeCell ref="A3:B3"/>
  </mergeCells>
  <hyperlinks>
    <hyperlink ref="A5" location="'43'!A1" tooltip="43" display="'43'!A1"/>
    <hyperlink ref="A6" location="'44'!A1" tooltip="44" display="'44'!A1"/>
    <hyperlink ref="A7" location="'45'!A1" tooltip="45" display="'45'!A1"/>
    <hyperlink ref="A8" location="'46'!A1" tooltip="46" display="'46'!A1"/>
    <hyperlink ref="A9" location="'47'!A1" tooltip="47" display="'47'!A1"/>
    <hyperlink ref="A11" location="'49'!A1" tooltip="49" display="'49'!A1"/>
    <hyperlink ref="A12" location="'50'!A1" tooltip="50" display="'50'!A1"/>
    <hyperlink ref="A13" location="'51'!A1" tooltip="51" display="'51'!A1"/>
    <hyperlink ref="A14" location="'52'!A1" tooltip="52" display="'52'!A1"/>
    <hyperlink ref="A15" location="'53'!A1" tooltip="53" display="'53'!A1"/>
    <hyperlink ref="A16" location="'54'!A1" tooltip="54" display="'54'!A1"/>
    <hyperlink ref="A17" location="'55'!A1" tooltip="55" display="'55'!A1"/>
    <hyperlink ref="A18" location="'56'!A1" tooltip="56" display="'56'!A1"/>
    <hyperlink ref="A20" location="'58'!A1" tooltip="58" display="'58'!A1"/>
    <hyperlink ref="A21" location="'59'!A1" tooltip="59" display="'59'!A1"/>
    <hyperlink ref="A22" location="'60'!A1" tooltip="60" display="'60'!A1"/>
    <hyperlink ref="A23" location="'61'!A1" tooltip="61" display="'61'!A1"/>
    <hyperlink ref="A19" location="'57'!A1" tooltip="57" display="'57'!A1"/>
    <hyperlink ref="A10" location="'48'!A1" tooltip="48" display="'48'!A1"/>
    <hyperlink ref="B5" location="'43'!A1" tooltip="General and Health Insurance Companies Operating in India" display="General and Health Insurance Companies Operating in India"/>
    <hyperlink ref="B6" location="'44'!A1" tooltip="Gross Direct Premium of General and Health Insurers (Within and Outside India) " display="Gross Direct Premium of General and Health Insurers (Within and Outside India) "/>
    <hyperlink ref="B7" location="'45'!A1" tooltip="Segment-wise Gross Direct Premium of General and Health Insurers (Within India)" display="Segment-wise Gross Direct Premium of General and Health Insurers (Within India)"/>
    <hyperlink ref="B8" location="'46'!A1" tooltip="State-wise Gross Direct Premium Income - General Insurance" display="State-wise Gross Direct Premium Income - General Insurance"/>
    <hyperlink ref="B9" location="'47'!A1" tooltip="Number of Policies Issued by General Insurers" display="Number of Policies Issued by General Insurers"/>
    <hyperlink ref="B10" location="'48'!A1" tooltip="Net Premium Earned, Incurred Claims and Incurred Claims Ratio of General and Health Insurers" display="Net Premium Earned, Incurred Claims and Incurred Claims Ratio of General and Health Insurers"/>
    <hyperlink ref="B11" location="'49'!A1" tooltip="Underwriting Experience of General and Health Insurers" display="Underwriting Experience of General and Health Insurers"/>
    <hyperlink ref="B12" location="'50'!A1" tooltip="Assets Under Management (Investments) of General, Health and Reinsurance Companies" display="Assets Under Management (Investments) of General, Health and Reinsurance Companies"/>
    <hyperlink ref="B13" location="'51'!A1" tooltip="Assets Under Management (Investments) of General, Health and Reinsurance Companies - Insurer-wise" display="Assets Under Management (Investments) of General, Health and Reinsurance Companies - Insurer-wise"/>
    <hyperlink ref="B14" location="'52'!A1" tooltip="Equity Share Capital of General and Health Insurers" display="Equity Share Capital of General and Health Insurers"/>
    <hyperlink ref="B15" location="'53'!A1" tooltip="Solvency Ratio of General, Health and Reinsurance Companies" display="Solvency Ratio of General, Health and Reinsurance Companies"/>
    <hyperlink ref="B16" location="'54'!A1" tooltip="Policyholders Account of General and Health Insurers" display="Policyholders Account of General and Health Insurers"/>
    <hyperlink ref="B17" location="'55'!A1" tooltip="Shareholders Account of General and Health Insurers" display="Shareholders Account of General and Health Insurers"/>
    <hyperlink ref="B18" location="'56'!A1" tooltip="Balance Sheet of General and Health Insurers" display="Balance Sheet of General and Health Insurers"/>
    <hyperlink ref="B19" location="'57'!A1" tooltip="Status of Claims of General and Health Insurers " display="Status of Claims of General and Health Insurers "/>
    <hyperlink ref="B20" location="'58'!A1" tooltip="State-wise Distribution of Offices of General and Health Insurers" display="State-wise Distribution of Offices of General and Health Insurers"/>
    <hyperlink ref="B21" location="'59'!A1" tooltip="Rural and Social Sector Obligations of General and Health Insurers " display="Rural and Social Sector Obligations of General and Health Insurers "/>
    <hyperlink ref="B22" location="'60'!A1" tooltip="Status of Grievances with General and Health Insurers" display="Status of Grievances with General and Health Insurers"/>
    <hyperlink ref="B23" location="'61'!A1" tooltip="Performance of Ombudsmen at Different Centres - General and Health Insurance" display="Performance of Ombudsmen at Different Centres - General and Health Insurance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showGridLines="0" zoomScaleNormal="100" workbookViewId="0">
      <selection sqref="A1:F1"/>
    </sheetView>
  </sheetViews>
  <sheetFormatPr defaultRowHeight="14.25" x14ac:dyDescent="0.25"/>
  <cols>
    <col min="1" max="1" width="4.42578125" style="2" customWidth="1"/>
    <col min="2" max="2" width="57.85546875" style="2" customWidth="1"/>
    <col min="3" max="3" width="53.42578125" style="2" customWidth="1"/>
    <col min="4" max="4" width="11" style="2" bestFit="1" customWidth="1"/>
    <col min="5" max="5" width="13.5703125" style="2" bestFit="1" customWidth="1"/>
    <col min="6" max="6" width="11.140625" style="2" bestFit="1" customWidth="1"/>
    <col min="7" max="16384" width="9.140625" style="2"/>
  </cols>
  <sheetData>
    <row r="1" spans="1:6" s="1" customFormat="1" ht="20.25" customHeight="1" x14ac:dyDescent="0.25">
      <c r="A1" s="1138" t="s">
        <v>547</v>
      </c>
      <c r="B1" s="1138"/>
      <c r="C1" s="1138"/>
      <c r="D1" s="1138"/>
      <c r="E1" s="1138"/>
      <c r="F1" s="1138"/>
    </row>
    <row r="2" spans="1:6" s="1" customFormat="1" ht="20.25" customHeight="1" x14ac:dyDescent="0.25">
      <c r="A2" s="1139" t="s">
        <v>511</v>
      </c>
      <c r="B2" s="1139"/>
      <c r="C2" s="1139"/>
      <c r="D2" s="1139"/>
      <c r="E2" s="1139"/>
      <c r="F2" s="1139"/>
    </row>
    <row r="3" spans="1:6" ht="34.5" customHeight="1" x14ac:dyDescent="0.25">
      <c r="A3" s="188" t="s">
        <v>2</v>
      </c>
      <c r="B3" s="188" t="s">
        <v>3</v>
      </c>
      <c r="C3" s="189" t="s">
        <v>4</v>
      </c>
      <c r="D3" s="189" t="s">
        <v>5</v>
      </c>
      <c r="E3" s="189" t="s">
        <v>6</v>
      </c>
      <c r="F3" s="189" t="s">
        <v>7</v>
      </c>
    </row>
    <row r="4" spans="1:6" ht="17.25" customHeight="1" x14ac:dyDescent="0.25">
      <c r="A4" s="3"/>
      <c r="B4" s="4" t="s">
        <v>8</v>
      </c>
      <c r="C4" s="5"/>
      <c r="D4" s="5"/>
      <c r="E4" s="5"/>
      <c r="F4" s="5"/>
    </row>
    <row r="5" spans="1:6" ht="17.25" customHeight="1" x14ac:dyDescent="0.25">
      <c r="A5" s="3">
        <v>1</v>
      </c>
      <c r="B5" s="3" t="s">
        <v>9</v>
      </c>
      <c r="C5" s="6" t="s">
        <v>10</v>
      </c>
      <c r="D5" s="7">
        <v>58</v>
      </c>
      <c r="E5" s="7">
        <v>1906</v>
      </c>
      <c r="F5" s="7" t="s">
        <v>11</v>
      </c>
    </row>
    <row r="6" spans="1:6" ht="17.25" customHeight="1" x14ac:dyDescent="0.25">
      <c r="A6" s="3">
        <v>2</v>
      </c>
      <c r="B6" s="3" t="s">
        <v>12</v>
      </c>
      <c r="C6" s="6" t="s">
        <v>10</v>
      </c>
      <c r="D6" s="7">
        <v>190</v>
      </c>
      <c r="E6" s="7">
        <v>1919</v>
      </c>
      <c r="F6" s="7" t="s">
        <v>13</v>
      </c>
    </row>
    <row r="7" spans="1:6" ht="17.25" customHeight="1" x14ac:dyDescent="0.25">
      <c r="A7" s="3">
        <v>3</v>
      </c>
      <c r="B7" s="191" t="s">
        <v>14</v>
      </c>
      <c r="C7" s="6" t="s">
        <v>10</v>
      </c>
      <c r="D7" s="7">
        <v>556</v>
      </c>
      <c r="E7" s="7">
        <v>1947</v>
      </c>
      <c r="F7" s="7" t="s">
        <v>15</v>
      </c>
    </row>
    <row r="8" spans="1:6" ht="17.25" customHeight="1" x14ac:dyDescent="0.25">
      <c r="A8" s="3">
        <v>4</v>
      </c>
      <c r="B8" s="3" t="s">
        <v>16</v>
      </c>
      <c r="C8" s="6" t="s">
        <v>10</v>
      </c>
      <c r="D8" s="7">
        <v>545</v>
      </c>
      <c r="E8" s="7">
        <v>1919</v>
      </c>
      <c r="F8" s="7" t="s">
        <v>13</v>
      </c>
    </row>
    <row r="9" spans="1:6" ht="17.25" customHeight="1" x14ac:dyDescent="0.25">
      <c r="A9" s="4"/>
      <c r="B9" s="4" t="s">
        <v>17</v>
      </c>
      <c r="C9" s="4"/>
      <c r="D9" s="4"/>
      <c r="E9" s="4"/>
      <c r="F9" s="4"/>
    </row>
    <row r="10" spans="1:6" ht="17.25" customHeight="1" x14ac:dyDescent="0.25">
      <c r="A10" s="8">
        <v>5</v>
      </c>
      <c r="B10" s="8" t="s">
        <v>18</v>
      </c>
      <c r="C10" s="6" t="s">
        <v>10</v>
      </c>
      <c r="D10" s="9">
        <v>157</v>
      </c>
      <c r="E10" s="9" t="s">
        <v>19</v>
      </c>
      <c r="F10" s="9" t="s">
        <v>20</v>
      </c>
    </row>
    <row r="11" spans="1:6" ht="17.25" customHeight="1" x14ac:dyDescent="0.25">
      <c r="A11" s="3">
        <v>6</v>
      </c>
      <c r="B11" s="3" t="s">
        <v>21</v>
      </c>
      <c r="C11" s="10" t="s">
        <v>22</v>
      </c>
      <c r="D11" s="7">
        <v>113</v>
      </c>
      <c r="E11" s="7" t="s">
        <v>23</v>
      </c>
      <c r="F11" s="7" t="s">
        <v>24</v>
      </c>
    </row>
    <row r="12" spans="1:6" ht="17.25" customHeight="1" x14ac:dyDescent="0.25">
      <c r="A12" s="8">
        <v>7</v>
      </c>
      <c r="B12" s="191" t="s">
        <v>27</v>
      </c>
      <c r="C12" s="6" t="s">
        <v>28</v>
      </c>
      <c r="D12" s="7">
        <v>123</v>
      </c>
      <c r="E12" s="7" t="s">
        <v>29</v>
      </c>
      <c r="F12" s="7" t="s">
        <v>30</v>
      </c>
    </row>
    <row r="13" spans="1:6" ht="17.25" customHeight="1" x14ac:dyDescent="0.25">
      <c r="A13" s="3">
        <v>8</v>
      </c>
      <c r="B13" s="3" t="s">
        <v>31</v>
      </c>
      <c r="C13" s="6" t="s">
        <v>10</v>
      </c>
      <c r="D13" s="7">
        <v>159</v>
      </c>
      <c r="E13" s="7" t="s">
        <v>32</v>
      </c>
      <c r="F13" s="7" t="s">
        <v>20</v>
      </c>
    </row>
    <row r="14" spans="1:6" ht="25.5" x14ac:dyDescent="0.25">
      <c r="A14" s="8">
        <v>9</v>
      </c>
      <c r="B14" s="3" t="s">
        <v>33</v>
      </c>
      <c r="C14" s="6" t="s">
        <v>34</v>
      </c>
      <c r="D14" s="7">
        <v>132</v>
      </c>
      <c r="E14" s="7" t="s">
        <v>35</v>
      </c>
      <c r="F14" s="7" t="s">
        <v>36</v>
      </c>
    </row>
    <row r="15" spans="1:6" x14ac:dyDescent="0.25">
      <c r="A15" s="3">
        <v>10</v>
      </c>
      <c r="B15" s="3" t="s">
        <v>37</v>
      </c>
      <c r="C15" s="6" t="s">
        <v>10</v>
      </c>
      <c r="D15" s="7">
        <v>158</v>
      </c>
      <c r="E15" s="7" t="s">
        <v>38</v>
      </c>
      <c r="F15" s="7" t="s">
        <v>20</v>
      </c>
    </row>
    <row r="16" spans="1:6" ht="17.25" customHeight="1" x14ac:dyDescent="0.25">
      <c r="A16" s="8">
        <v>11</v>
      </c>
      <c r="B16" s="191" t="s">
        <v>462</v>
      </c>
      <c r="C16" s="6" t="s">
        <v>39</v>
      </c>
      <c r="D16" s="7">
        <v>146</v>
      </c>
      <c r="E16" s="12" t="s">
        <v>40</v>
      </c>
      <c r="F16" s="7" t="s">
        <v>41</v>
      </c>
    </row>
    <row r="17" spans="1:7" ht="17.25" customHeight="1" x14ac:dyDescent="0.25">
      <c r="A17" s="3">
        <v>12</v>
      </c>
      <c r="B17" s="191" t="s">
        <v>503</v>
      </c>
      <c r="C17" s="11" t="s">
        <v>43</v>
      </c>
      <c r="D17" s="7">
        <v>115</v>
      </c>
      <c r="E17" s="7" t="s">
        <v>44</v>
      </c>
      <c r="F17" s="7" t="s">
        <v>24</v>
      </c>
    </row>
    <row r="18" spans="1:7" ht="17.25" customHeight="1" x14ac:dyDescent="0.25">
      <c r="A18" s="8">
        <v>13</v>
      </c>
      <c r="B18" s="3" t="s">
        <v>45</v>
      </c>
      <c r="C18" s="3" t="s">
        <v>46</v>
      </c>
      <c r="D18" s="7">
        <v>106</v>
      </c>
      <c r="E18" s="7" t="s">
        <v>47</v>
      </c>
      <c r="F18" s="7" t="s">
        <v>48</v>
      </c>
    </row>
    <row r="19" spans="1:7" ht="17.25" customHeight="1" x14ac:dyDescent="0.25">
      <c r="A19" s="3">
        <v>14</v>
      </c>
      <c r="B19" s="3" t="s">
        <v>49</v>
      </c>
      <c r="C19" s="6" t="s">
        <v>10</v>
      </c>
      <c r="D19" s="12">
        <v>152</v>
      </c>
      <c r="E19" s="7" t="s">
        <v>50</v>
      </c>
      <c r="F19" s="7" t="s">
        <v>51</v>
      </c>
      <c r="G19" s="13"/>
    </row>
    <row r="20" spans="1:7" ht="17.25" customHeight="1" x14ac:dyDescent="0.25">
      <c r="A20" s="8">
        <v>15</v>
      </c>
      <c r="B20" s="3" t="s">
        <v>52</v>
      </c>
      <c r="C20" s="3" t="s">
        <v>53</v>
      </c>
      <c r="D20" s="7">
        <v>150</v>
      </c>
      <c r="E20" s="7" t="s">
        <v>54</v>
      </c>
      <c r="F20" s="7" t="s">
        <v>55</v>
      </c>
    </row>
    <row r="21" spans="1:7" ht="17.25" customHeight="1" x14ac:dyDescent="0.25">
      <c r="A21" s="3">
        <v>16</v>
      </c>
      <c r="B21" s="3" t="s">
        <v>56</v>
      </c>
      <c r="C21" s="14" t="s">
        <v>57</v>
      </c>
      <c r="D21" s="7">
        <v>149</v>
      </c>
      <c r="E21" s="7" t="s">
        <v>54</v>
      </c>
      <c r="F21" s="7" t="s">
        <v>55</v>
      </c>
    </row>
    <row r="22" spans="1:7" ht="17.25" customHeight="1" x14ac:dyDescent="0.25">
      <c r="A22" s="8">
        <v>17</v>
      </c>
      <c r="B22" s="3" t="s">
        <v>58</v>
      </c>
      <c r="C22" s="6" t="s">
        <v>10</v>
      </c>
      <c r="D22" s="7">
        <v>155</v>
      </c>
      <c r="E22" s="7" t="s">
        <v>59</v>
      </c>
      <c r="F22" s="7" t="s">
        <v>20</v>
      </c>
    </row>
    <row r="23" spans="1:7" ht="17.25" customHeight="1" x14ac:dyDescent="0.25">
      <c r="A23" s="3">
        <v>18</v>
      </c>
      <c r="B23" s="3" t="s">
        <v>60</v>
      </c>
      <c r="C23" s="14" t="s">
        <v>61</v>
      </c>
      <c r="D23" s="7">
        <v>141</v>
      </c>
      <c r="E23" s="7" t="s">
        <v>62</v>
      </c>
      <c r="F23" s="7" t="s">
        <v>26</v>
      </c>
    </row>
    <row r="24" spans="1:7" ht="17.25" customHeight="1" x14ac:dyDescent="0.25">
      <c r="A24" s="8">
        <v>19</v>
      </c>
      <c r="B24" s="3" t="s">
        <v>63</v>
      </c>
      <c r="C24" s="6" t="s">
        <v>10</v>
      </c>
      <c r="D24" s="7">
        <v>103</v>
      </c>
      <c r="E24" s="7" t="s">
        <v>64</v>
      </c>
      <c r="F24" s="7" t="s">
        <v>48</v>
      </c>
    </row>
    <row r="25" spans="1:7" ht="17.25" customHeight="1" x14ac:dyDescent="0.25">
      <c r="A25" s="3">
        <v>20</v>
      </c>
      <c r="B25" s="3" t="s">
        <v>65</v>
      </c>
      <c r="C25" s="6" t="s">
        <v>10</v>
      </c>
      <c r="D25" s="7">
        <v>102</v>
      </c>
      <c r="E25" s="7" t="s">
        <v>64</v>
      </c>
      <c r="F25" s="7" t="s">
        <v>48</v>
      </c>
    </row>
    <row r="26" spans="1:7" ht="17.25" customHeight="1" x14ac:dyDescent="0.25">
      <c r="A26" s="8">
        <v>21</v>
      </c>
      <c r="B26" s="3" t="s">
        <v>66</v>
      </c>
      <c r="C26" s="14" t="s">
        <v>67</v>
      </c>
      <c r="D26" s="7">
        <v>144</v>
      </c>
      <c r="E26" s="7" t="s">
        <v>68</v>
      </c>
      <c r="F26" s="7" t="s">
        <v>69</v>
      </c>
    </row>
    <row r="27" spans="1:7" ht="17.25" customHeight="1" x14ac:dyDescent="0.25">
      <c r="A27" s="3">
        <v>22</v>
      </c>
      <c r="B27" s="3" t="s">
        <v>70</v>
      </c>
      <c r="C27" s="6" t="s">
        <v>71</v>
      </c>
      <c r="D27" s="7">
        <v>137</v>
      </c>
      <c r="E27" s="7" t="s">
        <v>72</v>
      </c>
      <c r="F27" s="7" t="s">
        <v>26</v>
      </c>
    </row>
    <row r="28" spans="1:7" ht="17.25" customHeight="1" x14ac:dyDescent="0.25">
      <c r="A28" s="8">
        <v>23</v>
      </c>
      <c r="B28" s="3" t="s">
        <v>73</v>
      </c>
      <c r="C28" s="11" t="s">
        <v>74</v>
      </c>
      <c r="D28" s="7">
        <v>108</v>
      </c>
      <c r="E28" s="7" t="s">
        <v>75</v>
      </c>
      <c r="F28" s="7" t="s">
        <v>48</v>
      </c>
    </row>
    <row r="29" spans="1:7" ht="17.25" customHeight="1" x14ac:dyDescent="0.25">
      <c r="A29" s="3">
        <v>24</v>
      </c>
      <c r="B29" s="3" t="s">
        <v>76</v>
      </c>
      <c r="C29" s="3" t="s">
        <v>77</v>
      </c>
      <c r="D29" s="7">
        <v>134</v>
      </c>
      <c r="E29" s="7" t="s">
        <v>78</v>
      </c>
      <c r="F29" s="7" t="s">
        <v>36</v>
      </c>
    </row>
    <row r="30" spans="1:7" ht="17.25" customHeight="1" x14ac:dyDescent="0.25">
      <c r="A30" s="4"/>
      <c r="B30" s="4" t="s">
        <v>79</v>
      </c>
      <c r="C30" s="4"/>
      <c r="D30" s="4"/>
      <c r="E30" s="11"/>
      <c r="F30" s="11"/>
    </row>
    <row r="31" spans="1:7" ht="17.25" customHeight="1" x14ac:dyDescent="0.25">
      <c r="A31" s="3">
        <v>25</v>
      </c>
      <c r="B31" s="3" t="s">
        <v>80</v>
      </c>
      <c r="C31" s="6" t="s">
        <v>10</v>
      </c>
      <c r="D31" s="7">
        <v>126</v>
      </c>
      <c r="E31" s="15">
        <v>2003</v>
      </c>
      <c r="F31" s="15" t="s">
        <v>81</v>
      </c>
    </row>
    <row r="32" spans="1:7" ht="17.25" customHeight="1" x14ac:dyDescent="0.25">
      <c r="A32" s="3">
        <v>26</v>
      </c>
      <c r="B32" s="3" t="s">
        <v>82</v>
      </c>
      <c r="C32" s="6" t="s">
        <v>10</v>
      </c>
      <c r="D32" s="7">
        <v>124</v>
      </c>
      <c r="E32" s="15">
        <v>1957</v>
      </c>
      <c r="F32" s="15" t="s">
        <v>83</v>
      </c>
    </row>
    <row r="33" spans="1:7" ht="17.25" customHeight="1" x14ac:dyDescent="0.25">
      <c r="A33" s="3"/>
      <c r="B33" s="4" t="s">
        <v>410</v>
      </c>
      <c r="C33" s="4"/>
      <c r="D33" s="4"/>
      <c r="E33" s="4"/>
      <c r="F33" s="4"/>
    </row>
    <row r="34" spans="1:7" ht="17.25" customHeight="1" x14ac:dyDescent="0.25">
      <c r="A34" s="8">
        <v>27</v>
      </c>
      <c r="B34" s="16" t="s">
        <v>84</v>
      </c>
      <c r="C34" s="17" t="s">
        <v>85</v>
      </c>
      <c r="D34" s="9">
        <v>153</v>
      </c>
      <c r="E34" s="18" t="s">
        <v>86</v>
      </c>
      <c r="F34" s="19" t="s">
        <v>87</v>
      </c>
    </row>
    <row r="35" spans="1:7" ht="17.25" customHeight="1" x14ac:dyDescent="0.25">
      <c r="A35" s="3">
        <v>28</v>
      </c>
      <c r="B35" s="191" t="s">
        <v>412</v>
      </c>
      <c r="C35" s="6" t="s">
        <v>10</v>
      </c>
      <c r="D35" s="7">
        <v>148</v>
      </c>
      <c r="E35" s="15" t="s">
        <v>94</v>
      </c>
      <c r="F35" s="15" t="s">
        <v>55</v>
      </c>
    </row>
    <row r="36" spans="1:7" ht="17.25" customHeight="1" x14ac:dyDescent="0.25">
      <c r="A36" s="8">
        <v>29</v>
      </c>
      <c r="B36" s="20" t="s">
        <v>88</v>
      </c>
      <c r="C36" s="11" t="s">
        <v>89</v>
      </c>
      <c r="D36" s="7">
        <v>151</v>
      </c>
      <c r="E36" s="7" t="s">
        <v>90</v>
      </c>
      <c r="F36" s="7" t="s">
        <v>91</v>
      </c>
    </row>
    <row r="37" spans="1:7" ht="17.25" customHeight="1" x14ac:dyDescent="0.25">
      <c r="A37" s="3">
        <v>30</v>
      </c>
      <c r="B37" s="191" t="s">
        <v>502</v>
      </c>
      <c r="C37" s="11" t="s">
        <v>92</v>
      </c>
      <c r="D37" s="7">
        <v>145</v>
      </c>
      <c r="E37" s="15" t="s">
        <v>93</v>
      </c>
      <c r="F37" s="15" t="s">
        <v>69</v>
      </c>
    </row>
    <row r="38" spans="1:7" x14ac:dyDescent="0.25">
      <c r="A38" s="8">
        <v>31</v>
      </c>
      <c r="B38" s="194" t="s">
        <v>413</v>
      </c>
      <c r="C38" s="11" t="s">
        <v>10</v>
      </c>
      <c r="D38" s="7">
        <v>160</v>
      </c>
      <c r="E38" s="195" t="s">
        <v>414</v>
      </c>
      <c r="F38" s="7" t="s">
        <v>99</v>
      </c>
    </row>
    <row r="39" spans="1:7" ht="29.25" customHeight="1" x14ac:dyDescent="0.25">
      <c r="A39" s="192">
        <v>32</v>
      </c>
      <c r="B39" s="192" t="s">
        <v>95</v>
      </c>
      <c r="C39" s="21" t="s">
        <v>96</v>
      </c>
      <c r="D39" s="193">
        <v>129</v>
      </c>
      <c r="E39" s="193" t="s">
        <v>97</v>
      </c>
      <c r="F39" s="193" t="s">
        <v>98</v>
      </c>
    </row>
    <row r="40" spans="1:7" ht="15" x14ac:dyDescent="0.25">
      <c r="A40" s="190" t="s">
        <v>504</v>
      </c>
      <c r="B40" s="22"/>
      <c r="C40" s="23"/>
      <c r="D40" s="23"/>
      <c r="E40" s="23"/>
      <c r="F40" s="23"/>
      <c r="G40" s="1"/>
    </row>
    <row r="41" spans="1:7" x14ac:dyDescent="0.25">
      <c r="A41" s="190" t="s">
        <v>505</v>
      </c>
    </row>
  </sheetData>
  <mergeCells count="2">
    <mergeCell ref="A1:F1"/>
    <mergeCell ref="A2:F2"/>
  </mergeCells>
  <printOptions horizontalCentered="1" verticalCentered="1"/>
  <pageMargins left="0.23" right="0.25" top="0.45" bottom="0.5" header="0.5" footer="0.5"/>
  <pageSetup paperSize="9" scale="7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2"/>
  <sheetViews>
    <sheetView showGridLines="0" zoomScaleNormal="100" workbookViewId="0">
      <selection sqref="A1:K1"/>
    </sheetView>
  </sheetViews>
  <sheetFormatPr defaultRowHeight="12.75" x14ac:dyDescent="0.25"/>
  <cols>
    <col min="1" max="1" width="5.42578125" style="320" customWidth="1"/>
    <col min="2" max="2" width="45" style="320" customWidth="1"/>
    <col min="3" max="9" width="13" style="320" customWidth="1"/>
    <col min="10" max="11" width="13.42578125" style="320" customWidth="1"/>
    <col min="12" max="12" width="11.5703125" style="320" bestFit="1" customWidth="1"/>
    <col min="13" max="16384" width="9.140625" style="320"/>
  </cols>
  <sheetData>
    <row r="1" spans="1:14" ht="26.25" customHeight="1" x14ac:dyDescent="0.25">
      <c r="A1" s="930" t="s">
        <v>548</v>
      </c>
      <c r="B1" s="930"/>
      <c r="C1" s="930"/>
      <c r="D1" s="930"/>
      <c r="E1" s="930"/>
      <c r="F1" s="930"/>
      <c r="G1" s="930"/>
      <c r="H1" s="930"/>
      <c r="I1" s="930"/>
      <c r="J1" s="930"/>
      <c r="K1" s="930"/>
    </row>
    <row r="2" spans="1:14" ht="14.25" customHeight="1" x14ac:dyDescent="0.25">
      <c r="B2" s="540"/>
      <c r="C2" s="540"/>
      <c r="D2" s="540"/>
      <c r="E2" s="540"/>
      <c r="F2" s="540"/>
      <c r="G2" s="540"/>
      <c r="H2" s="540"/>
      <c r="I2" s="540"/>
      <c r="K2" s="537" t="s">
        <v>474</v>
      </c>
    </row>
    <row r="3" spans="1:14" ht="21.75" customHeight="1" x14ac:dyDescent="0.25">
      <c r="A3" s="329" t="s">
        <v>2</v>
      </c>
      <c r="B3" s="214" t="s">
        <v>101</v>
      </c>
      <c r="C3" s="214" t="s">
        <v>91</v>
      </c>
      <c r="D3" s="214" t="s">
        <v>102</v>
      </c>
      <c r="E3" s="214" t="s">
        <v>51</v>
      </c>
      <c r="F3" s="214" t="s">
        <v>87</v>
      </c>
      <c r="G3" s="214" t="s">
        <v>20</v>
      </c>
      <c r="H3" s="214" t="s">
        <v>99</v>
      </c>
      <c r="I3" s="214" t="s">
        <v>103</v>
      </c>
      <c r="J3" s="214" t="s">
        <v>415</v>
      </c>
      <c r="K3" s="618" t="s">
        <v>507</v>
      </c>
    </row>
    <row r="4" spans="1:14" x14ac:dyDescent="0.25">
      <c r="A4" s="330"/>
      <c r="B4" s="331" t="s">
        <v>104</v>
      </c>
      <c r="C4" s="24"/>
      <c r="D4" s="24"/>
      <c r="E4" s="24"/>
      <c r="F4" s="25"/>
      <c r="G4" s="26"/>
      <c r="H4" s="26"/>
      <c r="I4" s="26"/>
      <c r="J4" s="26"/>
      <c r="K4" s="26"/>
    </row>
    <row r="5" spans="1:14" s="196" customFormat="1" x14ac:dyDescent="0.25">
      <c r="A5" s="330">
        <v>1</v>
      </c>
      <c r="B5" s="196" t="s">
        <v>9</v>
      </c>
      <c r="C5" s="199">
        <v>10260.960000000001</v>
      </c>
      <c r="D5" s="199">
        <v>11282.62</v>
      </c>
      <c r="E5" s="199">
        <v>12018.98</v>
      </c>
      <c r="F5" s="199">
        <v>14282.3603</v>
      </c>
      <c r="G5" s="27">
        <v>16243.6775784164</v>
      </c>
      <c r="H5" s="27">
        <v>15179.94</v>
      </c>
      <c r="I5" s="27">
        <v>15312.881100000001</v>
      </c>
      <c r="J5" s="27">
        <v>14185.75</v>
      </c>
      <c r="K5" s="27">
        <v>13076.8315</v>
      </c>
    </row>
    <row r="6" spans="1:14" x14ac:dyDescent="0.25">
      <c r="A6" s="330">
        <v>2</v>
      </c>
      <c r="B6" s="196" t="s">
        <v>12</v>
      </c>
      <c r="C6" s="199">
        <v>13727.6</v>
      </c>
      <c r="D6" s="199">
        <v>15480.35</v>
      </c>
      <c r="E6" s="199">
        <v>17763.310000000001</v>
      </c>
      <c r="F6" s="199">
        <v>21597.916324910002</v>
      </c>
      <c r="G6" s="27">
        <v>25159.30986519</v>
      </c>
      <c r="H6" s="27">
        <v>26607.99088727</v>
      </c>
      <c r="I6" s="27">
        <v>29715.066626726999</v>
      </c>
      <c r="J6" s="27">
        <v>31573.424173829</v>
      </c>
      <c r="K6" s="27">
        <v>35515.93</v>
      </c>
    </row>
    <row r="7" spans="1:14" x14ac:dyDescent="0.25">
      <c r="A7" s="330">
        <v>3</v>
      </c>
      <c r="B7" s="196" t="s">
        <v>14</v>
      </c>
      <c r="C7" s="199">
        <v>7282.53</v>
      </c>
      <c r="D7" s="199">
        <v>7561.92</v>
      </c>
      <c r="E7" s="199">
        <v>8611.59</v>
      </c>
      <c r="F7" s="199">
        <v>11117.02</v>
      </c>
      <c r="G7" s="27">
        <v>11736.8385</v>
      </c>
      <c r="H7" s="27">
        <v>13484.7496612</v>
      </c>
      <c r="I7" s="27">
        <v>13996.0105</v>
      </c>
      <c r="J7" s="27">
        <v>12747.42</v>
      </c>
      <c r="K7" s="27">
        <v>14020.433775199999</v>
      </c>
    </row>
    <row r="8" spans="1:14" x14ac:dyDescent="0.25">
      <c r="A8" s="330">
        <v>4</v>
      </c>
      <c r="B8" s="196" t="s">
        <v>16</v>
      </c>
      <c r="C8" s="199">
        <v>9708.93</v>
      </c>
      <c r="D8" s="199">
        <v>10691.73</v>
      </c>
      <c r="E8" s="199">
        <v>12250.36</v>
      </c>
      <c r="F8" s="199">
        <v>16062.81</v>
      </c>
      <c r="G8" s="27">
        <v>17429.950700000001</v>
      </c>
      <c r="H8" s="27">
        <v>16420.469819800001</v>
      </c>
      <c r="I8" s="27">
        <v>17515.0903</v>
      </c>
      <c r="J8" s="27">
        <v>16704.7</v>
      </c>
      <c r="K8" s="27">
        <v>15722.25</v>
      </c>
    </row>
    <row r="9" spans="1:14" x14ac:dyDescent="0.25">
      <c r="A9" s="330"/>
      <c r="B9" s="28" t="s">
        <v>105</v>
      </c>
      <c r="C9" s="29">
        <v>40980.06</v>
      </c>
      <c r="D9" s="29">
        <v>45016.619999999995</v>
      </c>
      <c r="E9" s="29">
        <v>50644.24</v>
      </c>
      <c r="F9" s="29">
        <v>63060.106624909997</v>
      </c>
      <c r="G9" s="29">
        <v>70569.776643606398</v>
      </c>
      <c r="H9" s="29">
        <v>71693.150368269999</v>
      </c>
      <c r="I9" s="29">
        <v>76539.048526726998</v>
      </c>
      <c r="J9" s="29">
        <v>75211.294173828996</v>
      </c>
      <c r="K9" s="29">
        <v>78335.445275200007</v>
      </c>
      <c r="L9" s="332"/>
      <c r="M9" s="332"/>
      <c r="N9" s="332"/>
    </row>
    <row r="10" spans="1:14" x14ac:dyDescent="0.25">
      <c r="A10" s="330"/>
      <c r="B10" s="31"/>
      <c r="C10" s="29">
        <v>-10.54</v>
      </c>
      <c r="D10" s="29">
        <v>-9.85</v>
      </c>
      <c r="E10" s="29">
        <v>-12.5</v>
      </c>
      <c r="F10" s="29">
        <v>-24.52</v>
      </c>
      <c r="G10" s="30">
        <v>-11.9087</v>
      </c>
      <c r="H10" s="30">
        <v>-1.59</v>
      </c>
      <c r="I10" s="30">
        <v>-6.7592205581214104</v>
      </c>
      <c r="J10" s="197" t="s">
        <v>422</v>
      </c>
      <c r="K10" s="620" t="s">
        <v>508</v>
      </c>
    </row>
    <row r="11" spans="1:14" ht="21.75" customHeight="1" x14ac:dyDescent="0.25">
      <c r="A11" s="330"/>
      <c r="B11" s="31" t="s">
        <v>106</v>
      </c>
      <c r="C11" s="200"/>
      <c r="D11" s="201"/>
      <c r="E11" s="621"/>
      <c r="F11" s="32"/>
      <c r="G11" s="33"/>
      <c r="H11" s="33"/>
      <c r="I11" s="34"/>
      <c r="J11" s="34"/>
      <c r="K11" s="34"/>
    </row>
    <row r="12" spans="1:14" ht="18.75" customHeight="1" x14ac:dyDescent="0.25">
      <c r="A12" s="330">
        <v>5</v>
      </c>
      <c r="B12" s="202" t="s">
        <v>18</v>
      </c>
      <c r="C12" s="203" t="s">
        <v>107</v>
      </c>
      <c r="D12" s="203" t="s">
        <v>107</v>
      </c>
      <c r="E12" s="203" t="s">
        <v>107</v>
      </c>
      <c r="F12" s="203" t="s">
        <v>107</v>
      </c>
      <c r="G12" s="27">
        <v>0.91690000000000005</v>
      </c>
      <c r="H12" s="27">
        <v>141.88992786501501</v>
      </c>
      <c r="I12" s="27">
        <v>373.065480849153</v>
      </c>
      <c r="J12" s="27">
        <v>422.3865126</v>
      </c>
      <c r="K12" s="27">
        <v>988.21295494100002</v>
      </c>
    </row>
    <row r="13" spans="1:14" x14ac:dyDescent="0.25">
      <c r="A13" s="330">
        <v>6</v>
      </c>
      <c r="B13" s="191" t="s">
        <v>21</v>
      </c>
      <c r="C13" s="199">
        <v>4516.4399999999996</v>
      </c>
      <c r="D13" s="199">
        <v>5229.84</v>
      </c>
      <c r="E13" s="199">
        <v>5832.15</v>
      </c>
      <c r="F13" s="35">
        <v>7633.2798236999997</v>
      </c>
      <c r="G13" s="27">
        <v>9445.2178999999996</v>
      </c>
      <c r="H13" s="27">
        <v>11059.411335000001</v>
      </c>
      <c r="I13" s="27">
        <v>12779.771412800001</v>
      </c>
      <c r="J13" s="27">
        <v>12569.5289741</v>
      </c>
      <c r="K13" s="27">
        <v>13688.592764999999</v>
      </c>
    </row>
    <row r="14" spans="1:14" x14ac:dyDescent="0.25">
      <c r="A14" s="330">
        <v>7</v>
      </c>
      <c r="B14" s="191" t="s">
        <v>510</v>
      </c>
      <c r="C14" s="199">
        <v>1423.15</v>
      </c>
      <c r="D14" s="199">
        <v>1457.06</v>
      </c>
      <c r="E14" s="199">
        <v>1274.4100000000001</v>
      </c>
      <c r="F14" s="199">
        <v>1314.09</v>
      </c>
      <c r="G14" s="27">
        <v>1753.581021557</v>
      </c>
      <c r="H14" s="27">
        <v>2258.0492522159998</v>
      </c>
      <c r="I14" s="27">
        <v>3134.2374122169999</v>
      </c>
      <c r="J14" s="27">
        <v>3159.9041245849999</v>
      </c>
      <c r="K14" s="27" t="s">
        <v>130</v>
      </c>
    </row>
    <row r="15" spans="1:14" x14ac:dyDescent="0.25">
      <c r="A15" s="330">
        <v>8</v>
      </c>
      <c r="B15" s="191" t="s">
        <v>27</v>
      </c>
      <c r="C15" s="199">
        <v>1855.11</v>
      </c>
      <c r="D15" s="199">
        <v>1890.43</v>
      </c>
      <c r="E15" s="199">
        <v>2452</v>
      </c>
      <c r="F15" s="35">
        <v>3133.2796186</v>
      </c>
      <c r="G15" s="27">
        <v>4102.5679392000002</v>
      </c>
      <c r="H15" s="27">
        <v>4428.1599785999997</v>
      </c>
      <c r="I15" s="27">
        <v>4398.4932981000002</v>
      </c>
      <c r="J15" s="27">
        <v>4388.2082358999996</v>
      </c>
      <c r="K15" s="27">
        <v>4824.1244458000001</v>
      </c>
    </row>
    <row r="16" spans="1:14" x14ac:dyDescent="0.25">
      <c r="A16" s="330">
        <v>9</v>
      </c>
      <c r="B16" s="191" t="s">
        <v>31</v>
      </c>
      <c r="C16" s="203" t="s">
        <v>107</v>
      </c>
      <c r="D16" s="203" t="s">
        <v>107</v>
      </c>
      <c r="E16" s="203" t="s">
        <v>107</v>
      </c>
      <c r="F16" s="203" t="s">
        <v>107</v>
      </c>
      <c r="G16" s="27">
        <v>1.3028824000000001</v>
      </c>
      <c r="H16" s="27">
        <v>92.548052429999998</v>
      </c>
      <c r="I16" s="27">
        <v>146.36047001700001</v>
      </c>
      <c r="J16" s="27">
        <v>218.57395352899999</v>
      </c>
      <c r="K16" s="27">
        <v>348.88365317799997</v>
      </c>
    </row>
    <row r="17" spans="1:11" x14ac:dyDescent="0.25">
      <c r="A17" s="330">
        <v>10</v>
      </c>
      <c r="B17" s="191" t="s">
        <v>33</v>
      </c>
      <c r="C17" s="199">
        <v>1262.55</v>
      </c>
      <c r="D17" s="199">
        <v>1438.24</v>
      </c>
      <c r="E17" s="199">
        <v>1555.26</v>
      </c>
      <c r="F17" s="35">
        <v>1815.4966251000001</v>
      </c>
      <c r="G17" s="27">
        <v>1906.3749829999999</v>
      </c>
      <c r="H17" s="27">
        <v>2553.9377287000002</v>
      </c>
      <c r="I17" s="27">
        <v>3417.4942337000002</v>
      </c>
      <c r="J17" s="27">
        <v>3835.2341712000002</v>
      </c>
      <c r="K17" s="27">
        <v>4137.9823331999996</v>
      </c>
    </row>
    <row r="18" spans="1:11" x14ac:dyDescent="0.25">
      <c r="A18" s="330">
        <v>11</v>
      </c>
      <c r="B18" s="191" t="s">
        <v>37</v>
      </c>
      <c r="C18" s="203" t="s">
        <v>107</v>
      </c>
      <c r="D18" s="203" t="s">
        <v>107</v>
      </c>
      <c r="E18" s="203" t="s">
        <v>107</v>
      </c>
      <c r="F18" s="203" t="s">
        <v>107</v>
      </c>
      <c r="G18" s="27">
        <v>93.74</v>
      </c>
      <c r="H18" s="27">
        <v>894.81652759999997</v>
      </c>
      <c r="I18" s="27">
        <v>1767.86</v>
      </c>
      <c r="J18" s="27">
        <v>2417.6192695999998</v>
      </c>
      <c r="K18" s="27">
        <v>4673.9405852999998</v>
      </c>
    </row>
    <row r="19" spans="1:11" x14ac:dyDescent="0.25">
      <c r="A19" s="330">
        <v>12</v>
      </c>
      <c r="B19" s="36" t="s">
        <v>108</v>
      </c>
      <c r="C19" s="199">
        <v>2906.98</v>
      </c>
      <c r="D19" s="199">
        <v>3182.2</v>
      </c>
      <c r="E19" s="199">
        <v>3379.55</v>
      </c>
      <c r="F19" s="199">
        <v>3964.45</v>
      </c>
      <c r="G19" s="203" t="s">
        <v>130</v>
      </c>
      <c r="H19" s="203" t="s">
        <v>130</v>
      </c>
      <c r="I19" s="203" t="s">
        <v>130</v>
      </c>
      <c r="J19" s="203" t="s">
        <v>130</v>
      </c>
      <c r="K19" s="203" t="s">
        <v>130</v>
      </c>
    </row>
    <row r="20" spans="1:11" x14ac:dyDescent="0.25">
      <c r="A20" s="330"/>
      <c r="B20" s="36" t="s">
        <v>109</v>
      </c>
      <c r="C20" s="199">
        <v>253.78</v>
      </c>
      <c r="D20" s="199">
        <v>331.71</v>
      </c>
      <c r="E20" s="199">
        <v>473.39</v>
      </c>
      <c r="F20" s="35">
        <v>2224.17</v>
      </c>
      <c r="G20" s="27">
        <v>7289.9696999999996</v>
      </c>
      <c r="H20" s="27">
        <v>8612.85</v>
      </c>
      <c r="I20" s="27">
        <v>9308.3973000000005</v>
      </c>
      <c r="J20" s="27">
        <v>12295.1</v>
      </c>
      <c r="K20" s="27">
        <v>13497.550745908</v>
      </c>
    </row>
    <row r="21" spans="1:11" x14ac:dyDescent="0.25">
      <c r="A21" s="330">
        <v>13</v>
      </c>
      <c r="B21" s="196" t="s">
        <v>42</v>
      </c>
      <c r="C21" s="199">
        <v>6856.16</v>
      </c>
      <c r="D21" s="199">
        <v>6677.79</v>
      </c>
      <c r="E21" s="199">
        <v>8090.71</v>
      </c>
      <c r="F21" s="35">
        <v>10725.196021899999</v>
      </c>
      <c r="G21" s="27">
        <v>12356.8546035</v>
      </c>
      <c r="H21" s="27">
        <v>14488.227512400001</v>
      </c>
      <c r="I21" s="27">
        <v>13312.8433191</v>
      </c>
      <c r="J21" s="27">
        <v>14003.0911719</v>
      </c>
      <c r="K21" s="27">
        <v>17976.87</v>
      </c>
    </row>
    <row r="22" spans="1:11" x14ac:dyDescent="0.25">
      <c r="A22" s="330">
        <v>14</v>
      </c>
      <c r="B22" s="204" t="s">
        <v>45</v>
      </c>
      <c r="C22" s="199">
        <v>2930.92</v>
      </c>
      <c r="D22" s="199">
        <v>3329.96</v>
      </c>
      <c r="E22" s="199">
        <v>3691.33</v>
      </c>
      <c r="F22" s="35">
        <v>5563.7025505000001</v>
      </c>
      <c r="G22" s="27">
        <v>5631.8915795000003</v>
      </c>
      <c r="H22" s="27">
        <v>7001.8437846999996</v>
      </c>
      <c r="I22" s="27">
        <v>7961.0403999999999</v>
      </c>
      <c r="J22" s="27">
        <v>8410.8834057999993</v>
      </c>
      <c r="K22" s="27">
        <v>8452.9093054000004</v>
      </c>
    </row>
    <row r="23" spans="1:11" x14ac:dyDescent="0.25">
      <c r="A23" s="330">
        <v>15</v>
      </c>
      <c r="B23" s="191" t="s">
        <v>49</v>
      </c>
      <c r="C23" s="203" t="s">
        <v>107</v>
      </c>
      <c r="D23" s="203" t="s">
        <v>107</v>
      </c>
      <c r="E23" s="199">
        <v>3.71</v>
      </c>
      <c r="F23" s="35">
        <v>82.052895500000005</v>
      </c>
      <c r="G23" s="27">
        <v>185.39145110000001</v>
      </c>
      <c r="H23" s="27">
        <v>301.10997559999998</v>
      </c>
      <c r="I23" s="27">
        <v>433.39077750000001</v>
      </c>
      <c r="J23" s="27">
        <v>543.99232270000005</v>
      </c>
      <c r="K23" s="27">
        <v>742.46858159999999</v>
      </c>
    </row>
    <row r="24" spans="1:11" x14ac:dyDescent="0.25">
      <c r="A24" s="330">
        <v>16</v>
      </c>
      <c r="B24" s="196" t="s">
        <v>52</v>
      </c>
      <c r="C24" s="199">
        <v>129.81</v>
      </c>
      <c r="D24" s="199">
        <v>283.85000000000002</v>
      </c>
      <c r="E24" s="199">
        <v>408.72</v>
      </c>
      <c r="F24" s="35">
        <v>584.59220965400004</v>
      </c>
      <c r="G24" s="27">
        <v>816.53039999999999</v>
      </c>
      <c r="H24" s="27">
        <v>1125.1602254239999</v>
      </c>
      <c r="I24" s="27">
        <v>1531.366567371</v>
      </c>
      <c r="J24" s="27">
        <v>1445.7116497049999</v>
      </c>
      <c r="K24" s="27">
        <v>1506.455817173</v>
      </c>
    </row>
    <row r="25" spans="1:11" x14ac:dyDescent="0.25">
      <c r="A25" s="330">
        <v>17</v>
      </c>
      <c r="B25" s="191" t="s">
        <v>56</v>
      </c>
      <c r="C25" s="199">
        <v>424.93</v>
      </c>
      <c r="D25" s="199">
        <v>473.59</v>
      </c>
      <c r="E25" s="199">
        <v>403.94</v>
      </c>
      <c r="F25" s="35">
        <v>419.491522546</v>
      </c>
      <c r="G25" s="27">
        <v>526.6943</v>
      </c>
      <c r="H25" s="27">
        <v>970.11146819999999</v>
      </c>
      <c r="I25" s="27">
        <v>1224.7710499</v>
      </c>
      <c r="J25" s="27">
        <v>1283.5925311999999</v>
      </c>
      <c r="K25" s="27">
        <v>1757.1654045</v>
      </c>
    </row>
    <row r="26" spans="1:11" x14ac:dyDescent="0.25">
      <c r="A26" s="330">
        <v>18</v>
      </c>
      <c r="B26" s="196" t="s">
        <v>417</v>
      </c>
      <c r="C26" s="203" t="s">
        <v>107</v>
      </c>
      <c r="D26" s="203" t="s">
        <v>107</v>
      </c>
      <c r="E26" s="203" t="s">
        <v>107</v>
      </c>
      <c r="F26" s="203" t="s">
        <v>107</v>
      </c>
      <c r="G26" s="27">
        <v>141.07436041</v>
      </c>
      <c r="H26" s="27">
        <v>243.06783549900001</v>
      </c>
      <c r="I26" s="27">
        <v>157.99170533399999</v>
      </c>
      <c r="J26" s="27">
        <v>104.399695834</v>
      </c>
      <c r="K26" s="27">
        <v>106.57</v>
      </c>
    </row>
    <row r="27" spans="1:11" x14ac:dyDescent="0.25">
      <c r="A27" s="330">
        <v>19</v>
      </c>
      <c r="B27" s="191" t="s">
        <v>60</v>
      </c>
      <c r="C27" s="199">
        <v>23.23</v>
      </c>
      <c r="D27" s="199">
        <v>21.62</v>
      </c>
      <c r="E27" s="199">
        <v>28.76</v>
      </c>
      <c r="F27" s="35">
        <v>58.916187399999998</v>
      </c>
      <c r="G27" s="27">
        <v>83.450599999999994</v>
      </c>
      <c r="H27" s="27">
        <v>115.9642265</v>
      </c>
      <c r="I27" s="27">
        <v>158.12162050000001</v>
      </c>
      <c r="J27" s="27">
        <v>272.21519549999999</v>
      </c>
      <c r="K27" s="27">
        <v>375.8251181</v>
      </c>
    </row>
    <row r="28" spans="1:11" x14ac:dyDescent="0.25">
      <c r="A28" s="330">
        <v>20</v>
      </c>
      <c r="B28" s="196" t="s">
        <v>63</v>
      </c>
      <c r="C28" s="199">
        <v>2388.8200000000002</v>
      </c>
      <c r="D28" s="199">
        <v>2715.83</v>
      </c>
      <c r="E28" s="199">
        <v>2791.56</v>
      </c>
      <c r="F28" s="35">
        <v>3935.3495691000007</v>
      </c>
      <c r="G28" s="27">
        <v>5069.0787295319997</v>
      </c>
      <c r="H28" s="27">
        <v>6191.0264563119999</v>
      </c>
      <c r="I28" s="27">
        <v>7465.0408949459998</v>
      </c>
      <c r="J28" s="27">
        <v>8310.2800285190006</v>
      </c>
      <c r="K28" s="27">
        <v>9408.960533599</v>
      </c>
    </row>
    <row r="29" spans="1:11" x14ac:dyDescent="0.25">
      <c r="A29" s="330">
        <v>21</v>
      </c>
      <c r="B29" s="196" t="s">
        <v>111</v>
      </c>
      <c r="C29" s="199">
        <v>1437.04</v>
      </c>
      <c r="D29" s="199">
        <v>1569.2</v>
      </c>
      <c r="E29" s="199">
        <v>1694.12</v>
      </c>
      <c r="F29" s="35">
        <v>2188.7833132000001</v>
      </c>
      <c r="G29" s="27">
        <v>2623.4350980999998</v>
      </c>
      <c r="H29" s="27">
        <v>3172.5704753999999</v>
      </c>
      <c r="I29" s="27">
        <v>3666.9572908999999</v>
      </c>
      <c r="J29" s="27">
        <v>2822.2833758000002</v>
      </c>
      <c r="K29" s="27">
        <v>2866.5874832</v>
      </c>
    </row>
    <row r="30" spans="1:11" x14ac:dyDescent="0.25">
      <c r="A30" s="330">
        <v>22</v>
      </c>
      <c r="B30" s="191" t="s">
        <v>66</v>
      </c>
      <c r="C30" s="199">
        <v>1187.57</v>
      </c>
      <c r="D30" s="199">
        <v>1576.9</v>
      </c>
      <c r="E30" s="199">
        <v>2039.85</v>
      </c>
      <c r="F30" s="35">
        <v>2604.485836382999</v>
      </c>
      <c r="G30" s="27">
        <v>3544.20029474591</v>
      </c>
      <c r="H30" s="27">
        <v>4706.5468596945302</v>
      </c>
      <c r="I30" s="27">
        <v>6796.9692210733101</v>
      </c>
      <c r="J30" s="27">
        <v>8264.8575675559496</v>
      </c>
      <c r="K30" s="27">
        <v>9166.2242000000006</v>
      </c>
    </row>
    <row r="31" spans="1:11" x14ac:dyDescent="0.25">
      <c r="A31" s="330">
        <v>23</v>
      </c>
      <c r="B31" s="191" t="s">
        <v>70</v>
      </c>
      <c r="C31" s="199">
        <v>1510.59</v>
      </c>
      <c r="D31" s="199">
        <v>1496.51</v>
      </c>
      <c r="E31" s="199">
        <v>1712.27</v>
      </c>
      <c r="F31" s="35">
        <v>2102.4239846</v>
      </c>
      <c r="G31" s="27">
        <v>2100.7633018000001</v>
      </c>
      <c r="H31" s="27">
        <v>2356.3441499999999</v>
      </c>
      <c r="I31" s="27">
        <v>2466.1883112</v>
      </c>
      <c r="J31" s="27">
        <v>2138.8775900000001</v>
      </c>
      <c r="K31" s="27">
        <v>1752.95</v>
      </c>
    </row>
    <row r="32" spans="1:11" x14ac:dyDescent="0.25">
      <c r="A32" s="330">
        <v>24</v>
      </c>
      <c r="B32" s="196" t="s">
        <v>112</v>
      </c>
      <c r="C32" s="199">
        <v>2362.71</v>
      </c>
      <c r="D32" s="199">
        <v>2714.13</v>
      </c>
      <c r="E32" s="199">
        <v>2958.56</v>
      </c>
      <c r="F32" s="35">
        <v>4167.9724243999999</v>
      </c>
      <c r="G32" s="27">
        <v>5435.9162716999999</v>
      </c>
      <c r="H32" s="27">
        <v>7742.6574815000004</v>
      </c>
      <c r="I32" s="27">
        <v>7384.5278950000002</v>
      </c>
      <c r="J32" s="27">
        <v>8042.0624141999997</v>
      </c>
      <c r="K32" s="27">
        <v>10024.974763478</v>
      </c>
    </row>
    <row r="33" spans="1:13" x14ac:dyDescent="0.25">
      <c r="A33" s="330">
        <v>25</v>
      </c>
      <c r="B33" s="196" t="s">
        <v>76</v>
      </c>
      <c r="C33" s="199">
        <v>540.44000000000005</v>
      </c>
      <c r="D33" s="199">
        <v>701.1</v>
      </c>
      <c r="E33" s="199">
        <v>903.79</v>
      </c>
      <c r="F33" s="35">
        <v>1287.2304717</v>
      </c>
      <c r="G33" s="27">
        <v>2310.8631</v>
      </c>
      <c r="H33" s="27">
        <v>2830.8673821000002</v>
      </c>
      <c r="I33" s="27">
        <v>2859.0545895</v>
      </c>
      <c r="J33" s="27">
        <v>3052.1610344000001</v>
      </c>
      <c r="K33" s="27">
        <v>3456.1207060000002</v>
      </c>
    </row>
    <row r="34" spans="1:13" x14ac:dyDescent="0.25">
      <c r="A34" s="330"/>
      <c r="B34" s="28" t="s">
        <v>113</v>
      </c>
      <c r="C34" s="29">
        <v>32010.299999999996</v>
      </c>
      <c r="D34" s="29">
        <v>35089.959999999992</v>
      </c>
      <c r="E34" s="29">
        <v>39694.07</v>
      </c>
      <c r="F34" s="30">
        <v>53804.959999999999</v>
      </c>
      <c r="G34" s="30">
        <v>65419.815416544909</v>
      </c>
      <c r="H34" s="30">
        <v>81287.160635740554</v>
      </c>
      <c r="I34" s="30">
        <v>90743.943250007462</v>
      </c>
      <c r="J34" s="30">
        <v>98000.96322462798</v>
      </c>
      <c r="K34" s="30">
        <v>109753.36939637699</v>
      </c>
      <c r="L34" s="332"/>
      <c r="M34" s="332"/>
    </row>
    <row r="35" spans="1:13" x14ac:dyDescent="0.25">
      <c r="A35" s="330"/>
      <c r="B35" s="28"/>
      <c r="C35" s="24">
        <v>-14.52</v>
      </c>
      <c r="D35" s="24">
        <v>-9.59</v>
      </c>
      <c r="E35" s="24">
        <v>-13.12</v>
      </c>
      <c r="F35" s="25">
        <v>-35.549999999999997</v>
      </c>
      <c r="G35" s="37">
        <v>-21.587</v>
      </c>
      <c r="H35" s="38">
        <v>24.254646880557701</v>
      </c>
      <c r="I35" s="38">
        <v>11.633796211241901</v>
      </c>
      <c r="J35" s="38">
        <v>7.997249970311282</v>
      </c>
      <c r="K35" s="38">
        <v>11.992133327109601</v>
      </c>
    </row>
    <row r="36" spans="1:13" x14ac:dyDescent="0.25">
      <c r="A36" s="330"/>
      <c r="B36" s="331" t="s">
        <v>114</v>
      </c>
      <c r="C36" s="24"/>
      <c r="D36" s="24"/>
      <c r="E36" s="24"/>
      <c r="F36" s="24"/>
      <c r="G36" s="37"/>
      <c r="H36" s="37"/>
      <c r="I36" s="37"/>
      <c r="J36" s="37"/>
      <c r="K36" s="37"/>
    </row>
    <row r="37" spans="1:13" x14ac:dyDescent="0.25">
      <c r="A37" s="330">
        <v>26</v>
      </c>
      <c r="B37" s="196" t="s">
        <v>80</v>
      </c>
      <c r="C37" s="199">
        <v>3395</v>
      </c>
      <c r="D37" s="199">
        <v>2739.69</v>
      </c>
      <c r="E37" s="199">
        <v>3521.22</v>
      </c>
      <c r="F37" s="35">
        <v>6979.56</v>
      </c>
      <c r="G37" s="27">
        <v>7893.3901210000004</v>
      </c>
      <c r="H37" s="27">
        <v>6900.875648747</v>
      </c>
      <c r="I37" s="27">
        <v>9361.2354500000001</v>
      </c>
      <c r="J37" s="27">
        <v>12052.57</v>
      </c>
      <c r="K37" s="27">
        <v>13940.21</v>
      </c>
    </row>
    <row r="38" spans="1:13" x14ac:dyDescent="0.25">
      <c r="A38" s="330">
        <v>27</v>
      </c>
      <c r="B38" s="191" t="s">
        <v>82</v>
      </c>
      <c r="C38" s="199">
        <v>1303.72</v>
      </c>
      <c r="D38" s="199">
        <v>1362.39</v>
      </c>
      <c r="E38" s="199">
        <v>1320.73</v>
      </c>
      <c r="F38" s="35">
        <v>1267.6248714000001</v>
      </c>
      <c r="G38" s="27">
        <v>1240.41707</v>
      </c>
      <c r="H38" s="27">
        <v>1247.5425984000001</v>
      </c>
      <c r="I38" s="27">
        <v>1075.4739677</v>
      </c>
      <c r="J38" s="27">
        <v>1062.2819606999999</v>
      </c>
      <c r="K38" s="27">
        <v>1106.6167809999999</v>
      </c>
    </row>
    <row r="39" spans="1:13" x14ac:dyDescent="0.25">
      <c r="A39" s="330"/>
      <c r="B39" s="28" t="s">
        <v>115</v>
      </c>
      <c r="C39" s="29">
        <v>4698.72</v>
      </c>
      <c r="D39" s="29">
        <v>4102.08</v>
      </c>
      <c r="E39" s="29">
        <v>4841.95</v>
      </c>
      <c r="F39" s="30">
        <v>8247.1848714000007</v>
      </c>
      <c r="G39" s="30">
        <v>9133.8071909999999</v>
      </c>
      <c r="H39" s="30">
        <v>8148.4182471470003</v>
      </c>
      <c r="I39" s="30">
        <v>10436.7094177</v>
      </c>
      <c r="J39" s="30">
        <v>13114.8519607</v>
      </c>
      <c r="K39" s="30">
        <v>15046.826781</v>
      </c>
      <c r="L39" s="332"/>
    </row>
    <row r="40" spans="1:13" x14ac:dyDescent="0.25">
      <c r="A40" s="330"/>
      <c r="B40" s="196"/>
      <c r="C40" s="29">
        <v>-5.48</v>
      </c>
      <c r="D40" s="29" t="s">
        <v>421</v>
      </c>
      <c r="E40" s="29">
        <v>-18.04</v>
      </c>
      <c r="F40" s="29">
        <v>-70.33</v>
      </c>
      <c r="G40" s="30">
        <v>-10.7506</v>
      </c>
      <c r="H40" s="29" t="s">
        <v>116</v>
      </c>
      <c r="I40" s="30">
        <v>-28.082642558930999</v>
      </c>
      <c r="J40" s="30">
        <v>-25.660794373157898</v>
      </c>
      <c r="K40" s="30">
        <v>-14.73</v>
      </c>
    </row>
    <row r="41" spans="1:13" x14ac:dyDescent="0.25">
      <c r="A41" s="330"/>
      <c r="B41" s="331" t="s">
        <v>117</v>
      </c>
      <c r="C41" s="29"/>
      <c r="D41" s="29"/>
      <c r="E41" s="29"/>
      <c r="F41" s="29"/>
      <c r="G41" s="30"/>
      <c r="H41" s="29"/>
      <c r="I41" s="29"/>
      <c r="J41" s="29"/>
      <c r="K41" s="29"/>
    </row>
    <row r="42" spans="1:13" x14ac:dyDescent="0.25">
      <c r="A42" s="330">
        <v>28</v>
      </c>
      <c r="B42" s="36" t="s">
        <v>118</v>
      </c>
      <c r="C42" s="203" t="s">
        <v>107</v>
      </c>
      <c r="D42" s="203" t="s">
        <v>107</v>
      </c>
      <c r="E42" s="203" t="s">
        <v>107</v>
      </c>
      <c r="F42" s="35">
        <v>54.042397088999998</v>
      </c>
      <c r="G42" s="27">
        <v>243.16759999999999</v>
      </c>
      <c r="H42" s="27">
        <v>496.802609960121</v>
      </c>
      <c r="I42" s="27">
        <v>872.03743326301105</v>
      </c>
      <c r="J42" s="27">
        <v>1300.6400000000001</v>
      </c>
      <c r="K42" s="27">
        <v>1726.6714390666</v>
      </c>
    </row>
    <row r="43" spans="1:13" x14ac:dyDescent="0.25">
      <c r="A43" s="330">
        <v>29</v>
      </c>
      <c r="B43" s="196" t="s">
        <v>412</v>
      </c>
      <c r="C43" s="199">
        <v>152.30000000000001</v>
      </c>
      <c r="D43" s="199">
        <v>275.8</v>
      </c>
      <c r="E43" s="199">
        <v>503.32</v>
      </c>
      <c r="F43" s="35">
        <v>726.06676330000005</v>
      </c>
      <c r="G43" s="27">
        <v>1091.6125182999999</v>
      </c>
      <c r="H43" s="27">
        <v>1825.5745092</v>
      </c>
      <c r="I43" s="27">
        <v>2388.9867097000001</v>
      </c>
      <c r="J43" s="27">
        <v>2559.7534961000001</v>
      </c>
      <c r="K43" s="27">
        <v>3880.9052489999999</v>
      </c>
    </row>
    <row r="44" spans="1:13" x14ac:dyDescent="0.25">
      <c r="A44" s="330">
        <v>30</v>
      </c>
      <c r="B44" s="196" t="s">
        <v>423</v>
      </c>
      <c r="C44" s="199">
        <v>692.47</v>
      </c>
      <c r="D44" s="199">
        <v>803.12</v>
      </c>
      <c r="E44" s="199">
        <v>1022.18</v>
      </c>
      <c r="F44" s="35">
        <v>1301.9305141</v>
      </c>
      <c r="G44" s="27">
        <v>1717.5095474</v>
      </c>
      <c r="H44" s="27">
        <v>2194.4394320000001</v>
      </c>
      <c r="I44" s="27">
        <v>2521.6609066000001</v>
      </c>
      <c r="J44" s="27" t="s">
        <v>130</v>
      </c>
      <c r="K44" s="27" t="s">
        <v>130</v>
      </c>
    </row>
    <row r="45" spans="1:13" x14ac:dyDescent="0.25">
      <c r="A45" s="330">
        <v>31</v>
      </c>
      <c r="B45" s="194" t="s">
        <v>88</v>
      </c>
      <c r="C45" s="199">
        <v>0.33</v>
      </c>
      <c r="D45" s="199">
        <v>21.82</v>
      </c>
      <c r="E45" s="199">
        <v>143.82</v>
      </c>
      <c r="F45" s="35">
        <v>221.80435570200001</v>
      </c>
      <c r="G45" s="27">
        <v>346.40490590600001</v>
      </c>
      <c r="H45" s="27">
        <v>484.82219210900001</v>
      </c>
      <c r="I45" s="27">
        <v>576.19411488200001</v>
      </c>
      <c r="J45" s="27">
        <v>755.49115408499904</v>
      </c>
      <c r="K45" s="27">
        <v>986.17727547200104</v>
      </c>
    </row>
    <row r="46" spans="1:13" x14ac:dyDescent="0.25">
      <c r="A46" s="330">
        <v>32</v>
      </c>
      <c r="B46" s="191" t="s">
        <v>502</v>
      </c>
      <c r="C46" s="199">
        <v>308.85000000000002</v>
      </c>
      <c r="D46" s="199">
        <v>372.65</v>
      </c>
      <c r="E46" s="199">
        <v>476.01</v>
      </c>
      <c r="F46" s="35">
        <v>593.93376279999995</v>
      </c>
      <c r="G46" s="27">
        <v>754.47154920789603</v>
      </c>
      <c r="H46" s="27">
        <v>947.01566542199998</v>
      </c>
      <c r="I46" s="27">
        <v>1242.886873291</v>
      </c>
      <c r="J46" s="27">
        <v>1750.777903892</v>
      </c>
      <c r="K46" s="27">
        <v>2809.9712799184499</v>
      </c>
    </row>
    <row r="47" spans="1:13" x14ac:dyDescent="0.25">
      <c r="A47" s="330">
        <v>33</v>
      </c>
      <c r="B47" s="196" t="s">
        <v>413</v>
      </c>
      <c r="C47" s="203" t="s">
        <v>107</v>
      </c>
      <c r="D47" s="203" t="s">
        <v>107</v>
      </c>
      <c r="E47" s="203" t="s">
        <v>107</v>
      </c>
      <c r="F47" s="203" t="s">
        <v>107</v>
      </c>
      <c r="G47" s="203" t="s">
        <v>107</v>
      </c>
      <c r="H47" s="27">
        <v>4.0894933</v>
      </c>
      <c r="I47" s="27">
        <v>5.9851999999999999</v>
      </c>
      <c r="J47" s="198">
        <v>-0.01</v>
      </c>
      <c r="K47" s="198">
        <v>-0.02</v>
      </c>
    </row>
    <row r="48" spans="1:13" x14ac:dyDescent="0.25">
      <c r="A48" s="330">
        <v>34</v>
      </c>
      <c r="B48" s="191" t="s">
        <v>95</v>
      </c>
      <c r="C48" s="199">
        <v>1091.07</v>
      </c>
      <c r="D48" s="199">
        <v>1469.19</v>
      </c>
      <c r="E48" s="199">
        <v>2007.34</v>
      </c>
      <c r="F48" s="35">
        <v>2960.0528530489996</v>
      </c>
      <c r="G48" s="27">
        <v>4161.1145425000004</v>
      </c>
      <c r="H48" s="27">
        <v>5401.2924911928303</v>
      </c>
      <c r="I48" s="27">
        <v>6865.1418000000003</v>
      </c>
      <c r="J48" s="27">
        <v>9388.5387456000008</v>
      </c>
      <c r="K48" s="27">
        <v>11463.4715178879</v>
      </c>
    </row>
    <row r="49" spans="1:14" x14ac:dyDescent="0.25">
      <c r="A49" s="330"/>
      <c r="B49" s="28" t="s">
        <v>119</v>
      </c>
      <c r="C49" s="29">
        <v>2245.02</v>
      </c>
      <c r="D49" s="29">
        <v>2942.58</v>
      </c>
      <c r="E49" s="29">
        <v>4152.67</v>
      </c>
      <c r="F49" s="30">
        <v>5857.8306460399999</v>
      </c>
      <c r="G49" s="30">
        <v>8314.2806633138971</v>
      </c>
      <c r="H49" s="30">
        <v>11354.036393183951</v>
      </c>
      <c r="I49" s="30">
        <v>14472.893037736012</v>
      </c>
      <c r="J49" s="30">
        <v>15755.191299677001</v>
      </c>
      <c r="K49" s="30">
        <v>20867.176761344948</v>
      </c>
      <c r="L49" s="332"/>
      <c r="M49" s="332"/>
      <c r="N49" s="332"/>
    </row>
    <row r="50" spans="1:14" s="333" customFormat="1" x14ac:dyDescent="0.25">
      <c r="A50" s="330"/>
      <c r="B50" s="39"/>
      <c r="C50" s="29">
        <v>-30.05</v>
      </c>
      <c r="D50" s="29">
        <v>31.07143811636422</v>
      </c>
      <c r="E50" s="29">
        <v>-41.12</v>
      </c>
      <c r="F50" s="29">
        <v>-41.06</v>
      </c>
      <c r="G50" s="30">
        <v>-41.934460000000001</v>
      </c>
      <c r="H50" s="30">
        <v>-36.56</v>
      </c>
      <c r="I50" s="30">
        <v>-27.469144333766401</v>
      </c>
      <c r="J50" s="30">
        <v>-8.8599995771237801</v>
      </c>
      <c r="K50" s="30">
        <v>-32.450000000000003</v>
      </c>
      <c r="L50" s="320"/>
      <c r="M50" s="320"/>
      <c r="N50" s="320"/>
    </row>
    <row r="51" spans="1:14" x14ac:dyDescent="0.25">
      <c r="A51" s="334"/>
      <c r="B51" s="331" t="s">
        <v>120</v>
      </c>
      <c r="C51" s="622">
        <v>79934.14</v>
      </c>
      <c r="D51" s="622">
        <v>87151.239999999991</v>
      </c>
      <c r="E51" s="622">
        <v>99332.93</v>
      </c>
      <c r="F51" s="622">
        <v>130970.09</v>
      </c>
      <c r="G51" s="622">
        <v>153437.6799144652</v>
      </c>
      <c r="H51" s="622">
        <v>172482.7656443415</v>
      </c>
      <c r="I51" s="622">
        <v>192192.59423217046</v>
      </c>
      <c r="J51" s="622">
        <v>202082.30065883399</v>
      </c>
      <c r="K51" s="622">
        <v>224002.81821392194</v>
      </c>
    </row>
    <row r="52" spans="1:14" x14ac:dyDescent="0.25">
      <c r="A52" s="335"/>
      <c r="B52" s="205"/>
      <c r="C52" s="70" t="s">
        <v>121</v>
      </c>
      <c r="D52" s="70" t="s">
        <v>122</v>
      </c>
      <c r="E52" s="70">
        <v>-13.98</v>
      </c>
      <c r="F52" s="70">
        <v>-31.85</v>
      </c>
      <c r="G52" s="623">
        <v>-17.154699999999998</v>
      </c>
      <c r="H52" s="623">
        <v>-12.41</v>
      </c>
      <c r="I52" s="623">
        <v>-11.4271292637263</v>
      </c>
      <c r="J52" s="623">
        <v>-5.1457271109607303</v>
      </c>
      <c r="K52" s="623">
        <v>-10.847321850366001</v>
      </c>
    </row>
    <row r="53" spans="1:14" x14ac:dyDescent="0.25">
      <c r="A53" s="319" t="s">
        <v>416</v>
      </c>
      <c r="B53" s="196"/>
      <c r="C53" s="71"/>
      <c r="D53" s="71"/>
      <c r="E53" s="336"/>
      <c r="F53" s="71"/>
      <c r="G53" s="336"/>
      <c r="H53" s="336"/>
      <c r="I53" s="336"/>
      <c r="J53" s="336"/>
      <c r="K53" s="336"/>
    </row>
    <row r="54" spans="1:14" x14ac:dyDescent="0.25">
      <c r="A54" s="320" t="s">
        <v>504</v>
      </c>
    </row>
    <row r="55" spans="1:14" x14ac:dyDescent="0.25">
      <c r="A55" s="319" t="s">
        <v>418</v>
      </c>
    </row>
    <row r="56" spans="1:14" x14ac:dyDescent="0.25">
      <c r="A56" s="319" t="s">
        <v>419</v>
      </c>
    </row>
    <row r="57" spans="1:14" x14ac:dyDescent="0.25">
      <c r="A57" s="319" t="s">
        <v>411</v>
      </c>
    </row>
    <row r="58" spans="1:14" x14ac:dyDescent="0.25">
      <c r="A58" s="319" t="s">
        <v>505</v>
      </c>
    </row>
    <row r="59" spans="1:14" x14ac:dyDescent="0.25">
      <c r="A59" s="319" t="s">
        <v>509</v>
      </c>
      <c r="C59" s="338"/>
      <c r="D59" s="338"/>
      <c r="E59" s="338"/>
    </row>
    <row r="60" spans="1:14" x14ac:dyDescent="0.25">
      <c r="A60" s="337" t="s">
        <v>123</v>
      </c>
    </row>
    <row r="61" spans="1:14" x14ac:dyDescent="0.25">
      <c r="A61" s="319" t="s">
        <v>420</v>
      </c>
    </row>
    <row r="62" spans="1:14" x14ac:dyDescent="0.25">
      <c r="A62" s="319" t="s">
        <v>247</v>
      </c>
    </row>
  </sheetData>
  <mergeCells count="1">
    <mergeCell ref="A1:K1"/>
  </mergeCells>
  <printOptions horizontalCentered="1" verticalCentered="1"/>
  <pageMargins left="0.31496062992125984" right="0.19685039370078741" top="0.15748031496062992" bottom="0.15748031496062992" header="0.15748031496062992" footer="0.19685039370078741"/>
  <pageSetup paperSize="9" scale="70" orientation="portrait" horizontalDpi="4294967295" verticalDpi="4294967295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74"/>
  <sheetViews>
    <sheetView showGridLines="0" zoomScaleNormal="100" workbookViewId="0">
      <pane xSplit="2" ySplit="4" topLeftCell="C5" activePane="bottomRight" state="frozen"/>
      <selection activeCell="A32" sqref="A32"/>
      <selection pane="topRight" activeCell="A32" sqref="A32"/>
      <selection pane="bottomLeft" activeCell="A32" sqref="A32"/>
      <selection pane="bottomRight"/>
    </sheetView>
  </sheetViews>
  <sheetFormatPr defaultRowHeight="12.75" x14ac:dyDescent="0.2"/>
  <cols>
    <col min="1" max="1" width="5.42578125" style="249" customWidth="1"/>
    <col min="2" max="2" width="41.140625" style="318" customWidth="1"/>
    <col min="3" max="4" width="9.42578125" style="249" bestFit="1" customWidth="1"/>
    <col min="5" max="6" width="9.42578125" style="636" bestFit="1" customWidth="1"/>
    <col min="7" max="9" width="10.28515625" style="636" bestFit="1" customWidth="1"/>
    <col min="10" max="11" width="10.28515625" style="636" customWidth="1"/>
    <col min="12" max="12" width="9.42578125" style="328" bestFit="1" customWidth="1"/>
    <col min="13" max="13" width="9.42578125" style="638" bestFit="1" customWidth="1"/>
    <col min="14" max="16" width="9.42578125" style="328" bestFit="1" customWidth="1"/>
    <col min="17" max="18" width="9.28515625" style="328" bestFit="1" customWidth="1"/>
    <col min="19" max="20" width="9.28515625" style="328" customWidth="1"/>
    <col min="21" max="25" width="10.42578125" style="328" bestFit="1" customWidth="1"/>
    <col min="26" max="27" width="10.28515625" style="328" bestFit="1" customWidth="1"/>
    <col min="28" max="29" width="10.28515625" style="328" customWidth="1"/>
    <col min="30" max="33" width="10.28515625" style="328" bestFit="1" customWidth="1"/>
    <col min="34" max="34" width="10.42578125" style="328" bestFit="1" customWidth="1"/>
    <col min="35" max="36" width="10.28515625" style="328" bestFit="1" customWidth="1"/>
    <col min="37" max="38" width="10.28515625" style="328" customWidth="1"/>
    <col min="39" max="41" width="10.28515625" style="328" bestFit="1" customWidth="1"/>
    <col min="42" max="43" width="10.42578125" style="328" bestFit="1" customWidth="1"/>
    <col min="44" max="45" width="10.28515625" style="328" bestFit="1" customWidth="1"/>
    <col min="46" max="47" width="10.28515625" style="328" customWidth="1"/>
    <col min="48" max="50" width="10.42578125" style="249" bestFit="1" customWidth="1"/>
    <col min="51" max="54" width="11.85546875" style="249" bestFit="1" customWidth="1"/>
    <col min="55" max="56" width="11.85546875" style="249" customWidth="1"/>
    <col min="57" max="16384" width="9.140625" style="249"/>
  </cols>
  <sheetData>
    <row r="1" spans="1:58" s="215" customFormat="1" ht="21" customHeight="1" x14ac:dyDescent="0.25">
      <c r="A1" s="310" t="s">
        <v>549</v>
      </c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  <c r="AF1" s="310"/>
      <c r="AG1" s="310"/>
      <c r="AH1" s="310"/>
      <c r="AI1" s="310"/>
      <c r="AJ1" s="310"/>
      <c r="AK1" s="310"/>
      <c r="AL1" s="310"/>
      <c r="AM1" s="310"/>
      <c r="AN1" s="310"/>
      <c r="AO1" s="310"/>
      <c r="AP1" s="310"/>
      <c r="AQ1" s="310"/>
      <c r="AR1" s="310"/>
      <c r="AS1" s="310"/>
      <c r="AT1" s="310"/>
      <c r="AU1" s="310"/>
      <c r="AV1" s="310"/>
      <c r="AW1" s="310"/>
      <c r="AX1" s="310"/>
      <c r="AY1" s="310"/>
      <c r="AZ1" s="311"/>
    </row>
    <row r="2" spans="1:58" s="294" customFormat="1" ht="15" customHeight="1" x14ac:dyDescent="0.2">
      <c r="A2" s="931" t="s">
        <v>474</v>
      </c>
      <c r="B2" s="931"/>
      <c r="C2" s="931"/>
      <c r="D2" s="931"/>
      <c r="E2" s="931"/>
      <c r="F2" s="931"/>
      <c r="G2" s="931"/>
      <c r="H2" s="931"/>
      <c r="I2" s="931"/>
      <c r="J2" s="931"/>
      <c r="K2" s="931"/>
      <c r="L2" s="931"/>
      <c r="M2" s="931"/>
      <c r="N2" s="931"/>
      <c r="O2" s="931"/>
      <c r="P2" s="931"/>
      <c r="Q2" s="931"/>
      <c r="R2" s="931"/>
      <c r="S2" s="931"/>
      <c r="T2" s="931"/>
      <c r="U2" s="931"/>
      <c r="V2" s="931"/>
      <c r="W2" s="931"/>
      <c r="X2" s="931"/>
      <c r="Y2" s="931"/>
      <c r="Z2" s="931"/>
      <c r="AA2" s="931"/>
      <c r="AB2" s="931"/>
      <c r="AC2" s="931"/>
      <c r="AD2" s="931"/>
      <c r="AE2" s="931"/>
      <c r="AF2" s="931"/>
      <c r="AG2" s="931"/>
      <c r="AH2" s="931"/>
      <c r="AI2" s="931"/>
      <c r="AJ2" s="931"/>
      <c r="AK2" s="931"/>
      <c r="AL2" s="931"/>
      <c r="AM2" s="931"/>
      <c r="AN2" s="931"/>
      <c r="AO2" s="931"/>
      <c r="AP2" s="931"/>
      <c r="AQ2" s="931"/>
      <c r="AR2" s="931"/>
      <c r="AS2" s="931"/>
      <c r="AT2" s="931"/>
      <c r="AU2" s="931"/>
      <c r="AV2" s="931"/>
      <c r="AW2" s="931"/>
      <c r="AX2" s="931"/>
      <c r="AY2" s="931"/>
      <c r="AZ2" s="931"/>
      <c r="BA2" s="931"/>
      <c r="BB2" s="931"/>
      <c r="BC2" s="931"/>
      <c r="BD2" s="931"/>
    </row>
    <row r="3" spans="1:58" s="215" customFormat="1" ht="15.75" customHeight="1" x14ac:dyDescent="0.25">
      <c r="A3" s="932" t="s">
        <v>2</v>
      </c>
      <c r="B3" s="933" t="s">
        <v>101</v>
      </c>
      <c r="C3" s="934" t="s">
        <v>124</v>
      </c>
      <c r="D3" s="935"/>
      <c r="E3" s="935"/>
      <c r="F3" s="935"/>
      <c r="G3" s="935"/>
      <c r="H3" s="935"/>
      <c r="I3" s="935"/>
      <c r="J3" s="935"/>
      <c r="K3" s="936"/>
      <c r="L3" s="934" t="s">
        <v>125</v>
      </c>
      <c r="M3" s="935"/>
      <c r="N3" s="935"/>
      <c r="O3" s="935"/>
      <c r="P3" s="935"/>
      <c r="Q3" s="935"/>
      <c r="R3" s="935"/>
      <c r="S3" s="935"/>
      <c r="T3" s="936"/>
      <c r="U3" s="934" t="s">
        <v>126</v>
      </c>
      <c r="V3" s="935"/>
      <c r="W3" s="935"/>
      <c r="X3" s="935"/>
      <c r="Y3" s="935"/>
      <c r="Z3" s="935"/>
      <c r="AA3" s="935"/>
      <c r="AB3" s="935"/>
      <c r="AC3" s="936"/>
      <c r="AD3" s="934" t="s">
        <v>127</v>
      </c>
      <c r="AE3" s="935"/>
      <c r="AF3" s="935"/>
      <c r="AG3" s="935"/>
      <c r="AH3" s="935"/>
      <c r="AI3" s="935"/>
      <c r="AJ3" s="935"/>
      <c r="AK3" s="935"/>
      <c r="AL3" s="936"/>
      <c r="AM3" s="934" t="s">
        <v>128</v>
      </c>
      <c r="AN3" s="935"/>
      <c r="AO3" s="935"/>
      <c r="AP3" s="935"/>
      <c r="AQ3" s="935"/>
      <c r="AR3" s="935"/>
      <c r="AS3" s="935"/>
      <c r="AT3" s="935"/>
      <c r="AU3" s="936"/>
      <c r="AV3" s="937" t="s">
        <v>129</v>
      </c>
      <c r="AW3" s="937"/>
      <c r="AX3" s="937"/>
      <c r="AY3" s="937"/>
      <c r="AZ3" s="937"/>
      <c r="BA3" s="937"/>
      <c r="BB3" s="937"/>
      <c r="BC3" s="937"/>
      <c r="BD3" s="937"/>
    </row>
    <row r="4" spans="1:58" s="318" customFormat="1" x14ac:dyDescent="0.2">
      <c r="A4" s="932"/>
      <c r="B4" s="933"/>
      <c r="C4" s="619" t="s">
        <v>91</v>
      </c>
      <c r="D4" s="206" t="s">
        <v>102</v>
      </c>
      <c r="E4" s="206" t="s">
        <v>51</v>
      </c>
      <c r="F4" s="206" t="s">
        <v>87</v>
      </c>
      <c r="G4" s="206" t="s">
        <v>20</v>
      </c>
      <c r="H4" s="206" t="s">
        <v>99</v>
      </c>
      <c r="I4" s="206" t="s">
        <v>103</v>
      </c>
      <c r="J4" s="206" t="s">
        <v>415</v>
      </c>
      <c r="K4" s="624" t="s">
        <v>507</v>
      </c>
      <c r="L4" s="619" t="s">
        <v>91</v>
      </c>
      <c r="M4" s="206" t="s">
        <v>102</v>
      </c>
      <c r="N4" s="206" t="s">
        <v>51</v>
      </c>
      <c r="O4" s="206" t="s">
        <v>87</v>
      </c>
      <c r="P4" s="206" t="s">
        <v>20</v>
      </c>
      <c r="Q4" s="206" t="s">
        <v>99</v>
      </c>
      <c r="R4" s="206" t="s">
        <v>103</v>
      </c>
      <c r="S4" s="206" t="s">
        <v>415</v>
      </c>
      <c r="T4" s="624" t="s">
        <v>507</v>
      </c>
      <c r="U4" s="619" t="s">
        <v>91</v>
      </c>
      <c r="V4" s="206" t="s">
        <v>102</v>
      </c>
      <c r="W4" s="206" t="s">
        <v>51</v>
      </c>
      <c r="X4" s="206" t="s">
        <v>87</v>
      </c>
      <c r="Y4" s="206" t="s">
        <v>20</v>
      </c>
      <c r="Z4" s="206" t="s">
        <v>99</v>
      </c>
      <c r="AA4" s="206" t="s">
        <v>103</v>
      </c>
      <c r="AB4" s="206" t="s">
        <v>415</v>
      </c>
      <c r="AC4" s="624" t="s">
        <v>507</v>
      </c>
      <c r="AD4" s="619" t="s">
        <v>91</v>
      </c>
      <c r="AE4" s="206" t="s">
        <v>102</v>
      </c>
      <c r="AF4" s="206" t="s">
        <v>51</v>
      </c>
      <c r="AG4" s="206" t="s">
        <v>87</v>
      </c>
      <c r="AH4" s="206" t="s">
        <v>20</v>
      </c>
      <c r="AI4" s="206" t="s">
        <v>99</v>
      </c>
      <c r="AJ4" s="206" t="s">
        <v>103</v>
      </c>
      <c r="AK4" s="206" t="s">
        <v>415</v>
      </c>
      <c r="AL4" s="624" t="s">
        <v>507</v>
      </c>
      <c r="AM4" s="619" t="s">
        <v>91</v>
      </c>
      <c r="AN4" s="206" t="s">
        <v>102</v>
      </c>
      <c r="AO4" s="206" t="s">
        <v>51</v>
      </c>
      <c r="AP4" s="206" t="s">
        <v>87</v>
      </c>
      <c r="AQ4" s="206" t="s">
        <v>20</v>
      </c>
      <c r="AR4" s="206" t="s">
        <v>99</v>
      </c>
      <c r="AS4" s="206" t="s">
        <v>103</v>
      </c>
      <c r="AT4" s="206" t="s">
        <v>415</v>
      </c>
      <c r="AU4" s="624" t="s">
        <v>507</v>
      </c>
      <c r="AV4" s="619" t="s">
        <v>91</v>
      </c>
      <c r="AW4" s="206" t="s">
        <v>102</v>
      </c>
      <c r="AX4" s="206" t="s">
        <v>51</v>
      </c>
      <c r="AY4" s="206" t="s">
        <v>87</v>
      </c>
      <c r="AZ4" s="206" t="s">
        <v>20</v>
      </c>
      <c r="BA4" s="206" t="s">
        <v>99</v>
      </c>
      <c r="BB4" s="206" t="s">
        <v>103</v>
      </c>
      <c r="BC4" s="206" t="s">
        <v>415</v>
      </c>
      <c r="BD4" s="624" t="s">
        <v>507</v>
      </c>
    </row>
    <row r="5" spans="1:58" s="215" customFormat="1" x14ac:dyDescent="0.25">
      <c r="A5" s="626"/>
      <c r="B5" s="627" t="s">
        <v>104</v>
      </c>
      <c r="C5" s="208"/>
      <c r="D5" s="208"/>
      <c r="E5" s="208"/>
      <c r="F5" s="208"/>
      <c r="G5" s="208"/>
      <c r="H5" s="208"/>
      <c r="I5" s="208"/>
      <c r="J5" s="208"/>
      <c r="K5" s="625"/>
      <c r="L5" s="208"/>
      <c r="M5" s="208"/>
      <c r="N5" s="208"/>
      <c r="O5" s="208"/>
      <c r="P5" s="208"/>
      <c r="Q5" s="208"/>
      <c r="R5" s="208"/>
      <c r="S5" s="208"/>
      <c r="T5" s="625"/>
      <c r="U5" s="208"/>
      <c r="V5" s="208"/>
      <c r="W5" s="208"/>
      <c r="X5" s="208"/>
      <c r="Y5" s="208"/>
      <c r="Z5" s="208"/>
      <c r="AA5" s="208"/>
      <c r="AB5" s="208"/>
      <c r="AC5" s="625"/>
      <c r="AD5" s="208"/>
      <c r="AE5" s="208"/>
      <c r="AF5" s="208"/>
      <c r="AG5" s="208"/>
      <c r="AH5" s="208"/>
      <c r="AI5" s="208"/>
      <c r="AJ5" s="208"/>
      <c r="AK5" s="208"/>
      <c r="AL5" s="625"/>
      <c r="AM5" s="208"/>
      <c r="AN5" s="208"/>
      <c r="AO5" s="208"/>
      <c r="AP5" s="208"/>
      <c r="AQ5" s="208"/>
      <c r="AR5" s="208"/>
      <c r="AS5" s="208"/>
      <c r="AT5" s="208"/>
      <c r="AU5" s="625"/>
      <c r="AV5" s="208"/>
      <c r="AW5" s="208"/>
      <c r="AX5" s="208"/>
      <c r="AY5" s="208"/>
      <c r="AZ5" s="208"/>
      <c r="BA5" s="208"/>
      <c r="BB5" s="208"/>
      <c r="BC5" s="208"/>
      <c r="BD5" s="208"/>
    </row>
    <row r="6" spans="1:58" s="215" customFormat="1" x14ac:dyDescent="0.25">
      <c r="A6" s="325">
        <v>1</v>
      </c>
      <c r="B6" s="215" t="s">
        <v>9</v>
      </c>
      <c r="C6" s="312">
        <v>878.16</v>
      </c>
      <c r="D6" s="312">
        <v>921.33</v>
      </c>
      <c r="E6" s="312">
        <v>896.55204730000003</v>
      </c>
      <c r="F6" s="312">
        <v>912.26</v>
      </c>
      <c r="G6" s="312">
        <v>901.79480000000001</v>
      </c>
      <c r="H6" s="312">
        <v>867.99</v>
      </c>
      <c r="I6" s="312">
        <v>1026.3628000000001</v>
      </c>
      <c r="J6" s="312">
        <v>1175.29</v>
      </c>
      <c r="K6" s="312">
        <v>1104.0999999999999</v>
      </c>
      <c r="L6" s="312">
        <v>333.49720000000002</v>
      </c>
      <c r="M6" s="312">
        <v>298.58999999999997</v>
      </c>
      <c r="N6" s="312">
        <v>258.34574600000002</v>
      </c>
      <c r="O6" s="312">
        <v>235.63</v>
      </c>
      <c r="P6" s="312">
        <v>207.84880000000001</v>
      </c>
      <c r="Q6" s="312">
        <v>209.41</v>
      </c>
      <c r="R6" s="312">
        <v>235.3511</v>
      </c>
      <c r="S6" s="312">
        <v>192.79</v>
      </c>
      <c r="T6" s="312">
        <v>224.37</v>
      </c>
      <c r="U6" s="312">
        <v>4838.97</v>
      </c>
      <c r="V6" s="312">
        <v>5177.4799999999996</v>
      </c>
      <c r="W6" s="312">
        <v>5664.6014046</v>
      </c>
      <c r="X6" s="312">
        <v>6321.67</v>
      </c>
      <c r="Y6" s="312">
        <v>7024.0212000000001</v>
      </c>
      <c r="Z6" s="312">
        <v>6164.28</v>
      </c>
      <c r="AA6" s="312">
        <v>5743.2280000000001</v>
      </c>
      <c r="AB6" s="312">
        <v>4865.76</v>
      </c>
      <c r="AC6" s="312">
        <v>4645.95</v>
      </c>
      <c r="AD6" s="312">
        <v>3176.91</v>
      </c>
      <c r="AE6" s="312">
        <v>3895.97</v>
      </c>
      <c r="AF6" s="312">
        <v>4284.0997688999996</v>
      </c>
      <c r="AG6" s="312">
        <v>5053.9199999999992</v>
      </c>
      <c r="AH6" s="312">
        <v>5646.3306000000002</v>
      </c>
      <c r="AI6" s="312">
        <v>6060.43</v>
      </c>
      <c r="AJ6" s="312">
        <v>5472.9310999999998</v>
      </c>
      <c r="AK6" s="312">
        <v>5769.52</v>
      </c>
      <c r="AL6" s="312">
        <v>6075.1354000000001</v>
      </c>
      <c r="AM6" s="312">
        <v>995.34</v>
      </c>
      <c r="AN6" s="312">
        <v>948.52</v>
      </c>
      <c r="AO6" s="312">
        <v>872.47180860000003</v>
      </c>
      <c r="AP6" s="312">
        <v>1714.05</v>
      </c>
      <c r="AQ6" s="312">
        <v>2413.5509999999999</v>
      </c>
      <c r="AR6" s="312">
        <v>1826.7899999999997</v>
      </c>
      <c r="AS6" s="312">
        <v>2784.3426999999992</v>
      </c>
      <c r="AT6" s="312">
        <v>2137.4700000000003</v>
      </c>
      <c r="AU6" s="312">
        <v>976.1846000000005</v>
      </c>
      <c r="AV6" s="312">
        <v>10222.879999999999</v>
      </c>
      <c r="AW6" s="312">
        <v>11241.89</v>
      </c>
      <c r="AX6" s="312">
        <v>11976.0707754</v>
      </c>
      <c r="AY6" s="312">
        <v>14237.529999999999</v>
      </c>
      <c r="AZ6" s="312">
        <v>16193.546399999999</v>
      </c>
      <c r="BA6" s="312">
        <v>15128.9</v>
      </c>
      <c r="BB6" s="312">
        <v>15262.215700000001</v>
      </c>
      <c r="BC6" s="312">
        <v>14140.830000000002</v>
      </c>
      <c r="BD6" s="312">
        <v>13025.740000000002</v>
      </c>
      <c r="BE6" s="321"/>
      <c r="BF6" s="321"/>
    </row>
    <row r="7" spans="1:58" s="215" customFormat="1" x14ac:dyDescent="0.25">
      <c r="A7" s="325">
        <v>2</v>
      </c>
      <c r="B7" s="215" t="s">
        <v>12</v>
      </c>
      <c r="C7" s="312">
        <v>1411.7657000000002</v>
      </c>
      <c r="D7" s="312">
        <v>1644.89</v>
      </c>
      <c r="E7" s="312">
        <v>1691.8362311999999</v>
      </c>
      <c r="F7" s="312">
        <v>1824.282234043</v>
      </c>
      <c r="G7" s="312">
        <v>2082.5658558569999</v>
      </c>
      <c r="H7" s="312">
        <v>2224.7496949000001</v>
      </c>
      <c r="I7" s="312">
        <v>3063.1597932</v>
      </c>
      <c r="J7" s="312">
        <v>3771.3063620339999</v>
      </c>
      <c r="K7" s="312">
        <v>3959.265365066</v>
      </c>
      <c r="L7" s="312">
        <v>711.46481354799994</v>
      </c>
      <c r="M7" s="312">
        <v>665.28</v>
      </c>
      <c r="N7" s="312">
        <v>617.53313270000001</v>
      </c>
      <c r="O7" s="312">
        <v>610.02593580599989</v>
      </c>
      <c r="P7" s="312">
        <v>600.00906496100004</v>
      </c>
      <c r="Q7" s="312">
        <v>708.88970219999999</v>
      </c>
      <c r="R7" s="312">
        <v>741.05815129999996</v>
      </c>
      <c r="S7" s="312">
        <v>850.94175658699999</v>
      </c>
      <c r="T7" s="312">
        <v>848.96</v>
      </c>
      <c r="U7" s="312">
        <v>4604.6142</v>
      </c>
      <c r="V7" s="312">
        <v>5366.01</v>
      </c>
      <c r="W7" s="312">
        <v>6177.2850656999999</v>
      </c>
      <c r="X7" s="312">
        <v>7600.671677639999</v>
      </c>
      <c r="Y7" s="312">
        <v>9094.8874185599998</v>
      </c>
      <c r="Z7" s="312">
        <v>8846.6783582999997</v>
      </c>
      <c r="AA7" s="312">
        <v>8922.2316642999995</v>
      </c>
      <c r="AB7" s="312">
        <v>8801.5344022680001</v>
      </c>
      <c r="AC7" s="312">
        <v>8240.5234536320004</v>
      </c>
      <c r="AD7" s="312">
        <v>3484.7368999999999</v>
      </c>
      <c r="AE7" s="312">
        <v>4127.3900000000003</v>
      </c>
      <c r="AF7" s="312">
        <v>5058.6364977000003</v>
      </c>
      <c r="AG7" s="312">
        <v>6335.1240427519997</v>
      </c>
      <c r="AH7" s="312">
        <v>7473.1533219129997</v>
      </c>
      <c r="AI7" s="312">
        <v>8779.7221334000005</v>
      </c>
      <c r="AJ7" s="312">
        <v>9747.0919584000003</v>
      </c>
      <c r="AK7" s="312">
        <v>11404.43</v>
      </c>
      <c r="AL7" s="312">
        <v>15830.28</v>
      </c>
      <c r="AM7" s="312">
        <v>1327.4781000000005</v>
      </c>
      <c r="AN7" s="312">
        <v>1405.8243999999995</v>
      </c>
      <c r="AO7" s="312">
        <v>1604.2178690000001</v>
      </c>
      <c r="AP7" s="312">
        <v>2744.5884461529999</v>
      </c>
      <c r="AQ7" s="312">
        <v>3468.1454393469999</v>
      </c>
      <c r="AR7" s="312">
        <v>3350.119303729</v>
      </c>
      <c r="AS7" s="312">
        <v>4339.5877761510001</v>
      </c>
      <c r="AT7" s="312">
        <v>3720.2672196479998</v>
      </c>
      <c r="AU7" s="312">
        <v>3694.8519071790001</v>
      </c>
      <c r="AV7" s="312">
        <v>11540.0597</v>
      </c>
      <c r="AW7" s="312">
        <v>13209.394399999999</v>
      </c>
      <c r="AX7" s="312">
        <v>15149.508796300001</v>
      </c>
      <c r="AY7" s="312">
        <v>19114.692336394</v>
      </c>
      <c r="AZ7" s="312">
        <v>22718.761100637999</v>
      </c>
      <c r="BA7" s="312">
        <v>23910.159192528998</v>
      </c>
      <c r="BB7" s="312">
        <v>26813.129343351</v>
      </c>
      <c r="BC7" s="312">
        <v>28548.479740536997</v>
      </c>
      <c r="BD7" s="312">
        <v>32573.880725877003</v>
      </c>
      <c r="BE7" s="321"/>
      <c r="BF7" s="321"/>
    </row>
    <row r="8" spans="1:58" s="215" customFormat="1" x14ac:dyDescent="0.25">
      <c r="A8" s="325">
        <v>3</v>
      </c>
      <c r="B8" s="215" t="s">
        <v>14</v>
      </c>
      <c r="C8" s="312">
        <v>984.47</v>
      </c>
      <c r="D8" s="312">
        <v>961.61</v>
      </c>
      <c r="E8" s="312">
        <v>984.03</v>
      </c>
      <c r="F8" s="312">
        <v>966.36</v>
      </c>
      <c r="G8" s="312">
        <v>922.95</v>
      </c>
      <c r="H8" s="312">
        <v>990.59578629999999</v>
      </c>
      <c r="I8" s="312">
        <v>1333.0948000000001</v>
      </c>
      <c r="J8" s="312">
        <v>1650.51</v>
      </c>
      <c r="K8" s="312">
        <v>1608.1070337000001</v>
      </c>
      <c r="L8" s="312">
        <v>458.56099999999998</v>
      </c>
      <c r="M8" s="312">
        <v>397.93</v>
      </c>
      <c r="N8" s="312">
        <v>420.33</v>
      </c>
      <c r="O8" s="312">
        <v>371.05</v>
      </c>
      <c r="P8" s="312">
        <v>293.74</v>
      </c>
      <c r="Q8" s="312">
        <v>329.37981180000003</v>
      </c>
      <c r="R8" s="312">
        <v>362.31769999999995</v>
      </c>
      <c r="S8" s="312">
        <v>340.39000000000004</v>
      </c>
      <c r="T8" s="312">
        <v>386.30732169999999</v>
      </c>
      <c r="U8" s="312">
        <v>2638.63</v>
      </c>
      <c r="V8" s="312">
        <v>2861.7</v>
      </c>
      <c r="W8" s="312">
        <v>3150.64</v>
      </c>
      <c r="X8" s="312">
        <v>3743.64</v>
      </c>
      <c r="Y8" s="312">
        <v>4357.4799999999996</v>
      </c>
      <c r="Z8" s="312">
        <v>4535.1969617000004</v>
      </c>
      <c r="AA8" s="312">
        <v>4202.0178999999998</v>
      </c>
      <c r="AB8" s="312">
        <v>3746.98</v>
      </c>
      <c r="AC8" s="312">
        <v>3405.7431565000002</v>
      </c>
      <c r="AD8" s="312">
        <v>2038.5</v>
      </c>
      <c r="AE8" s="312">
        <v>2200.2199999999998</v>
      </c>
      <c r="AF8" s="312">
        <v>2778.15</v>
      </c>
      <c r="AG8" s="312">
        <v>3846.36</v>
      </c>
      <c r="AH8" s="312">
        <v>4138.82</v>
      </c>
      <c r="AI8" s="312">
        <v>4677.3934325</v>
      </c>
      <c r="AJ8" s="312">
        <v>4876.5567000000001</v>
      </c>
      <c r="AK8" s="312">
        <v>4983.54</v>
      </c>
      <c r="AL8" s="312">
        <v>6642.2024336000004</v>
      </c>
      <c r="AM8" s="312">
        <v>1007.69</v>
      </c>
      <c r="AN8" s="312">
        <v>986.48</v>
      </c>
      <c r="AO8" s="312">
        <v>981.59</v>
      </c>
      <c r="AP8" s="312">
        <v>1875.93</v>
      </c>
      <c r="AQ8" s="312">
        <v>1738.98</v>
      </c>
      <c r="AR8" s="312">
        <v>2666.7588734000001</v>
      </c>
      <c r="AS8" s="312">
        <v>2898.658300000001</v>
      </c>
      <c r="AT8" s="312">
        <v>1728.29</v>
      </c>
      <c r="AU8" s="312">
        <v>1668.6099420999999</v>
      </c>
      <c r="AV8" s="312">
        <v>7127.85</v>
      </c>
      <c r="AW8" s="312">
        <v>7407.94</v>
      </c>
      <c r="AX8" s="312">
        <v>8314.74</v>
      </c>
      <c r="AY8" s="312">
        <v>10803.34</v>
      </c>
      <c r="AZ8" s="312">
        <v>11451.97</v>
      </c>
      <c r="BA8" s="312">
        <v>13199.3248657</v>
      </c>
      <c r="BB8" s="312">
        <v>13672.645399999999</v>
      </c>
      <c r="BC8" s="312">
        <v>12449.71</v>
      </c>
      <c r="BD8" s="312">
        <v>13710.9698876</v>
      </c>
      <c r="BE8" s="321"/>
      <c r="BF8" s="321"/>
    </row>
    <row r="9" spans="1:58" s="215" customFormat="1" x14ac:dyDescent="0.25">
      <c r="A9" s="325">
        <v>4</v>
      </c>
      <c r="B9" s="215" t="s">
        <v>16</v>
      </c>
      <c r="C9" s="312">
        <v>1189.7357999999999</v>
      </c>
      <c r="D9" s="312">
        <v>1251.4935</v>
      </c>
      <c r="E9" s="312">
        <v>1311.3873116</v>
      </c>
      <c r="F9" s="312">
        <v>1364.65</v>
      </c>
      <c r="G9" s="312">
        <v>1278.5717999999999</v>
      </c>
      <c r="H9" s="312">
        <v>1172.9131755999999</v>
      </c>
      <c r="I9" s="312">
        <v>1569.3237999999999</v>
      </c>
      <c r="J9" s="312">
        <v>1778.29</v>
      </c>
      <c r="K9" s="312">
        <v>1843.48</v>
      </c>
      <c r="L9" s="312">
        <v>587.28089999999997</v>
      </c>
      <c r="M9" s="312">
        <v>526.73019999999997</v>
      </c>
      <c r="N9" s="312">
        <v>438.27903609999998</v>
      </c>
      <c r="O9" s="312">
        <v>397.81</v>
      </c>
      <c r="P9" s="312">
        <v>358.1891</v>
      </c>
      <c r="Q9" s="312">
        <v>324.51657069999999</v>
      </c>
      <c r="R9" s="312">
        <v>354.6035</v>
      </c>
      <c r="S9" s="312">
        <v>340.7</v>
      </c>
      <c r="T9" s="312">
        <v>374.79</v>
      </c>
      <c r="U9" s="312">
        <v>3709.8453999999997</v>
      </c>
      <c r="V9" s="312">
        <v>4169.1674000000003</v>
      </c>
      <c r="W9" s="312">
        <v>4728.5441025999999</v>
      </c>
      <c r="X9" s="312">
        <v>6062.6</v>
      </c>
      <c r="Y9" s="312">
        <v>7081.6902</v>
      </c>
      <c r="Z9" s="312">
        <v>6741.3316739000002</v>
      </c>
      <c r="AA9" s="312">
        <v>6540.7006000000001</v>
      </c>
      <c r="AB9" s="312">
        <v>5803.84</v>
      </c>
      <c r="AC9" s="312">
        <v>5476.76</v>
      </c>
      <c r="AD9" s="312">
        <v>2868.4659999999999</v>
      </c>
      <c r="AE9" s="312">
        <v>3408.8724999999999</v>
      </c>
      <c r="AF9" s="312">
        <v>4378.2842235999997</v>
      </c>
      <c r="AG9" s="312">
        <v>5504.14</v>
      </c>
      <c r="AH9" s="312">
        <v>5853.1009000000004</v>
      </c>
      <c r="AI9" s="312">
        <v>5801.7709142000003</v>
      </c>
      <c r="AJ9" s="312">
        <v>5869.5796</v>
      </c>
      <c r="AK9" s="312">
        <v>6745.2199999999993</v>
      </c>
      <c r="AL9" s="312">
        <v>6826.6500000000005</v>
      </c>
      <c r="AM9" s="312">
        <v>1353.6052000000009</v>
      </c>
      <c r="AN9" s="312">
        <v>1335.4695999999997</v>
      </c>
      <c r="AO9" s="312">
        <v>1393.8683913</v>
      </c>
      <c r="AP9" s="312">
        <v>2733.6000000000004</v>
      </c>
      <c r="AQ9" s="312">
        <v>2858.3987000000002</v>
      </c>
      <c r="AR9" s="312">
        <v>2379.9374853999998</v>
      </c>
      <c r="AS9" s="312">
        <v>3180.8827999999985</v>
      </c>
      <c r="AT9" s="312">
        <v>2036.65</v>
      </c>
      <c r="AU9" s="312">
        <v>1200.57</v>
      </c>
      <c r="AV9" s="312">
        <v>9708.9332999999988</v>
      </c>
      <c r="AW9" s="312">
        <v>10691.733200000001</v>
      </c>
      <c r="AX9" s="312">
        <v>12250.363065200001</v>
      </c>
      <c r="AY9" s="312">
        <v>16062.800000000001</v>
      </c>
      <c r="AZ9" s="312">
        <v>17429.950700000001</v>
      </c>
      <c r="BA9" s="312">
        <v>16420.469819800001</v>
      </c>
      <c r="BB9" s="312">
        <v>17515.0903</v>
      </c>
      <c r="BC9" s="312">
        <v>16704.7</v>
      </c>
      <c r="BD9" s="312">
        <v>15722.25</v>
      </c>
      <c r="BE9" s="321"/>
      <c r="BF9" s="321"/>
    </row>
    <row r="10" spans="1:58" s="215" customFormat="1" x14ac:dyDescent="0.25">
      <c r="A10" s="325"/>
      <c r="B10" s="109" t="s">
        <v>105</v>
      </c>
      <c r="C10" s="209">
        <v>4464.1315000000004</v>
      </c>
      <c r="D10" s="209">
        <v>4779.3235000000004</v>
      </c>
      <c r="E10" s="209">
        <v>4883.8055901000007</v>
      </c>
      <c r="F10" s="209">
        <v>5067.5522340429998</v>
      </c>
      <c r="G10" s="209">
        <v>5185.8824558569995</v>
      </c>
      <c r="H10" s="209">
        <v>5256.2486568000004</v>
      </c>
      <c r="I10" s="209">
        <v>6991.9411932000003</v>
      </c>
      <c r="J10" s="209">
        <v>8375.396362034</v>
      </c>
      <c r="K10" s="209">
        <v>8514.9523987659995</v>
      </c>
      <c r="L10" s="209">
        <v>2090.8039135479999</v>
      </c>
      <c r="M10" s="209">
        <v>1888.5301999999999</v>
      </c>
      <c r="N10" s="209">
        <v>1734.4879148</v>
      </c>
      <c r="O10" s="209">
        <v>1614.5159358059998</v>
      </c>
      <c r="P10" s="209">
        <v>1459.7869649610002</v>
      </c>
      <c r="Q10" s="209">
        <v>1572.1960847</v>
      </c>
      <c r="R10" s="209">
        <v>1693.3304512999998</v>
      </c>
      <c r="S10" s="209">
        <v>1724.8217565870002</v>
      </c>
      <c r="T10" s="209">
        <v>1834.4273217</v>
      </c>
      <c r="U10" s="209">
        <v>15792.059600000001</v>
      </c>
      <c r="V10" s="209">
        <v>17574.357400000001</v>
      </c>
      <c r="W10" s="209">
        <v>19721.0705729</v>
      </c>
      <c r="X10" s="209">
        <v>23728.581677640002</v>
      </c>
      <c r="Y10" s="209">
        <v>27558.078818559999</v>
      </c>
      <c r="Z10" s="209">
        <v>26287.486993899998</v>
      </c>
      <c r="AA10" s="209">
        <v>25408.178164299999</v>
      </c>
      <c r="AB10" s="209">
        <v>23218.114402268002</v>
      </c>
      <c r="AC10" s="209">
        <v>21768.976610131998</v>
      </c>
      <c r="AD10" s="209">
        <v>11568.6129</v>
      </c>
      <c r="AE10" s="209">
        <v>13632.452499999999</v>
      </c>
      <c r="AF10" s="209">
        <v>16499.170490199998</v>
      </c>
      <c r="AG10" s="209">
        <v>20739.544042752001</v>
      </c>
      <c r="AH10" s="209">
        <v>23111.404821913002</v>
      </c>
      <c r="AI10" s="209">
        <v>25319.316480100002</v>
      </c>
      <c r="AJ10" s="209">
        <v>25966.1593584</v>
      </c>
      <c r="AK10" s="209">
        <v>28902.71</v>
      </c>
      <c r="AL10" s="209">
        <v>35374.267833600003</v>
      </c>
      <c r="AM10" s="209">
        <v>4684.1133000000009</v>
      </c>
      <c r="AN10" s="209">
        <v>4676.293999999999</v>
      </c>
      <c r="AO10" s="209">
        <v>4852.1480689</v>
      </c>
      <c r="AP10" s="209">
        <v>9068.1684461530003</v>
      </c>
      <c r="AQ10" s="209">
        <v>10479.075139347</v>
      </c>
      <c r="AR10" s="209">
        <v>10223.605662529</v>
      </c>
      <c r="AS10" s="209">
        <v>13203.471576150998</v>
      </c>
      <c r="AT10" s="209">
        <v>9622.6772196479997</v>
      </c>
      <c r="AU10" s="209">
        <v>7540.2164492789998</v>
      </c>
      <c r="AV10" s="209">
        <v>38599.722999999998</v>
      </c>
      <c r="AW10" s="209">
        <v>42550.957599999994</v>
      </c>
      <c r="AX10" s="209">
        <v>47690.682636899997</v>
      </c>
      <c r="AY10" s="209">
        <v>60218.362336393999</v>
      </c>
      <c r="AZ10" s="209">
        <v>67794.228200637997</v>
      </c>
      <c r="BA10" s="209">
        <v>68658.853878028996</v>
      </c>
      <c r="BB10" s="209">
        <v>73263.080743351005</v>
      </c>
      <c r="BC10" s="209">
        <v>71843.719740536995</v>
      </c>
      <c r="BD10" s="209">
        <v>75032.840613477005</v>
      </c>
      <c r="BE10" s="321"/>
      <c r="BF10" s="321"/>
    </row>
    <row r="11" spans="1:58" s="318" customFormat="1" ht="18.75" customHeight="1" x14ac:dyDescent="0.2">
      <c r="A11" s="325"/>
      <c r="B11" s="109" t="s">
        <v>106</v>
      </c>
      <c r="C11" s="322"/>
      <c r="D11" s="322"/>
      <c r="E11" s="322"/>
      <c r="F11" s="322"/>
      <c r="G11" s="322"/>
      <c r="H11" s="322"/>
      <c r="I11" s="322"/>
      <c r="J11" s="322"/>
      <c r="K11" s="322"/>
      <c r="L11" s="322"/>
      <c r="M11" s="322"/>
      <c r="N11" s="322"/>
      <c r="O11" s="322"/>
      <c r="P11" s="322"/>
      <c r="Q11" s="322"/>
      <c r="R11" s="322"/>
      <c r="S11" s="322"/>
      <c r="T11" s="322"/>
      <c r="U11" s="322"/>
      <c r="V11" s="322"/>
      <c r="W11" s="322"/>
      <c r="X11" s="322"/>
      <c r="Y11" s="322"/>
      <c r="Z11" s="322"/>
      <c r="AA11" s="322"/>
      <c r="AB11" s="322"/>
      <c r="AC11" s="322"/>
      <c r="AD11" s="322"/>
      <c r="AE11" s="322"/>
      <c r="AF11" s="322"/>
      <c r="AG11" s="322"/>
      <c r="AH11" s="322"/>
      <c r="AI11" s="322"/>
      <c r="AJ11" s="322"/>
      <c r="AK11" s="322"/>
      <c r="AL11" s="322"/>
      <c r="AM11" s="322"/>
      <c r="AN11" s="322"/>
      <c r="AO11" s="322"/>
      <c r="AP11" s="322"/>
      <c r="AQ11" s="322"/>
      <c r="AR11" s="322"/>
      <c r="AS11" s="322"/>
      <c r="AT11" s="322"/>
      <c r="AU11" s="322"/>
      <c r="AV11" s="322"/>
      <c r="AW11" s="322"/>
      <c r="AX11" s="322"/>
      <c r="AY11" s="322"/>
      <c r="AZ11" s="322"/>
      <c r="BA11" s="322"/>
      <c r="BB11" s="322"/>
      <c r="BC11" s="322"/>
      <c r="BD11" s="322"/>
      <c r="BE11" s="321"/>
      <c r="BF11" s="321"/>
    </row>
    <row r="12" spans="1:58" s="318" customFormat="1" ht="15" customHeight="1" x14ac:dyDescent="0.2">
      <c r="A12" s="325">
        <v>5</v>
      </c>
      <c r="B12" s="316" t="s">
        <v>18</v>
      </c>
      <c r="C12" s="210">
        <v>0</v>
      </c>
      <c r="D12" s="210">
        <v>0</v>
      </c>
      <c r="E12" s="210">
        <v>0</v>
      </c>
      <c r="F12" s="210">
        <v>0</v>
      </c>
      <c r="G12" s="210">
        <v>0</v>
      </c>
      <c r="H12" s="210">
        <v>0</v>
      </c>
      <c r="I12" s="210">
        <v>0</v>
      </c>
      <c r="J12" s="210">
        <v>1.42317E-2</v>
      </c>
      <c r="K12" s="210">
        <v>2.0991099999999999E-2</v>
      </c>
      <c r="L12" s="210">
        <v>0</v>
      </c>
      <c r="M12" s="210">
        <v>0</v>
      </c>
      <c r="N12" s="210">
        <v>0</v>
      </c>
      <c r="O12" s="210">
        <v>0</v>
      </c>
      <c r="P12" s="210">
        <v>0</v>
      </c>
      <c r="Q12" s="210">
        <v>0</v>
      </c>
      <c r="R12" s="210">
        <v>0</v>
      </c>
      <c r="S12" s="210">
        <v>0</v>
      </c>
      <c r="T12" s="210">
        <v>0</v>
      </c>
      <c r="U12" s="210">
        <v>0</v>
      </c>
      <c r="V12" s="210">
        <v>0</v>
      </c>
      <c r="W12" s="210">
        <v>0</v>
      </c>
      <c r="X12" s="210">
        <v>0</v>
      </c>
      <c r="Y12" s="210">
        <v>0.81569999999999998</v>
      </c>
      <c r="Z12" s="210">
        <v>75.322801400432795</v>
      </c>
      <c r="AA12" s="210">
        <v>218.74383309999999</v>
      </c>
      <c r="AB12" s="210">
        <v>268.096025</v>
      </c>
      <c r="AC12" s="210">
        <v>510.74660938900001</v>
      </c>
      <c r="AD12" s="210">
        <v>0</v>
      </c>
      <c r="AE12" s="210">
        <v>0</v>
      </c>
      <c r="AF12" s="210">
        <v>0</v>
      </c>
      <c r="AG12" s="210">
        <v>0</v>
      </c>
      <c r="AH12" s="210">
        <v>0.1012</v>
      </c>
      <c r="AI12" s="210">
        <v>31.678850143139801</v>
      </c>
      <c r="AJ12" s="210">
        <v>96.594975949152499</v>
      </c>
      <c r="AK12" s="210">
        <v>122.98358810000001</v>
      </c>
      <c r="AL12" s="210">
        <v>407.12342133300001</v>
      </c>
      <c r="AM12" s="210">
        <v>0</v>
      </c>
      <c r="AN12" s="210">
        <v>0</v>
      </c>
      <c r="AO12" s="210">
        <v>0</v>
      </c>
      <c r="AP12" s="210">
        <v>0</v>
      </c>
      <c r="AQ12" s="210">
        <v>0</v>
      </c>
      <c r="AR12" s="210">
        <v>34.888276321442</v>
      </c>
      <c r="AS12" s="210">
        <v>57.726671799999998</v>
      </c>
      <c r="AT12" s="210">
        <v>31.2926678</v>
      </c>
      <c r="AU12" s="210">
        <v>70.321933118999993</v>
      </c>
      <c r="AV12" s="210">
        <v>0</v>
      </c>
      <c r="AW12" s="210">
        <v>0</v>
      </c>
      <c r="AX12" s="210">
        <v>0</v>
      </c>
      <c r="AY12" s="210">
        <v>0</v>
      </c>
      <c r="AZ12" s="210">
        <v>0.91689999999999994</v>
      </c>
      <c r="BA12" s="210">
        <v>141.88992786501501</v>
      </c>
      <c r="BB12" s="210">
        <v>373.06548084915249</v>
      </c>
      <c r="BC12" s="210">
        <v>422.3865126</v>
      </c>
      <c r="BD12" s="210">
        <v>988.21295494100013</v>
      </c>
      <c r="BE12" s="321"/>
      <c r="BF12" s="321"/>
    </row>
    <row r="13" spans="1:58" s="215" customFormat="1" x14ac:dyDescent="0.25">
      <c r="A13" s="325">
        <v>6</v>
      </c>
      <c r="B13" s="313" t="s">
        <v>21</v>
      </c>
      <c r="C13" s="312">
        <v>388.33050000000003</v>
      </c>
      <c r="D13" s="312">
        <v>430.97890000000001</v>
      </c>
      <c r="E13" s="312">
        <v>476.26740000000001</v>
      </c>
      <c r="F13" s="312">
        <v>538.72580619999997</v>
      </c>
      <c r="G13" s="312">
        <v>821.04470000000003</v>
      </c>
      <c r="H13" s="312">
        <v>946.14</v>
      </c>
      <c r="I13" s="312">
        <v>1225.6592000000001</v>
      </c>
      <c r="J13" s="312">
        <v>1656.56</v>
      </c>
      <c r="K13" s="312">
        <v>1916.4411898999999</v>
      </c>
      <c r="L13" s="312">
        <v>122.1039</v>
      </c>
      <c r="M13" s="312">
        <v>123.0758</v>
      </c>
      <c r="N13" s="312">
        <v>141.53569999999999</v>
      </c>
      <c r="O13" s="312">
        <v>134.72758909999999</v>
      </c>
      <c r="P13" s="312">
        <v>137.55929999999998</v>
      </c>
      <c r="Q13" s="312">
        <v>160.97481909999999</v>
      </c>
      <c r="R13" s="312">
        <v>176.64657360000001</v>
      </c>
      <c r="S13" s="312">
        <v>166.3474406</v>
      </c>
      <c r="T13" s="312">
        <v>211.75321460000001</v>
      </c>
      <c r="U13" s="312">
        <v>2699.8476000000001</v>
      </c>
      <c r="V13" s="312">
        <v>2918.3753999999999</v>
      </c>
      <c r="W13" s="312">
        <v>3277.2867000000001</v>
      </c>
      <c r="X13" s="312">
        <v>3567.4356545000001</v>
      </c>
      <c r="Y13" s="312">
        <v>4152.6671999999999</v>
      </c>
      <c r="Z13" s="312">
        <v>4857.0259771000001</v>
      </c>
      <c r="AA13" s="312">
        <v>5230.5200603000003</v>
      </c>
      <c r="AB13" s="312">
        <v>4726.3318632</v>
      </c>
      <c r="AC13" s="312">
        <v>4844.5155267999999</v>
      </c>
      <c r="AD13" s="312">
        <v>797.83449999999993</v>
      </c>
      <c r="AE13" s="312">
        <v>797.50579999999991</v>
      </c>
      <c r="AF13" s="312">
        <v>942.24636799999996</v>
      </c>
      <c r="AG13" s="312">
        <v>1241.3291179</v>
      </c>
      <c r="AH13" s="312">
        <v>1693.1144000000002</v>
      </c>
      <c r="AI13" s="312">
        <v>2597.0258506</v>
      </c>
      <c r="AJ13" s="312">
        <v>2474.8047723</v>
      </c>
      <c r="AK13" s="312">
        <v>2301.7389137</v>
      </c>
      <c r="AL13" s="312">
        <v>3381.2615658</v>
      </c>
      <c r="AM13" s="312">
        <v>508.33250000000015</v>
      </c>
      <c r="AN13" s="312">
        <v>959.91050000000018</v>
      </c>
      <c r="AO13" s="312">
        <v>994.81115339999997</v>
      </c>
      <c r="AP13" s="312">
        <v>2151.0616559999999</v>
      </c>
      <c r="AQ13" s="312">
        <v>2640.8323</v>
      </c>
      <c r="AR13" s="312">
        <v>2498.2415999999998</v>
      </c>
      <c r="AS13" s="312">
        <v>3672.1408066000004</v>
      </c>
      <c r="AT13" s="312">
        <v>3718.55</v>
      </c>
      <c r="AU13" s="312">
        <v>3334.6212679</v>
      </c>
      <c r="AV13" s="312">
        <v>4516.4490000000005</v>
      </c>
      <c r="AW13" s="312">
        <v>5229.8463999999994</v>
      </c>
      <c r="AX13" s="312">
        <v>5832.1473213999998</v>
      </c>
      <c r="AY13" s="312">
        <v>7633.2798236999997</v>
      </c>
      <c r="AZ13" s="312">
        <v>9445.2178999999996</v>
      </c>
      <c r="BA13" s="312">
        <v>11059.4082468</v>
      </c>
      <c r="BB13" s="312">
        <v>12779.771412800001</v>
      </c>
      <c r="BC13" s="312">
        <v>12569.528217499999</v>
      </c>
      <c r="BD13" s="312">
        <v>13688.592764999999</v>
      </c>
      <c r="BE13" s="321"/>
      <c r="BF13" s="321"/>
    </row>
    <row r="14" spans="1:58" s="323" customFormat="1" x14ac:dyDescent="0.25">
      <c r="A14" s="325">
        <v>7</v>
      </c>
      <c r="B14" s="313" t="s">
        <v>510</v>
      </c>
      <c r="C14" s="312">
        <v>80.509299999999996</v>
      </c>
      <c r="D14" s="312">
        <v>77.927300000000002</v>
      </c>
      <c r="E14" s="312">
        <v>62.36</v>
      </c>
      <c r="F14" s="312">
        <v>49.8</v>
      </c>
      <c r="G14" s="312">
        <v>61.051015194000101</v>
      </c>
      <c r="H14" s="312">
        <v>123.25602100899999</v>
      </c>
      <c r="I14" s="312">
        <v>221.55203671699999</v>
      </c>
      <c r="J14" s="312">
        <v>324.215200348</v>
      </c>
      <c r="K14" s="312" t="s">
        <v>167</v>
      </c>
      <c r="L14" s="312">
        <v>33.518799999999999</v>
      </c>
      <c r="M14" s="312">
        <v>32.059670000000004</v>
      </c>
      <c r="N14" s="312">
        <v>25.92</v>
      </c>
      <c r="O14" s="312">
        <v>24.42</v>
      </c>
      <c r="P14" s="312">
        <v>31.391130196999999</v>
      </c>
      <c r="Q14" s="312">
        <v>52.076551408999997</v>
      </c>
      <c r="R14" s="312">
        <v>81.877245423000005</v>
      </c>
      <c r="S14" s="312">
        <v>75.122733793999998</v>
      </c>
      <c r="T14" s="312" t="s">
        <v>167</v>
      </c>
      <c r="U14" s="312">
        <v>1052.2747999999999</v>
      </c>
      <c r="V14" s="312">
        <v>1093.5249000000001</v>
      </c>
      <c r="W14" s="312">
        <v>1019.9118849</v>
      </c>
      <c r="X14" s="312">
        <v>1104.7</v>
      </c>
      <c r="Y14" s="312">
        <v>1073.874894259</v>
      </c>
      <c r="Z14" s="312">
        <v>1142.999551264</v>
      </c>
      <c r="AA14" s="312">
        <v>1487.7911543759999</v>
      </c>
      <c r="AB14" s="312">
        <v>1368.479937676</v>
      </c>
      <c r="AC14" s="312" t="s">
        <v>167</v>
      </c>
      <c r="AD14" s="312">
        <v>188.25040000000001</v>
      </c>
      <c r="AE14" s="312">
        <v>176.2328</v>
      </c>
      <c r="AF14" s="312">
        <v>99.372838999999999</v>
      </c>
      <c r="AG14" s="312">
        <v>80.84</v>
      </c>
      <c r="AH14" s="312">
        <v>148.6569782</v>
      </c>
      <c r="AI14" s="312">
        <v>333.699753671005</v>
      </c>
      <c r="AJ14" s="312">
        <v>410.312928357001</v>
      </c>
      <c r="AK14" s="312">
        <v>456.78123379300001</v>
      </c>
      <c r="AL14" s="312" t="s">
        <v>167</v>
      </c>
      <c r="AM14" s="312">
        <v>68.60599999999998</v>
      </c>
      <c r="AN14" s="312">
        <v>77.321500000000086</v>
      </c>
      <c r="AO14" s="312">
        <v>66.855276100000196</v>
      </c>
      <c r="AP14" s="312">
        <v>54.329999999999927</v>
      </c>
      <c r="AQ14" s="312">
        <v>438.60700370699999</v>
      </c>
      <c r="AR14" s="312">
        <v>606.01737486299805</v>
      </c>
      <c r="AS14" s="312">
        <v>932.70404734400097</v>
      </c>
      <c r="AT14" s="312">
        <v>935.30501897399995</v>
      </c>
      <c r="AU14" s="312" t="s">
        <v>167</v>
      </c>
      <c r="AV14" s="312">
        <v>1423.1593</v>
      </c>
      <c r="AW14" s="312">
        <v>1457.0661700000003</v>
      </c>
      <c r="AX14" s="312">
        <v>1274.42</v>
      </c>
      <c r="AY14" s="312">
        <v>1314.09</v>
      </c>
      <c r="AZ14" s="312">
        <v>1753.581021557</v>
      </c>
      <c r="BA14" s="312">
        <v>2258.049252216003</v>
      </c>
      <c r="BB14" s="312">
        <v>3134.2374122170017</v>
      </c>
      <c r="BC14" s="312">
        <v>3159.9041245850003</v>
      </c>
      <c r="BD14" s="312" t="s">
        <v>167</v>
      </c>
      <c r="BE14" s="321"/>
      <c r="BF14" s="321"/>
    </row>
    <row r="15" spans="1:58" s="215" customFormat="1" ht="17.25" customHeight="1" x14ac:dyDescent="0.25">
      <c r="A15" s="345">
        <v>8</v>
      </c>
      <c r="B15" s="313" t="s">
        <v>27</v>
      </c>
      <c r="C15" s="312">
        <v>109.90440000000001</v>
      </c>
      <c r="D15" s="312">
        <v>124.34</v>
      </c>
      <c r="E15" s="312">
        <v>204.68355819999999</v>
      </c>
      <c r="F15" s="312">
        <v>234.54526440000001</v>
      </c>
      <c r="G15" s="312">
        <v>325.40758949999997</v>
      </c>
      <c r="H15" s="312">
        <v>264.61455480000001</v>
      </c>
      <c r="I15" s="312">
        <v>339.95931739999997</v>
      </c>
      <c r="J15" s="312">
        <v>444.71069929999999</v>
      </c>
      <c r="K15" s="312">
        <v>495.11021890000001</v>
      </c>
      <c r="L15" s="312">
        <v>64.936700000000002</v>
      </c>
      <c r="M15" s="312">
        <v>64.13</v>
      </c>
      <c r="N15" s="312">
        <v>75.712585700000005</v>
      </c>
      <c r="O15" s="312">
        <v>68.371402000000003</v>
      </c>
      <c r="P15" s="312">
        <v>71.172512900000001</v>
      </c>
      <c r="Q15" s="312">
        <v>74.994422799999995</v>
      </c>
      <c r="R15" s="312">
        <v>89.646450700000003</v>
      </c>
      <c r="S15" s="312">
        <v>78.545567000000005</v>
      </c>
      <c r="T15" s="312">
        <v>94.517141899999999</v>
      </c>
      <c r="U15" s="312">
        <v>1249.7083</v>
      </c>
      <c r="V15" s="312">
        <v>1279.0899999999999</v>
      </c>
      <c r="W15" s="312">
        <v>1667.6105487</v>
      </c>
      <c r="X15" s="312">
        <v>2165.4793754000002</v>
      </c>
      <c r="Y15" s="312">
        <v>2640.7335155000001</v>
      </c>
      <c r="Z15" s="312">
        <v>3001.0789433999998</v>
      </c>
      <c r="AA15" s="312">
        <v>3244.7729687000001</v>
      </c>
      <c r="AB15" s="312">
        <v>3124.8819997000001</v>
      </c>
      <c r="AC15" s="312">
        <v>3427.1261758999999</v>
      </c>
      <c r="AD15" s="312">
        <v>253.61360000000002</v>
      </c>
      <c r="AE15" s="312">
        <v>237.97</v>
      </c>
      <c r="AF15" s="312">
        <v>311.36</v>
      </c>
      <c r="AG15" s="312">
        <v>328.41</v>
      </c>
      <c r="AH15" s="312">
        <v>470.08409999999998</v>
      </c>
      <c r="AI15" s="312">
        <v>558.66</v>
      </c>
      <c r="AJ15" s="312">
        <v>621.43920000000003</v>
      </c>
      <c r="AK15" s="312">
        <v>662.54538739999998</v>
      </c>
      <c r="AL15" s="312">
        <v>691.16541129999996</v>
      </c>
      <c r="AM15" s="312">
        <v>176.95149999999995</v>
      </c>
      <c r="AN15" s="312">
        <v>184.90010000000009</v>
      </c>
      <c r="AO15" s="312">
        <v>192.64</v>
      </c>
      <c r="AP15" s="312">
        <v>336.47</v>
      </c>
      <c r="AQ15" s="312">
        <v>595.17010000000005</v>
      </c>
      <c r="AR15" s="312">
        <v>528.81499999999994</v>
      </c>
      <c r="AS15" s="312">
        <v>102.6753613000003</v>
      </c>
      <c r="AT15" s="312">
        <v>77.524582499999994</v>
      </c>
      <c r="AU15" s="312">
        <v>116.2054978</v>
      </c>
      <c r="AV15" s="312">
        <v>1855.1145000000001</v>
      </c>
      <c r="AW15" s="312">
        <v>1890.4300999999998</v>
      </c>
      <c r="AX15" s="312">
        <v>2452.0066926</v>
      </c>
      <c r="AY15" s="312">
        <v>3133.2760417999998</v>
      </c>
      <c r="AZ15" s="312">
        <v>4102.5678179000006</v>
      </c>
      <c r="BA15" s="312">
        <v>4428.1629209999992</v>
      </c>
      <c r="BB15" s="312">
        <v>4398.4932981000002</v>
      </c>
      <c r="BC15" s="312">
        <v>4388.2082358999996</v>
      </c>
      <c r="BD15" s="312">
        <v>4824.1244458000001</v>
      </c>
      <c r="BE15" s="321"/>
      <c r="BF15" s="321"/>
    </row>
    <row r="16" spans="1:58" s="215" customFormat="1" x14ac:dyDescent="0.25">
      <c r="A16" s="325">
        <v>9</v>
      </c>
      <c r="B16" s="313" t="s">
        <v>31</v>
      </c>
      <c r="C16" s="210">
        <v>0</v>
      </c>
      <c r="D16" s="210">
        <v>0</v>
      </c>
      <c r="E16" s="210">
        <v>0</v>
      </c>
      <c r="F16" s="210">
        <v>0</v>
      </c>
      <c r="G16" s="210">
        <v>0</v>
      </c>
      <c r="H16" s="210">
        <v>1.7067868669999999</v>
      </c>
      <c r="I16" s="210">
        <v>3.6057570000000001</v>
      </c>
      <c r="J16" s="210">
        <v>10.8893649</v>
      </c>
      <c r="K16" s="210">
        <v>17.195980299999999</v>
      </c>
      <c r="L16" s="210">
        <v>0</v>
      </c>
      <c r="M16" s="210">
        <v>0</v>
      </c>
      <c r="N16" s="210">
        <v>0</v>
      </c>
      <c r="O16" s="210">
        <v>0</v>
      </c>
      <c r="P16" s="210">
        <v>0</v>
      </c>
      <c r="Q16" s="210">
        <v>0.27750000000000002</v>
      </c>
      <c r="R16" s="210">
        <v>1.4307213000000001</v>
      </c>
      <c r="S16" s="210">
        <v>5.6320994000000004</v>
      </c>
      <c r="T16" s="210">
        <v>2.9126617000000001</v>
      </c>
      <c r="U16" s="210">
        <v>0</v>
      </c>
      <c r="V16" s="210">
        <v>0</v>
      </c>
      <c r="W16" s="210">
        <v>0</v>
      </c>
      <c r="X16" s="210">
        <v>0</v>
      </c>
      <c r="Y16" s="210">
        <v>0</v>
      </c>
      <c r="Z16" s="210">
        <v>26.896531617000001</v>
      </c>
      <c r="AA16" s="210">
        <v>76.442240499999997</v>
      </c>
      <c r="AB16" s="210">
        <v>111.44165184800001</v>
      </c>
      <c r="AC16" s="210">
        <v>197.478254779</v>
      </c>
      <c r="AD16" s="210">
        <v>0</v>
      </c>
      <c r="AE16" s="210">
        <v>0</v>
      </c>
      <c r="AF16" s="210">
        <v>0</v>
      </c>
      <c r="AG16" s="210">
        <v>0</v>
      </c>
      <c r="AH16" s="210">
        <v>1.1788824</v>
      </c>
      <c r="AI16" s="210">
        <v>63.589122654999997</v>
      </c>
      <c r="AJ16" s="210">
        <v>64.718714216999999</v>
      </c>
      <c r="AK16" s="210">
        <v>88.919414080999999</v>
      </c>
      <c r="AL16" s="210">
        <v>126.401447499</v>
      </c>
      <c r="AM16" s="210">
        <v>0</v>
      </c>
      <c r="AN16" s="210">
        <v>0</v>
      </c>
      <c r="AO16" s="210">
        <v>0</v>
      </c>
      <c r="AP16" s="210">
        <v>0</v>
      </c>
      <c r="AQ16" s="210">
        <v>0.124</v>
      </c>
      <c r="AR16" s="210">
        <v>7.8111290999999999E-2</v>
      </c>
      <c r="AS16" s="210">
        <v>0.16303699999999999</v>
      </c>
      <c r="AT16" s="210">
        <v>1.6914233000000001</v>
      </c>
      <c r="AU16" s="210">
        <v>4.8953088999999999</v>
      </c>
      <c r="AV16" s="210">
        <v>0</v>
      </c>
      <c r="AW16" s="210">
        <v>0</v>
      </c>
      <c r="AX16" s="210">
        <v>0</v>
      </c>
      <c r="AY16" s="210">
        <v>0</v>
      </c>
      <c r="AZ16" s="210">
        <v>1.3028824000000001</v>
      </c>
      <c r="BA16" s="210">
        <v>92.548052429999998</v>
      </c>
      <c r="BB16" s="210">
        <v>146.36047001699998</v>
      </c>
      <c r="BC16" s="210">
        <v>218.57395352899999</v>
      </c>
      <c r="BD16" s="210">
        <v>348.88365317799997</v>
      </c>
      <c r="BE16" s="321"/>
      <c r="BF16" s="321"/>
    </row>
    <row r="17" spans="1:58" s="215" customFormat="1" x14ac:dyDescent="0.25">
      <c r="A17" s="325">
        <v>10</v>
      </c>
      <c r="B17" s="313" t="s">
        <v>33</v>
      </c>
      <c r="C17" s="312">
        <v>117.3845</v>
      </c>
      <c r="D17" s="312">
        <v>133.12</v>
      </c>
      <c r="E17" s="312">
        <v>162.0030424</v>
      </c>
      <c r="F17" s="312">
        <v>189.22109399999999</v>
      </c>
      <c r="G17" s="312">
        <v>241.87633210000001</v>
      </c>
      <c r="H17" s="312">
        <v>255.56866600000001</v>
      </c>
      <c r="I17" s="312">
        <v>344.25209999999998</v>
      </c>
      <c r="J17" s="312">
        <v>443.95508899999999</v>
      </c>
      <c r="K17" s="312">
        <v>456.48957430000002</v>
      </c>
      <c r="L17" s="312">
        <v>51.174399999999999</v>
      </c>
      <c r="M17" s="312">
        <v>57.79</v>
      </c>
      <c r="N17" s="312">
        <v>61.135404399999999</v>
      </c>
      <c r="O17" s="312">
        <v>56.593333999999999</v>
      </c>
      <c r="P17" s="312">
        <v>58.306644900000002</v>
      </c>
      <c r="Q17" s="312">
        <v>70.661804900000007</v>
      </c>
      <c r="R17" s="312">
        <v>64.723632899999998</v>
      </c>
      <c r="S17" s="312">
        <v>63.711163300000003</v>
      </c>
      <c r="T17" s="312">
        <v>84.440312399999996</v>
      </c>
      <c r="U17" s="312">
        <v>706.35029999999995</v>
      </c>
      <c r="V17" s="312">
        <v>828.1</v>
      </c>
      <c r="W17" s="312">
        <v>927.85120640000002</v>
      </c>
      <c r="X17" s="312">
        <v>902.9964119</v>
      </c>
      <c r="Y17" s="312">
        <v>1037.3399635999999</v>
      </c>
      <c r="Z17" s="312">
        <v>1143.4690845</v>
      </c>
      <c r="AA17" s="312">
        <v>1355.4525779999999</v>
      </c>
      <c r="AB17" s="312">
        <v>1351.3831342999999</v>
      </c>
      <c r="AC17" s="312">
        <v>1617.0016952000001</v>
      </c>
      <c r="AD17" s="312">
        <v>182.54690000000002</v>
      </c>
      <c r="AE17" s="312">
        <v>189.3</v>
      </c>
      <c r="AF17" s="312">
        <v>204.04597469999999</v>
      </c>
      <c r="AG17" s="312">
        <v>264.76908300000002</v>
      </c>
      <c r="AH17" s="312">
        <v>337.6666477</v>
      </c>
      <c r="AI17" s="312">
        <v>360.06837719999999</v>
      </c>
      <c r="AJ17" s="312">
        <v>472.92450000000002</v>
      </c>
      <c r="AK17" s="312">
        <v>528.49840700000004</v>
      </c>
      <c r="AL17" s="312">
        <v>669.58481959999995</v>
      </c>
      <c r="AM17" s="312">
        <v>205.09970000000001</v>
      </c>
      <c r="AN17" s="312">
        <v>229.93869999999995</v>
      </c>
      <c r="AO17" s="312">
        <v>200.22515250000001</v>
      </c>
      <c r="AP17" s="312">
        <v>401.91670219999997</v>
      </c>
      <c r="AQ17" s="312">
        <v>231.18539469999999</v>
      </c>
      <c r="AR17" s="312">
        <v>724.16979609999999</v>
      </c>
      <c r="AS17" s="312">
        <v>1180.1414227999994</v>
      </c>
      <c r="AT17" s="312">
        <v>1447.6863776</v>
      </c>
      <c r="AU17" s="312">
        <v>1310.4659317000001</v>
      </c>
      <c r="AV17" s="312">
        <v>1262.5558000000001</v>
      </c>
      <c r="AW17" s="312">
        <v>1438.2487000000001</v>
      </c>
      <c r="AX17" s="312">
        <v>1555.2607803999999</v>
      </c>
      <c r="AY17" s="312">
        <v>1815.4966250999998</v>
      </c>
      <c r="AZ17" s="312">
        <v>1906.3749829999997</v>
      </c>
      <c r="BA17" s="312">
        <v>2553.9377286999998</v>
      </c>
      <c r="BB17" s="312">
        <v>3417.4942336999998</v>
      </c>
      <c r="BC17" s="312">
        <v>3835.2341711999998</v>
      </c>
      <c r="BD17" s="312">
        <v>4137.9823331999996</v>
      </c>
      <c r="BE17" s="321"/>
      <c r="BF17" s="321"/>
    </row>
    <row r="18" spans="1:58" s="215" customFormat="1" x14ac:dyDescent="0.25">
      <c r="A18" s="325">
        <v>11</v>
      </c>
      <c r="B18" s="313" t="s">
        <v>37</v>
      </c>
      <c r="C18" s="210">
        <v>0</v>
      </c>
      <c r="D18" s="210">
        <v>0</v>
      </c>
      <c r="E18" s="210">
        <v>0</v>
      </c>
      <c r="F18" s="210">
        <v>0</v>
      </c>
      <c r="G18" s="210">
        <v>13.745200000000001</v>
      </c>
      <c r="H18" s="210">
        <v>11.2476526</v>
      </c>
      <c r="I18" s="210">
        <v>42.348399999999998</v>
      </c>
      <c r="J18" s="210">
        <v>162.1664959</v>
      </c>
      <c r="K18" s="210">
        <v>260.35534269999999</v>
      </c>
      <c r="L18" s="210">
        <v>0</v>
      </c>
      <c r="M18" s="210">
        <v>0</v>
      </c>
      <c r="N18" s="210">
        <v>0</v>
      </c>
      <c r="O18" s="210">
        <v>0</v>
      </c>
      <c r="P18" s="210">
        <v>1.7347999999999999</v>
      </c>
      <c r="Q18" s="210">
        <v>1.0070007999999999</v>
      </c>
      <c r="R18" s="210">
        <v>1.8640000000000001</v>
      </c>
      <c r="S18" s="210">
        <v>0.98469859999999998</v>
      </c>
      <c r="T18" s="210">
        <v>13.9684966</v>
      </c>
      <c r="U18" s="210"/>
      <c r="V18" s="210"/>
      <c r="W18" s="210"/>
      <c r="X18" s="210"/>
      <c r="Y18" s="210">
        <v>74.705799999999996</v>
      </c>
      <c r="Z18" s="210">
        <v>854.53057969999998</v>
      </c>
      <c r="AA18" s="210">
        <v>1649.51</v>
      </c>
      <c r="AB18" s="210">
        <v>1957.3121902</v>
      </c>
      <c r="AC18" s="210">
        <v>3008.7702408999999</v>
      </c>
      <c r="AD18" s="210">
        <v>0</v>
      </c>
      <c r="AE18" s="210">
        <v>0</v>
      </c>
      <c r="AF18" s="210">
        <v>0</v>
      </c>
      <c r="AG18" s="210">
        <v>0</v>
      </c>
      <c r="AH18" s="210">
        <v>2.9256000000000002</v>
      </c>
      <c r="AI18" s="210">
        <v>15.357431500000001</v>
      </c>
      <c r="AJ18" s="210">
        <v>47.519100000000002</v>
      </c>
      <c r="AK18" s="210">
        <v>214.0371529</v>
      </c>
      <c r="AL18" s="210">
        <v>675.94012069999997</v>
      </c>
      <c r="AM18" s="210">
        <v>0</v>
      </c>
      <c r="AN18" s="210">
        <v>0</v>
      </c>
      <c r="AO18" s="210">
        <v>0</v>
      </c>
      <c r="AP18" s="210">
        <v>0</v>
      </c>
      <c r="AQ18" s="210">
        <v>0.62849999999999995</v>
      </c>
      <c r="AR18" s="210">
        <v>12.673863000000001</v>
      </c>
      <c r="AS18" s="210">
        <v>26.614200000000096</v>
      </c>
      <c r="AT18" s="210">
        <v>83.118731999999994</v>
      </c>
      <c r="AU18" s="210">
        <v>714.90638439999998</v>
      </c>
      <c r="AV18" s="210">
        <v>0</v>
      </c>
      <c r="AW18" s="210">
        <v>0</v>
      </c>
      <c r="AX18" s="210">
        <v>0</v>
      </c>
      <c r="AY18" s="210">
        <v>0</v>
      </c>
      <c r="AZ18" s="210">
        <v>93.739900000000006</v>
      </c>
      <c r="BA18" s="210">
        <v>894.81652759999997</v>
      </c>
      <c r="BB18" s="210">
        <v>1767.8557000000001</v>
      </c>
      <c r="BC18" s="210">
        <v>2417.6192695999998</v>
      </c>
      <c r="BD18" s="210">
        <v>4673.9405852999998</v>
      </c>
      <c r="BE18" s="321"/>
      <c r="BF18" s="321"/>
    </row>
    <row r="19" spans="1:58" s="215" customFormat="1" x14ac:dyDescent="0.25">
      <c r="A19" s="325">
        <v>12</v>
      </c>
      <c r="B19" s="207" t="s">
        <v>108</v>
      </c>
      <c r="C19" s="314">
        <v>320.7319</v>
      </c>
      <c r="D19" s="314">
        <v>374.69</v>
      </c>
      <c r="E19" s="314">
        <v>421.71172767099301</v>
      </c>
      <c r="F19" s="314">
        <v>393.91</v>
      </c>
      <c r="G19" s="314" t="s">
        <v>130</v>
      </c>
      <c r="H19" s="314" t="s">
        <v>130</v>
      </c>
      <c r="I19" s="314" t="s">
        <v>130</v>
      </c>
      <c r="J19" s="314" t="s">
        <v>130</v>
      </c>
      <c r="K19" s="314" t="s">
        <v>130</v>
      </c>
      <c r="L19" s="314">
        <v>87.452900000000014</v>
      </c>
      <c r="M19" s="314">
        <v>106.69</v>
      </c>
      <c r="N19" s="314">
        <v>104.39801563199288</v>
      </c>
      <c r="O19" s="314">
        <v>92.17</v>
      </c>
      <c r="P19" s="314" t="s">
        <v>130</v>
      </c>
      <c r="Q19" s="314" t="s">
        <v>130</v>
      </c>
      <c r="R19" s="314" t="s">
        <v>130</v>
      </c>
      <c r="S19" s="314" t="s">
        <v>130</v>
      </c>
      <c r="T19" s="314" t="s">
        <v>130</v>
      </c>
      <c r="U19" s="314">
        <v>1004.0606</v>
      </c>
      <c r="V19" s="314">
        <v>1051.6500000000001</v>
      </c>
      <c r="W19" s="314">
        <v>1174.3017008499241</v>
      </c>
      <c r="X19" s="314">
        <v>1097.8800000000001</v>
      </c>
      <c r="Y19" s="314" t="s">
        <v>130</v>
      </c>
      <c r="Z19" s="314" t="s">
        <v>130</v>
      </c>
      <c r="AA19" s="314" t="s">
        <v>130</v>
      </c>
      <c r="AB19" s="314" t="s">
        <v>130</v>
      </c>
      <c r="AC19" s="314" t="s">
        <v>130</v>
      </c>
      <c r="AD19" s="314">
        <v>916.22050000000002</v>
      </c>
      <c r="AE19" s="314">
        <v>942.85</v>
      </c>
      <c r="AF19" s="314">
        <v>1092.884322363888</v>
      </c>
      <c r="AG19" s="314">
        <v>921.53</v>
      </c>
      <c r="AH19" s="314" t="s">
        <v>130</v>
      </c>
      <c r="AI19" s="314" t="s">
        <v>130</v>
      </c>
      <c r="AJ19" s="314" t="s">
        <v>130</v>
      </c>
      <c r="AK19" s="314" t="s">
        <v>130</v>
      </c>
      <c r="AL19" s="314" t="s">
        <v>130</v>
      </c>
      <c r="AM19" s="314">
        <v>578.5209000000001</v>
      </c>
      <c r="AN19" s="314">
        <v>706.3257000000001</v>
      </c>
      <c r="AO19" s="314">
        <v>586.25324358420028</v>
      </c>
      <c r="AP19" s="314">
        <v>1458.96</v>
      </c>
      <c r="AQ19" s="314" t="s">
        <v>130</v>
      </c>
      <c r="AR19" s="314" t="s">
        <v>130</v>
      </c>
      <c r="AS19" s="314" t="s">
        <v>130</v>
      </c>
      <c r="AT19" s="314" t="s">
        <v>130</v>
      </c>
      <c r="AU19" s="314" t="s">
        <v>130</v>
      </c>
      <c r="AV19" s="314">
        <v>2906.9868000000001</v>
      </c>
      <c r="AW19" s="314">
        <v>3182.2057000000004</v>
      </c>
      <c r="AX19" s="314">
        <v>3379.5490101009982</v>
      </c>
      <c r="AY19" s="314">
        <v>3964.45</v>
      </c>
      <c r="AZ19" s="314" t="s">
        <v>130</v>
      </c>
      <c r="BA19" s="314" t="s">
        <v>130</v>
      </c>
      <c r="BB19" s="314" t="s">
        <v>130</v>
      </c>
      <c r="BC19" s="314" t="s">
        <v>130</v>
      </c>
      <c r="BD19" s="314" t="s">
        <v>130</v>
      </c>
      <c r="BE19" s="321"/>
      <c r="BF19" s="321"/>
    </row>
    <row r="20" spans="1:58" s="215" customFormat="1" x14ac:dyDescent="0.25">
      <c r="A20" s="325"/>
      <c r="B20" s="207" t="s">
        <v>109</v>
      </c>
      <c r="C20" s="312">
        <v>33.754800000000003</v>
      </c>
      <c r="D20" s="312">
        <v>41.808799999999998</v>
      </c>
      <c r="E20" s="312">
        <v>60.086100000000002</v>
      </c>
      <c r="F20" s="312">
        <v>160.15</v>
      </c>
      <c r="G20" s="312">
        <v>620.02769999999998</v>
      </c>
      <c r="H20" s="312">
        <v>719.65</v>
      </c>
      <c r="I20" s="312">
        <v>979.44500000000005</v>
      </c>
      <c r="J20" s="312">
        <v>1175.1199999999999</v>
      </c>
      <c r="K20" s="312">
        <v>1330.3548237934299</v>
      </c>
      <c r="L20" s="312">
        <v>8.3293999999999997</v>
      </c>
      <c r="M20" s="312">
        <v>9.4581999999999997</v>
      </c>
      <c r="N20" s="312">
        <v>14.4849</v>
      </c>
      <c r="O20" s="312">
        <v>39.700000000000003</v>
      </c>
      <c r="P20" s="312">
        <v>144.59350000000001</v>
      </c>
      <c r="Q20" s="312">
        <v>180.14</v>
      </c>
      <c r="R20" s="312">
        <v>184.4057</v>
      </c>
      <c r="S20" s="312">
        <v>148.88999999999999</v>
      </c>
      <c r="T20" s="312">
        <v>173.444784869318</v>
      </c>
      <c r="U20" s="312">
        <v>137.5257</v>
      </c>
      <c r="V20" s="312">
        <v>204.8648</v>
      </c>
      <c r="W20" s="312">
        <v>301.94431048199999</v>
      </c>
      <c r="X20" s="312">
        <v>725.22</v>
      </c>
      <c r="Y20" s="312">
        <v>2306.6016</v>
      </c>
      <c r="Z20" s="312">
        <v>3059.97</v>
      </c>
      <c r="AA20" s="312">
        <v>3388.0744</v>
      </c>
      <c r="AB20" s="312">
        <v>3406.46</v>
      </c>
      <c r="AC20" s="312">
        <v>3548.99783419307</v>
      </c>
      <c r="AD20" s="312">
        <v>48.694499999999998</v>
      </c>
      <c r="AE20" s="312">
        <v>48.560300000000005</v>
      </c>
      <c r="AF20" s="312">
        <v>68.368899999999996</v>
      </c>
      <c r="AG20" s="312">
        <v>375.22</v>
      </c>
      <c r="AH20" s="312">
        <v>1585.6867</v>
      </c>
      <c r="AI20" s="312">
        <v>1973.1731</v>
      </c>
      <c r="AJ20" s="312">
        <v>1939.7845</v>
      </c>
      <c r="AK20" s="312">
        <v>4281.6000000000004</v>
      </c>
      <c r="AL20" s="312">
        <v>4940.6535845696799</v>
      </c>
      <c r="AM20" s="312">
        <v>25.476499999999987</v>
      </c>
      <c r="AN20" s="312">
        <v>27.019299999999983</v>
      </c>
      <c r="AO20" s="312">
        <v>28.507100000000001</v>
      </c>
      <c r="AP20" s="312">
        <v>923.86999999999989</v>
      </c>
      <c r="AQ20" s="312">
        <v>2633.0601999999999</v>
      </c>
      <c r="AR20" s="312">
        <v>2679.9169000000006</v>
      </c>
      <c r="AS20" s="312">
        <v>2816.6877000000009</v>
      </c>
      <c r="AT20" s="312">
        <v>3283.0299999999997</v>
      </c>
      <c r="AU20" s="312">
        <v>3504.0997184825001</v>
      </c>
      <c r="AV20" s="312">
        <v>253.78089999999997</v>
      </c>
      <c r="AW20" s="312">
        <v>331.71139999999997</v>
      </c>
      <c r="AX20" s="312">
        <v>473.39131048199999</v>
      </c>
      <c r="AY20" s="312">
        <v>2224.16</v>
      </c>
      <c r="AZ20" s="312">
        <v>7289.9696999999996</v>
      </c>
      <c r="BA20" s="312">
        <v>8612.85</v>
      </c>
      <c r="BB20" s="312">
        <v>9308.3973000000005</v>
      </c>
      <c r="BC20" s="312">
        <v>12295.099999999999</v>
      </c>
      <c r="BD20" s="312">
        <v>13497.550745907996</v>
      </c>
      <c r="BE20" s="321"/>
      <c r="BF20" s="321"/>
    </row>
    <row r="21" spans="1:58" s="215" customFormat="1" x14ac:dyDescent="0.25">
      <c r="A21" s="325">
        <v>13</v>
      </c>
      <c r="B21" s="215" t="s">
        <v>42</v>
      </c>
      <c r="C21" s="312">
        <v>487.0154</v>
      </c>
      <c r="D21" s="312">
        <v>544.74</v>
      </c>
      <c r="E21" s="312">
        <v>632.70290809999995</v>
      </c>
      <c r="F21" s="312">
        <v>744.64492059999998</v>
      </c>
      <c r="G21" s="312">
        <v>916.50350360000004</v>
      </c>
      <c r="H21" s="312">
        <v>1084.58</v>
      </c>
      <c r="I21" s="312">
        <v>1550.1797999999999</v>
      </c>
      <c r="J21" s="312">
        <v>2157.79</v>
      </c>
      <c r="K21" s="312">
        <v>2749.52</v>
      </c>
      <c r="L21" s="312">
        <v>251.76169999999999</v>
      </c>
      <c r="M21" s="312">
        <v>246.43</v>
      </c>
      <c r="N21" s="312">
        <v>299.80262699999997</v>
      </c>
      <c r="O21" s="312">
        <v>341.05373830000002</v>
      </c>
      <c r="P21" s="312">
        <v>366.19394080000001</v>
      </c>
      <c r="Q21" s="312">
        <v>443.68329460000001</v>
      </c>
      <c r="R21" s="312">
        <v>484.58840099999998</v>
      </c>
      <c r="S21" s="312">
        <v>478.72733349999999</v>
      </c>
      <c r="T21" s="312">
        <v>625.04</v>
      </c>
      <c r="U21" s="312">
        <v>3213.8002000000001</v>
      </c>
      <c r="V21" s="312">
        <v>3415.81</v>
      </c>
      <c r="W21" s="312">
        <v>4149.8101260000003</v>
      </c>
      <c r="X21" s="312">
        <v>4541.8055526999997</v>
      </c>
      <c r="Y21" s="312">
        <v>5249.4684445000003</v>
      </c>
      <c r="Z21" s="312">
        <v>6423.5301687000001</v>
      </c>
      <c r="AA21" s="312">
        <v>6787.6317523999996</v>
      </c>
      <c r="AB21" s="312">
        <v>7019.9234051000003</v>
      </c>
      <c r="AC21" s="312">
        <v>8280.09</v>
      </c>
      <c r="AD21" s="312">
        <v>1683.7878000000001</v>
      </c>
      <c r="AE21" s="312">
        <v>1550.49</v>
      </c>
      <c r="AF21" s="312">
        <v>1662.8373951000001</v>
      </c>
      <c r="AG21" s="312">
        <v>2025.3990145</v>
      </c>
      <c r="AH21" s="312">
        <v>2301.8674098000001</v>
      </c>
      <c r="AI21" s="312">
        <v>2796.3174999999997</v>
      </c>
      <c r="AJ21" s="312">
        <v>3331.9976362000002</v>
      </c>
      <c r="AK21" s="312">
        <v>3021.3490867999999</v>
      </c>
      <c r="AL21" s="312">
        <v>4006.91</v>
      </c>
      <c r="AM21" s="312">
        <v>1219.7993999999997</v>
      </c>
      <c r="AN21" s="312">
        <v>920.3304000000004</v>
      </c>
      <c r="AO21" s="312">
        <v>1345.5540636000001</v>
      </c>
      <c r="AP21" s="312">
        <v>3072.2927958</v>
      </c>
      <c r="AQ21" s="312">
        <v>3522.8213047999998</v>
      </c>
      <c r="AR21" s="312">
        <v>3740.1095</v>
      </c>
      <c r="AS21" s="312">
        <v>1158.4457295000011</v>
      </c>
      <c r="AT21" s="312">
        <v>1325.3</v>
      </c>
      <c r="AU21" s="312">
        <v>2315.31</v>
      </c>
      <c r="AV21" s="312">
        <v>6856.1645000000008</v>
      </c>
      <c r="AW21" s="312">
        <v>6677.8004000000001</v>
      </c>
      <c r="AX21" s="312">
        <v>8090.7071198000012</v>
      </c>
      <c r="AY21" s="312">
        <v>10725.196021899999</v>
      </c>
      <c r="AZ21" s="312">
        <v>12356.8546035</v>
      </c>
      <c r="BA21" s="312">
        <v>14488.2204633</v>
      </c>
      <c r="BB21" s="312">
        <v>13312.8433191</v>
      </c>
      <c r="BC21" s="312">
        <v>14003.089825399999</v>
      </c>
      <c r="BD21" s="312">
        <v>17976.87</v>
      </c>
      <c r="BE21" s="321"/>
      <c r="BF21" s="321"/>
    </row>
    <row r="22" spans="1:58" s="215" customFormat="1" x14ac:dyDescent="0.25">
      <c r="A22" s="325">
        <v>14</v>
      </c>
      <c r="B22" s="315" t="s">
        <v>45</v>
      </c>
      <c r="C22" s="210">
        <v>213.42740000000001</v>
      </c>
      <c r="D22" s="210">
        <v>232.4</v>
      </c>
      <c r="E22" s="210">
        <v>265.9496383</v>
      </c>
      <c r="F22" s="210">
        <v>276.74782529999999</v>
      </c>
      <c r="G22" s="210">
        <v>275.33044089999999</v>
      </c>
      <c r="H22" s="210">
        <v>327.70057109999999</v>
      </c>
      <c r="I22" s="210">
        <v>530.91</v>
      </c>
      <c r="J22" s="210">
        <v>814.95810719999997</v>
      </c>
      <c r="K22" s="210">
        <v>924.71780560000002</v>
      </c>
      <c r="L22" s="210">
        <v>117.4105</v>
      </c>
      <c r="M22" s="210">
        <v>113.94</v>
      </c>
      <c r="N22" s="210">
        <v>116.7348289</v>
      </c>
      <c r="O22" s="210">
        <v>128.82180890000001</v>
      </c>
      <c r="P22" s="210">
        <v>145.52010469999999</v>
      </c>
      <c r="Q22" s="210">
        <v>160.15955460000001</v>
      </c>
      <c r="R22" s="210">
        <v>176.79320000000001</v>
      </c>
      <c r="S22" s="210">
        <v>156.01244500000001</v>
      </c>
      <c r="T22" s="210">
        <v>252.18812070000001</v>
      </c>
      <c r="U22" s="210">
        <v>1761.7265</v>
      </c>
      <c r="V22" s="210">
        <v>2141.9699999999998</v>
      </c>
      <c r="W22" s="210">
        <v>2407.1433253</v>
      </c>
      <c r="X22" s="210">
        <v>2973.3083738</v>
      </c>
      <c r="Y22" s="210">
        <v>3002.3768894</v>
      </c>
      <c r="Z22" s="210">
        <v>3261.2548194999999</v>
      </c>
      <c r="AA22" s="210">
        <v>3526.7069000000001</v>
      </c>
      <c r="AB22" s="210">
        <v>3721.1341785999998</v>
      </c>
      <c r="AC22" s="210">
        <v>3702.6454757000001</v>
      </c>
      <c r="AD22" s="210">
        <v>315.81619999999998</v>
      </c>
      <c r="AE22" s="210">
        <v>390.38629999999995</v>
      </c>
      <c r="AF22" s="210">
        <v>481.77805690000002</v>
      </c>
      <c r="AG22" s="210">
        <v>569.91820250000001</v>
      </c>
      <c r="AH22" s="210">
        <v>750.08521099999996</v>
      </c>
      <c r="AI22" s="210">
        <v>928.70841970000004</v>
      </c>
      <c r="AJ22" s="210">
        <v>1409.7530000000002</v>
      </c>
      <c r="AK22" s="210">
        <v>1664.2419818999999</v>
      </c>
      <c r="AL22" s="210">
        <v>1859.5649346</v>
      </c>
      <c r="AM22" s="210">
        <v>522.54230000000007</v>
      </c>
      <c r="AN22" s="210">
        <v>451.26909999999981</v>
      </c>
      <c r="AO22" s="210">
        <v>419.7258104</v>
      </c>
      <c r="AP22" s="210">
        <v>1614.90634</v>
      </c>
      <c r="AQ22" s="210">
        <v>1458.5789334999999</v>
      </c>
      <c r="AR22" s="210">
        <v>2324.0204198000001</v>
      </c>
      <c r="AS22" s="210">
        <v>2316.8772999999992</v>
      </c>
      <c r="AT22" s="210">
        <v>2054.5366930999999</v>
      </c>
      <c r="AU22" s="210">
        <v>1713.7929687999999</v>
      </c>
      <c r="AV22" s="210">
        <v>2930.9228999999996</v>
      </c>
      <c r="AW22" s="210">
        <v>3329.9653999999996</v>
      </c>
      <c r="AX22" s="210">
        <v>3691.3316598000001</v>
      </c>
      <c r="AY22" s="210">
        <v>5563.7025505000001</v>
      </c>
      <c r="AZ22" s="210">
        <v>5631.8915794999994</v>
      </c>
      <c r="BA22" s="210">
        <v>7001.8437847000005</v>
      </c>
      <c r="BB22" s="210">
        <v>7961.040399999999</v>
      </c>
      <c r="BC22" s="210">
        <v>8410.8834057999993</v>
      </c>
      <c r="BD22" s="210">
        <v>8452.9093054000004</v>
      </c>
      <c r="BE22" s="321"/>
      <c r="BF22" s="321"/>
    </row>
    <row r="23" spans="1:58" s="215" customFormat="1" x14ac:dyDescent="0.25">
      <c r="A23" s="325">
        <v>15</v>
      </c>
      <c r="B23" s="313" t="s">
        <v>49</v>
      </c>
      <c r="C23" s="312">
        <v>0</v>
      </c>
      <c r="D23" s="312">
        <v>0</v>
      </c>
      <c r="E23" s="312">
        <v>0</v>
      </c>
      <c r="F23" s="312">
        <v>0.92806129999999998</v>
      </c>
      <c r="G23" s="312">
        <v>8.1556072999999998</v>
      </c>
      <c r="H23" s="312">
        <v>16.225449300000001</v>
      </c>
      <c r="I23" s="312">
        <v>35.069277300000003</v>
      </c>
      <c r="J23" s="312">
        <v>35.470102900000001</v>
      </c>
      <c r="K23" s="312">
        <v>50.948829199999999</v>
      </c>
      <c r="L23" s="312">
        <v>0</v>
      </c>
      <c r="M23" s="312">
        <v>0</v>
      </c>
      <c r="N23" s="312">
        <v>0</v>
      </c>
      <c r="O23" s="312">
        <v>0</v>
      </c>
      <c r="P23" s="312">
        <v>0</v>
      </c>
      <c r="Q23" s="312">
        <v>0</v>
      </c>
      <c r="R23" s="312">
        <v>0</v>
      </c>
      <c r="S23" s="312">
        <v>9.2628299999999997E-2</v>
      </c>
      <c r="T23" s="312">
        <v>4.9028169999999998</v>
      </c>
      <c r="U23" s="312">
        <v>0</v>
      </c>
      <c r="V23" s="312">
        <v>0</v>
      </c>
      <c r="W23" s="312">
        <v>3.6232090000000001</v>
      </c>
      <c r="X23" s="312">
        <v>68.925195799999997</v>
      </c>
      <c r="Y23" s="312">
        <v>139.37070800000001</v>
      </c>
      <c r="Z23" s="312">
        <v>197.60011840000001</v>
      </c>
      <c r="AA23" s="312">
        <v>249.78826849999999</v>
      </c>
      <c r="AB23" s="312">
        <v>286.30826969999998</v>
      </c>
      <c r="AC23" s="312">
        <v>388.02583870000001</v>
      </c>
      <c r="AD23" s="312">
        <v>0</v>
      </c>
      <c r="AE23" s="312">
        <v>0</v>
      </c>
      <c r="AF23" s="312">
        <v>8.56962E-2</v>
      </c>
      <c r="AG23" s="312">
        <v>12.1943389</v>
      </c>
      <c r="AH23" s="312">
        <v>32.380375700000002</v>
      </c>
      <c r="AI23" s="312">
        <v>75.740837900000002</v>
      </c>
      <c r="AJ23" s="312">
        <v>133.50999949999999</v>
      </c>
      <c r="AK23" s="312">
        <v>207.71072129999999</v>
      </c>
      <c r="AL23" s="312">
        <v>275.5331837</v>
      </c>
      <c r="AM23" s="312">
        <v>0</v>
      </c>
      <c r="AN23" s="312">
        <v>0</v>
      </c>
      <c r="AO23" s="312">
        <v>0</v>
      </c>
      <c r="AP23" s="312">
        <v>5.2995000000000004E-3</v>
      </c>
      <c r="AQ23" s="312">
        <v>5.4847600999999999</v>
      </c>
      <c r="AR23" s="312">
        <v>11.543570000000001</v>
      </c>
      <c r="AS23" s="312">
        <v>15.023232200000001</v>
      </c>
      <c r="AT23" s="312">
        <v>14.410600499999999</v>
      </c>
      <c r="AU23" s="312">
        <v>23.057912999999999</v>
      </c>
      <c r="AV23" s="312">
        <v>0</v>
      </c>
      <c r="AW23" s="312">
        <v>0</v>
      </c>
      <c r="AX23" s="312">
        <v>3.7089052000000002</v>
      </c>
      <c r="AY23" s="312">
        <v>82.052895500000005</v>
      </c>
      <c r="AZ23" s="312">
        <v>185.39145110000001</v>
      </c>
      <c r="BA23" s="312">
        <v>301.10997560000004</v>
      </c>
      <c r="BB23" s="312">
        <v>433.39077749999996</v>
      </c>
      <c r="BC23" s="312">
        <v>543.99232270000005</v>
      </c>
      <c r="BD23" s="312">
        <v>742.46858159999999</v>
      </c>
      <c r="BE23" s="321"/>
      <c r="BF23" s="321"/>
    </row>
    <row r="24" spans="1:58" s="215" customFormat="1" x14ac:dyDescent="0.25">
      <c r="A24" s="325">
        <v>16</v>
      </c>
      <c r="B24" s="215" t="s">
        <v>52</v>
      </c>
      <c r="C24" s="312">
        <v>9.4700000000000006</v>
      </c>
      <c r="D24" s="312">
        <v>19.41</v>
      </c>
      <c r="E24" s="312">
        <v>27.79959878</v>
      </c>
      <c r="F24" s="312">
        <v>29.550353131000001</v>
      </c>
      <c r="G24" s="312">
        <v>44.252499999999998</v>
      </c>
      <c r="H24" s="312">
        <v>39.130382457000003</v>
      </c>
      <c r="I24" s="312">
        <v>77.911730914000003</v>
      </c>
      <c r="J24" s="312">
        <v>97.897833778000006</v>
      </c>
      <c r="K24" s="312">
        <v>92.127800043999997</v>
      </c>
      <c r="L24" s="312">
        <v>1.1179000000000001</v>
      </c>
      <c r="M24" s="312">
        <v>3.67</v>
      </c>
      <c r="N24" s="312">
        <v>7.968260495</v>
      </c>
      <c r="O24" s="312">
        <v>12.973151861</v>
      </c>
      <c r="P24" s="312">
        <v>20.287099999999999</v>
      </c>
      <c r="Q24" s="312">
        <v>24.336111127999999</v>
      </c>
      <c r="R24" s="312">
        <v>27.244406999999999</v>
      </c>
      <c r="S24" s="312">
        <v>30.240298299999999</v>
      </c>
      <c r="T24" s="312">
        <v>39.121949999999998</v>
      </c>
      <c r="U24" s="312">
        <v>97.005400000000009</v>
      </c>
      <c r="V24" s="312">
        <v>192.16</v>
      </c>
      <c r="W24" s="312">
        <v>274.46566629599999</v>
      </c>
      <c r="X24" s="312">
        <v>409.08148262199995</v>
      </c>
      <c r="Y24" s="312">
        <v>553.77750000000003</v>
      </c>
      <c r="Z24" s="312">
        <v>754.70269082100003</v>
      </c>
      <c r="AA24" s="312">
        <v>1046.8829070209999</v>
      </c>
      <c r="AB24" s="312">
        <v>952.71821662299999</v>
      </c>
      <c r="AC24" s="312">
        <v>994.97420751799996</v>
      </c>
      <c r="AD24" s="312">
        <v>14.135199999999999</v>
      </c>
      <c r="AE24" s="312">
        <v>54.05</v>
      </c>
      <c r="AF24" s="312">
        <v>69.853566165999993</v>
      </c>
      <c r="AG24" s="312">
        <v>95.787680336000008</v>
      </c>
      <c r="AH24" s="312">
        <v>136.12799999999999</v>
      </c>
      <c r="AI24" s="312">
        <v>217.267613936</v>
      </c>
      <c r="AJ24" s="312">
        <v>274.02935199699999</v>
      </c>
      <c r="AK24" s="312">
        <v>248.28999018900001</v>
      </c>
      <c r="AL24" s="312">
        <v>274.627744554</v>
      </c>
      <c r="AM24" s="312">
        <v>8.0912999999999968</v>
      </c>
      <c r="AN24" s="312">
        <v>14.57</v>
      </c>
      <c r="AO24" s="312">
        <v>28.629571187</v>
      </c>
      <c r="AP24" s="312">
        <v>37.199541703999998</v>
      </c>
      <c r="AQ24" s="312">
        <v>62.085299999999997</v>
      </c>
      <c r="AR24" s="312">
        <v>89.723427082000001</v>
      </c>
      <c r="AS24" s="312">
        <v>105.298170439</v>
      </c>
      <c r="AT24" s="312">
        <v>116.565310815</v>
      </c>
      <c r="AU24" s="312">
        <v>105.604115057</v>
      </c>
      <c r="AV24" s="312">
        <v>129.81980000000001</v>
      </c>
      <c r="AW24" s="312">
        <v>283.86</v>
      </c>
      <c r="AX24" s="312">
        <v>408.71666292399999</v>
      </c>
      <c r="AY24" s="312">
        <v>584.59220965399993</v>
      </c>
      <c r="AZ24" s="312">
        <v>816.53039999999987</v>
      </c>
      <c r="BA24" s="312">
        <v>1125.1602254239999</v>
      </c>
      <c r="BB24" s="312">
        <v>1531.366567371</v>
      </c>
      <c r="BC24" s="312">
        <v>1445.7116497050001</v>
      </c>
      <c r="BD24" s="312">
        <v>1506.4558171729998</v>
      </c>
      <c r="BE24" s="321"/>
      <c r="BF24" s="321"/>
    </row>
    <row r="25" spans="1:58" s="215" customFormat="1" x14ac:dyDescent="0.25">
      <c r="A25" s="325">
        <v>17</v>
      </c>
      <c r="B25" s="313" t="s">
        <v>56</v>
      </c>
      <c r="C25" s="312">
        <v>15.5732</v>
      </c>
      <c r="D25" s="312">
        <v>29.78</v>
      </c>
      <c r="E25" s="312">
        <v>29.128214700000001</v>
      </c>
      <c r="F25" s="312">
        <v>30.658313349</v>
      </c>
      <c r="G25" s="312">
        <v>43.468899999999998</v>
      </c>
      <c r="H25" s="312">
        <v>72.571568499999998</v>
      </c>
      <c r="I25" s="312">
        <v>78.419383199999999</v>
      </c>
      <c r="J25" s="312">
        <v>144.49903689999999</v>
      </c>
      <c r="K25" s="312">
        <v>229.7802241</v>
      </c>
      <c r="L25" s="312">
        <v>5.9408000000000003</v>
      </c>
      <c r="M25" s="312">
        <v>10.81</v>
      </c>
      <c r="N25" s="312">
        <v>12.3869922</v>
      </c>
      <c r="O25" s="312">
        <v>15.225119096</v>
      </c>
      <c r="P25" s="312">
        <v>19.109400000000001</v>
      </c>
      <c r="Q25" s="312">
        <v>21.668959600000001</v>
      </c>
      <c r="R25" s="312">
        <v>21.160888799999999</v>
      </c>
      <c r="S25" s="312">
        <v>21.4304284</v>
      </c>
      <c r="T25" s="312">
        <v>23.9138205</v>
      </c>
      <c r="U25" s="312">
        <v>388.48650000000004</v>
      </c>
      <c r="V25" s="312">
        <v>401.19</v>
      </c>
      <c r="W25" s="312">
        <v>334.48232330000002</v>
      </c>
      <c r="X25" s="312">
        <v>340.31313246100001</v>
      </c>
      <c r="Y25" s="312">
        <v>413.4228</v>
      </c>
      <c r="Z25" s="312">
        <v>746.54730089999998</v>
      </c>
      <c r="AA25" s="312">
        <v>1029.1279575000001</v>
      </c>
      <c r="AB25" s="312">
        <v>968.53858820000005</v>
      </c>
      <c r="AC25" s="312">
        <v>1316.0155557</v>
      </c>
      <c r="AD25" s="312">
        <v>0.15390000000000001</v>
      </c>
      <c r="AE25" s="312">
        <v>1.34</v>
      </c>
      <c r="AF25" s="312">
        <v>1.76576</v>
      </c>
      <c r="AG25" s="312">
        <v>2.91486942</v>
      </c>
      <c r="AH25" s="312">
        <v>19.918399999999998</v>
      </c>
      <c r="AI25" s="312">
        <v>85.138477899999998</v>
      </c>
      <c r="AJ25" s="312">
        <v>52.020795100000001</v>
      </c>
      <c r="AK25" s="312">
        <v>80.620814800000005</v>
      </c>
      <c r="AL25" s="312">
        <v>112.8845814</v>
      </c>
      <c r="AM25" s="312">
        <v>14.776200000000019</v>
      </c>
      <c r="AN25" s="312">
        <v>30.477200000000011</v>
      </c>
      <c r="AO25" s="312">
        <v>26.178834800000001</v>
      </c>
      <c r="AP25" s="312">
        <v>30.380088220000005</v>
      </c>
      <c r="AQ25" s="312">
        <v>30.774799999999999</v>
      </c>
      <c r="AR25" s="312">
        <v>44.185161299999997</v>
      </c>
      <c r="AS25" s="312">
        <v>44.042025299999999</v>
      </c>
      <c r="AT25" s="312">
        <v>68.503662899999995</v>
      </c>
      <c r="AU25" s="312">
        <v>74.571222800000001</v>
      </c>
      <c r="AV25" s="312">
        <v>424.93060000000003</v>
      </c>
      <c r="AW25" s="312">
        <v>473.59720000000004</v>
      </c>
      <c r="AX25" s="312">
        <v>403.94212500000003</v>
      </c>
      <c r="AY25" s="312">
        <v>419.491522546</v>
      </c>
      <c r="AZ25" s="312">
        <v>526.6943</v>
      </c>
      <c r="BA25" s="312">
        <v>970.11146819999999</v>
      </c>
      <c r="BB25" s="312">
        <v>1224.7710499</v>
      </c>
      <c r="BC25" s="312">
        <v>1283.5925311999999</v>
      </c>
      <c r="BD25" s="312">
        <v>1757.1654045000002</v>
      </c>
      <c r="BE25" s="321"/>
      <c r="BF25" s="321"/>
    </row>
    <row r="26" spans="1:58" s="215" customFormat="1" x14ac:dyDescent="0.25">
      <c r="A26" s="325">
        <v>18</v>
      </c>
      <c r="B26" s="215" t="s">
        <v>110</v>
      </c>
      <c r="C26" s="210">
        <v>0</v>
      </c>
      <c r="D26" s="210">
        <v>0</v>
      </c>
      <c r="E26" s="210">
        <v>0</v>
      </c>
      <c r="F26" s="210">
        <v>0</v>
      </c>
      <c r="G26" s="210">
        <v>60.845576647000001</v>
      </c>
      <c r="H26" s="210">
        <v>94.634740484999995</v>
      </c>
      <c r="I26" s="210">
        <v>24.127218850999999</v>
      </c>
      <c r="J26" s="210">
        <v>30.680757717999999</v>
      </c>
      <c r="K26" s="210">
        <v>18.59</v>
      </c>
      <c r="L26" s="210">
        <v>0</v>
      </c>
      <c r="M26" s="210">
        <v>0</v>
      </c>
      <c r="N26" s="210">
        <v>0</v>
      </c>
      <c r="O26" s="210">
        <v>0</v>
      </c>
      <c r="P26" s="210">
        <v>0</v>
      </c>
      <c r="Q26" s="210">
        <v>0</v>
      </c>
      <c r="R26" s="210">
        <v>0</v>
      </c>
      <c r="S26" s="210">
        <v>0</v>
      </c>
      <c r="T26" s="210"/>
      <c r="U26" s="210">
        <v>0</v>
      </c>
      <c r="V26" s="210">
        <v>0</v>
      </c>
      <c r="W26" s="210">
        <v>0</v>
      </c>
      <c r="X26" s="210">
        <v>0</v>
      </c>
      <c r="Y26" s="210">
        <v>0</v>
      </c>
      <c r="Z26" s="210">
        <v>21.109379067999999</v>
      </c>
      <c r="AA26" s="210">
        <v>88.028403612999995</v>
      </c>
      <c r="AB26" s="210">
        <v>41.819045123000002</v>
      </c>
      <c r="AC26" s="210">
        <v>43</v>
      </c>
      <c r="AD26" s="210">
        <v>0</v>
      </c>
      <c r="AE26" s="210">
        <v>0</v>
      </c>
      <c r="AF26" s="210">
        <v>0</v>
      </c>
      <c r="AG26" s="210">
        <v>0</v>
      </c>
      <c r="AH26" s="210">
        <v>80.228783762999996</v>
      </c>
      <c r="AI26" s="210">
        <v>126.013701372</v>
      </c>
      <c r="AJ26" s="210">
        <v>38.737369219000001</v>
      </c>
      <c r="AK26" s="210">
        <v>25.818445655000001</v>
      </c>
      <c r="AL26" s="210">
        <v>42.46</v>
      </c>
      <c r="AM26" s="210">
        <v>0</v>
      </c>
      <c r="AN26" s="210">
        <v>0</v>
      </c>
      <c r="AO26" s="210">
        <v>0</v>
      </c>
      <c r="AP26" s="210">
        <v>0</v>
      </c>
      <c r="AQ26" s="210">
        <v>0</v>
      </c>
      <c r="AR26" s="210">
        <v>1.310014574</v>
      </c>
      <c r="AS26" s="210">
        <v>7.0987136509999997</v>
      </c>
      <c r="AT26" s="210">
        <v>6.0814473380000003</v>
      </c>
      <c r="AU26" s="210">
        <v>2.52</v>
      </c>
      <c r="AV26" s="210">
        <v>0</v>
      </c>
      <c r="AW26" s="210">
        <v>0</v>
      </c>
      <c r="AX26" s="210">
        <v>0</v>
      </c>
      <c r="AY26" s="210">
        <v>0</v>
      </c>
      <c r="AZ26" s="210">
        <v>141.07436041</v>
      </c>
      <c r="BA26" s="210">
        <v>243.06783549899998</v>
      </c>
      <c r="BB26" s="210">
        <v>157.99170533399999</v>
      </c>
      <c r="BC26" s="210">
        <v>104.39969583400001</v>
      </c>
      <c r="BD26" s="210">
        <v>106.57000000000001</v>
      </c>
      <c r="BE26" s="321"/>
      <c r="BF26" s="321"/>
    </row>
    <row r="27" spans="1:58" s="215" customFormat="1" x14ac:dyDescent="0.25">
      <c r="A27" s="325">
        <v>19</v>
      </c>
      <c r="B27" s="313" t="s">
        <v>60</v>
      </c>
      <c r="C27" s="312">
        <v>0.45590000000000003</v>
      </c>
      <c r="D27" s="312">
        <v>0.62</v>
      </c>
      <c r="E27" s="312">
        <v>0.76859409999999995</v>
      </c>
      <c r="F27" s="312">
        <v>1.8247282</v>
      </c>
      <c r="G27" s="312">
        <v>2.7271999999999998</v>
      </c>
      <c r="H27" s="312">
        <v>2.4189199000000001</v>
      </c>
      <c r="I27" s="312">
        <v>3.6510625999999999</v>
      </c>
      <c r="J27" s="312">
        <v>11.7875593</v>
      </c>
      <c r="K27" s="312">
        <v>15.0800391</v>
      </c>
      <c r="L27" s="312">
        <v>6.8999999999999999E-3</v>
      </c>
      <c r="M27" s="312">
        <v>0</v>
      </c>
      <c r="N27" s="312">
        <v>3.2318199999999998E-2</v>
      </c>
      <c r="O27" s="312">
        <v>2.9999899999999999E-2</v>
      </c>
      <c r="P27" s="312">
        <v>5.4100000000000002E-2</v>
      </c>
      <c r="Q27" s="312">
        <v>8.3365999999999996E-2</v>
      </c>
      <c r="R27" s="312">
        <v>1.4259600000000001E-2</v>
      </c>
      <c r="S27" s="312">
        <v>0.24644060000000001</v>
      </c>
      <c r="T27" s="312">
        <v>1.37263E-2</v>
      </c>
      <c r="U27" s="312">
        <v>0.64739999999999998</v>
      </c>
      <c r="V27" s="312">
        <v>0.42</v>
      </c>
      <c r="W27" s="312">
        <v>5.4281955000000002</v>
      </c>
      <c r="X27" s="312">
        <v>28.923517100000002</v>
      </c>
      <c r="Y27" s="312">
        <v>51.829599999999999</v>
      </c>
      <c r="Z27" s="312">
        <v>76.957329700000003</v>
      </c>
      <c r="AA27" s="312">
        <v>103.7514202</v>
      </c>
      <c r="AB27" s="312">
        <v>173.87890429999999</v>
      </c>
      <c r="AC27" s="312">
        <v>277.35785429999999</v>
      </c>
      <c r="AD27" s="312">
        <v>0.47110000000000002</v>
      </c>
      <c r="AE27" s="312">
        <v>0.32</v>
      </c>
      <c r="AF27" s="312">
        <v>0.15408910000000001</v>
      </c>
      <c r="AG27" s="312">
        <v>0.3772276</v>
      </c>
      <c r="AH27" s="312">
        <v>0.2238</v>
      </c>
      <c r="AI27" s="312">
        <v>0.4209408</v>
      </c>
      <c r="AJ27" s="312">
        <v>0.89764900000000003</v>
      </c>
      <c r="AK27" s="312">
        <v>22.761907900000001</v>
      </c>
      <c r="AL27" s="312">
        <v>5.0585946000000002</v>
      </c>
      <c r="AM27" s="312">
        <v>21.654900000000001</v>
      </c>
      <c r="AN27" s="312">
        <v>20.27</v>
      </c>
      <c r="AO27" s="312">
        <v>22.375998500000001</v>
      </c>
      <c r="AP27" s="312">
        <v>27.7607146</v>
      </c>
      <c r="AQ27" s="312">
        <v>28.6158</v>
      </c>
      <c r="AR27" s="312">
        <v>36.083670099999999</v>
      </c>
      <c r="AS27" s="312">
        <v>49.807229100000001</v>
      </c>
      <c r="AT27" s="312">
        <v>63.540383400000003</v>
      </c>
      <c r="AU27" s="312">
        <v>78.314903799999996</v>
      </c>
      <c r="AV27" s="312">
        <v>23.236200000000004</v>
      </c>
      <c r="AW27" s="312">
        <v>21.630000000000003</v>
      </c>
      <c r="AX27" s="312">
        <v>28.759195400000003</v>
      </c>
      <c r="AY27" s="312">
        <v>58.916187399999998</v>
      </c>
      <c r="AZ27" s="312">
        <v>83.450500000000005</v>
      </c>
      <c r="BA27" s="312">
        <v>115.9642265</v>
      </c>
      <c r="BB27" s="312">
        <v>158.12162050000001</v>
      </c>
      <c r="BC27" s="312">
        <v>272.21519549999999</v>
      </c>
      <c r="BD27" s="312">
        <v>375.82511809999994</v>
      </c>
      <c r="BE27" s="321"/>
      <c r="BF27" s="321"/>
    </row>
    <row r="28" spans="1:58" s="215" customFormat="1" x14ac:dyDescent="0.25">
      <c r="A28" s="325">
        <v>20</v>
      </c>
      <c r="B28" s="215" t="s">
        <v>63</v>
      </c>
      <c r="C28" s="312">
        <v>177.9633</v>
      </c>
      <c r="D28" s="312">
        <v>189.32</v>
      </c>
      <c r="E28" s="312">
        <v>259.0774432</v>
      </c>
      <c r="F28" s="312">
        <v>298.91287440000002</v>
      </c>
      <c r="G28" s="312">
        <v>364.176873690999</v>
      </c>
      <c r="H28" s="312">
        <v>433.14984173599998</v>
      </c>
      <c r="I28" s="312">
        <v>697.477801613</v>
      </c>
      <c r="J28" s="312">
        <v>874.33420802899798</v>
      </c>
      <c r="K28" s="312">
        <v>938.131740751998</v>
      </c>
      <c r="L28" s="312">
        <v>40.444800000000001</v>
      </c>
      <c r="M28" s="312">
        <v>45.99</v>
      </c>
      <c r="N28" s="312">
        <v>50.790984299999998</v>
      </c>
      <c r="O28" s="312">
        <v>49.992586299999999</v>
      </c>
      <c r="P28" s="312">
        <v>67.297178925999901</v>
      </c>
      <c r="Q28" s="312">
        <v>71.751740539999901</v>
      </c>
      <c r="R28" s="312">
        <v>113.73727219600001</v>
      </c>
      <c r="S28" s="312">
        <v>84.602160479999895</v>
      </c>
      <c r="T28" s="312">
        <v>108.199499532</v>
      </c>
      <c r="U28" s="312">
        <v>1444.645</v>
      </c>
      <c r="V28" s="312">
        <v>1642.54</v>
      </c>
      <c r="W28" s="312">
        <v>1660.5258699999999</v>
      </c>
      <c r="X28" s="312">
        <v>1962.6514308999999</v>
      </c>
      <c r="Y28" s="312">
        <v>2484.4872113500001</v>
      </c>
      <c r="Z28" s="312">
        <v>2856.7449422740001</v>
      </c>
      <c r="AA28" s="312">
        <v>3109.2277823519998</v>
      </c>
      <c r="AB28" s="312">
        <v>3573.5965320179998</v>
      </c>
      <c r="AC28" s="312">
        <v>3844.50377248</v>
      </c>
      <c r="AD28" s="312">
        <v>499.61739999999998</v>
      </c>
      <c r="AE28" s="312">
        <v>519.70000000000005</v>
      </c>
      <c r="AF28" s="312">
        <v>564.56568860000004</v>
      </c>
      <c r="AG28" s="312">
        <v>380.89180540000001</v>
      </c>
      <c r="AH28" s="312">
        <v>811.01790160200005</v>
      </c>
      <c r="AI28" s="312">
        <v>1126.7881649389999</v>
      </c>
      <c r="AJ28" s="312">
        <v>1537.077699059</v>
      </c>
      <c r="AK28" s="312">
        <v>955.04632507099905</v>
      </c>
      <c r="AL28" s="312">
        <v>1120.932137607</v>
      </c>
      <c r="AM28" s="312">
        <v>226.15439999999995</v>
      </c>
      <c r="AN28" s="312">
        <v>318.2854000000001</v>
      </c>
      <c r="AO28" s="312">
        <v>256.60358339999999</v>
      </c>
      <c r="AP28" s="312">
        <v>1242.9008721000009</v>
      </c>
      <c r="AQ28" s="312">
        <v>1342.099563963</v>
      </c>
      <c r="AR28" s="312">
        <v>1702.5917668229999</v>
      </c>
      <c r="AS28" s="312">
        <v>2007.520339726</v>
      </c>
      <c r="AT28" s="312">
        <v>2822.7008029210001</v>
      </c>
      <c r="AU28" s="312">
        <v>3397.1933832280001</v>
      </c>
      <c r="AV28" s="312">
        <v>2388.8249000000001</v>
      </c>
      <c r="AW28" s="312">
        <v>2715.8353999999999</v>
      </c>
      <c r="AX28" s="312">
        <v>2791.5635695000001</v>
      </c>
      <c r="AY28" s="312">
        <v>3935.3495691000012</v>
      </c>
      <c r="AZ28" s="312">
        <v>5069.0787295319988</v>
      </c>
      <c r="BA28" s="312">
        <v>6191.0264563119999</v>
      </c>
      <c r="BB28" s="312">
        <v>7465.0408949459998</v>
      </c>
      <c r="BC28" s="312">
        <v>8310.2800285189969</v>
      </c>
      <c r="BD28" s="312">
        <v>9408.9605335989982</v>
      </c>
      <c r="BE28" s="321"/>
      <c r="BF28" s="321"/>
    </row>
    <row r="29" spans="1:58" s="215" customFormat="1" x14ac:dyDescent="0.25">
      <c r="A29" s="325">
        <v>21</v>
      </c>
      <c r="B29" s="215" t="s">
        <v>111</v>
      </c>
      <c r="C29" s="312">
        <v>67.1691</v>
      </c>
      <c r="D29" s="312">
        <v>79.578599999999994</v>
      </c>
      <c r="E29" s="312">
        <v>94.090663000000006</v>
      </c>
      <c r="F29" s="312">
        <v>118.3890957</v>
      </c>
      <c r="G29" s="312">
        <v>141.20181170000001</v>
      </c>
      <c r="H29" s="312">
        <v>150.47415179999999</v>
      </c>
      <c r="I29" s="312">
        <v>225.23638270000001</v>
      </c>
      <c r="J29" s="312">
        <v>272.59278699999999</v>
      </c>
      <c r="K29" s="312">
        <v>290.4582206</v>
      </c>
      <c r="L29" s="312">
        <v>31.065300000000001</v>
      </c>
      <c r="M29" s="312">
        <v>34.028800000000004</v>
      </c>
      <c r="N29" s="312">
        <v>33.204203700000001</v>
      </c>
      <c r="O29" s="312">
        <v>34.454103199999999</v>
      </c>
      <c r="P29" s="312">
        <v>36.529166699999998</v>
      </c>
      <c r="Q29" s="312">
        <v>37.3890022</v>
      </c>
      <c r="R29" s="312">
        <v>38.2518776</v>
      </c>
      <c r="S29" s="312">
        <v>35.271838099999997</v>
      </c>
      <c r="T29" s="312">
        <v>45.9652308</v>
      </c>
      <c r="U29" s="312">
        <v>1022.4617999999999</v>
      </c>
      <c r="V29" s="312">
        <v>1159.4304999999999</v>
      </c>
      <c r="W29" s="312">
        <v>1273.9148098999999</v>
      </c>
      <c r="X29" s="312">
        <v>1704.2308808</v>
      </c>
      <c r="Y29" s="312">
        <v>2026.5129601000001</v>
      </c>
      <c r="Z29" s="312">
        <v>2075.8747767</v>
      </c>
      <c r="AA29" s="312">
        <v>2081.6046968999999</v>
      </c>
      <c r="AB29" s="312">
        <v>1978.6138026000001</v>
      </c>
      <c r="AC29" s="312">
        <v>2025.9608270000001</v>
      </c>
      <c r="AD29" s="312">
        <v>255.24869999999999</v>
      </c>
      <c r="AE29" s="312">
        <v>242.04810000000001</v>
      </c>
      <c r="AF29" s="312">
        <v>235.95</v>
      </c>
      <c r="AG29" s="312">
        <v>264.52</v>
      </c>
      <c r="AH29" s="312">
        <v>343.6644</v>
      </c>
      <c r="AI29" s="312">
        <v>416.07439099999999</v>
      </c>
      <c r="AJ29" s="312">
        <v>455.1644182</v>
      </c>
      <c r="AK29" s="312">
        <v>395.53172289999998</v>
      </c>
      <c r="AL29" s="312">
        <v>425.72231900000003</v>
      </c>
      <c r="AM29" s="312">
        <v>61.095100000000059</v>
      </c>
      <c r="AN29" s="312">
        <v>54.113199999999885</v>
      </c>
      <c r="AO29" s="312">
        <v>56.96</v>
      </c>
      <c r="AP29" s="312">
        <v>67.19</v>
      </c>
      <c r="AQ29" s="312">
        <v>75.526799999999994</v>
      </c>
      <c r="AR29" s="312">
        <v>492.75815369999998</v>
      </c>
      <c r="AS29" s="312">
        <v>866.69991549999997</v>
      </c>
      <c r="AT29" s="312">
        <v>140.27322520000001</v>
      </c>
      <c r="AU29" s="312">
        <v>78.480885799999996</v>
      </c>
      <c r="AV29" s="312">
        <v>1437.04</v>
      </c>
      <c r="AW29" s="312">
        <v>1569.1991999999998</v>
      </c>
      <c r="AX29" s="312">
        <v>1694.1196766</v>
      </c>
      <c r="AY29" s="312">
        <v>2188.7840797000003</v>
      </c>
      <c r="AZ29" s="312">
        <v>2623.4351385000004</v>
      </c>
      <c r="BA29" s="312">
        <v>3172.5704754000003</v>
      </c>
      <c r="BB29" s="312">
        <v>3666.9572908999999</v>
      </c>
      <c r="BC29" s="312">
        <v>2822.2833758000002</v>
      </c>
      <c r="BD29" s="312">
        <v>2866.5874832</v>
      </c>
      <c r="BE29" s="321"/>
      <c r="BF29" s="321"/>
    </row>
    <row r="30" spans="1:58" s="215" customFormat="1" x14ac:dyDescent="0.25">
      <c r="A30" s="325">
        <v>22</v>
      </c>
      <c r="B30" s="313" t="s">
        <v>66</v>
      </c>
      <c r="C30" s="312">
        <v>446.12699999999995</v>
      </c>
      <c r="D30" s="312">
        <v>514.69000000000005</v>
      </c>
      <c r="E30" s="312">
        <v>615.35009611100099</v>
      </c>
      <c r="F30" s="312">
        <v>719.04918593100001</v>
      </c>
      <c r="G30" s="312">
        <v>790.44658332899996</v>
      </c>
      <c r="H30" s="312">
        <v>947.84344461900002</v>
      </c>
      <c r="I30" s="312">
        <v>1196.163814579</v>
      </c>
      <c r="J30" s="312">
        <v>1411.4376</v>
      </c>
      <c r="K30" s="312">
        <v>1350.9382000000001</v>
      </c>
      <c r="L30" s="312">
        <v>9.9444999999999997</v>
      </c>
      <c r="M30" s="312">
        <v>17.510000000000002</v>
      </c>
      <c r="N30" s="312">
        <v>22.202277915</v>
      </c>
      <c r="O30" s="312">
        <v>18.297401722</v>
      </c>
      <c r="P30" s="312">
        <v>17.204140361</v>
      </c>
      <c r="Q30" s="312">
        <v>20.053892143999999</v>
      </c>
      <c r="R30" s="312">
        <v>28.173749075</v>
      </c>
      <c r="S30" s="312">
        <v>33.592500000000001</v>
      </c>
      <c r="T30" s="312">
        <v>62.240900000000003</v>
      </c>
      <c r="U30" s="312">
        <v>465.32870000000003</v>
      </c>
      <c r="V30" s="312">
        <v>538.65</v>
      </c>
      <c r="W30" s="312">
        <v>707.94478731099991</v>
      </c>
      <c r="X30" s="312">
        <v>680.78808079499993</v>
      </c>
      <c r="Y30" s="312">
        <v>978.17071970200004</v>
      </c>
      <c r="Z30" s="312">
        <v>916.09739880300003</v>
      </c>
      <c r="AA30" s="312">
        <v>1568.531674819</v>
      </c>
      <c r="AB30" s="312">
        <v>2143.9072999999999</v>
      </c>
      <c r="AC30" s="312">
        <v>2517.0697</v>
      </c>
      <c r="AD30" s="312">
        <v>202.65539999999999</v>
      </c>
      <c r="AE30" s="312">
        <v>386.94</v>
      </c>
      <c r="AF30" s="312">
        <v>516.77845135200005</v>
      </c>
      <c r="AG30" s="312">
        <v>792.51725434999901</v>
      </c>
      <c r="AH30" s="312">
        <v>939.58531324690796</v>
      </c>
      <c r="AI30" s="312">
        <v>1123.51127965353</v>
      </c>
      <c r="AJ30" s="312">
        <v>1575.41929134731</v>
      </c>
      <c r="AK30" s="312">
        <v>2122.3790675559499</v>
      </c>
      <c r="AL30" s="312">
        <v>2735.0927000000001</v>
      </c>
      <c r="AM30" s="312">
        <v>63.516299999999937</v>
      </c>
      <c r="AN30" s="312">
        <v>119.11399999999995</v>
      </c>
      <c r="AO30" s="312">
        <v>177.57040465099999</v>
      </c>
      <c r="AP30" s="312">
        <v>393.83391358500006</v>
      </c>
      <c r="AQ30" s="312">
        <v>818.79353810700002</v>
      </c>
      <c r="AR30" s="312">
        <v>1699.0408444750001</v>
      </c>
      <c r="AS30" s="312">
        <v>2428.6806912530001</v>
      </c>
      <c r="AT30" s="312">
        <v>2553.5410999999999</v>
      </c>
      <c r="AU30" s="312">
        <v>2500.8827000000001</v>
      </c>
      <c r="AV30" s="312">
        <v>1187.5718999999999</v>
      </c>
      <c r="AW30" s="312">
        <v>1576.904</v>
      </c>
      <c r="AX30" s="312">
        <v>2039.8460173400008</v>
      </c>
      <c r="AY30" s="312">
        <v>2604.485836382999</v>
      </c>
      <c r="AZ30" s="312">
        <v>3544.2002947459082</v>
      </c>
      <c r="BA30" s="312">
        <v>4706.5468596945302</v>
      </c>
      <c r="BB30" s="312">
        <v>6796.9692210733101</v>
      </c>
      <c r="BC30" s="312">
        <v>8264.8575675559496</v>
      </c>
      <c r="BD30" s="312">
        <v>9166.2242000000006</v>
      </c>
      <c r="BE30" s="321"/>
      <c r="BF30" s="321"/>
    </row>
    <row r="31" spans="1:58" s="215" customFormat="1" x14ac:dyDescent="0.25">
      <c r="A31" s="325">
        <v>23</v>
      </c>
      <c r="B31" s="313" t="s">
        <v>70</v>
      </c>
      <c r="C31" s="312">
        <v>11.058</v>
      </c>
      <c r="D31" s="312">
        <v>15.95</v>
      </c>
      <c r="E31" s="312">
        <v>19.7050467</v>
      </c>
      <c r="F31" s="312">
        <v>30.885300600000001</v>
      </c>
      <c r="G31" s="312">
        <v>35.221447300000001</v>
      </c>
      <c r="H31" s="312">
        <v>30.781628900000001</v>
      </c>
      <c r="I31" s="312">
        <v>34.769968599999999</v>
      </c>
      <c r="J31" s="312">
        <v>39.632788599999998</v>
      </c>
      <c r="K31" s="312">
        <v>55.55</v>
      </c>
      <c r="L31" s="312">
        <v>0.94430000000000003</v>
      </c>
      <c r="M31" s="312">
        <v>0.76</v>
      </c>
      <c r="N31" s="312">
        <v>1.2847842</v>
      </c>
      <c r="O31" s="312">
        <v>1.6181661000000001</v>
      </c>
      <c r="P31" s="312">
        <v>2.0811373</v>
      </c>
      <c r="Q31" s="312">
        <v>1.878455</v>
      </c>
      <c r="R31" s="312">
        <v>1.4637013000000001</v>
      </c>
      <c r="S31" s="312">
        <v>1.2053886</v>
      </c>
      <c r="T31" s="312">
        <v>1.64</v>
      </c>
      <c r="U31" s="312">
        <v>1481.0410999999999</v>
      </c>
      <c r="V31" s="312">
        <v>1461.31</v>
      </c>
      <c r="W31" s="312">
        <v>1666.4115988000001</v>
      </c>
      <c r="X31" s="312">
        <v>1835.5597840999999</v>
      </c>
      <c r="Y31" s="312">
        <v>2040.5858229</v>
      </c>
      <c r="Z31" s="312">
        <v>2252.4500198999999</v>
      </c>
      <c r="AA31" s="312">
        <v>2381.5550861000002</v>
      </c>
      <c r="AB31" s="312">
        <v>2049.2363046</v>
      </c>
      <c r="AC31" s="312">
        <v>1631.15</v>
      </c>
      <c r="AD31" s="312">
        <v>4.6170999999999998</v>
      </c>
      <c r="AE31" s="312">
        <v>5.62</v>
      </c>
      <c r="AF31" s="312">
        <v>6.5713480000000004</v>
      </c>
      <c r="AG31" s="312">
        <v>10.8776232</v>
      </c>
      <c r="AH31" s="312">
        <v>16.4059727</v>
      </c>
      <c r="AI31" s="312">
        <v>38.477285500000001</v>
      </c>
      <c r="AJ31" s="312">
        <v>16.084652899999998</v>
      </c>
      <c r="AK31" s="312">
        <v>17.258895599999999</v>
      </c>
      <c r="AL31" s="312">
        <v>31.71</v>
      </c>
      <c r="AM31" s="312">
        <v>12.928800000000257</v>
      </c>
      <c r="AN31" s="312">
        <v>12.876300000000047</v>
      </c>
      <c r="AO31" s="312">
        <v>18.294634200000001</v>
      </c>
      <c r="AP31" s="312">
        <v>223.4831106</v>
      </c>
      <c r="AQ31" s="312">
        <v>6.4689215999999998</v>
      </c>
      <c r="AR31" s="312">
        <v>32.756760700000001</v>
      </c>
      <c r="AS31" s="312">
        <v>32.3149023</v>
      </c>
      <c r="AT31" s="312">
        <v>31.544212600000002</v>
      </c>
      <c r="AU31" s="312">
        <v>32.9</v>
      </c>
      <c r="AV31" s="312">
        <v>1510.5892999999999</v>
      </c>
      <c r="AW31" s="312">
        <v>1496.5163</v>
      </c>
      <c r="AX31" s="312">
        <v>1712.2674119000001</v>
      </c>
      <c r="AY31" s="312">
        <v>2102.4239846</v>
      </c>
      <c r="AZ31" s="312">
        <v>2100.7633018000001</v>
      </c>
      <c r="BA31" s="312">
        <v>2356.3441499999999</v>
      </c>
      <c r="BB31" s="312">
        <v>2466.1883112</v>
      </c>
      <c r="BC31" s="312">
        <v>2138.8775899999996</v>
      </c>
      <c r="BD31" s="312">
        <v>1752.9500000000003</v>
      </c>
      <c r="BE31" s="321"/>
      <c r="BF31" s="321"/>
    </row>
    <row r="32" spans="1:58" s="215" customFormat="1" x14ac:dyDescent="0.25">
      <c r="A32" s="325">
        <v>24</v>
      </c>
      <c r="B32" s="215" t="s">
        <v>112</v>
      </c>
      <c r="C32" s="312">
        <v>312.46109999999999</v>
      </c>
      <c r="D32" s="312">
        <v>348.63</v>
      </c>
      <c r="E32" s="312">
        <v>384.94</v>
      </c>
      <c r="F32" s="312">
        <v>521.30999999999995</v>
      </c>
      <c r="G32" s="312">
        <v>687.28804490000005</v>
      </c>
      <c r="H32" s="312">
        <v>742.91757540000003</v>
      </c>
      <c r="I32" s="312">
        <v>946.30678469999998</v>
      </c>
      <c r="J32" s="312">
        <v>1433.8993230999999</v>
      </c>
      <c r="K32" s="312">
        <v>1633.081891498</v>
      </c>
      <c r="L32" s="312">
        <v>226.6763</v>
      </c>
      <c r="M32" s="312">
        <v>249.05</v>
      </c>
      <c r="N32" s="312">
        <v>265.43258229999998</v>
      </c>
      <c r="O32" s="312">
        <v>262.63135510000001</v>
      </c>
      <c r="P32" s="312">
        <v>293.9015804</v>
      </c>
      <c r="Q32" s="312">
        <v>327.32391560000002</v>
      </c>
      <c r="R32" s="312">
        <v>312.01334800000001</v>
      </c>
      <c r="S32" s="312">
        <v>346.2983739</v>
      </c>
      <c r="T32" s="312">
        <v>543.29765146</v>
      </c>
      <c r="U32" s="312">
        <v>1074.0292999999999</v>
      </c>
      <c r="V32" s="312">
        <v>1224.58</v>
      </c>
      <c r="W32" s="312">
        <v>1411.3614742</v>
      </c>
      <c r="X32" s="312">
        <v>2020.0141641</v>
      </c>
      <c r="Y32" s="312">
        <v>2813.9936787000001</v>
      </c>
      <c r="Z32" s="312">
        <v>3791.3371001999999</v>
      </c>
      <c r="AA32" s="312">
        <v>4037.1500145999998</v>
      </c>
      <c r="AB32" s="312">
        <v>4339.2833899999996</v>
      </c>
      <c r="AC32" s="312">
        <v>5131.614030918</v>
      </c>
      <c r="AD32" s="312">
        <v>363.3836</v>
      </c>
      <c r="AE32" s="312">
        <v>379.28</v>
      </c>
      <c r="AF32" s="312">
        <v>398.40107799999998</v>
      </c>
      <c r="AG32" s="312">
        <v>450.1947811</v>
      </c>
      <c r="AH32" s="312">
        <v>724.42058529999997</v>
      </c>
      <c r="AI32" s="312">
        <v>1119.4086556</v>
      </c>
      <c r="AJ32" s="312">
        <v>1154.0475257999999</v>
      </c>
      <c r="AK32" s="312">
        <v>1300.6605795</v>
      </c>
      <c r="AL32" s="312">
        <v>1930.0444558449999</v>
      </c>
      <c r="AM32" s="312">
        <v>386.16079999999999</v>
      </c>
      <c r="AN32" s="312">
        <v>512.6</v>
      </c>
      <c r="AO32" s="312">
        <v>498.42</v>
      </c>
      <c r="AP32" s="312">
        <v>913.83</v>
      </c>
      <c r="AQ32" s="312">
        <v>916.31238240000005</v>
      </c>
      <c r="AR32" s="312">
        <v>1761.6702347</v>
      </c>
      <c r="AS32" s="312">
        <v>935.01022190000003</v>
      </c>
      <c r="AT32" s="312">
        <v>621.92074769999999</v>
      </c>
      <c r="AU32" s="312">
        <v>786.93673375699996</v>
      </c>
      <c r="AV32" s="312">
        <v>2362.7111</v>
      </c>
      <c r="AW32" s="312">
        <v>2714.1400000000003</v>
      </c>
      <c r="AX32" s="312">
        <v>2958.5551344999999</v>
      </c>
      <c r="AY32" s="312">
        <v>4167.9803002999997</v>
      </c>
      <c r="AZ32" s="312">
        <v>5435.9162717000008</v>
      </c>
      <c r="BA32" s="312">
        <v>7742.6574815000004</v>
      </c>
      <c r="BB32" s="312">
        <v>7384.5278949999993</v>
      </c>
      <c r="BC32" s="312">
        <v>8042.0624141999997</v>
      </c>
      <c r="BD32" s="312">
        <v>10024.974763478</v>
      </c>
      <c r="BE32" s="321"/>
      <c r="BF32" s="321"/>
    </row>
    <row r="33" spans="1:58" s="323" customFormat="1" x14ac:dyDescent="0.25">
      <c r="A33" s="325">
        <v>25</v>
      </c>
      <c r="B33" s="215" t="s">
        <v>76</v>
      </c>
      <c r="C33" s="312">
        <v>107.16079999999999</v>
      </c>
      <c r="D33" s="312">
        <v>119.2351</v>
      </c>
      <c r="E33" s="312">
        <v>131.0341866</v>
      </c>
      <c r="F33" s="312">
        <v>131.20092750000001</v>
      </c>
      <c r="G33" s="312">
        <v>142.0497</v>
      </c>
      <c r="H33" s="312">
        <v>146.78246809999999</v>
      </c>
      <c r="I33" s="312">
        <v>179.71674949999999</v>
      </c>
      <c r="J33" s="312">
        <v>194.87779509999999</v>
      </c>
      <c r="K33" s="312">
        <v>211.18548440000001</v>
      </c>
      <c r="L33" s="312">
        <v>18.160399999999999</v>
      </c>
      <c r="M33" s="312">
        <v>16.1416</v>
      </c>
      <c r="N33" s="312">
        <v>16.8654762</v>
      </c>
      <c r="O33" s="312">
        <v>21.871426799999998</v>
      </c>
      <c r="P33" s="312">
        <v>21.940200000000001</v>
      </c>
      <c r="Q33" s="312">
        <v>17.484257100000001</v>
      </c>
      <c r="R33" s="312">
        <v>35.050224800000002</v>
      </c>
      <c r="S33" s="312">
        <v>36.315072399999998</v>
      </c>
      <c r="T33" s="312">
        <v>45.619556500000002</v>
      </c>
      <c r="U33" s="312">
        <v>231.75259999999997</v>
      </c>
      <c r="V33" s="312">
        <v>251.303</v>
      </c>
      <c r="W33" s="312">
        <v>315.7672996</v>
      </c>
      <c r="X33" s="312">
        <v>392.6368458</v>
      </c>
      <c r="Y33" s="312">
        <v>647.29480000000001</v>
      </c>
      <c r="Z33" s="312">
        <v>699.36162750000005</v>
      </c>
      <c r="AA33" s="312">
        <v>881.59442369999999</v>
      </c>
      <c r="AB33" s="312">
        <v>1010.7291451999999</v>
      </c>
      <c r="AC33" s="312">
        <v>1357.4603764999999</v>
      </c>
      <c r="AD33" s="312">
        <v>93.591200000000015</v>
      </c>
      <c r="AE33" s="312">
        <v>138.91419999999999</v>
      </c>
      <c r="AF33" s="312">
        <v>148.4501199</v>
      </c>
      <c r="AG33" s="312">
        <v>111.5434295</v>
      </c>
      <c r="AH33" s="312">
        <v>159.53649999999999</v>
      </c>
      <c r="AI33" s="312">
        <v>173.07750820000001</v>
      </c>
      <c r="AJ33" s="312">
        <v>319.23804510000002</v>
      </c>
      <c r="AK33" s="312">
        <v>376.3</v>
      </c>
      <c r="AL33" s="312">
        <v>548.15493560000004</v>
      </c>
      <c r="AM33" s="312">
        <v>89.782300000000021</v>
      </c>
      <c r="AN33" s="312">
        <v>175.51179999999999</v>
      </c>
      <c r="AO33" s="312">
        <v>291.670435</v>
      </c>
      <c r="AP33" s="312">
        <v>629.97784209999998</v>
      </c>
      <c r="AQ33" s="312">
        <v>1340.0418999999999</v>
      </c>
      <c r="AR33" s="312">
        <v>1794.1615211999999</v>
      </c>
      <c r="AS33" s="312">
        <v>1443.4550569000007</v>
      </c>
      <c r="AT33" s="312">
        <v>1433.94</v>
      </c>
      <c r="AU33" s="312">
        <v>1293.700353</v>
      </c>
      <c r="AV33" s="312">
        <v>540.44730000000004</v>
      </c>
      <c r="AW33" s="312">
        <v>701.10570000000007</v>
      </c>
      <c r="AX33" s="312">
        <v>903.78751729999999</v>
      </c>
      <c r="AY33" s="312">
        <v>1287.2304717</v>
      </c>
      <c r="AZ33" s="312">
        <v>2310.8631</v>
      </c>
      <c r="BA33" s="312">
        <v>2830.8673821000002</v>
      </c>
      <c r="BB33" s="312">
        <v>2859.0545000000002</v>
      </c>
      <c r="BC33" s="312">
        <v>3052.1620126999997</v>
      </c>
      <c r="BD33" s="312">
        <v>3456.1207059999997</v>
      </c>
      <c r="BE33" s="321"/>
      <c r="BF33" s="321"/>
    </row>
    <row r="34" spans="1:58" s="215" customFormat="1" x14ac:dyDescent="0.25">
      <c r="A34" s="325"/>
      <c r="B34" s="109" t="s">
        <v>113</v>
      </c>
      <c r="C34" s="209">
        <v>2898.4965999999999</v>
      </c>
      <c r="D34" s="209">
        <v>3277.2186999999999</v>
      </c>
      <c r="E34" s="209">
        <v>3847.6582178619942</v>
      </c>
      <c r="F34" s="209">
        <v>4470.453750611</v>
      </c>
      <c r="G34" s="209">
        <v>5594.8207261609987</v>
      </c>
      <c r="H34" s="209">
        <v>6411.3944235730005</v>
      </c>
      <c r="I34" s="209">
        <v>8736.7617856739998</v>
      </c>
      <c r="J34" s="209">
        <v>11737.488980772996</v>
      </c>
      <c r="K34" s="209">
        <v>13036.078356287428</v>
      </c>
      <c r="L34" s="209">
        <v>1070.9894999999999</v>
      </c>
      <c r="M34" s="209">
        <v>1131.5340699999999</v>
      </c>
      <c r="N34" s="209">
        <v>1249.8919411419929</v>
      </c>
      <c r="O34" s="209">
        <v>1302.9511823790001</v>
      </c>
      <c r="P34" s="209">
        <v>1434.8759371839999</v>
      </c>
      <c r="Q34" s="209">
        <v>1665.9446475210002</v>
      </c>
      <c r="R34" s="209">
        <v>1839.0856532939999</v>
      </c>
      <c r="S34" s="209">
        <v>1763.2686102739997</v>
      </c>
      <c r="T34" s="209">
        <v>2333.1798848613175</v>
      </c>
      <c r="U34" s="209">
        <v>18030.691799999997</v>
      </c>
      <c r="V34" s="209">
        <v>19804.9686</v>
      </c>
      <c r="W34" s="209">
        <v>22579.785036538928</v>
      </c>
      <c r="X34" s="209">
        <v>26521.949882778004</v>
      </c>
      <c r="Y34" s="209">
        <v>31688.029808010997</v>
      </c>
      <c r="Z34" s="209">
        <v>38234.861141447429</v>
      </c>
      <c r="AA34" s="209">
        <v>43542.888522681002</v>
      </c>
      <c r="AB34" s="209">
        <v>44574.073883987992</v>
      </c>
      <c r="AC34" s="209">
        <v>48664.503975977066</v>
      </c>
      <c r="AD34" s="209">
        <v>5820.637999999999</v>
      </c>
      <c r="AE34" s="209">
        <v>6061.5074999999997</v>
      </c>
      <c r="AF34" s="209">
        <v>6805.4696533818878</v>
      </c>
      <c r="AG34" s="209">
        <v>7929.2344277060001</v>
      </c>
      <c r="AH34" s="209">
        <v>10554.877161411907</v>
      </c>
      <c r="AI34" s="209">
        <v>14160.197262269674</v>
      </c>
      <c r="AJ34" s="209">
        <v>16426.076124245465</v>
      </c>
      <c r="AK34" s="209">
        <v>19095.073636144949</v>
      </c>
      <c r="AL34" s="209">
        <v>24260.825957707679</v>
      </c>
      <c r="AM34" s="209">
        <v>4189.4889000000003</v>
      </c>
      <c r="AN34" s="209">
        <v>4814.8332000000009</v>
      </c>
      <c r="AO34" s="209">
        <v>5211.2752613221992</v>
      </c>
      <c r="AP34" s="209">
        <v>13580.368876409</v>
      </c>
      <c r="AQ34" s="209">
        <v>16147.211502877</v>
      </c>
      <c r="AR34" s="209">
        <v>20814.755966029439</v>
      </c>
      <c r="AS34" s="209">
        <v>20199.126774613003</v>
      </c>
      <c r="AT34" s="209">
        <v>20831.056988647997</v>
      </c>
      <c r="AU34" s="209">
        <v>21458.781221543504</v>
      </c>
      <c r="AV34" s="209">
        <v>32010.304800000005</v>
      </c>
      <c r="AW34" s="209">
        <v>35090.06207</v>
      </c>
      <c r="AX34" s="209">
        <v>39694.080110247</v>
      </c>
      <c r="AY34" s="209">
        <v>53804.958119882998</v>
      </c>
      <c r="AZ34" s="209">
        <v>65419.815135644909</v>
      </c>
      <c r="BA34" s="209">
        <v>81287.153440840557</v>
      </c>
      <c r="BB34" s="209">
        <v>90743.938860507449</v>
      </c>
      <c r="BC34" s="209">
        <v>98000.962099827972</v>
      </c>
      <c r="BD34" s="209">
        <v>109753.36939637699</v>
      </c>
      <c r="BE34" s="321"/>
      <c r="BF34" s="321"/>
    </row>
    <row r="35" spans="1:58" s="215" customFormat="1" x14ac:dyDescent="0.25">
      <c r="A35" s="325"/>
      <c r="B35" s="628" t="s">
        <v>114</v>
      </c>
      <c r="C35" s="209"/>
      <c r="D35" s="209"/>
      <c r="E35" s="209"/>
      <c r="F35" s="209"/>
      <c r="G35" s="209"/>
      <c r="H35" s="209"/>
      <c r="I35" s="209"/>
      <c r="J35" s="209"/>
      <c r="K35" s="209"/>
      <c r="L35" s="209"/>
      <c r="M35" s="209"/>
      <c r="N35" s="209"/>
      <c r="O35" s="209"/>
      <c r="P35" s="209"/>
      <c r="Q35" s="209"/>
      <c r="R35" s="209"/>
      <c r="S35" s="209"/>
      <c r="T35" s="209"/>
      <c r="U35" s="209"/>
      <c r="V35" s="209"/>
      <c r="W35" s="209"/>
      <c r="X35" s="209"/>
      <c r="Y35" s="209"/>
      <c r="Z35" s="209"/>
      <c r="AA35" s="209"/>
      <c r="AB35" s="209"/>
      <c r="AC35" s="209"/>
      <c r="AD35" s="209"/>
      <c r="AE35" s="209"/>
      <c r="AF35" s="209"/>
      <c r="AG35" s="209"/>
      <c r="AH35" s="209"/>
      <c r="AI35" s="209"/>
      <c r="AJ35" s="209"/>
      <c r="AK35" s="209"/>
      <c r="AL35" s="209"/>
      <c r="AM35" s="209"/>
      <c r="AN35" s="209"/>
      <c r="AO35" s="209"/>
      <c r="AP35" s="209"/>
      <c r="AQ35" s="209"/>
      <c r="AR35" s="209"/>
      <c r="AS35" s="209"/>
      <c r="AT35" s="209"/>
      <c r="AU35" s="209"/>
      <c r="AV35" s="209"/>
      <c r="AW35" s="209"/>
      <c r="AX35" s="209"/>
      <c r="AY35" s="209"/>
      <c r="AZ35" s="209"/>
      <c r="BA35" s="209"/>
      <c r="BB35" s="209"/>
      <c r="BC35" s="209"/>
      <c r="BD35" s="209"/>
      <c r="BE35" s="321"/>
      <c r="BF35" s="321"/>
    </row>
    <row r="36" spans="1:58" s="215" customFormat="1" x14ac:dyDescent="0.25">
      <c r="A36" s="325">
        <v>26</v>
      </c>
      <c r="B36" s="215" t="s">
        <v>80</v>
      </c>
      <c r="C36" s="211" t="s">
        <v>130</v>
      </c>
      <c r="D36" s="211" t="s">
        <v>130</v>
      </c>
      <c r="E36" s="211" t="s">
        <v>130</v>
      </c>
      <c r="F36" s="211" t="s">
        <v>130</v>
      </c>
      <c r="G36" s="211" t="s">
        <v>130</v>
      </c>
      <c r="H36" s="211" t="s">
        <v>130</v>
      </c>
      <c r="I36" s="211" t="s">
        <v>130</v>
      </c>
      <c r="J36" s="211" t="s">
        <v>130</v>
      </c>
      <c r="K36" s="211" t="s">
        <v>130</v>
      </c>
      <c r="L36" s="211" t="s">
        <v>130</v>
      </c>
      <c r="M36" s="211" t="s">
        <v>130</v>
      </c>
      <c r="N36" s="211" t="s">
        <v>130</v>
      </c>
      <c r="O36" s="211" t="s">
        <v>130</v>
      </c>
      <c r="P36" s="211" t="s">
        <v>130</v>
      </c>
      <c r="Q36" s="211" t="s">
        <v>130</v>
      </c>
      <c r="R36" s="211" t="s">
        <v>130</v>
      </c>
      <c r="S36" s="211" t="s">
        <v>130</v>
      </c>
      <c r="T36" s="211" t="s">
        <v>130</v>
      </c>
      <c r="U36" s="211" t="s">
        <v>130</v>
      </c>
      <c r="V36" s="211" t="s">
        <v>130</v>
      </c>
      <c r="W36" s="211" t="s">
        <v>130</v>
      </c>
      <c r="X36" s="211" t="s">
        <v>130</v>
      </c>
      <c r="Y36" s="211" t="s">
        <v>130</v>
      </c>
      <c r="Z36" s="211" t="s">
        <v>130</v>
      </c>
      <c r="AA36" s="211" t="s">
        <v>130</v>
      </c>
      <c r="AB36" s="211" t="s">
        <v>130</v>
      </c>
      <c r="AC36" s="211" t="s">
        <v>130</v>
      </c>
      <c r="AD36" s="211" t="s">
        <v>130</v>
      </c>
      <c r="AE36" s="211" t="s">
        <v>130</v>
      </c>
      <c r="AF36" s="211" t="s">
        <v>130</v>
      </c>
      <c r="AG36" s="211" t="s">
        <v>130</v>
      </c>
      <c r="AH36" s="211" t="s">
        <v>130</v>
      </c>
      <c r="AI36" s="211" t="s">
        <v>130</v>
      </c>
      <c r="AJ36" s="211" t="s">
        <v>130</v>
      </c>
      <c r="AK36" s="211" t="s">
        <v>130</v>
      </c>
      <c r="AL36" s="211" t="s">
        <v>130</v>
      </c>
      <c r="AM36" s="211">
        <v>3395.01</v>
      </c>
      <c r="AN36" s="211">
        <v>2739.7</v>
      </c>
      <c r="AO36" s="211">
        <v>3521.2218779</v>
      </c>
      <c r="AP36" s="211">
        <v>6979.56</v>
      </c>
      <c r="AQ36" s="211">
        <v>7893.3901210000004</v>
      </c>
      <c r="AR36" s="211">
        <v>6900.875648747</v>
      </c>
      <c r="AS36" s="211">
        <v>9361.2355000000007</v>
      </c>
      <c r="AT36" s="211">
        <v>12052.57</v>
      </c>
      <c r="AU36" s="211">
        <v>13940.21</v>
      </c>
      <c r="AV36" s="211">
        <v>3395.01</v>
      </c>
      <c r="AW36" s="211">
        <v>2739.7</v>
      </c>
      <c r="AX36" s="211">
        <v>3521.2218779</v>
      </c>
      <c r="AY36" s="211">
        <v>6979.56</v>
      </c>
      <c r="AZ36" s="211">
        <v>7893.3901210000004</v>
      </c>
      <c r="BA36" s="211">
        <v>6900.875648747</v>
      </c>
      <c r="BB36" s="211">
        <v>9361.2355000000007</v>
      </c>
      <c r="BC36" s="211">
        <v>12052.57</v>
      </c>
      <c r="BD36" s="211">
        <v>13940.21</v>
      </c>
      <c r="BE36" s="321"/>
      <c r="BF36" s="321"/>
    </row>
    <row r="37" spans="1:58" s="215" customFormat="1" x14ac:dyDescent="0.25">
      <c r="A37" s="325">
        <v>27</v>
      </c>
      <c r="B37" s="313" t="s">
        <v>82</v>
      </c>
      <c r="C37" s="211" t="s">
        <v>130</v>
      </c>
      <c r="D37" s="211" t="s">
        <v>130</v>
      </c>
      <c r="E37" s="211" t="s">
        <v>130</v>
      </c>
      <c r="F37" s="211" t="s">
        <v>130</v>
      </c>
      <c r="G37" s="211" t="s">
        <v>130</v>
      </c>
      <c r="H37" s="211" t="s">
        <v>130</v>
      </c>
      <c r="I37" s="211" t="s">
        <v>130</v>
      </c>
      <c r="J37" s="211" t="s">
        <v>130</v>
      </c>
      <c r="K37" s="211" t="s">
        <v>130</v>
      </c>
      <c r="L37" s="211" t="s">
        <v>130</v>
      </c>
      <c r="M37" s="211" t="s">
        <v>130</v>
      </c>
      <c r="N37" s="211" t="s">
        <v>130</v>
      </c>
      <c r="O37" s="211" t="s">
        <v>130</v>
      </c>
      <c r="P37" s="211" t="s">
        <v>130</v>
      </c>
      <c r="Q37" s="211" t="s">
        <v>130</v>
      </c>
      <c r="R37" s="211" t="s">
        <v>130</v>
      </c>
      <c r="S37" s="211" t="s">
        <v>130</v>
      </c>
      <c r="T37" s="211" t="s">
        <v>130</v>
      </c>
      <c r="U37" s="211" t="s">
        <v>130</v>
      </c>
      <c r="V37" s="211" t="s">
        <v>130</v>
      </c>
      <c r="W37" s="211" t="s">
        <v>130</v>
      </c>
      <c r="X37" s="211" t="s">
        <v>130</v>
      </c>
      <c r="Y37" s="211" t="s">
        <v>130</v>
      </c>
      <c r="Z37" s="211" t="s">
        <v>130</v>
      </c>
      <c r="AA37" s="211" t="s">
        <v>130</v>
      </c>
      <c r="AB37" s="211" t="s">
        <v>130</v>
      </c>
      <c r="AC37" s="211" t="s">
        <v>130</v>
      </c>
      <c r="AD37" s="211" t="s">
        <v>130</v>
      </c>
      <c r="AE37" s="211" t="s">
        <v>130</v>
      </c>
      <c r="AF37" s="211" t="s">
        <v>130</v>
      </c>
      <c r="AG37" s="211" t="s">
        <v>130</v>
      </c>
      <c r="AH37" s="211" t="s">
        <v>130</v>
      </c>
      <c r="AI37" s="211" t="s">
        <v>130</v>
      </c>
      <c r="AJ37" s="211" t="s">
        <v>130</v>
      </c>
      <c r="AK37" s="211" t="s">
        <v>130</v>
      </c>
      <c r="AL37" s="211" t="s">
        <v>130</v>
      </c>
      <c r="AM37" s="211">
        <v>1303.73</v>
      </c>
      <c r="AN37" s="211">
        <v>1362.4</v>
      </c>
      <c r="AO37" s="211">
        <v>1320.7297152000001</v>
      </c>
      <c r="AP37" s="211">
        <v>1267.6248714000001</v>
      </c>
      <c r="AQ37" s="211">
        <v>1240.41707</v>
      </c>
      <c r="AR37" s="211">
        <v>1247.5425984000001</v>
      </c>
      <c r="AS37" s="211">
        <v>1075.4739677</v>
      </c>
      <c r="AT37" s="211">
        <v>1062.28</v>
      </c>
      <c r="AU37" s="211">
        <v>1106.6167809999999</v>
      </c>
      <c r="AV37" s="211">
        <v>1303.73</v>
      </c>
      <c r="AW37" s="211">
        <v>1362.4</v>
      </c>
      <c r="AX37" s="211">
        <v>1320.7297152000001</v>
      </c>
      <c r="AY37" s="211">
        <v>1267.6248714000001</v>
      </c>
      <c r="AZ37" s="211">
        <v>1240.41707</v>
      </c>
      <c r="BA37" s="211">
        <v>1247.5425984000001</v>
      </c>
      <c r="BB37" s="211">
        <v>1075.4739677</v>
      </c>
      <c r="BC37" s="211">
        <v>1062.28</v>
      </c>
      <c r="BD37" s="211">
        <v>1106.6167809999999</v>
      </c>
      <c r="BE37" s="321"/>
      <c r="BF37" s="321"/>
    </row>
    <row r="38" spans="1:58" s="109" customFormat="1" x14ac:dyDescent="0.25">
      <c r="A38" s="325"/>
      <c r="B38" s="109" t="s">
        <v>115</v>
      </c>
      <c r="C38" s="212" t="s">
        <v>130</v>
      </c>
      <c r="D38" s="212" t="s">
        <v>130</v>
      </c>
      <c r="E38" s="212" t="s">
        <v>130</v>
      </c>
      <c r="F38" s="212" t="s">
        <v>130</v>
      </c>
      <c r="G38" s="212" t="s">
        <v>130</v>
      </c>
      <c r="H38" s="212" t="s">
        <v>130</v>
      </c>
      <c r="I38" s="212" t="s">
        <v>130</v>
      </c>
      <c r="J38" s="212" t="s">
        <v>130</v>
      </c>
      <c r="K38" s="212" t="s">
        <v>130</v>
      </c>
      <c r="L38" s="212" t="s">
        <v>130</v>
      </c>
      <c r="M38" s="212" t="s">
        <v>130</v>
      </c>
      <c r="N38" s="212" t="s">
        <v>130</v>
      </c>
      <c r="O38" s="212" t="s">
        <v>130</v>
      </c>
      <c r="P38" s="212" t="s">
        <v>130</v>
      </c>
      <c r="Q38" s="212" t="s">
        <v>130</v>
      </c>
      <c r="R38" s="212" t="s">
        <v>130</v>
      </c>
      <c r="S38" s="212" t="s">
        <v>130</v>
      </c>
      <c r="T38" s="212" t="s">
        <v>130</v>
      </c>
      <c r="U38" s="212" t="s">
        <v>130</v>
      </c>
      <c r="V38" s="212" t="s">
        <v>130</v>
      </c>
      <c r="W38" s="212" t="s">
        <v>130</v>
      </c>
      <c r="X38" s="212" t="s">
        <v>130</v>
      </c>
      <c r="Y38" s="212" t="s">
        <v>130</v>
      </c>
      <c r="Z38" s="212" t="s">
        <v>130</v>
      </c>
      <c r="AA38" s="212" t="s">
        <v>130</v>
      </c>
      <c r="AB38" s="212" t="s">
        <v>130</v>
      </c>
      <c r="AC38" s="212" t="s">
        <v>130</v>
      </c>
      <c r="AD38" s="212" t="s">
        <v>130</v>
      </c>
      <c r="AE38" s="212" t="s">
        <v>130</v>
      </c>
      <c r="AF38" s="212" t="s">
        <v>130</v>
      </c>
      <c r="AG38" s="212" t="s">
        <v>130</v>
      </c>
      <c r="AH38" s="212" t="s">
        <v>130</v>
      </c>
      <c r="AI38" s="212" t="s">
        <v>130</v>
      </c>
      <c r="AJ38" s="212" t="s">
        <v>130</v>
      </c>
      <c r="AK38" s="212" t="s">
        <v>130</v>
      </c>
      <c r="AL38" s="212" t="s">
        <v>130</v>
      </c>
      <c r="AM38" s="212">
        <v>4698.74</v>
      </c>
      <c r="AN38" s="212">
        <v>4102.1000000000004</v>
      </c>
      <c r="AO38" s="212">
        <v>4841.9515931000005</v>
      </c>
      <c r="AP38" s="212">
        <v>8247.1848714000007</v>
      </c>
      <c r="AQ38" s="212">
        <v>9133.8071909999999</v>
      </c>
      <c r="AR38" s="212">
        <v>8148.4182471470003</v>
      </c>
      <c r="AS38" s="212">
        <v>10436.7094677</v>
      </c>
      <c r="AT38" s="212">
        <v>13114.85</v>
      </c>
      <c r="AU38" s="212">
        <v>15046.826781</v>
      </c>
      <c r="AV38" s="212">
        <v>4698.74</v>
      </c>
      <c r="AW38" s="212">
        <v>4102.1000000000004</v>
      </c>
      <c r="AX38" s="212">
        <v>4841.9515931000005</v>
      </c>
      <c r="AY38" s="212">
        <v>8247.1848714000007</v>
      </c>
      <c r="AZ38" s="212">
        <v>9133.8071909999999</v>
      </c>
      <c r="BA38" s="212">
        <v>8148.4182471470003</v>
      </c>
      <c r="BB38" s="212">
        <v>10436.7094677</v>
      </c>
      <c r="BC38" s="212">
        <v>13114.85</v>
      </c>
      <c r="BD38" s="212">
        <v>15046.826781</v>
      </c>
      <c r="BE38" s="321"/>
      <c r="BF38" s="321"/>
    </row>
    <row r="39" spans="1:58" s="215" customFormat="1" x14ac:dyDescent="0.25">
      <c r="A39" s="325"/>
      <c r="B39" s="628" t="s">
        <v>117</v>
      </c>
      <c r="C39" s="211"/>
      <c r="D39" s="211"/>
      <c r="E39" s="211"/>
      <c r="F39" s="211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Y39" s="211"/>
      <c r="Z39" s="211"/>
      <c r="AA39" s="211"/>
      <c r="AB39" s="211"/>
      <c r="AC39" s="211"/>
      <c r="AD39" s="211"/>
      <c r="AE39" s="211"/>
      <c r="AF39" s="211"/>
      <c r="AG39" s="211"/>
      <c r="AH39" s="211"/>
      <c r="AI39" s="211"/>
      <c r="AJ39" s="211"/>
      <c r="AK39" s="211"/>
      <c r="AL39" s="211"/>
      <c r="AM39" s="211"/>
      <c r="AN39" s="211"/>
      <c r="AO39" s="211"/>
      <c r="AP39" s="211"/>
      <c r="AQ39" s="211"/>
      <c r="AR39" s="211"/>
      <c r="AS39" s="211"/>
      <c r="AT39" s="211"/>
      <c r="AU39" s="211"/>
      <c r="AV39" s="211"/>
      <c r="AW39" s="211"/>
      <c r="AX39" s="211"/>
      <c r="AY39" s="211"/>
      <c r="AZ39" s="211"/>
      <c r="BA39" s="211"/>
      <c r="BB39" s="211"/>
      <c r="BC39" s="211"/>
      <c r="BD39" s="211"/>
      <c r="BE39" s="321"/>
      <c r="BF39" s="321"/>
    </row>
    <row r="40" spans="1:58" s="215" customFormat="1" x14ac:dyDescent="0.25">
      <c r="A40" s="325">
        <v>28</v>
      </c>
      <c r="B40" s="207" t="s">
        <v>118</v>
      </c>
      <c r="C40" s="211" t="s">
        <v>130</v>
      </c>
      <c r="D40" s="211" t="s">
        <v>130</v>
      </c>
      <c r="E40" s="211" t="s">
        <v>130</v>
      </c>
      <c r="F40" s="211" t="s">
        <v>130</v>
      </c>
      <c r="G40" s="211" t="s">
        <v>130</v>
      </c>
      <c r="H40" s="211" t="s">
        <v>130</v>
      </c>
      <c r="I40" s="211" t="s">
        <v>130</v>
      </c>
      <c r="J40" s="211" t="s">
        <v>130</v>
      </c>
      <c r="K40" s="211" t="s">
        <v>130</v>
      </c>
      <c r="L40" s="211" t="s">
        <v>130</v>
      </c>
      <c r="M40" s="211" t="s">
        <v>130</v>
      </c>
      <c r="N40" s="211" t="s">
        <v>130</v>
      </c>
      <c r="O40" s="211" t="s">
        <v>130</v>
      </c>
      <c r="P40" s="211" t="s">
        <v>130</v>
      </c>
      <c r="Q40" s="211" t="s">
        <v>130</v>
      </c>
      <c r="R40" s="211" t="s">
        <v>130</v>
      </c>
      <c r="S40" s="211" t="s">
        <v>130</v>
      </c>
      <c r="T40" s="211" t="s">
        <v>130</v>
      </c>
      <c r="U40" s="211" t="s">
        <v>130</v>
      </c>
      <c r="V40" s="211" t="s">
        <v>130</v>
      </c>
      <c r="W40" s="211" t="s">
        <v>130</v>
      </c>
      <c r="X40" s="211" t="s">
        <v>130</v>
      </c>
      <c r="Y40" s="211" t="s">
        <v>130</v>
      </c>
      <c r="Z40" s="211" t="s">
        <v>130</v>
      </c>
      <c r="AA40" s="211" t="s">
        <v>130</v>
      </c>
      <c r="AB40" s="211" t="s">
        <v>130</v>
      </c>
      <c r="AC40" s="211" t="s">
        <v>130</v>
      </c>
      <c r="AD40" s="211">
        <v>0</v>
      </c>
      <c r="AE40" s="211">
        <v>0</v>
      </c>
      <c r="AF40" s="211">
        <v>0</v>
      </c>
      <c r="AG40" s="211">
        <v>54.042397088999998</v>
      </c>
      <c r="AH40" s="211">
        <v>243.16759999999999</v>
      </c>
      <c r="AI40" s="211">
        <v>496.8</v>
      </c>
      <c r="AJ40" s="211">
        <v>872.03740000000005</v>
      </c>
      <c r="AK40" s="211">
        <v>1300.6400000000001</v>
      </c>
      <c r="AL40" s="211">
        <v>1726.6714390666</v>
      </c>
      <c r="AM40" s="211" t="s">
        <v>130</v>
      </c>
      <c r="AN40" s="211" t="s">
        <v>130</v>
      </c>
      <c r="AO40" s="211" t="s">
        <v>130</v>
      </c>
      <c r="AP40" s="211" t="s">
        <v>130</v>
      </c>
      <c r="AQ40" s="211" t="s">
        <v>130</v>
      </c>
      <c r="AR40" s="211" t="s">
        <v>130</v>
      </c>
      <c r="AS40" s="211" t="s">
        <v>130</v>
      </c>
      <c r="AT40" s="211" t="s">
        <v>130</v>
      </c>
      <c r="AU40" s="211" t="s">
        <v>130</v>
      </c>
      <c r="AV40" s="211">
        <v>0</v>
      </c>
      <c r="AW40" s="211">
        <v>0</v>
      </c>
      <c r="AX40" s="211">
        <v>0</v>
      </c>
      <c r="AY40" s="211">
        <v>54.042397088999998</v>
      </c>
      <c r="AZ40" s="211">
        <v>243.16759999999999</v>
      </c>
      <c r="BA40" s="211">
        <v>496.8</v>
      </c>
      <c r="BB40" s="211">
        <v>872.03740000000005</v>
      </c>
      <c r="BC40" s="211">
        <v>1300.6400000000001</v>
      </c>
      <c r="BD40" s="211">
        <v>1726.6714390666</v>
      </c>
      <c r="BE40" s="321"/>
      <c r="BF40" s="321"/>
    </row>
    <row r="41" spans="1:58" s="215" customFormat="1" x14ac:dyDescent="0.25">
      <c r="A41" s="325">
        <v>29</v>
      </c>
      <c r="B41" s="215" t="s">
        <v>412</v>
      </c>
      <c r="C41" s="211" t="s">
        <v>130</v>
      </c>
      <c r="D41" s="211" t="s">
        <v>130</v>
      </c>
      <c r="E41" s="211" t="s">
        <v>130</v>
      </c>
      <c r="F41" s="211" t="s">
        <v>130</v>
      </c>
      <c r="G41" s="211" t="s">
        <v>130</v>
      </c>
      <c r="H41" s="211" t="s">
        <v>130</v>
      </c>
      <c r="I41" s="211" t="s">
        <v>130</v>
      </c>
      <c r="J41" s="211" t="s">
        <v>130</v>
      </c>
      <c r="K41" s="211" t="s">
        <v>130</v>
      </c>
      <c r="L41" s="211" t="s">
        <v>130</v>
      </c>
      <c r="M41" s="211" t="s">
        <v>130</v>
      </c>
      <c r="N41" s="211" t="s">
        <v>130</v>
      </c>
      <c r="O41" s="211" t="s">
        <v>130</v>
      </c>
      <c r="P41" s="211" t="s">
        <v>130</v>
      </c>
      <c r="Q41" s="211" t="s">
        <v>130</v>
      </c>
      <c r="R41" s="211" t="s">
        <v>130</v>
      </c>
      <c r="S41" s="211" t="s">
        <v>130</v>
      </c>
      <c r="T41" s="211" t="s">
        <v>130</v>
      </c>
      <c r="U41" s="211" t="s">
        <v>130</v>
      </c>
      <c r="V41" s="211" t="s">
        <v>130</v>
      </c>
      <c r="W41" s="211" t="s">
        <v>130</v>
      </c>
      <c r="X41" s="211" t="s">
        <v>130</v>
      </c>
      <c r="Y41" s="211" t="s">
        <v>130</v>
      </c>
      <c r="Z41" s="211" t="s">
        <v>130</v>
      </c>
      <c r="AA41" s="211" t="s">
        <v>130</v>
      </c>
      <c r="AB41" s="211" t="s">
        <v>130</v>
      </c>
      <c r="AC41" s="211" t="s">
        <v>130</v>
      </c>
      <c r="AD41" s="211">
        <v>152.31</v>
      </c>
      <c r="AE41" s="211">
        <v>275.8</v>
      </c>
      <c r="AF41" s="211">
        <v>503.32</v>
      </c>
      <c r="AG41" s="211">
        <v>726.07</v>
      </c>
      <c r="AH41" s="211">
        <v>1091.6125182999999</v>
      </c>
      <c r="AI41" s="211">
        <v>1825.5745092</v>
      </c>
      <c r="AJ41" s="211">
        <v>2388.9867097000001</v>
      </c>
      <c r="AK41" s="211">
        <v>2559.7534961000001</v>
      </c>
      <c r="AL41" s="211">
        <v>3880.9052489999999</v>
      </c>
      <c r="AM41" s="211" t="s">
        <v>130</v>
      </c>
      <c r="AN41" s="211" t="s">
        <v>130</v>
      </c>
      <c r="AO41" s="211" t="s">
        <v>130</v>
      </c>
      <c r="AP41" s="211" t="s">
        <v>130</v>
      </c>
      <c r="AQ41" s="211" t="s">
        <v>130</v>
      </c>
      <c r="AR41" s="211" t="s">
        <v>130</v>
      </c>
      <c r="AS41" s="211" t="s">
        <v>130</v>
      </c>
      <c r="AT41" s="211" t="s">
        <v>130</v>
      </c>
      <c r="AU41" s="211" t="s">
        <v>130</v>
      </c>
      <c r="AV41" s="211">
        <v>152.31</v>
      </c>
      <c r="AW41" s="211">
        <v>275.8</v>
      </c>
      <c r="AX41" s="211">
        <v>503.32</v>
      </c>
      <c r="AY41" s="211">
        <v>726.07</v>
      </c>
      <c r="AZ41" s="211">
        <v>1091.6125182999999</v>
      </c>
      <c r="BA41" s="211">
        <v>1825.5745092</v>
      </c>
      <c r="BB41" s="211">
        <v>2388.9867097000001</v>
      </c>
      <c r="BC41" s="211">
        <v>2559.7534961000001</v>
      </c>
      <c r="BD41" s="211">
        <v>3880.9052489999999</v>
      </c>
      <c r="BE41" s="321"/>
      <c r="BF41" s="321"/>
    </row>
    <row r="42" spans="1:58" s="215" customFormat="1" x14ac:dyDescent="0.25">
      <c r="A42" s="325">
        <v>30</v>
      </c>
      <c r="B42" s="215" t="s">
        <v>423</v>
      </c>
      <c r="C42" s="211" t="s">
        <v>130</v>
      </c>
      <c r="D42" s="211" t="s">
        <v>130</v>
      </c>
      <c r="E42" s="211" t="s">
        <v>130</v>
      </c>
      <c r="F42" s="211" t="s">
        <v>130</v>
      </c>
      <c r="G42" s="211" t="s">
        <v>130</v>
      </c>
      <c r="H42" s="211" t="s">
        <v>130</v>
      </c>
      <c r="I42" s="211" t="s">
        <v>130</v>
      </c>
      <c r="J42" s="211" t="s">
        <v>130</v>
      </c>
      <c r="K42" s="211" t="s">
        <v>130</v>
      </c>
      <c r="L42" s="211" t="s">
        <v>130</v>
      </c>
      <c r="M42" s="211" t="s">
        <v>130</v>
      </c>
      <c r="N42" s="211" t="s">
        <v>130</v>
      </c>
      <c r="O42" s="211" t="s">
        <v>130</v>
      </c>
      <c r="P42" s="211" t="s">
        <v>130</v>
      </c>
      <c r="Q42" s="211" t="s">
        <v>130</v>
      </c>
      <c r="R42" s="211" t="s">
        <v>130</v>
      </c>
      <c r="S42" s="211" t="s">
        <v>130</v>
      </c>
      <c r="T42" s="211" t="s">
        <v>130</v>
      </c>
      <c r="U42" s="211" t="s">
        <v>130</v>
      </c>
      <c r="V42" s="211" t="s">
        <v>130</v>
      </c>
      <c r="W42" s="211" t="s">
        <v>130</v>
      </c>
      <c r="X42" s="211" t="s">
        <v>130</v>
      </c>
      <c r="Y42" s="211" t="s">
        <v>130</v>
      </c>
      <c r="Z42" s="211" t="s">
        <v>130</v>
      </c>
      <c r="AA42" s="211" t="s">
        <v>130</v>
      </c>
      <c r="AB42" s="211" t="s">
        <v>130</v>
      </c>
      <c r="AC42" s="211" t="s">
        <v>130</v>
      </c>
      <c r="AD42" s="211">
        <v>692.47</v>
      </c>
      <c r="AE42" s="211">
        <v>803.13</v>
      </c>
      <c r="AF42" s="211">
        <v>1022.1761455</v>
      </c>
      <c r="AG42" s="211">
        <v>1301.9305141</v>
      </c>
      <c r="AH42" s="211">
        <v>1717.5095474</v>
      </c>
      <c r="AI42" s="211">
        <v>2194.4394320000001</v>
      </c>
      <c r="AJ42" s="211">
        <v>2521.6609066000001</v>
      </c>
      <c r="AK42" s="211">
        <v>0</v>
      </c>
      <c r="AL42" s="211">
        <v>0</v>
      </c>
      <c r="AM42" s="211" t="s">
        <v>130</v>
      </c>
      <c r="AN42" s="211" t="s">
        <v>130</v>
      </c>
      <c r="AO42" s="211" t="s">
        <v>130</v>
      </c>
      <c r="AP42" s="211" t="s">
        <v>130</v>
      </c>
      <c r="AQ42" s="211" t="s">
        <v>130</v>
      </c>
      <c r="AR42" s="211" t="s">
        <v>130</v>
      </c>
      <c r="AS42" s="211" t="s">
        <v>130</v>
      </c>
      <c r="AT42" s="211" t="s">
        <v>130</v>
      </c>
      <c r="AU42" s="211" t="s">
        <v>130</v>
      </c>
      <c r="AV42" s="211">
        <v>692.47</v>
      </c>
      <c r="AW42" s="211">
        <v>803.13</v>
      </c>
      <c r="AX42" s="211">
        <v>1022.1761455</v>
      </c>
      <c r="AY42" s="211">
        <v>1301.9305141</v>
      </c>
      <c r="AZ42" s="211">
        <v>1717.5095474</v>
      </c>
      <c r="BA42" s="211">
        <v>2194.4394320000001</v>
      </c>
      <c r="BB42" s="211">
        <v>2521.6609066000001</v>
      </c>
      <c r="BC42" s="211">
        <v>0</v>
      </c>
      <c r="BD42" s="211">
        <v>0</v>
      </c>
      <c r="BE42" s="321"/>
      <c r="BF42" s="321"/>
    </row>
    <row r="43" spans="1:58" s="215" customFormat="1" x14ac:dyDescent="0.25">
      <c r="A43" s="325">
        <v>31</v>
      </c>
      <c r="B43" s="316" t="s">
        <v>88</v>
      </c>
      <c r="C43" s="211" t="s">
        <v>130</v>
      </c>
      <c r="D43" s="211" t="s">
        <v>130</v>
      </c>
      <c r="E43" s="211" t="s">
        <v>130</v>
      </c>
      <c r="F43" s="211" t="s">
        <v>130</v>
      </c>
      <c r="G43" s="211" t="s">
        <v>130</v>
      </c>
      <c r="H43" s="211" t="s">
        <v>130</v>
      </c>
      <c r="I43" s="211" t="s">
        <v>130</v>
      </c>
      <c r="J43" s="211" t="s">
        <v>130</v>
      </c>
      <c r="K43" s="211" t="s">
        <v>130</v>
      </c>
      <c r="L43" s="211" t="s">
        <v>130</v>
      </c>
      <c r="M43" s="211" t="s">
        <v>130</v>
      </c>
      <c r="N43" s="211" t="s">
        <v>130</v>
      </c>
      <c r="O43" s="211" t="s">
        <v>130</v>
      </c>
      <c r="P43" s="211" t="s">
        <v>130</v>
      </c>
      <c r="Q43" s="211" t="s">
        <v>130</v>
      </c>
      <c r="R43" s="211" t="s">
        <v>130</v>
      </c>
      <c r="S43" s="211" t="s">
        <v>130</v>
      </c>
      <c r="T43" s="211" t="s">
        <v>130</v>
      </c>
      <c r="U43" s="211" t="s">
        <v>130</v>
      </c>
      <c r="V43" s="211" t="s">
        <v>130</v>
      </c>
      <c r="W43" s="211" t="s">
        <v>130</v>
      </c>
      <c r="X43" s="211" t="s">
        <v>130</v>
      </c>
      <c r="Y43" s="211" t="s">
        <v>130</v>
      </c>
      <c r="Z43" s="211" t="s">
        <v>130</v>
      </c>
      <c r="AA43" s="211" t="s">
        <v>130</v>
      </c>
      <c r="AB43" s="211" t="s">
        <v>130</v>
      </c>
      <c r="AC43" s="211" t="s">
        <v>130</v>
      </c>
      <c r="AD43" s="211">
        <v>0.34</v>
      </c>
      <c r="AE43" s="211">
        <v>21.83</v>
      </c>
      <c r="AF43" s="211">
        <v>143.81656548399999</v>
      </c>
      <c r="AG43" s="211">
        <v>221.80435570200001</v>
      </c>
      <c r="AH43" s="211">
        <v>346.40490590600001</v>
      </c>
      <c r="AI43" s="211">
        <v>484.82219210900001</v>
      </c>
      <c r="AJ43" s="211">
        <v>576.19411488200001</v>
      </c>
      <c r="AK43" s="211">
        <v>755.49115408499904</v>
      </c>
      <c r="AL43" s="211">
        <v>986.17727547200104</v>
      </c>
      <c r="AM43" s="211" t="s">
        <v>130</v>
      </c>
      <c r="AN43" s="211" t="s">
        <v>130</v>
      </c>
      <c r="AO43" s="211" t="s">
        <v>130</v>
      </c>
      <c r="AP43" s="211" t="s">
        <v>130</v>
      </c>
      <c r="AQ43" s="211" t="s">
        <v>130</v>
      </c>
      <c r="AR43" s="211" t="s">
        <v>130</v>
      </c>
      <c r="AS43" s="211" t="s">
        <v>130</v>
      </c>
      <c r="AT43" s="211" t="s">
        <v>130</v>
      </c>
      <c r="AU43" s="211" t="s">
        <v>130</v>
      </c>
      <c r="AV43" s="211">
        <v>0.34</v>
      </c>
      <c r="AW43" s="211">
        <v>21.83</v>
      </c>
      <c r="AX43" s="211">
        <v>143.81656548399999</v>
      </c>
      <c r="AY43" s="211">
        <v>221.80435570200001</v>
      </c>
      <c r="AZ43" s="211">
        <v>346.40490590600001</v>
      </c>
      <c r="BA43" s="211">
        <v>484.82219210900001</v>
      </c>
      <c r="BB43" s="211">
        <v>576.19411488200001</v>
      </c>
      <c r="BC43" s="211">
        <v>755.49115408499904</v>
      </c>
      <c r="BD43" s="211">
        <v>986.17727547200104</v>
      </c>
      <c r="BE43" s="321"/>
      <c r="BF43" s="321"/>
    </row>
    <row r="44" spans="1:58" s="215" customFormat="1" x14ac:dyDescent="0.25">
      <c r="A44" s="325">
        <v>32</v>
      </c>
      <c r="B44" s="191" t="s">
        <v>502</v>
      </c>
      <c r="C44" s="211" t="s">
        <v>130</v>
      </c>
      <c r="D44" s="211" t="s">
        <v>130</v>
      </c>
      <c r="E44" s="211" t="s">
        <v>130</v>
      </c>
      <c r="F44" s="211" t="s">
        <v>130</v>
      </c>
      <c r="G44" s="211" t="s">
        <v>130</v>
      </c>
      <c r="H44" s="211" t="s">
        <v>130</v>
      </c>
      <c r="I44" s="211" t="s">
        <v>130</v>
      </c>
      <c r="J44" s="211" t="s">
        <v>130</v>
      </c>
      <c r="K44" s="211" t="s">
        <v>130</v>
      </c>
      <c r="L44" s="211" t="s">
        <v>130</v>
      </c>
      <c r="M44" s="211" t="s">
        <v>130</v>
      </c>
      <c r="N44" s="211" t="s">
        <v>130</v>
      </c>
      <c r="O44" s="211" t="s">
        <v>130</v>
      </c>
      <c r="P44" s="211" t="s">
        <v>130</v>
      </c>
      <c r="Q44" s="211" t="s">
        <v>130</v>
      </c>
      <c r="R44" s="211" t="s">
        <v>130</v>
      </c>
      <c r="S44" s="211" t="s">
        <v>130</v>
      </c>
      <c r="T44" s="211" t="s">
        <v>130</v>
      </c>
      <c r="U44" s="211" t="s">
        <v>130</v>
      </c>
      <c r="V44" s="211" t="s">
        <v>130</v>
      </c>
      <c r="W44" s="211" t="s">
        <v>130</v>
      </c>
      <c r="X44" s="211" t="s">
        <v>130</v>
      </c>
      <c r="Y44" s="211" t="s">
        <v>130</v>
      </c>
      <c r="Z44" s="211" t="s">
        <v>130</v>
      </c>
      <c r="AA44" s="211" t="s">
        <v>130</v>
      </c>
      <c r="AB44" s="211" t="s">
        <v>130</v>
      </c>
      <c r="AC44" s="211" t="s">
        <v>130</v>
      </c>
      <c r="AD44" s="211">
        <v>308.85000000000002</v>
      </c>
      <c r="AE44" s="211">
        <v>372.66</v>
      </c>
      <c r="AF44" s="211">
        <v>476.00922724713928</v>
      </c>
      <c r="AG44" s="211">
        <v>593.93376279999995</v>
      </c>
      <c r="AH44" s="211">
        <v>754.47154920789603</v>
      </c>
      <c r="AI44" s="211">
        <v>947.01566542199998</v>
      </c>
      <c r="AJ44" s="211">
        <v>1242.886873291</v>
      </c>
      <c r="AK44" s="211">
        <v>1750.777903892</v>
      </c>
      <c r="AL44" s="211">
        <v>2809.9712799184499</v>
      </c>
      <c r="AM44" s="211" t="s">
        <v>130</v>
      </c>
      <c r="AN44" s="211" t="s">
        <v>130</v>
      </c>
      <c r="AO44" s="211" t="s">
        <v>130</v>
      </c>
      <c r="AP44" s="211" t="s">
        <v>130</v>
      </c>
      <c r="AQ44" s="211" t="s">
        <v>130</v>
      </c>
      <c r="AR44" s="211" t="s">
        <v>130</v>
      </c>
      <c r="AS44" s="211" t="s">
        <v>130</v>
      </c>
      <c r="AT44" s="211" t="s">
        <v>130</v>
      </c>
      <c r="AU44" s="211" t="s">
        <v>130</v>
      </c>
      <c r="AV44" s="211">
        <v>308.85000000000002</v>
      </c>
      <c r="AW44" s="211">
        <v>372.66</v>
      </c>
      <c r="AX44" s="211">
        <v>476.00922724713928</v>
      </c>
      <c r="AY44" s="211">
        <v>593.93376279999995</v>
      </c>
      <c r="AZ44" s="211">
        <v>754.47154920789603</v>
      </c>
      <c r="BA44" s="211">
        <v>947.01566542199998</v>
      </c>
      <c r="BB44" s="211">
        <v>1242.886873291</v>
      </c>
      <c r="BC44" s="211">
        <v>1750.777903892</v>
      </c>
      <c r="BD44" s="211">
        <v>2809.9712799184499</v>
      </c>
      <c r="BE44" s="321"/>
      <c r="BF44" s="321"/>
    </row>
    <row r="45" spans="1:58" s="215" customFormat="1" x14ac:dyDescent="0.25">
      <c r="A45" s="325">
        <v>33</v>
      </c>
      <c r="B45" s="215" t="s">
        <v>413</v>
      </c>
      <c r="C45" s="211" t="s">
        <v>130</v>
      </c>
      <c r="D45" s="211" t="s">
        <v>130</v>
      </c>
      <c r="E45" s="211" t="s">
        <v>130</v>
      </c>
      <c r="F45" s="211" t="s">
        <v>130</v>
      </c>
      <c r="G45" s="211" t="s">
        <v>130</v>
      </c>
      <c r="H45" s="211" t="s">
        <v>130</v>
      </c>
      <c r="I45" s="211" t="s">
        <v>130</v>
      </c>
      <c r="J45" s="211" t="s">
        <v>130</v>
      </c>
      <c r="K45" s="211" t="s">
        <v>130</v>
      </c>
      <c r="L45" s="211" t="s">
        <v>130</v>
      </c>
      <c r="M45" s="211" t="s">
        <v>130</v>
      </c>
      <c r="N45" s="211" t="s">
        <v>130</v>
      </c>
      <c r="O45" s="211" t="s">
        <v>130</v>
      </c>
      <c r="P45" s="211" t="s">
        <v>130</v>
      </c>
      <c r="Q45" s="211" t="s">
        <v>130</v>
      </c>
      <c r="R45" s="211" t="s">
        <v>130</v>
      </c>
      <c r="S45" s="211" t="s">
        <v>130</v>
      </c>
      <c r="T45" s="211" t="s">
        <v>130</v>
      </c>
      <c r="U45" s="211" t="s">
        <v>130</v>
      </c>
      <c r="V45" s="211" t="s">
        <v>130</v>
      </c>
      <c r="W45" s="211" t="s">
        <v>130</v>
      </c>
      <c r="X45" s="211" t="s">
        <v>130</v>
      </c>
      <c r="Y45" s="211" t="s">
        <v>130</v>
      </c>
      <c r="Z45" s="211" t="s">
        <v>130</v>
      </c>
      <c r="AA45" s="211" t="s">
        <v>130</v>
      </c>
      <c r="AB45" s="211" t="s">
        <v>130</v>
      </c>
      <c r="AC45" s="211" t="s">
        <v>130</v>
      </c>
      <c r="AD45" s="211" t="s">
        <v>130</v>
      </c>
      <c r="AE45" s="211" t="s">
        <v>130</v>
      </c>
      <c r="AF45" s="211" t="s">
        <v>130</v>
      </c>
      <c r="AG45" s="211" t="s">
        <v>130</v>
      </c>
      <c r="AH45" s="211" t="s">
        <v>130</v>
      </c>
      <c r="AI45" s="211">
        <v>4.0894933</v>
      </c>
      <c r="AJ45" s="211">
        <v>5.9851999999999999</v>
      </c>
      <c r="AK45" s="211">
        <v>-0.01</v>
      </c>
      <c r="AL45" s="211">
        <v>-0.02</v>
      </c>
      <c r="AM45" s="211" t="s">
        <v>130</v>
      </c>
      <c r="AN45" s="211" t="s">
        <v>130</v>
      </c>
      <c r="AO45" s="211" t="s">
        <v>130</v>
      </c>
      <c r="AP45" s="211" t="s">
        <v>130</v>
      </c>
      <c r="AQ45" s="211" t="s">
        <v>130</v>
      </c>
      <c r="AR45" s="211" t="s">
        <v>130</v>
      </c>
      <c r="AS45" s="211" t="s">
        <v>130</v>
      </c>
      <c r="AT45" s="211" t="s">
        <v>130</v>
      </c>
      <c r="AU45" s="211" t="s">
        <v>130</v>
      </c>
      <c r="AV45" s="211" t="s">
        <v>130</v>
      </c>
      <c r="AW45" s="211" t="s">
        <v>130</v>
      </c>
      <c r="AX45" s="211" t="s">
        <v>130</v>
      </c>
      <c r="AY45" s="211" t="s">
        <v>130</v>
      </c>
      <c r="AZ45" s="211" t="s">
        <v>130</v>
      </c>
      <c r="BA45" s="211">
        <v>4.0894933</v>
      </c>
      <c r="BB45" s="211">
        <v>5.9851999999999999</v>
      </c>
      <c r="BC45" s="211">
        <v>-0.01</v>
      </c>
      <c r="BD45" s="211">
        <v>-0.02</v>
      </c>
      <c r="BE45" s="321"/>
      <c r="BF45" s="321"/>
    </row>
    <row r="46" spans="1:58" s="215" customFormat="1" x14ac:dyDescent="0.25">
      <c r="A46" s="325">
        <v>34</v>
      </c>
      <c r="B46" s="313" t="s">
        <v>95</v>
      </c>
      <c r="C46" s="211" t="s">
        <v>130</v>
      </c>
      <c r="D46" s="211" t="s">
        <v>130</v>
      </c>
      <c r="E46" s="211" t="s">
        <v>130</v>
      </c>
      <c r="F46" s="211" t="s">
        <v>130</v>
      </c>
      <c r="G46" s="211" t="s">
        <v>130</v>
      </c>
      <c r="H46" s="211" t="s">
        <v>130</v>
      </c>
      <c r="I46" s="211" t="s">
        <v>130</v>
      </c>
      <c r="J46" s="211" t="s">
        <v>130</v>
      </c>
      <c r="K46" s="211" t="s">
        <v>130</v>
      </c>
      <c r="L46" s="211" t="s">
        <v>130</v>
      </c>
      <c r="M46" s="211" t="s">
        <v>130</v>
      </c>
      <c r="N46" s="211" t="s">
        <v>130</v>
      </c>
      <c r="O46" s="211" t="s">
        <v>130</v>
      </c>
      <c r="P46" s="211" t="s">
        <v>130</v>
      </c>
      <c r="Q46" s="211" t="s">
        <v>130</v>
      </c>
      <c r="R46" s="211" t="s">
        <v>130</v>
      </c>
      <c r="S46" s="211" t="s">
        <v>130</v>
      </c>
      <c r="T46" s="211" t="s">
        <v>130</v>
      </c>
      <c r="U46" s="211" t="s">
        <v>130</v>
      </c>
      <c r="V46" s="211" t="s">
        <v>130</v>
      </c>
      <c r="W46" s="211" t="s">
        <v>130</v>
      </c>
      <c r="X46" s="211" t="s">
        <v>130</v>
      </c>
      <c r="Y46" s="211" t="s">
        <v>130</v>
      </c>
      <c r="Z46" s="211" t="s">
        <v>130</v>
      </c>
      <c r="AA46" s="211" t="s">
        <v>130</v>
      </c>
      <c r="AB46" s="211" t="s">
        <v>130</v>
      </c>
      <c r="AC46" s="211" t="s">
        <v>130</v>
      </c>
      <c r="AD46" s="211">
        <v>1091.08</v>
      </c>
      <c r="AE46" s="211">
        <v>1469.19</v>
      </c>
      <c r="AF46" s="211">
        <v>2007.3425331999999</v>
      </c>
      <c r="AG46" s="211">
        <v>2960.0528530489996</v>
      </c>
      <c r="AH46" s="211">
        <v>4161.1145425000004</v>
      </c>
      <c r="AI46" s="211">
        <v>5401.2924911928303</v>
      </c>
      <c r="AJ46" s="211">
        <v>6865.1417977909996</v>
      </c>
      <c r="AK46" s="211">
        <v>9388.5387456000008</v>
      </c>
      <c r="AL46" s="211">
        <v>11463.4715178879</v>
      </c>
      <c r="AM46" s="211" t="s">
        <v>130</v>
      </c>
      <c r="AN46" s="211" t="s">
        <v>130</v>
      </c>
      <c r="AO46" s="211" t="s">
        <v>130</v>
      </c>
      <c r="AP46" s="211" t="s">
        <v>130</v>
      </c>
      <c r="AQ46" s="211" t="s">
        <v>130</v>
      </c>
      <c r="AR46" s="211" t="s">
        <v>130</v>
      </c>
      <c r="AS46" s="211" t="s">
        <v>130</v>
      </c>
      <c r="AT46" s="211" t="s">
        <v>130</v>
      </c>
      <c r="AU46" s="211" t="s">
        <v>130</v>
      </c>
      <c r="AV46" s="211">
        <v>1091.08</v>
      </c>
      <c r="AW46" s="211">
        <v>1469.19</v>
      </c>
      <c r="AX46" s="211">
        <v>2007.3425331999999</v>
      </c>
      <c r="AY46" s="211">
        <v>2960.0528530489996</v>
      </c>
      <c r="AZ46" s="211">
        <v>4161.1145425000004</v>
      </c>
      <c r="BA46" s="211">
        <v>5401.2924911928303</v>
      </c>
      <c r="BB46" s="211">
        <v>6865.1417977909996</v>
      </c>
      <c r="BC46" s="211">
        <v>9388.5387456000008</v>
      </c>
      <c r="BD46" s="211">
        <v>11463.4715178879</v>
      </c>
      <c r="BE46" s="321"/>
      <c r="BF46" s="321"/>
    </row>
    <row r="47" spans="1:58" s="109" customFormat="1" x14ac:dyDescent="0.25">
      <c r="A47" s="325"/>
      <c r="B47" s="109" t="s">
        <v>119</v>
      </c>
      <c r="C47" s="212" t="s">
        <v>130</v>
      </c>
      <c r="D47" s="212" t="s">
        <v>130</v>
      </c>
      <c r="E47" s="212" t="s">
        <v>130</v>
      </c>
      <c r="F47" s="212" t="s">
        <v>130</v>
      </c>
      <c r="G47" s="212" t="s">
        <v>130</v>
      </c>
      <c r="H47" s="212" t="s">
        <v>130</v>
      </c>
      <c r="I47" s="212" t="s">
        <v>130</v>
      </c>
      <c r="J47" s="212" t="s">
        <v>130</v>
      </c>
      <c r="K47" s="212" t="s">
        <v>130</v>
      </c>
      <c r="L47" s="212" t="s">
        <v>130</v>
      </c>
      <c r="M47" s="212" t="s">
        <v>130</v>
      </c>
      <c r="N47" s="212" t="s">
        <v>130</v>
      </c>
      <c r="O47" s="212" t="s">
        <v>130</v>
      </c>
      <c r="P47" s="212" t="s">
        <v>130</v>
      </c>
      <c r="Q47" s="212" t="s">
        <v>130</v>
      </c>
      <c r="R47" s="212" t="s">
        <v>130</v>
      </c>
      <c r="S47" s="212" t="s">
        <v>130</v>
      </c>
      <c r="T47" s="212" t="s">
        <v>130</v>
      </c>
      <c r="U47" s="212" t="s">
        <v>130</v>
      </c>
      <c r="V47" s="212" t="s">
        <v>130</v>
      </c>
      <c r="W47" s="212" t="s">
        <v>130</v>
      </c>
      <c r="X47" s="212" t="s">
        <v>130</v>
      </c>
      <c r="Y47" s="212" t="s">
        <v>130</v>
      </c>
      <c r="Z47" s="212" t="s">
        <v>130</v>
      </c>
      <c r="AA47" s="212" t="s">
        <v>130</v>
      </c>
      <c r="AB47" s="212" t="s">
        <v>130</v>
      </c>
      <c r="AC47" s="212" t="s">
        <v>130</v>
      </c>
      <c r="AD47" s="212">
        <v>2245.0500000000002</v>
      </c>
      <c r="AE47" s="212">
        <v>2942.61</v>
      </c>
      <c r="AF47" s="212">
        <v>4152.6644714311396</v>
      </c>
      <c r="AG47" s="212">
        <v>5857.8338827400003</v>
      </c>
      <c r="AH47" s="212">
        <v>8314.2806633138971</v>
      </c>
      <c r="AI47" s="212">
        <v>11354.033783223829</v>
      </c>
      <c r="AJ47" s="212">
        <v>14472.893002263998</v>
      </c>
      <c r="AK47" s="212">
        <v>15755.191299677001</v>
      </c>
      <c r="AL47" s="212">
        <v>20867.176761344948</v>
      </c>
      <c r="AM47" s="212" t="s">
        <v>130</v>
      </c>
      <c r="AN47" s="212" t="s">
        <v>130</v>
      </c>
      <c r="AO47" s="212" t="s">
        <v>130</v>
      </c>
      <c r="AP47" s="212" t="s">
        <v>130</v>
      </c>
      <c r="AQ47" s="212" t="s">
        <v>130</v>
      </c>
      <c r="AR47" s="212" t="s">
        <v>130</v>
      </c>
      <c r="AS47" s="212" t="s">
        <v>130</v>
      </c>
      <c r="AT47" s="212" t="s">
        <v>130</v>
      </c>
      <c r="AU47" s="212" t="s">
        <v>130</v>
      </c>
      <c r="AV47" s="212">
        <v>2245.0500000000002</v>
      </c>
      <c r="AW47" s="212">
        <v>2942.61</v>
      </c>
      <c r="AX47" s="212">
        <v>4152.6644714311396</v>
      </c>
      <c r="AY47" s="212">
        <v>5857.8338827400003</v>
      </c>
      <c r="AZ47" s="212">
        <v>8314.2806633138971</v>
      </c>
      <c r="BA47" s="212">
        <v>11354.033783223829</v>
      </c>
      <c r="BB47" s="212">
        <v>14472.893002263998</v>
      </c>
      <c r="BC47" s="212">
        <v>15755.191299677001</v>
      </c>
      <c r="BD47" s="212">
        <v>20867.176761344948</v>
      </c>
      <c r="BE47" s="321"/>
      <c r="BF47" s="321"/>
    </row>
    <row r="48" spans="1:58" s="215" customFormat="1" x14ac:dyDescent="0.25">
      <c r="A48" s="326"/>
      <c r="B48" s="108" t="s">
        <v>120</v>
      </c>
      <c r="C48" s="213">
        <v>7362.6280999999999</v>
      </c>
      <c r="D48" s="213">
        <v>8056.5421999999999</v>
      </c>
      <c r="E48" s="213">
        <v>8731.4638079619945</v>
      </c>
      <c r="F48" s="213">
        <v>9538.0059846539989</v>
      </c>
      <c r="G48" s="213">
        <v>10780.703182017998</v>
      </c>
      <c r="H48" s="213">
        <v>11667.643080373</v>
      </c>
      <c r="I48" s="213">
        <v>15728.702978874</v>
      </c>
      <c r="J48" s="213">
        <v>20112.885342806996</v>
      </c>
      <c r="K48" s="213">
        <v>21551.030755053427</v>
      </c>
      <c r="L48" s="213">
        <v>3161.793413548</v>
      </c>
      <c r="M48" s="213">
        <v>3020.0642699999999</v>
      </c>
      <c r="N48" s="213">
        <v>2984.3798559419929</v>
      </c>
      <c r="O48" s="213">
        <v>2917.4671181849999</v>
      </c>
      <c r="P48" s="213">
        <v>2894.6629021449999</v>
      </c>
      <c r="Q48" s="213">
        <v>3238.1407322210002</v>
      </c>
      <c r="R48" s="213">
        <v>3532.416104594</v>
      </c>
      <c r="S48" s="213">
        <v>3488.0903668609999</v>
      </c>
      <c r="T48" s="213">
        <v>4167.6072065613171</v>
      </c>
      <c r="U48" s="213">
        <v>33822.751399999994</v>
      </c>
      <c r="V48" s="213">
        <v>37379.326000000001</v>
      </c>
      <c r="W48" s="213">
        <v>42300.855609438928</v>
      </c>
      <c r="X48" s="213">
        <v>50250.531560418007</v>
      </c>
      <c r="Y48" s="213">
        <v>59246.108626570996</v>
      </c>
      <c r="Z48" s="213">
        <v>64522.348135347427</v>
      </c>
      <c r="AA48" s="213">
        <v>68951.066686981008</v>
      </c>
      <c r="AB48" s="213">
        <v>67792.188286255987</v>
      </c>
      <c r="AC48" s="213">
        <v>70433.480586109072</v>
      </c>
      <c r="AD48" s="213">
        <v>19634.300899999998</v>
      </c>
      <c r="AE48" s="213">
        <v>22636.57</v>
      </c>
      <c r="AF48" s="213">
        <v>27457.304615013025</v>
      </c>
      <c r="AG48" s="213">
        <v>34526.612353197997</v>
      </c>
      <c r="AH48" s="213">
        <v>41980.562646638806</v>
      </c>
      <c r="AI48" s="213">
        <v>50833.547525593502</v>
      </c>
      <c r="AJ48" s="213">
        <v>56865.128484909466</v>
      </c>
      <c r="AK48" s="213">
        <v>63752.974935821941</v>
      </c>
      <c r="AL48" s="213">
        <v>80502.270552652626</v>
      </c>
      <c r="AM48" s="213">
        <v>13572.342200000001</v>
      </c>
      <c r="AN48" s="213">
        <v>13593.227199999999</v>
      </c>
      <c r="AO48" s="213">
        <v>14905.374923322199</v>
      </c>
      <c r="AP48" s="213">
        <v>30895.722193961999</v>
      </c>
      <c r="AQ48" s="213">
        <v>35760.093833224004</v>
      </c>
      <c r="AR48" s="213">
        <v>39186.779875705441</v>
      </c>
      <c r="AS48" s="213">
        <v>43839.307818464004</v>
      </c>
      <c r="AT48" s="213">
        <v>43568.584208295993</v>
      </c>
      <c r="AU48" s="213">
        <v>44045.824451822504</v>
      </c>
      <c r="AV48" s="213">
        <v>77553.817800000019</v>
      </c>
      <c r="AW48" s="213">
        <v>84685.729670000001</v>
      </c>
      <c r="AX48" s="213">
        <v>96379.378811678151</v>
      </c>
      <c r="AY48" s="213">
        <v>128128.33921041701</v>
      </c>
      <c r="AZ48" s="213">
        <v>150662.13119059679</v>
      </c>
      <c r="BA48" s="213">
        <v>169448.45934924038</v>
      </c>
      <c r="BB48" s="213">
        <v>188916.62207382245</v>
      </c>
      <c r="BC48" s="213">
        <v>198714.72314004201</v>
      </c>
      <c r="BD48" s="213">
        <v>220700.21355219895</v>
      </c>
      <c r="BE48" s="321"/>
      <c r="BF48" s="321"/>
    </row>
    <row r="49" spans="1:56" s="320" customFormat="1" x14ac:dyDescent="0.25">
      <c r="A49" s="320" t="s">
        <v>504</v>
      </c>
    </row>
    <row r="50" spans="1:56" x14ac:dyDescent="0.2">
      <c r="A50" s="215" t="s">
        <v>418</v>
      </c>
      <c r="C50" s="629"/>
      <c r="D50" s="629"/>
      <c r="E50" s="630"/>
      <c r="F50" s="630"/>
      <c r="G50" s="629"/>
      <c r="H50" s="629"/>
      <c r="I50" s="629"/>
      <c r="J50" s="629"/>
      <c r="K50" s="629"/>
      <c r="L50" s="292"/>
      <c r="M50" s="631"/>
      <c r="N50" s="292"/>
      <c r="O50" s="292"/>
      <c r="P50" s="292"/>
      <c r="Q50" s="292"/>
      <c r="R50" s="292"/>
      <c r="S50" s="292"/>
      <c r="T50" s="292"/>
      <c r="U50" s="292"/>
      <c r="V50" s="292"/>
      <c r="W50" s="292"/>
      <c r="X50" s="292"/>
      <c r="Y50" s="292"/>
      <c r="Z50" s="292"/>
      <c r="AA50" s="292"/>
      <c r="AB50" s="292"/>
      <c r="AC50" s="292"/>
      <c r="AD50" s="292"/>
      <c r="AE50" s="292"/>
      <c r="AF50" s="292"/>
      <c r="AG50" s="292"/>
      <c r="AH50" s="292"/>
      <c r="AI50" s="292"/>
      <c r="AJ50" s="292"/>
      <c r="AK50" s="292"/>
      <c r="AL50" s="292"/>
      <c r="AM50" s="629"/>
      <c r="AN50" s="629"/>
      <c r="AO50" s="629"/>
      <c r="AP50" s="629"/>
      <c r="AQ50" s="629"/>
      <c r="AR50" s="629"/>
      <c r="AS50" s="629"/>
      <c r="AT50" s="629"/>
      <c r="AU50" s="629"/>
    </row>
    <row r="51" spans="1:56" x14ac:dyDescent="0.2">
      <c r="A51" s="215" t="s">
        <v>419</v>
      </c>
      <c r="C51" s="629"/>
      <c r="D51" s="629"/>
      <c r="E51" s="630"/>
      <c r="F51" s="630"/>
      <c r="G51" s="629"/>
      <c r="H51" s="629"/>
      <c r="I51" s="629"/>
      <c r="J51" s="629"/>
      <c r="K51" s="629"/>
      <c r="L51" s="292"/>
      <c r="M51" s="631"/>
      <c r="N51" s="292"/>
      <c r="O51" s="292"/>
      <c r="P51" s="292"/>
      <c r="Q51" s="292"/>
      <c r="R51" s="292"/>
      <c r="S51" s="292"/>
      <c r="T51" s="292"/>
      <c r="U51" s="292"/>
      <c r="V51" s="292"/>
      <c r="W51" s="292"/>
      <c r="X51" s="292"/>
      <c r="Y51" s="292"/>
      <c r="Z51" s="292"/>
      <c r="AA51" s="292"/>
      <c r="AB51" s="292"/>
      <c r="AC51" s="292"/>
      <c r="AD51" s="292"/>
      <c r="AE51" s="292"/>
      <c r="AF51" s="292"/>
      <c r="AG51" s="292"/>
      <c r="AH51" s="292"/>
      <c r="AI51" s="292"/>
      <c r="AJ51" s="292"/>
      <c r="AK51" s="292"/>
      <c r="AL51" s="292"/>
      <c r="AM51" s="629"/>
      <c r="AN51" s="629"/>
      <c r="AO51" s="629"/>
      <c r="AP51" s="629"/>
      <c r="AQ51" s="629"/>
      <c r="AR51" s="629"/>
      <c r="AS51" s="629"/>
      <c r="AT51" s="629"/>
      <c r="AU51" s="629"/>
    </row>
    <row r="52" spans="1:56" s="196" customFormat="1" x14ac:dyDescent="0.25">
      <c r="A52" s="632" t="s">
        <v>411</v>
      </c>
    </row>
    <row r="53" spans="1:56" s="320" customFormat="1" x14ac:dyDescent="0.25">
      <c r="A53" s="319" t="s">
        <v>505</v>
      </c>
    </row>
    <row r="54" spans="1:56" x14ac:dyDescent="0.2">
      <c r="A54" s="315" t="s">
        <v>441</v>
      </c>
      <c r="C54" s="629"/>
      <c r="D54" s="629"/>
      <c r="E54" s="630"/>
      <c r="F54" s="630"/>
      <c r="G54" s="629"/>
      <c r="H54" s="629"/>
      <c r="I54" s="629"/>
      <c r="J54" s="629"/>
      <c r="K54" s="629"/>
      <c r="L54" s="292"/>
      <c r="M54" s="631"/>
      <c r="N54" s="292"/>
      <c r="O54" s="292"/>
      <c r="P54" s="292"/>
      <c r="Q54" s="292"/>
      <c r="R54" s="292"/>
      <c r="S54" s="292"/>
      <c r="T54" s="292"/>
      <c r="U54" s="292"/>
      <c r="V54" s="292"/>
      <c r="W54" s="292"/>
      <c r="X54" s="292"/>
      <c r="Y54" s="292"/>
      <c r="Z54" s="292"/>
      <c r="AA54" s="292"/>
      <c r="AB54" s="292"/>
      <c r="AC54" s="292"/>
      <c r="AD54" s="292"/>
      <c r="AE54" s="292"/>
      <c r="AF54" s="292"/>
      <c r="AG54" s="292"/>
      <c r="AH54" s="292"/>
      <c r="AI54" s="292"/>
      <c r="AJ54" s="292"/>
      <c r="AK54" s="292"/>
      <c r="AL54" s="292"/>
      <c r="AM54" s="629"/>
      <c r="AN54" s="629"/>
      <c r="AO54" s="629"/>
      <c r="AP54" s="629"/>
      <c r="AQ54" s="629"/>
      <c r="AR54" s="629"/>
      <c r="AS54" s="629"/>
      <c r="AT54" s="629"/>
      <c r="AU54" s="629"/>
    </row>
    <row r="55" spans="1:56" x14ac:dyDescent="0.2">
      <c r="A55" s="249" t="s">
        <v>512</v>
      </c>
      <c r="C55" s="629"/>
      <c r="D55" s="629"/>
      <c r="E55" s="629"/>
      <c r="F55" s="629"/>
      <c r="G55" s="629"/>
      <c r="H55" s="629"/>
      <c r="I55" s="629"/>
      <c r="J55" s="629"/>
      <c r="K55" s="629"/>
      <c r="L55" s="629"/>
      <c r="M55" s="629"/>
      <c r="N55" s="629"/>
      <c r="O55" s="629"/>
      <c r="P55" s="629"/>
      <c r="Q55" s="629"/>
      <c r="R55" s="629"/>
      <c r="S55" s="629"/>
      <c r="T55" s="629"/>
      <c r="U55" s="629"/>
      <c r="V55" s="629"/>
      <c r="W55" s="629"/>
      <c r="X55" s="629"/>
      <c r="Y55" s="629"/>
      <c r="Z55" s="629"/>
      <c r="AA55" s="629"/>
      <c r="AB55" s="629"/>
      <c r="AC55" s="629"/>
      <c r="AD55" s="629"/>
      <c r="AE55" s="629"/>
      <c r="AF55" s="629"/>
      <c r="AG55" s="629"/>
      <c r="AH55" s="629"/>
      <c r="AI55" s="629"/>
      <c r="AJ55" s="629"/>
      <c r="AK55" s="629"/>
      <c r="AL55" s="629"/>
      <c r="AM55" s="629"/>
      <c r="AN55" s="629"/>
      <c r="AO55" s="629"/>
      <c r="AP55" s="629"/>
      <c r="AQ55" s="629"/>
      <c r="AR55" s="629"/>
      <c r="AS55" s="629"/>
      <c r="AT55" s="629"/>
      <c r="AU55" s="629"/>
      <c r="AV55" s="629"/>
      <c r="AW55" s="629"/>
      <c r="AX55" s="629"/>
      <c r="AY55" s="629"/>
      <c r="AZ55" s="629"/>
      <c r="BA55" s="629"/>
      <c r="BB55" s="629"/>
      <c r="BC55" s="629"/>
      <c r="BD55" s="629"/>
    </row>
    <row r="56" spans="1:56" x14ac:dyDescent="0.2">
      <c r="A56" s="215"/>
      <c r="C56" s="629"/>
      <c r="D56" s="629"/>
      <c r="E56" s="630"/>
      <c r="F56" s="630"/>
      <c r="G56" s="629"/>
      <c r="H56" s="629"/>
      <c r="I56" s="629"/>
      <c r="J56" s="629"/>
      <c r="K56" s="629"/>
      <c r="L56" s="292"/>
      <c r="M56" s="631"/>
      <c r="N56" s="292"/>
      <c r="O56" s="292"/>
      <c r="P56" s="292"/>
      <c r="Q56" s="292"/>
      <c r="R56" s="292"/>
      <c r="S56" s="292"/>
      <c r="T56" s="292"/>
      <c r="U56" s="292"/>
      <c r="V56" s="292"/>
      <c r="W56" s="292"/>
      <c r="X56" s="292"/>
      <c r="Y56" s="292"/>
      <c r="Z56" s="292"/>
      <c r="AA56" s="292"/>
      <c r="AB56" s="292"/>
      <c r="AC56" s="292"/>
      <c r="AD56" s="292"/>
      <c r="AE56" s="292"/>
      <c r="AF56" s="292"/>
      <c r="AG56" s="292"/>
      <c r="AH56" s="292"/>
      <c r="AI56" s="292"/>
      <c r="AJ56" s="292"/>
      <c r="AK56" s="292"/>
      <c r="AL56" s="292"/>
      <c r="AM56" s="629"/>
      <c r="AN56" s="629"/>
      <c r="AO56" s="629"/>
      <c r="AP56" s="629"/>
      <c r="AQ56" s="629"/>
      <c r="AR56" s="629"/>
      <c r="AS56" s="629"/>
      <c r="AT56" s="629"/>
      <c r="AU56" s="629"/>
    </row>
    <row r="57" spans="1:56" x14ac:dyDescent="0.2">
      <c r="C57" s="629"/>
      <c r="D57" s="629"/>
      <c r="E57" s="630"/>
      <c r="F57" s="630"/>
      <c r="G57" s="629"/>
      <c r="H57" s="629"/>
      <c r="I57" s="629"/>
      <c r="J57" s="629"/>
      <c r="K57" s="629"/>
      <c r="L57" s="292"/>
      <c r="M57" s="631"/>
      <c r="N57" s="292"/>
      <c r="O57" s="292"/>
      <c r="P57" s="292"/>
      <c r="Q57" s="292"/>
      <c r="R57" s="292"/>
      <c r="S57" s="292"/>
      <c r="T57" s="292"/>
      <c r="U57" s="292"/>
      <c r="V57" s="292"/>
      <c r="W57" s="292"/>
      <c r="X57" s="292"/>
      <c r="Y57" s="292"/>
      <c r="Z57" s="292"/>
      <c r="AA57" s="292"/>
      <c r="AB57" s="292"/>
      <c r="AC57" s="292"/>
      <c r="AD57" s="292"/>
      <c r="AE57" s="292"/>
      <c r="AF57" s="292"/>
      <c r="AG57" s="292"/>
      <c r="AH57" s="292"/>
      <c r="AI57" s="292"/>
      <c r="AJ57" s="292"/>
      <c r="AK57" s="292"/>
      <c r="AL57" s="292"/>
      <c r="AM57" s="629"/>
      <c r="AN57" s="629"/>
      <c r="AO57" s="629"/>
      <c r="AP57" s="629"/>
      <c r="AQ57" s="629"/>
      <c r="AR57" s="629"/>
      <c r="AS57" s="629"/>
      <c r="AT57" s="629"/>
      <c r="AU57" s="629"/>
    </row>
    <row r="58" spans="1:56" x14ac:dyDescent="0.2">
      <c r="C58" s="629"/>
      <c r="D58" s="629"/>
      <c r="E58" s="630"/>
      <c r="F58" s="630"/>
      <c r="G58" s="629"/>
      <c r="H58" s="629"/>
      <c r="I58" s="629"/>
      <c r="J58" s="629"/>
      <c r="K58" s="629"/>
      <c r="L58" s="292"/>
      <c r="M58" s="631"/>
      <c r="N58" s="292"/>
      <c r="O58" s="292"/>
      <c r="P58" s="292"/>
      <c r="Q58" s="292"/>
      <c r="R58" s="292"/>
      <c r="S58" s="292"/>
      <c r="T58" s="292"/>
      <c r="U58" s="292"/>
      <c r="V58" s="292"/>
      <c r="W58" s="292"/>
      <c r="X58" s="292"/>
      <c r="Y58" s="292"/>
      <c r="Z58" s="292"/>
      <c r="AA58" s="292"/>
      <c r="AB58" s="292"/>
      <c r="AC58" s="292"/>
      <c r="AD58" s="292"/>
      <c r="AE58" s="292"/>
      <c r="AF58" s="292"/>
      <c r="AG58" s="292"/>
      <c r="AH58" s="292"/>
      <c r="AI58" s="292"/>
      <c r="AJ58" s="292"/>
      <c r="AK58" s="292"/>
      <c r="AL58" s="292"/>
      <c r="AM58" s="629"/>
      <c r="AN58" s="629"/>
      <c r="AO58" s="629"/>
      <c r="AP58" s="629"/>
      <c r="AQ58" s="629"/>
      <c r="AR58" s="629"/>
      <c r="AS58" s="629"/>
      <c r="AT58" s="629"/>
      <c r="AU58" s="629"/>
    </row>
    <row r="59" spans="1:56" x14ac:dyDescent="0.2">
      <c r="C59" s="629"/>
      <c r="D59" s="629"/>
      <c r="E59" s="630"/>
      <c r="F59" s="630"/>
      <c r="G59" s="629"/>
      <c r="H59" s="629"/>
      <c r="I59" s="629"/>
      <c r="J59" s="629"/>
      <c r="K59" s="629"/>
      <c r="L59" s="292"/>
      <c r="M59" s="631"/>
      <c r="N59" s="292"/>
      <c r="O59" s="292"/>
      <c r="P59" s="292"/>
      <c r="Q59" s="292"/>
      <c r="R59" s="292"/>
      <c r="S59" s="292"/>
      <c r="T59" s="292"/>
      <c r="U59" s="292"/>
      <c r="V59" s="292"/>
      <c r="W59" s="292"/>
      <c r="X59" s="292"/>
      <c r="Y59" s="292"/>
      <c r="Z59" s="292"/>
      <c r="AA59" s="292"/>
      <c r="AB59" s="292"/>
      <c r="AC59" s="292"/>
      <c r="AD59" s="292"/>
      <c r="AE59" s="292"/>
      <c r="AF59" s="292"/>
      <c r="AG59" s="292"/>
      <c r="AH59" s="292"/>
      <c r="AI59" s="292"/>
      <c r="AJ59" s="292"/>
      <c r="AK59" s="292"/>
      <c r="AL59" s="292"/>
      <c r="AM59" s="629"/>
      <c r="AN59" s="629"/>
      <c r="AO59" s="629"/>
      <c r="AP59" s="629"/>
      <c r="AQ59" s="629"/>
      <c r="AR59" s="629"/>
      <c r="AS59" s="629"/>
      <c r="AT59" s="629"/>
      <c r="AU59" s="629"/>
    </row>
    <row r="60" spans="1:56" x14ac:dyDescent="0.2">
      <c r="C60" s="633"/>
      <c r="D60" s="633"/>
      <c r="E60" s="634"/>
      <c r="F60" s="634"/>
      <c r="G60" s="633"/>
      <c r="H60" s="633"/>
      <c r="I60" s="633"/>
      <c r="J60" s="633"/>
      <c r="K60" s="633"/>
      <c r="L60" s="308"/>
      <c r="M60" s="635"/>
      <c r="N60" s="308"/>
      <c r="O60" s="308"/>
      <c r="P60" s="308"/>
      <c r="Q60" s="308"/>
      <c r="R60" s="308"/>
      <c r="S60" s="308"/>
      <c r="T60" s="308"/>
      <c r="U60" s="308"/>
      <c r="V60" s="308"/>
      <c r="W60" s="308"/>
      <c r="X60" s="308"/>
      <c r="Y60" s="308"/>
      <c r="Z60" s="308"/>
      <c r="AA60" s="308"/>
      <c r="AB60" s="308"/>
      <c r="AC60" s="308"/>
      <c r="AD60" s="308"/>
      <c r="AE60" s="308"/>
      <c r="AF60" s="308"/>
      <c r="AG60" s="308"/>
      <c r="AH60" s="308"/>
      <c r="AI60" s="308"/>
      <c r="AJ60" s="308"/>
      <c r="AK60" s="308"/>
      <c r="AL60" s="308"/>
      <c r="AM60" s="633"/>
      <c r="AN60" s="633"/>
      <c r="AO60" s="633"/>
      <c r="AP60" s="633"/>
      <c r="AQ60" s="633"/>
      <c r="AR60" s="633"/>
      <c r="AS60" s="633"/>
      <c r="AT60" s="633"/>
      <c r="AU60" s="633"/>
    </row>
    <row r="61" spans="1:56" x14ac:dyDescent="0.2">
      <c r="C61" s="633"/>
      <c r="D61" s="633"/>
      <c r="E61" s="634"/>
      <c r="F61" s="634"/>
      <c r="G61" s="633"/>
      <c r="H61" s="633"/>
      <c r="I61" s="633"/>
      <c r="J61" s="633"/>
      <c r="K61" s="633"/>
      <c r="L61" s="308"/>
      <c r="M61" s="635"/>
      <c r="N61" s="308"/>
      <c r="O61" s="308"/>
      <c r="P61" s="308"/>
      <c r="Q61" s="308"/>
      <c r="R61" s="308"/>
      <c r="S61" s="308"/>
      <c r="T61" s="308"/>
      <c r="U61" s="308"/>
      <c r="V61" s="308"/>
      <c r="W61" s="308"/>
      <c r="X61" s="308"/>
      <c r="Y61" s="308"/>
      <c r="Z61" s="308"/>
      <c r="AA61" s="308"/>
      <c r="AB61" s="308"/>
      <c r="AC61" s="308"/>
      <c r="AD61" s="308"/>
      <c r="AE61" s="308"/>
      <c r="AF61" s="308"/>
      <c r="AG61" s="308"/>
      <c r="AH61" s="308"/>
      <c r="AI61" s="308"/>
      <c r="AJ61" s="308"/>
      <c r="AK61" s="308"/>
      <c r="AL61" s="308"/>
      <c r="AM61" s="633"/>
      <c r="AN61" s="633"/>
      <c r="AO61" s="633"/>
      <c r="AP61" s="633"/>
      <c r="AQ61" s="633"/>
      <c r="AR61" s="633"/>
      <c r="AS61" s="633"/>
      <c r="AT61" s="633"/>
      <c r="AU61" s="633"/>
    </row>
    <row r="62" spans="1:56" x14ac:dyDescent="0.2">
      <c r="G62" s="637"/>
      <c r="H62" s="637"/>
      <c r="I62" s="637"/>
      <c r="J62" s="637"/>
      <c r="K62" s="637"/>
    </row>
    <row r="63" spans="1:56" x14ac:dyDescent="0.2">
      <c r="G63" s="637"/>
      <c r="H63" s="637"/>
      <c r="I63" s="637"/>
      <c r="J63" s="637"/>
      <c r="K63" s="637"/>
    </row>
    <row r="64" spans="1:56" x14ac:dyDescent="0.2">
      <c r="G64" s="637"/>
      <c r="H64" s="637"/>
      <c r="I64" s="637"/>
      <c r="J64" s="637"/>
      <c r="K64" s="637"/>
    </row>
    <row r="65" spans="2:13" x14ac:dyDescent="0.2">
      <c r="G65" s="637"/>
      <c r="H65" s="637"/>
      <c r="I65" s="637"/>
      <c r="J65" s="637"/>
      <c r="K65" s="637"/>
    </row>
    <row r="66" spans="2:13" x14ac:dyDescent="0.2">
      <c r="G66" s="637"/>
      <c r="H66" s="637"/>
      <c r="I66" s="637"/>
      <c r="J66" s="637"/>
      <c r="K66" s="637"/>
    </row>
    <row r="67" spans="2:13" x14ac:dyDescent="0.2">
      <c r="G67" s="637"/>
      <c r="H67" s="637"/>
      <c r="I67" s="637"/>
      <c r="J67" s="637"/>
      <c r="K67" s="637"/>
    </row>
    <row r="68" spans="2:13" x14ac:dyDescent="0.2">
      <c r="G68" s="637"/>
      <c r="H68" s="637"/>
      <c r="I68" s="637"/>
      <c r="J68" s="637"/>
      <c r="K68" s="637"/>
    </row>
    <row r="69" spans="2:13" x14ac:dyDescent="0.2">
      <c r="G69" s="637"/>
      <c r="H69" s="637"/>
      <c r="I69" s="637"/>
      <c r="J69" s="637"/>
      <c r="K69" s="637"/>
    </row>
    <row r="70" spans="2:13" s="328" customFormat="1" x14ac:dyDescent="0.2">
      <c r="B70" s="318"/>
      <c r="C70" s="249"/>
      <c r="D70" s="249"/>
      <c r="E70" s="636"/>
      <c r="F70" s="636"/>
      <c r="G70" s="637"/>
      <c r="H70" s="637"/>
      <c r="I70" s="637"/>
      <c r="J70" s="637"/>
      <c r="K70" s="637"/>
      <c r="M70" s="638"/>
    </row>
    <row r="71" spans="2:13" s="328" customFormat="1" x14ac:dyDescent="0.2">
      <c r="B71" s="318"/>
      <c r="C71" s="249"/>
      <c r="D71" s="249"/>
      <c r="E71" s="636"/>
      <c r="F71" s="636"/>
      <c r="G71" s="637"/>
      <c r="H71" s="637"/>
      <c r="I71" s="637"/>
      <c r="J71" s="637"/>
      <c r="K71" s="637"/>
      <c r="M71" s="638"/>
    </row>
    <row r="72" spans="2:13" s="328" customFormat="1" x14ac:dyDescent="0.2">
      <c r="B72" s="318"/>
      <c r="C72" s="249"/>
      <c r="D72" s="249"/>
      <c r="E72" s="636"/>
      <c r="F72" s="636"/>
      <c r="G72" s="637"/>
      <c r="H72" s="637"/>
      <c r="I72" s="637"/>
      <c r="J72" s="637"/>
      <c r="K72" s="637"/>
      <c r="M72" s="638"/>
    </row>
    <row r="73" spans="2:13" s="328" customFormat="1" x14ac:dyDescent="0.2">
      <c r="B73" s="318"/>
      <c r="C73" s="249"/>
      <c r="D73" s="249"/>
      <c r="E73" s="636"/>
      <c r="F73" s="636"/>
      <c r="G73" s="637"/>
      <c r="H73" s="637"/>
      <c r="I73" s="637"/>
      <c r="J73" s="637"/>
      <c r="K73" s="637"/>
      <c r="M73" s="638"/>
    </row>
    <row r="74" spans="2:13" s="328" customFormat="1" x14ac:dyDescent="0.2">
      <c r="B74" s="318"/>
      <c r="C74" s="249"/>
      <c r="D74" s="249"/>
      <c r="E74" s="636"/>
      <c r="F74" s="636"/>
      <c r="G74" s="637"/>
      <c r="H74" s="637"/>
      <c r="I74" s="637"/>
      <c r="J74" s="637"/>
      <c r="K74" s="637"/>
      <c r="M74" s="638"/>
    </row>
    <row r="75" spans="2:13" s="328" customFormat="1" x14ac:dyDescent="0.2">
      <c r="B75" s="318"/>
      <c r="C75" s="249"/>
      <c r="D75" s="249"/>
      <c r="E75" s="636"/>
      <c r="F75" s="636"/>
      <c r="G75" s="637"/>
      <c r="H75" s="637"/>
      <c r="I75" s="637"/>
      <c r="J75" s="637"/>
      <c r="K75" s="637"/>
      <c r="M75" s="638"/>
    </row>
    <row r="76" spans="2:13" s="328" customFormat="1" x14ac:dyDescent="0.2">
      <c r="B76" s="318"/>
      <c r="C76" s="249"/>
      <c r="D76" s="249"/>
      <c r="E76" s="636"/>
      <c r="F76" s="636"/>
      <c r="G76" s="637"/>
      <c r="H76" s="637"/>
      <c r="I76" s="637"/>
      <c r="J76" s="637"/>
      <c r="K76" s="637"/>
      <c r="M76" s="638"/>
    </row>
    <row r="77" spans="2:13" s="328" customFormat="1" x14ac:dyDescent="0.2">
      <c r="B77" s="318"/>
      <c r="C77" s="249"/>
      <c r="D77" s="249"/>
      <c r="E77" s="636"/>
      <c r="F77" s="636"/>
      <c r="G77" s="637"/>
      <c r="H77" s="637"/>
      <c r="I77" s="637"/>
      <c r="J77" s="637"/>
      <c r="K77" s="637"/>
      <c r="M77" s="638"/>
    </row>
    <row r="78" spans="2:13" s="328" customFormat="1" x14ac:dyDescent="0.2">
      <c r="B78" s="318"/>
      <c r="C78" s="249"/>
      <c r="D78" s="249"/>
      <c r="E78" s="636"/>
      <c r="F78" s="636"/>
      <c r="G78" s="637"/>
      <c r="H78" s="637"/>
      <c r="I78" s="637"/>
      <c r="J78" s="637"/>
      <c r="K78" s="637"/>
      <c r="M78" s="638"/>
    </row>
    <row r="79" spans="2:13" s="328" customFormat="1" x14ac:dyDescent="0.2">
      <c r="B79" s="318"/>
      <c r="C79" s="249"/>
      <c r="D79" s="249"/>
      <c r="E79" s="636"/>
      <c r="F79" s="636"/>
      <c r="G79" s="637"/>
      <c r="H79" s="637"/>
      <c r="I79" s="637"/>
      <c r="J79" s="637"/>
      <c r="K79" s="637"/>
      <c r="M79" s="638"/>
    </row>
    <row r="80" spans="2:13" s="328" customFormat="1" x14ac:dyDescent="0.2">
      <c r="B80" s="318"/>
      <c r="C80" s="249"/>
      <c r="D80" s="249"/>
      <c r="E80" s="636"/>
      <c r="F80" s="636"/>
      <c r="G80" s="636"/>
      <c r="H80" s="636"/>
      <c r="I80" s="636"/>
      <c r="J80" s="636"/>
      <c r="K80" s="636"/>
      <c r="M80" s="638"/>
    </row>
    <row r="81" spans="2:13" s="328" customFormat="1" x14ac:dyDescent="0.2">
      <c r="B81" s="318"/>
      <c r="C81" s="249"/>
      <c r="D81" s="249"/>
      <c r="E81" s="636"/>
      <c r="F81" s="636"/>
      <c r="G81" s="636"/>
      <c r="H81" s="636"/>
      <c r="I81" s="636"/>
      <c r="J81" s="636"/>
      <c r="K81" s="636"/>
      <c r="M81" s="638"/>
    </row>
    <row r="82" spans="2:13" s="328" customFormat="1" x14ac:dyDescent="0.2">
      <c r="B82" s="318"/>
      <c r="C82" s="249"/>
      <c r="D82" s="249"/>
      <c r="E82" s="636"/>
      <c r="F82" s="636"/>
      <c r="G82" s="636"/>
      <c r="H82" s="636"/>
      <c r="I82" s="636"/>
      <c r="J82" s="636"/>
      <c r="K82" s="636"/>
      <c r="M82" s="638"/>
    </row>
    <row r="83" spans="2:13" s="328" customFormat="1" x14ac:dyDescent="0.2">
      <c r="B83" s="318"/>
      <c r="C83" s="249"/>
      <c r="D83" s="249"/>
      <c r="E83" s="636"/>
      <c r="F83" s="636"/>
      <c r="G83" s="636"/>
      <c r="H83" s="636"/>
      <c r="I83" s="636"/>
      <c r="J83" s="636"/>
      <c r="K83" s="636"/>
      <c r="M83" s="638"/>
    </row>
    <row r="84" spans="2:13" s="328" customFormat="1" x14ac:dyDescent="0.2">
      <c r="B84" s="318"/>
      <c r="C84" s="249"/>
      <c r="D84" s="249"/>
      <c r="E84" s="636"/>
      <c r="F84" s="636"/>
      <c r="G84" s="636"/>
      <c r="H84" s="636"/>
      <c r="I84" s="636"/>
      <c r="J84" s="636"/>
      <c r="K84" s="636"/>
      <c r="M84" s="638"/>
    </row>
    <row r="85" spans="2:13" s="328" customFormat="1" x14ac:dyDescent="0.2">
      <c r="B85" s="318"/>
      <c r="C85" s="249"/>
      <c r="D85" s="249"/>
      <c r="E85" s="636"/>
      <c r="F85" s="636"/>
      <c r="G85" s="636"/>
      <c r="H85" s="636"/>
      <c r="I85" s="636"/>
      <c r="J85" s="636"/>
      <c r="K85" s="636"/>
      <c r="M85" s="638"/>
    </row>
    <row r="86" spans="2:13" s="328" customFormat="1" x14ac:dyDescent="0.2">
      <c r="B86" s="318"/>
      <c r="C86" s="249"/>
      <c r="D86" s="249"/>
      <c r="E86" s="636"/>
      <c r="F86" s="636"/>
      <c r="G86" s="636"/>
      <c r="H86" s="636"/>
      <c r="I86" s="636"/>
      <c r="J86" s="636"/>
      <c r="K86" s="636"/>
      <c r="M86" s="638"/>
    </row>
    <row r="87" spans="2:13" s="328" customFormat="1" x14ac:dyDescent="0.2">
      <c r="B87" s="318"/>
      <c r="C87" s="249"/>
      <c r="D87" s="249"/>
      <c r="E87" s="636"/>
      <c r="F87" s="636"/>
      <c r="G87" s="636"/>
      <c r="H87" s="636"/>
      <c r="I87" s="636"/>
      <c r="J87" s="636"/>
      <c r="K87" s="636"/>
      <c r="M87" s="638"/>
    </row>
    <row r="88" spans="2:13" s="328" customFormat="1" x14ac:dyDescent="0.2">
      <c r="B88" s="318"/>
      <c r="C88" s="249"/>
      <c r="D88" s="249"/>
      <c r="E88" s="636"/>
      <c r="F88" s="636"/>
      <c r="G88" s="636"/>
      <c r="H88" s="636"/>
      <c r="I88" s="636"/>
      <c r="J88" s="636"/>
      <c r="K88" s="636"/>
      <c r="M88" s="638"/>
    </row>
    <row r="89" spans="2:13" s="328" customFormat="1" x14ac:dyDescent="0.2">
      <c r="B89" s="318"/>
      <c r="C89" s="249"/>
      <c r="D89" s="249"/>
      <c r="E89" s="636"/>
      <c r="F89" s="636"/>
      <c r="G89" s="636"/>
      <c r="H89" s="636"/>
      <c r="I89" s="636"/>
      <c r="J89" s="636"/>
      <c r="K89" s="636"/>
      <c r="M89" s="638"/>
    </row>
    <row r="90" spans="2:13" s="328" customFormat="1" x14ac:dyDescent="0.2">
      <c r="B90" s="318"/>
      <c r="C90" s="249"/>
      <c r="D90" s="249"/>
      <c r="E90" s="636"/>
      <c r="F90" s="636"/>
      <c r="G90" s="636"/>
      <c r="H90" s="636"/>
      <c r="I90" s="636"/>
      <c r="J90" s="636"/>
      <c r="K90" s="636"/>
      <c r="M90" s="638"/>
    </row>
    <row r="91" spans="2:13" s="328" customFormat="1" x14ac:dyDescent="0.2">
      <c r="B91" s="318"/>
      <c r="C91" s="249"/>
      <c r="D91" s="249"/>
      <c r="E91" s="636"/>
      <c r="F91" s="636"/>
      <c r="G91" s="636"/>
      <c r="H91" s="636"/>
      <c r="I91" s="636"/>
      <c r="J91" s="636"/>
      <c r="K91" s="636"/>
      <c r="M91" s="638"/>
    </row>
    <row r="92" spans="2:13" s="328" customFormat="1" x14ac:dyDescent="0.2">
      <c r="B92" s="318"/>
      <c r="C92" s="249"/>
      <c r="D92" s="249"/>
      <c r="E92" s="636"/>
      <c r="F92" s="636"/>
      <c r="G92" s="636"/>
      <c r="H92" s="636"/>
      <c r="I92" s="636"/>
      <c r="J92" s="636"/>
      <c r="K92" s="636"/>
      <c r="M92" s="638"/>
    </row>
    <row r="93" spans="2:13" s="328" customFormat="1" x14ac:dyDescent="0.2">
      <c r="B93" s="318"/>
      <c r="C93" s="249"/>
      <c r="D93" s="249"/>
      <c r="E93" s="636"/>
      <c r="F93" s="636"/>
      <c r="G93" s="636"/>
      <c r="H93" s="636"/>
      <c r="I93" s="636"/>
      <c r="J93" s="636"/>
      <c r="K93" s="636"/>
      <c r="M93" s="638"/>
    </row>
    <row r="94" spans="2:13" s="328" customFormat="1" x14ac:dyDescent="0.2">
      <c r="B94" s="318"/>
      <c r="C94" s="249"/>
      <c r="D94" s="249"/>
      <c r="E94" s="636"/>
      <c r="F94" s="636"/>
      <c r="G94" s="636"/>
      <c r="H94" s="636"/>
      <c r="I94" s="636"/>
      <c r="J94" s="636"/>
      <c r="K94" s="636"/>
      <c r="M94" s="638"/>
    </row>
    <row r="95" spans="2:13" s="328" customFormat="1" x14ac:dyDescent="0.2">
      <c r="B95" s="318"/>
      <c r="C95" s="249"/>
      <c r="D95" s="249"/>
      <c r="E95" s="636"/>
      <c r="F95" s="636"/>
      <c r="G95" s="636"/>
      <c r="H95" s="636"/>
      <c r="I95" s="636"/>
      <c r="J95" s="636"/>
      <c r="K95" s="636"/>
      <c r="M95" s="638"/>
    </row>
    <row r="96" spans="2:13" s="328" customFormat="1" x14ac:dyDescent="0.2">
      <c r="B96" s="318"/>
      <c r="C96" s="249"/>
      <c r="D96" s="249"/>
      <c r="E96" s="636"/>
      <c r="F96" s="636"/>
      <c r="G96" s="636"/>
      <c r="H96" s="636"/>
      <c r="I96" s="636"/>
      <c r="J96" s="636"/>
      <c r="K96" s="636"/>
      <c r="M96" s="638"/>
    </row>
    <row r="97" spans="2:13" s="328" customFormat="1" x14ac:dyDescent="0.2">
      <c r="B97" s="318"/>
      <c r="C97" s="249"/>
      <c r="D97" s="249"/>
      <c r="E97" s="636"/>
      <c r="F97" s="636"/>
      <c r="G97" s="636"/>
      <c r="H97" s="636"/>
      <c r="I97" s="636"/>
      <c r="J97" s="636"/>
      <c r="K97" s="636"/>
      <c r="M97" s="638"/>
    </row>
    <row r="98" spans="2:13" s="328" customFormat="1" x14ac:dyDescent="0.2">
      <c r="B98" s="318"/>
      <c r="C98" s="249"/>
      <c r="D98" s="249"/>
      <c r="E98" s="636"/>
      <c r="F98" s="636"/>
      <c r="G98" s="636"/>
      <c r="H98" s="636"/>
      <c r="I98" s="636"/>
      <c r="J98" s="636"/>
      <c r="K98" s="636"/>
      <c r="M98" s="638"/>
    </row>
    <row r="99" spans="2:13" s="328" customFormat="1" x14ac:dyDescent="0.2">
      <c r="B99" s="318"/>
      <c r="C99" s="249"/>
      <c r="D99" s="249"/>
      <c r="E99" s="636"/>
      <c r="F99" s="636"/>
      <c r="G99" s="636"/>
      <c r="H99" s="636"/>
      <c r="I99" s="636"/>
      <c r="J99" s="636"/>
      <c r="K99" s="636"/>
      <c r="M99" s="638"/>
    </row>
    <row r="100" spans="2:13" s="328" customFormat="1" x14ac:dyDescent="0.2">
      <c r="B100" s="318"/>
      <c r="C100" s="249"/>
      <c r="D100" s="249"/>
      <c r="E100" s="636"/>
      <c r="F100" s="636"/>
      <c r="G100" s="636"/>
      <c r="H100" s="636"/>
      <c r="I100" s="636"/>
      <c r="J100" s="636"/>
      <c r="K100" s="636"/>
      <c r="M100" s="638"/>
    </row>
    <row r="101" spans="2:13" s="328" customFormat="1" x14ac:dyDescent="0.2">
      <c r="B101" s="318"/>
      <c r="C101" s="249"/>
      <c r="D101" s="249"/>
      <c r="E101" s="636"/>
      <c r="F101" s="636"/>
      <c r="G101" s="636"/>
      <c r="H101" s="636"/>
      <c r="I101" s="636"/>
      <c r="J101" s="636"/>
      <c r="K101" s="636"/>
      <c r="M101" s="638"/>
    </row>
    <row r="102" spans="2:13" s="328" customFormat="1" x14ac:dyDescent="0.2">
      <c r="B102" s="318"/>
      <c r="C102" s="249"/>
      <c r="D102" s="249"/>
      <c r="E102" s="636"/>
      <c r="F102" s="636"/>
      <c r="G102" s="636"/>
      <c r="H102" s="636"/>
      <c r="I102" s="636"/>
      <c r="J102" s="636"/>
      <c r="K102" s="636"/>
      <c r="M102" s="638"/>
    </row>
    <row r="103" spans="2:13" s="328" customFormat="1" x14ac:dyDescent="0.2">
      <c r="B103" s="318"/>
      <c r="C103" s="249"/>
      <c r="D103" s="249"/>
      <c r="E103" s="636"/>
      <c r="F103" s="636"/>
      <c r="G103" s="636"/>
      <c r="H103" s="636"/>
      <c r="I103" s="636"/>
      <c r="J103" s="636"/>
      <c r="K103" s="636"/>
      <c r="M103" s="638"/>
    </row>
    <row r="104" spans="2:13" s="328" customFormat="1" x14ac:dyDescent="0.2">
      <c r="B104" s="318"/>
      <c r="C104" s="249"/>
      <c r="D104" s="249"/>
      <c r="E104" s="636"/>
      <c r="F104" s="636"/>
      <c r="G104" s="636"/>
      <c r="H104" s="636"/>
      <c r="I104" s="636"/>
      <c r="J104" s="636"/>
      <c r="K104" s="636"/>
      <c r="M104" s="638"/>
    </row>
    <row r="105" spans="2:13" s="328" customFormat="1" x14ac:dyDescent="0.2">
      <c r="B105" s="318"/>
      <c r="C105" s="249"/>
      <c r="D105" s="249"/>
      <c r="E105" s="636"/>
      <c r="F105" s="636"/>
      <c r="G105" s="636"/>
      <c r="H105" s="636"/>
      <c r="I105" s="636"/>
      <c r="J105" s="636"/>
      <c r="K105" s="636"/>
      <c r="M105" s="638"/>
    </row>
    <row r="106" spans="2:13" s="328" customFormat="1" x14ac:dyDescent="0.2">
      <c r="B106" s="318"/>
      <c r="C106" s="249"/>
      <c r="D106" s="249"/>
      <c r="E106" s="636"/>
      <c r="F106" s="636"/>
      <c r="G106" s="636"/>
      <c r="H106" s="636"/>
      <c r="I106" s="636"/>
      <c r="J106" s="636"/>
      <c r="K106" s="636"/>
      <c r="M106" s="638"/>
    </row>
    <row r="107" spans="2:13" s="328" customFormat="1" x14ac:dyDescent="0.2">
      <c r="B107" s="318"/>
      <c r="C107" s="249"/>
      <c r="D107" s="249"/>
      <c r="E107" s="636"/>
      <c r="F107" s="636"/>
      <c r="G107" s="636"/>
      <c r="H107" s="636"/>
      <c r="I107" s="636"/>
      <c r="J107" s="636"/>
      <c r="K107" s="636"/>
      <c r="M107" s="638"/>
    </row>
    <row r="108" spans="2:13" s="328" customFormat="1" x14ac:dyDescent="0.2">
      <c r="B108" s="318"/>
      <c r="C108" s="249"/>
      <c r="D108" s="249"/>
      <c r="E108" s="636"/>
      <c r="F108" s="636"/>
      <c r="G108" s="636"/>
      <c r="H108" s="636"/>
      <c r="I108" s="636"/>
      <c r="J108" s="636"/>
      <c r="K108" s="636"/>
      <c r="M108" s="638"/>
    </row>
    <row r="109" spans="2:13" s="328" customFormat="1" x14ac:dyDescent="0.2">
      <c r="B109" s="318"/>
      <c r="C109" s="249"/>
      <c r="D109" s="249"/>
      <c r="E109" s="636"/>
      <c r="F109" s="636"/>
      <c r="G109" s="636"/>
      <c r="H109" s="636"/>
      <c r="I109" s="636"/>
      <c r="J109" s="636"/>
      <c r="K109" s="636"/>
      <c r="M109" s="638"/>
    </row>
    <row r="110" spans="2:13" s="328" customFormat="1" x14ac:dyDescent="0.2">
      <c r="B110" s="318"/>
      <c r="C110" s="249"/>
      <c r="D110" s="249"/>
      <c r="E110" s="636"/>
      <c r="F110" s="636"/>
      <c r="G110" s="636"/>
      <c r="H110" s="636"/>
      <c r="I110" s="636"/>
      <c r="J110" s="636"/>
      <c r="K110" s="636"/>
      <c r="M110" s="638"/>
    </row>
    <row r="111" spans="2:13" s="328" customFormat="1" x14ac:dyDescent="0.2">
      <c r="B111" s="318"/>
      <c r="C111" s="249"/>
      <c r="D111" s="249"/>
      <c r="E111" s="636"/>
      <c r="F111" s="636"/>
      <c r="G111" s="636"/>
      <c r="H111" s="636"/>
      <c r="I111" s="636"/>
      <c r="J111" s="636"/>
      <c r="K111" s="636"/>
      <c r="M111" s="638"/>
    </row>
    <row r="112" spans="2:13" s="328" customFormat="1" x14ac:dyDescent="0.2">
      <c r="B112" s="318"/>
      <c r="C112" s="249"/>
      <c r="D112" s="249"/>
      <c r="E112" s="636"/>
      <c r="F112" s="636"/>
      <c r="G112" s="636"/>
      <c r="H112" s="636"/>
      <c r="I112" s="636"/>
      <c r="J112" s="636"/>
      <c r="K112" s="636"/>
      <c r="M112" s="638"/>
    </row>
    <row r="113" spans="2:13" s="328" customFormat="1" x14ac:dyDescent="0.2">
      <c r="B113" s="318"/>
      <c r="C113" s="249"/>
      <c r="D113" s="249"/>
      <c r="E113" s="636"/>
      <c r="F113" s="636"/>
      <c r="G113" s="636"/>
      <c r="H113" s="636"/>
      <c r="I113" s="636"/>
      <c r="J113" s="636"/>
      <c r="K113" s="636"/>
      <c r="M113" s="638"/>
    </row>
    <row r="114" spans="2:13" s="328" customFormat="1" x14ac:dyDescent="0.2">
      <c r="B114" s="318"/>
      <c r="C114" s="249"/>
      <c r="D114" s="249"/>
      <c r="E114" s="636"/>
      <c r="F114" s="636"/>
      <c r="G114" s="636"/>
      <c r="H114" s="636"/>
      <c r="I114" s="636"/>
      <c r="J114" s="636"/>
      <c r="K114" s="636"/>
      <c r="M114" s="638"/>
    </row>
    <row r="115" spans="2:13" s="328" customFormat="1" x14ac:dyDescent="0.2">
      <c r="B115" s="318"/>
      <c r="C115" s="249"/>
      <c r="D115" s="249"/>
      <c r="E115" s="636"/>
      <c r="F115" s="636"/>
      <c r="G115" s="636"/>
      <c r="H115" s="636"/>
      <c r="I115" s="636"/>
      <c r="J115" s="636"/>
      <c r="K115" s="636"/>
      <c r="M115" s="638"/>
    </row>
    <row r="116" spans="2:13" s="328" customFormat="1" x14ac:dyDescent="0.2">
      <c r="B116" s="318"/>
      <c r="C116" s="249"/>
      <c r="D116" s="249"/>
      <c r="E116" s="636"/>
      <c r="F116" s="636"/>
      <c r="G116" s="636"/>
      <c r="H116" s="636"/>
      <c r="I116" s="636"/>
      <c r="J116" s="636"/>
      <c r="K116" s="636"/>
      <c r="M116" s="638"/>
    </row>
    <row r="117" spans="2:13" s="328" customFormat="1" x14ac:dyDescent="0.2">
      <c r="B117" s="318"/>
      <c r="C117" s="249"/>
      <c r="D117" s="249"/>
      <c r="E117" s="636"/>
      <c r="F117" s="636"/>
      <c r="G117" s="636"/>
      <c r="H117" s="636"/>
      <c r="I117" s="636"/>
      <c r="J117" s="636"/>
      <c r="K117" s="636"/>
      <c r="M117" s="638"/>
    </row>
    <row r="118" spans="2:13" s="328" customFormat="1" x14ac:dyDescent="0.2">
      <c r="B118" s="318"/>
      <c r="C118" s="249"/>
      <c r="D118" s="249"/>
      <c r="E118" s="636"/>
      <c r="F118" s="636"/>
      <c r="G118" s="636"/>
      <c r="H118" s="636"/>
      <c r="I118" s="636"/>
      <c r="J118" s="636"/>
      <c r="K118" s="636"/>
      <c r="M118" s="638"/>
    </row>
    <row r="119" spans="2:13" s="328" customFormat="1" x14ac:dyDescent="0.2">
      <c r="B119" s="318"/>
      <c r="C119" s="249"/>
      <c r="D119" s="249"/>
      <c r="E119" s="636"/>
      <c r="F119" s="636"/>
      <c r="G119" s="636"/>
      <c r="H119" s="636"/>
      <c r="I119" s="636"/>
      <c r="J119" s="636"/>
      <c r="K119" s="636"/>
      <c r="M119" s="638"/>
    </row>
    <row r="120" spans="2:13" s="328" customFormat="1" x14ac:dyDescent="0.2">
      <c r="B120" s="318"/>
      <c r="C120" s="249"/>
      <c r="D120" s="249"/>
      <c r="E120" s="636"/>
      <c r="F120" s="636"/>
      <c r="G120" s="636"/>
      <c r="H120" s="636"/>
      <c r="I120" s="636"/>
      <c r="J120" s="636"/>
      <c r="K120" s="636"/>
      <c r="M120" s="638"/>
    </row>
    <row r="121" spans="2:13" s="328" customFormat="1" x14ac:dyDescent="0.2">
      <c r="B121" s="318"/>
      <c r="C121" s="249"/>
      <c r="D121" s="249"/>
      <c r="E121" s="636"/>
      <c r="F121" s="636"/>
      <c r="G121" s="636"/>
      <c r="H121" s="636"/>
      <c r="I121" s="636"/>
      <c r="J121" s="636"/>
      <c r="K121" s="636"/>
      <c r="M121" s="638"/>
    </row>
    <row r="122" spans="2:13" s="328" customFormat="1" x14ac:dyDescent="0.2">
      <c r="B122" s="318"/>
      <c r="C122" s="249"/>
      <c r="D122" s="249"/>
      <c r="E122" s="636"/>
      <c r="F122" s="636"/>
      <c r="G122" s="636"/>
      <c r="H122" s="636"/>
      <c r="I122" s="636"/>
      <c r="J122" s="636"/>
      <c r="K122" s="636"/>
      <c r="M122" s="638"/>
    </row>
    <row r="123" spans="2:13" s="328" customFormat="1" x14ac:dyDescent="0.2">
      <c r="B123" s="318"/>
      <c r="C123" s="249"/>
      <c r="D123" s="249"/>
      <c r="E123" s="636"/>
      <c r="F123" s="636"/>
      <c r="G123" s="636"/>
      <c r="H123" s="636"/>
      <c r="I123" s="636"/>
      <c r="J123" s="636"/>
      <c r="K123" s="636"/>
      <c r="M123" s="638"/>
    </row>
    <row r="124" spans="2:13" s="328" customFormat="1" x14ac:dyDescent="0.2">
      <c r="B124" s="318"/>
      <c r="C124" s="249"/>
      <c r="D124" s="249"/>
      <c r="E124" s="636"/>
      <c r="F124" s="636"/>
      <c r="G124" s="636"/>
      <c r="H124" s="636"/>
      <c r="I124" s="636"/>
      <c r="J124" s="636"/>
      <c r="K124" s="636"/>
      <c r="M124" s="638"/>
    </row>
    <row r="125" spans="2:13" s="328" customFormat="1" x14ac:dyDescent="0.2">
      <c r="B125" s="318"/>
      <c r="C125" s="249"/>
      <c r="D125" s="249"/>
      <c r="E125" s="636"/>
      <c r="F125" s="636"/>
      <c r="G125" s="636"/>
      <c r="H125" s="636"/>
      <c r="I125" s="636"/>
      <c r="J125" s="636"/>
      <c r="K125" s="636"/>
      <c r="M125" s="638"/>
    </row>
    <row r="126" spans="2:13" s="328" customFormat="1" x14ac:dyDescent="0.2">
      <c r="B126" s="318"/>
      <c r="C126" s="249"/>
      <c r="D126" s="249"/>
      <c r="E126" s="636"/>
      <c r="F126" s="636"/>
      <c r="G126" s="636"/>
      <c r="H126" s="636"/>
      <c r="I126" s="636"/>
      <c r="J126" s="636"/>
      <c r="K126" s="636"/>
      <c r="M126" s="638"/>
    </row>
    <row r="127" spans="2:13" s="328" customFormat="1" x14ac:dyDescent="0.2">
      <c r="B127" s="318"/>
      <c r="C127" s="249"/>
      <c r="D127" s="249"/>
      <c r="E127" s="636"/>
      <c r="F127" s="636"/>
      <c r="G127" s="636"/>
      <c r="H127" s="636"/>
      <c r="I127" s="636"/>
      <c r="J127" s="636"/>
      <c r="K127" s="636"/>
      <c r="M127" s="638"/>
    </row>
    <row r="128" spans="2:13" s="328" customFormat="1" x14ac:dyDescent="0.2">
      <c r="B128" s="318"/>
      <c r="C128" s="249"/>
      <c r="D128" s="249"/>
      <c r="E128" s="636"/>
      <c r="F128" s="636"/>
      <c r="G128" s="636"/>
      <c r="H128" s="636"/>
      <c r="I128" s="636"/>
      <c r="J128" s="636"/>
      <c r="K128" s="636"/>
      <c r="M128" s="638"/>
    </row>
    <row r="129" spans="2:13" s="328" customFormat="1" x14ac:dyDescent="0.2">
      <c r="B129" s="318"/>
      <c r="C129" s="249"/>
      <c r="D129" s="249"/>
      <c r="E129" s="636"/>
      <c r="F129" s="636"/>
      <c r="G129" s="636"/>
      <c r="H129" s="636"/>
      <c r="I129" s="636"/>
      <c r="J129" s="636"/>
      <c r="K129" s="636"/>
      <c r="M129" s="638"/>
    </row>
    <row r="130" spans="2:13" s="328" customFormat="1" x14ac:dyDescent="0.2">
      <c r="B130" s="318"/>
      <c r="C130" s="249"/>
      <c r="D130" s="249"/>
      <c r="E130" s="636"/>
      <c r="F130" s="636"/>
      <c r="G130" s="636"/>
      <c r="H130" s="636"/>
      <c r="I130" s="636"/>
      <c r="J130" s="636"/>
      <c r="K130" s="636"/>
      <c r="M130" s="638"/>
    </row>
    <row r="131" spans="2:13" s="328" customFormat="1" x14ac:dyDescent="0.2">
      <c r="B131" s="318"/>
      <c r="C131" s="249"/>
      <c r="D131" s="249"/>
      <c r="E131" s="636"/>
      <c r="F131" s="636"/>
      <c r="G131" s="636"/>
      <c r="H131" s="636"/>
      <c r="I131" s="636"/>
      <c r="J131" s="636"/>
      <c r="K131" s="636"/>
      <c r="M131" s="638"/>
    </row>
    <row r="132" spans="2:13" s="328" customFormat="1" x14ac:dyDescent="0.2">
      <c r="B132" s="318"/>
      <c r="C132" s="249"/>
      <c r="D132" s="249"/>
      <c r="E132" s="636"/>
      <c r="F132" s="636"/>
      <c r="G132" s="636"/>
      <c r="H132" s="636"/>
      <c r="I132" s="636"/>
      <c r="J132" s="636"/>
      <c r="K132" s="636"/>
      <c r="M132" s="638"/>
    </row>
    <row r="133" spans="2:13" s="328" customFormat="1" x14ac:dyDescent="0.2">
      <c r="B133" s="318"/>
      <c r="C133" s="249"/>
      <c r="D133" s="249"/>
      <c r="E133" s="636"/>
      <c r="F133" s="636"/>
      <c r="G133" s="636"/>
      <c r="H133" s="636"/>
      <c r="I133" s="636"/>
      <c r="J133" s="636"/>
      <c r="K133" s="636"/>
      <c r="M133" s="638"/>
    </row>
    <row r="134" spans="2:13" s="328" customFormat="1" x14ac:dyDescent="0.2">
      <c r="B134" s="318"/>
      <c r="C134" s="249"/>
      <c r="D134" s="249"/>
      <c r="E134" s="636"/>
      <c r="F134" s="636"/>
      <c r="G134" s="636"/>
      <c r="H134" s="636"/>
      <c r="I134" s="636"/>
      <c r="J134" s="636"/>
      <c r="K134" s="636"/>
      <c r="M134" s="638"/>
    </row>
    <row r="135" spans="2:13" s="328" customFormat="1" x14ac:dyDescent="0.2">
      <c r="B135" s="318"/>
      <c r="C135" s="249"/>
      <c r="D135" s="249"/>
      <c r="E135" s="636"/>
      <c r="F135" s="636"/>
      <c r="G135" s="636"/>
      <c r="H135" s="636"/>
      <c r="I135" s="636"/>
      <c r="J135" s="636"/>
      <c r="K135" s="636"/>
      <c r="M135" s="638"/>
    </row>
    <row r="136" spans="2:13" s="328" customFormat="1" x14ac:dyDescent="0.2">
      <c r="B136" s="318"/>
      <c r="C136" s="249"/>
      <c r="D136" s="249"/>
      <c r="E136" s="636"/>
      <c r="F136" s="636"/>
      <c r="G136" s="636"/>
      <c r="H136" s="636"/>
      <c r="I136" s="636"/>
      <c r="J136" s="636"/>
      <c r="K136" s="636"/>
      <c r="M136" s="638"/>
    </row>
    <row r="137" spans="2:13" s="328" customFormat="1" x14ac:dyDescent="0.2">
      <c r="B137" s="318"/>
      <c r="C137" s="249"/>
      <c r="D137" s="249"/>
      <c r="E137" s="636"/>
      <c r="F137" s="636"/>
      <c r="G137" s="636"/>
      <c r="H137" s="636"/>
      <c r="I137" s="636"/>
      <c r="J137" s="636"/>
      <c r="K137" s="636"/>
      <c r="M137" s="638"/>
    </row>
    <row r="138" spans="2:13" s="328" customFormat="1" x14ac:dyDescent="0.2">
      <c r="B138" s="318"/>
      <c r="C138" s="249"/>
      <c r="D138" s="249"/>
      <c r="E138" s="636"/>
      <c r="F138" s="636"/>
      <c r="G138" s="636"/>
      <c r="H138" s="636"/>
      <c r="I138" s="636"/>
      <c r="J138" s="636"/>
      <c r="K138" s="636"/>
      <c r="M138" s="638"/>
    </row>
    <row r="139" spans="2:13" s="328" customFormat="1" x14ac:dyDescent="0.2">
      <c r="B139" s="318"/>
      <c r="C139" s="249"/>
      <c r="D139" s="249"/>
      <c r="E139" s="636"/>
      <c r="F139" s="636"/>
      <c r="G139" s="636"/>
      <c r="H139" s="636"/>
      <c r="I139" s="636"/>
      <c r="J139" s="636"/>
      <c r="K139" s="636"/>
      <c r="M139" s="638"/>
    </row>
    <row r="140" spans="2:13" s="328" customFormat="1" x14ac:dyDescent="0.2">
      <c r="B140" s="318"/>
      <c r="C140" s="249"/>
      <c r="D140" s="249"/>
      <c r="E140" s="636"/>
      <c r="F140" s="636"/>
      <c r="G140" s="636"/>
      <c r="H140" s="636"/>
      <c r="I140" s="636"/>
      <c r="J140" s="636"/>
      <c r="K140" s="636"/>
      <c r="M140" s="638"/>
    </row>
    <row r="141" spans="2:13" s="328" customFormat="1" x14ac:dyDescent="0.2">
      <c r="B141" s="318"/>
      <c r="C141" s="249"/>
      <c r="D141" s="249"/>
      <c r="E141" s="636"/>
      <c r="F141" s="636"/>
      <c r="G141" s="636"/>
      <c r="H141" s="636"/>
      <c r="I141" s="636"/>
      <c r="J141" s="636"/>
      <c r="K141" s="636"/>
      <c r="M141" s="638"/>
    </row>
    <row r="142" spans="2:13" s="328" customFormat="1" x14ac:dyDescent="0.2">
      <c r="B142" s="318"/>
      <c r="C142" s="249"/>
      <c r="D142" s="249"/>
      <c r="E142" s="636"/>
      <c r="F142" s="636"/>
      <c r="G142" s="636"/>
      <c r="H142" s="636"/>
      <c r="I142" s="636"/>
      <c r="J142" s="636"/>
      <c r="K142" s="636"/>
      <c r="M142" s="638"/>
    </row>
    <row r="143" spans="2:13" s="328" customFormat="1" x14ac:dyDescent="0.2">
      <c r="B143" s="318"/>
      <c r="C143" s="249"/>
      <c r="D143" s="249"/>
      <c r="E143" s="636"/>
      <c r="F143" s="636"/>
      <c r="G143" s="636"/>
      <c r="H143" s="636"/>
      <c r="I143" s="636"/>
      <c r="J143" s="636"/>
      <c r="K143" s="636"/>
      <c r="M143" s="638"/>
    </row>
    <row r="144" spans="2:13" s="328" customFormat="1" x14ac:dyDescent="0.2">
      <c r="B144" s="318"/>
      <c r="C144" s="249"/>
      <c r="D144" s="249"/>
      <c r="E144" s="636"/>
      <c r="F144" s="636"/>
      <c r="G144" s="636"/>
      <c r="H144" s="636"/>
      <c r="I144" s="636"/>
      <c r="J144" s="636"/>
      <c r="K144" s="636"/>
      <c r="M144" s="638"/>
    </row>
    <row r="145" spans="2:47" s="328" customFormat="1" x14ac:dyDescent="0.2">
      <c r="B145" s="318"/>
      <c r="C145" s="249"/>
      <c r="D145" s="249"/>
      <c r="E145" s="636"/>
      <c r="F145" s="636"/>
      <c r="G145" s="636"/>
      <c r="H145" s="636"/>
      <c r="I145" s="636"/>
      <c r="J145" s="636"/>
      <c r="K145" s="636"/>
      <c r="M145" s="638"/>
    </row>
    <row r="146" spans="2:47" s="328" customFormat="1" x14ac:dyDescent="0.2">
      <c r="B146" s="318"/>
      <c r="C146" s="249"/>
      <c r="D146" s="249"/>
      <c r="E146" s="636"/>
      <c r="F146" s="636"/>
      <c r="G146" s="636"/>
      <c r="H146" s="636"/>
      <c r="I146" s="636"/>
      <c r="J146" s="636"/>
      <c r="K146" s="636"/>
      <c r="M146" s="638"/>
    </row>
    <row r="147" spans="2:47" s="328" customFormat="1" x14ac:dyDescent="0.2">
      <c r="B147" s="318"/>
      <c r="C147" s="249"/>
      <c r="D147" s="249"/>
      <c r="E147" s="636"/>
      <c r="F147" s="636"/>
      <c r="G147" s="636"/>
      <c r="H147" s="636"/>
      <c r="I147" s="636"/>
      <c r="J147" s="636"/>
      <c r="K147" s="636"/>
      <c r="M147" s="638"/>
    </row>
    <row r="148" spans="2:47" s="328" customFormat="1" x14ac:dyDescent="0.2">
      <c r="B148" s="318"/>
      <c r="C148" s="249"/>
      <c r="D148" s="249"/>
      <c r="E148" s="636"/>
      <c r="F148" s="636"/>
      <c r="G148" s="636"/>
      <c r="H148" s="636"/>
      <c r="I148" s="636"/>
      <c r="J148" s="636"/>
      <c r="K148" s="636"/>
      <c r="M148" s="638"/>
    </row>
    <row r="149" spans="2:47" s="328" customFormat="1" x14ac:dyDescent="0.2">
      <c r="B149" s="318"/>
      <c r="C149" s="249"/>
      <c r="D149" s="249"/>
      <c r="E149" s="636"/>
      <c r="F149" s="636"/>
      <c r="G149" s="636"/>
      <c r="H149" s="636"/>
      <c r="I149" s="636"/>
      <c r="J149" s="636"/>
      <c r="K149" s="636"/>
      <c r="M149" s="638"/>
    </row>
    <row r="150" spans="2:47" s="318" customFormat="1" x14ac:dyDescent="0.2">
      <c r="C150" s="249"/>
      <c r="D150" s="249"/>
      <c r="E150" s="636"/>
      <c r="F150" s="636"/>
      <c r="G150" s="636"/>
      <c r="H150" s="636"/>
      <c r="I150" s="636"/>
      <c r="J150" s="636"/>
      <c r="K150" s="636"/>
      <c r="L150" s="328"/>
      <c r="M150" s="638"/>
      <c r="N150" s="328"/>
      <c r="O150" s="328"/>
      <c r="P150" s="328"/>
      <c r="Q150" s="328"/>
      <c r="R150" s="328"/>
      <c r="S150" s="328"/>
      <c r="T150" s="328"/>
      <c r="U150" s="328"/>
      <c r="V150" s="328"/>
      <c r="W150" s="328"/>
      <c r="X150" s="328"/>
      <c r="Y150" s="328"/>
      <c r="Z150" s="328"/>
      <c r="AA150" s="328"/>
      <c r="AB150" s="328"/>
      <c r="AC150" s="328"/>
      <c r="AD150" s="328"/>
      <c r="AE150" s="328"/>
      <c r="AF150" s="328"/>
      <c r="AG150" s="328"/>
      <c r="AH150" s="328"/>
      <c r="AI150" s="328"/>
      <c r="AJ150" s="328"/>
      <c r="AK150" s="328"/>
      <c r="AL150" s="328"/>
      <c r="AM150" s="328"/>
      <c r="AN150" s="328"/>
      <c r="AO150" s="328"/>
      <c r="AP150" s="328"/>
      <c r="AQ150" s="328"/>
      <c r="AR150" s="328"/>
      <c r="AS150" s="328"/>
      <c r="AT150" s="328"/>
      <c r="AU150" s="328"/>
    </row>
    <row r="151" spans="2:47" s="318" customFormat="1" x14ac:dyDescent="0.2">
      <c r="C151" s="249"/>
      <c r="D151" s="249"/>
      <c r="E151" s="636"/>
      <c r="F151" s="636"/>
      <c r="G151" s="636"/>
      <c r="H151" s="636"/>
      <c r="I151" s="636"/>
      <c r="J151" s="636"/>
      <c r="K151" s="636"/>
      <c r="L151" s="328"/>
      <c r="M151" s="638"/>
      <c r="N151" s="328"/>
      <c r="O151" s="328"/>
      <c r="P151" s="328"/>
      <c r="Q151" s="328"/>
      <c r="R151" s="328"/>
      <c r="S151" s="328"/>
      <c r="T151" s="328"/>
      <c r="U151" s="328"/>
      <c r="V151" s="328"/>
      <c r="W151" s="328"/>
      <c r="X151" s="328"/>
      <c r="Y151" s="328"/>
      <c r="Z151" s="328"/>
      <c r="AA151" s="328"/>
      <c r="AB151" s="328"/>
      <c r="AC151" s="328"/>
      <c r="AD151" s="328"/>
      <c r="AE151" s="328"/>
      <c r="AF151" s="328"/>
      <c r="AG151" s="328"/>
      <c r="AH151" s="328"/>
      <c r="AI151" s="328"/>
      <c r="AJ151" s="328"/>
      <c r="AK151" s="328"/>
      <c r="AL151" s="328"/>
      <c r="AM151" s="328"/>
      <c r="AN151" s="328"/>
      <c r="AO151" s="328"/>
      <c r="AP151" s="328"/>
      <c r="AQ151" s="328"/>
      <c r="AR151" s="328"/>
      <c r="AS151" s="328"/>
      <c r="AT151" s="328"/>
      <c r="AU151" s="328"/>
    </row>
    <row r="152" spans="2:47" s="318" customFormat="1" x14ac:dyDescent="0.2">
      <c r="C152" s="249"/>
      <c r="D152" s="249"/>
      <c r="E152" s="636"/>
      <c r="F152" s="636"/>
      <c r="G152" s="636"/>
      <c r="H152" s="636"/>
      <c r="I152" s="636"/>
      <c r="J152" s="636"/>
      <c r="K152" s="636"/>
      <c r="L152" s="328"/>
      <c r="M152" s="638"/>
      <c r="N152" s="328"/>
      <c r="O152" s="328"/>
      <c r="P152" s="328"/>
      <c r="Q152" s="328"/>
      <c r="R152" s="328"/>
      <c r="S152" s="328"/>
      <c r="T152" s="328"/>
      <c r="U152" s="328"/>
      <c r="V152" s="328"/>
      <c r="W152" s="328"/>
      <c r="X152" s="328"/>
      <c r="Y152" s="328"/>
      <c r="Z152" s="328"/>
      <c r="AA152" s="328"/>
      <c r="AB152" s="328"/>
      <c r="AC152" s="328"/>
      <c r="AD152" s="328"/>
      <c r="AE152" s="328"/>
      <c r="AF152" s="328"/>
      <c r="AG152" s="328"/>
      <c r="AH152" s="328"/>
      <c r="AI152" s="328"/>
      <c r="AJ152" s="328"/>
      <c r="AK152" s="328"/>
      <c r="AL152" s="328"/>
      <c r="AM152" s="328"/>
      <c r="AN152" s="328"/>
      <c r="AO152" s="328"/>
      <c r="AP152" s="328"/>
      <c r="AQ152" s="328"/>
      <c r="AR152" s="328"/>
      <c r="AS152" s="328"/>
      <c r="AT152" s="328"/>
      <c r="AU152" s="328"/>
    </row>
    <row r="153" spans="2:47" s="318" customFormat="1" x14ac:dyDescent="0.2">
      <c r="C153" s="249"/>
      <c r="D153" s="249"/>
      <c r="E153" s="636"/>
      <c r="F153" s="636"/>
      <c r="G153" s="636"/>
      <c r="H153" s="636"/>
      <c r="I153" s="636"/>
      <c r="J153" s="636"/>
      <c r="K153" s="636"/>
      <c r="L153" s="328"/>
      <c r="M153" s="638"/>
      <c r="N153" s="328"/>
      <c r="O153" s="328"/>
      <c r="P153" s="328"/>
      <c r="Q153" s="328"/>
      <c r="R153" s="328"/>
      <c r="S153" s="328"/>
      <c r="T153" s="328"/>
      <c r="U153" s="328"/>
      <c r="V153" s="328"/>
      <c r="W153" s="328"/>
      <c r="X153" s="328"/>
      <c r="Y153" s="328"/>
      <c r="Z153" s="328"/>
      <c r="AA153" s="328"/>
      <c r="AB153" s="328"/>
      <c r="AC153" s="328"/>
      <c r="AD153" s="328"/>
      <c r="AE153" s="328"/>
      <c r="AF153" s="328"/>
      <c r="AG153" s="328"/>
      <c r="AH153" s="328"/>
      <c r="AI153" s="328"/>
      <c r="AJ153" s="328"/>
      <c r="AK153" s="328"/>
      <c r="AL153" s="328"/>
      <c r="AM153" s="328"/>
      <c r="AN153" s="328"/>
      <c r="AO153" s="328"/>
      <c r="AP153" s="328"/>
      <c r="AQ153" s="328"/>
      <c r="AR153" s="328"/>
      <c r="AS153" s="328"/>
      <c r="AT153" s="328"/>
      <c r="AU153" s="328"/>
    </row>
    <row r="154" spans="2:47" s="318" customFormat="1" x14ac:dyDescent="0.2">
      <c r="C154" s="249"/>
      <c r="D154" s="249"/>
      <c r="E154" s="636"/>
      <c r="F154" s="636"/>
      <c r="G154" s="636"/>
      <c r="H154" s="636"/>
      <c r="I154" s="636"/>
      <c r="J154" s="636"/>
      <c r="K154" s="636"/>
      <c r="L154" s="328"/>
      <c r="M154" s="638"/>
      <c r="N154" s="328"/>
      <c r="O154" s="328"/>
      <c r="P154" s="328"/>
      <c r="Q154" s="328"/>
      <c r="R154" s="328"/>
      <c r="S154" s="328"/>
      <c r="T154" s="328"/>
      <c r="U154" s="328"/>
      <c r="V154" s="328"/>
      <c r="W154" s="328"/>
      <c r="X154" s="328"/>
      <c r="Y154" s="328"/>
      <c r="Z154" s="328"/>
      <c r="AA154" s="328"/>
      <c r="AB154" s="328"/>
      <c r="AC154" s="328"/>
      <c r="AD154" s="328"/>
      <c r="AE154" s="328"/>
      <c r="AF154" s="328"/>
      <c r="AG154" s="328"/>
      <c r="AH154" s="328"/>
      <c r="AI154" s="328"/>
      <c r="AJ154" s="328"/>
      <c r="AK154" s="328"/>
      <c r="AL154" s="328"/>
      <c r="AM154" s="328"/>
      <c r="AN154" s="328"/>
      <c r="AO154" s="328"/>
      <c r="AP154" s="328"/>
      <c r="AQ154" s="328"/>
      <c r="AR154" s="328"/>
      <c r="AS154" s="328"/>
      <c r="AT154" s="328"/>
      <c r="AU154" s="328"/>
    </row>
    <row r="155" spans="2:47" s="318" customFormat="1" x14ac:dyDescent="0.2">
      <c r="C155" s="249"/>
      <c r="D155" s="249"/>
      <c r="E155" s="636"/>
      <c r="F155" s="636"/>
      <c r="G155" s="636"/>
      <c r="H155" s="636"/>
      <c r="I155" s="636"/>
      <c r="J155" s="636"/>
      <c r="K155" s="636"/>
      <c r="L155" s="328"/>
      <c r="M155" s="638"/>
      <c r="N155" s="328"/>
      <c r="O155" s="328"/>
      <c r="P155" s="328"/>
      <c r="Q155" s="328"/>
      <c r="R155" s="328"/>
      <c r="S155" s="328"/>
      <c r="T155" s="328"/>
      <c r="U155" s="328"/>
      <c r="V155" s="328"/>
      <c r="W155" s="328"/>
      <c r="X155" s="328"/>
      <c r="Y155" s="328"/>
      <c r="Z155" s="328"/>
      <c r="AA155" s="328"/>
      <c r="AB155" s="328"/>
      <c r="AC155" s="328"/>
      <c r="AD155" s="328"/>
      <c r="AE155" s="328"/>
      <c r="AF155" s="328"/>
      <c r="AG155" s="328"/>
      <c r="AH155" s="328"/>
      <c r="AI155" s="328"/>
      <c r="AJ155" s="328"/>
      <c r="AK155" s="328"/>
      <c r="AL155" s="328"/>
      <c r="AM155" s="328"/>
      <c r="AN155" s="328"/>
      <c r="AO155" s="328"/>
      <c r="AP155" s="328"/>
      <c r="AQ155" s="328"/>
      <c r="AR155" s="328"/>
      <c r="AS155" s="328"/>
      <c r="AT155" s="328"/>
      <c r="AU155" s="328"/>
    </row>
    <row r="156" spans="2:47" s="318" customFormat="1" x14ac:dyDescent="0.2">
      <c r="C156" s="249"/>
      <c r="D156" s="249"/>
      <c r="E156" s="636"/>
      <c r="F156" s="636"/>
      <c r="G156" s="636"/>
      <c r="H156" s="636"/>
      <c r="I156" s="636"/>
      <c r="J156" s="636"/>
      <c r="K156" s="636"/>
      <c r="L156" s="328"/>
      <c r="M156" s="638"/>
      <c r="N156" s="328"/>
      <c r="O156" s="328"/>
      <c r="P156" s="328"/>
      <c r="Q156" s="328"/>
      <c r="R156" s="328"/>
      <c r="S156" s="328"/>
      <c r="T156" s="328"/>
      <c r="U156" s="328"/>
      <c r="V156" s="328"/>
      <c r="W156" s="328"/>
      <c r="X156" s="328"/>
      <c r="Y156" s="328"/>
      <c r="Z156" s="328"/>
      <c r="AA156" s="328"/>
      <c r="AB156" s="328"/>
      <c r="AC156" s="328"/>
      <c r="AD156" s="328"/>
      <c r="AE156" s="328"/>
      <c r="AF156" s="328"/>
      <c r="AG156" s="328"/>
      <c r="AH156" s="328"/>
      <c r="AI156" s="328"/>
      <c r="AJ156" s="328"/>
      <c r="AK156" s="328"/>
      <c r="AL156" s="328"/>
      <c r="AM156" s="328"/>
      <c r="AN156" s="328"/>
      <c r="AO156" s="328"/>
      <c r="AP156" s="328"/>
      <c r="AQ156" s="328"/>
      <c r="AR156" s="328"/>
      <c r="AS156" s="328"/>
      <c r="AT156" s="328"/>
      <c r="AU156" s="328"/>
    </row>
    <row r="157" spans="2:47" s="318" customFormat="1" x14ac:dyDescent="0.2">
      <c r="C157" s="249"/>
      <c r="D157" s="249"/>
      <c r="E157" s="636"/>
      <c r="F157" s="636"/>
      <c r="G157" s="636"/>
      <c r="H157" s="636"/>
      <c r="I157" s="636"/>
      <c r="J157" s="636"/>
      <c r="K157" s="636"/>
      <c r="L157" s="328"/>
      <c r="M157" s="638"/>
      <c r="N157" s="328"/>
      <c r="O157" s="328"/>
      <c r="P157" s="328"/>
      <c r="Q157" s="328"/>
      <c r="R157" s="328"/>
      <c r="S157" s="328"/>
      <c r="T157" s="328"/>
      <c r="U157" s="328"/>
      <c r="V157" s="328"/>
      <c r="W157" s="328"/>
      <c r="X157" s="328"/>
      <c r="Y157" s="328"/>
      <c r="Z157" s="328"/>
      <c r="AA157" s="328"/>
      <c r="AB157" s="328"/>
      <c r="AC157" s="328"/>
      <c r="AD157" s="328"/>
      <c r="AE157" s="328"/>
      <c r="AF157" s="328"/>
      <c r="AG157" s="328"/>
      <c r="AH157" s="328"/>
      <c r="AI157" s="328"/>
      <c r="AJ157" s="328"/>
      <c r="AK157" s="328"/>
      <c r="AL157" s="328"/>
      <c r="AM157" s="328"/>
      <c r="AN157" s="328"/>
      <c r="AO157" s="328"/>
      <c r="AP157" s="328"/>
      <c r="AQ157" s="328"/>
      <c r="AR157" s="328"/>
      <c r="AS157" s="328"/>
      <c r="AT157" s="328"/>
      <c r="AU157" s="328"/>
    </row>
    <row r="158" spans="2:47" s="318" customFormat="1" x14ac:dyDescent="0.2">
      <c r="C158" s="249"/>
      <c r="D158" s="249"/>
      <c r="E158" s="636"/>
      <c r="F158" s="636"/>
      <c r="G158" s="636"/>
      <c r="H158" s="636"/>
      <c r="I158" s="636"/>
      <c r="J158" s="636"/>
      <c r="K158" s="636"/>
      <c r="L158" s="328"/>
      <c r="M158" s="638"/>
      <c r="N158" s="328"/>
      <c r="O158" s="328"/>
      <c r="P158" s="328"/>
      <c r="Q158" s="328"/>
      <c r="R158" s="328"/>
      <c r="S158" s="328"/>
      <c r="T158" s="328"/>
      <c r="U158" s="328"/>
      <c r="V158" s="328"/>
      <c r="W158" s="328"/>
      <c r="X158" s="328"/>
      <c r="Y158" s="328"/>
      <c r="Z158" s="328"/>
      <c r="AA158" s="328"/>
      <c r="AB158" s="328"/>
      <c r="AC158" s="328"/>
      <c r="AD158" s="328"/>
      <c r="AE158" s="328"/>
      <c r="AF158" s="328"/>
      <c r="AG158" s="328"/>
      <c r="AH158" s="328"/>
      <c r="AI158" s="328"/>
      <c r="AJ158" s="328"/>
      <c r="AK158" s="328"/>
      <c r="AL158" s="328"/>
      <c r="AM158" s="328"/>
      <c r="AN158" s="328"/>
      <c r="AO158" s="328"/>
      <c r="AP158" s="328"/>
      <c r="AQ158" s="328"/>
      <c r="AR158" s="328"/>
      <c r="AS158" s="328"/>
      <c r="AT158" s="328"/>
      <c r="AU158" s="328"/>
    </row>
    <row r="159" spans="2:47" s="318" customFormat="1" x14ac:dyDescent="0.2">
      <c r="C159" s="249"/>
      <c r="D159" s="249"/>
      <c r="E159" s="636"/>
      <c r="F159" s="636"/>
      <c r="G159" s="636"/>
      <c r="H159" s="636"/>
      <c r="I159" s="636"/>
      <c r="J159" s="636"/>
      <c r="K159" s="636"/>
      <c r="L159" s="328"/>
      <c r="M159" s="638"/>
      <c r="N159" s="328"/>
      <c r="O159" s="328"/>
      <c r="P159" s="328"/>
      <c r="Q159" s="328"/>
      <c r="R159" s="328"/>
      <c r="S159" s="328"/>
      <c r="T159" s="328"/>
      <c r="U159" s="328"/>
      <c r="V159" s="328"/>
      <c r="W159" s="328"/>
      <c r="X159" s="328"/>
      <c r="Y159" s="328"/>
      <c r="Z159" s="328"/>
      <c r="AA159" s="328"/>
      <c r="AB159" s="328"/>
      <c r="AC159" s="328"/>
      <c r="AD159" s="328"/>
      <c r="AE159" s="328"/>
      <c r="AF159" s="328"/>
      <c r="AG159" s="328"/>
      <c r="AH159" s="328"/>
      <c r="AI159" s="328"/>
      <c r="AJ159" s="328"/>
      <c r="AK159" s="328"/>
      <c r="AL159" s="328"/>
      <c r="AM159" s="328"/>
      <c r="AN159" s="328"/>
      <c r="AO159" s="328"/>
      <c r="AP159" s="328"/>
      <c r="AQ159" s="328"/>
      <c r="AR159" s="328"/>
      <c r="AS159" s="328"/>
      <c r="AT159" s="328"/>
      <c r="AU159" s="328"/>
    </row>
    <row r="160" spans="2:47" s="318" customFormat="1" x14ac:dyDescent="0.2">
      <c r="C160" s="249"/>
      <c r="D160" s="249"/>
      <c r="E160" s="636"/>
      <c r="F160" s="636"/>
      <c r="G160" s="636"/>
      <c r="H160" s="636"/>
      <c r="I160" s="636"/>
      <c r="J160" s="636"/>
      <c r="K160" s="636"/>
      <c r="L160" s="328"/>
      <c r="M160" s="638"/>
      <c r="N160" s="328"/>
      <c r="O160" s="328"/>
      <c r="P160" s="328"/>
      <c r="Q160" s="328"/>
      <c r="R160" s="328"/>
      <c r="S160" s="328"/>
      <c r="T160" s="328"/>
      <c r="U160" s="328"/>
      <c r="V160" s="328"/>
      <c r="W160" s="328"/>
      <c r="X160" s="328"/>
      <c r="Y160" s="328"/>
      <c r="Z160" s="328"/>
      <c r="AA160" s="328"/>
      <c r="AB160" s="328"/>
      <c r="AC160" s="328"/>
      <c r="AD160" s="328"/>
      <c r="AE160" s="328"/>
      <c r="AF160" s="328"/>
      <c r="AG160" s="328"/>
      <c r="AH160" s="328"/>
      <c r="AI160" s="328"/>
      <c r="AJ160" s="328"/>
      <c r="AK160" s="328"/>
      <c r="AL160" s="328"/>
      <c r="AM160" s="328"/>
      <c r="AN160" s="328"/>
      <c r="AO160" s="328"/>
      <c r="AP160" s="328"/>
      <c r="AQ160" s="328"/>
      <c r="AR160" s="328"/>
      <c r="AS160" s="328"/>
      <c r="AT160" s="328"/>
      <c r="AU160" s="328"/>
    </row>
    <row r="161" spans="3:47" s="318" customFormat="1" x14ac:dyDescent="0.2">
      <c r="C161" s="249"/>
      <c r="D161" s="249"/>
      <c r="E161" s="636"/>
      <c r="F161" s="636"/>
      <c r="G161" s="636"/>
      <c r="H161" s="636"/>
      <c r="I161" s="636"/>
      <c r="J161" s="636"/>
      <c r="K161" s="636"/>
      <c r="L161" s="328"/>
      <c r="M161" s="638"/>
      <c r="N161" s="328"/>
      <c r="O161" s="328"/>
      <c r="P161" s="328"/>
      <c r="Q161" s="328"/>
      <c r="R161" s="328"/>
      <c r="S161" s="328"/>
      <c r="T161" s="328"/>
      <c r="U161" s="328"/>
      <c r="V161" s="328"/>
      <c r="W161" s="328"/>
      <c r="X161" s="328"/>
      <c r="Y161" s="328"/>
      <c r="Z161" s="328"/>
      <c r="AA161" s="328"/>
      <c r="AB161" s="328"/>
      <c r="AC161" s="328"/>
      <c r="AD161" s="328"/>
      <c r="AE161" s="328"/>
      <c r="AF161" s="328"/>
      <c r="AG161" s="328"/>
      <c r="AH161" s="328"/>
      <c r="AI161" s="328"/>
      <c r="AJ161" s="328"/>
      <c r="AK161" s="328"/>
      <c r="AL161" s="328"/>
      <c r="AM161" s="328"/>
      <c r="AN161" s="328"/>
      <c r="AO161" s="328"/>
      <c r="AP161" s="328"/>
      <c r="AQ161" s="328"/>
      <c r="AR161" s="328"/>
      <c r="AS161" s="328"/>
      <c r="AT161" s="328"/>
      <c r="AU161" s="328"/>
    </row>
    <row r="162" spans="3:47" s="318" customFormat="1" x14ac:dyDescent="0.2">
      <c r="C162" s="249"/>
      <c r="D162" s="249"/>
      <c r="E162" s="636"/>
      <c r="F162" s="636"/>
      <c r="G162" s="636"/>
      <c r="H162" s="636"/>
      <c r="I162" s="636"/>
      <c r="J162" s="636"/>
      <c r="K162" s="636"/>
      <c r="L162" s="328"/>
      <c r="M162" s="638"/>
      <c r="N162" s="328"/>
      <c r="O162" s="328"/>
      <c r="P162" s="328"/>
      <c r="Q162" s="328"/>
      <c r="R162" s="328"/>
      <c r="S162" s="328"/>
      <c r="T162" s="328"/>
      <c r="U162" s="328"/>
      <c r="V162" s="328"/>
      <c r="W162" s="328"/>
      <c r="X162" s="328"/>
      <c r="Y162" s="328"/>
      <c r="Z162" s="328"/>
      <c r="AA162" s="328"/>
      <c r="AB162" s="328"/>
      <c r="AC162" s="328"/>
      <c r="AD162" s="328"/>
      <c r="AE162" s="328"/>
      <c r="AF162" s="328"/>
      <c r="AG162" s="328"/>
      <c r="AH162" s="328"/>
      <c r="AI162" s="328"/>
      <c r="AJ162" s="328"/>
      <c r="AK162" s="328"/>
      <c r="AL162" s="328"/>
      <c r="AM162" s="328"/>
      <c r="AN162" s="328"/>
      <c r="AO162" s="328"/>
      <c r="AP162" s="328"/>
      <c r="AQ162" s="328"/>
      <c r="AR162" s="328"/>
      <c r="AS162" s="328"/>
      <c r="AT162" s="328"/>
      <c r="AU162" s="328"/>
    </row>
    <row r="163" spans="3:47" s="318" customFormat="1" x14ac:dyDescent="0.2">
      <c r="C163" s="249"/>
      <c r="D163" s="249"/>
      <c r="E163" s="636"/>
      <c r="F163" s="636"/>
      <c r="G163" s="636"/>
      <c r="H163" s="636"/>
      <c r="I163" s="636"/>
      <c r="J163" s="636"/>
      <c r="K163" s="636"/>
      <c r="L163" s="328"/>
      <c r="M163" s="638"/>
      <c r="N163" s="328"/>
      <c r="O163" s="328"/>
      <c r="P163" s="328"/>
      <c r="Q163" s="328"/>
      <c r="R163" s="328"/>
      <c r="S163" s="328"/>
      <c r="T163" s="328"/>
      <c r="U163" s="328"/>
      <c r="V163" s="328"/>
      <c r="W163" s="328"/>
      <c r="X163" s="328"/>
      <c r="Y163" s="328"/>
      <c r="Z163" s="328"/>
      <c r="AA163" s="328"/>
      <c r="AB163" s="328"/>
      <c r="AC163" s="328"/>
      <c r="AD163" s="328"/>
      <c r="AE163" s="328"/>
      <c r="AF163" s="328"/>
      <c r="AG163" s="328"/>
      <c r="AH163" s="328"/>
      <c r="AI163" s="328"/>
      <c r="AJ163" s="328"/>
      <c r="AK163" s="328"/>
      <c r="AL163" s="328"/>
      <c r="AM163" s="328"/>
      <c r="AN163" s="328"/>
      <c r="AO163" s="328"/>
      <c r="AP163" s="328"/>
      <c r="AQ163" s="328"/>
      <c r="AR163" s="328"/>
      <c r="AS163" s="328"/>
      <c r="AT163" s="328"/>
      <c r="AU163" s="328"/>
    </row>
    <row r="164" spans="3:47" s="318" customFormat="1" x14ac:dyDescent="0.2">
      <c r="C164" s="249"/>
      <c r="D164" s="249"/>
      <c r="E164" s="636"/>
      <c r="F164" s="636"/>
      <c r="G164" s="636"/>
      <c r="H164" s="636"/>
      <c r="I164" s="636"/>
      <c r="J164" s="636"/>
      <c r="K164" s="636"/>
      <c r="L164" s="328"/>
      <c r="M164" s="638"/>
      <c r="N164" s="328"/>
      <c r="O164" s="328"/>
      <c r="P164" s="328"/>
      <c r="Q164" s="328"/>
      <c r="R164" s="328"/>
      <c r="S164" s="328"/>
      <c r="T164" s="328"/>
      <c r="U164" s="328"/>
      <c r="V164" s="328"/>
      <c r="W164" s="328"/>
      <c r="X164" s="328"/>
      <c r="Y164" s="328"/>
      <c r="Z164" s="328"/>
      <c r="AA164" s="328"/>
      <c r="AB164" s="328"/>
      <c r="AC164" s="328"/>
      <c r="AD164" s="328"/>
      <c r="AE164" s="328"/>
      <c r="AF164" s="328"/>
      <c r="AG164" s="328"/>
      <c r="AH164" s="328"/>
      <c r="AI164" s="328"/>
      <c r="AJ164" s="328"/>
      <c r="AK164" s="328"/>
      <c r="AL164" s="328"/>
      <c r="AM164" s="328"/>
      <c r="AN164" s="328"/>
      <c r="AO164" s="328"/>
      <c r="AP164" s="328"/>
      <c r="AQ164" s="328"/>
      <c r="AR164" s="328"/>
      <c r="AS164" s="328"/>
      <c r="AT164" s="328"/>
      <c r="AU164" s="328"/>
    </row>
    <row r="165" spans="3:47" s="318" customFormat="1" x14ac:dyDescent="0.2">
      <c r="C165" s="249"/>
      <c r="D165" s="249"/>
      <c r="E165" s="636"/>
      <c r="F165" s="636"/>
      <c r="G165" s="636"/>
      <c r="H165" s="636"/>
      <c r="I165" s="636"/>
      <c r="J165" s="636"/>
      <c r="K165" s="636"/>
      <c r="L165" s="328"/>
      <c r="M165" s="638"/>
      <c r="N165" s="328"/>
      <c r="O165" s="328"/>
      <c r="P165" s="328"/>
      <c r="Q165" s="328"/>
      <c r="R165" s="328"/>
      <c r="S165" s="328"/>
      <c r="T165" s="328"/>
      <c r="U165" s="328"/>
      <c r="V165" s="328"/>
      <c r="W165" s="328"/>
      <c r="X165" s="328"/>
      <c r="Y165" s="328"/>
      <c r="Z165" s="328"/>
      <c r="AA165" s="328"/>
      <c r="AB165" s="328"/>
      <c r="AC165" s="328"/>
      <c r="AD165" s="328"/>
      <c r="AE165" s="328"/>
      <c r="AF165" s="328"/>
      <c r="AG165" s="328"/>
      <c r="AH165" s="328"/>
      <c r="AI165" s="328"/>
      <c r="AJ165" s="328"/>
      <c r="AK165" s="328"/>
      <c r="AL165" s="328"/>
      <c r="AM165" s="328"/>
      <c r="AN165" s="328"/>
      <c r="AO165" s="328"/>
      <c r="AP165" s="328"/>
      <c r="AQ165" s="328"/>
      <c r="AR165" s="328"/>
      <c r="AS165" s="328"/>
      <c r="AT165" s="328"/>
      <c r="AU165" s="328"/>
    </row>
    <row r="166" spans="3:47" s="318" customFormat="1" x14ac:dyDescent="0.2">
      <c r="C166" s="249"/>
      <c r="D166" s="249"/>
      <c r="E166" s="636"/>
      <c r="F166" s="636"/>
      <c r="G166" s="636"/>
      <c r="H166" s="636"/>
      <c r="I166" s="636"/>
      <c r="J166" s="636"/>
      <c r="K166" s="636"/>
      <c r="L166" s="328"/>
      <c r="M166" s="638"/>
      <c r="N166" s="328"/>
      <c r="O166" s="328"/>
      <c r="P166" s="328"/>
      <c r="Q166" s="328"/>
      <c r="R166" s="328"/>
      <c r="S166" s="328"/>
      <c r="T166" s="328"/>
      <c r="U166" s="328"/>
      <c r="V166" s="328"/>
      <c r="W166" s="328"/>
      <c r="X166" s="328"/>
      <c r="Y166" s="328"/>
      <c r="Z166" s="328"/>
      <c r="AA166" s="328"/>
      <c r="AB166" s="328"/>
      <c r="AC166" s="328"/>
      <c r="AD166" s="328"/>
      <c r="AE166" s="328"/>
      <c r="AF166" s="328"/>
      <c r="AG166" s="328"/>
      <c r="AH166" s="328"/>
      <c r="AI166" s="328"/>
      <c r="AJ166" s="328"/>
      <c r="AK166" s="328"/>
      <c r="AL166" s="328"/>
      <c r="AM166" s="328"/>
      <c r="AN166" s="328"/>
      <c r="AO166" s="328"/>
      <c r="AP166" s="328"/>
      <c r="AQ166" s="328"/>
      <c r="AR166" s="328"/>
      <c r="AS166" s="328"/>
      <c r="AT166" s="328"/>
      <c r="AU166" s="328"/>
    </row>
    <row r="167" spans="3:47" s="318" customFormat="1" x14ac:dyDescent="0.2">
      <c r="C167" s="249"/>
      <c r="D167" s="249"/>
      <c r="E167" s="636"/>
      <c r="F167" s="636"/>
      <c r="G167" s="636"/>
      <c r="H167" s="636"/>
      <c r="I167" s="636"/>
      <c r="J167" s="636"/>
      <c r="K167" s="636"/>
      <c r="L167" s="328"/>
      <c r="M167" s="638"/>
      <c r="N167" s="328"/>
      <c r="O167" s="328"/>
      <c r="P167" s="328"/>
      <c r="Q167" s="328"/>
      <c r="R167" s="328"/>
      <c r="S167" s="328"/>
      <c r="T167" s="328"/>
      <c r="U167" s="328"/>
      <c r="V167" s="328"/>
      <c r="W167" s="328"/>
      <c r="X167" s="328"/>
      <c r="Y167" s="328"/>
      <c r="Z167" s="328"/>
      <c r="AA167" s="328"/>
      <c r="AB167" s="328"/>
      <c r="AC167" s="328"/>
      <c r="AD167" s="328"/>
      <c r="AE167" s="328"/>
      <c r="AF167" s="328"/>
      <c r="AG167" s="328"/>
      <c r="AH167" s="328"/>
      <c r="AI167" s="328"/>
      <c r="AJ167" s="328"/>
      <c r="AK167" s="328"/>
      <c r="AL167" s="328"/>
      <c r="AM167" s="328"/>
      <c r="AN167" s="328"/>
      <c r="AO167" s="328"/>
      <c r="AP167" s="328"/>
      <c r="AQ167" s="328"/>
      <c r="AR167" s="328"/>
      <c r="AS167" s="328"/>
      <c r="AT167" s="328"/>
      <c r="AU167" s="328"/>
    </row>
    <row r="168" spans="3:47" s="318" customFormat="1" x14ac:dyDescent="0.2">
      <c r="C168" s="249"/>
      <c r="D168" s="249"/>
      <c r="E168" s="636"/>
      <c r="F168" s="636"/>
      <c r="G168" s="636"/>
      <c r="H168" s="636"/>
      <c r="I168" s="636"/>
      <c r="J168" s="636"/>
      <c r="K168" s="636"/>
      <c r="L168" s="328"/>
      <c r="M168" s="638"/>
      <c r="N168" s="328"/>
      <c r="O168" s="328"/>
      <c r="P168" s="328"/>
      <c r="Q168" s="328"/>
      <c r="R168" s="328"/>
      <c r="S168" s="328"/>
      <c r="T168" s="328"/>
      <c r="U168" s="328"/>
      <c r="V168" s="328"/>
      <c r="W168" s="328"/>
      <c r="X168" s="328"/>
      <c r="Y168" s="328"/>
      <c r="Z168" s="328"/>
      <c r="AA168" s="328"/>
      <c r="AB168" s="328"/>
      <c r="AC168" s="328"/>
      <c r="AD168" s="328"/>
      <c r="AE168" s="328"/>
      <c r="AF168" s="328"/>
      <c r="AG168" s="328"/>
      <c r="AH168" s="328"/>
      <c r="AI168" s="328"/>
      <c r="AJ168" s="328"/>
      <c r="AK168" s="328"/>
      <c r="AL168" s="328"/>
      <c r="AM168" s="328"/>
      <c r="AN168" s="328"/>
      <c r="AO168" s="328"/>
      <c r="AP168" s="328"/>
      <c r="AQ168" s="328"/>
      <c r="AR168" s="328"/>
      <c r="AS168" s="328"/>
      <c r="AT168" s="328"/>
      <c r="AU168" s="328"/>
    </row>
    <row r="169" spans="3:47" s="318" customFormat="1" x14ac:dyDescent="0.2">
      <c r="C169" s="249"/>
      <c r="D169" s="249"/>
      <c r="E169" s="636"/>
      <c r="F169" s="636"/>
      <c r="G169" s="636"/>
      <c r="H169" s="636"/>
      <c r="I169" s="636"/>
      <c r="J169" s="636"/>
      <c r="K169" s="636"/>
      <c r="L169" s="328"/>
      <c r="M169" s="638"/>
      <c r="N169" s="328"/>
      <c r="O169" s="328"/>
      <c r="P169" s="328"/>
      <c r="Q169" s="328"/>
      <c r="R169" s="328"/>
      <c r="S169" s="328"/>
      <c r="T169" s="328"/>
      <c r="U169" s="328"/>
      <c r="V169" s="328"/>
      <c r="W169" s="328"/>
      <c r="X169" s="328"/>
      <c r="Y169" s="328"/>
      <c r="Z169" s="328"/>
      <c r="AA169" s="328"/>
      <c r="AB169" s="328"/>
      <c r="AC169" s="328"/>
      <c r="AD169" s="328"/>
      <c r="AE169" s="328"/>
      <c r="AF169" s="328"/>
      <c r="AG169" s="328"/>
      <c r="AH169" s="328"/>
      <c r="AI169" s="328"/>
      <c r="AJ169" s="328"/>
      <c r="AK169" s="328"/>
      <c r="AL169" s="328"/>
      <c r="AM169" s="328"/>
      <c r="AN169" s="328"/>
      <c r="AO169" s="328"/>
      <c r="AP169" s="328"/>
      <c r="AQ169" s="328"/>
      <c r="AR169" s="328"/>
      <c r="AS169" s="328"/>
      <c r="AT169" s="328"/>
      <c r="AU169" s="328"/>
    </row>
    <row r="170" spans="3:47" s="318" customFormat="1" x14ac:dyDescent="0.2">
      <c r="C170" s="249"/>
      <c r="D170" s="249"/>
      <c r="E170" s="636"/>
      <c r="F170" s="636"/>
      <c r="G170" s="636"/>
      <c r="H170" s="636"/>
      <c r="I170" s="636"/>
      <c r="J170" s="636"/>
      <c r="K170" s="636"/>
      <c r="L170" s="328"/>
      <c r="M170" s="638"/>
      <c r="N170" s="328"/>
      <c r="O170" s="328"/>
      <c r="P170" s="328"/>
      <c r="Q170" s="328"/>
      <c r="R170" s="328"/>
      <c r="S170" s="328"/>
      <c r="T170" s="328"/>
      <c r="U170" s="328"/>
      <c r="V170" s="328"/>
      <c r="W170" s="328"/>
      <c r="X170" s="328"/>
      <c r="Y170" s="328"/>
      <c r="Z170" s="328"/>
      <c r="AA170" s="328"/>
      <c r="AB170" s="328"/>
      <c r="AC170" s="328"/>
      <c r="AD170" s="328"/>
      <c r="AE170" s="328"/>
      <c r="AF170" s="328"/>
      <c r="AG170" s="328"/>
      <c r="AH170" s="328"/>
      <c r="AI170" s="328"/>
      <c r="AJ170" s="328"/>
      <c r="AK170" s="328"/>
      <c r="AL170" s="328"/>
      <c r="AM170" s="328"/>
      <c r="AN170" s="328"/>
      <c r="AO170" s="328"/>
      <c r="AP170" s="328"/>
      <c r="AQ170" s="328"/>
      <c r="AR170" s="328"/>
      <c r="AS170" s="328"/>
      <c r="AT170" s="328"/>
      <c r="AU170" s="328"/>
    </row>
    <row r="171" spans="3:47" s="318" customFormat="1" x14ac:dyDescent="0.2">
      <c r="C171" s="249"/>
      <c r="D171" s="249"/>
      <c r="E171" s="636"/>
      <c r="F171" s="636"/>
      <c r="G171" s="636"/>
      <c r="H171" s="636"/>
      <c r="I171" s="636"/>
      <c r="J171" s="636"/>
      <c r="K171" s="636"/>
      <c r="L171" s="328"/>
      <c r="M171" s="638"/>
      <c r="N171" s="328"/>
      <c r="O171" s="328"/>
      <c r="P171" s="328"/>
      <c r="Q171" s="328"/>
      <c r="R171" s="328"/>
      <c r="S171" s="328"/>
      <c r="T171" s="328"/>
      <c r="U171" s="328"/>
      <c r="V171" s="328"/>
      <c r="W171" s="328"/>
      <c r="X171" s="328"/>
      <c r="Y171" s="328"/>
      <c r="Z171" s="328"/>
      <c r="AA171" s="328"/>
      <c r="AB171" s="328"/>
      <c r="AC171" s="328"/>
      <c r="AD171" s="328"/>
      <c r="AE171" s="328"/>
      <c r="AF171" s="328"/>
      <c r="AG171" s="328"/>
      <c r="AH171" s="328"/>
      <c r="AI171" s="328"/>
      <c r="AJ171" s="328"/>
      <c r="AK171" s="328"/>
      <c r="AL171" s="328"/>
      <c r="AM171" s="328"/>
      <c r="AN171" s="328"/>
      <c r="AO171" s="328"/>
      <c r="AP171" s="328"/>
      <c r="AQ171" s="328"/>
      <c r="AR171" s="328"/>
      <c r="AS171" s="328"/>
      <c r="AT171" s="328"/>
      <c r="AU171" s="328"/>
    </row>
    <row r="172" spans="3:47" s="318" customFormat="1" x14ac:dyDescent="0.2">
      <c r="C172" s="249"/>
      <c r="D172" s="249"/>
      <c r="E172" s="636"/>
      <c r="F172" s="636"/>
      <c r="G172" s="636"/>
      <c r="H172" s="636"/>
      <c r="I172" s="636"/>
      <c r="J172" s="636"/>
      <c r="K172" s="636"/>
      <c r="L172" s="328"/>
      <c r="M172" s="638"/>
      <c r="N172" s="328"/>
      <c r="O172" s="328"/>
      <c r="P172" s="328"/>
      <c r="Q172" s="328"/>
      <c r="R172" s="328"/>
      <c r="S172" s="328"/>
      <c r="T172" s="328"/>
      <c r="U172" s="328"/>
      <c r="V172" s="328"/>
      <c r="W172" s="328"/>
      <c r="X172" s="328"/>
      <c r="Y172" s="328"/>
      <c r="Z172" s="328"/>
      <c r="AA172" s="328"/>
      <c r="AB172" s="328"/>
      <c r="AC172" s="328"/>
      <c r="AD172" s="328"/>
      <c r="AE172" s="328"/>
      <c r="AF172" s="328"/>
      <c r="AG172" s="328"/>
      <c r="AH172" s="328"/>
      <c r="AI172" s="328"/>
      <c r="AJ172" s="328"/>
      <c r="AK172" s="328"/>
      <c r="AL172" s="328"/>
      <c r="AM172" s="328"/>
      <c r="AN172" s="328"/>
      <c r="AO172" s="328"/>
      <c r="AP172" s="328"/>
      <c r="AQ172" s="328"/>
      <c r="AR172" s="328"/>
      <c r="AS172" s="328"/>
      <c r="AT172" s="328"/>
      <c r="AU172" s="328"/>
    </row>
    <row r="173" spans="3:47" s="318" customFormat="1" x14ac:dyDescent="0.2">
      <c r="C173" s="249"/>
      <c r="D173" s="249"/>
      <c r="E173" s="636"/>
      <c r="F173" s="636"/>
      <c r="G173" s="636"/>
      <c r="H173" s="636"/>
      <c r="I173" s="636"/>
      <c r="J173" s="636"/>
      <c r="K173" s="636"/>
      <c r="L173" s="328"/>
      <c r="M173" s="638"/>
      <c r="N173" s="328"/>
      <c r="O173" s="328"/>
      <c r="P173" s="328"/>
      <c r="Q173" s="328"/>
      <c r="R173" s="328"/>
      <c r="S173" s="328"/>
      <c r="T173" s="328"/>
      <c r="U173" s="328"/>
      <c r="V173" s="328"/>
      <c r="W173" s="328"/>
      <c r="X173" s="328"/>
      <c r="Y173" s="328"/>
      <c r="Z173" s="328"/>
      <c r="AA173" s="328"/>
      <c r="AB173" s="328"/>
      <c r="AC173" s="328"/>
      <c r="AD173" s="328"/>
      <c r="AE173" s="328"/>
      <c r="AF173" s="328"/>
      <c r="AG173" s="328"/>
      <c r="AH173" s="328"/>
      <c r="AI173" s="328"/>
      <c r="AJ173" s="328"/>
      <c r="AK173" s="328"/>
      <c r="AL173" s="328"/>
      <c r="AM173" s="328"/>
      <c r="AN173" s="328"/>
      <c r="AO173" s="328"/>
      <c r="AP173" s="328"/>
      <c r="AQ173" s="328"/>
      <c r="AR173" s="328"/>
      <c r="AS173" s="328"/>
      <c r="AT173" s="328"/>
      <c r="AU173" s="328"/>
    </row>
    <row r="174" spans="3:47" s="318" customFormat="1" x14ac:dyDescent="0.2">
      <c r="C174" s="249"/>
      <c r="D174" s="249"/>
      <c r="E174" s="636"/>
      <c r="F174" s="636"/>
      <c r="G174" s="636"/>
      <c r="H174" s="636"/>
      <c r="I174" s="636"/>
      <c r="J174" s="636"/>
      <c r="K174" s="636"/>
      <c r="L174" s="328"/>
      <c r="M174" s="638"/>
      <c r="N174" s="328"/>
      <c r="O174" s="328"/>
      <c r="P174" s="328"/>
      <c r="Q174" s="328"/>
      <c r="R174" s="328"/>
      <c r="S174" s="328"/>
      <c r="T174" s="328"/>
      <c r="U174" s="328"/>
      <c r="V174" s="328"/>
      <c r="W174" s="328"/>
      <c r="X174" s="328"/>
      <c r="Y174" s="328"/>
      <c r="Z174" s="328"/>
      <c r="AA174" s="328"/>
      <c r="AB174" s="328"/>
      <c r="AC174" s="328"/>
      <c r="AD174" s="328"/>
      <c r="AE174" s="328"/>
      <c r="AF174" s="328"/>
      <c r="AG174" s="328"/>
      <c r="AH174" s="328"/>
      <c r="AI174" s="328"/>
      <c r="AJ174" s="328"/>
      <c r="AK174" s="328"/>
      <c r="AL174" s="328"/>
      <c r="AM174" s="328"/>
      <c r="AN174" s="328"/>
      <c r="AO174" s="328"/>
      <c r="AP174" s="328"/>
      <c r="AQ174" s="328"/>
      <c r="AR174" s="328"/>
      <c r="AS174" s="328"/>
      <c r="AT174" s="328"/>
      <c r="AU174" s="328"/>
    </row>
  </sheetData>
  <mergeCells count="9">
    <mergeCell ref="A2:BD2"/>
    <mergeCell ref="A3:A4"/>
    <mergeCell ref="B3:B4"/>
    <mergeCell ref="C3:K3"/>
    <mergeCell ref="L3:T3"/>
    <mergeCell ref="U3:AC3"/>
    <mergeCell ref="AD3:AL3"/>
    <mergeCell ref="AM3:AU3"/>
    <mergeCell ref="AV3:BD3"/>
  </mergeCells>
  <printOptions horizontalCentered="1" verticalCentered="1"/>
  <pageMargins left="0.25" right="0.25" top="1" bottom="0.5" header="0.3" footer="0.3"/>
  <pageSetup paperSize="9" scale="6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DJ41"/>
  <sheetViews>
    <sheetView zoomScaleNormal="100" workbookViewId="0">
      <pane xSplit="2" ySplit="4" topLeftCell="C23" activePane="bottomRight" state="frozen"/>
      <selection activeCell="A32" sqref="A32"/>
      <selection pane="topRight" activeCell="A32" sqref="A32"/>
      <selection pane="bottomLeft" activeCell="A32" sqref="A32"/>
      <selection pane="bottomRight"/>
    </sheetView>
  </sheetViews>
  <sheetFormatPr defaultRowHeight="12.75" x14ac:dyDescent="0.2"/>
  <cols>
    <col min="1" max="1" width="6" style="222" customWidth="1"/>
    <col min="2" max="2" width="21.140625" style="222" customWidth="1"/>
    <col min="3" max="105" width="10.7109375" style="222" customWidth="1"/>
    <col min="106" max="110" width="11.85546875" style="222" bestFit="1" customWidth="1"/>
    <col min="111" max="16384" width="9.140625" style="222"/>
  </cols>
  <sheetData>
    <row r="1" spans="1:16338" s="228" customFormat="1" x14ac:dyDescent="0.25">
      <c r="A1" s="227" t="s">
        <v>550</v>
      </c>
    </row>
    <row r="2" spans="1:16338" s="218" customFormat="1" ht="15" customHeight="1" x14ac:dyDescent="0.2">
      <c r="A2" s="938" t="s">
        <v>474</v>
      </c>
      <c r="B2" s="938"/>
      <c r="C2" s="938"/>
      <c r="D2" s="938"/>
      <c r="E2" s="938"/>
      <c r="F2" s="938"/>
      <c r="G2" s="938"/>
      <c r="H2" s="938"/>
      <c r="I2" s="938"/>
      <c r="J2" s="938"/>
      <c r="K2" s="938"/>
      <c r="L2" s="938"/>
      <c r="M2" s="938"/>
      <c r="N2" s="938"/>
      <c r="O2" s="938"/>
      <c r="P2" s="938"/>
      <c r="Q2" s="938"/>
      <c r="R2" s="938"/>
      <c r="S2" s="938"/>
      <c r="T2" s="938"/>
      <c r="U2" s="938"/>
      <c r="V2" s="938"/>
      <c r="W2" s="938"/>
      <c r="X2" s="938"/>
      <c r="Y2" s="938"/>
      <c r="Z2" s="938"/>
      <c r="AA2" s="938"/>
      <c r="AB2" s="938"/>
      <c r="AC2" s="938"/>
      <c r="AD2" s="938"/>
      <c r="AE2" s="938"/>
      <c r="AF2" s="938"/>
      <c r="AG2" s="938"/>
      <c r="AH2" s="938"/>
      <c r="AI2" s="938"/>
      <c r="AJ2" s="938"/>
      <c r="AK2" s="938"/>
      <c r="AL2" s="938"/>
      <c r="AM2" s="938"/>
      <c r="AN2" s="938"/>
      <c r="AO2" s="938"/>
      <c r="AP2" s="938"/>
      <c r="AQ2" s="938"/>
      <c r="AR2" s="938"/>
      <c r="AS2" s="938"/>
      <c r="AT2" s="938"/>
      <c r="AU2" s="938"/>
      <c r="AV2" s="938"/>
      <c r="AW2" s="938"/>
      <c r="AX2" s="938"/>
      <c r="AY2" s="938"/>
      <c r="AZ2" s="938"/>
      <c r="BA2" s="938"/>
      <c r="BB2" s="938"/>
      <c r="BC2" s="938"/>
      <c r="BD2" s="938"/>
      <c r="BE2" s="938"/>
      <c r="BF2" s="938"/>
      <c r="BG2" s="938"/>
      <c r="BH2" s="938"/>
      <c r="BI2" s="938"/>
      <c r="BJ2" s="938"/>
      <c r="BK2" s="938"/>
      <c r="BL2" s="938"/>
      <c r="BM2" s="938"/>
      <c r="BN2" s="938"/>
      <c r="BO2" s="938"/>
      <c r="BP2" s="938"/>
      <c r="BQ2" s="938"/>
      <c r="BR2" s="938"/>
      <c r="BS2" s="938"/>
      <c r="BT2" s="938"/>
      <c r="BU2" s="938"/>
      <c r="BV2" s="938"/>
      <c r="BW2" s="938"/>
      <c r="BX2" s="938"/>
      <c r="BY2" s="938"/>
      <c r="BZ2" s="938"/>
      <c r="CA2" s="938"/>
      <c r="CB2" s="938"/>
      <c r="CC2" s="938"/>
      <c r="CD2" s="938"/>
      <c r="CE2" s="938"/>
      <c r="CF2" s="938"/>
      <c r="CG2" s="938"/>
      <c r="CH2" s="938"/>
      <c r="CI2" s="938"/>
      <c r="CJ2" s="938"/>
      <c r="CK2" s="938"/>
      <c r="CL2" s="938"/>
      <c r="CM2" s="938"/>
      <c r="CN2" s="938"/>
      <c r="CO2" s="938"/>
      <c r="CP2" s="938"/>
      <c r="CQ2" s="938"/>
      <c r="CR2" s="938"/>
      <c r="CS2" s="938"/>
      <c r="CT2" s="938"/>
      <c r="CU2" s="938"/>
      <c r="CV2" s="938"/>
      <c r="CW2" s="938"/>
      <c r="CX2" s="938"/>
      <c r="CY2" s="938"/>
      <c r="CZ2" s="938"/>
      <c r="DA2" s="938"/>
      <c r="DB2" s="938"/>
      <c r="DC2" s="938"/>
      <c r="DD2" s="938"/>
      <c r="DE2" s="938"/>
      <c r="DF2" s="938"/>
    </row>
    <row r="3" spans="1:16338" s="219" customFormat="1" ht="15.75" customHeight="1" x14ac:dyDescent="0.25">
      <c r="A3" s="939" t="s">
        <v>2</v>
      </c>
      <c r="B3" s="939" t="s">
        <v>140</v>
      </c>
      <c r="C3" s="940" t="s">
        <v>124</v>
      </c>
      <c r="D3" s="941"/>
      <c r="E3" s="941"/>
      <c r="F3" s="941"/>
      <c r="G3" s="941"/>
      <c r="H3" s="941"/>
      <c r="I3" s="941"/>
      <c r="J3" s="941"/>
      <c r="K3" s="942"/>
      <c r="L3" s="940" t="s">
        <v>141</v>
      </c>
      <c r="M3" s="941"/>
      <c r="N3" s="941"/>
      <c r="O3" s="941"/>
      <c r="P3" s="941"/>
      <c r="Q3" s="941"/>
      <c r="R3" s="941"/>
      <c r="S3" s="941"/>
      <c r="T3" s="942"/>
      <c r="U3" s="940" t="s">
        <v>142</v>
      </c>
      <c r="V3" s="941"/>
      <c r="W3" s="941"/>
      <c r="X3" s="941"/>
      <c r="Y3" s="941"/>
      <c r="Z3" s="941"/>
      <c r="AA3" s="941"/>
      <c r="AB3" s="941"/>
      <c r="AC3" s="942"/>
      <c r="AD3" s="940" t="s">
        <v>132</v>
      </c>
      <c r="AE3" s="941"/>
      <c r="AF3" s="941"/>
      <c r="AG3" s="941"/>
      <c r="AH3" s="941"/>
      <c r="AI3" s="941"/>
      <c r="AJ3" s="941"/>
      <c r="AK3" s="941"/>
      <c r="AL3" s="942"/>
      <c r="AM3" s="940" t="s">
        <v>133</v>
      </c>
      <c r="AN3" s="941"/>
      <c r="AO3" s="941"/>
      <c r="AP3" s="941"/>
      <c r="AQ3" s="941"/>
      <c r="AR3" s="941"/>
      <c r="AS3" s="941"/>
      <c r="AT3" s="941"/>
      <c r="AU3" s="942"/>
      <c r="AV3" s="944" t="s">
        <v>134</v>
      </c>
      <c r="AW3" s="945"/>
      <c r="AX3" s="945"/>
      <c r="AY3" s="945"/>
      <c r="AZ3" s="945"/>
      <c r="BA3" s="945"/>
      <c r="BB3" s="945"/>
      <c r="BC3" s="945"/>
      <c r="BD3" s="946"/>
      <c r="BE3" s="944" t="s">
        <v>135</v>
      </c>
      <c r="BF3" s="945"/>
      <c r="BG3" s="945"/>
      <c r="BH3" s="945"/>
      <c r="BI3" s="945"/>
      <c r="BJ3" s="945"/>
      <c r="BK3" s="945"/>
      <c r="BL3" s="945"/>
      <c r="BM3" s="946"/>
      <c r="BN3" s="940" t="s">
        <v>136</v>
      </c>
      <c r="BO3" s="941"/>
      <c r="BP3" s="941"/>
      <c r="BQ3" s="941"/>
      <c r="BR3" s="941"/>
      <c r="BS3" s="941"/>
      <c r="BT3" s="941"/>
      <c r="BU3" s="941"/>
      <c r="BV3" s="942"/>
      <c r="BW3" s="940" t="s">
        <v>137</v>
      </c>
      <c r="BX3" s="941"/>
      <c r="BY3" s="941"/>
      <c r="BZ3" s="941"/>
      <c r="CA3" s="941"/>
      <c r="CB3" s="941"/>
      <c r="CC3" s="941"/>
      <c r="CD3" s="941"/>
      <c r="CE3" s="942"/>
      <c r="CF3" s="940" t="s">
        <v>138</v>
      </c>
      <c r="CG3" s="941"/>
      <c r="CH3" s="941"/>
      <c r="CI3" s="941"/>
      <c r="CJ3" s="941"/>
      <c r="CK3" s="941"/>
      <c r="CL3" s="941"/>
      <c r="CM3" s="941"/>
      <c r="CN3" s="942"/>
      <c r="CO3" s="940" t="s">
        <v>139</v>
      </c>
      <c r="CP3" s="941"/>
      <c r="CQ3" s="941"/>
      <c r="CR3" s="941"/>
      <c r="CS3" s="941"/>
      <c r="CT3" s="941"/>
      <c r="CU3" s="941"/>
      <c r="CV3" s="941"/>
      <c r="CW3" s="942"/>
      <c r="CX3" s="943" t="s">
        <v>120</v>
      </c>
      <c r="CY3" s="943"/>
      <c r="CZ3" s="943"/>
      <c r="DA3" s="943"/>
      <c r="DB3" s="943"/>
      <c r="DC3" s="943"/>
      <c r="DD3" s="943"/>
      <c r="DE3" s="943"/>
      <c r="DF3" s="943"/>
    </row>
    <row r="4" spans="1:16338" s="219" customFormat="1" x14ac:dyDescent="0.2">
      <c r="A4" s="939"/>
      <c r="B4" s="939"/>
      <c r="C4" s="40" t="s">
        <v>91</v>
      </c>
      <c r="D4" s="40" t="s">
        <v>102</v>
      </c>
      <c r="E4" s="40" t="s">
        <v>51</v>
      </c>
      <c r="F4" s="40" t="s">
        <v>87</v>
      </c>
      <c r="G4" s="40" t="s">
        <v>20</v>
      </c>
      <c r="H4" s="40" t="s">
        <v>99</v>
      </c>
      <c r="I4" s="40" t="s">
        <v>103</v>
      </c>
      <c r="J4" s="217" t="s">
        <v>415</v>
      </c>
      <c r="K4" s="40" t="s">
        <v>507</v>
      </c>
      <c r="L4" s="40" t="s">
        <v>91</v>
      </c>
      <c r="M4" s="40" t="s">
        <v>102</v>
      </c>
      <c r="N4" s="40" t="s">
        <v>51</v>
      </c>
      <c r="O4" s="40" t="s">
        <v>87</v>
      </c>
      <c r="P4" s="40" t="s">
        <v>20</v>
      </c>
      <c r="Q4" s="40" t="s">
        <v>99</v>
      </c>
      <c r="R4" s="40" t="s">
        <v>103</v>
      </c>
      <c r="S4" s="217" t="s">
        <v>415</v>
      </c>
      <c r="T4" s="40" t="s">
        <v>507</v>
      </c>
      <c r="U4" s="40" t="s">
        <v>91</v>
      </c>
      <c r="V4" s="40" t="s">
        <v>102</v>
      </c>
      <c r="W4" s="41" t="s">
        <v>51</v>
      </c>
      <c r="X4" s="40" t="s">
        <v>87</v>
      </c>
      <c r="Y4" s="40" t="s">
        <v>20</v>
      </c>
      <c r="Z4" s="40" t="s">
        <v>99</v>
      </c>
      <c r="AA4" s="40" t="s">
        <v>103</v>
      </c>
      <c r="AB4" s="217" t="s">
        <v>415</v>
      </c>
      <c r="AC4" s="40" t="s">
        <v>507</v>
      </c>
      <c r="AD4" s="40" t="s">
        <v>91</v>
      </c>
      <c r="AE4" s="40" t="s">
        <v>102</v>
      </c>
      <c r="AF4" s="41" t="s">
        <v>51</v>
      </c>
      <c r="AG4" s="40" t="s">
        <v>87</v>
      </c>
      <c r="AH4" s="40" t="s">
        <v>20</v>
      </c>
      <c r="AI4" s="40" t="s">
        <v>99</v>
      </c>
      <c r="AJ4" s="40" t="s">
        <v>103</v>
      </c>
      <c r="AK4" s="217" t="s">
        <v>415</v>
      </c>
      <c r="AL4" s="40" t="s">
        <v>507</v>
      </c>
      <c r="AM4" s="40" t="s">
        <v>91</v>
      </c>
      <c r="AN4" s="40" t="s">
        <v>102</v>
      </c>
      <c r="AO4" s="40" t="s">
        <v>51</v>
      </c>
      <c r="AP4" s="40" t="s">
        <v>87</v>
      </c>
      <c r="AQ4" s="40" t="s">
        <v>20</v>
      </c>
      <c r="AR4" s="40" t="s">
        <v>99</v>
      </c>
      <c r="AS4" s="40" t="s">
        <v>103</v>
      </c>
      <c r="AT4" s="217" t="s">
        <v>415</v>
      </c>
      <c r="AU4" s="40" t="s">
        <v>507</v>
      </c>
      <c r="AV4" s="40" t="s">
        <v>91</v>
      </c>
      <c r="AW4" s="40" t="s">
        <v>102</v>
      </c>
      <c r="AX4" s="40" t="s">
        <v>51</v>
      </c>
      <c r="AY4" s="40" t="s">
        <v>87</v>
      </c>
      <c r="AZ4" s="40" t="s">
        <v>20</v>
      </c>
      <c r="BA4" s="40" t="s">
        <v>99</v>
      </c>
      <c r="BB4" s="40" t="s">
        <v>103</v>
      </c>
      <c r="BC4" s="217" t="s">
        <v>415</v>
      </c>
      <c r="BD4" s="40" t="s">
        <v>507</v>
      </c>
      <c r="BE4" s="40" t="s">
        <v>91</v>
      </c>
      <c r="BF4" s="40" t="s">
        <v>102</v>
      </c>
      <c r="BG4" s="40" t="s">
        <v>51</v>
      </c>
      <c r="BH4" s="40" t="s">
        <v>87</v>
      </c>
      <c r="BI4" s="40" t="s">
        <v>20</v>
      </c>
      <c r="BJ4" s="40" t="s">
        <v>99</v>
      </c>
      <c r="BK4" s="40" t="s">
        <v>103</v>
      </c>
      <c r="BL4" s="217" t="s">
        <v>415</v>
      </c>
      <c r="BM4" s="639" t="s">
        <v>507</v>
      </c>
      <c r="BN4" s="40" t="s">
        <v>91</v>
      </c>
      <c r="BO4" s="40" t="s">
        <v>102</v>
      </c>
      <c r="BP4" s="41" t="s">
        <v>51</v>
      </c>
      <c r="BQ4" s="40" t="s">
        <v>87</v>
      </c>
      <c r="BR4" s="40" t="s">
        <v>20</v>
      </c>
      <c r="BS4" s="40" t="s">
        <v>99</v>
      </c>
      <c r="BT4" s="40" t="s">
        <v>103</v>
      </c>
      <c r="BU4" s="217" t="s">
        <v>415</v>
      </c>
      <c r="BV4" s="639" t="s">
        <v>507</v>
      </c>
      <c r="BW4" s="40" t="s">
        <v>91</v>
      </c>
      <c r="BX4" s="40" t="s">
        <v>102</v>
      </c>
      <c r="BY4" s="40" t="s">
        <v>51</v>
      </c>
      <c r="BZ4" s="40" t="s">
        <v>87</v>
      </c>
      <c r="CA4" s="40" t="s">
        <v>20</v>
      </c>
      <c r="CB4" s="40" t="s">
        <v>99</v>
      </c>
      <c r="CC4" s="40" t="s">
        <v>103</v>
      </c>
      <c r="CD4" s="217" t="s">
        <v>415</v>
      </c>
      <c r="CE4" s="40" t="s">
        <v>507</v>
      </c>
      <c r="CF4" s="40" t="s">
        <v>91</v>
      </c>
      <c r="CG4" s="40" t="s">
        <v>102</v>
      </c>
      <c r="CH4" s="40" t="s">
        <v>51</v>
      </c>
      <c r="CI4" s="40" t="s">
        <v>87</v>
      </c>
      <c r="CJ4" s="40" t="s">
        <v>20</v>
      </c>
      <c r="CK4" s="40" t="s">
        <v>99</v>
      </c>
      <c r="CL4" s="40" t="s">
        <v>103</v>
      </c>
      <c r="CM4" s="217" t="s">
        <v>415</v>
      </c>
      <c r="CN4" s="40" t="s">
        <v>507</v>
      </c>
      <c r="CO4" s="40" t="s">
        <v>91</v>
      </c>
      <c r="CP4" s="40" t="s">
        <v>102</v>
      </c>
      <c r="CQ4" s="40" t="s">
        <v>51</v>
      </c>
      <c r="CR4" s="40" t="s">
        <v>87</v>
      </c>
      <c r="CS4" s="40" t="s">
        <v>20</v>
      </c>
      <c r="CT4" s="40" t="s">
        <v>99</v>
      </c>
      <c r="CU4" s="40" t="s">
        <v>103</v>
      </c>
      <c r="CV4" s="40" t="s">
        <v>415</v>
      </c>
      <c r="CW4" s="40" t="s">
        <v>507</v>
      </c>
      <c r="CX4" s="40" t="s">
        <v>91</v>
      </c>
      <c r="CY4" s="40" t="s">
        <v>102</v>
      </c>
      <c r="CZ4" s="40" t="s">
        <v>51</v>
      </c>
      <c r="DA4" s="40" t="s">
        <v>87</v>
      </c>
      <c r="DB4" s="40" t="s">
        <v>20</v>
      </c>
      <c r="DC4" s="40" t="s">
        <v>99</v>
      </c>
      <c r="DD4" s="40" t="s">
        <v>103</v>
      </c>
      <c r="DE4" s="40" t="s">
        <v>415</v>
      </c>
      <c r="DF4" s="40" t="s">
        <v>507</v>
      </c>
    </row>
    <row r="5" spans="1:16338" x14ac:dyDescent="0.2">
      <c r="A5" s="220">
        <v>1</v>
      </c>
      <c r="B5" s="221" t="s">
        <v>143</v>
      </c>
      <c r="C5" s="640">
        <v>498.39141312028841</v>
      </c>
      <c r="D5" s="640">
        <v>393.19265735565818</v>
      </c>
      <c r="E5" s="640">
        <v>392.58648241447969</v>
      </c>
      <c r="F5" s="640">
        <v>324.17480149541547</v>
      </c>
      <c r="G5" s="640">
        <v>423.71824446744665</v>
      </c>
      <c r="H5" s="640">
        <v>455.93305692108106</v>
      </c>
      <c r="I5" s="640">
        <v>543.8070648406989</v>
      </c>
      <c r="J5" s="641">
        <v>791.82311774504331</v>
      </c>
      <c r="K5" s="642">
        <v>738.68306095723028</v>
      </c>
      <c r="L5" s="640">
        <v>101.43520902895008</v>
      </c>
      <c r="M5" s="640">
        <v>74.061577619231031</v>
      </c>
      <c r="N5" s="640">
        <v>56.998274960953914</v>
      </c>
      <c r="O5" s="640">
        <v>35.903258593874519</v>
      </c>
      <c r="P5" s="640">
        <v>49.998405450931202</v>
      </c>
      <c r="Q5" s="640">
        <v>60.777363066999996</v>
      </c>
      <c r="R5" s="640">
        <v>48.130893076</v>
      </c>
      <c r="S5" s="641">
        <v>49.972733409742922</v>
      </c>
      <c r="T5" s="642">
        <v>60.415877785509991</v>
      </c>
      <c r="U5" s="640">
        <v>30.521454856999998</v>
      </c>
      <c r="V5" s="640">
        <v>29.616645727000002</v>
      </c>
      <c r="W5" s="640">
        <v>50.275490024999996</v>
      </c>
      <c r="X5" s="640">
        <v>7.8092277999999986</v>
      </c>
      <c r="Y5" s="640">
        <v>37.400185633965506</v>
      </c>
      <c r="Z5" s="640">
        <v>47.802827265999994</v>
      </c>
      <c r="AA5" s="640">
        <v>58.845718568999999</v>
      </c>
      <c r="AB5" s="641">
        <v>50.062080463999997</v>
      </c>
      <c r="AC5" s="642">
        <v>54.623731399999997</v>
      </c>
      <c r="AD5" s="640">
        <v>8.7545157000000007</v>
      </c>
      <c r="AE5" s="640">
        <v>7.2817972200000005</v>
      </c>
      <c r="AF5" s="640">
        <v>8.9605918247999998</v>
      </c>
      <c r="AG5" s="640">
        <v>7.5264140389999996</v>
      </c>
      <c r="AH5" s="640">
        <v>1.5906899869999997</v>
      </c>
      <c r="AI5" s="640">
        <v>1.4121243400000001</v>
      </c>
      <c r="AJ5" s="640">
        <v>1.4003456999999999</v>
      </c>
      <c r="AK5" s="641">
        <v>1.2533984740599999</v>
      </c>
      <c r="AL5" s="642">
        <v>0.28210402000000001</v>
      </c>
      <c r="AM5" s="640">
        <v>284.90572575995105</v>
      </c>
      <c r="AN5" s="640">
        <v>178.5723694193764</v>
      </c>
      <c r="AO5" s="640">
        <v>120.08606515104047</v>
      </c>
      <c r="AP5" s="640">
        <v>64.470556180432723</v>
      </c>
      <c r="AQ5" s="640">
        <v>89.204794371265066</v>
      </c>
      <c r="AR5" s="640">
        <v>105.95742424879998</v>
      </c>
      <c r="AS5" s="640">
        <v>102.85298442700001</v>
      </c>
      <c r="AT5" s="641">
        <v>116.88072867735004</v>
      </c>
      <c r="AU5" s="642">
        <v>179.01934435897002</v>
      </c>
      <c r="AV5" s="640">
        <v>1150.7019542707383</v>
      </c>
      <c r="AW5" s="640">
        <v>773.51140034725336</v>
      </c>
      <c r="AX5" s="640">
        <v>674.96691287387728</v>
      </c>
      <c r="AY5" s="640">
        <v>649.95451119571521</v>
      </c>
      <c r="AZ5" s="640">
        <v>826.50467462808092</v>
      </c>
      <c r="BA5" s="640">
        <v>798.56070268007898</v>
      </c>
      <c r="BB5" s="640">
        <v>760.44173810575705</v>
      </c>
      <c r="BC5" s="641">
        <v>790.02191129838127</v>
      </c>
      <c r="BD5" s="642">
        <v>836.0324711834968</v>
      </c>
      <c r="BE5" s="640">
        <v>1091.3939405591852</v>
      </c>
      <c r="BF5" s="640">
        <v>885.7791032284091</v>
      </c>
      <c r="BG5" s="640">
        <v>922.51105186195025</v>
      </c>
      <c r="BH5" s="640">
        <v>886.82437312950719</v>
      </c>
      <c r="BI5" s="640">
        <v>1307.975980237861</v>
      </c>
      <c r="BJ5" s="640">
        <v>1434.8099204379885</v>
      </c>
      <c r="BK5" s="640">
        <v>1527.2199742644432</v>
      </c>
      <c r="BL5" s="641">
        <v>1487.6663493545109</v>
      </c>
      <c r="BM5" s="642">
        <v>1567.1356770984439</v>
      </c>
      <c r="BN5" s="640">
        <v>61.531325321094947</v>
      </c>
      <c r="BO5" s="640">
        <v>46.730219969399847</v>
      </c>
      <c r="BP5" s="640">
        <v>42.49546545243939</v>
      </c>
      <c r="BQ5" s="640">
        <v>37.161406831771572</v>
      </c>
      <c r="BR5" s="640">
        <v>41.076378949128184</v>
      </c>
      <c r="BS5" s="640">
        <v>42.502277176001101</v>
      </c>
      <c r="BT5" s="640">
        <v>34.002234594999997</v>
      </c>
      <c r="BU5" s="641">
        <v>35.88872980381565</v>
      </c>
      <c r="BV5" s="642">
        <v>28.372332469999996</v>
      </c>
      <c r="BW5" s="640">
        <v>798.26768779999998</v>
      </c>
      <c r="BX5" s="640">
        <v>205.2885708</v>
      </c>
      <c r="BY5" s="640">
        <v>648.07925317199999</v>
      </c>
      <c r="BZ5" s="640">
        <v>479.30655105465996</v>
      </c>
      <c r="CA5" s="640">
        <v>1283.715744223</v>
      </c>
      <c r="CB5" s="640">
        <v>1094.8265965230039</v>
      </c>
      <c r="CC5" s="640">
        <v>1113.4438142578574</v>
      </c>
      <c r="CD5" s="641">
        <v>275.99701381247633</v>
      </c>
      <c r="CE5" s="642">
        <v>5.4160210737013515E-3</v>
      </c>
      <c r="CF5" s="640">
        <v>61.670357715000016</v>
      </c>
      <c r="CG5" s="640">
        <v>24.2191677</v>
      </c>
      <c r="CH5" s="640">
        <v>25.7867</v>
      </c>
      <c r="CI5" s="640">
        <v>28.515250000000002</v>
      </c>
      <c r="CJ5" s="640">
        <v>32.980912399999994</v>
      </c>
      <c r="CK5" s="640">
        <v>37.513226500000002</v>
      </c>
      <c r="CL5" s="640">
        <v>40.848055800000004</v>
      </c>
      <c r="CM5" s="641">
        <v>40.456241200000001</v>
      </c>
      <c r="CN5" s="642">
        <v>45.2939297</v>
      </c>
      <c r="CO5" s="640">
        <v>181.0513624165973</v>
      </c>
      <c r="CP5" s="640">
        <v>126.32786497325273</v>
      </c>
      <c r="CQ5" s="640">
        <v>133.48906032227708</v>
      </c>
      <c r="CR5" s="640">
        <v>104.29042962392776</v>
      </c>
      <c r="CS5" s="640">
        <v>119.82795205307924</v>
      </c>
      <c r="CT5" s="640">
        <v>162.11785444899368</v>
      </c>
      <c r="CU5" s="640">
        <v>113.15406280100122</v>
      </c>
      <c r="CV5" s="640">
        <v>113.74776740722979</v>
      </c>
      <c r="CW5" s="642">
        <v>102.3664990012</v>
      </c>
      <c r="CX5" s="640">
        <f t="shared" ref="CX5:DF5" si="0">C5+L5+U5+AD5+AM5+AV5+BE5+BN5+BW5+CF5+CO5</f>
        <v>4268.6249465488045</v>
      </c>
      <c r="CY5" s="640">
        <f t="shared" si="0"/>
        <v>2744.5813743595809</v>
      </c>
      <c r="CZ5" s="640">
        <f t="shared" si="0"/>
        <v>3076.2353480588181</v>
      </c>
      <c r="DA5" s="640">
        <f t="shared" si="0"/>
        <v>2625.9367799443039</v>
      </c>
      <c r="DB5" s="640">
        <f t="shared" si="0"/>
        <v>4213.9939624017579</v>
      </c>
      <c r="DC5" s="640">
        <f t="shared" si="0"/>
        <v>4242.2133736089472</v>
      </c>
      <c r="DD5" s="640">
        <f t="shared" si="0"/>
        <v>4344.146886436758</v>
      </c>
      <c r="DE5" s="640">
        <f t="shared" si="0"/>
        <v>3753.7700716466102</v>
      </c>
      <c r="DF5" s="640">
        <f t="shared" si="0"/>
        <v>3612.2304439959244</v>
      </c>
    </row>
    <row r="6" spans="1:16338" x14ac:dyDescent="0.2">
      <c r="A6" s="223">
        <v>2</v>
      </c>
      <c r="B6" s="224" t="s">
        <v>144</v>
      </c>
      <c r="C6" s="643">
        <v>2.0094920542537515</v>
      </c>
      <c r="D6" s="643">
        <v>2.5971147619753037</v>
      </c>
      <c r="E6" s="643">
        <v>2.7662984334600003</v>
      </c>
      <c r="F6" s="643">
        <v>2.089403332820567</v>
      </c>
      <c r="G6" s="643">
        <v>3.6036479312668077</v>
      </c>
      <c r="H6" s="643">
        <v>2.8044958819999999</v>
      </c>
      <c r="I6" s="643">
        <v>6.7280016679999992</v>
      </c>
      <c r="J6" s="644">
        <v>34.538300497999998</v>
      </c>
      <c r="K6" s="643">
        <v>27.510767386999998</v>
      </c>
      <c r="L6" s="643">
        <v>0.2243967</v>
      </c>
      <c r="M6" s="643">
        <v>0.28825789500000004</v>
      </c>
      <c r="N6" s="643">
        <v>0.29481718600000001</v>
      </c>
      <c r="O6" s="643">
        <v>0.16294099999403033</v>
      </c>
      <c r="P6" s="643">
        <v>0.30044864477850658</v>
      </c>
      <c r="Q6" s="643">
        <v>0.17127510000000001</v>
      </c>
      <c r="R6" s="643">
        <v>0.22983221199999998</v>
      </c>
      <c r="S6" s="644">
        <v>0.20877016800000001</v>
      </c>
      <c r="T6" s="643">
        <v>0.35617462999999999</v>
      </c>
      <c r="U6" s="643">
        <v>0</v>
      </c>
      <c r="V6" s="643">
        <v>0</v>
      </c>
      <c r="W6" s="643">
        <v>0</v>
      </c>
      <c r="X6" s="643">
        <v>0</v>
      </c>
      <c r="Y6" s="643">
        <v>0</v>
      </c>
      <c r="Z6" s="643">
        <v>0</v>
      </c>
      <c r="AA6" s="643">
        <v>0</v>
      </c>
      <c r="AB6" s="644">
        <v>0</v>
      </c>
      <c r="AC6" s="643">
        <v>2.911E-2</v>
      </c>
      <c r="AD6" s="643">
        <v>0</v>
      </c>
      <c r="AE6" s="643">
        <v>0</v>
      </c>
      <c r="AF6" s="643">
        <v>0</v>
      </c>
      <c r="AG6" s="643">
        <v>0</v>
      </c>
      <c r="AH6" s="643">
        <v>0</v>
      </c>
      <c r="AI6" s="643">
        <v>6.3200000000000006E-2</v>
      </c>
      <c r="AJ6" s="643">
        <v>0.70660000000000001</v>
      </c>
      <c r="AK6" s="644">
        <v>0.82920000000000005</v>
      </c>
      <c r="AL6" s="643">
        <v>3.1503102000000003</v>
      </c>
      <c r="AM6" s="643">
        <v>3.4775533424523606</v>
      </c>
      <c r="AN6" s="643">
        <v>4.8396936359999998</v>
      </c>
      <c r="AO6" s="643">
        <v>3.4634410130000002</v>
      </c>
      <c r="AP6" s="643">
        <v>2.242013520924826</v>
      </c>
      <c r="AQ6" s="643">
        <v>7.26619947827602</v>
      </c>
      <c r="AR6" s="643">
        <v>15.4258182676</v>
      </c>
      <c r="AS6" s="643">
        <v>11.203014955999999</v>
      </c>
      <c r="AT6" s="644">
        <v>17.319511993000003</v>
      </c>
      <c r="AU6" s="643">
        <v>19.026438703999997</v>
      </c>
      <c r="AV6" s="643">
        <v>10.961926809495502</v>
      </c>
      <c r="AW6" s="643">
        <v>13.703864775830947</v>
      </c>
      <c r="AX6" s="643">
        <v>26.189253689429325</v>
      </c>
      <c r="AY6" s="643">
        <v>12.951003930427559</v>
      </c>
      <c r="AZ6" s="643">
        <v>18.569882809639086</v>
      </c>
      <c r="BA6" s="643">
        <v>24.4988185596</v>
      </c>
      <c r="BB6" s="643">
        <v>22.790667349462822</v>
      </c>
      <c r="BC6" s="644">
        <v>23.273555254012905</v>
      </c>
      <c r="BD6" s="643">
        <v>20.723707924787195</v>
      </c>
      <c r="BE6" s="643">
        <v>8.2704477694600076</v>
      </c>
      <c r="BF6" s="643">
        <v>10.271445061596571</v>
      </c>
      <c r="BG6" s="643">
        <v>50.308158656809901</v>
      </c>
      <c r="BH6" s="643">
        <v>11.428668245206765</v>
      </c>
      <c r="BI6" s="643">
        <v>16.985897391817339</v>
      </c>
      <c r="BJ6" s="643">
        <v>32.604972239999995</v>
      </c>
      <c r="BK6" s="643">
        <v>26.4654804008238</v>
      </c>
      <c r="BL6" s="644">
        <v>27.975413065799998</v>
      </c>
      <c r="BM6" s="643">
        <v>25.436658596626668</v>
      </c>
      <c r="BN6" s="643">
        <v>0.12999440000000001</v>
      </c>
      <c r="BO6" s="643">
        <v>0.1488188</v>
      </c>
      <c r="BP6" s="643">
        <v>0.203739058</v>
      </c>
      <c r="BQ6" s="643">
        <v>0.10448490000000002</v>
      </c>
      <c r="BR6" s="643">
        <v>0.39775117999999993</v>
      </c>
      <c r="BS6" s="643">
        <v>0.5118176940000001</v>
      </c>
      <c r="BT6" s="643">
        <v>0.43767921700000001</v>
      </c>
      <c r="BU6" s="644">
        <v>0.9784201050000001</v>
      </c>
      <c r="BV6" s="643">
        <v>1.22857409</v>
      </c>
      <c r="BW6" s="643">
        <v>5.4941299999999998E-2</v>
      </c>
      <c r="BX6" s="643">
        <v>2.9570599999999999E-2</v>
      </c>
      <c r="BY6" s="643">
        <v>2.7400299999999999E-2</v>
      </c>
      <c r="BZ6" s="643">
        <v>0</v>
      </c>
      <c r="CA6" s="643">
        <v>0</v>
      </c>
      <c r="CB6" s="643">
        <v>0</v>
      </c>
      <c r="CC6" s="643">
        <v>0</v>
      </c>
      <c r="CD6" s="644">
        <v>0</v>
      </c>
      <c r="CE6" s="643">
        <v>0</v>
      </c>
      <c r="CF6" s="643">
        <v>0</v>
      </c>
      <c r="CG6" s="643">
        <v>0</v>
      </c>
      <c r="CH6" s="643">
        <v>0</v>
      </c>
      <c r="CI6" s="643">
        <v>0</v>
      </c>
      <c r="CJ6" s="643">
        <v>0</v>
      </c>
      <c r="CK6" s="643">
        <v>0</v>
      </c>
      <c r="CL6" s="643">
        <v>0</v>
      </c>
      <c r="CM6" s="644">
        <v>0</v>
      </c>
      <c r="CN6" s="643">
        <v>0</v>
      </c>
      <c r="CO6" s="643">
        <v>0.61986787769000007</v>
      </c>
      <c r="CP6" s="643">
        <v>0.61798180385000001</v>
      </c>
      <c r="CQ6" s="643">
        <v>0.59380481915000005</v>
      </c>
      <c r="CR6" s="643">
        <v>0.39533619300000106</v>
      </c>
      <c r="CS6" s="643">
        <v>0.59757821233516684</v>
      </c>
      <c r="CT6" s="643">
        <v>0.69934786599999998</v>
      </c>
      <c r="CU6" s="643">
        <v>0.67339922899999938</v>
      </c>
      <c r="CV6" s="643">
        <v>0.71182744599999959</v>
      </c>
      <c r="CW6" s="643">
        <v>0.69010810000000022</v>
      </c>
      <c r="CX6" s="643">
        <f t="shared" ref="CX6:CX41" si="1">C6+L6+U6+AD6+AM6+AV6+BE6+BN6+BW6+CF6+CO6</f>
        <v>25.748620253351625</v>
      </c>
      <c r="CY6" s="643">
        <f t="shared" ref="CY6:CY41" si="2">D6+M6+V6+AE6+AN6+AW6+BF6+BO6+BX6+CG6+CP6</f>
        <v>32.496747334252824</v>
      </c>
      <c r="CZ6" s="643">
        <f t="shared" ref="CZ6:CZ41" si="3">E6+N6+W6+AF6+AO6+AX6+BG6+BP6+BY6+CH6+CQ6</f>
        <v>83.846913155849208</v>
      </c>
      <c r="DA6" s="643">
        <f t="shared" ref="DA6:DA41" si="4">F6+O6+X6+AG6+AP6+AY6+BH6+BQ6+BZ6+CI6+CR6</f>
        <v>29.37385112237375</v>
      </c>
      <c r="DB6" s="643">
        <f t="shared" ref="DB6:DB41" si="5">G6+P6+Y6+AH6+AQ6+AZ6+BI6+BR6+CA6+CJ6+CS6</f>
        <v>47.721405648112921</v>
      </c>
      <c r="DC6" s="643">
        <f t="shared" ref="DC6:DC41" si="6">H6+Q6+Z6+AI6+AR6+BA6+BJ6+BS6+CB6+CK6+CT6</f>
        <v>76.779745609199992</v>
      </c>
      <c r="DD6" s="643">
        <f t="shared" ref="DD6:DD41" si="7">I6+R6+AA6+AJ6+AS6+BB6+BK6+BT6+CC6+CL6+CU6</f>
        <v>69.234675032286617</v>
      </c>
      <c r="DE6" s="643">
        <f t="shared" ref="DE6:DE41" si="8">J6+S6+AB6+AK6+AT6+BC6+BL6+BU6+CD6+CM6+CV6</f>
        <v>105.83499852981291</v>
      </c>
      <c r="DF6" s="643">
        <f t="shared" ref="DF6:DF41" si="9">K6+T6+AC6+AL6+AU6+BD6+BM6+BV6+CE6+CN6+CW6</f>
        <v>98.151849632413857</v>
      </c>
    </row>
    <row r="7" spans="1:16338" x14ac:dyDescent="0.2">
      <c r="A7" s="223">
        <v>3</v>
      </c>
      <c r="B7" s="224" t="s">
        <v>145</v>
      </c>
      <c r="C7" s="643">
        <v>61.045504641077514</v>
      </c>
      <c r="D7" s="643">
        <v>67.306226672401564</v>
      </c>
      <c r="E7" s="643">
        <v>81.227296266941181</v>
      </c>
      <c r="F7" s="643">
        <v>86.338614036827167</v>
      </c>
      <c r="G7" s="643">
        <v>121.39930539826301</v>
      </c>
      <c r="H7" s="643">
        <v>136.638983193656</v>
      </c>
      <c r="I7" s="643">
        <v>164.91359652300068</v>
      </c>
      <c r="J7" s="644">
        <v>217.43774726927219</v>
      </c>
      <c r="K7" s="643">
        <v>227.06846528025</v>
      </c>
      <c r="L7" s="643">
        <v>11.38201305322</v>
      </c>
      <c r="M7" s="643">
        <v>12.448405421281338</v>
      </c>
      <c r="N7" s="643">
        <v>11.05741384741</v>
      </c>
      <c r="O7" s="643">
        <v>8.1601192239989935</v>
      </c>
      <c r="P7" s="643">
        <v>10.041352689942727</v>
      </c>
      <c r="Q7" s="643">
        <v>11.782269051</v>
      </c>
      <c r="R7" s="643">
        <v>12.206394521</v>
      </c>
      <c r="S7" s="644">
        <v>12.022240275693022</v>
      </c>
      <c r="T7" s="643">
        <v>18.050788251</v>
      </c>
      <c r="U7" s="643">
        <v>1.6439345000000003</v>
      </c>
      <c r="V7" s="643">
        <v>1.5378475</v>
      </c>
      <c r="W7" s="643">
        <v>1.4463575</v>
      </c>
      <c r="X7" s="643">
        <v>0.52363369999999998</v>
      </c>
      <c r="Y7" s="643">
        <v>1.1192100984777751</v>
      </c>
      <c r="Z7" s="643">
        <v>1.6388763979999998</v>
      </c>
      <c r="AA7" s="643">
        <v>3.3586820999999998</v>
      </c>
      <c r="AB7" s="644">
        <v>2.9412585</v>
      </c>
      <c r="AC7" s="643">
        <v>4.5030926999999998</v>
      </c>
      <c r="AD7" s="643">
        <v>0</v>
      </c>
      <c r="AE7" s="643">
        <v>0</v>
      </c>
      <c r="AF7" s="643">
        <v>0</v>
      </c>
      <c r="AG7" s="643">
        <v>0</v>
      </c>
      <c r="AH7" s="643">
        <v>2.6150000000000003E-2</v>
      </c>
      <c r="AI7" s="643">
        <v>0.17816299999999999</v>
      </c>
      <c r="AJ7" s="643">
        <v>0.1100797</v>
      </c>
      <c r="AK7" s="644">
        <v>1.1999999999999999E-3</v>
      </c>
      <c r="AL7" s="643">
        <v>1.0967349999999998</v>
      </c>
      <c r="AM7" s="643">
        <v>48.289741354052552</v>
      </c>
      <c r="AN7" s="643">
        <v>34.587541226988435</v>
      </c>
      <c r="AO7" s="643">
        <v>45.880936597997191</v>
      </c>
      <c r="AP7" s="643">
        <v>27.098805901099109</v>
      </c>
      <c r="AQ7" s="643">
        <v>33.634859863611247</v>
      </c>
      <c r="AR7" s="643">
        <v>43.415361869599998</v>
      </c>
      <c r="AS7" s="643">
        <v>44.590538979999998</v>
      </c>
      <c r="AT7" s="644">
        <v>63.955558229199994</v>
      </c>
      <c r="AU7" s="643">
        <v>128.54114786479997</v>
      </c>
      <c r="AV7" s="643">
        <v>263.83915290721171</v>
      </c>
      <c r="AW7" s="643">
        <v>246.88029352840655</v>
      </c>
      <c r="AX7" s="643">
        <v>247.55959145095414</v>
      </c>
      <c r="AY7" s="643">
        <v>301.84141650629425</v>
      </c>
      <c r="AZ7" s="643">
        <v>416.96195954421825</v>
      </c>
      <c r="BA7" s="643">
        <v>419.97062426951663</v>
      </c>
      <c r="BB7" s="643">
        <v>413.12393832925432</v>
      </c>
      <c r="BC7" s="644">
        <v>460.98939432242742</v>
      </c>
      <c r="BD7" s="643">
        <v>473.4977516270551</v>
      </c>
      <c r="BE7" s="643">
        <v>278.89685527886371</v>
      </c>
      <c r="BF7" s="643">
        <v>291.10598150335613</v>
      </c>
      <c r="BG7" s="643">
        <v>332.19745708564818</v>
      </c>
      <c r="BH7" s="643">
        <v>357.51571291576386</v>
      </c>
      <c r="BI7" s="643">
        <v>552.22522840011629</v>
      </c>
      <c r="BJ7" s="643">
        <v>634.23909447413837</v>
      </c>
      <c r="BK7" s="643">
        <v>685.52197231121852</v>
      </c>
      <c r="BL7" s="644">
        <v>748.3835022044716</v>
      </c>
      <c r="BM7" s="643">
        <v>801.12920367350057</v>
      </c>
      <c r="BN7" s="643">
        <v>4.1466342540000003</v>
      </c>
      <c r="BO7" s="643">
        <v>4.8092473430000009</v>
      </c>
      <c r="BP7" s="643">
        <v>5.6778605115641092</v>
      </c>
      <c r="BQ7" s="643">
        <v>3.5945841180113196</v>
      </c>
      <c r="BR7" s="643">
        <v>6.0541530413304647</v>
      </c>
      <c r="BS7" s="643">
        <v>7.3358152379999986</v>
      </c>
      <c r="BT7" s="643">
        <v>7.3093097959999991</v>
      </c>
      <c r="BU7" s="644">
        <v>8.1857571649500613</v>
      </c>
      <c r="BV7" s="643">
        <v>12.603002696999997</v>
      </c>
      <c r="BW7" s="643">
        <v>5.9622209420000001</v>
      </c>
      <c r="BX7" s="643">
        <v>8.9302430469999994</v>
      </c>
      <c r="BY7" s="643">
        <v>17.625856848999998</v>
      </c>
      <c r="BZ7" s="643">
        <v>0.37521109899999999</v>
      </c>
      <c r="CA7" s="643">
        <v>14.904689336000001</v>
      </c>
      <c r="CB7" s="643">
        <v>6.7744511669999996</v>
      </c>
      <c r="CC7" s="643">
        <v>46.274627468999995</v>
      </c>
      <c r="CD7" s="644">
        <v>268.83200883834274</v>
      </c>
      <c r="CE7" s="643">
        <v>191.3899133672613</v>
      </c>
      <c r="CF7" s="643">
        <v>0</v>
      </c>
      <c r="CG7" s="643">
        <v>0</v>
      </c>
      <c r="CH7" s="643">
        <v>0</v>
      </c>
      <c r="CI7" s="643">
        <v>0</v>
      </c>
      <c r="CJ7" s="643">
        <v>0</v>
      </c>
      <c r="CK7" s="643">
        <v>0</v>
      </c>
      <c r="CL7" s="643">
        <v>0</v>
      </c>
      <c r="CM7" s="644">
        <v>0</v>
      </c>
      <c r="CN7" s="643">
        <v>0</v>
      </c>
      <c r="CO7" s="643">
        <v>26.146185165923594</v>
      </c>
      <c r="CP7" s="643">
        <v>25.572904281849798</v>
      </c>
      <c r="CQ7" s="643">
        <v>25.703562192724025</v>
      </c>
      <c r="CR7" s="643">
        <v>26.919660496699997</v>
      </c>
      <c r="CS7" s="643">
        <v>24.869626325150954</v>
      </c>
      <c r="CT7" s="643">
        <v>32.827640860000059</v>
      </c>
      <c r="CU7" s="643">
        <v>33.997675102000038</v>
      </c>
      <c r="CV7" s="643">
        <v>33.942688626355618</v>
      </c>
      <c r="CW7" s="643">
        <v>31.859576724749996</v>
      </c>
      <c r="CX7" s="643">
        <f t="shared" si="1"/>
        <v>701.35224209634907</v>
      </c>
      <c r="CY7" s="643">
        <f t="shared" si="2"/>
        <v>693.17869052428375</v>
      </c>
      <c r="CZ7" s="643">
        <f t="shared" si="3"/>
        <v>768.37633230223878</v>
      </c>
      <c r="DA7" s="643">
        <f t="shared" si="4"/>
        <v>812.36775799769464</v>
      </c>
      <c r="DB7" s="643">
        <f t="shared" si="5"/>
        <v>1181.2365346971108</v>
      </c>
      <c r="DC7" s="643">
        <f t="shared" si="6"/>
        <v>1294.8012795209111</v>
      </c>
      <c r="DD7" s="643">
        <f t="shared" si="7"/>
        <v>1411.4068148314736</v>
      </c>
      <c r="DE7" s="643">
        <f t="shared" si="8"/>
        <v>1816.6913554307127</v>
      </c>
      <c r="DF7" s="643">
        <f t="shared" si="9"/>
        <v>1889.7396771856168</v>
      </c>
    </row>
    <row r="8" spans="1:16338" s="225" customFormat="1" x14ac:dyDescent="0.2">
      <c r="A8" s="223">
        <v>4</v>
      </c>
      <c r="B8" s="224" t="s">
        <v>146</v>
      </c>
      <c r="C8" s="643">
        <v>39.227011661263525</v>
      </c>
      <c r="D8" s="643">
        <v>52.417437167291958</v>
      </c>
      <c r="E8" s="643">
        <v>55.88070077087437</v>
      </c>
      <c r="F8" s="643">
        <v>62.858098193504482</v>
      </c>
      <c r="G8" s="643">
        <v>86.811343283832031</v>
      </c>
      <c r="H8" s="643">
        <v>117.97730021555103</v>
      </c>
      <c r="I8" s="643">
        <v>137.02891179250003</v>
      </c>
      <c r="J8" s="644">
        <v>154.36080154160015</v>
      </c>
      <c r="K8" s="643">
        <v>148.35407205246005</v>
      </c>
      <c r="L8" s="643">
        <v>6.0783276612202268</v>
      </c>
      <c r="M8" s="643">
        <v>6.2694560596376911</v>
      </c>
      <c r="N8" s="643">
        <v>7.6991927279861248</v>
      </c>
      <c r="O8" s="643">
        <v>7.315845593350117</v>
      </c>
      <c r="P8" s="643">
        <v>6.403665666376452</v>
      </c>
      <c r="Q8" s="643">
        <v>4.6988597620000006</v>
      </c>
      <c r="R8" s="643">
        <v>4.7375361060000003</v>
      </c>
      <c r="S8" s="644">
        <v>5.3848895080745258</v>
      </c>
      <c r="T8" s="643">
        <v>6.7396878340000015</v>
      </c>
      <c r="U8" s="643">
        <v>2.0539899999999996E-2</v>
      </c>
      <c r="V8" s="643">
        <v>3.5580499999999994E-2</v>
      </c>
      <c r="W8" s="643">
        <v>3.4596099999999998E-2</v>
      </c>
      <c r="X8" s="643">
        <v>3.6559000000000001E-2</v>
      </c>
      <c r="Y8" s="643">
        <v>7.3014999999999998E-3</v>
      </c>
      <c r="Z8" s="643">
        <v>5.7249700000000001E-2</v>
      </c>
      <c r="AA8" s="643">
        <v>4.9114600000000001E-2</v>
      </c>
      <c r="AB8" s="644">
        <v>4.3539200000000007E-2</v>
      </c>
      <c r="AC8" s="643">
        <v>4.2394399999999999E-2</v>
      </c>
      <c r="AD8" s="643">
        <v>9.7815100000000002E-2</v>
      </c>
      <c r="AE8" s="643">
        <v>0.15951989999999999</v>
      </c>
      <c r="AF8" s="643">
        <v>5.5657999999999992E-2</v>
      </c>
      <c r="AG8" s="643">
        <v>6.71268E-2</v>
      </c>
      <c r="AH8" s="643">
        <v>5.10783E-2</v>
      </c>
      <c r="AI8" s="643">
        <v>1.5300000000000001E-2</v>
      </c>
      <c r="AJ8" s="643">
        <v>0.13</v>
      </c>
      <c r="AK8" s="644">
        <v>1.28375E-2</v>
      </c>
      <c r="AL8" s="643">
        <v>3.6749999999999998E-2</v>
      </c>
      <c r="AM8" s="643">
        <v>17.821807519848086</v>
      </c>
      <c r="AN8" s="643">
        <v>20.803389438791161</v>
      </c>
      <c r="AO8" s="643">
        <v>21.067002067205213</v>
      </c>
      <c r="AP8" s="643">
        <v>18.080646964195047</v>
      </c>
      <c r="AQ8" s="643">
        <v>30.70513468228436</v>
      </c>
      <c r="AR8" s="643">
        <v>49.687418723300013</v>
      </c>
      <c r="AS8" s="643">
        <v>54.781135495000001</v>
      </c>
      <c r="AT8" s="644">
        <v>76.388061080399993</v>
      </c>
      <c r="AU8" s="643">
        <v>89.073779563499997</v>
      </c>
      <c r="AV8" s="643">
        <v>352.78196896745902</v>
      </c>
      <c r="AW8" s="643">
        <v>379.2208602276304</v>
      </c>
      <c r="AX8" s="643">
        <v>461.82667924640953</v>
      </c>
      <c r="AY8" s="643">
        <v>449.46588350383604</v>
      </c>
      <c r="AZ8" s="643">
        <v>557.15693333949184</v>
      </c>
      <c r="BA8" s="643">
        <v>593.37611869397711</v>
      </c>
      <c r="BB8" s="643">
        <v>599.72875050640209</v>
      </c>
      <c r="BC8" s="644">
        <v>589.21194584874183</v>
      </c>
      <c r="BD8" s="643">
        <v>604.38999204952131</v>
      </c>
      <c r="BE8" s="643">
        <v>339.66085153367356</v>
      </c>
      <c r="BF8" s="643">
        <v>355.8710121670419</v>
      </c>
      <c r="BG8" s="643">
        <v>471.75385957407053</v>
      </c>
      <c r="BH8" s="643">
        <v>522.34002379767526</v>
      </c>
      <c r="BI8" s="643">
        <v>706.18659457454351</v>
      </c>
      <c r="BJ8" s="643">
        <v>912.23021799833327</v>
      </c>
      <c r="BK8" s="643">
        <v>1035.9315902263052</v>
      </c>
      <c r="BL8" s="644">
        <v>1003.6408362307543</v>
      </c>
      <c r="BM8" s="643">
        <v>1010.9307627174218</v>
      </c>
      <c r="BN8" s="643">
        <v>3.1803892576640407</v>
      </c>
      <c r="BO8" s="643">
        <v>3.645070691098117</v>
      </c>
      <c r="BP8" s="643">
        <v>3.7284069962417705</v>
      </c>
      <c r="BQ8" s="643">
        <v>2.6541677422205443</v>
      </c>
      <c r="BR8" s="643">
        <v>4.1599290618869835</v>
      </c>
      <c r="BS8" s="643">
        <v>5.1964535110000005</v>
      </c>
      <c r="BT8" s="643">
        <v>5.6617266310000005</v>
      </c>
      <c r="BU8" s="644">
        <v>9.1355260793884892</v>
      </c>
      <c r="BV8" s="643">
        <v>9.8827026500000006</v>
      </c>
      <c r="BW8" s="643">
        <v>816.67855130500016</v>
      </c>
      <c r="BX8" s="643">
        <v>533.74628110499998</v>
      </c>
      <c r="BY8" s="643">
        <v>229.08185815000007</v>
      </c>
      <c r="BZ8" s="643">
        <v>1077.9369666897348</v>
      </c>
      <c r="CA8" s="643">
        <v>1314.1752300490011</v>
      </c>
      <c r="CB8" s="643">
        <v>-15.222006919059044</v>
      </c>
      <c r="CC8" s="643">
        <v>-9.6740727270000022</v>
      </c>
      <c r="CD8" s="644">
        <v>4.2484009670000003</v>
      </c>
      <c r="CE8" s="643">
        <v>0.59163817899999993</v>
      </c>
      <c r="CF8" s="643">
        <v>0</v>
      </c>
      <c r="CG8" s="643">
        <v>0</v>
      </c>
      <c r="CH8" s="643">
        <v>0</v>
      </c>
      <c r="CI8" s="643">
        <v>0</v>
      </c>
      <c r="CJ8" s="643">
        <v>0</v>
      </c>
      <c r="CK8" s="643">
        <v>0</v>
      </c>
      <c r="CL8" s="643">
        <v>0</v>
      </c>
      <c r="CM8" s="644">
        <v>7.2959999999999997E-2</v>
      </c>
      <c r="CN8" s="643">
        <v>0.32818110000000006</v>
      </c>
      <c r="CO8" s="643">
        <v>184.71866486103175</v>
      </c>
      <c r="CP8" s="643">
        <v>48.37910079422187</v>
      </c>
      <c r="CQ8" s="643">
        <v>49.510258959632239</v>
      </c>
      <c r="CR8" s="643">
        <v>48.091495372760001</v>
      </c>
      <c r="CS8" s="643">
        <v>109.39834616288591</v>
      </c>
      <c r="CT8" s="643">
        <v>60.557578345000017</v>
      </c>
      <c r="CU8" s="643">
        <v>51.410409925000003</v>
      </c>
      <c r="CV8" s="643">
        <v>52.274244150168222</v>
      </c>
      <c r="CW8" s="643">
        <v>52.314810606199998</v>
      </c>
      <c r="CX8" s="643">
        <f t="shared" si="1"/>
        <v>1760.2659277671605</v>
      </c>
      <c r="CY8" s="643">
        <f t="shared" si="2"/>
        <v>1400.547708050713</v>
      </c>
      <c r="CZ8" s="643">
        <f t="shared" si="3"/>
        <v>1300.6382125924197</v>
      </c>
      <c r="DA8" s="643">
        <f t="shared" si="4"/>
        <v>2188.8468136572765</v>
      </c>
      <c r="DB8" s="643">
        <f t="shared" si="5"/>
        <v>2815.055556620302</v>
      </c>
      <c r="DC8" s="643">
        <f t="shared" si="6"/>
        <v>1728.5744900301022</v>
      </c>
      <c r="DD8" s="643">
        <f t="shared" si="7"/>
        <v>1879.7851025552072</v>
      </c>
      <c r="DE8" s="643">
        <f t="shared" si="8"/>
        <v>1894.7740421061274</v>
      </c>
      <c r="DF8" s="643">
        <f t="shared" si="9"/>
        <v>1922.6847711521029</v>
      </c>
      <c r="DG8" s="222"/>
      <c r="DH8" s="222"/>
      <c r="DI8" s="222"/>
      <c r="DJ8" s="222"/>
      <c r="DK8" s="222"/>
      <c r="DL8" s="222"/>
      <c r="DM8" s="222"/>
      <c r="DN8" s="222"/>
      <c r="DO8" s="222"/>
      <c r="DP8" s="222"/>
      <c r="DQ8" s="222"/>
      <c r="DR8" s="222"/>
      <c r="DS8" s="222"/>
      <c r="DT8" s="222"/>
      <c r="DU8" s="222"/>
      <c r="DV8" s="222"/>
      <c r="DW8" s="222"/>
      <c r="DX8" s="222"/>
      <c r="DY8" s="222"/>
      <c r="DZ8" s="222"/>
      <c r="EA8" s="222"/>
      <c r="EB8" s="222"/>
      <c r="EC8" s="222"/>
      <c r="ED8" s="222"/>
      <c r="EE8" s="222"/>
      <c r="EF8" s="222"/>
      <c r="EG8" s="222"/>
      <c r="EH8" s="222"/>
      <c r="EI8" s="222"/>
      <c r="EJ8" s="222"/>
      <c r="EK8" s="222"/>
      <c r="EL8" s="222"/>
      <c r="EM8" s="222"/>
      <c r="EN8" s="222"/>
      <c r="EO8" s="222"/>
      <c r="EP8" s="222"/>
      <c r="EQ8" s="222"/>
      <c r="ER8" s="222"/>
      <c r="ES8" s="222"/>
      <c r="ET8" s="222"/>
      <c r="EU8" s="222"/>
      <c r="EV8" s="222"/>
      <c r="EW8" s="222"/>
      <c r="EX8" s="222"/>
      <c r="EY8" s="222"/>
      <c r="EZ8" s="222"/>
      <c r="FA8" s="222"/>
      <c r="FB8" s="222"/>
      <c r="FC8" s="222"/>
      <c r="FD8" s="222"/>
      <c r="FE8" s="222"/>
      <c r="FF8" s="222"/>
      <c r="FG8" s="222"/>
      <c r="FH8" s="222"/>
      <c r="FI8" s="222"/>
      <c r="FJ8" s="222"/>
      <c r="FK8" s="222"/>
      <c r="FL8" s="222"/>
      <c r="FM8" s="222"/>
      <c r="FN8" s="222"/>
      <c r="FO8" s="222"/>
      <c r="FP8" s="222"/>
      <c r="FQ8" s="222"/>
      <c r="FR8" s="222"/>
      <c r="FS8" s="222"/>
      <c r="FT8" s="222"/>
      <c r="FU8" s="222"/>
      <c r="FV8" s="222"/>
      <c r="FW8" s="222"/>
      <c r="FX8" s="222"/>
      <c r="FY8" s="222"/>
      <c r="FZ8" s="222"/>
      <c r="GA8" s="222"/>
      <c r="GB8" s="222"/>
      <c r="GC8" s="222"/>
      <c r="GD8" s="222"/>
      <c r="GE8" s="222"/>
      <c r="GF8" s="222"/>
      <c r="GG8" s="222"/>
      <c r="GH8" s="222"/>
      <c r="GI8" s="222"/>
      <c r="GJ8" s="222"/>
      <c r="GK8" s="222"/>
      <c r="GL8" s="222"/>
      <c r="GM8" s="222"/>
      <c r="GN8" s="222"/>
      <c r="GO8" s="222"/>
      <c r="GP8" s="222"/>
      <c r="GQ8" s="222"/>
      <c r="GR8" s="222"/>
      <c r="GS8" s="222"/>
      <c r="GT8" s="222"/>
      <c r="GU8" s="222"/>
      <c r="GV8" s="222"/>
      <c r="GW8" s="222"/>
      <c r="GX8" s="222"/>
      <c r="GY8" s="222"/>
      <c r="GZ8" s="222"/>
      <c r="HA8" s="222"/>
      <c r="HB8" s="222"/>
      <c r="HC8" s="222"/>
      <c r="HD8" s="222"/>
      <c r="HE8" s="222"/>
      <c r="HF8" s="222"/>
      <c r="HG8" s="222"/>
      <c r="HH8" s="222"/>
      <c r="HI8" s="222"/>
      <c r="HJ8" s="222"/>
      <c r="HK8" s="222"/>
      <c r="HL8" s="222"/>
      <c r="HM8" s="222"/>
      <c r="HN8" s="222"/>
      <c r="HO8" s="222"/>
      <c r="HP8" s="222"/>
      <c r="HQ8" s="222"/>
      <c r="HR8" s="222"/>
      <c r="HS8" s="222"/>
      <c r="HT8" s="222"/>
      <c r="HU8" s="222"/>
      <c r="HV8" s="222"/>
      <c r="HW8" s="222"/>
      <c r="HX8" s="222"/>
      <c r="HY8" s="222"/>
      <c r="HZ8" s="222"/>
      <c r="IA8" s="222"/>
      <c r="IB8" s="222"/>
      <c r="IC8" s="222"/>
      <c r="ID8" s="222"/>
      <c r="IE8" s="222"/>
      <c r="IF8" s="222"/>
      <c r="IG8" s="222"/>
      <c r="IH8" s="222"/>
      <c r="II8" s="222"/>
      <c r="IJ8" s="222"/>
      <c r="IK8" s="222"/>
      <c r="IL8" s="222"/>
      <c r="IM8" s="222"/>
      <c r="IN8" s="222"/>
      <c r="IO8" s="222"/>
      <c r="IP8" s="222"/>
      <c r="IQ8" s="222"/>
      <c r="IR8" s="222"/>
      <c r="IS8" s="222"/>
      <c r="IT8" s="222"/>
      <c r="IU8" s="222"/>
      <c r="IV8" s="222"/>
      <c r="IW8" s="222"/>
      <c r="IX8" s="222"/>
      <c r="IY8" s="222"/>
      <c r="IZ8" s="222"/>
      <c r="JA8" s="222"/>
      <c r="JB8" s="222"/>
      <c r="JC8" s="222"/>
      <c r="JD8" s="222"/>
      <c r="JE8" s="222"/>
      <c r="JF8" s="222"/>
      <c r="JG8" s="222"/>
      <c r="JH8" s="222"/>
      <c r="JI8" s="222"/>
      <c r="JJ8" s="222"/>
      <c r="JK8" s="222"/>
      <c r="JL8" s="222"/>
      <c r="JM8" s="222"/>
      <c r="JN8" s="222"/>
      <c r="JO8" s="222"/>
      <c r="JP8" s="222"/>
      <c r="JQ8" s="222"/>
      <c r="JR8" s="222"/>
      <c r="JS8" s="222"/>
      <c r="JT8" s="222"/>
      <c r="JU8" s="222"/>
      <c r="JV8" s="222"/>
      <c r="JW8" s="222"/>
      <c r="JX8" s="222"/>
      <c r="JY8" s="222"/>
      <c r="JZ8" s="222"/>
      <c r="KA8" s="222"/>
      <c r="KB8" s="222"/>
      <c r="KC8" s="222"/>
      <c r="KD8" s="222"/>
      <c r="KE8" s="222"/>
      <c r="KF8" s="222"/>
      <c r="KG8" s="222"/>
      <c r="KH8" s="222"/>
      <c r="KI8" s="222"/>
      <c r="KJ8" s="222"/>
      <c r="KK8" s="222"/>
      <c r="KL8" s="222"/>
      <c r="KM8" s="222"/>
      <c r="KN8" s="222"/>
      <c r="KO8" s="222"/>
      <c r="KP8" s="222"/>
      <c r="KQ8" s="222"/>
      <c r="KR8" s="222"/>
      <c r="KS8" s="222"/>
      <c r="KT8" s="222"/>
      <c r="KU8" s="222"/>
      <c r="KV8" s="222"/>
      <c r="KW8" s="222"/>
      <c r="KX8" s="222"/>
      <c r="KY8" s="222"/>
      <c r="KZ8" s="222"/>
      <c r="LA8" s="222"/>
      <c r="LB8" s="222"/>
      <c r="LC8" s="222"/>
      <c r="LD8" s="222"/>
      <c r="LE8" s="222"/>
      <c r="LF8" s="222"/>
      <c r="LG8" s="222"/>
      <c r="LH8" s="222"/>
      <c r="LI8" s="222"/>
      <c r="LJ8" s="222"/>
      <c r="LK8" s="222"/>
      <c r="LL8" s="222"/>
      <c r="LM8" s="222"/>
      <c r="LN8" s="222"/>
      <c r="LO8" s="222"/>
      <c r="LP8" s="222"/>
      <c r="LQ8" s="222"/>
      <c r="LR8" s="222"/>
      <c r="LS8" s="222"/>
      <c r="LT8" s="222"/>
      <c r="LU8" s="222"/>
      <c r="LV8" s="222"/>
      <c r="LW8" s="222"/>
      <c r="LX8" s="222"/>
      <c r="LY8" s="222"/>
      <c r="LZ8" s="222"/>
      <c r="MA8" s="222"/>
      <c r="MB8" s="222"/>
      <c r="MC8" s="222"/>
      <c r="MD8" s="222"/>
      <c r="ME8" s="222"/>
      <c r="MF8" s="222"/>
      <c r="MG8" s="222"/>
      <c r="MH8" s="222"/>
      <c r="MI8" s="222"/>
      <c r="MJ8" s="222"/>
      <c r="MK8" s="222"/>
      <c r="ML8" s="222"/>
      <c r="MM8" s="222"/>
      <c r="MN8" s="222"/>
      <c r="MO8" s="222"/>
      <c r="MP8" s="222"/>
      <c r="MQ8" s="222"/>
      <c r="MR8" s="222"/>
      <c r="MS8" s="222"/>
      <c r="MT8" s="222"/>
      <c r="MU8" s="222"/>
      <c r="MV8" s="222"/>
      <c r="MW8" s="222"/>
      <c r="MX8" s="222"/>
      <c r="MY8" s="222"/>
      <c r="MZ8" s="222"/>
      <c r="NA8" s="222"/>
      <c r="NB8" s="222"/>
      <c r="NC8" s="222"/>
      <c r="ND8" s="222"/>
      <c r="NE8" s="222"/>
      <c r="NF8" s="222"/>
      <c r="NG8" s="222"/>
      <c r="NH8" s="222"/>
      <c r="NI8" s="222"/>
      <c r="NJ8" s="222"/>
      <c r="NK8" s="222"/>
      <c r="NL8" s="222"/>
      <c r="NM8" s="222"/>
      <c r="NN8" s="222"/>
      <c r="NO8" s="222"/>
      <c r="NP8" s="222"/>
      <c r="NQ8" s="222"/>
      <c r="NR8" s="222"/>
      <c r="NS8" s="222"/>
      <c r="NT8" s="222"/>
      <c r="NU8" s="222"/>
      <c r="NV8" s="222"/>
      <c r="NW8" s="222"/>
      <c r="NX8" s="222"/>
      <c r="NY8" s="222"/>
      <c r="NZ8" s="222"/>
      <c r="OA8" s="222"/>
      <c r="OB8" s="222"/>
      <c r="OC8" s="222"/>
      <c r="OD8" s="222"/>
      <c r="OE8" s="222"/>
      <c r="OF8" s="222"/>
      <c r="OG8" s="222"/>
      <c r="OH8" s="222"/>
      <c r="OI8" s="222"/>
      <c r="OJ8" s="222"/>
      <c r="OK8" s="222"/>
      <c r="OL8" s="222"/>
      <c r="OM8" s="222"/>
      <c r="ON8" s="222"/>
      <c r="OO8" s="222"/>
      <c r="OP8" s="222"/>
      <c r="OQ8" s="222"/>
      <c r="OR8" s="222"/>
      <c r="OS8" s="222"/>
      <c r="OT8" s="222"/>
      <c r="OU8" s="222"/>
      <c r="OV8" s="222"/>
      <c r="OW8" s="222"/>
      <c r="OX8" s="222"/>
      <c r="OY8" s="222"/>
      <c r="OZ8" s="222"/>
      <c r="PA8" s="222"/>
      <c r="PB8" s="222"/>
      <c r="PC8" s="222"/>
      <c r="PD8" s="222"/>
      <c r="PE8" s="222"/>
      <c r="PF8" s="222"/>
      <c r="PG8" s="222"/>
      <c r="PH8" s="222"/>
      <c r="PI8" s="222"/>
      <c r="PJ8" s="222"/>
      <c r="PK8" s="222"/>
      <c r="PL8" s="222"/>
      <c r="PM8" s="222"/>
      <c r="PN8" s="222"/>
      <c r="PO8" s="222"/>
      <c r="PP8" s="222"/>
      <c r="PQ8" s="222"/>
      <c r="PR8" s="222"/>
      <c r="PS8" s="222"/>
      <c r="PT8" s="222"/>
      <c r="PU8" s="222"/>
      <c r="PV8" s="222"/>
      <c r="PW8" s="222"/>
      <c r="PX8" s="222"/>
      <c r="PY8" s="222"/>
      <c r="PZ8" s="222"/>
      <c r="QA8" s="222"/>
      <c r="QB8" s="222"/>
      <c r="QC8" s="222"/>
      <c r="QD8" s="222"/>
      <c r="QE8" s="222"/>
      <c r="QF8" s="222"/>
      <c r="QG8" s="222"/>
      <c r="QH8" s="222"/>
      <c r="QI8" s="222"/>
      <c r="QJ8" s="222"/>
      <c r="QK8" s="222"/>
      <c r="QL8" s="222"/>
      <c r="QM8" s="222"/>
      <c r="QN8" s="222"/>
      <c r="QO8" s="222"/>
      <c r="QP8" s="222"/>
      <c r="QQ8" s="222"/>
      <c r="QR8" s="222"/>
      <c r="QS8" s="222"/>
      <c r="QT8" s="222"/>
      <c r="QU8" s="222"/>
      <c r="QV8" s="222"/>
      <c r="QW8" s="222"/>
      <c r="QX8" s="222"/>
      <c r="QY8" s="222"/>
      <c r="QZ8" s="222"/>
      <c r="RA8" s="222"/>
      <c r="RB8" s="222"/>
      <c r="RC8" s="222"/>
      <c r="RD8" s="222"/>
      <c r="RE8" s="222"/>
      <c r="RF8" s="222"/>
      <c r="RG8" s="222"/>
      <c r="RH8" s="222"/>
      <c r="RI8" s="222"/>
      <c r="RJ8" s="222"/>
      <c r="RK8" s="222"/>
      <c r="RL8" s="222"/>
      <c r="RM8" s="222"/>
      <c r="RN8" s="222"/>
      <c r="RO8" s="222"/>
      <c r="RP8" s="222"/>
      <c r="RQ8" s="222"/>
      <c r="RR8" s="222"/>
      <c r="RS8" s="222"/>
      <c r="RT8" s="222"/>
      <c r="RU8" s="222"/>
      <c r="RV8" s="222"/>
      <c r="RW8" s="222"/>
      <c r="RX8" s="222"/>
      <c r="RY8" s="222"/>
      <c r="RZ8" s="222"/>
      <c r="SA8" s="222"/>
      <c r="SB8" s="222"/>
      <c r="SC8" s="222"/>
      <c r="SD8" s="222"/>
      <c r="SE8" s="222"/>
      <c r="SF8" s="222"/>
      <c r="SG8" s="222"/>
      <c r="SH8" s="222"/>
      <c r="SI8" s="222"/>
      <c r="SJ8" s="222"/>
      <c r="SK8" s="222"/>
      <c r="SL8" s="222"/>
      <c r="SM8" s="222"/>
      <c r="SN8" s="222"/>
      <c r="SO8" s="222"/>
      <c r="SP8" s="222"/>
      <c r="SQ8" s="222"/>
      <c r="SR8" s="222"/>
      <c r="SS8" s="222"/>
      <c r="ST8" s="222"/>
      <c r="SU8" s="222"/>
      <c r="SV8" s="222"/>
      <c r="SW8" s="222"/>
      <c r="SX8" s="222"/>
      <c r="SY8" s="222"/>
      <c r="SZ8" s="222"/>
      <c r="TA8" s="222"/>
      <c r="TB8" s="222"/>
      <c r="TC8" s="222"/>
      <c r="TD8" s="222"/>
      <c r="TE8" s="222"/>
      <c r="TF8" s="222"/>
      <c r="TG8" s="222"/>
      <c r="TH8" s="222"/>
      <c r="TI8" s="222"/>
      <c r="TJ8" s="222"/>
      <c r="TK8" s="222"/>
      <c r="TL8" s="222"/>
      <c r="TM8" s="222"/>
      <c r="TN8" s="222"/>
      <c r="TO8" s="222"/>
      <c r="TP8" s="222"/>
      <c r="TQ8" s="222"/>
      <c r="TR8" s="222"/>
      <c r="TS8" s="222"/>
      <c r="TT8" s="222"/>
      <c r="TU8" s="222"/>
      <c r="TV8" s="222"/>
      <c r="TW8" s="222"/>
      <c r="TX8" s="222"/>
      <c r="TY8" s="222"/>
      <c r="TZ8" s="222"/>
      <c r="UA8" s="222"/>
      <c r="UB8" s="222"/>
      <c r="UC8" s="222"/>
      <c r="UD8" s="222"/>
      <c r="UE8" s="222"/>
      <c r="UF8" s="222"/>
      <c r="UG8" s="222"/>
      <c r="UH8" s="222"/>
      <c r="UI8" s="222"/>
      <c r="UJ8" s="222"/>
      <c r="UK8" s="222"/>
      <c r="UL8" s="222"/>
      <c r="UM8" s="222"/>
      <c r="UN8" s="222"/>
      <c r="UO8" s="222"/>
      <c r="UP8" s="222"/>
      <c r="UQ8" s="222"/>
      <c r="UR8" s="222"/>
      <c r="US8" s="222"/>
      <c r="UT8" s="222"/>
      <c r="UU8" s="222"/>
      <c r="UV8" s="222"/>
      <c r="UW8" s="222"/>
      <c r="UX8" s="222"/>
      <c r="UY8" s="222"/>
      <c r="UZ8" s="222"/>
      <c r="VA8" s="222"/>
      <c r="VB8" s="222"/>
      <c r="VC8" s="222"/>
      <c r="VD8" s="222"/>
      <c r="VE8" s="222"/>
      <c r="VF8" s="222"/>
      <c r="VG8" s="222"/>
      <c r="VH8" s="222"/>
      <c r="VI8" s="222"/>
      <c r="VJ8" s="222"/>
      <c r="VK8" s="222"/>
      <c r="VL8" s="222"/>
      <c r="VM8" s="222"/>
      <c r="VN8" s="222"/>
      <c r="VO8" s="222"/>
      <c r="VP8" s="222"/>
      <c r="VQ8" s="222"/>
      <c r="VR8" s="222"/>
      <c r="VS8" s="222"/>
      <c r="VT8" s="222"/>
      <c r="VU8" s="222"/>
      <c r="VV8" s="222"/>
      <c r="VW8" s="222"/>
      <c r="VX8" s="222"/>
      <c r="VY8" s="222"/>
      <c r="VZ8" s="222"/>
      <c r="WA8" s="222"/>
      <c r="WB8" s="222"/>
      <c r="WC8" s="222"/>
      <c r="WD8" s="222"/>
      <c r="WE8" s="222"/>
      <c r="WF8" s="222"/>
      <c r="WG8" s="222"/>
      <c r="WH8" s="222"/>
      <c r="WI8" s="222"/>
      <c r="WJ8" s="222"/>
      <c r="WK8" s="222"/>
      <c r="WL8" s="222"/>
      <c r="WM8" s="222"/>
      <c r="WN8" s="222"/>
      <c r="WO8" s="222"/>
      <c r="WP8" s="222"/>
      <c r="WQ8" s="222"/>
      <c r="WR8" s="222"/>
      <c r="WS8" s="222"/>
      <c r="WT8" s="222"/>
      <c r="WU8" s="222"/>
      <c r="WV8" s="222"/>
      <c r="WW8" s="222"/>
      <c r="WX8" s="222"/>
      <c r="WY8" s="222"/>
      <c r="WZ8" s="222"/>
      <c r="XA8" s="222"/>
      <c r="XB8" s="222"/>
      <c r="XC8" s="222"/>
      <c r="XD8" s="222"/>
      <c r="XE8" s="222"/>
      <c r="XF8" s="222"/>
      <c r="XG8" s="222"/>
      <c r="XH8" s="222"/>
      <c r="XI8" s="222"/>
      <c r="XJ8" s="222"/>
      <c r="XK8" s="222"/>
      <c r="XL8" s="222"/>
      <c r="XM8" s="222"/>
      <c r="XN8" s="222"/>
      <c r="XO8" s="222"/>
      <c r="XP8" s="222"/>
      <c r="XQ8" s="222"/>
      <c r="XR8" s="222"/>
      <c r="XS8" s="222"/>
      <c r="XT8" s="222"/>
      <c r="XU8" s="222"/>
      <c r="XV8" s="222"/>
      <c r="XW8" s="222"/>
      <c r="XX8" s="222"/>
      <c r="XY8" s="222"/>
      <c r="XZ8" s="222"/>
      <c r="YA8" s="222"/>
      <c r="YB8" s="222"/>
      <c r="YC8" s="222"/>
      <c r="YD8" s="222"/>
      <c r="YE8" s="222"/>
      <c r="YF8" s="222"/>
      <c r="YG8" s="222"/>
      <c r="YH8" s="222"/>
      <c r="YI8" s="222"/>
      <c r="YJ8" s="222"/>
      <c r="YK8" s="222"/>
      <c r="YL8" s="222"/>
      <c r="YM8" s="222"/>
      <c r="YN8" s="222"/>
      <c r="YO8" s="222"/>
      <c r="YP8" s="222"/>
      <c r="YQ8" s="222"/>
      <c r="YR8" s="222"/>
      <c r="YS8" s="222"/>
      <c r="YT8" s="222"/>
      <c r="YU8" s="222"/>
      <c r="YV8" s="222"/>
      <c r="YW8" s="222"/>
      <c r="YX8" s="222"/>
      <c r="YY8" s="222"/>
      <c r="YZ8" s="222"/>
      <c r="ZA8" s="222"/>
      <c r="ZB8" s="222"/>
      <c r="ZC8" s="222"/>
      <c r="ZD8" s="222"/>
      <c r="ZE8" s="222"/>
      <c r="ZF8" s="222"/>
      <c r="ZG8" s="222"/>
      <c r="ZH8" s="222"/>
      <c r="ZI8" s="222"/>
      <c r="ZJ8" s="222"/>
      <c r="ZK8" s="222"/>
      <c r="ZL8" s="222"/>
      <c r="ZM8" s="222"/>
      <c r="ZN8" s="222"/>
      <c r="ZO8" s="222"/>
      <c r="ZP8" s="222"/>
      <c r="ZQ8" s="222"/>
      <c r="ZR8" s="222"/>
      <c r="ZS8" s="222"/>
      <c r="ZT8" s="222"/>
      <c r="ZU8" s="222"/>
      <c r="ZV8" s="222"/>
      <c r="ZW8" s="222"/>
      <c r="ZX8" s="222"/>
      <c r="ZY8" s="222"/>
      <c r="ZZ8" s="222"/>
      <c r="AAA8" s="222"/>
      <c r="AAB8" s="222"/>
      <c r="AAC8" s="222"/>
      <c r="AAD8" s="222"/>
      <c r="AAE8" s="222"/>
      <c r="AAF8" s="222"/>
      <c r="AAG8" s="222"/>
      <c r="AAH8" s="222"/>
      <c r="AAI8" s="222"/>
      <c r="AAJ8" s="222"/>
      <c r="AAK8" s="222"/>
      <c r="AAL8" s="222"/>
      <c r="AAM8" s="222"/>
      <c r="AAN8" s="222"/>
      <c r="AAO8" s="222"/>
      <c r="AAP8" s="222"/>
      <c r="AAQ8" s="222"/>
      <c r="AAR8" s="222"/>
      <c r="AAS8" s="222"/>
      <c r="AAT8" s="222"/>
      <c r="AAU8" s="222"/>
      <c r="AAV8" s="222"/>
      <c r="AAW8" s="222"/>
      <c r="AAX8" s="222"/>
      <c r="AAY8" s="222"/>
      <c r="AAZ8" s="222"/>
      <c r="ABA8" s="222"/>
      <c r="ABB8" s="222"/>
      <c r="ABC8" s="222"/>
      <c r="ABD8" s="222"/>
      <c r="ABE8" s="222"/>
      <c r="ABF8" s="222"/>
      <c r="ABG8" s="222"/>
      <c r="ABH8" s="222"/>
      <c r="ABI8" s="222"/>
      <c r="ABJ8" s="222"/>
      <c r="ABK8" s="222"/>
      <c r="ABL8" s="222"/>
      <c r="ABM8" s="222"/>
      <c r="ABN8" s="222"/>
      <c r="ABO8" s="222"/>
      <c r="ABP8" s="222"/>
      <c r="ABQ8" s="222"/>
      <c r="ABR8" s="222"/>
      <c r="ABS8" s="222"/>
      <c r="ABT8" s="222"/>
      <c r="ABU8" s="222"/>
      <c r="ABV8" s="222"/>
      <c r="ABW8" s="222"/>
      <c r="ABX8" s="222"/>
      <c r="ABY8" s="222"/>
      <c r="ABZ8" s="222"/>
      <c r="ACA8" s="222"/>
      <c r="ACB8" s="222"/>
      <c r="ACC8" s="222"/>
      <c r="ACD8" s="222"/>
      <c r="ACE8" s="222"/>
      <c r="ACF8" s="222"/>
      <c r="ACG8" s="222"/>
      <c r="ACH8" s="222"/>
      <c r="ACI8" s="222"/>
      <c r="ACJ8" s="222"/>
      <c r="ACK8" s="222"/>
      <c r="ACL8" s="222"/>
      <c r="ACM8" s="222"/>
      <c r="ACN8" s="222"/>
      <c r="ACO8" s="222"/>
      <c r="ACP8" s="222"/>
      <c r="ACQ8" s="222"/>
      <c r="ACR8" s="222"/>
      <c r="ACS8" s="222"/>
      <c r="ACT8" s="222"/>
      <c r="ACU8" s="222"/>
      <c r="ACV8" s="222"/>
      <c r="ACW8" s="222"/>
      <c r="ACX8" s="222"/>
      <c r="ACY8" s="222"/>
      <c r="ACZ8" s="222"/>
      <c r="ADA8" s="222"/>
      <c r="ADB8" s="222"/>
      <c r="ADC8" s="222"/>
      <c r="ADD8" s="222"/>
      <c r="ADE8" s="222"/>
      <c r="ADF8" s="222"/>
      <c r="ADG8" s="222"/>
      <c r="ADH8" s="222"/>
      <c r="ADI8" s="222"/>
      <c r="ADJ8" s="222"/>
      <c r="ADK8" s="222"/>
      <c r="ADL8" s="222"/>
      <c r="ADM8" s="222"/>
      <c r="ADN8" s="222"/>
      <c r="ADO8" s="222"/>
      <c r="ADP8" s="222"/>
      <c r="ADQ8" s="222"/>
      <c r="ADR8" s="222"/>
      <c r="ADS8" s="222"/>
      <c r="ADT8" s="222"/>
      <c r="ADU8" s="222"/>
      <c r="ADV8" s="222"/>
      <c r="ADW8" s="222"/>
      <c r="ADX8" s="222"/>
      <c r="ADY8" s="222"/>
      <c r="ADZ8" s="222"/>
      <c r="AEA8" s="222"/>
      <c r="AEB8" s="222"/>
      <c r="AEC8" s="222"/>
      <c r="AED8" s="222"/>
      <c r="AEE8" s="222"/>
      <c r="AEF8" s="222"/>
      <c r="AEG8" s="222"/>
      <c r="AEH8" s="222"/>
      <c r="AEI8" s="222"/>
      <c r="AEJ8" s="222"/>
      <c r="AEK8" s="222"/>
      <c r="AEL8" s="222"/>
      <c r="AEM8" s="222"/>
      <c r="AEN8" s="222"/>
      <c r="AEO8" s="222"/>
      <c r="AEP8" s="222"/>
      <c r="AEQ8" s="222"/>
      <c r="AER8" s="222"/>
      <c r="AES8" s="222"/>
      <c r="AET8" s="222"/>
      <c r="AEU8" s="222"/>
      <c r="AEV8" s="222"/>
      <c r="AEW8" s="222"/>
      <c r="AEX8" s="222"/>
      <c r="AEY8" s="222"/>
      <c r="AEZ8" s="222"/>
      <c r="AFA8" s="222"/>
      <c r="AFB8" s="222"/>
      <c r="AFC8" s="222"/>
      <c r="AFD8" s="222"/>
      <c r="AFE8" s="222"/>
      <c r="AFF8" s="222"/>
      <c r="AFG8" s="222"/>
      <c r="AFH8" s="222"/>
      <c r="AFI8" s="222"/>
      <c r="AFJ8" s="222"/>
      <c r="AFK8" s="222"/>
      <c r="AFL8" s="222"/>
      <c r="AFM8" s="222"/>
      <c r="AFN8" s="222"/>
      <c r="AFO8" s="222"/>
      <c r="AFP8" s="222"/>
      <c r="AFQ8" s="222"/>
      <c r="AFR8" s="222"/>
      <c r="AFS8" s="222"/>
      <c r="AFT8" s="222"/>
      <c r="AFU8" s="222"/>
      <c r="AFV8" s="222"/>
      <c r="AFW8" s="222"/>
      <c r="AFX8" s="222"/>
      <c r="AFY8" s="222"/>
      <c r="AFZ8" s="222"/>
      <c r="AGA8" s="222"/>
      <c r="AGB8" s="222"/>
      <c r="AGC8" s="222"/>
      <c r="AGD8" s="222"/>
      <c r="AGE8" s="222"/>
      <c r="AGF8" s="222"/>
      <c r="AGG8" s="222"/>
      <c r="AGH8" s="222"/>
      <c r="AGI8" s="222"/>
      <c r="AGJ8" s="222"/>
      <c r="AGK8" s="222"/>
      <c r="AGL8" s="222"/>
      <c r="AGM8" s="222"/>
      <c r="AGN8" s="222"/>
      <c r="AGO8" s="222"/>
      <c r="AGP8" s="222"/>
      <c r="AGQ8" s="222"/>
      <c r="AGR8" s="222"/>
      <c r="AGS8" s="222"/>
      <c r="AGT8" s="222"/>
      <c r="AGU8" s="222"/>
      <c r="AGV8" s="222"/>
      <c r="AGW8" s="222"/>
      <c r="AGX8" s="222"/>
      <c r="AGY8" s="222"/>
      <c r="AGZ8" s="222"/>
      <c r="AHA8" s="222"/>
      <c r="AHB8" s="222"/>
      <c r="AHC8" s="222"/>
      <c r="AHD8" s="222"/>
      <c r="AHE8" s="222"/>
      <c r="AHF8" s="222"/>
      <c r="AHG8" s="222"/>
      <c r="AHH8" s="222"/>
      <c r="AHI8" s="222"/>
      <c r="AHJ8" s="222"/>
      <c r="AHK8" s="222"/>
      <c r="AHL8" s="222"/>
      <c r="AHM8" s="222"/>
      <c r="AHN8" s="222"/>
      <c r="AHO8" s="222"/>
      <c r="AHP8" s="222"/>
      <c r="AHQ8" s="222"/>
      <c r="AHR8" s="222"/>
      <c r="AHS8" s="222"/>
      <c r="AHT8" s="222"/>
      <c r="AHU8" s="222"/>
      <c r="AHV8" s="222"/>
      <c r="AHW8" s="222"/>
      <c r="AHX8" s="222"/>
      <c r="AHY8" s="222"/>
      <c r="AHZ8" s="222"/>
      <c r="AIA8" s="222"/>
      <c r="AIB8" s="222"/>
      <c r="AIC8" s="222"/>
      <c r="AID8" s="222"/>
      <c r="AIE8" s="222"/>
      <c r="AIF8" s="222"/>
      <c r="AIG8" s="222"/>
      <c r="AIH8" s="222"/>
      <c r="AII8" s="222"/>
      <c r="AIJ8" s="222"/>
      <c r="AIK8" s="222"/>
      <c r="AIL8" s="222"/>
      <c r="AIM8" s="222"/>
      <c r="AIN8" s="222"/>
      <c r="AIO8" s="222"/>
      <c r="AIP8" s="222"/>
      <c r="AIQ8" s="222"/>
      <c r="AIR8" s="222"/>
      <c r="AIS8" s="222"/>
      <c r="AIT8" s="222"/>
      <c r="AIU8" s="222"/>
      <c r="AIV8" s="222"/>
      <c r="AIW8" s="222"/>
      <c r="AIX8" s="222"/>
      <c r="AIY8" s="222"/>
      <c r="AIZ8" s="222"/>
      <c r="AJA8" s="222"/>
      <c r="AJB8" s="222"/>
      <c r="AJC8" s="222"/>
      <c r="AJD8" s="222"/>
      <c r="AJE8" s="222"/>
      <c r="AJF8" s="222"/>
      <c r="AJG8" s="222"/>
      <c r="AJH8" s="222"/>
      <c r="AJI8" s="222"/>
      <c r="AJJ8" s="222"/>
      <c r="AJK8" s="222"/>
      <c r="AJL8" s="222"/>
      <c r="AJM8" s="222"/>
      <c r="AJN8" s="222"/>
      <c r="AJO8" s="222"/>
      <c r="AJP8" s="222"/>
      <c r="AJQ8" s="222"/>
      <c r="AJR8" s="222"/>
      <c r="AJS8" s="222"/>
      <c r="AJT8" s="222"/>
      <c r="AJU8" s="222"/>
      <c r="AJV8" s="222"/>
      <c r="AJW8" s="222"/>
      <c r="AJX8" s="222"/>
      <c r="AJY8" s="222"/>
      <c r="AJZ8" s="222"/>
      <c r="AKA8" s="222"/>
      <c r="AKB8" s="222"/>
      <c r="AKC8" s="222"/>
      <c r="AKD8" s="222"/>
      <c r="AKE8" s="222"/>
      <c r="AKF8" s="222"/>
      <c r="AKG8" s="222"/>
      <c r="AKH8" s="222"/>
      <c r="AKI8" s="222"/>
      <c r="AKJ8" s="222"/>
      <c r="AKK8" s="222"/>
      <c r="AKL8" s="222"/>
      <c r="AKM8" s="222"/>
      <c r="AKN8" s="222"/>
      <c r="AKO8" s="222"/>
      <c r="AKP8" s="222"/>
      <c r="AKQ8" s="222"/>
      <c r="AKR8" s="222"/>
      <c r="AKS8" s="222"/>
      <c r="AKT8" s="222"/>
      <c r="AKU8" s="222"/>
      <c r="AKV8" s="222"/>
      <c r="AKW8" s="222"/>
      <c r="AKX8" s="222"/>
      <c r="AKY8" s="222"/>
      <c r="AKZ8" s="222"/>
      <c r="ALA8" s="222"/>
      <c r="ALB8" s="222"/>
      <c r="ALC8" s="222"/>
      <c r="ALD8" s="222"/>
      <c r="ALE8" s="222"/>
      <c r="ALF8" s="222"/>
      <c r="ALG8" s="222"/>
      <c r="ALH8" s="222"/>
      <c r="ALI8" s="222"/>
      <c r="ALJ8" s="222"/>
      <c r="ALK8" s="222"/>
      <c r="ALL8" s="222"/>
      <c r="ALM8" s="222"/>
      <c r="ALN8" s="222"/>
      <c r="ALO8" s="222"/>
      <c r="ALP8" s="222"/>
      <c r="ALQ8" s="222"/>
      <c r="ALR8" s="222"/>
      <c r="ALS8" s="222"/>
      <c r="ALT8" s="222"/>
      <c r="ALU8" s="222"/>
      <c r="ALV8" s="222"/>
      <c r="ALW8" s="222"/>
      <c r="ALX8" s="222"/>
      <c r="ALY8" s="222"/>
      <c r="ALZ8" s="222"/>
      <c r="AMA8" s="222"/>
      <c r="AMB8" s="222"/>
      <c r="AMC8" s="222"/>
      <c r="AMD8" s="222"/>
      <c r="AME8" s="222"/>
      <c r="AMF8" s="222"/>
      <c r="AMG8" s="222"/>
      <c r="AMH8" s="222"/>
      <c r="AMI8" s="222"/>
      <c r="AMJ8" s="222"/>
      <c r="AMK8" s="222"/>
      <c r="AML8" s="222"/>
      <c r="AMM8" s="222"/>
      <c r="AMN8" s="222"/>
      <c r="AMO8" s="222"/>
      <c r="AMP8" s="222"/>
      <c r="AMQ8" s="222"/>
      <c r="AMR8" s="222"/>
      <c r="AMS8" s="222"/>
      <c r="AMT8" s="222"/>
      <c r="AMU8" s="222"/>
      <c r="AMV8" s="222"/>
      <c r="AMW8" s="222"/>
      <c r="AMX8" s="222"/>
      <c r="AMY8" s="222"/>
      <c r="AMZ8" s="222"/>
      <c r="ANA8" s="222"/>
      <c r="ANB8" s="222"/>
      <c r="ANC8" s="222"/>
      <c r="AND8" s="222"/>
      <c r="ANE8" s="222"/>
      <c r="ANF8" s="222"/>
      <c r="ANG8" s="222"/>
      <c r="ANH8" s="222"/>
      <c r="ANI8" s="222"/>
      <c r="ANJ8" s="222"/>
      <c r="ANK8" s="222"/>
      <c r="ANL8" s="222"/>
      <c r="ANM8" s="222"/>
      <c r="ANN8" s="222"/>
      <c r="ANO8" s="222"/>
      <c r="ANP8" s="222"/>
      <c r="ANQ8" s="222"/>
      <c r="ANR8" s="222"/>
      <c r="ANS8" s="222"/>
      <c r="ANT8" s="222"/>
      <c r="ANU8" s="222"/>
      <c r="ANV8" s="222"/>
      <c r="ANW8" s="222"/>
      <c r="ANX8" s="222"/>
      <c r="ANY8" s="222"/>
      <c r="ANZ8" s="222"/>
      <c r="AOA8" s="222"/>
      <c r="AOB8" s="222"/>
      <c r="AOC8" s="222"/>
      <c r="AOD8" s="222"/>
      <c r="AOE8" s="222"/>
      <c r="AOF8" s="222"/>
      <c r="AOG8" s="222"/>
      <c r="AOH8" s="222"/>
      <c r="AOI8" s="222"/>
      <c r="AOJ8" s="222"/>
      <c r="AOK8" s="222"/>
      <c r="AOL8" s="222"/>
      <c r="AOM8" s="222"/>
      <c r="AON8" s="222"/>
      <c r="AOO8" s="222"/>
      <c r="AOP8" s="222"/>
      <c r="AOQ8" s="222"/>
      <c r="AOR8" s="222"/>
      <c r="AOS8" s="222"/>
      <c r="AOT8" s="222"/>
      <c r="AOU8" s="222"/>
      <c r="AOV8" s="222"/>
      <c r="AOW8" s="222"/>
      <c r="AOX8" s="222"/>
      <c r="AOY8" s="222"/>
      <c r="AOZ8" s="222"/>
      <c r="APA8" s="222"/>
      <c r="APB8" s="222"/>
      <c r="APC8" s="222"/>
      <c r="APD8" s="222"/>
      <c r="APE8" s="222"/>
      <c r="APF8" s="222"/>
      <c r="APG8" s="222"/>
      <c r="APH8" s="222"/>
      <c r="API8" s="222"/>
      <c r="APJ8" s="222"/>
      <c r="APK8" s="222"/>
      <c r="APL8" s="222"/>
      <c r="APM8" s="222"/>
      <c r="APN8" s="222"/>
      <c r="APO8" s="222"/>
      <c r="APP8" s="222"/>
      <c r="APQ8" s="222"/>
      <c r="APR8" s="222"/>
      <c r="APS8" s="222"/>
      <c r="APT8" s="222"/>
      <c r="APU8" s="222"/>
      <c r="APV8" s="222"/>
      <c r="APW8" s="222"/>
      <c r="APX8" s="222"/>
      <c r="APY8" s="222"/>
      <c r="APZ8" s="222"/>
      <c r="AQA8" s="222"/>
      <c r="AQB8" s="222"/>
      <c r="AQC8" s="222"/>
      <c r="AQD8" s="222"/>
      <c r="AQE8" s="222"/>
      <c r="AQF8" s="222"/>
      <c r="AQG8" s="222"/>
      <c r="AQH8" s="222"/>
      <c r="AQI8" s="222"/>
      <c r="AQJ8" s="222"/>
      <c r="AQK8" s="222"/>
      <c r="AQL8" s="222"/>
      <c r="AQM8" s="222"/>
      <c r="AQN8" s="222"/>
      <c r="AQO8" s="222"/>
      <c r="AQP8" s="222"/>
      <c r="AQQ8" s="222"/>
      <c r="AQR8" s="222"/>
      <c r="AQS8" s="222"/>
      <c r="AQT8" s="222"/>
      <c r="AQU8" s="222"/>
      <c r="AQV8" s="222"/>
      <c r="AQW8" s="222"/>
      <c r="AQX8" s="222"/>
      <c r="AQY8" s="222"/>
      <c r="AQZ8" s="222"/>
      <c r="ARA8" s="222"/>
      <c r="ARB8" s="222"/>
      <c r="ARC8" s="222"/>
      <c r="ARD8" s="222"/>
      <c r="ARE8" s="222"/>
      <c r="ARF8" s="222"/>
      <c r="ARG8" s="222"/>
      <c r="ARH8" s="222"/>
      <c r="ARI8" s="222"/>
      <c r="ARJ8" s="222"/>
      <c r="ARK8" s="222"/>
      <c r="ARL8" s="222"/>
      <c r="ARM8" s="222"/>
      <c r="ARN8" s="222"/>
      <c r="ARO8" s="222"/>
      <c r="ARP8" s="222"/>
      <c r="ARQ8" s="222"/>
      <c r="ARR8" s="222"/>
      <c r="ARS8" s="222"/>
      <c r="ART8" s="222"/>
      <c r="ARU8" s="222"/>
      <c r="ARV8" s="222"/>
      <c r="ARW8" s="222"/>
      <c r="ARX8" s="222"/>
      <c r="ARY8" s="222"/>
      <c r="ARZ8" s="222"/>
      <c r="ASA8" s="222"/>
      <c r="ASB8" s="222"/>
      <c r="ASC8" s="222"/>
      <c r="ASD8" s="222"/>
      <c r="ASE8" s="222"/>
      <c r="ASF8" s="222"/>
      <c r="ASG8" s="222"/>
      <c r="ASH8" s="222"/>
      <c r="ASI8" s="222"/>
      <c r="ASJ8" s="222"/>
      <c r="ASK8" s="222"/>
      <c r="ASL8" s="222"/>
      <c r="ASM8" s="222"/>
      <c r="ASN8" s="222"/>
      <c r="ASO8" s="222"/>
      <c r="ASP8" s="222"/>
      <c r="ASQ8" s="222"/>
      <c r="ASR8" s="222"/>
      <c r="ASS8" s="222"/>
      <c r="AST8" s="222"/>
      <c r="ASU8" s="222"/>
      <c r="ASV8" s="222"/>
      <c r="ASW8" s="222"/>
      <c r="ASX8" s="222"/>
      <c r="ASY8" s="222"/>
      <c r="ASZ8" s="222"/>
      <c r="ATA8" s="222"/>
      <c r="ATB8" s="222"/>
      <c r="ATC8" s="222"/>
      <c r="ATD8" s="222"/>
      <c r="ATE8" s="222"/>
      <c r="ATF8" s="222"/>
      <c r="ATG8" s="222"/>
      <c r="ATH8" s="222"/>
      <c r="ATI8" s="222"/>
      <c r="ATJ8" s="222"/>
      <c r="ATK8" s="222"/>
      <c r="ATL8" s="222"/>
      <c r="ATM8" s="222"/>
      <c r="ATN8" s="222"/>
      <c r="ATO8" s="222"/>
      <c r="ATP8" s="222"/>
      <c r="ATQ8" s="222"/>
      <c r="ATR8" s="222"/>
      <c r="ATS8" s="222"/>
      <c r="ATT8" s="222"/>
      <c r="ATU8" s="222"/>
      <c r="ATV8" s="222"/>
      <c r="ATW8" s="222"/>
      <c r="ATX8" s="222"/>
      <c r="ATY8" s="222"/>
      <c r="ATZ8" s="222"/>
      <c r="AUA8" s="222"/>
      <c r="AUB8" s="222"/>
      <c r="AUC8" s="222"/>
      <c r="AUD8" s="222"/>
      <c r="AUE8" s="222"/>
      <c r="AUF8" s="222"/>
      <c r="AUG8" s="222"/>
      <c r="AUH8" s="222"/>
      <c r="AUI8" s="222"/>
      <c r="AUJ8" s="222"/>
      <c r="AUK8" s="222"/>
      <c r="AUL8" s="222"/>
      <c r="AUM8" s="222"/>
      <c r="AUN8" s="222"/>
      <c r="AUO8" s="222"/>
      <c r="AUP8" s="222"/>
      <c r="AUQ8" s="222"/>
      <c r="AUR8" s="222"/>
      <c r="AUS8" s="222"/>
      <c r="AUT8" s="222"/>
      <c r="AUU8" s="222"/>
      <c r="AUV8" s="222"/>
      <c r="AUW8" s="222"/>
      <c r="AUX8" s="222"/>
      <c r="AUY8" s="222"/>
      <c r="AUZ8" s="222"/>
      <c r="AVA8" s="222"/>
      <c r="AVB8" s="222"/>
      <c r="AVC8" s="222"/>
      <c r="AVD8" s="222"/>
      <c r="AVE8" s="222"/>
      <c r="AVF8" s="222"/>
      <c r="AVG8" s="222"/>
      <c r="AVH8" s="222"/>
      <c r="AVI8" s="222"/>
      <c r="AVJ8" s="222"/>
      <c r="AVK8" s="222"/>
      <c r="AVL8" s="222"/>
      <c r="AVM8" s="222"/>
      <c r="AVN8" s="222"/>
      <c r="AVO8" s="222"/>
      <c r="AVP8" s="222"/>
      <c r="AVQ8" s="222"/>
      <c r="AVR8" s="222"/>
      <c r="AVS8" s="222"/>
      <c r="AVT8" s="222"/>
      <c r="AVU8" s="222"/>
      <c r="AVV8" s="222"/>
      <c r="AVW8" s="222"/>
      <c r="AVX8" s="222"/>
      <c r="AVY8" s="222"/>
      <c r="AVZ8" s="222"/>
      <c r="AWA8" s="222"/>
      <c r="AWB8" s="222"/>
      <c r="AWC8" s="222"/>
      <c r="AWD8" s="222"/>
      <c r="AWE8" s="222"/>
      <c r="AWF8" s="222"/>
      <c r="AWG8" s="222"/>
      <c r="AWH8" s="222"/>
      <c r="AWI8" s="222"/>
      <c r="AWJ8" s="222"/>
      <c r="AWK8" s="222"/>
      <c r="AWL8" s="222"/>
      <c r="AWM8" s="222"/>
      <c r="AWN8" s="222"/>
      <c r="AWO8" s="222"/>
      <c r="AWP8" s="222"/>
      <c r="AWQ8" s="222"/>
      <c r="AWR8" s="222"/>
      <c r="AWS8" s="222"/>
      <c r="AWT8" s="222"/>
      <c r="AWU8" s="222"/>
      <c r="AWV8" s="222"/>
      <c r="AWW8" s="222"/>
      <c r="AWX8" s="222"/>
      <c r="AWY8" s="222"/>
      <c r="AWZ8" s="222"/>
      <c r="AXA8" s="222"/>
      <c r="AXB8" s="222"/>
      <c r="AXC8" s="222"/>
      <c r="AXD8" s="222"/>
      <c r="AXE8" s="222"/>
      <c r="AXF8" s="222"/>
      <c r="AXG8" s="222"/>
      <c r="AXH8" s="222"/>
      <c r="AXI8" s="222"/>
      <c r="AXJ8" s="222"/>
      <c r="AXK8" s="222"/>
      <c r="AXL8" s="222"/>
      <c r="AXM8" s="222"/>
      <c r="AXN8" s="222"/>
      <c r="AXO8" s="222"/>
      <c r="AXP8" s="222"/>
      <c r="AXQ8" s="222"/>
      <c r="AXR8" s="222"/>
      <c r="AXS8" s="222"/>
      <c r="AXT8" s="222"/>
      <c r="AXU8" s="222"/>
      <c r="AXV8" s="222"/>
      <c r="AXW8" s="222"/>
      <c r="AXX8" s="222"/>
      <c r="AXY8" s="222"/>
      <c r="AXZ8" s="222"/>
      <c r="AYA8" s="222"/>
      <c r="AYB8" s="222"/>
      <c r="AYC8" s="222"/>
      <c r="AYD8" s="222"/>
      <c r="AYE8" s="222"/>
      <c r="AYF8" s="222"/>
      <c r="AYG8" s="222"/>
      <c r="AYH8" s="222"/>
      <c r="AYI8" s="222"/>
      <c r="AYJ8" s="222"/>
      <c r="AYK8" s="222"/>
      <c r="AYL8" s="222"/>
      <c r="AYM8" s="222"/>
      <c r="AYN8" s="222"/>
      <c r="AYO8" s="222"/>
      <c r="AYP8" s="222"/>
      <c r="AYQ8" s="222"/>
      <c r="AYR8" s="222"/>
      <c r="AYS8" s="222"/>
      <c r="AYT8" s="222"/>
      <c r="AYU8" s="222"/>
      <c r="AYV8" s="222"/>
      <c r="AYW8" s="222"/>
      <c r="AYX8" s="222"/>
      <c r="AYY8" s="222"/>
      <c r="AYZ8" s="222"/>
      <c r="AZA8" s="222"/>
      <c r="AZB8" s="222"/>
      <c r="AZC8" s="222"/>
      <c r="AZD8" s="222"/>
      <c r="AZE8" s="222"/>
      <c r="AZF8" s="222"/>
      <c r="AZG8" s="222"/>
      <c r="AZH8" s="222"/>
      <c r="AZI8" s="222"/>
      <c r="AZJ8" s="222"/>
      <c r="AZK8" s="222"/>
      <c r="AZL8" s="222"/>
      <c r="AZM8" s="222"/>
      <c r="AZN8" s="222"/>
      <c r="AZO8" s="222"/>
      <c r="AZP8" s="222"/>
      <c r="AZQ8" s="222"/>
      <c r="AZR8" s="222"/>
      <c r="AZS8" s="222"/>
      <c r="AZT8" s="222"/>
      <c r="AZU8" s="222"/>
      <c r="AZV8" s="222"/>
      <c r="AZW8" s="222"/>
      <c r="AZX8" s="222"/>
      <c r="AZY8" s="222"/>
      <c r="AZZ8" s="222"/>
      <c r="BAA8" s="222"/>
      <c r="BAB8" s="222"/>
      <c r="BAC8" s="222"/>
      <c r="BAD8" s="222"/>
      <c r="BAE8" s="222"/>
      <c r="BAF8" s="222"/>
      <c r="BAG8" s="222"/>
      <c r="BAH8" s="222"/>
      <c r="BAI8" s="222"/>
      <c r="BAJ8" s="222"/>
      <c r="BAK8" s="222"/>
      <c r="BAL8" s="222"/>
      <c r="BAM8" s="222"/>
      <c r="BAN8" s="222"/>
      <c r="BAO8" s="222"/>
      <c r="BAP8" s="222"/>
      <c r="BAQ8" s="222"/>
      <c r="BAR8" s="222"/>
      <c r="BAS8" s="222"/>
      <c r="BAT8" s="222"/>
      <c r="BAU8" s="222"/>
      <c r="BAV8" s="222"/>
      <c r="BAW8" s="222"/>
      <c r="BAX8" s="222"/>
      <c r="BAY8" s="222"/>
      <c r="BAZ8" s="222"/>
      <c r="BBA8" s="222"/>
      <c r="BBB8" s="222"/>
      <c r="BBC8" s="222"/>
      <c r="BBD8" s="222"/>
      <c r="BBE8" s="222"/>
      <c r="BBF8" s="222"/>
      <c r="BBG8" s="222"/>
      <c r="BBH8" s="222"/>
      <c r="BBI8" s="222"/>
      <c r="BBJ8" s="222"/>
      <c r="BBK8" s="222"/>
      <c r="BBL8" s="222"/>
      <c r="BBM8" s="222"/>
      <c r="BBN8" s="222"/>
      <c r="BBO8" s="222"/>
      <c r="BBP8" s="222"/>
      <c r="BBQ8" s="222"/>
      <c r="BBR8" s="222"/>
      <c r="BBS8" s="222"/>
      <c r="BBT8" s="222"/>
      <c r="BBU8" s="222"/>
      <c r="BBV8" s="222"/>
      <c r="BBW8" s="222"/>
      <c r="BBX8" s="222"/>
      <c r="BBY8" s="222"/>
      <c r="BBZ8" s="222"/>
      <c r="BCA8" s="222"/>
      <c r="BCB8" s="222"/>
      <c r="BCC8" s="222"/>
      <c r="BCD8" s="222"/>
      <c r="BCE8" s="222"/>
      <c r="BCF8" s="222"/>
      <c r="BCG8" s="222"/>
      <c r="BCH8" s="222"/>
      <c r="BCI8" s="222"/>
      <c r="BCJ8" s="222"/>
      <c r="BCK8" s="222"/>
      <c r="BCL8" s="222"/>
      <c r="BCM8" s="222"/>
      <c r="BCN8" s="222"/>
      <c r="BCO8" s="222"/>
      <c r="BCP8" s="222"/>
      <c r="BCQ8" s="222"/>
      <c r="BCR8" s="222"/>
      <c r="BCS8" s="222"/>
      <c r="BCT8" s="222"/>
      <c r="BCU8" s="222"/>
      <c r="BCV8" s="222"/>
      <c r="BCW8" s="222"/>
      <c r="BCX8" s="222"/>
      <c r="BCY8" s="222"/>
      <c r="BCZ8" s="222"/>
      <c r="BDA8" s="222"/>
      <c r="BDB8" s="222"/>
      <c r="BDC8" s="222"/>
      <c r="BDD8" s="222"/>
      <c r="BDE8" s="222"/>
      <c r="BDF8" s="222"/>
      <c r="BDG8" s="222"/>
      <c r="BDH8" s="222"/>
      <c r="BDI8" s="222"/>
      <c r="BDJ8" s="222"/>
      <c r="BDK8" s="222"/>
      <c r="BDL8" s="222"/>
      <c r="BDM8" s="222"/>
      <c r="BDN8" s="222"/>
      <c r="BDO8" s="222"/>
      <c r="BDP8" s="222"/>
      <c r="BDQ8" s="222"/>
      <c r="BDR8" s="222"/>
      <c r="BDS8" s="222"/>
      <c r="BDT8" s="222"/>
      <c r="BDU8" s="222"/>
      <c r="BDV8" s="222"/>
      <c r="BDW8" s="222"/>
      <c r="BDX8" s="222"/>
      <c r="BDY8" s="222"/>
      <c r="BDZ8" s="222"/>
      <c r="BEA8" s="222"/>
      <c r="BEB8" s="222"/>
      <c r="BEC8" s="222"/>
      <c r="BED8" s="222"/>
      <c r="BEE8" s="222"/>
      <c r="BEF8" s="222"/>
      <c r="BEG8" s="222"/>
      <c r="BEH8" s="222"/>
      <c r="BEI8" s="222"/>
      <c r="BEJ8" s="222"/>
      <c r="BEK8" s="222"/>
      <c r="BEL8" s="222"/>
      <c r="BEM8" s="222"/>
      <c r="BEN8" s="222"/>
      <c r="BEO8" s="222"/>
      <c r="BEP8" s="222"/>
      <c r="BEQ8" s="222"/>
      <c r="BER8" s="222"/>
      <c r="BES8" s="222"/>
      <c r="BET8" s="222"/>
      <c r="BEU8" s="222"/>
      <c r="BEV8" s="222"/>
      <c r="BEW8" s="222"/>
      <c r="BEX8" s="222"/>
      <c r="BEY8" s="222"/>
      <c r="BEZ8" s="222"/>
      <c r="BFA8" s="222"/>
      <c r="BFB8" s="222"/>
      <c r="BFC8" s="222"/>
      <c r="BFD8" s="222"/>
      <c r="BFE8" s="222"/>
      <c r="BFF8" s="222"/>
      <c r="BFG8" s="222"/>
      <c r="BFH8" s="222"/>
      <c r="BFI8" s="222"/>
      <c r="BFJ8" s="222"/>
      <c r="BFK8" s="222"/>
      <c r="BFL8" s="222"/>
      <c r="BFM8" s="222"/>
      <c r="BFN8" s="222"/>
      <c r="BFO8" s="222"/>
      <c r="BFP8" s="222"/>
      <c r="BFQ8" s="222"/>
      <c r="BFR8" s="222"/>
      <c r="BFS8" s="222"/>
      <c r="BFT8" s="222"/>
      <c r="BFU8" s="222"/>
      <c r="BFV8" s="222"/>
      <c r="BFW8" s="222"/>
      <c r="BFX8" s="222"/>
      <c r="BFY8" s="222"/>
      <c r="BFZ8" s="222"/>
      <c r="BGA8" s="222"/>
      <c r="BGB8" s="222"/>
      <c r="BGC8" s="222"/>
      <c r="BGD8" s="222"/>
      <c r="BGE8" s="222"/>
      <c r="BGF8" s="222"/>
      <c r="BGG8" s="222"/>
      <c r="BGH8" s="222"/>
      <c r="BGI8" s="222"/>
      <c r="BGJ8" s="222"/>
      <c r="BGK8" s="222"/>
      <c r="BGL8" s="222"/>
      <c r="BGM8" s="222"/>
      <c r="BGN8" s="222"/>
      <c r="BGO8" s="222"/>
      <c r="BGP8" s="222"/>
      <c r="BGQ8" s="222"/>
      <c r="BGR8" s="222"/>
      <c r="BGS8" s="222"/>
      <c r="BGT8" s="222"/>
      <c r="BGU8" s="222"/>
      <c r="BGV8" s="222"/>
      <c r="BGW8" s="222"/>
      <c r="BGX8" s="222"/>
      <c r="BGY8" s="222"/>
      <c r="BGZ8" s="222"/>
      <c r="BHA8" s="222"/>
      <c r="BHB8" s="222"/>
      <c r="BHC8" s="222"/>
      <c r="BHD8" s="222"/>
      <c r="BHE8" s="222"/>
      <c r="BHF8" s="222"/>
      <c r="BHG8" s="222"/>
      <c r="BHH8" s="222"/>
      <c r="BHI8" s="222"/>
      <c r="BHJ8" s="222"/>
      <c r="BHK8" s="222"/>
      <c r="BHL8" s="222"/>
      <c r="BHM8" s="222"/>
      <c r="BHN8" s="222"/>
      <c r="BHO8" s="222"/>
      <c r="BHP8" s="222"/>
      <c r="BHQ8" s="222"/>
      <c r="BHR8" s="222"/>
      <c r="BHS8" s="222"/>
      <c r="BHT8" s="222"/>
      <c r="BHU8" s="222"/>
      <c r="BHV8" s="222"/>
      <c r="BHW8" s="222"/>
      <c r="BHX8" s="222"/>
      <c r="BHY8" s="222"/>
      <c r="BHZ8" s="222"/>
      <c r="BIA8" s="222"/>
      <c r="BIB8" s="222"/>
      <c r="BIC8" s="222"/>
      <c r="BID8" s="222"/>
      <c r="BIE8" s="222"/>
      <c r="BIF8" s="222"/>
      <c r="BIG8" s="222"/>
      <c r="BIH8" s="222"/>
      <c r="BII8" s="222"/>
      <c r="BIJ8" s="222"/>
      <c r="BIK8" s="222"/>
      <c r="BIL8" s="222"/>
      <c r="BIM8" s="222"/>
      <c r="BIN8" s="222"/>
      <c r="BIO8" s="222"/>
      <c r="BIP8" s="222"/>
      <c r="BIQ8" s="222"/>
      <c r="BIR8" s="222"/>
      <c r="BIS8" s="222"/>
      <c r="BIT8" s="222"/>
      <c r="BIU8" s="222"/>
      <c r="BIV8" s="222"/>
      <c r="BIW8" s="222"/>
      <c r="BIX8" s="222"/>
      <c r="BIY8" s="222"/>
      <c r="BIZ8" s="222"/>
      <c r="BJA8" s="222"/>
      <c r="BJB8" s="222"/>
      <c r="BJC8" s="222"/>
      <c r="BJD8" s="222"/>
      <c r="BJE8" s="222"/>
      <c r="BJF8" s="222"/>
      <c r="BJG8" s="222"/>
      <c r="BJH8" s="222"/>
      <c r="BJI8" s="222"/>
      <c r="BJJ8" s="222"/>
      <c r="BJK8" s="222"/>
      <c r="BJL8" s="222"/>
      <c r="BJM8" s="222"/>
      <c r="BJN8" s="222"/>
      <c r="BJO8" s="222"/>
      <c r="BJP8" s="222"/>
      <c r="BJQ8" s="222"/>
      <c r="BJR8" s="222"/>
      <c r="BJS8" s="222"/>
      <c r="BJT8" s="222"/>
      <c r="BJU8" s="222"/>
      <c r="BJV8" s="222"/>
      <c r="BJW8" s="222"/>
      <c r="BJX8" s="222"/>
      <c r="BJY8" s="222"/>
      <c r="BJZ8" s="222"/>
      <c r="BKA8" s="222"/>
      <c r="BKB8" s="222"/>
      <c r="BKC8" s="222"/>
      <c r="BKD8" s="222"/>
      <c r="BKE8" s="222"/>
      <c r="BKF8" s="222"/>
      <c r="BKG8" s="222"/>
      <c r="BKH8" s="222"/>
      <c r="BKI8" s="222"/>
      <c r="BKJ8" s="222"/>
      <c r="BKK8" s="222"/>
      <c r="BKL8" s="222"/>
      <c r="BKM8" s="222"/>
      <c r="BKN8" s="222"/>
      <c r="BKO8" s="222"/>
      <c r="BKP8" s="222"/>
      <c r="BKQ8" s="222"/>
      <c r="BKR8" s="222"/>
      <c r="BKS8" s="222"/>
      <c r="BKT8" s="222"/>
      <c r="BKU8" s="222"/>
      <c r="BKV8" s="222"/>
      <c r="BKW8" s="222"/>
      <c r="BKX8" s="222"/>
      <c r="BKY8" s="222"/>
      <c r="BKZ8" s="222"/>
      <c r="BLA8" s="222"/>
      <c r="BLB8" s="222"/>
      <c r="BLC8" s="222"/>
      <c r="BLD8" s="222"/>
      <c r="BLE8" s="222"/>
      <c r="BLF8" s="222"/>
      <c r="BLG8" s="222"/>
      <c r="BLH8" s="222"/>
      <c r="BLI8" s="222"/>
      <c r="BLJ8" s="222"/>
      <c r="BLK8" s="222"/>
      <c r="BLL8" s="222"/>
      <c r="BLM8" s="222"/>
      <c r="BLN8" s="222"/>
      <c r="BLO8" s="222"/>
      <c r="BLP8" s="222"/>
      <c r="BLQ8" s="222"/>
      <c r="BLR8" s="222"/>
      <c r="BLS8" s="222"/>
      <c r="BLT8" s="222"/>
      <c r="BLU8" s="222"/>
      <c r="BLV8" s="222"/>
      <c r="BLW8" s="222"/>
      <c r="BLX8" s="222"/>
      <c r="BLY8" s="222"/>
      <c r="BLZ8" s="222"/>
      <c r="BMA8" s="222"/>
      <c r="BMB8" s="222"/>
      <c r="BMC8" s="222"/>
      <c r="BMD8" s="222"/>
      <c r="BME8" s="222"/>
      <c r="BMF8" s="222"/>
      <c r="BMG8" s="222"/>
      <c r="BMH8" s="222"/>
      <c r="BMI8" s="222"/>
      <c r="BMJ8" s="222"/>
      <c r="BMK8" s="222"/>
      <c r="BML8" s="222"/>
      <c r="BMM8" s="222"/>
      <c r="BMN8" s="222"/>
      <c r="BMO8" s="222"/>
      <c r="BMP8" s="222"/>
      <c r="BMQ8" s="222"/>
      <c r="BMR8" s="222"/>
      <c r="BMS8" s="222"/>
      <c r="BMT8" s="222"/>
      <c r="BMU8" s="222"/>
      <c r="BMV8" s="222"/>
      <c r="BMW8" s="222"/>
      <c r="BMX8" s="222"/>
      <c r="BMY8" s="222"/>
      <c r="BMZ8" s="222"/>
      <c r="BNA8" s="222"/>
      <c r="BNB8" s="222"/>
      <c r="BNC8" s="222"/>
      <c r="BND8" s="222"/>
      <c r="BNE8" s="222"/>
      <c r="BNF8" s="222"/>
      <c r="BNG8" s="222"/>
      <c r="BNH8" s="222"/>
      <c r="BNI8" s="222"/>
      <c r="BNJ8" s="222"/>
      <c r="BNK8" s="222"/>
      <c r="BNL8" s="222"/>
      <c r="BNM8" s="222"/>
      <c r="BNN8" s="222"/>
      <c r="BNO8" s="222"/>
      <c r="BNP8" s="222"/>
      <c r="BNQ8" s="222"/>
      <c r="BNR8" s="222"/>
      <c r="BNS8" s="222"/>
      <c r="BNT8" s="222"/>
      <c r="BNU8" s="222"/>
      <c r="BNV8" s="222"/>
      <c r="BNW8" s="222"/>
      <c r="BNX8" s="222"/>
      <c r="BNY8" s="222"/>
      <c r="BNZ8" s="222"/>
      <c r="BOA8" s="222"/>
      <c r="BOB8" s="222"/>
      <c r="BOC8" s="222"/>
      <c r="BOD8" s="222"/>
      <c r="BOE8" s="222"/>
      <c r="BOF8" s="222"/>
      <c r="BOG8" s="222"/>
      <c r="BOH8" s="222"/>
      <c r="BOI8" s="222"/>
      <c r="BOJ8" s="222"/>
      <c r="BOK8" s="222"/>
      <c r="BOL8" s="222"/>
      <c r="BOM8" s="222"/>
      <c r="BON8" s="222"/>
      <c r="BOO8" s="222"/>
      <c r="BOP8" s="222"/>
      <c r="BOQ8" s="222"/>
      <c r="BOR8" s="222"/>
      <c r="BOS8" s="222"/>
      <c r="BOT8" s="222"/>
      <c r="BOU8" s="222"/>
      <c r="BOV8" s="222"/>
      <c r="BOW8" s="222"/>
      <c r="BOX8" s="222"/>
      <c r="BOY8" s="222"/>
      <c r="BOZ8" s="222"/>
      <c r="BPA8" s="222"/>
      <c r="BPB8" s="222"/>
      <c r="BPC8" s="222"/>
      <c r="BPD8" s="222"/>
      <c r="BPE8" s="222"/>
      <c r="BPF8" s="222"/>
      <c r="BPG8" s="222"/>
      <c r="BPH8" s="222"/>
      <c r="BPI8" s="222"/>
      <c r="BPJ8" s="222"/>
      <c r="BPK8" s="222"/>
      <c r="BPL8" s="222"/>
      <c r="BPM8" s="222"/>
      <c r="BPN8" s="222"/>
      <c r="BPO8" s="222"/>
      <c r="BPP8" s="222"/>
      <c r="BPQ8" s="222"/>
      <c r="BPR8" s="222"/>
      <c r="BPS8" s="222"/>
      <c r="BPT8" s="222"/>
      <c r="BPU8" s="222"/>
      <c r="BPV8" s="222"/>
      <c r="BPW8" s="222"/>
      <c r="BPX8" s="222"/>
      <c r="BPY8" s="222"/>
      <c r="BPZ8" s="222"/>
      <c r="BQA8" s="222"/>
      <c r="BQB8" s="222"/>
      <c r="BQC8" s="222"/>
      <c r="BQD8" s="222"/>
      <c r="BQE8" s="222"/>
      <c r="BQF8" s="222"/>
      <c r="BQG8" s="222"/>
      <c r="BQH8" s="222"/>
      <c r="BQI8" s="222"/>
      <c r="BQJ8" s="222"/>
      <c r="BQK8" s="222"/>
      <c r="BQL8" s="222"/>
      <c r="BQM8" s="222"/>
      <c r="BQN8" s="222"/>
      <c r="BQO8" s="222"/>
      <c r="BQP8" s="222"/>
      <c r="BQQ8" s="222"/>
      <c r="BQR8" s="222"/>
      <c r="BQS8" s="222"/>
      <c r="BQT8" s="222"/>
      <c r="BQU8" s="222"/>
      <c r="BQV8" s="222"/>
      <c r="BQW8" s="222"/>
      <c r="BQX8" s="222"/>
      <c r="BQY8" s="222"/>
      <c r="BQZ8" s="222"/>
      <c r="BRA8" s="222"/>
      <c r="BRB8" s="222"/>
      <c r="BRC8" s="222"/>
      <c r="BRD8" s="222"/>
      <c r="BRE8" s="222"/>
      <c r="BRF8" s="222"/>
      <c r="BRG8" s="222"/>
      <c r="BRH8" s="222"/>
      <c r="BRI8" s="222"/>
      <c r="BRJ8" s="222"/>
      <c r="BRK8" s="222"/>
      <c r="BRL8" s="222"/>
      <c r="BRM8" s="222"/>
      <c r="BRN8" s="222"/>
      <c r="BRO8" s="222"/>
      <c r="BRP8" s="222"/>
      <c r="BRQ8" s="222"/>
      <c r="BRR8" s="222"/>
      <c r="BRS8" s="222"/>
      <c r="BRT8" s="222"/>
      <c r="BRU8" s="222"/>
      <c r="BRV8" s="222"/>
      <c r="BRW8" s="222"/>
      <c r="BRX8" s="222"/>
      <c r="BRY8" s="222"/>
      <c r="BRZ8" s="222"/>
      <c r="BSA8" s="222"/>
      <c r="BSB8" s="222"/>
      <c r="BSC8" s="222"/>
      <c r="BSD8" s="222"/>
      <c r="BSE8" s="222"/>
      <c r="BSF8" s="222"/>
      <c r="BSG8" s="222"/>
      <c r="BSH8" s="222"/>
      <c r="BSI8" s="222"/>
      <c r="BSJ8" s="222"/>
      <c r="BSK8" s="222"/>
      <c r="BSL8" s="222"/>
      <c r="BSM8" s="222"/>
      <c r="BSN8" s="222"/>
      <c r="BSO8" s="222"/>
      <c r="BSP8" s="222"/>
      <c r="BSQ8" s="222"/>
      <c r="BSR8" s="222"/>
      <c r="BSS8" s="222"/>
      <c r="BST8" s="222"/>
      <c r="BSU8" s="222"/>
      <c r="BSV8" s="222"/>
      <c r="BSW8" s="222"/>
      <c r="BSX8" s="222"/>
      <c r="BSY8" s="222"/>
      <c r="BSZ8" s="222"/>
      <c r="BTA8" s="222"/>
      <c r="BTB8" s="222"/>
      <c r="BTC8" s="222"/>
      <c r="BTD8" s="222"/>
      <c r="BTE8" s="222"/>
      <c r="BTF8" s="222"/>
      <c r="BTG8" s="222"/>
      <c r="BTH8" s="222"/>
      <c r="BTI8" s="222"/>
      <c r="BTJ8" s="222"/>
      <c r="BTK8" s="222"/>
      <c r="BTL8" s="222"/>
      <c r="BTM8" s="222"/>
      <c r="BTN8" s="222"/>
      <c r="BTO8" s="222"/>
      <c r="BTP8" s="222"/>
      <c r="BTQ8" s="222"/>
      <c r="BTR8" s="222"/>
      <c r="BTS8" s="222"/>
      <c r="BTT8" s="222"/>
      <c r="BTU8" s="222"/>
      <c r="BTV8" s="222"/>
      <c r="BTW8" s="222"/>
      <c r="BTX8" s="222"/>
      <c r="BTY8" s="222"/>
      <c r="BTZ8" s="222"/>
      <c r="BUA8" s="222"/>
      <c r="BUB8" s="222"/>
      <c r="BUC8" s="222"/>
      <c r="BUD8" s="222"/>
      <c r="BUE8" s="222"/>
      <c r="BUF8" s="222"/>
      <c r="BUG8" s="222"/>
      <c r="BUH8" s="222"/>
      <c r="BUI8" s="222"/>
      <c r="BUJ8" s="222"/>
      <c r="BUK8" s="222"/>
      <c r="BUL8" s="222"/>
      <c r="BUM8" s="222"/>
      <c r="BUN8" s="222"/>
      <c r="BUO8" s="222"/>
      <c r="BUP8" s="222"/>
      <c r="BUQ8" s="222"/>
      <c r="BUR8" s="222"/>
      <c r="BUS8" s="222"/>
      <c r="BUT8" s="222"/>
      <c r="BUU8" s="222"/>
      <c r="BUV8" s="222"/>
      <c r="BUW8" s="222"/>
      <c r="BUX8" s="222"/>
      <c r="BUY8" s="222"/>
      <c r="BUZ8" s="222"/>
      <c r="BVA8" s="222"/>
      <c r="BVB8" s="222"/>
      <c r="BVC8" s="222"/>
      <c r="BVD8" s="222"/>
      <c r="BVE8" s="222"/>
      <c r="BVF8" s="222"/>
      <c r="BVG8" s="222"/>
      <c r="BVH8" s="222"/>
      <c r="BVI8" s="222"/>
      <c r="BVJ8" s="222"/>
      <c r="BVK8" s="222"/>
      <c r="BVL8" s="222"/>
      <c r="BVM8" s="222"/>
      <c r="BVN8" s="222"/>
      <c r="BVO8" s="222"/>
      <c r="BVP8" s="222"/>
      <c r="BVQ8" s="222"/>
      <c r="BVR8" s="222"/>
      <c r="BVS8" s="222"/>
      <c r="BVT8" s="222"/>
      <c r="BVU8" s="222"/>
      <c r="BVV8" s="222"/>
      <c r="BVW8" s="222"/>
      <c r="BVX8" s="222"/>
      <c r="BVY8" s="222"/>
      <c r="BVZ8" s="222"/>
      <c r="BWA8" s="222"/>
      <c r="BWB8" s="222"/>
      <c r="BWC8" s="222"/>
      <c r="BWD8" s="222"/>
      <c r="BWE8" s="222"/>
      <c r="BWF8" s="222"/>
      <c r="BWG8" s="222"/>
      <c r="BWH8" s="222"/>
      <c r="BWI8" s="222"/>
      <c r="BWJ8" s="222"/>
      <c r="BWK8" s="222"/>
      <c r="BWL8" s="222"/>
      <c r="BWM8" s="222"/>
      <c r="BWN8" s="222"/>
      <c r="BWO8" s="222"/>
      <c r="BWP8" s="222"/>
      <c r="BWQ8" s="222"/>
      <c r="BWR8" s="222"/>
      <c r="BWS8" s="222"/>
      <c r="BWT8" s="222"/>
      <c r="BWU8" s="222"/>
      <c r="BWV8" s="222"/>
      <c r="BWW8" s="222"/>
      <c r="BWX8" s="222"/>
      <c r="BWY8" s="222"/>
      <c r="BWZ8" s="222"/>
      <c r="BXA8" s="222"/>
      <c r="BXB8" s="222"/>
      <c r="BXC8" s="222"/>
      <c r="BXD8" s="222"/>
      <c r="BXE8" s="222"/>
      <c r="BXF8" s="222"/>
      <c r="BXG8" s="222"/>
      <c r="BXH8" s="222"/>
      <c r="BXI8" s="222"/>
      <c r="BXJ8" s="222"/>
      <c r="BXK8" s="222"/>
      <c r="BXL8" s="222"/>
      <c r="BXM8" s="222"/>
      <c r="BXN8" s="222"/>
      <c r="BXO8" s="222"/>
      <c r="BXP8" s="222"/>
      <c r="BXQ8" s="222"/>
      <c r="BXR8" s="222"/>
      <c r="BXS8" s="222"/>
      <c r="BXT8" s="222"/>
      <c r="BXU8" s="222"/>
      <c r="BXV8" s="222"/>
      <c r="BXW8" s="222"/>
      <c r="BXX8" s="222"/>
      <c r="BXY8" s="222"/>
      <c r="BXZ8" s="222"/>
      <c r="BYA8" s="222"/>
      <c r="BYB8" s="222"/>
      <c r="BYC8" s="222"/>
      <c r="BYD8" s="222"/>
      <c r="BYE8" s="222"/>
      <c r="BYF8" s="222"/>
      <c r="BYG8" s="222"/>
      <c r="BYH8" s="222"/>
      <c r="BYI8" s="222"/>
      <c r="BYJ8" s="222"/>
      <c r="BYK8" s="222"/>
      <c r="BYL8" s="222"/>
      <c r="BYM8" s="222"/>
      <c r="BYN8" s="222"/>
      <c r="BYO8" s="222"/>
      <c r="BYP8" s="222"/>
      <c r="BYQ8" s="222"/>
      <c r="BYR8" s="222"/>
      <c r="BYS8" s="222"/>
      <c r="BYT8" s="222"/>
      <c r="BYU8" s="222"/>
      <c r="BYV8" s="222"/>
      <c r="BYW8" s="222"/>
      <c r="BYX8" s="222"/>
      <c r="BYY8" s="222"/>
      <c r="BYZ8" s="222"/>
      <c r="BZA8" s="222"/>
      <c r="BZB8" s="222"/>
      <c r="BZC8" s="222"/>
      <c r="BZD8" s="222"/>
      <c r="BZE8" s="222"/>
      <c r="BZF8" s="222"/>
      <c r="BZG8" s="222"/>
      <c r="BZH8" s="222"/>
      <c r="BZI8" s="222"/>
      <c r="BZJ8" s="222"/>
      <c r="BZK8" s="222"/>
      <c r="BZL8" s="222"/>
      <c r="BZM8" s="222"/>
      <c r="BZN8" s="222"/>
      <c r="BZO8" s="222"/>
      <c r="BZP8" s="222"/>
      <c r="BZQ8" s="222"/>
      <c r="BZR8" s="222"/>
      <c r="BZS8" s="222"/>
      <c r="BZT8" s="222"/>
      <c r="BZU8" s="222"/>
      <c r="BZV8" s="222"/>
      <c r="BZW8" s="222"/>
      <c r="BZX8" s="222"/>
      <c r="BZY8" s="222"/>
      <c r="BZZ8" s="222"/>
      <c r="CAA8" s="222"/>
      <c r="CAB8" s="222"/>
      <c r="CAC8" s="222"/>
      <c r="CAD8" s="222"/>
      <c r="CAE8" s="222"/>
      <c r="CAF8" s="222"/>
      <c r="CAG8" s="222"/>
      <c r="CAH8" s="222"/>
      <c r="CAI8" s="222"/>
      <c r="CAJ8" s="222"/>
      <c r="CAK8" s="222"/>
      <c r="CAL8" s="222"/>
      <c r="CAM8" s="222"/>
      <c r="CAN8" s="222"/>
      <c r="CAO8" s="222"/>
      <c r="CAP8" s="222"/>
      <c r="CAQ8" s="222"/>
      <c r="CAR8" s="222"/>
      <c r="CAS8" s="222"/>
      <c r="CAT8" s="222"/>
      <c r="CAU8" s="222"/>
      <c r="CAV8" s="222"/>
      <c r="CAW8" s="222"/>
      <c r="CAX8" s="222"/>
      <c r="CAY8" s="222"/>
      <c r="CAZ8" s="222"/>
      <c r="CBA8" s="222"/>
      <c r="CBB8" s="222"/>
      <c r="CBC8" s="222"/>
      <c r="CBD8" s="222"/>
      <c r="CBE8" s="222"/>
      <c r="CBF8" s="222"/>
      <c r="CBG8" s="222"/>
      <c r="CBH8" s="222"/>
      <c r="CBI8" s="222"/>
      <c r="CBJ8" s="222"/>
      <c r="CBK8" s="222"/>
      <c r="CBL8" s="222"/>
      <c r="CBM8" s="222"/>
      <c r="CBN8" s="222"/>
      <c r="CBO8" s="222"/>
      <c r="CBP8" s="222"/>
      <c r="CBQ8" s="222"/>
      <c r="CBR8" s="222"/>
      <c r="CBS8" s="222"/>
      <c r="CBT8" s="222"/>
      <c r="CBU8" s="222"/>
      <c r="CBV8" s="222"/>
      <c r="CBW8" s="222"/>
      <c r="CBX8" s="222"/>
      <c r="CBY8" s="222"/>
      <c r="CBZ8" s="222"/>
      <c r="CCA8" s="222"/>
      <c r="CCB8" s="222"/>
      <c r="CCC8" s="222"/>
      <c r="CCD8" s="222"/>
      <c r="CCE8" s="222"/>
      <c r="CCF8" s="222"/>
      <c r="CCG8" s="222"/>
      <c r="CCH8" s="222"/>
      <c r="CCI8" s="222"/>
      <c r="CCJ8" s="222"/>
      <c r="CCK8" s="222"/>
      <c r="CCL8" s="222"/>
      <c r="CCM8" s="222"/>
      <c r="CCN8" s="222"/>
      <c r="CCO8" s="222"/>
      <c r="CCP8" s="222"/>
      <c r="CCQ8" s="222"/>
      <c r="CCR8" s="222"/>
      <c r="CCS8" s="222"/>
      <c r="CCT8" s="222"/>
      <c r="CCU8" s="222"/>
      <c r="CCV8" s="222"/>
      <c r="CCW8" s="222"/>
      <c r="CCX8" s="222"/>
      <c r="CCY8" s="222"/>
      <c r="CCZ8" s="222"/>
      <c r="CDA8" s="222"/>
      <c r="CDB8" s="222"/>
      <c r="CDC8" s="222"/>
      <c r="CDD8" s="222"/>
      <c r="CDE8" s="222"/>
      <c r="CDF8" s="222"/>
      <c r="CDG8" s="222"/>
      <c r="CDH8" s="222"/>
      <c r="CDI8" s="222"/>
      <c r="CDJ8" s="222"/>
      <c r="CDK8" s="222"/>
      <c r="CDL8" s="222"/>
      <c r="CDM8" s="222"/>
      <c r="CDN8" s="222"/>
      <c r="CDO8" s="222"/>
      <c r="CDP8" s="222"/>
      <c r="CDQ8" s="222"/>
      <c r="CDR8" s="222"/>
      <c r="CDS8" s="222"/>
      <c r="CDT8" s="222"/>
      <c r="CDU8" s="222"/>
      <c r="CDV8" s="222"/>
      <c r="CDW8" s="222"/>
      <c r="CDX8" s="222"/>
      <c r="CDY8" s="222"/>
      <c r="CDZ8" s="222"/>
      <c r="CEA8" s="222"/>
      <c r="CEB8" s="222"/>
      <c r="CEC8" s="222"/>
      <c r="CED8" s="222"/>
      <c r="CEE8" s="222"/>
      <c r="CEF8" s="222"/>
      <c r="CEG8" s="222"/>
      <c r="CEH8" s="222"/>
      <c r="CEI8" s="222"/>
      <c r="CEJ8" s="222"/>
      <c r="CEK8" s="222"/>
      <c r="CEL8" s="222"/>
      <c r="CEM8" s="222"/>
      <c r="CEN8" s="222"/>
      <c r="CEO8" s="222"/>
      <c r="CEP8" s="222"/>
      <c r="CEQ8" s="222"/>
      <c r="CER8" s="222"/>
      <c r="CES8" s="222"/>
      <c r="CET8" s="222"/>
      <c r="CEU8" s="222"/>
      <c r="CEV8" s="222"/>
      <c r="CEW8" s="222"/>
      <c r="CEX8" s="222"/>
      <c r="CEY8" s="222"/>
      <c r="CEZ8" s="222"/>
      <c r="CFA8" s="222"/>
      <c r="CFB8" s="222"/>
      <c r="CFC8" s="222"/>
      <c r="CFD8" s="222"/>
      <c r="CFE8" s="222"/>
      <c r="CFF8" s="222"/>
      <c r="CFG8" s="222"/>
      <c r="CFH8" s="222"/>
      <c r="CFI8" s="222"/>
      <c r="CFJ8" s="222"/>
      <c r="CFK8" s="222"/>
      <c r="CFL8" s="222"/>
      <c r="CFM8" s="222"/>
      <c r="CFN8" s="222"/>
      <c r="CFO8" s="222"/>
      <c r="CFP8" s="222"/>
      <c r="CFQ8" s="222"/>
      <c r="CFR8" s="222"/>
      <c r="CFS8" s="222"/>
      <c r="CFT8" s="222"/>
      <c r="CFU8" s="222"/>
      <c r="CFV8" s="222"/>
      <c r="CFW8" s="222"/>
      <c r="CFX8" s="222"/>
      <c r="CFY8" s="222"/>
      <c r="CFZ8" s="222"/>
      <c r="CGA8" s="222"/>
      <c r="CGB8" s="222"/>
      <c r="CGC8" s="222"/>
      <c r="CGD8" s="222"/>
      <c r="CGE8" s="222"/>
      <c r="CGF8" s="222"/>
      <c r="CGG8" s="222"/>
      <c r="CGH8" s="222"/>
      <c r="CGI8" s="222"/>
      <c r="CGJ8" s="222"/>
      <c r="CGK8" s="222"/>
      <c r="CGL8" s="222"/>
      <c r="CGM8" s="222"/>
      <c r="CGN8" s="222"/>
      <c r="CGO8" s="222"/>
      <c r="CGP8" s="222"/>
      <c r="CGQ8" s="222"/>
      <c r="CGR8" s="222"/>
      <c r="CGS8" s="222"/>
      <c r="CGT8" s="222"/>
      <c r="CGU8" s="222"/>
      <c r="CGV8" s="222"/>
      <c r="CGW8" s="222"/>
      <c r="CGX8" s="222"/>
      <c r="CGY8" s="222"/>
      <c r="CGZ8" s="222"/>
      <c r="CHA8" s="222"/>
      <c r="CHB8" s="222"/>
      <c r="CHC8" s="222"/>
      <c r="CHD8" s="222"/>
      <c r="CHE8" s="222"/>
      <c r="CHF8" s="222"/>
      <c r="CHG8" s="222"/>
      <c r="CHH8" s="222"/>
      <c r="CHI8" s="222"/>
      <c r="CHJ8" s="222"/>
      <c r="CHK8" s="222"/>
      <c r="CHL8" s="222"/>
      <c r="CHM8" s="222"/>
      <c r="CHN8" s="222"/>
      <c r="CHO8" s="222"/>
      <c r="CHP8" s="222"/>
      <c r="CHQ8" s="222"/>
      <c r="CHR8" s="222"/>
      <c r="CHS8" s="222"/>
      <c r="CHT8" s="222"/>
      <c r="CHU8" s="222"/>
      <c r="CHV8" s="222"/>
      <c r="CHW8" s="222"/>
      <c r="CHX8" s="222"/>
      <c r="CHY8" s="222"/>
      <c r="CHZ8" s="222"/>
      <c r="CIA8" s="222"/>
      <c r="CIB8" s="222"/>
      <c r="CIC8" s="222"/>
      <c r="CID8" s="222"/>
      <c r="CIE8" s="222"/>
      <c r="CIF8" s="222"/>
      <c r="CIG8" s="222"/>
      <c r="CIH8" s="222"/>
      <c r="CII8" s="222"/>
      <c r="CIJ8" s="222"/>
      <c r="CIK8" s="222"/>
      <c r="CIL8" s="222"/>
      <c r="CIM8" s="222"/>
      <c r="CIN8" s="222"/>
      <c r="CIO8" s="222"/>
      <c r="CIP8" s="222"/>
      <c r="CIQ8" s="222"/>
      <c r="CIR8" s="222"/>
      <c r="CIS8" s="222"/>
      <c r="CIT8" s="222"/>
      <c r="CIU8" s="222"/>
      <c r="CIV8" s="222"/>
      <c r="CIW8" s="222"/>
      <c r="CIX8" s="222"/>
      <c r="CIY8" s="222"/>
      <c r="CIZ8" s="222"/>
      <c r="CJA8" s="222"/>
      <c r="CJB8" s="222"/>
      <c r="CJC8" s="222"/>
      <c r="CJD8" s="222"/>
      <c r="CJE8" s="222"/>
      <c r="CJF8" s="222"/>
      <c r="CJG8" s="222"/>
      <c r="CJH8" s="222"/>
      <c r="CJI8" s="222"/>
      <c r="CJJ8" s="222"/>
      <c r="CJK8" s="222"/>
      <c r="CJL8" s="222"/>
      <c r="CJM8" s="222"/>
      <c r="CJN8" s="222"/>
      <c r="CJO8" s="222"/>
      <c r="CJP8" s="222"/>
      <c r="CJQ8" s="222"/>
      <c r="CJR8" s="222"/>
      <c r="CJS8" s="222"/>
      <c r="CJT8" s="222"/>
      <c r="CJU8" s="222"/>
      <c r="CJV8" s="222"/>
      <c r="CJW8" s="222"/>
      <c r="CJX8" s="222"/>
      <c r="CJY8" s="222"/>
      <c r="CJZ8" s="222"/>
      <c r="CKA8" s="222"/>
      <c r="CKB8" s="222"/>
      <c r="CKC8" s="222"/>
      <c r="CKD8" s="222"/>
      <c r="CKE8" s="222"/>
      <c r="CKF8" s="222"/>
      <c r="CKG8" s="222"/>
      <c r="CKH8" s="222"/>
      <c r="CKI8" s="222"/>
      <c r="CKJ8" s="222"/>
      <c r="CKK8" s="222"/>
      <c r="CKL8" s="222"/>
      <c r="CKM8" s="222"/>
      <c r="CKN8" s="222"/>
      <c r="CKO8" s="222"/>
      <c r="CKP8" s="222"/>
      <c r="CKQ8" s="222"/>
      <c r="CKR8" s="222"/>
      <c r="CKS8" s="222"/>
      <c r="CKT8" s="222"/>
      <c r="CKU8" s="222"/>
      <c r="CKV8" s="222"/>
      <c r="CKW8" s="222"/>
      <c r="CKX8" s="222"/>
      <c r="CKY8" s="222"/>
      <c r="CKZ8" s="222"/>
      <c r="CLA8" s="222"/>
      <c r="CLB8" s="222"/>
      <c r="CLC8" s="222"/>
      <c r="CLD8" s="222"/>
      <c r="CLE8" s="222"/>
      <c r="CLF8" s="222"/>
      <c r="CLG8" s="222"/>
      <c r="CLH8" s="222"/>
      <c r="CLI8" s="222"/>
      <c r="CLJ8" s="222"/>
      <c r="CLK8" s="222"/>
      <c r="CLL8" s="222"/>
      <c r="CLM8" s="222"/>
      <c r="CLN8" s="222"/>
      <c r="CLO8" s="222"/>
      <c r="CLP8" s="222"/>
      <c r="CLQ8" s="222"/>
      <c r="CLR8" s="222"/>
      <c r="CLS8" s="222"/>
      <c r="CLT8" s="222"/>
      <c r="CLU8" s="222"/>
      <c r="CLV8" s="222"/>
      <c r="CLW8" s="222"/>
      <c r="CLX8" s="222"/>
      <c r="CLY8" s="222"/>
      <c r="CLZ8" s="222"/>
      <c r="CMA8" s="222"/>
      <c r="CMB8" s="222"/>
      <c r="CMC8" s="222"/>
      <c r="CMD8" s="222"/>
      <c r="CME8" s="222"/>
      <c r="CMF8" s="222"/>
      <c r="CMG8" s="222"/>
      <c r="CMH8" s="222"/>
      <c r="CMI8" s="222"/>
      <c r="CMJ8" s="222"/>
      <c r="CMK8" s="222"/>
      <c r="CML8" s="222"/>
      <c r="CMM8" s="222"/>
      <c r="CMN8" s="222"/>
      <c r="CMO8" s="222"/>
      <c r="CMP8" s="222"/>
      <c r="CMQ8" s="222"/>
      <c r="CMR8" s="222"/>
      <c r="CMS8" s="222"/>
      <c r="CMT8" s="222"/>
      <c r="CMU8" s="222"/>
      <c r="CMV8" s="222"/>
      <c r="CMW8" s="222"/>
      <c r="CMX8" s="222"/>
      <c r="CMY8" s="222"/>
      <c r="CMZ8" s="222"/>
      <c r="CNA8" s="222"/>
      <c r="CNB8" s="222"/>
      <c r="CNC8" s="222"/>
      <c r="CND8" s="222"/>
      <c r="CNE8" s="222"/>
      <c r="CNF8" s="222"/>
      <c r="CNG8" s="222"/>
      <c r="CNH8" s="222"/>
      <c r="CNI8" s="222"/>
      <c r="CNJ8" s="222"/>
      <c r="CNK8" s="222"/>
      <c r="CNL8" s="222"/>
      <c r="CNM8" s="222"/>
      <c r="CNN8" s="222"/>
      <c r="CNO8" s="222"/>
      <c r="CNP8" s="222"/>
      <c r="CNQ8" s="222"/>
      <c r="CNR8" s="222"/>
      <c r="CNS8" s="222"/>
      <c r="CNT8" s="222"/>
      <c r="CNU8" s="222"/>
      <c r="CNV8" s="222"/>
      <c r="CNW8" s="222"/>
      <c r="CNX8" s="222"/>
      <c r="CNY8" s="222"/>
      <c r="CNZ8" s="222"/>
      <c r="COA8" s="222"/>
      <c r="COB8" s="222"/>
      <c r="COC8" s="222"/>
      <c r="COD8" s="222"/>
      <c r="COE8" s="222"/>
      <c r="COF8" s="222"/>
      <c r="COG8" s="222"/>
      <c r="COH8" s="222"/>
      <c r="COI8" s="222"/>
      <c r="COJ8" s="222"/>
      <c r="COK8" s="222"/>
      <c r="COL8" s="222"/>
      <c r="COM8" s="222"/>
      <c r="CON8" s="222"/>
      <c r="COO8" s="222"/>
      <c r="COP8" s="222"/>
      <c r="COQ8" s="222"/>
      <c r="COR8" s="222"/>
      <c r="COS8" s="222"/>
      <c r="COT8" s="222"/>
      <c r="COU8" s="222"/>
      <c r="COV8" s="222"/>
      <c r="COW8" s="222"/>
      <c r="COX8" s="222"/>
      <c r="COY8" s="222"/>
      <c r="COZ8" s="222"/>
      <c r="CPA8" s="222"/>
      <c r="CPB8" s="222"/>
      <c r="CPC8" s="222"/>
      <c r="CPD8" s="222"/>
      <c r="CPE8" s="222"/>
      <c r="CPF8" s="222"/>
      <c r="CPG8" s="222"/>
      <c r="CPH8" s="222"/>
      <c r="CPI8" s="222"/>
      <c r="CPJ8" s="222"/>
      <c r="CPK8" s="222"/>
      <c r="CPL8" s="222"/>
      <c r="CPM8" s="222"/>
      <c r="CPN8" s="222"/>
      <c r="CPO8" s="222"/>
      <c r="CPP8" s="222"/>
      <c r="CPQ8" s="222"/>
      <c r="CPR8" s="222"/>
      <c r="CPS8" s="222"/>
      <c r="CPT8" s="222"/>
      <c r="CPU8" s="222"/>
      <c r="CPV8" s="222"/>
      <c r="CPW8" s="222"/>
      <c r="CPX8" s="222"/>
      <c r="CPY8" s="222"/>
      <c r="CPZ8" s="222"/>
      <c r="CQA8" s="222"/>
      <c r="CQB8" s="222"/>
      <c r="CQC8" s="222"/>
      <c r="CQD8" s="222"/>
      <c r="CQE8" s="222"/>
      <c r="CQF8" s="222"/>
      <c r="CQG8" s="222"/>
      <c r="CQH8" s="222"/>
      <c r="CQI8" s="222"/>
      <c r="CQJ8" s="222"/>
      <c r="CQK8" s="222"/>
      <c r="CQL8" s="222"/>
      <c r="CQM8" s="222"/>
      <c r="CQN8" s="222"/>
      <c r="CQO8" s="222"/>
      <c r="CQP8" s="222"/>
      <c r="CQQ8" s="222"/>
      <c r="CQR8" s="222"/>
      <c r="CQS8" s="222"/>
      <c r="CQT8" s="222"/>
      <c r="CQU8" s="222"/>
      <c r="CQV8" s="222"/>
      <c r="CQW8" s="222"/>
      <c r="CQX8" s="222"/>
      <c r="CQY8" s="222"/>
      <c r="CQZ8" s="222"/>
      <c r="CRA8" s="222"/>
      <c r="CRB8" s="222"/>
      <c r="CRC8" s="222"/>
      <c r="CRD8" s="222"/>
      <c r="CRE8" s="222"/>
      <c r="CRF8" s="222"/>
      <c r="CRG8" s="222"/>
      <c r="CRH8" s="222"/>
      <c r="CRI8" s="222"/>
      <c r="CRJ8" s="222"/>
      <c r="CRK8" s="222"/>
      <c r="CRL8" s="222"/>
      <c r="CRM8" s="222"/>
      <c r="CRN8" s="222"/>
      <c r="CRO8" s="222"/>
      <c r="CRP8" s="222"/>
      <c r="CRQ8" s="222"/>
      <c r="CRR8" s="222"/>
      <c r="CRS8" s="222"/>
      <c r="CRT8" s="222"/>
      <c r="CRU8" s="222"/>
      <c r="CRV8" s="222"/>
      <c r="CRW8" s="222"/>
      <c r="CRX8" s="222"/>
      <c r="CRY8" s="222"/>
      <c r="CRZ8" s="222"/>
      <c r="CSA8" s="222"/>
      <c r="CSB8" s="222"/>
      <c r="CSC8" s="222"/>
      <c r="CSD8" s="222"/>
      <c r="CSE8" s="222"/>
      <c r="CSF8" s="222"/>
      <c r="CSG8" s="222"/>
      <c r="CSH8" s="222"/>
      <c r="CSI8" s="222"/>
      <c r="CSJ8" s="222"/>
      <c r="CSK8" s="222"/>
      <c r="CSL8" s="222"/>
      <c r="CSM8" s="222"/>
      <c r="CSN8" s="222"/>
      <c r="CSO8" s="222"/>
      <c r="CSP8" s="222"/>
      <c r="CSQ8" s="222"/>
      <c r="CSR8" s="222"/>
      <c r="CSS8" s="222"/>
      <c r="CST8" s="222"/>
      <c r="CSU8" s="222"/>
      <c r="CSV8" s="222"/>
      <c r="CSW8" s="222"/>
      <c r="CSX8" s="222"/>
      <c r="CSY8" s="222"/>
      <c r="CSZ8" s="222"/>
      <c r="CTA8" s="222"/>
      <c r="CTB8" s="222"/>
      <c r="CTC8" s="222"/>
      <c r="CTD8" s="222"/>
      <c r="CTE8" s="222"/>
      <c r="CTF8" s="222"/>
      <c r="CTG8" s="222"/>
      <c r="CTH8" s="222"/>
      <c r="CTI8" s="222"/>
      <c r="CTJ8" s="222"/>
      <c r="CTK8" s="222"/>
      <c r="CTL8" s="222"/>
      <c r="CTM8" s="222"/>
      <c r="CTN8" s="222"/>
      <c r="CTO8" s="222"/>
      <c r="CTP8" s="222"/>
      <c r="CTQ8" s="222"/>
      <c r="CTR8" s="222"/>
      <c r="CTS8" s="222"/>
      <c r="CTT8" s="222"/>
      <c r="CTU8" s="222"/>
      <c r="CTV8" s="222"/>
      <c r="CTW8" s="222"/>
      <c r="CTX8" s="222"/>
      <c r="CTY8" s="222"/>
      <c r="CTZ8" s="222"/>
      <c r="CUA8" s="222"/>
      <c r="CUB8" s="222"/>
      <c r="CUC8" s="222"/>
      <c r="CUD8" s="222"/>
      <c r="CUE8" s="222"/>
      <c r="CUF8" s="222"/>
      <c r="CUG8" s="222"/>
      <c r="CUH8" s="222"/>
      <c r="CUI8" s="222"/>
      <c r="CUJ8" s="222"/>
      <c r="CUK8" s="222"/>
      <c r="CUL8" s="222"/>
      <c r="CUM8" s="222"/>
      <c r="CUN8" s="222"/>
      <c r="CUO8" s="222"/>
      <c r="CUP8" s="222"/>
      <c r="CUQ8" s="222"/>
      <c r="CUR8" s="222"/>
      <c r="CUS8" s="222"/>
      <c r="CUT8" s="222"/>
      <c r="CUU8" s="222"/>
      <c r="CUV8" s="222"/>
      <c r="CUW8" s="222"/>
      <c r="CUX8" s="222"/>
      <c r="CUY8" s="222"/>
      <c r="CUZ8" s="222"/>
      <c r="CVA8" s="222"/>
      <c r="CVB8" s="222"/>
      <c r="CVC8" s="222"/>
      <c r="CVD8" s="222"/>
      <c r="CVE8" s="222"/>
      <c r="CVF8" s="222"/>
      <c r="CVG8" s="222"/>
      <c r="CVH8" s="222"/>
      <c r="CVI8" s="222"/>
      <c r="CVJ8" s="222"/>
      <c r="CVK8" s="222"/>
      <c r="CVL8" s="222"/>
      <c r="CVM8" s="222"/>
      <c r="CVN8" s="222"/>
      <c r="CVO8" s="222"/>
      <c r="CVP8" s="222"/>
      <c r="CVQ8" s="222"/>
      <c r="CVR8" s="222"/>
      <c r="CVS8" s="222"/>
      <c r="CVT8" s="222"/>
      <c r="CVU8" s="222"/>
      <c r="CVV8" s="222"/>
      <c r="CVW8" s="222"/>
      <c r="CVX8" s="222"/>
      <c r="CVY8" s="222"/>
      <c r="CVZ8" s="222"/>
      <c r="CWA8" s="222"/>
      <c r="CWB8" s="222"/>
      <c r="CWC8" s="222"/>
      <c r="CWD8" s="222"/>
      <c r="CWE8" s="222"/>
      <c r="CWF8" s="222"/>
      <c r="CWG8" s="222"/>
      <c r="CWH8" s="222"/>
      <c r="CWI8" s="222"/>
      <c r="CWJ8" s="222"/>
      <c r="CWK8" s="222"/>
      <c r="CWL8" s="222"/>
      <c r="CWM8" s="222"/>
      <c r="CWN8" s="222"/>
      <c r="CWO8" s="222"/>
      <c r="CWP8" s="222"/>
      <c r="CWQ8" s="222"/>
      <c r="CWR8" s="222"/>
      <c r="CWS8" s="222"/>
      <c r="CWT8" s="222"/>
      <c r="CWU8" s="222"/>
      <c r="CWV8" s="222"/>
      <c r="CWW8" s="222"/>
      <c r="CWX8" s="222"/>
      <c r="CWY8" s="222"/>
      <c r="CWZ8" s="222"/>
      <c r="CXA8" s="222"/>
      <c r="CXB8" s="222"/>
      <c r="CXC8" s="222"/>
      <c r="CXD8" s="222"/>
      <c r="CXE8" s="222"/>
      <c r="CXF8" s="222"/>
      <c r="CXG8" s="222"/>
      <c r="CXH8" s="222"/>
      <c r="CXI8" s="222"/>
      <c r="CXJ8" s="222"/>
      <c r="CXK8" s="222"/>
      <c r="CXL8" s="222"/>
      <c r="CXM8" s="222"/>
      <c r="CXN8" s="222"/>
      <c r="CXO8" s="222"/>
      <c r="CXP8" s="222"/>
      <c r="CXQ8" s="222"/>
      <c r="CXR8" s="222"/>
      <c r="CXS8" s="222"/>
      <c r="CXT8" s="222"/>
      <c r="CXU8" s="222"/>
      <c r="CXV8" s="222"/>
      <c r="CXW8" s="222"/>
      <c r="CXX8" s="222"/>
      <c r="CXY8" s="222"/>
      <c r="CXZ8" s="222"/>
      <c r="CYA8" s="222"/>
      <c r="CYB8" s="222"/>
      <c r="CYC8" s="222"/>
      <c r="CYD8" s="222"/>
      <c r="CYE8" s="222"/>
      <c r="CYF8" s="222"/>
      <c r="CYG8" s="222"/>
      <c r="CYH8" s="222"/>
      <c r="CYI8" s="222"/>
      <c r="CYJ8" s="222"/>
      <c r="CYK8" s="222"/>
      <c r="CYL8" s="222"/>
      <c r="CYM8" s="222"/>
      <c r="CYN8" s="222"/>
      <c r="CYO8" s="222"/>
      <c r="CYP8" s="222"/>
      <c r="CYQ8" s="222"/>
      <c r="CYR8" s="222"/>
      <c r="CYS8" s="222"/>
      <c r="CYT8" s="222"/>
      <c r="CYU8" s="222"/>
      <c r="CYV8" s="222"/>
      <c r="CYW8" s="222"/>
      <c r="CYX8" s="222"/>
      <c r="CYY8" s="222"/>
      <c r="CYZ8" s="222"/>
      <c r="CZA8" s="222"/>
      <c r="CZB8" s="222"/>
      <c r="CZC8" s="222"/>
      <c r="CZD8" s="222"/>
      <c r="CZE8" s="222"/>
      <c r="CZF8" s="222"/>
      <c r="CZG8" s="222"/>
      <c r="CZH8" s="222"/>
      <c r="CZI8" s="222"/>
      <c r="CZJ8" s="222"/>
      <c r="CZK8" s="222"/>
      <c r="CZL8" s="222"/>
      <c r="CZM8" s="222"/>
      <c r="CZN8" s="222"/>
      <c r="CZO8" s="222"/>
      <c r="CZP8" s="222"/>
      <c r="CZQ8" s="222"/>
      <c r="CZR8" s="222"/>
      <c r="CZS8" s="222"/>
      <c r="CZT8" s="222"/>
      <c r="CZU8" s="222"/>
      <c r="CZV8" s="222"/>
      <c r="CZW8" s="222"/>
      <c r="CZX8" s="222"/>
      <c r="CZY8" s="222"/>
      <c r="CZZ8" s="222"/>
      <c r="DAA8" s="222"/>
      <c r="DAB8" s="222"/>
      <c r="DAC8" s="222"/>
      <c r="DAD8" s="222"/>
      <c r="DAE8" s="222"/>
      <c r="DAF8" s="222"/>
      <c r="DAG8" s="222"/>
      <c r="DAH8" s="222"/>
      <c r="DAI8" s="222"/>
      <c r="DAJ8" s="222"/>
      <c r="DAK8" s="222"/>
      <c r="DAL8" s="222"/>
      <c r="DAM8" s="222"/>
      <c r="DAN8" s="222"/>
      <c r="DAO8" s="222"/>
      <c r="DAP8" s="222"/>
      <c r="DAQ8" s="222"/>
      <c r="DAR8" s="222"/>
      <c r="DAS8" s="222"/>
      <c r="DAT8" s="222"/>
      <c r="DAU8" s="222"/>
      <c r="DAV8" s="222"/>
      <c r="DAW8" s="222"/>
      <c r="DAX8" s="222"/>
      <c r="DAY8" s="222"/>
      <c r="DAZ8" s="222"/>
      <c r="DBA8" s="222"/>
      <c r="DBB8" s="222"/>
      <c r="DBC8" s="222"/>
      <c r="DBD8" s="222"/>
      <c r="DBE8" s="222"/>
      <c r="DBF8" s="222"/>
      <c r="DBG8" s="222"/>
      <c r="DBH8" s="222"/>
      <c r="DBI8" s="222"/>
      <c r="DBJ8" s="222"/>
      <c r="DBK8" s="222"/>
      <c r="DBL8" s="222"/>
      <c r="DBM8" s="222"/>
      <c r="DBN8" s="222"/>
      <c r="DBO8" s="222"/>
      <c r="DBP8" s="222"/>
      <c r="DBQ8" s="222"/>
      <c r="DBR8" s="222"/>
      <c r="DBS8" s="222"/>
      <c r="DBT8" s="222"/>
      <c r="DBU8" s="222"/>
      <c r="DBV8" s="222"/>
      <c r="DBW8" s="222"/>
      <c r="DBX8" s="222"/>
      <c r="DBY8" s="222"/>
      <c r="DBZ8" s="222"/>
      <c r="DCA8" s="222"/>
      <c r="DCB8" s="222"/>
      <c r="DCC8" s="222"/>
      <c r="DCD8" s="222"/>
      <c r="DCE8" s="222"/>
      <c r="DCF8" s="222"/>
      <c r="DCG8" s="222"/>
      <c r="DCH8" s="222"/>
      <c r="DCI8" s="222"/>
      <c r="DCJ8" s="222"/>
      <c r="DCK8" s="222"/>
      <c r="DCL8" s="222"/>
      <c r="DCM8" s="222"/>
      <c r="DCN8" s="222"/>
      <c r="DCO8" s="222"/>
      <c r="DCP8" s="222"/>
      <c r="DCQ8" s="222"/>
      <c r="DCR8" s="222"/>
      <c r="DCS8" s="222"/>
      <c r="DCT8" s="222"/>
      <c r="DCU8" s="222"/>
      <c r="DCV8" s="222"/>
      <c r="DCW8" s="222"/>
      <c r="DCX8" s="222"/>
      <c r="DCY8" s="222"/>
      <c r="DCZ8" s="222"/>
      <c r="DDA8" s="222"/>
      <c r="DDB8" s="222"/>
      <c r="DDC8" s="222"/>
      <c r="DDD8" s="222"/>
      <c r="DDE8" s="222"/>
      <c r="DDF8" s="222"/>
      <c r="DDG8" s="222"/>
      <c r="DDH8" s="222"/>
      <c r="DDI8" s="222"/>
      <c r="DDJ8" s="222"/>
      <c r="DDK8" s="222"/>
      <c r="DDL8" s="222"/>
      <c r="DDM8" s="222"/>
      <c r="DDN8" s="222"/>
      <c r="DDO8" s="222"/>
      <c r="DDP8" s="222"/>
      <c r="DDQ8" s="222"/>
      <c r="DDR8" s="222"/>
      <c r="DDS8" s="222"/>
      <c r="DDT8" s="222"/>
      <c r="DDU8" s="222"/>
      <c r="DDV8" s="222"/>
      <c r="DDW8" s="222"/>
      <c r="DDX8" s="222"/>
      <c r="DDY8" s="222"/>
      <c r="DDZ8" s="222"/>
      <c r="DEA8" s="222"/>
      <c r="DEB8" s="222"/>
      <c r="DEC8" s="222"/>
      <c r="DED8" s="222"/>
      <c r="DEE8" s="222"/>
      <c r="DEF8" s="222"/>
      <c r="DEG8" s="222"/>
      <c r="DEH8" s="222"/>
      <c r="DEI8" s="222"/>
      <c r="DEJ8" s="222"/>
      <c r="DEK8" s="222"/>
      <c r="DEL8" s="222"/>
      <c r="DEM8" s="222"/>
      <c r="DEN8" s="222"/>
      <c r="DEO8" s="222"/>
      <c r="DEP8" s="222"/>
      <c r="DEQ8" s="222"/>
      <c r="DER8" s="222"/>
      <c r="DES8" s="222"/>
      <c r="DET8" s="222"/>
      <c r="DEU8" s="222"/>
      <c r="DEV8" s="222"/>
      <c r="DEW8" s="222"/>
      <c r="DEX8" s="222"/>
      <c r="DEY8" s="222"/>
      <c r="DEZ8" s="222"/>
      <c r="DFA8" s="222"/>
      <c r="DFB8" s="222"/>
      <c r="DFC8" s="222"/>
      <c r="DFD8" s="222"/>
      <c r="DFE8" s="222"/>
      <c r="DFF8" s="222"/>
      <c r="DFG8" s="222"/>
      <c r="DFH8" s="222"/>
      <c r="DFI8" s="222"/>
      <c r="DFJ8" s="222"/>
      <c r="DFK8" s="222"/>
      <c r="DFL8" s="222"/>
      <c r="DFM8" s="222"/>
      <c r="DFN8" s="222"/>
      <c r="DFO8" s="222"/>
      <c r="DFP8" s="222"/>
      <c r="DFQ8" s="222"/>
      <c r="DFR8" s="222"/>
      <c r="DFS8" s="222"/>
      <c r="DFT8" s="222"/>
      <c r="DFU8" s="222"/>
      <c r="DFV8" s="222"/>
      <c r="DFW8" s="222"/>
      <c r="DFX8" s="222"/>
      <c r="DFY8" s="222"/>
      <c r="DFZ8" s="222"/>
      <c r="DGA8" s="222"/>
      <c r="DGB8" s="222"/>
      <c r="DGC8" s="222"/>
      <c r="DGD8" s="222"/>
      <c r="DGE8" s="222"/>
      <c r="DGF8" s="222"/>
      <c r="DGG8" s="222"/>
      <c r="DGH8" s="222"/>
      <c r="DGI8" s="222"/>
      <c r="DGJ8" s="222"/>
      <c r="DGK8" s="222"/>
      <c r="DGL8" s="222"/>
      <c r="DGM8" s="222"/>
      <c r="DGN8" s="222"/>
      <c r="DGO8" s="222"/>
      <c r="DGP8" s="222"/>
      <c r="DGQ8" s="222"/>
      <c r="DGR8" s="222"/>
      <c r="DGS8" s="222"/>
      <c r="DGT8" s="222"/>
      <c r="DGU8" s="222"/>
      <c r="DGV8" s="222"/>
      <c r="DGW8" s="222"/>
      <c r="DGX8" s="222"/>
      <c r="DGY8" s="222"/>
      <c r="DGZ8" s="222"/>
      <c r="DHA8" s="222"/>
      <c r="DHB8" s="222"/>
      <c r="DHC8" s="222"/>
      <c r="DHD8" s="222"/>
      <c r="DHE8" s="222"/>
      <c r="DHF8" s="222"/>
      <c r="DHG8" s="222"/>
      <c r="DHH8" s="222"/>
      <c r="DHI8" s="222"/>
      <c r="DHJ8" s="222"/>
      <c r="DHK8" s="222"/>
      <c r="DHL8" s="222"/>
      <c r="DHM8" s="222"/>
      <c r="DHN8" s="222"/>
      <c r="DHO8" s="222"/>
      <c r="DHP8" s="222"/>
      <c r="DHQ8" s="222"/>
      <c r="DHR8" s="222"/>
      <c r="DHS8" s="222"/>
      <c r="DHT8" s="222"/>
      <c r="DHU8" s="222"/>
      <c r="DHV8" s="222"/>
      <c r="DHW8" s="222"/>
      <c r="DHX8" s="222"/>
      <c r="DHY8" s="222"/>
      <c r="DHZ8" s="222"/>
      <c r="DIA8" s="222"/>
      <c r="DIB8" s="222"/>
      <c r="DIC8" s="222"/>
      <c r="DID8" s="222"/>
      <c r="DIE8" s="222"/>
      <c r="DIF8" s="222"/>
      <c r="DIG8" s="222"/>
      <c r="DIH8" s="222"/>
      <c r="DII8" s="222"/>
      <c r="DIJ8" s="222"/>
      <c r="DIK8" s="222"/>
      <c r="DIL8" s="222"/>
      <c r="DIM8" s="222"/>
      <c r="DIN8" s="222"/>
      <c r="DIO8" s="222"/>
      <c r="DIP8" s="222"/>
      <c r="DIQ8" s="222"/>
      <c r="DIR8" s="222"/>
      <c r="DIS8" s="222"/>
      <c r="DIT8" s="222"/>
      <c r="DIU8" s="222"/>
      <c r="DIV8" s="222"/>
      <c r="DIW8" s="222"/>
      <c r="DIX8" s="222"/>
      <c r="DIY8" s="222"/>
      <c r="DIZ8" s="222"/>
      <c r="DJA8" s="222"/>
      <c r="DJB8" s="222"/>
      <c r="DJC8" s="222"/>
      <c r="DJD8" s="222"/>
      <c r="DJE8" s="222"/>
      <c r="DJF8" s="222"/>
      <c r="DJG8" s="222"/>
      <c r="DJH8" s="222"/>
      <c r="DJI8" s="222"/>
      <c r="DJJ8" s="222"/>
      <c r="DJK8" s="222"/>
      <c r="DJL8" s="222"/>
      <c r="DJM8" s="222"/>
      <c r="DJN8" s="222"/>
      <c r="DJO8" s="222"/>
      <c r="DJP8" s="222"/>
      <c r="DJQ8" s="222"/>
      <c r="DJR8" s="222"/>
      <c r="DJS8" s="222"/>
      <c r="DJT8" s="222"/>
      <c r="DJU8" s="222"/>
      <c r="DJV8" s="222"/>
      <c r="DJW8" s="222"/>
      <c r="DJX8" s="222"/>
      <c r="DJY8" s="222"/>
      <c r="DJZ8" s="222"/>
      <c r="DKA8" s="222"/>
      <c r="DKB8" s="222"/>
      <c r="DKC8" s="222"/>
      <c r="DKD8" s="222"/>
      <c r="DKE8" s="222"/>
      <c r="DKF8" s="222"/>
      <c r="DKG8" s="222"/>
      <c r="DKH8" s="222"/>
      <c r="DKI8" s="222"/>
      <c r="DKJ8" s="222"/>
      <c r="DKK8" s="222"/>
      <c r="DKL8" s="222"/>
      <c r="DKM8" s="222"/>
      <c r="DKN8" s="222"/>
      <c r="DKO8" s="222"/>
      <c r="DKP8" s="222"/>
      <c r="DKQ8" s="222"/>
      <c r="DKR8" s="222"/>
      <c r="DKS8" s="222"/>
      <c r="DKT8" s="222"/>
      <c r="DKU8" s="222"/>
      <c r="DKV8" s="222"/>
      <c r="DKW8" s="222"/>
      <c r="DKX8" s="222"/>
      <c r="DKY8" s="222"/>
      <c r="DKZ8" s="222"/>
      <c r="DLA8" s="222"/>
      <c r="DLB8" s="222"/>
      <c r="DLC8" s="222"/>
      <c r="DLD8" s="222"/>
      <c r="DLE8" s="222"/>
      <c r="DLF8" s="222"/>
      <c r="DLG8" s="222"/>
      <c r="DLH8" s="222"/>
      <c r="DLI8" s="222"/>
      <c r="DLJ8" s="222"/>
      <c r="DLK8" s="222"/>
      <c r="DLL8" s="222"/>
      <c r="DLM8" s="222"/>
      <c r="DLN8" s="222"/>
      <c r="DLO8" s="222"/>
      <c r="DLP8" s="222"/>
      <c r="DLQ8" s="222"/>
      <c r="DLR8" s="222"/>
      <c r="DLS8" s="222"/>
      <c r="DLT8" s="222"/>
      <c r="DLU8" s="222"/>
      <c r="DLV8" s="222"/>
      <c r="DLW8" s="222"/>
      <c r="DLX8" s="222"/>
      <c r="DLY8" s="222"/>
      <c r="DLZ8" s="222"/>
      <c r="DMA8" s="222"/>
      <c r="DMB8" s="222"/>
      <c r="DMC8" s="222"/>
      <c r="DMD8" s="222"/>
      <c r="DME8" s="222"/>
      <c r="DMF8" s="222"/>
      <c r="DMG8" s="222"/>
      <c r="DMH8" s="222"/>
      <c r="DMI8" s="222"/>
      <c r="DMJ8" s="222"/>
      <c r="DMK8" s="222"/>
      <c r="DML8" s="222"/>
      <c r="DMM8" s="222"/>
      <c r="DMN8" s="222"/>
      <c r="DMO8" s="222"/>
      <c r="DMP8" s="222"/>
      <c r="DMQ8" s="222"/>
      <c r="DMR8" s="222"/>
      <c r="DMS8" s="222"/>
      <c r="DMT8" s="222"/>
      <c r="DMU8" s="222"/>
      <c r="DMV8" s="222"/>
      <c r="DMW8" s="222"/>
      <c r="DMX8" s="222"/>
      <c r="DMY8" s="222"/>
      <c r="DMZ8" s="222"/>
      <c r="DNA8" s="222"/>
      <c r="DNB8" s="222"/>
      <c r="DNC8" s="222"/>
      <c r="DND8" s="222"/>
      <c r="DNE8" s="222"/>
      <c r="DNF8" s="222"/>
      <c r="DNG8" s="222"/>
      <c r="DNH8" s="222"/>
      <c r="DNI8" s="222"/>
      <c r="DNJ8" s="222"/>
      <c r="DNK8" s="222"/>
      <c r="DNL8" s="222"/>
      <c r="DNM8" s="222"/>
      <c r="DNN8" s="222"/>
      <c r="DNO8" s="222"/>
      <c r="DNP8" s="222"/>
      <c r="DNQ8" s="222"/>
      <c r="DNR8" s="222"/>
      <c r="DNS8" s="222"/>
      <c r="DNT8" s="222"/>
      <c r="DNU8" s="222"/>
      <c r="DNV8" s="222"/>
      <c r="DNW8" s="222"/>
      <c r="DNX8" s="222"/>
      <c r="DNY8" s="222"/>
      <c r="DNZ8" s="222"/>
      <c r="DOA8" s="222"/>
      <c r="DOB8" s="222"/>
      <c r="DOC8" s="222"/>
      <c r="DOD8" s="222"/>
      <c r="DOE8" s="222"/>
      <c r="DOF8" s="222"/>
      <c r="DOG8" s="222"/>
      <c r="DOH8" s="222"/>
      <c r="DOI8" s="222"/>
      <c r="DOJ8" s="222"/>
      <c r="DOK8" s="222"/>
      <c r="DOL8" s="222"/>
      <c r="DOM8" s="222"/>
      <c r="DON8" s="222"/>
      <c r="DOO8" s="222"/>
      <c r="DOP8" s="222"/>
      <c r="DOQ8" s="222"/>
      <c r="DOR8" s="222"/>
      <c r="DOS8" s="222"/>
      <c r="DOT8" s="222"/>
      <c r="DOU8" s="222"/>
      <c r="DOV8" s="222"/>
      <c r="DOW8" s="222"/>
      <c r="DOX8" s="222"/>
      <c r="DOY8" s="222"/>
      <c r="DOZ8" s="222"/>
      <c r="DPA8" s="222"/>
      <c r="DPB8" s="222"/>
      <c r="DPC8" s="222"/>
      <c r="DPD8" s="222"/>
      <c r="DPE8" s="222"/>
      <c r="DPF8" s="222"/>
      <c r="DPG8" s="222"/>
      <c r="DPH8" s="222"/>
      <c r="DPI8" s="222"/>
      <c r="DPJ8" s="222"/>
      <c r="DPK8" s="222"/>
      <c r="DPL8" s="222"/>
      <c r="DPM8" s="222"/>
      <c r="DPN8" s="222"/>
      <c r="DPO8" s="222"/>
      <c r="DPP8" s="222"/>
      <c r="DPQ8" s="222"/>
      <c r="DPR8" s="222"/>
      <c r="DPS8" s="222"/>
      <c r="DPT8" s="222"/>
      <c r="DPU8" s="222"/>
      <c r="DPV8" s="222"/>
      <c r="DPW8" s="222"/>
      <c r="DPX8" s="222"/>
      <c r="DPY8" s="222"/>
      <c r="DPZ8" s="222"/>
      <c r="DQA8" s="222"/>
      <c r="DQB8" s="222"/>
      <c r="DQC8" s="222"/>
      <c r="DQD8" s="222"/>
      <c r="DQE8" s="222"/>
      <c r="DQF8" s="222"/>
      <c r="DQG8" s="222"/>
      <c r="DQH8" s="222"/>
      <c r="DQI8" s="222"/>
      <c r="DQJ8" s="222"/>
      <c r="DQK8" s="222"/>
      <c r="DQL8" s="222"/>
      <c r="DQM8" s="222"/>
      <c r="DQN8" s="222"/>
      <c r="DQO8" s="222"/>
      <c r="DQP8" s="222"/>
      <c r="DQQ8" s="222"/>
      <c r="DQR8" s="222"/>
      <c r="DQS8" s="222"/>
      <c r="DQT8" s="222"/>
      <c r="DQU8" s="222"/>
      <c r="DQV8" s="222"/>
      <c r="DQW8" s="222"/>
      <c r="DQX8" s="222"/>
      <c r="DQY8" s="222"/>
      <c r="DQZ8" s="222"/>
      <c r="DRA8" s="222"/>
      <c r="DRB8" s="222"/>
      <c r="DRC8" s="222"/>
      <c r="DRD8" s="222"/>
      <c r="DRE8" s="222"/>
      <c r="DRF8" s="222"/>
      <c r="DRG8" s="222"/>
      <c r="DRH8" s="222"/>
      <c r="DRI8" s="222"/>
      <c r="DRJ8" s="222"/>
      <c r="DRK8" s="222"/>
      <c r="DRL8" s="222"/>
      <c r="DRM8" s="222"/>
      <c r="DRN8" s="222"/>
      <c r="DRO8" s="222"/>
      <c r="DRP8" s="222"/>
      <c r="DRQ8" s="222"/>
      <c r="DRR8" s="222"/>
      <c r="DRS8" s="222"/>
      <c r="DRT8" s="222"/>
      <c r="DRU8" s="222"/>
      <c r="DRV8" s="222"/>
      <c r="DRW8" s="222"/>
      <c r="DRX8" s="222"/>
      <c r="DRY8" s="222"/>
      <c r="DRZ8" s="222"/>
      <c r="DSA8" s="222"/>
      <c r="DSB8" s="222"/>
      <c r="DSC8" s="222"/>
      <c r="DSD8" s="222"/>
      <c r="DSE8" s="222"/>
      <c r="DSF8" s="222"/>
      <c r="DSG8" s="222"/>
      <c r="DSH8" s="222"/>
      <c r="DSI8" s="222"/>
      <c r="DSJ8" s="222"/>
      <c r="DSK8" s="222"/>
      <c r="DSL8" s="222"/>
      <c r="DSM8" s="222"/>
      <c r="DSN8" s="222"/>
      <c r="DSO8" s="222"/>
      <c r="DSP8" s="222"/>
      <c r="DSQ8" s="222"/>
      <c r="DSR8" s="222"/>
      <c r="DSS8" s="222"/>
      <c r="DST8" s="222"/>
      <c r="DSU8" s="222"/>
      <c r="DSV8" s="222"/>
      <c r="DSW8" s="222"/>
      <c r="DSX8" s="222"/>
      <c r="DSY8" s="222"/>
      <c r="DSZ8" s="222"/>
      <c r="DTA8" s="222"/>
      <c r="DTB8" s="222"/>
      <c r="DTC8" s="222"/>
      <c r="DTD8" s="222"/>
      <c r="DTE8" s="222"/>
      <c r="DTF8" s="222"/>
      <c r="DTG8" s="222"/>
      <c r="DTH8" s="222"/>
      <c r="DTI8" s="222"/>
      <c r="DTJ8" s="222"/>
      <c r="DTK8" s="222"/>
      <c r="DTL8" s="222"/>
      <c r="DTM8" s="222"/>
      <c r="DTN8" s="222"/>
      <c r="DTO8" s="222"/>
      <c r="DTP8" s="222"/>
      <c r="DTQ8" s="222"/>
      <c r="DTR8" s="222"/>
      <c r="DTS8" s="222"/>
      <c r="DTT8" s="222"/>
      <c r="DTU8" s="222"/>
      <c r="DTV8" s="222"/>
      <c r="DTW8" s="222"/>
      <c r="DTX8" s="222"/>
      <c r="DTY8" s="222"/>
      <c r="DTZ8" s="222"/>
      <c r="DUA8" s="222"/>
      <c r="DUB8" s="222"/>
      <c r="DUC8" s="222"/>
      <c r="DUD8" s="222"/>
      <c r="DUE8" s="222"/>
      <c r="DUF8" s="222"/>
      <c r="DUG8" s="222"/>
      <c r="DUH8" s="222"/>
      <c r="DUI8" s="222"/>
      <c r="DUJ8" s="222"/>
      <c r="DUK8" s="222"/>
      <c r="DUL8" s="222"/>
      <c r="DUM8" s="222"/>
      <c r="DUN8" s="222"/>
      <c r="DUO8" s="222"/>
      <c r="DUP8" s="222"/>
      <c r="DUQ8" s="222"/>
      <c r="DUR8" s="222"/>
      <c r="DUS8" s="222"/>
      <c r="DUT8" s="222"/>
      <c r="DUU8" s="222"/>
      <c r="DUV8" s="222"/>
      <c r="DUW8" s="222"/>
      <c r="DUX8" s="222"/>
      <c r="DUY8" s="222"/>
      <c r="DUZ8" s="222"/>
      <c r="DVA8" s="222"/>
      <c r="DVB8" s="222"/>
      <c r="DVC8" s="222"/>
      <c r="DVD8" s="222"/>
      <c r="DVE8" s="222"/>
      <c r="DVF8" s="222"/>
      <c r="DVG8" s="222"/>
      <c r="DVH8" s="222"/>
      <c r="DVI8" s="222"/>
      <c r="DVJ8" s="222"/>
      <c r="DVK8" s="222"/>
      <c r="DVL8" s="222"/>
      <c r="DVM8" s="222"/>
      <c r="DVN8" s="222"/>
      <c r="DVO8" s="222"/>
      <c r="DVP8" s="222"/>
      <c r="DVQ8" s="222"/>
      <c r="DVR8" s="222"/>
      <c r="DVS8" s="222"/>
      <c r="DVT8" s="222"/>
      <c r="DVU8" s="222"/>
      <c r="DVV8" s="222"/>
      <c r="DVW8" s="222"/>
      <c r="DVX8" s="222"/>
      <c r="DVY8" s="222"/>
      <c r="DVZ8" s="222"/>
      <c r="DWA8" s="222"/>
      <c r="DWB8" s="222"/>
      <c r="DWC8" s="222"/>
      <c r="DWD8" s="222"/>
      <c r="DWE8" s="222"/>
      <c r="DWF8" s="222"/>
      <c r="DWG8" s="222"/>
      <c r="DWH8" s="222"/>
      <c r="DWI8" s="222"/>
      <c r="DWJ8" s="222"/>
      <c r="DWK8" s="222"/>
      <c r="DWL8" s="222"/>
      <c r="DWM8" s="222"/>
      <c r="DWN8" s="222"/>
      <c r="DWO8" s="222"/>
      <c r="DWP8" s="222"/>
      <c r="DWQ8" s="222"/>
      <c r="DWR8" s="222"/>
      <c r="DWS8" s="222"/>
      <c r="DWT8" s="222"/>
      <c r="DWU8" s="222"/>
      <c r="DWV8" s="222"/>
      <c r="DWW8" s="222"/>
      <c r="DWX8" s="222"/>
      <c r="DWY8" s="222"/>
      <c r="DWZ8" s="222"/>
      <c r="DXA8" s="222"/>
      <c r="DXB8" s="222"/>
      <c r="DXC8" s="222"/>
      <c r="DXD8" s="222"/>
      <c r="DXE8" s="222"/>
      <c r="DXF8" s="222"/>
      <c r="DXG8" s="222"/>
      <c r="DXH8" s="222"/>
      <c r="DXI8" s="222"/>
      <c r="DXJ8" s="222"/>
      <c r="DXK8" s="222"/>
      <c r="DXL8" s="222"/>
      <c r="DXM8" s="222"/>
      <c r="DXN8" s="222"/>
      <c r="DXO8" s="222"/>
      <c r="DXP8" s="222"/>
      <c r="DXQ8" s="222"/>
      <c r="DXR8" s="222"/>
      <c r="DXS8" s="222"/>
      <c r="DXT8" s="222"/>
      <c r="DXU8" s="222"/>
      <c r="DXV8" s="222"/>
      <c r="DXW8" s="222"/>
      <c r="DXX8" s="222"/>
      <c r="DXY8" s="222"/>
      <c r="DXZ8" s="222"/>
      <c r="DYA8" s="222"/>
      <c r="DYB8" s="222"/>
      <c r="DYC8" s="222"/>
      <c r="DYD8" s="222"/>
      <c r="DYE8" s="222"/>
      <c r="DYF8" s="222"/>
      <c r="DYG8" s="222"/>
      <c r="DYH8" s="222"/>
      <c r="DYI8" s="222"/>
      <c r="DYJ8" s="222"/>
      <c r="DYK8" s="222"/>
      <c r="DYL8" s="222"/>
      <c r="DYM8" s="222"/>
      <c r="DYN8" s="222"/>
      <c r="DYO8" s="222"/>
      <c r="DYP8" s="222"/>
      <c r="DYQ8" s="222"/>
      <c r="DYR8" s="222"/>
      <c r="DYS8" s="222"/>
      <c r="DYT8" s="222"/>
      <c r="DYU8" s="222"/>
      <c r="DYV8" s="222"/>
      <c r="DYW8" s="222"/>
      <c r="DYX8" s="222"/>
      <c r="DYY8" s="222"/>
      <c r="DYZ8" s="222"/>
      <c r="DZA8" s="222"/>
      <c r="DZB8" s="222"/>
      <c r="DZC8" s="222"/>
      <c r="DZD8" s="222"/>
      <c r="DZE8" s="222"/>
      <c r="DZF8" s="222"/>
      <c r="DZG8" s="222"/>
      <c r="DZH8" s="222"/>
      <c r="DZI8" s="222"/>
      <c r="DZJ8" s="222"/>
      <c r="DZK8" s="222"/>
      <c r="DZL8" s="222"/>
      <c r="DZM8" s="222"/>
      <c r="DZN8" s="222"/>
      <c r="DZO8" s="222"/>
      <c r="DZP8" s="222"/>
      <c r="DZQ8" s="222"/>
      <c r="DZR8" s="222"/>
      <c r="DZS8" s="222"/>
      <c r="DZT8" s="222"/>
      <c r="DZU8" s="222"/>
      <c r="DZV8" s="222"/>
      <c r="DZW8" s="222"/>
      <c r="DZX8" s="222"/>
      <c r="DZY8" s="222"/>
      <c r="DZZ8" s="222"/>
      <c r="EAA8" s="222"/>
      <c r="EAB8" s="222"/>
      <c r="EAC8" s="222"/>
      <c r="EAD8" s="222"/>
      <c r="EAE8" s="222"/>
      <c r="EAF8" s="222"/>
      <c r="EAG8" s="222"/>
      <c r="EAH8" s="222"/>
      <c r="EAI8" s="222"/>
      <c r="EAJ8" s="222"/>
      <c r="EAK8" s="222"/>
      <c r="EAL8" s="222"/>
      <c r="EAM8" s="222"/>
      <c r="EAN8" s="222"/>
      <c r="EAO8" s="222"/>
      <c r="EAP8" s="222"/>
      <c r="EAQ8" s="222"/>
      <c r="EAR8" s="222"/>
      <c r="EAS8" s="222"/>
      <c r="EAT8" s="222"/>
      <c r="EAU8" s="222"/>
      <c r="EAV8" s="222"/>
      <c r="EAW8" s="222"/>
      <c r="EAX8" s="222"/>
      <c r="EAY8" s="222"/>
      <c r="EAZ8" s="222"/>
      <c r="EBA8" s="222"/>
      <c r="EBB8" s="222"/>
      <c r="EBC8" s="222"/>
      <c r="EBD8" s="222"/>
      <c r="EBE8" s="222"/>
      <c r="EBF8" s="222"/>
      <c r="EBG8" s="222"/>
      <c r="EBH8" s="222"/>
      <c r="EBI8" s="222"/>
      <c r="EBJ8" s="222"/>
      <c r="EBK8" s="222"/>
      <c r="EBL8" s="222"/>
      <c r="EBM8" s="222"/>
      <c r="EBN8" s="222"/>
      <c r="EBO8" s="222"/>
      <c r="EBP8" s="222"/>
      <c r="EBQ8" s="222"/>
      <c r="EBR8" s="222"/>
      <c r="EBS8" s="222"/>
      <c r="EBT8" s="222"/>
      <c r="EBU8" s="222"/>
      <c r="EBV8" s="222"/>
      <c r="EBW8" s="222"/>
      <c r="EBX8" s="222"/>
      <c r="EBY8" s="222"/>
      <c r="EBZ8" s="222"/>
      <c r="ECA8" s="222"/>
      <c r="ECB8" s="222"/>
      <c r="ECC8" s="222"/>
      <c r="ECD8" s="222"/>
      <c r="ECE8" s="222"/>
      <c r="ECF8" s="222"/>
      <c r="ECG8" s="222"/>
      <c r="ECH8" s="222"/>
      <c r="ECI8" s="222"/>
      <c r="ECJ8" s="222"/>
      <c r="ECK8" s="222"/>
      <c r="ECL8" s="222"/>
      <c r="ECM8" s="222"/>
      <c r="ECN8" s="222"/>
      <c r="ECO8" s="222"/>
      <c r="ECP8" s="222"/>
      <c r="ECQ8" s="222"/>
      <c r="ECR8" s="222"/>
      <c r="ECS8" s="222"/>
      <c r="ECT8" s="222"/>
      <c r="ECU8" s="222"/>
      <c r="ECV8" s="222"/>
      <c r="ECW8" s="222"/>
      <c r="ECX8" s="222"/>
      <c r="ECY8" s="222"/>
      <c r="ECZ8" s="222"/>
      <c r="EDA8" s="222"/>
      <c r="EDB8" s="222"/>
      <c r="EDC8" s="222"/>
      <c r="EDD8" s="222"/>
      <c r="EDE8" s="222"/>
      <c r="EDF8" s="222"/>
      <c r="EDG8" s="222"/>
      <c r="EDH8" s="222"/>
      <c r="EDI8" s="222"/>
      <c r="EDJ8" s="222"/>
      <c r="EDK8" s="222"/>
      <c r="EDL8" s="222"/>
      <c r="EDM8" s="222"/>
      <c r="EDN8" s="222"/>
      <c r="EDO8" s="222"/>
      <c r="EDP8" s="222"/>
      <c r="EDQ8" s="222"/>
      <c r="EDR8" s="222"/>
      <c r="EDS8" s="222"/>
      <c r="EDT8" s="222"/>
      <c r="EDU8" s="222"/>
      <c r="EDV8" s="222"/>
      <c r="EDW8" s="222"/>
      <c r="EDX8" s="222"/>
      <c r="EDY8" s="222"/>
      <c r="EDZ8" s="222"/>
      <c r="EEA8" s="222"/>
      <c r="EEB8" s="222"/>
      <c r="EEC8" s="222"/>
      <c r="EED8" s="222"/>
      <c r="EEE8" s="222"/>
      <c r="EEF8" s="222"/>
      <c r="EEG8" s="222"/>
      <c r="EEH8" s="222"/>
      <c r="EEI8" s="222"/>
      <c r="EEJ8" s="222"/>
      <c r="EEK8" s="222"/>
      <c r="EEL8" s="222"/>
      <c r="EEM8" s="222"/>
      <c r="EEN8" s="222"/>
      <c r="EEO8" s="222"/>
      <c r="EEP8" s="222"/>
      <c r="EEQ8" s="222"/>
      <c r="EER8" s="222"/>
      <c r="EES8" s="222"/>
      <c r="EET8" s="222"/>
      <c r="EEU8" s="222"/>
      <c r="EEV8" s="222"/>
      <c r="EEW8" s="222"/>
      <c r="EEX8" s="222"/>
      <c r="EEY8" s="222"/>
      <c r="EEZ8" s="222"/>
      <c r="EFA8" s="222"/>
      <c r="EFB8" s="222"/>
      <c r="EFC8" s="222"/>
      <c r="EFD8" s="222"/>
      <c r="EFE8" s="222"/>
      <c r="EFF8" s="222"/>
      <c r="EFG8" s="222"/>
      <c r="EFH8" s="222"/>
      <c r="EFI8" s="222"/>
      <c r="EFJ8" s="222"/>
      <c r="EFK8" s="222"/>
      <c r="EFL8" s="222"/>
      <c r="EFM8" s="222"/>
      <c r="EFN8" s="222"/>
      <c r="EFO8" s="222"/>
      <c r="EFP8" s="222"/>
      <c r="EFQ8" s="222"/>
      <c r="EFR8" s="222"/>
      <c r="EFS8" s="222"/>
      <c r="EFT8" s="222"/>
      <c r="EFU8" s="222"/>
      <c r="EFV8" s="222"/>
      <c r="EFW8" s="222"/>
      <c r="EFX8" s="222"/>
      <c r="EFY8" s="222"/>
      <c r="EFZ8" s="222"/>
      <c r="EGA8" s="222"/>
      <c r="EGB8" s="222"/>
      <c r="EGC8" s="222"/>
      <c r="EGD8" s="222"/>
      <c r="EGE8" s="222"/>
      <c r="EGF8" s="222"/>
      <c r="EGG8" s="222"/>
      <c r="EGH8" s="222"/>
      <c r="EGI8" s="222"/>
      <c r="EGJ8" s="222"/>
      <c r="EGK8" s="222"/>
      <c r="EGL8" s="222"/>
      <c r="EGM8" s="222"/>
      <c r="EGN8" s="222"/>
      <c r="EGO8" s="222"/>
      <c r="EGP8" s="222"/>
      <c r="EGQ8" s="222"/>
      <c r="EGR8" s="222"/>
      <c r="EGS8" s="222"/>
      <c r="EGT8" s="222"/>
      <c r="EGU8" s="222"/>
      <c r="EGV8" s="222"/>
      <c r="EGW8" s="222"/>
      <c r="EGX8" s="222"/>
      <c r="EGY8" s="222"/>
      <c r="EGZ8" s="222"/>
      <c r="EHA8" s="222"/>
      <c r="EHB8" s="222"/>
      <c r="EHC8" s="222"/>
      <c r="EHD8" s="222"/>
      <c r="EHE8" s="222"/>
      <c r="EHF8" s="222"/>
      <c r="EHG8" s="222"/>
      <c r="EHH8" s="222"/>
      <c r="EHI8" s="222"/>
      <c r="EHJ8" s="222"/>
      <c r="EHK8" s="222"/>
      <c r="EHL8" s="222"/>
      <c r="EHM8" s="222"/>
      <c r="EHN8" s="222"/>
      <c r="EHO8" s="222"/>
      <c r="EHP8" s="222"/>
      <c r="EHQ8" s="222"/>
      <c r="EHR8" s="222"/>
      <c r="EHS8" s="222"/>
      <c r="EHT8" s="222"/>
      <c r="EHU8" s="222"/>
      <c r="EHV8" s="222"/>
      <c r="EHW8" s="222"/>
      <c r="EHX8" s="222"/>
      <c r="EHY8" s="222"/>
      <c r="EHZ8" s="222"/>
      <c r="EIA8" s="222"/>
      <c r="EIB8" s="222"/>
      <c r="EIC8" s="222"/>
      <c r="EID8" s="222"/>
      <c r="EIE8" s="222"/>
      <c r="EIF8" s="222"/>
      <c r="EIG8" s="222"/>
      <c r="EIH8" s="222"/>
      <c r="EII8" s="222"/>
      <c r="EIJ8" s="222"/>
      <c r="EIK8" s="222"/>
      <c r="EIL8" s="222"/>
      <c r="EIM8" s="222"/>
      <c r="EIN8" s="222"/>
      <c r="EIO8" s="222"/>
      <c r="EIP8" s="222"/>
      <c r="EIQ8" s="222"/>
      <c r="EIR8" s="222"/>
      <c r="EIS8" s="222"/>
      <c r="EIT8" s="222"/>
      <c r="EIU8" s="222"/>
      <c r="EIV8" s="222"/>
      <c r="EIW8" s="222"/>
      <c r="EIX8" s="222"/>
      <c r="EIY8" s="222"/>
      <c r="EIZ8" s="222"/>
      <c r="EJA8" s="222"/>
      <c r="EJB8" s="222"/>
      <c r="EJC8" s="222"/>
      <c r="EJD8" s="222"/>
      <c r="EJE8" s="222"/>
      <c r="EJF8" s="222"/>
      <c r="EJG8" s="222"/>
      <c r="EJH8" s="222"/>
      <c r="EJI8" s="222"/>
      <c r="EJJ8" s="222"/>
      <c r="EJK8" s="222"/>
      <c r="EJL8" s="222"/>
      <c r="EJM8" s="222"/>
      <c r="EJN8" s="222"/>
      <c r="EJO8" s="222"/>
      <c r="EJP8" s="222"/>
      <c r="EJQ8" s="222"/>
      <c r="EJR8" s="222"/>
      <c r="EJS8" s="222"/>
      <c r="EJT8" s="222"/>
      <c r="EJU8" s="222"/>
      <c r="EJV8" s="222"/>
      <c r="EJW8" s="222"/>
      <c r="EJX8" s="222"/>
      <c r="EJY8" s="222"/>
      <c r="EJZ8" s="222"/>
      <c r="EKA8" s="222"/>
      <c r="EKB8" s="222"/>
      <c r="EKC8" s="222"/>
      <c r="EKD8" s="222"/>
      <c r="EKE8" s="222"/>
      <c r="EKF8" s="222"/>
      <c r="EKG8" s="222"/>
      <c r="EKH8" s="222"/>
      <c r="EKI8" s="222"/>
      <c r="EKJ8" s="222"/>
      <c r="EKK8" s="222"/>
      <c r="EKL8" s="222"/>
      <c r="EKM8" s="222"/>
      <c r="EKN8" s="222"/>
      <c r="EKO8" s="222"/>
      <c r="EKP8" s="222"/>
      <c r="EKQ8" s="222"/>
      <c r="EKR8" s="222"/>
      <c r="EKS8" s="222"/>
      <c r="EKT8" s="222"/>
      <c r="EKU8" s="222"/>
      <c r="EKV8" s="222"/>
      <c r="EKW8" s="222"/>
      <c r="EKX8" s="222"/>
      <c r="EKY8" s="222"/>
      <c r="EKZ8" s="222"/>
      <c r="ELA8" s="222"/>
      <c r="ELB8" s="222"/>
      <c r="ELC8" s="222"/>
      <c r="ELD8" s="222"/>
      <c r="ELE8" s="222"/>
      <c r="ELF8" s="222"/>
      <c r="ELG8" s="222"/>
      <c r="ELH8" s="222"/>
      <c r="ELI8" s="222"/>
      <c r="ELJ8" s="222"/>
      <c r="ELK8" s="222"/>
      <c r="ELL8" s="222"/>
      <c r="ELM8" s="222"/>
      <c r="ELN8" s="222"/>
      <c r="ELO8" s="222"/>
      <c r="ELP8" s="222"/>
      <c r="ELQ8" s="222"/>
      <c r="ELR8" s="222"/>
      <c r="ELS8" s="222"/>
      <c r="ELT8" s="222"/>
      <c r="ELU8" s="222"/>
      <c r="ELV8" s="222"/>
      <c r="ELW8" s="222"/>
      <c r="ELX8" s="222"/>
      <c r="ELY8" s="222"/>
      <c r="ELZ8" s="222"/>
      <c r="EMA8" s="222"/>
      <c r="EMB8" s="222"/>
      <c r="EMC8" s="222"/>
      <c r="EMD8" s="222"/>
      <c r="EME8" s="222"/>
      <c r="EMF8" s="222"/>
      <c r="EMG8" s="222"/>
      <c r="EMH8" s="222"/>
      <c r="EMI8" s="222"/>
      <c r="EMJ8" s="222"/>
      <c r="EMK8" s="222"/>
      <c r="EML8" s="222"/>
      <c r="EMM8" s="222"/>
      <c r="EMN8" s="222"/>
      <c r="EMO8" s="222"/>
      <c r="EMP8" s="222"/>
      <c r="EMQ8" s="222"/>
      <c r="EMR8" s="222"/>
      <c r="EMS8" s="222"/>
      <c r="EMT8" s="222"/>
      <c r="EMU8" s="222"/>
      <c r="EMV8" s="222"/>
      <c r="EMW8" s="222"/>
      <c r="EMX8" s="222"/>
      <c r="EMY8" s="222"/>
      <c r="EMZ8" s="222"/>
      <c r="ENA8" s="222"/>
      <c r="ENB8" s="222"/>
      <c r="ENC8" s="222"/>
      <c r="END8" s="222"/>
      <c r="ENE8" s="222"/>
      <c r="ENF8" s="222"/>
      <c r="ENG8" s="222"/>
      <c r="ENH8" s="222"/>
      <c r="ENI8" s="222"/>
      <c r="ENJ8" s="222"/>
      <c r="ENK8" s="222"/>
      <c r="ENL8" s="222"/>
      <c r="ENM8" s="222"/>
      <c r="ENN8" s="222"/>
      <c r="ENO8" s="222"/>
      <c r="ENP8" s="222"/>
      <c r="ENQ8" s="222"/>
      <c r="ENR8" s="222"/>
      <c r="ENS8" s="222"/>
      <c r="ENT8" s="222"/>
      <c r="ENU8" s="222"/>
      <c r="ENV8" s="222"/>
      <c r="ENW8" s="222"/>
      <c r="ENX8" s="222"/>
      <c r="ENY8" s="222"/>
      <c r="ENZ8" s="222"/>
      <c r="EOA8" s="222"/>
      <c r="EOB8" s="222"/>
      <c r="EOC8" s="222"/>
      <c r="EOD8" s="222"/>
      <c r="EOE8" s="222"/>
      <c r="EOF8" s="222"/>
      <c r="EOG8" s="222"/>
      <c r="EOH8" s="222"/>
      <c r="EOI8" s="222"/>
      <c r="EOJ8" s="222"/>
      <c r="EOK8" s="222"/>
      <c r="EOL8" s="222"/>
      <c r="EOM8" s="222"/>
      <c r="EON8" s="222"/>
      <c r="EOO8" s="222"/>
      <c r="EOP8" s="222"/>
      <c r="EOQ8" s="222"/>
      <c r="EOR8" s="222"/>
      <c r="EOS8" s="222"/>
      <c r="EOT8" s="222"/>
      <c r="EOU8" s="222"/>
      <c r="EOV8" s="222"/>
      <c r="EOW8" s="222"/>
      <c r="EOX8" s="222"/>
      <c r="EOY8" s="222"/>
      <c r="EOZ8" s="222"/>
      <c r="EPA8" s="222"/>
      <c r="EPB8" s="222"/>
      <c r="EPC8" s="222"/>
      <c r="EPD8" s="222"/>
      <c r="EPE8" s="222"/>
      <c r="EPF8" s="222"/>
      <c r="EPG8" s="222"/>
      <c r="EPH8" s="222"/>
      <c r="EPI8" s="222"/>
      <c r="EPJ8" s="222"/>
      <c r="EPK8" s="222"/>
      <c r="EPL8" s="222"/>
      <c r="EPM8" s="222"/>
      <c r="EPN8" s="222"/>
      <c r="EPO8" s="222"/>
      <c r="EPP8" s="222"/>
      <c r="EPQ8" s="222"/>
      <c r="EPR8" s="222"/>
      <c r="EPS8" s="222"/>
      <c r="EPT8" s="222"/>
      <c r="EPU8" s="222"/>
      <c r="EPV8" s="222"/>
      <c r="EPW8" s="222"/>
      <c r="EPX8" s="222"/>
      <c r="EPY8" s="222"/>
      <c r="EPZ8" s="222"/>
      <c r="EQA8" s="222"/>
      <c r="EQB8" s="222"/>
      <c r="EQC8" s="222"/>
      <c r="EQD8" s="222"/>
      <c r="EQE8" s="222"/>
      <c r="EQF8" s="222"/>
      <c r="EQG8" s="222"/>
      <c r="EQH8" s="222"/>
      <c r="EQI8" s="222"/>
      <c r="EQJ8" s="222"/>
      <c r="EQK8" s="222"/>
      <c r="EQL8" s="222"/>
      <c r="EQM8" s="222"/>
      <c r="EQN8" s="222"/>
      <c r="EQO8" s="222"/>
      <c r="EQP8" s="222"/>
      <c r="EQQ8" s="222"/>
      <c r="EQR8" s="222"/>
      <c r="EQS8" s="222"/>
      <c r="EQT8" s="222"/>
      <c r="EQU8" s="222"/>
      <c r="EQV8" s="222"/>
      <c r="EQW8" s="222"/>
      <c r="EQX8" s="222"/>
      <c r="EQY8" s="222"/>
      <c r="EQZ8" s="222"/>
      <c r="ERA8" s="222"/>
      <c r="ERB8" s="222"/>
      <c r="ERC8" s="222"/>
      <c r="ERD8" s="222"/>
      <c r="ERE8" s="222"/>
      <c r="ERF8" s="222"/>
      <c r="ERG8" s="222"/>
      <c r="ERH8" s="222"/>
      <c r="ERI8" s="222"/>
      <c r="ERJ8" s="222"/>
      <c r="ERK8" s="222"/>
      <c r="ERL8" s="222"/>
      <c r="ERM8" s="222"/>
      <c r="ERN8" s="222"/>
      <c r="ERO8" s="222"/>
      <c r="ERP8" s="222"/>
      <c r="ERQ8" s="222"/>
      <c r="ERR8" s="222"/>
      <c r="ERS8" s="222"/>
      <c r="ERT8" s="222"/>
      <c r="ERU8" s="222"/>
      <c r="ERV8" s="222"/>
      <c r="ERW8" s="222"/>
      <c r="ERX8" s="222"/>
      <c r="ERY8" s="222"/>
      <c r="ERZ8" s="222"/>
      <c r="ESA8" s="222"/>
      <c r="ESB8" s="222"/>
      <c r="ESC8" s="222"/>
      <c r="ESD8" s="222"/>
      <c r="ESE8" s="222"/>
      <c r="ESF8" s="222"/>
      <c r="ESG8" s="222"/>
      <c r="ESH8" s="222"/>
      <c r="ESI8" s="222"/>
      <c r="ESJ8" s="222"/>
      <c r="ESK8" s="222"/>
      <c r="ESL8" s="222"/>
      <c r="ESM8" s="222"/>
      <c r="ESN8" s="222"/>
      <c r="ESO8" s="222"/>
      <c r="ESP8" s="222"/>
      <c r="ESQ8" s="222"/>
      <c r="ESR8" s="222"/>
      <c r="ESS8" s="222"/>
      <c r="EST8" s="222"/>
      <c r="ESU8" s="222"/>
      <c r="ESV8" s="222"/>
      <c r="ESW8" s="222"/>
      <c r="ESX8" s="222"/>
      <c r="ESY8" s="222"/>
      <c r="ESZ8" s="222"/>
      <c r="ETA8" s="222"/>
      <c r="ETB8" s="222"/>
      <c r="ETC8" s="222"/>
      <c r="ETD8" s="222"/>
      <c r="ETE8" s="222"/>
      <c r="ETF8" s="222"/>
      <c r="ETG8" s="222"/>
      <c r="ETH8" s="222"/>
      <c r="ETI8" s="222"/>
      <c r="ETJ8" s="222"/>
      <c r="ETK8" s="222"/>
      <c r="ETL8" s="222"/>
      <c r="ETM8" s="222"/>
      <c r="ETN8" s="222"/>
      <c r="ETO8" s="222"/>
      <c r="ETP8" s="222"/>
      <c r="ETQ8" s="222"/>
      <c r="ETR8" s="222"/>
      <c r="ETS8" s="222"/>
      <c r="ETT8" s="222"/>
      <c r="ETU8" s="222"/>
      <c r="ETV8" s="222"/>
      <c r="ETW8" s="222"/>
      <c r="ETX8" s="222"/>
      <c r="ETY8" s="222"/>
      <c r="ETZ8" s="222"/>
      <c r="EUA8" s="222"/>
      <c r="EUB8" s="222"/>
      <c r="EUC8" s="222"/>
      <c r="EUD8" s="222"/>
      <c r="EUE8" s="222"/>
      <c r="EUF8" s="222"/>
      <c r="EUG8" s="222"/>
      <c r="EUH8" s="222"/>
      <c r="EUI8" s="222"/>
      <c r="EUJ8" s="222"/>
      <c r="EUK8" s="222"/>
      <c r="EUL8" s="222"/>
      <c r="EUM8" s="222"/>
      <c r="EUN8" s="222"/>
      <c r="EUO8" s="222"/>
      <c r="EUP8" s="222"/>
      <c r="EUQ8" s="222"/>
      <c r="EUR8" s="222"/>
      <c r="EUS8" s="222"/>
      <c r="EUT8" s="222"/>
      <c r="EUU8" s="222"/>
      <c r="EUV8" s="222"/>
      <c r="EUW8" s="222"/>
      <c r="EUX8" s="222"/>
      <c r="EUY8" s="222"/>
      <c r="EUZ8" s="222"/>
      <c r="EVA8" s="222"/>
      <c r="EVB8" s="222"/>
      <c r="EVC8" s="222"/>
      <c r="EVD8" s="222"/>
      <c r="EVE8" s="222"/>
      <c r="EVF8" s="222"/>
      <c r="EVG8" s="222"/>
      <c r="EVH8" s="222"/>
      <c r="EVI8" s="222"/>
      <c r="EVJ8" s="222"/>
      <c r="EVK8" s="222"/>
      <c r="EVL8" s="222"/>
      <c r="EVM8" s="222"/>
      <c r="EVN8" s="222"/>
      <c r="EVO8" s="222"/>
      <c r="EVP8" s="222"/>
      <c r="EVQ8" s="222"/>
      <c r="EVR8" s="222"/>
      <c r="EVS8" s="222"/>
      <c r="EVT8" s="222"/>
      <c r="EVU8" s="222"/>
      <c r="EVV8" s="222"/>
      <c r="EVW8" s="222"/>
      <c r="EVX8" s="222"/>
      <c r="EVY8" s="222"/>
      <c r="EVZ8" s="222"/>
      <c r="EWA8" s="222"/>
      <c r="EWB8" s="222"/>
      <c r="EWC8" s="222"/>
      <c r="EWD8" s="222"/>
      <c r="EWE8" s="222"/>
      <c r="EWF8" s="222"/>
      <c r="EWG8" s="222"/>
      <c r="EWH8" s="222"/>
      <c r="EWI8" s="222"/>
      <c r="EWJ8" s="222"/>
      <c r="EWK8" s="222"/>
      <c r="EWL8" s="222"/>
      <c r="EWM8" s="222"/>
      <c r="EWN8" s="222"/>
      <c r="EWO8" s="222"/>
      <c r="EWP8" s="222"/>
      <c r="EWQ8" s="222"/>
      <c r="EWR8" s="222"/>
      <c r="EWS8" s="222"/>
      <c r="EWT8" s="222"/>
      <c r="EWU8" s="222"/>
      <c r="EWV8" s="222"/>
      <c r="EWW8" s="222"/>
      <c r="EWX8" s="222"/>
      <c r="EWY8" s="222"/>
      <c r="EWZ8" s="222"/>
      <c r="EXA8" s="222"/>
      <c r="EXB8" s="222"/>
      <c r="EXC8" s="222"/>
      <c r="EXD8" s="222"/>
      <c r="EXE8" s="222"/>
      <c r="EXF8" s="222"/>
      <c r="EXG8" s="222"/>
      <c r="EXH8" s="222"/>
      <c r="EXI8" s="222"/>
      <c r="EXJ8" s="222"/>
      <c r="EXK8" s="222"/>
      <c r="EXL8" s="222"/>
      <c r="EXM8" s="222"/>
      <c r="EXN8" s="222"/>
      <c r="EXO8" s="222"/>
      <c r="EXP8" s="222"/>
      <c r="EXQ8" s="222"/>
      <c r="EXR8" s="222"/>
      <c r="EXS8" s="222"/>
      <c r="EXT8" s="222"/>
      <c r="EXU8" s="222"/>
      <c r="EXV8" s="222"/>
      <c r="EXW8" s="222"/>
      <c r="EXX8" s="222"/>
      <c r="EXY8" s="222"/>
      <c r="EXZ8" s="222"/>
      <c r="EYA8" s="222"/>
      <c r="EYB8" s="222"/>
      <c r="EYC8" s="222"/>
      <c r="EYD8" s="222"/>
      <c r="EYE8" s="222"/>
      <c r="EYF8" s="222"/>
      <c r="EYG8" s="222"/>
      <c r="EYH8" s="222"/>
      <c r="EYI8" s="222"/>
      <c r="EYJ8" s="222"/>
      <c r="EYK8" s="222"/>
      <c r="EYL8" s="222"/>
      <c r="EYM8" s="222"/>
      <c r="EYN8" s="222"/>
      <c r="EYO8" s="222"/>
      <c r="EYP8" s="222"/>
      <c r="EYQ8" s="222"/>
      <c r="EYR8" s="222"/>
      <c r="EYS8" s="222"/>
      <c r="EYT8" s="222"/>
      <c r="EYU8" s="222"/>
      <c r="EYV8" s="222"/>
      <c r="EYW8" s="222"/>
      <c r="EYX8" s="222"/>
      <c r="EYY8" s="222"/>
      <c r="EYZ8" s="222"/>
      <c r="EZA8" s="222"/>
      <c r="EZB8" s="222"/>
      <c r="EZC8" s="222"/>
      <c r="EZD8" s="222"/>
      <c r="EZE8" s="222"/>
      <c r="EZF8" s="222"/>
      <c r="EZG8" s="222"/>
      <c r="EZH8" s="222"/>
      <c r="EZI8" s="222"/>
      <c r="EZJ8" s="222"/>
      <c r="EZK8" s="222"/>
      <c r="EZL8" s="222"/>
      <c r="EZM8" s="222"/>
      <c r="EZN8" s="222"/>
      <c r="EZO8" s="222"/>
      <c r="EZP8" s="222"/>
      <c r="EZQ8" s="222"/>
      <c r="EZR8" s="222"/>
      <c r="EZS8" s="222"/>
      <c r="EZT8" s="222"/>
      <c r="EZU8" s="222"/>
      <c r="EZV8" s="222"/>
      <c r="EZW8" s="222"/>
      <c r="EZX8" s="222"/>
      <c r="EZY8" s="222"/>
      <c r="EZZ8" s="222"/>
      <c r="FAA8" s="222"/>
      <c r="FAB8" s="222"/>
      <c r="FAC8" s="222"/>
      <c r="FAD8" s="222"/>
      <c r="FAE8" s="222"/>
      <c r="FAF8" s="222"/>
      <c r="FAG8" s="222"/>
      <c r="FAH8" s="222"/>
      <c r="FAI8" s="222"/>
      <c r="FAJ8" s="222"/>
      <c r="FAK8" s="222"/>
      <c r="FAL8" s="222"/>
      <c r="FAM8" s="222"/>
      <c r="FAN8" s="222"/>
      <c r="FAO8" s="222"/>
      <c r="FAP8" s="222"/>
      <c r="FAQ8" s="222"/>
      <c r="FAR8" s="222"/>
      <c r="FAS8" s="222"/>
      <c r="FAT8" s="222"/>
      <c r="FAU8" s="222"/>
      <c r="FAV8" s="222"/>
      <c r="FAW8" s="222"/>
      <c r="FAX8" s="222"/>
      <c r="FAY8" s="222"/>
      <c r="FAZ8" s="222"/>
      <c r="FBA8" s="222"/>
      <c r="FBB8" s="222"/>
      <c r="FBC8" s="222"/>
      <c r="FBD8" s="222"/>
      <c r="FBE8" s="222"/>
      <c r="FBF8" s="222"/>
      <c r="FBG8" s="222"/>
      <c r="FBH8" s="222"/>
      <c r="FBI8" s="222"/>
      <c r="FBJ8" s="222"/>
      <c r="FBK8" s="222"/>
      <c r="FBL8" s="222"/>
      <c r="FBM8" s="222"/>
      <c r="FBN8" s="222"/>
      <c r="FBO8" s="222"/>
      <c r="FBP8" s="222"/>
      <c r="FBQ8" s="222"/>
      <c r="FBR8" s="222"/>
      <c r="FBS8" s="222"/>
      <c r="FBT8" s="222"/>
      <c r="FBU8" s="222"/>
      <c r="FBV8" s="222"/>
      <c r="FBW8" s="222"/>
      <c r="FBX8" s="222"/>
      <c r="FBY8" s="222"/>
      <c r="FBZ8" s="222"/>
      <c r="FCA8" s="222"/>
      <c r="FCB8" s="222"/>
      <c r="FCC8" s="222"/>
      <c r="FCD8" s="222"/>
      <c r="FCE8" s="222"/>
      <c r="FCF8" s="222"/>
      <c r="FCG8" s="222"/>
      <c r="FCH8" s="222"/>
      <c r="FCI8" s="222"/>
      <c r="FCJ8" s="222"/>
      <c r="FCK8" s="222"/>
      <c r="FCL8" s="222"/>
      <c r="FCM8" s="222"/>
      <c r="FCN8" s="222"/>
      <c r="FCO8" s="222"/>
      <c r="FCP8" s="222"/>
      <c r="FCQ8" s="222"/>
      <c r="FCR8" s="222"/>
      <c r="FCS8" s="222"/>
      <c r="FCT8" s="222"/>
      <c r="FCU8" s="222"/>
      <c r="FCV8" s="222"/>
      <c r="FCW8" s="222"/>
      <c r="FCX8" s="222"/>
      <c r="FCY8" s="222"/>
      <c r="FCZ8" s="222"/>
      <c r="FDA8" s="222"/>
      <c r="FDB8" s="222"/>
      <c r="FDC8" s="222"/>
      <c r="FDD8" s="222"/>
      <c r="FDE8" s="222"/>
      <c r="FDF8" s="222"/>
      <c r="FDG8" s="222"/>
      <c r="FDH8" s="222"/>
      <c r="FDI8" s="222"/>
      <c r="FDJ8" s="222"/>
      <c r="FDK8" s="222"/>
      <c r="FDL8" s="222"/>
      <c r="FDM8" s="222"/>
      <c r="FDN8" s="222"/>
      <c r="FDO8" s="222"/>
      <c r="FDP8" s="222"/>
      <c r="FDQ8" s="222"/>
      <c r="FDR8" s="222"/>
      <c r="FDS8" s="222"/>
      <c r="FDT8" s="222"/>
      <c r="FDU8" s="222"/>
      <c r="FDV8" s="222"/>
      <c r="FDW8" s="222"/>
      <c r="FDX8" s="222"/>
      <c r="FDY8" s="222"/>
      <c r="FDZ8" s="222"/>
      <c r="FEA8" s="222"/>
      <c r="FEB8" s="222"/>
      <c r="FEC8" s="222"/>
      <c r="FED8" s="222"/>
      <c r="FEE8" s="222"/>
      <c r="FEF8" s="222"/>
      <c r="FEG8" s="222"/>
      <c r="FEH8" s="222"/>
      <c r="FEI8" s="222"/>
      <c r="FEJ8" s="222"/>
      <c r="FEK8" s="222"/>
      <c r="FEL8" s="222"/>
      <c r="FEM8" s="222"/>
      <c r="FEN8" s="222"/>
      <c r="FEO8" s="222"/>
      <c r="FEP8" s="222"/>
      <c r="FEQ8" s="222"/>
      <c r="FER8" s="222"/>
      <c r="FES8" s="222"/>
      <c r="FET8" s="222"/>
      <c r="FEU8" s="222"/>
      <c r="FEV8" s="222"/>
      <c r="FEW8" s="222"/>
      <c r="FEX8" s="222"/>
      <c r="FEY8" s="222"/>
      <c r="FEZ8" s="222"/>
      <c r="FFA8" s="222"/>
      <c r="FFB8" s="222"/>
      <c r="FFC8" s="222"/>
      <c r="FFD8" s="222"/>
      <c r="FFE8" s="222"/>
      <c r="FFF8" s="222"/>
      <c r="FFG8" s="222"/>
      <c r="FFH8" s="222"/>
      <c r="FFI8" s="222"/>
      <c r="FFJ8" s="222"/>
      <c r="FFK8" s="222"/>
      <c r="FFL8" s="222"/>
      <c r="FFM8" s="222"/>
      <c r="FFN8" s="222"/>
      <c r="FFO8" s="222"/>
      <c r="FFP8" s="222"/>
      <c r="FFQ8" s="222"/>
      <c r="FFR8" s="222"/>
      <c r="FFS8" s="222"/>
      <c r="FFT8" s="222"/>
      <c r="FFU8" s="222"/>
      <c r="FFV8" s="222"/>
      <c r="FFW8" s="222"/>
      <c r="FFX8" s="222"/>
      <c r="FFY8" s="222"/>
      <c r="FFZ8" s="222"/>
      <c r="FGA8" s="222"/>
      <c r="FGB8" s="222"/>
      <c r="FGC8" s="222"/>
      <c r="FGD8" s="222"/>
      <c r="FGE8" s="222"/>
      <c r="FGF8" s="222"/>
      <c r="FGG8" s="222"/>
      <c r="FGH8" s="222"/>
      <c r="FGI8" s="222"/>
      <c r="FGJ8" s="222"/>
      <c r="FGK8" s="222"/>
      <c r="FGL8" s="222"/>
      <c r="FGM8" s="222"/>
      <c r="FGN8" s="222"/>
      <c r="FGO8" s="222"/>
      <c r="FGP8" s="222"/>
      <c r="FGQ8" s="222"/>
      <c r="FGR8" s="222"/>
      <c r="FGS8" s="222"/>
      <c r="FGT8" s="222"/>
      <c r="FGU8" s="222"/>
      <c r="FGV8" s="222"/>
      <c r="FGW8" s="222"/>
      <c r="FGX8" s="222"/>
      <c r="FGY8" s="222"/>
      <c r="FGZ8" s="222"/>
      <c r="FHA8" s="222"/>
      <c r="FHB8" s="222"/>
      <c r="FHC8" s="222"/>
      <c r="FHD8" s="222"/>
      <c r="FHE8" s="222"/>
      <c r="FHF8" s="222"/>
      <c r="FHG8" s="222"/>
      <c r="FHH8" s="222"/>
      <c r="FHI8" s="222"/>
      <c r="FHJ8" s="222"/>
      <c r="FHK8" s="222"/>
      <c r="FHL8" s="222"/>
      <c r="FHM8" s="222"/>
      <c r="FHN8" s="222"/>
      <c r="FHO8" s="222"/>
      <c r="FHP8" s="222"/>
      <c r="FHQ8" s="222"/>
      <c r="FHR8" s="222"/>
      <c r="FHS8" s="222"/>
      <c r="FHT8" s="222"/>
      <c r="FHU8" s="222"/>
      <c r="FHV8" s="222"/>
      <c r="FHW8" s="222"/>
      <c r="FHX8" s="222"/>
      <c r="FHY8" s="222"/>
      <c r="FHZ8" s="222"/>
      <c r="FIA8" s="222"/>
      <c r="FIB8" s="222"/>
      <c r="FIC8" s="222"/>
      <c r="FID8" s="222"/>
      <c r="FIE8" s="222"/>
      <c r="FIF8" s="222"/>
      <c r="FIG8" s="222"/>
      <c r="FIH8" s="222"/>
      <c r="FII8" s="222"/>
      <c r="FIJ8" s="222"/>
      <c r="FIK8" s="222"/>
      <c r="FIL8" s="222"/>
      <c r="FIM8" s="222"/>
      <c r="FIN8" s="222"/>
      <c r="FIO8" s="222"/>
      <c r="FIP8" s="222"/>
      <c r="FIQ8" s="222"/>
      <c r="FIR8" s="222"/>
      <c r="FIS8" s="222"/>
      <c r="FIT8" s="222"/>
      <c r="FIU8" s="222"/>
      <c r="FIV8" s="222"/>
      <c r="FIW8" s="222"/>
      <c r="FIX8" s="222"/>
      <c r="FIY8" s="222"/>
      <c r="FIZ8" s="222"/>
      <c r="FJA8" s="222"/>
      <c r="FJB8" s="222"/>
      <c r="FJC8" s="222"/>
      <c r="FJD8" s="222"/>
      <c r="FJE8" s="222"/>
      <c r="FJF8" s="222"/>
      <c r="FJG8" s="222"/>
      <c r="FJH8" s="222"/>
      <c r="FJI8" s="222"/>
      <c r="FJJ8" s="222"/>
      <c r="FJK8" s="222"/>
      <c r="FJL8" s="222"/>
      <c r="FJM8" s="222"/>
      <c r="FJN8" s="222"/>
      <c r="FJO8" s="222"/>
      <c r="FJP8" s="222"/>
      <c r="FJQ8" s="222"/>
      <c r="FJR8" s="222"/>
      <c r="FJS8" s="222"/>
      <c r="FJT8" s="222"/>
      <c r="FJU8" s="222"/>
      <c r="FJV8" s="222"/>
      <c r="FJW8" s="222"/>
      <c r="FJX8" s="222"/>
      <c r="FJY8" s="222"/>
      <c r="FJZ8" s="222"/>
      <c r="FKA8" s="222"/>
      <c r="FKB8" s="222"/>
      <c r="FKC8" s="222"/>
      <c r="FKD8" s="222"/>
      <c r="FKE8" s="222"/>
      <c r="FKF8" s="222"/>
      <c r="FKG8" s="222"/>
      <c r="FKH8" s="222"/>
      <c r="FKI8" s="222"/>
      <c r="FKJ8" s="222"/>
      <c r="FKK8" s="222"/>
      <c r="FKL8" s="222"/>
      <c r="FKM8" s="222"/>
      <c r="FKN8" s="222"/>
      <c r="FKO8" s="222"/>
      <c r="FKP8" s="222"/>
      <c r="FKQ8" s="222"/>
      <c r="FKR8" s="222"/>
      <c r="FKS8" s="222"/>
      <c r="FKT8" s="222"/>
      <c r="FKU8" s="222"/>
      <c r="FKV8" s="222"/>
      <c r="FKW8" s="222"/>
      <c r="FKX8" s="222"/>
      <c r="FKY8" s="222"/>
      <c r="FKZ8" s="222"/>
      <c r="FLA8" s="222"/>
      <c r="FLB8" s="222"/>
      <c r="FLC8" s="222"/>
      <c r="FLD8" s="222"/>
      <c r="FLE8" s="222"/>
      <c r="FLF8" s="222"/>
      <c r="FLG8" s="222"/>
      <c r="FLH8" s="222"/>
      <c r="FLI8" s="222"/>
      <c r="FLJ8" s="222"/>
      <c r="FLK8" s="222"/>
      <c r="FLL8" s="222"/>
      <c r="FLM8" s="222"/>
      <c r="FLN8" s="222"/>
      <c r="FLO8" s="222"/>
      <c r="FLP8" s="222"/>
      <c r="FLQ8" s="222"/>
      <c r="FLR8" s="222"/>
      <c r="FLS8" s="222"/>
      <c r="FLT8" s="222"/>
      <c r="FLU8" s="222"/>
      <c r="FLV8" s="222"/>
      <c r="FLW8" s="222"/>
      <c r="FLX8" s="222"/>
      <c r="FLY8" s="222"/>
      <c r="FLZ8" s="222"/>
      <c r="FMA8" s="222"/>
      <c r="FMB8" s="222"/>
      <c r="FMC8" s="222"/>
      <c r="FMD8" s="222"/>
      <c r="FME8" s="222"/>
      <c r="FMF8" s="222"/>
      <c r="FMG8" s="222"/>
      <c r="FMH8" s="222"/>
      <c r="FMI8" s="222"/>
      <c r="FMJ8" s="222"/>
      <c r="FMK8" s="222"/>
      <c r="FML8" s="222"/>
      <c r="FMM8" s="222"/>
      <c r="FMN8" s="222"/>
      <c r="FMO8" s="222"/>
      <c r="FMP8" s="222"/>
      <c r="FMQ8" s="222"/>
      <c r="FMR8" s="222"/>
      <c r="FMS8" s="222"/>
      <c r="FMT8" s="222"/>
      <c r="FMU8" s="222"/>
      <c r="FMV8" s="222"/>
      <c r="FMW8" s="222"/>
      <c r="FMX8" s="222"/>
      <c r="FMY8" s="222"/>
      <c r="FMZ8" s="222"/>
      <c r="FNA8" s="222"/>
      <c r="FNB8" s="222"/>
      <c r="FNC8" s="222"/>
      <c r="FND8" s="222"/>
      <c r="FNE8" s="222"/>
      <c r="FNF8" s="222"/>
      <c r="FNG8" s="222"/>
      <c r="FNH8" s="222"/>
      <c r="FNI8" s="222"/>
      <c r="FNJ8" s="222"/>
      <c r="FNK8" s="222"/>
      <c r="FNL8" s="222"/>
      <c r="FNM8" s="222"/>
      <c r="FNN8" s="222"/>
      <c r="FNO8" s="222"/>
      <c r="FNP8" s="222"/>
      <c r="FNQ8" s="222"/>
      <c r="FNR8" s="222"/>
      <c r="FNS8" s="222"/>
      <c r="FNT8" s="222"/>
      <c r="FNU8" s="222"/>
      <c r="FNV8" s="222"/>
      <c r="FNW8" s="222"/>
      <c r="FNX8" s="222"/>
      <c r="FNY8" s="222"/>
      <c r="FNZ8" s="222"/>
      <c r="FOA8" s="222"/>
      <c r="FOB8" s="222"/>
      <c r="FOC8" s="222"/>
      <c r="FOD8" s="222"/>
      <c r="FOE8" s="222"/>
      <c r="FOF8" s="222"/>
      <c r="FOG8" s="222"/>
      <c r="FOH8" s="222"/>
      <c r="FOI8" s="222"/>
      <c r="FOJ8" s="222"/>
      <c r="FOK8" s="222"/>
      <c r="FOL8" s="222"/>
      <c r="FOM8" s="222"/>
      <c r="FON8" s="222"/>
      <c r="FOO8" s="222"/>
      <c r="FOP8" s="222"/>
      <c r="FOQ8" s="222"/>
      <c r="FOR8" s="222"/>
      <c r="FOS8" s="222"/>
      <c r="FOT8" s="222"/>
      <c r="FOU8" s="222"/>
      <c r="FOV8" s="222"/>
      <c r="FOW8" s="222"/>
      <c r="FOX8" s="222"/>
      <c r="FOY8" s="222"/>
      <c r="FOZ8" s="222"/>
      <c r="FPA8" s="222"/>
      <c r="FPB8" s="222"/>
      <c r="FPC8" s="222"/>
      <c r="FPD8" s="222"/>
      <c r="FPE8" s="222"/>
      <c r="FPF8" s="222"/>
      <c r="FPG8" s="222"/>
      <c r="FPH8" s="222"/>
      <c r="FPI8" s="222"/>
      <c r="FPJ8" s="222"/>
      <c r="FPK8" s="222"/>
      <c r="FPL8" s="222"/>
      <c r="FPM8" s="222"/>
      <c r="FPN8" s="222"/>
      <c r="FPO8" s="222"/>
      <c r="FPP8" s="222"/>
      <c r="FPQ8" s="222"/>
      <c r="FPR8" s="222"/>
      <c r="FPS8" s="222"/>
      <c r="FPT8" s="222"/>
      <c r="FPU8" s="222"/>
      <c r="FPV8" s="222"/>
      <c r="FPW8" s="222"/>
      <c r="FPX8" s="222"/>
      <c r="FPY8" s="222"/>
      <c r="FPZ8" s="222"/>
      <c r="FQA8" s="222"/>
      <c r="FQB8" s="222"/>
      <c r="FQC8" s="222"/>
      <c r="FQD8" s="222"/>
      <c r="FQE8" s="222"/>
      <c r="FQF8" s="222"/>
      <c r="FQG8" s="222"/>
      <c r="FQH8" s="222"/>
      <c r="FQI8" s="222"/>
      <c r="FQJ8" s="222"/>
      <c r="FQK8" s="222"/>
      <c r="FQL8" s="222"/>
      <c r="FQM8" s="222"/>
      <c r="FQN8" s="222"/>
      <c r="FQO8" s="222"/>
      <c r="FQP8" s="222"/>
      <c r="FQQ8" s="222"/>
      <c r="FQR8" s="222"/>
      <c r="FQS8" s="222"/>
      <c r="FQT8" s="222"/>
      <c r="FQU8" s="222"/>
      <c r="FQV8" s="222"/>
      <c r="FQW8" s="222"/>
      <c r="FQX8" s="222"/>
      <c r="FQY8" s="222"/>
      <c r="FQZ8" s="222"/>
      <c r="FRA8" s="222"/>
      <c r="FRB8" s="222"/>
      <c r="FRC8" s="222"/>
      <c r="FRD8" s="222"/>
      <c r="FRE8" s="222"/>
      <c r="FRF8" s="222"/>
      <c r="FRG8" s="222"/>
      <c r="FRH8" s="222"/>
      <c r="FRI8" s="222"/>
      <c r="FRJ8" s="222"/>
      <c r="FRK8" s="222"/>
      <c r="FRL8" s="222"/>
      <c r="FRM8" s="222"/>
      <c r="FRN8" s="222"/>
      <c r="FRO8" s="222"/>
      <c r="FRP8" s="222"/>
      <c r="FRQ8" s="222"/>
      <c r="FRR8" s="222"/>
      <c r="FRS8" s="222"/>
      <c r="FRT8" s="222"/>
      <c r="FRU8" s="222"/>
      <c r="FRV8" s="222"/>
      <c r="FRW8" s="222"/>
      <c r="FRX8" s="222"/>
      <c r="FRY8" s="222"/>
      <c r="FRZ8" s="222"/>
      <c r="FSA8" s="222"/>
      <c r="FSB8" s="222"/>
      <c r="FSC8" s="222"/>
      <c r="FSD8" s="222"/>
      <c r="FSE8" s="222"/>
      <c r="FSF8" s="222"/>
      <c r="FSG8" s="222"/>
      <c r="FSH8" s="222"/>
      <c r="FSI8" s="222"/>
      <c r="FSJ8" s="222"/>
      <c r="FSK8" s="222"/>
      <c r="FSL8" s="222"/>
      <c r="FSM8" s="222"/>
      <c r="FSN8" s="222"/>
      <c r="FSO8" s="222"/>
      <c r="FSP8" s="222"/>
      <c r="FSQ8" s="222"/>
      <c r="FSR8" s="222"/>
      <c r="FSS8" s="222"/>
      <c r="FST8" s="222"/>
      <c r="FSU8" s="222"/>
      <c r="FSV8" s="222"/>
      <c r="FSW8" s="222"/>
      <c r="FSX8" s="222"/>
      <c r="FSY8" s="222"/>
      <c r="FSZ8" s="222"/>
      <c r="FTA8" s="222"/>
      <c r="FTB8" s="222"/>
      <c r="FTC8" s="222"/>
      <c r="FTD8" s="222"/>
      <c r="FTE8" s="222"/>
      <c r="FTF8" s="222"/>
      <c r="FTG8" s="222"/>
      <c r="FTH8" s="222"/>
      <c r="FTI8" s="222"/>
      <c r="FTJ8" s="222"/>
      <c r="FTK8" s="222"/>
      <c r="FTL8" s="222"/>
      <c r="FTM8" s="222"/>
      <c r="FTN8" s="222"/>
      <c r="FTO8" s="222"/>
      <c r="FTP8" s="222"/>
      <c r="FTQ8" s="222"/>
      <c r="FTR8" s="222"/>
      <c r="FTS8" s="222"/>
      <c r="FTT8" s="222"/>
      <c r="FTU8" s="222"/>
      <c r="FTV8" s="222"/>
      <c r="FTW8" s="222"/>
      <c r="FTX8" s="222"/>
      <c r="FTY8" s="222"/>
      <c r="FTZ8" s="222"/>
      <c r="FUA8" s="222"/>
      <c r="FUB8" s="222"/>
      <c r="FUC8" s="222"/>
      <c r="FUD8" s="222"/>
      <c r="FUE8" s="222"/>
      <c r="FUF8" s="222"/>
      <c r="FUG8" s="222"/>
      <c r="FUH8" s="222"/>
      <c r="FUI8" s="222"/>
      <c r="FUJ8" s="222"/>
      <c r="FUK8" s="222"/>
      <c r="FUL8" s="222"/>
      <c r="FUM8" s="222"/>
      <c r="FUN8" s="222"/>
      <c r="FUO8" s="222"/>
      <c r="FUP8" s="222"/>
      <c r="FUQ8" s="222"/>
      <c r="FUR8" s="222"/>
      <c r="FUS8" s="222"/>
      <c r="FUT8" s="222"/>
      <c r="FUU8" s="222"/>
      <c r="FUV8" s="222"/>
      <c r="FUW8" s="222"/>
      <c r="FUX8" s="222"/>
      <c r="FUY8" s="222"/>
      <c r="FUZ8" s="222"/>
      <c r="FVA8" s="222"/>
      <c r="FVB8" s="222"/>
      <c r="FVC8" s="222"/>
      <c r="FVD8" s="222"/>
      <c r="FVE8" s="222"/>
      <c r="FVF8" s="222"/>
      <c r="FVG8" s="222"/>
      <c r="FVH8" s="222"/>
      <c r="FVI8" s="222"/>
      <c r="FVJ8" s="222"/>
      <c r="FVK8" s="222"/>
      <c r="FVL8" s="222"/>
      <c r="FVM8" s="222"/>
      <c r="FVN8" s="222"/>
      <c r="FVO8" s="222"/>
      <c r="FVP8" s="222"/>
      <c r="FVQ8" s="222"/>
      <c r="FVR8" s="222"/>
      <c r="FVS8" s="222"/>
      <c r="FVT8" s="222"/>
      <c r="FVU8" s="222"/>
      <c r="FVV8" s="222"/>
      <c r="FVW8" s="222"/>
      <c r="FVX8" s="222"/>
      <c r="FVY8" s="222"/>
      <c r="FVZ8" s="222"/>
      <c r="FWA8" s="222"/>
      <c r="FWB8" s="222"/>
      <c r="FWC8" s="222"/>
      <c r="FWD8" s="222"/>
      <c r="FWE8" s="222"/>
      <c r="FWF8" s="222"/>
      <c r="FWG8" s="222"/>
      <c r="FWH8" s="222"/>
      <c r="FWI8" s="222"/>
      <c r="FWJ8" s="222"/>
      <c r="FWK8" s="222"/>
      <c r="FWL8" s="222"/>
      <c r="FWM8" s="222"/>
      <c r="FWN8" s="222"/>
      <c r="FWO8" s="222"/>
      <c r="FWP8" s="222"/>
      <c r="FWQ8" s="222"/>
      <c r="FWR8" s="222"/>
      <c r="FWS8" s="222"/>
      <c r="FWT8" s="222"/>
      <c r="FWU8" s="222"/>
      <c r="FWV8" s="222"/>
      <c r="FWW8" s="222"/>
      <c r="FWX8" s="222"/>
      <c r="FWY8" s="222"/>
      <c r="FWZ8" s="222"/>
      <c r="FXA8" s="222"/>
      <c r="FXB8" s="222"/>
      <c r="FXC8" s="222"/>
      <c r="FXD8" s="222"/>
      <c r="FXE8" s="222"/>
      <c r="FXF8" s="222"/>
      <c r="FXG8" s="222"/>
      <c r="FXH8" s="222"/>
      <c r="FXI8" s="222"/>
      <c r="FXJ8" s="222"/>
      <c r="FXK8" s="222"/>
      <c r="FXL8" s="222"/>
      <c r="FXM8" s="222"/>
      <c r="FXN8" s="222"/>
      <c r="FXO8" s="222"/>
      <c r="FXP8" s="222"/>
      <c r="FXQ8" s="222"/>
      <c r="FXR8" s="222"/>
      <c r="FXS8" s="222"/>
      <c r="FXT8" s="222"/>
      <c r="FXU8" s="222"/>
      <c r="FXV8" s="222"/>
      <c r="FXW8" s="222"/>
      <c r="FXX8" s="222"/>
      <c r="FXY8" s="222"/>
      <c r="FXZ8" s="222"/>
      <c r="FYA8" s="222"/>
      <c r="FYB8" s="222"/>
      <c r="FYC8" s="222"/>
      <c r="FYD8" s="222"/>
      <c r="FYE8" s="222"/>
      <c r="FYF8" s="222"/>
      <c r="FYG8" s="222"/>
      <c r="FYH8" s="222"/>
      <c r="FYI8" s="222"/>
      <c r="FYJ8" s="222"/>
      <c r="FYK8" s="222"/>
      <c r="FYL8" s="222"/>
      <c r="FYM8" s="222"/>
      <c r="FYN8" s="222"/>
      <c r="FYO8" s="222"/>
      <c r="FYP8" s="222"/>
      <c r="FYQ8" s="222"/>
      <c r="FYR8" s="222"/>
      <c r="FYS8" s="222"/>
      <c r="FYT8" s="222"/>
      <c r="FYU8" s="222"/>
      <c r="FYV8" s="222"/>
      <c r="FYW8" s="222"/>
      <c r="FYX8" s="222"/>
      <c r="FYY8" s="222"/>
      <c r="FYZ8" s="222"/>
      <c r="FZA8" s="222"/>
      <c r="FZB8" s="222"/>
      <c r="FZC8" s="222"/>
      <c r="FZD8" s="222"/>
      <c r="FZE8" s="222"/>
      <c r="FZF8" s="222"/>
      <c r="FZG8" s="222"/>
      <c r="FZH8" s="222"/>
      <c r="FZI8" s="222"/>
      <c r="FZJ8" s="222"/>
      <c r="FZK8" s="222"/>
      <c r="FZL8" s="222"/>
      <c r="FZM8" s="222"/>
      <c r="FZN8" s="222"/>
      <c r="FZO8" s="222"/>
      <c r="FZP8" s="222"/>
      <c r="FZQ8" s="222"/>
      <c r="FZR8" s="222"/>
      <c r="FZS8" s="222"/>
      <c r="FZT8" s="222"/>
      <c r="FZU8" s="222"/>
      <c r="FZV8" s="222"/>
      <c r="FZW8" s="222"/>
      <c r="FZX8" s="222"/>
      <c r="FZY8" s="222"/>
      <c r="FZZ8" s="222"/>
      <c r="GAA8" s="222"/>
      <c r="GAB8" s="222"/>
      <c r="GAC8" s="222"/>
      <c r="GAD8" s="222"/>
      <c r="GAE8" s="222"/>
      <c r="GAF8" s="222"/>
      <c r="GAG8" s="222"/>
      <c r="GAH8" s="222"/>
      <c r="GAI8" s="222"/>
      <c r="GAJ8" s="222"/>
      <c r="GAK8" s="222"/>
      <c r="GAL8" s="222"/>
      <c r="GAM8" s="222"/>
      <c r="GAN8" s="222"/>
      <c r="GAO8" s="222"/>
      <c r="GAP8" s="222"/>
      <c r="GAQ8" s="222"/>
      <c r="GAR8" s="222"/>
      <c r="GAS8" s="222"/>
      <c r="GAT8" s="222"/>
      <c r="GAU8" s="222"/>
      <c r="GAV8" s="222"/>
      <c r="GAW8" s="222"/>
      <c r="GAX8" s="222"/>
      <c r="GAY8" s="222"/>
      <c r="GAZ8" s="222"/>
      <c r="GBA8" s="222"/>
      <c r="GBB8" s="222"/>
      <c r="GBC8" s="222"/>
      <c r="GBD8" s="222"/>
      <c r="GBE8" s="222"/>
      <c r="GBF8" s="222"/>
      <c r="GBG8" s="222"/>
      <c r="GBH8" s="222"/>
      <c r="GBI8" s="222"/>
      <c r="GBJ8" s="222"/>
      <c r="GBK8" s="222"/>
      <c r="GBL8" s="222"/>
      <c r="GBM8" s="222"/>
      <c r="GBN8" s="222"/>
      <c r="GBO8" s="222"/>
      <c r="GBP8" s="222"/>
      <c r="GBQ8" s="222"/>
      <c r="GBR8" s="222"/>
      <c r="GBS8" s="222"/>
      <c r="GBT8" s="222"/>
      <c r="GBU8" s="222"/>
      <c r="GBV8" s="222"/>
      <c r="GBW8" s="222"/>
      <c r="GBX8" s="222"/>
      <c r="GBY8" s="222"/>
      <c r="GBZ8" s="222"/>
      <c r="GCA8" s="222"/>
      <c r="GCB8" s="222"/>
      <c r="GCC8" s="222"/>
      <c r="GCD8" s="222"/>
      <c r="GCE8" s="222"/>
      <c r="GCF8" s="222"/>
      <c r="GCG8" s="222"/>
      <c r="GCH8" s="222"/>
      <c r="GCI8" s="222"/>
      <c r="GCJ8" s="222"/>
      <c r="GCK8" s="222"/>
      <c r="GCL8" s="222"/>
      <c r="GCM8" s="222"/>
      <c r="GCN8" s="222"/>
      <c r="GCO8" s="222"/>
      <c r="GCP8" s="222"/>
      <c r="GCQ8" s="222"/>
      <c r="GCR8" s="222"/>
      <c r="GCS8" s="222"/>
      <c r="GCT8" s="222"/>
      <c r="GCU8" s="222"/>
      <c r="GCV8" s="222"/>
      <c r="GCW8" s="222"/>
      <c r="GCX8" s="222"/>
      <c r="GCY8" s="222"/>
      <c r="GCZ8" s="222"/>
      <c r="GDA8" s="222"/>
      <c r="GDB8" s="222"/>
      <c r="GDC8" s="222"/>
      <c r="GDD8" s="222"/>
      <c r="GDE8" s="222"/>
      <c r="GDF8" s="222"/>
      <c r="GDG8" s="222"/>
      <c r="GDH8" s="222"/>
      <c r="GDI8" s="222"/>
      <c r="GDJ8" s="222"/>
      <c r="GDK8" s="222"/>
      <c r="GDL8" s="222"/>
      <c r="GDM8" s="222"/>
      <c r="GDN8" s="222"/>
      <c r="GDO8" s="222"/>
      <c r="GDP8" s="222"/>
      <c r="GDQ8" s="222"/>
      <c r="GDR8" s="222"/>
      <c r="GDS8" s="222"/>
      <c r="GDT8" s="222"/>
      <c r="GDU8" s="222"/>
      <c r="GDV8" s="222"/>
      <c r="GDW8" s="222"/>
      <c r="GDX8" s="222"/>
      <c r="GDY8" s="222"/>
      <c r="GDZ8" s="222"/>
      <c r="GEA8" s="222"/>
      <c r="GEB8" s="222"/>
      <c r="GEC8" s="222"/>
      <c r="GED8" s="222"/>
      <c r="GEE8" s="222"/>
      <c r="GEF8" s="222"/>
      <c r="GEG8" s="222"/>
      <c r="GEH8" s="222"/>
      <c r="GEI8" s="222"/>
      <c r="GEJ8" s="222"/>
      <c r="GEK8" s="222"/>
      <c r="GEL8" s="222"/>
      <c r="GEM8" s="222"/>
      <c r="GEN8" s="222"/>
      <c r="GEO8" s="222"/>
      <c r="GEP8" s="222"/>
      <c r="GEQ8" s="222"/>
      <c r="GER8" s="222"/>
      <c r="GES8" s="222"/>
      <c r="GET8" s="222"/>
      <c r="GEU8" s="222"/>
      <c r="GEV8" s="222"/>
      <c r="GEW8" s="222"/>
      <c r="GEX8" s="222"/>
      <c r="GEY8" s="222"/>
      <c r="GEZ8" s="222"/>
      <c r="GFA8" s="222"/>
      <c r="GFB8" s="222"/>
      <c r="GFC8" s="222"/>
      <c r="GFD8" s="222"/>
      <c r="GFE8" s="222"/>
      <c r="GFF8" s="222"/>
      <c r="GFG8" s="222"/>
      <c r="GFH8" s="222"/>
      <c r="GFI8" s="222"/>
      <c r="GFJ8" s="222"/>
      <c r="GFK8" s="222"/>
      <c r="GFL8" s="222"/>
      <c r="GFM8" s="222"/>
      <c r="GFN8" s="222"/>
      <c r="GFO8" s="222"/>
      <c r="GFP8" s="222"/>
      <c r="GFQ8" s="222"/>
      <c r="GFR8" s="222"/>
      <c r="GFS8" s="222"/>
      <c r="GFT8" s="222"/>
      <c r="GFU8" s="222"/>
      <c r="GFV8" s="222"/>
      <c r="GFW8" s="222"/>
      <c r="GFX8" s="222"/>
      <c r="GFY8" s="222"/>
      <c r="GFZ8" s="222"/>
      <c r="GGA8" s="222"/>
      <c r="GGB8" s="222"/>
      <c r="GGC8" s="222"/>
      <c r="GGD8" s="222"/>
      <c r="GGE8" s="222"/>
      <c r="GGF8" s="222"/>
      <c r="GGG8" s="222"/>
      <c r="GGH8" s="222"/>
      <c r="GGI8" s="222"/>
      <c r="GGJ8" s="222"/>
      <c r="GGK8" s="222"/>
      <c r="GGL8" s="222"/>
      <c r="GGM8" s="222"/>
      <c r="GGN8" s="222"/>
      <c r="GGO8" s="222"/>
      <c r="GGP8" s="222"/>
      <c r="GGQ8" s="222"/>
      <c r="GGR8" s="222"/>
      <c r="GGS8" s="222"/>
      <c r="GGT8" s="222"/>
      <c r="GGU8" s="222"/>
      <c r="GGV8" s="222"/>
      <c r="GGW8" s="222"/>
      <c r="GGX8" s="222"/>
      <c r="GGY8" s="222"/>
      <c r="GGZ8" s="222"/>
      <c r="GHA8" s="222"/>
      <c r="GHB8" s="222"/>
      <c r="GHC8" s="222"/>
      <c r="GHD8" s="222"/>
      <c r="GHE8" s="222"/>
      <c r="GHF8" s="222"/>
      <c r="GHG8" s="222"/>
      <c r="GHH8" s="222"/>
      <c r="GHI8" s="222"/>
      <c r="GHJ8" s="222"/>
      <c r="GHK8" s="222"/>
      <c r="GHL8" s="222"/>
      <c r="GHM8" s="222"/>
      <c r="GHN8" s="222"/>
      <c r="GHO8" s="222"/>
      <c r="GHP8" s="222"/>
      <c r="GHQ8" s="222"/>
      <c r="GHR8" s="222"/>
      <c r="GHS8" s="222"/>
      <c r="GHT8" s="222"/>
      <c r="GHU8" s="222"/>
      <c r="GHV8" s="222"/>
      <c r="GHW8" s="222"/>
      <c r="GHX8" s="222"/>
      <c r="GHY8" s="222"/>
      <c r="GHZ8" s="222"/>
      <c r="GIA8" s="222"/>
      <c r="GIB8" s="222"/>
      <c r="GIC8" s="222"/>
      <c r="GID8" s="222"/>
      <c r="GIE8" s="222"/>
      <c r="GIF8" s="222"/>
      <c r="GIG8" s="222"/>
      <c r="GIH8" s="222"/>
      <c r="GII8" s="222"/>
      <c r="GIJ8" s="222"/>
      <c r="GIK8" s="222"/>
      <c r="GIL8" s="222"/>
      <c r="GIM8" s="222"/>
      <c r="GIN8" s="222"/>
      <c r="GIO8" s="222"/>
      <c r="GIP8" s="222"/>
      <c r="GIQ8" s="222"/>
      <c r="GIR8" s="222"/>
      <c r="GIS8" s="222"/>
      <c r="GIT8" s="222"/>
      <c r="GIU8" s="222"/>
      <c r="GIV8" s="222"/>
      <c r="GIW8" s="222"/>
      <c r="GIX8" s="222"/>
      <c r="GIY8" s="222"/>
      <c r="GIZ8" s="222"/>
      <c r="GJA8" s="222"/>
      <c r="GJB8" s="222"/>
      <c r="GJC8" s="222"/>
      <c r="GJD8" s="222"/>
      <c r="GJE8" s="222"/>
      <c r="GJF8" s="222"/>
      <c r="GJG8" s="222"/>
      <c r="GJH8" s="222"/>
      <c r="GJI8" s="222"/>
      <c r="GJJ8" s="222"/>
      <c r="GJK8" s="222"/>
      <c r="GJL8" s="222"/>
      <c r="GJM8" s="222"/>
      <c r="GJN8" s="222"/>
      <c r="GJO8" s="222"/>
      <c r="GJP8" s="222"/>
      <c r="GJQ8" s="222"/>
      <c r="GJR8" s="222"/>
      <c r="GJS8" s="222"/>
      <c r="GJT8" s="222"/>
      <c r="GJU8" s="222"/>
      <c r="GJV8" s="222"/>
      <c r="GJW8" s="222"/>
      <c r="GJX8" s="222"/>
      <c r="GJY8" s="222"/>
      <c r="GJZ8" s="222"/>
      <c r="GKA8" s="222"/>
      <c r="GKB8" s="222"/>
      <c r="GKC8" s="222"/>
      <c r="GKD8" s="222"/>
      <c r="GKE8" s="222"/>
      <c r="GKF8" s="222"/>
      <c r="GKG8" s="222"/>
      <c r="GKH8" s="222"/>
      <c r="GKI8" s="222"/>
      <c r="GKJ8" s="222"/>
      <c r="GKK8" s="222"/>
      <c r="GKL8" s="222"/>
      <c r="GKM8" s="222"/>
      <c r="GKN8" s="222"/>
      <c r="GKO8" s="222"/>
      <c r="GKP8" s="222"/>
      <c r="GKQ8" s="222"/>
      <c r="GKR8" s="222"/>
      <c r="GKS8" s="222"/>
      <c r="GKT8" s="222"/>
      <c r="GKU8" s="222"/>
      <c r="GKV8" s="222"/>
      <c r="GKW8" s="222"/>
      <c r="GKX8" s="222"/>
      <c r="GKY8" s="222"/>
      <c r="GKZ8" s="222"/>
      <c r="GLA8" s="222"/>
      <c r="GLB8" s="222"/>
      <c r="GLC8" s="222"/>
      <c r="GLD8" s="222"/>
      <c r="GLE8" s="222"/>
      <c r="GLF8" s="222"/>
      <c r="GLG8" s="222"/>
      <c r="GLH8" s="222"/>
      <c r="GLI8" s="222"/>
      <c r="GLJ8" s="222"/>
      <c r="GLK8" s="222"/>
      <c r="GLL8" s="222"/>
      <c r="GLM8" s="222"/>
      <c r="GLN8" s="222"/>
      <c r="GLO8" s="222"/>
      <c r="GLP8" s="222"/>
      <c r="GLQ8" s="222"/>
      <c r="GLR8" s="222"/>
      <c r="GLS8" s="222"/>
      <c r="GLT8" s="222"/>
      <c r="GLU8" s="222"/>
      <c r="GLV8" s="222"/>
      <c r="GLW8" s="222"/>
      <c r="GLX8" s="222"/>
      <c r="GLY8" s="222"/>
      <c r="GLZ8" s="222"/>
      <c r="GMA8" s="222"/>
      <c r="GMB8" s="222"/>
      <c r="GMC8" s="222"/>
      <c r="GMD8" s="222"/>
      <c r="GME8" s="222"/>
      <c r="GMF8" s="222"/>
      <c r="GMG8" s="222"/>
      <c r="GMH8" s="222"/>
      <c r="GMI8" s="222"/>
      <c r="GMJ8" s="222"/>
      <c r="GMK8" s="222"/>
      <c r="GML8" s="222"/>
      <c r="GMM8" s="222"/>
      <c r="GMN8" s="222"/>
      <c r="GMO8" s="222"/>
      <c r="GMP8" s="222"/>
      <c r="GMQ8" s="222"/>
      <c r="GMR8" s="222"/>
      <c r="GMS8" s="222"/>
      <c r="GMT8" s="222"/>
      <c r="GMU8" s="222"/>
      <c r="GMV8" s="222"/>
      <c r="GMW8" s="222"/>
      <c r="GMX8" s="222"/>
      <c r="GMY8" s="222"/>
      <c r="GMZ8" s="222"/>
      <c r="GNA8" s="222"/>
      <c r="GNB8" s="222"/>
      <c r="GNC8" s="222"/>
      <c r="GND8" s="222"/>
      <c r="GNE8" s="222"/>
      <c r="GNF8" s="222"/>
      <c r="GNG8" s="222"/>
      <c r="GNH8" s="222"/>
      <c r="GNI8" s="222"/>
      <c r="GNJ8" s="222"/>
      <c r="GNK8" s="222"/>
      <c r="GNL8" s="222"/>
      <c r="GNM8" s="222"/>
      <c r="GNN8" s="222"/>
      <c r="GNO8" s="222"/>
      <c r="GNP8" s="222"/>
      <c r="GNQ8" s="222"/>
      <c r="GNR8" s="222"/>
      <c r="GNS8" s="222"/>
      <c r="GNT8" s="222"/>
      <c r="GNU8" s="222"/>
      <c r="GNV8" s="222"/>
      <c r="GNW8" s="222"/>
      <c r="GNX8" s="222"/>
      <c r="GNY8" s="222"/>
      <c r="GNZ8" s="222"/>
      <c r="GOA8" s="222"/>
      <c r="GOB8" s="222"/>
      <c r="GOC8" s="222"/>
      <c r="GOD8" s="222"/>
      <c r="GOE8" s="222"/>
      <c r="GOF8" s="222"/>
      <c r="GOG8" s="222"/>
      <c r="GOH8" s="222"/>
      <c r="GOI8" s="222"/>
      <c r="GOJ8" s="222"/>
      <c r="GOK8" s="222"/>
      <c r="GOL8" s="222"/>
      <c r="GOM8" s="222"/>
      <c r="GON8" s="222"/>
      <c r="GOO8" s="222"/>
      <c r="GOP8" s="222"/>
      <c r="GOQ8" s="222"/>
      <c r="GOR8" s="222"/>
      <c r="GOS8" s="222"/>
      <c r="GOT8" s="222"/>
      <c r="GOU8" s="222"/>
      <c r="GOV8" s="222"/>
      <c r="GOW8" s="222"/>
      <c r="GOX8" s="222"/>
      <c r="GOY8" s="222"/>
      <c r="GOZ8" s="222"/>
      <c r="GPA8" s="222"/>
      <c r="GPB8" s="222"/>
      <c r="GPC8" s="222"/>
      <c r="GPD8" s="222"/>
      <c r="GPE8" s="222"/>
      <c r="GPF8" s="222"/>
      <c r="GPG8" s="222"/>
      <c r="GPH8" s="222"/>
      <c r="GPI8" s="222"/>
      <c r="GPJ8" s="222"/>
      <c r="GPK8" s="222"/>
      <c r="GPL8" s="222"/>
      <c r="GPM8" s="222"/>
      <c r="GPN8" s="222"/>
      <c r="GPO8" s="222"/>
      <c r="GPP8" s="222"/>
      <c r="GPQ8" s="222"/>
      <c r="GPR8" s="222"/>
      <c r="GPS8" s="222"/>
      <c r="GPT8" s="222"/>
      <c r="GPU8" s="222"/>
      <c r="GPV8" s="222"/>
      <c r="GPW8" s="222"/>
      <c r="GPX8" s="222"/>
      <c r="GPY8" s="222"/>
      <c r="GPZ8" s="222"/>
      <c r="GQA8" s="222"/>
      <c r="GQB8" s="222"/>
      <c r="GQC8" s="222"/>
      <c r="GQD8" s="222"/>
      <c r="GQE8" s="222"/>
      <c r="GQF8" s="222"/>
      <c r="GQG8" s="222"/>
      <c r="GQH8" s="222"/>
      <c r="GQI8" s="222"/>
      <c r="GQJ8" s="222"/>
      <c r="GQK8" s="222"/>
      <c r="GQL8" s="222"/>
      <c r="GQM8" s="222"/>
      <c r="GQN8" s="222"/>
      <c r="GQO8" s="222"/>
      <c r="GQP8" s="222"/>
      <c r="GQQ8" s="222"/>
      <c r="GQR8" s="222"/>
      <c r="GQS8" s="222"/>
      <c r="GQT8" s="222"/>
      <c r="GQU8" s="222"/>
      <c r="GQV8" s="222"/>
      <c r="GQW8" s="222"/>
      <c r="GQX8" s="222"/>
      <c r="GQY8" s="222"/>
      <c r="GQZ8" s="222"/>
      <c r="GRA8" s="222"/>
      <c r="GRB8" s="222"/>
      <c r="GRC8" s="222"/>
      <c r="GRD8" s="222"/>
      <c r="GRE8" s="222"/>
      <c r="GRF8" s="222"/>
      <c r="GRG8" s="222"/>
      <c r="GRH8" s="222"/>
      <c r="GRI8" s="222"/>
      <c r="GRJ8" s="222"/>
      <c r="GRK8" s="222"/>
      <c r="GRL8" s="222"/>
      <c r="GRM8" s="222"/>
      <c r="GRN8" s="222"/>
      <c r="GRO8" s="222"/>
      <c r="GRP8" s="222"/>
      <c r="GRQ8" s="222"/>
      <c r="GRR8" s="222"/>
      <c r="GRS8" s="222"/>
      <c r="GRT8" s="222"/>
      <c r="GRU8" s="222"/>
      <c r="GRV8" s="222"/>
      <c r="GRW8" s="222"/>
      <c r="GRX8" s="222"/>
      <c r="GRY8" s="222"/>
      <c r="GRZ8" s="222"/>
      <c r="GSA8" s="222"/>
      <c r="GSB8" s="222"/>
      <c r="GSC8" s="222"/>
      <c r="GSD8" s="222"/>
      <c r="GSE8" s="222"/>
      <c r="GSF8" s="222"/>
      <c r="GSG8" s="222"/>
      <c r="GSH8" s="222"/>
      <c r="GSI8" s="222"/>
      <c r="GSJ8" s="222"/>
      <c r="GSK8" s="222"/>
      <c r="GSL8" s="222"/>
      <c r="GSM8" s="222"/>
      <c r="GSN8" s="222"/>
      <c r="GSO8" s="222"/>
      <c r="GSP8" s="222"/>
      <c r="GSQ8" s="222"/>
      <c r="GSR8" s="222"/>
      <c r="GSS8" s="222"/>
      <c r="GST8" s="222"/>
      <c r="GSU8" s="222"/>
      <c r="GSV8" s="222"/>
      <c r="GSW8" s="222"/>
      <c r="GSX8" s="222"/>
      <c r="GSY8" s="222"/>
      <c r="GSZ8" s="222"/>
      <c r="GTA8" s="222"/>
      <c r="GTB8" s="222"/>
      <c r="GTC8" s="222"/>
      <c r="GTD8" s="222"/>
      <c r="GTE8" s="222"/>
      <c r="GTF8" s="222"/>
      <c r="GTG8" s="222"/>
      <c r="GTH8" s="222"/>
      <c r="GTI8" s="222"/>
      <c r="GTJ8" s="222"/>
      <c r="GTK8" s="222"/>
      <c r="GTL8" s="222"/>
      <c r="GTM8" s="222"/>
      <c r="GTN8" s="222"/>
      <c r="GTO8" s="222"/>
      <c r="GTP8" s="222"/>
      <c r="GTQ8" s="222"/>
      <c r="GTR8" s="222"/>
      <c r="GTS8" s="222"/>
      <c r="GTT8" s="222"/>
      <c r="GTU8" s="222"/>
      <c r="GTV8" s="222"/>
      <c r="GTW8" s="222"/>
      <c r="GTX8" s="222"/>
      <c r="GTY8" s="222"/>
      <c r="GTZ8" s="222"/>
      <c r="GUA8" s="222"/>
      <c r="GUB8" s="222"/>
      <c r="GUC8" s="222"/>
      <c r="GUD8" s="222"/>
      <c r="GUE8" s="222"/>
      <c r="GUF8" s="222"/>
      <c r="GUG8" s="222"/>
      <c r="GUH8" s="222"/>
      <c r="GUI8" s="222"/>
      <c r="GUJ8" s="222"/>
      <c r="GUK8" s="222"/>
      <c r="GUL8" s="222"/>
      <c r="GUM8" s="222"/>
      <c r="GUN8" s="222"/>
      <c r="GUO8" s="222"/>
      <c r="GUP8" s="222"/>
      <c r="GUQ8" s="222"/>
      <c r="GUR8" s="222"/>
      <c r="GUS8" s="222"/>
      <c r="GUT8" s="222"/>
      <c r="GUU8" s="222"/>
      <c r="GUV8" s="222"/>
      <c r="GUW8" s="222"/>
      <c r="GUX8" s="222"/>
      <c r="GUY8" s="222"/>
      <c r="GUZ8" s="222"/>
      <c r="GVA8" s="222"/>
      <c r="GVB8" s="222"/>
      <c r="GVC8" s="222"/>
      <c r="GVD8" s="222"/>
      <c r="GVE8" s="222"/>
      <c r="GVF8" s="222"/>
      <c r="GVG8" s="222"/>
      <c r="GVH8" s="222"/>
      <c r="GVI8" s="222"/>
      <c r="GVJ8" s="222"/>
      <c r="GVK8" s="222"/>
      <c r="GVL8" s="222"/>
      <c r="GVM8" s="222"/>
      <c r="GVN8" s="222"/>
      <c r="GVO8" s="222"/>
      <c r="GVP8" s="222"/>
      <c r="GVQ8" s="222"/>
      <c r="GVR8" s="222"/>
      <c r="GVS8" s="222"/>
      <c r="GVT8" s="222"/>
      <c r="GVU8" s="222"/>
      <c r="GVV8" s="222"/>
      <c r="GVW8" s="222"/>
      <c r="GVX8" s="222"/>
      <c r="GVY8" s="222"/>
      <c r="GVZ8" s="222"/>
      <c r="GWA8" s="222"/>
      <c r="GWB8" s="222"/>
      <c r="GWC8" s="222"/>
      <c r="GWD8" s="222"/>
      <c r="GWE8" s="222"/>
      <c r="GWF8" s="222"/>
      <c r="GWG8" s="222"/>
      <c r="GWH8" s="222"/>
      <c r="GWI8" s="222"/>
      <c r="GWJ8" s="222"/>
      <c r="GWK8" s="222"/>
      <c r="GWL8" s="222"/>
      <c r="GWM8" s="222"/>
      <c r="GWN8" s="222"/>
      <c r="GWO8" s="222"/>
      <c r="GWP8" s="222"/>
      <c r="GWQ8" s="222"/>
      <c r="GWR8" s="222"/>
      <c r="GWS8" s="222"/>
      <c r="GWT8" s="222"/>
      <c r="GWU8" s="222"/>
      <c r="GWV8" s="222"/>
      <c r="GWW8" s="222"/>
      <c r="GWX8" s="222"/>
      <c r="GWY8" s="222"/>
      <c r="GWZ8" s="222"/>
      <c r="GXA8" s="222"/>
      <c r="GXB8" s="222"/>
      <c r="GXC8" s="222"/>
      <c r="GXD8" s="222"/>
      <c r="GXE8" s="222"/>
      <c r="GXF8" s="222"/>
      <c r="GXG8" s="222"/>
      <c r="GXH8" s="222"/>
      <c r="GXI8" s="222"/>
      <c r="GXJ8" s="222"/>
      <c r="GXK8" s="222"/>
      <c r="GXL8" s="222"/>
      <c r="GXM8" s="222"/>
      <c r="GXN8" s="222"/>
      <c r="GXO8" s="222"/>
      <c r="GXP8" s="222"/>
      <c r="GXQ8" s="222"/>
      <c r="GXR8" s="222"/>
      <c r="GXS8" s="222"/>
      <c r="GXT8" s="222"/>
      <c r="GXU8" s="222"/>
      <c r="GXV8" s="222"/>
      <c r="GXW8" s="222"/>
      <c r="GXX8" s="222"/>
      <c r="GXY8" s="222"/>
      <c r="GXZ8" s="222"/>
      <c r="GYA8" s="222"/>
      <c r="GYB8" s="222"/>
      <c r="GYC8" s="222"/>
      <c r="GYD8" s="222"/>
      <c r="GYE8" s="222"/>
      <c r="GYF8" s="222"/>
      <c r="GYG8" s="222"/>
      <c r="GYH8" s="222"/>
      <c r="GYI8" s="222"/>
      <c r="GYJ8" s="222"/>
      <c r="GYK8" s="222"/>
      <c r="GYL8" s="222"/>
      <c r="GYM8" s="222"/>
      <c r="GYN8" s="222"/>
      <c r="GYO8" s="222"/>
      <c r="GYP8" s="222"/>
      <c r="GYQ8" s="222"/>
      <c r="GYR8" s="222"/>
      <c r="GYS8" s="222"/>
      <c r="GYT8" s="222"/>
      <c r="GYU8" s="222"/>
      <c r="GYV8" s="222"/>
      <c r="GYW8" s="222"/>
      <c r="GYX8" s="222"/>
      <c r="GYY8" s="222"/>
      <c r="GYZ8" s="222"/>
      <c r="GZA8" s="222"/>
      <c r="GZB8" s="222"/>
      <c r="GZC8" s="222"/>
      <c r="GZD8" s="222"/>
      <c r="GZE8" s="222"/>
      <c r="GZF8" s="222"/>
      <c r="GZG8" s="222"/>
      <c r="GZH8" s="222"/>
      <c r="GZI8" s="222"/>
      <c r="GZJ8" s="222"/>
      <c r="GZK8" s="222"/>
      <c r="GZL8" s="222"/>
      <c r="GZM8" s="222"/>
      <c r="GZN8" s="222"/>
      <c r="GZO8" s="222"/>
      <c r="GZP8" s="222"/>
      <c r="GZQ8" s="222"/>
      <c r="GZR8" s="222"/>
      <c r="GZS8" s="222"/>
      <c r="GZT8" s="222"/>
      <c r="GZU8" s="222"/>
      <c r="GZV8" s="222"/>
      <c r="GZW8" s="222"/>
      <c r="GZX8" s="222"/>
      <c r="GZY8" s="222"/>
      <c r="GZZ8" s="222"/>
      <c r="HAA8" s="222"/>
      <c r="HAB8" s="222"/>
      <c r="HAC8" s="222"/>
      <c r="HAD8" s="222"/>
      <c r="HAE8" s="222"/>
      <c r="HAF8" s="222"/>
      <c r="HAG8" s="222"/>
      <c r="HAH8" s="222"/>
      <c r="HAI8" s="222"/>
      <c r="HAJ8" s="222"/>
      <c r="HAK8" s="222"/>
      <c r="HAL8" s="222"/>
      <c r="HAM8" s="222"/>
      <c r="HAN8" s="222"/>
      <c r="HAO8" s="222"/>
      <c r="HAP8" s="222"/>
      <c r="HAQ8" s="222"/>
      <c r="HAR8" s="222"/>
      <c r="HAS8" s="222"/>
      <c r="HAT8" s="222"/>
      <c r="HAU8" s="222"/>
      <c r="HAV8" s="222"/>
      <c r="HAW8" s="222"/>
      <c r="HAX8" s="222"/>
      <c r="HAY8" s="222"/>
      <c r="HAZ8" s="222"/>
      <c r="HBA8" s="222"/>
      <c r="HBB8" s="222"/>
      <c r="HBC8" s="222"/>
      <c r="HBD8" s="222"/>
      <c r="HBE8" s="222"/>
      <c r="HBF8" s="222"/>
      <c r="HBG8" s="222"/>
      <c r="HBH8" s="222"/>
      <c r="HBI8" s="222"/>
      <c r="HBJ8" s="222"/>
      <c r="HBK8" s="222"/>
      <c r="HBL8" s="222"/>
      <c r="HBM8" s="222"/>
      <c r="HBN8" s="222"/>
      <c r="HBO8" s="222"/>
      <c r="HBP8" s="222"/>
      <c r="HBQ8" s="222"/>
      <c r="HBR8" s="222"/>
      <c r="HBS8" s="222"/>
      <c r="HBT8" s="222"/>
      <c r="HBU8" s="222"/>
      <c r="HBV8" s="222"/>
      <c r="HBW8" s="222"/>
      <c r="HBX8" s="222"/>
      <c r="HBY8" s="222"/>
      <c r="HBZ8" s="222"/>
      <c r="HCA8" s="222"/>
      <c r="HCB8" s="222"/>
      <c r="HCC8" s="222"/>
      <c r="HCD8" s="222"/>
      <c r="HCE8" s="222"/>
      <c r="HCF8" s="222"/>
      <c r="HCG8" s="222"/>
      <c r="HCH8" s="222"/>
      <c r="HCI8" s="222"/>
      <c r="HCJ8" s="222"/>
      <c r="HCK8" s="222"/>
      <c r="HCL8" s="222"/>
      <c r="HCM8" s="222"/>
      <c r="HCN8" s="222"/>
      <c r="HCO8" s="222"/>
      <c r="HCP8" s="222"/>
      <c r="HCQ8" s="222"/>
      <c r="HCR8" s="222"/>
      <c r="HCS8" s="222"/>
      <c r="HCT8" s="222"/>
      <c r="HCU8" s="222"/>
      <c r="HCV8" s="222"/>
      <c r="HCW8" s="222"/>
      <c r="HCX8" s="222"/>
      <c r="HCY8" s="222"/>
      <c r="HCZ8" s="222"/>
      <c r="HDA8" s="222"/>
      <c r="HDB8" s="222"/>
      <c r="HDC8" s="222"/>
      <c r="HDD8" s="222"/>
      <c r="HDE8" s="222"/>
      <c r="HDF8" s="222"/>
      <c r="HDG8" s="222"/>
      <c r="HDH8" s="222"/>
      <c r="HDI8" s="222"/>
      <c r="HDJ8" s="222"/>
      <c r="HDK8" s="222"/>
      <c r="HDL8" s="222"/>
      <c r="HDM8" s="222"/>
      <c r="HDN8" s="222"/>
      <c r="HDO8" s="222"/>
      <c r="HDP8" s="222"/>
      <c r="HDQ8" s="222"/>
      <c r="HDR8" s="222"/>
      <c r="HDS8" s="222"/>
      <c r="HDT8" s="222"/>
      <c r="HDU8" s="222"/>
      <c r="HDV8" s="222"/>
      <c r="HDW8" s="222"/>
      <c r="HDX8" s="222"/>
      <c r="HDY8" s="222"/>
      <c r="HDZ8" s="222"/>
      <c r="HEA8" s="222"/>
      <c r="HEB8" s="222"/>
      <c r="HEC8" s="222"/>
      <c r="HED8" s="222"/>
      <c r="HEE8" s="222"/>
      <c r="HEF8" s="222"/>
      <c r="HEG8" s="222"/>
      <c r="HEH8" s="222"/>
      <c r="HEI8" s="222"/>
      <c r="HEJ8" s="222"/>
      <c r="HEK8" s="222"/>
      <c r="HEL8" s="222"/>
      <c r="HEM8" s="222"/>
      <c r="HEN8" s="222"/>
      <c r="HEO8" s="222"/>
      <c r="HEP8" s="222"/>
      <c r="HEQ8" s="222"/>
      <c r="HER8" s="222"/>
      <c r="HES8" s="222"/>
      <c r="HET8" s="222"/>
      <c r="HEU8" s="222"/>
      <c r="HEV8" s="222"/>
      <c r="HEW8" s="222"/>
      <c r="HEX8" s="222"/>
      <c r="HEY8" s="222"/>
      <c r="HEZ8" s="222"/>
      <c r="HFA8" s="222"/>
      <c r="HFB8" s="222"/>
      <c r="HFC8" s="222"/>
      <c r="HFD8" s="222"/>
      <c r="HFE8" s="222"/>
      <c r="HFF8" s="222"/>
      <c r="HFG8" s="222"/>
      <c r="HFH8" s="222"/>
      <c r="HFI8" s="222"/>
      <c r="HFJ8" s="222"/>
      <c r="HFK8" s="222"/>
      <c r="HFL8" s="222"/>
      <c r="HFM8" s="222"/>
      <c r="HFN8" s="222"/>
      <c r="HFO8" s="222"/>
      <c r="HFP8" s="222"/>
      <c r="HFQ8" s="222"/>
      <c r="HFR8" s="222"/>
      <c r="HFS8" s="222"/>
      <c r="HFT8" s="222"/>
      <c r="HFU8" s="222"/>
      <c r="HFV8" s="222"/>
      <c r="HFW8" s="222"/>
      <c r="HFX8" s="222"/>
      <c r="HFY8" s="222"/>
      <c r="HFZ8" s="222"/>
      <c r="HGA8" s="222"/>
      <c r="HGB8" s="222"/>
      <c r="HGC8" s="222"/>
      <c r="HGD8" s="222"/>
      <c r="HGE8" s="222"/>
      <c r="HGF8" s="222"/>
      <c r="HGG8" s="222"/>
      <c r="HGH8" s="222"/>
      <c r="HGI8" s="222"/>
      <c r="HGJ8" s="222"/>
      <c r="HGK8" s="222"/>
      <c r="HGL8" s="222"/>
      <c r="HGM8" s="222"/>
      <c r="HGN8" s="222"/>
      <c r="HGO8" s="222"/>
      <c r="HGP8" s="222"/>
      <c r="HGQ8" s="222"/>
      <c r="HGR8" s="222"/>
      <c r="HGS8" s="222"/>
      <c r="HGT8" s="222"/>
      <c r="HGU8" s="222"/>
      <c r="HGV8" s="222"/>
      <c r="HGW8" s="222"/>
      <c r="HGX8" s="222"/>
      <c r="HGY8" s="222"/>
      <c r="HGZ8" s="222"/>
      <c r="HHA8" s="222"/>
      <c r="HHB8" s="222"/>
      <c r="HHC8" s="222"/>
      <c r="HHD8" s="222"/>
      <c r="HHE8" s="222"/>
      <c r="HHF8" s="222"/>
      <c r="HHG8" s="222"/>
      <c r="HHH8" s="222"/>
      <c r="HHI8" s="222"/>
      <c r="HHJ8" s="222"/>
      <c r="HHK8" s="222"/>
      <c r="HHL8" s="222"/>
      <c r="HHM8" s="222"/>
      <c r="HHN8" s="222"/>
      <c r="HHO8" s="222"/>
      <c r="HHP8" s="222"/>
      <c r="HHQ8" s="222"/>
      <c r="HHR8" s="222"/>
      <c r="HHS8" s="222"/>
      <c r="HHT8" s="222"/>
      <c r="HHU8" s="222"/>
      <c r="HHV8" s="222"/>
      <c r="HHW8" s="222"/>
      <c r="HHX8" s="222"/>
      <c r="HHY8" s="222"/>
      <c r="HHZ8" s="222"/>
      <c r="HIA8" s="222"/>
      <c r="HIB8" s="222"/>
      <c r="HIC8" s="222"/>
      <c r="HID8" s="222"/>
      <c r="HIE8" s="222"/>
      <c r="HIF8" s="222"/>
      <c r="HIG8" s="222"/>
      <c r="HIH8" s="222"/>
      <c r="HII8" s="222"/>
      <c r="HIJ8" s="222"/>
      <c r="HIK8" s="222"/>
      <c r="HIL8" s="222"/>
      <c r="HIM8" s="222"/>
      <c r="HIN8" s="222"/>
      <c r="HIO8" s="222"/>
      <c r="HIP8" s="222"/>
      <c r="HIQ8" s="222"/>
      <c r="HIR8" s="222"/>
      <c r="HIS8" s="222"/>
      <c r="HIT8" s="222"/>
      <c r="HIU8" s="222"/>
      <c r="HIV8" s="222"/>
      <c r="HIW8" s="222"/>
      <c r="HIX8" s="222"/>
      <c r="HIY8" s="222"/>
      <c r="HIZ8" s="222"/>
      <c r="HJA8" s="222"/>
      <c r="HJB8" s="222"/>
      <c r="HJC8" s="222"/>
      <c r="HJD8" s="222"/>
      <c r="HJE8" s="222"/>
      <c r="HJF8" s="222"/>
      <c r="HJG8" s="222"/>
      <c r="HJH8" s="222"/>
      <c r="HJI8" s="222"/>
      <c r="HJJ8" s="222"/>
      <c r="HJK8" s="222"/>
      <c r="HJL8" s="222"/>
      <c r="HJM8" s="222"/>
      <c r="HJN8" s="222"/>
      <c r="HJO8" s="222"/>
      <c r="HJP8" s="222"/>
      <c r="HJQ8" s="222"/>
      <c r="HJR8" s="222"/>
      <c r="HJS8" s="222"/>
      <c r="HJT8" s="222"/>
      <c r="HJU8" s="222"/>
      <c r="HJV8" s="222"/>
      <c r="HJW8" s="222"/>
      <c r="HJX8" s="222"/>
      <c r="HJY8" s="222"/>
      <c r="HJZ8" s="222"/>
      <c r="HKA8" s="222"/>
      <c r="HKB8" s="222"/>
      <c r="HKC8" s="222"/>
      <c r="HKD8" s="222"/>
      <c r="HKE8" s="222"/>
      <c r="HKF8" s="222"/>
      <c r="HKG8" s="222"/>
      <c r="HKH8" s="222"/>
      <c r="HKI8" s="222"/>
      <c r="HKJ8" s="222"/>
      <c r="HKK8" s="222"/>
      <c r="HKL8" s="222"/>
      <c r="HKM8" s="222"/>
      <c r="HKN8" s="222"/>
      <c r="HKO8" s="222"/>
      <c r="HKP8" s="222"/>
      <c r="HKQ8" s="222"/>
      <c r="HKR8" s="222"/>
      <c r="HKS8" s="222"/>
      <c r="HKT8" s="222"/>
      <c r="HKU8" s="222"/>
      <c r="HKV8" s="222"/>
      <c r="HKW8" s="222"/>
      <c r="HKX8" s="222"/>
      <c r="HKY8" s="222"/>
      <c r="HKZ8" s="222"/>
      <c r="HLA8" s="222"/>
      <c r="HLB8" s="222"/>
      <c r="HLC8" s="222"/>
      <c r="HLD8" s="222"/>
      <c r="HLE8" s="222"/>
      <c r="HLF8" s="222"/>
      <c r="HLG8" s="222"/>
      <c r="HLH8" s="222"/>
      <c r="HLI8" s="222"/>
      <c r="HLJ8" s="222"/>
      <c r="HLK8" s="222"/>
      <c r="HLL8" s="222"/>
      <c r="HLM8" s="222"/>
      <c r="HLN8" s="222"/>
      <c r="HLO8" s="222"/>
      <c r="HLP8" s="222"/>
      <c r="HLQ8" s="222"/>
      <c r="HLR8" s="222"/>
      <c r="HLS8" s="222"/>
      <c r="HLT8" s="222"/>
      <c r="HLU8" s="222"/>
      <c r="HLV8" s="222"/>
      <c r="HLW8" s="222"/>
      <c r="HLX8" s="222"/>
      <c r="HLY8" s="222"/>
      <c r="HLZ8" s="222"/>
      <c r="HMA8" s="222"/>
      <c r="HMB8" s="222"/>
      <c r="HMC8" s="222"/>
      <c r="HMD8" s="222"/>
      <c r="HME8" s="222"/>
      <c r="HMF8" s="222"/>
      <c r="HMG8" s="222"/>
      <c r="HMH8" s="222"/>
      <c r="HMI8" s="222"/>
      <c r="HMJ8" s="222"/>
      <c r="HMK8" s="222"/>
      <c r="HML8" s="222"/>
      <c r="HMM8" s="222"/>
      <c r="HMN8" s="222"/>
      <c r="HMO8" s="222"/>
      <c r="HMP8" s="222"/>
      <c r="HMQ8" s="222"/>
      <c r="HMR8" s="222"/>
      <c r="HMS8" s="222"/>
      <c r="HMT8" s="222"/>
      <c r="HMU8" s="222"/>
      <c r="HMV8" s="222"/>
      <c r="HMW8" s="222"/>
      <c r="HMX8" s="222"/>
      <c r="HMY8" s="222"/>
      <c r="HMZ8" s="222"/>
      <c r="HNA8" s="222"/>
      <c r="HNB8" s="222"/>
      <c r="HNC8" s="222"/>
      <c r="HND8" s="222"/>
      <c r="HNE8" s="222"/>
      <c r="HNF8" s="222"/>
      <c r="HNG8" s="222"/>
      <c r="HNH8" s="222"/>
      <c r="HNI8" s="222"/>
      <c r="HNJ8" s="222"/>
      <c r="HNK8" s="222"/>
      <c r="HNL8" s="222"/>
      <c r="HNM8" s="222"/>
      <c r="HNN8" s="222"/>
      <c r="HNO8" s="222"/>
      <c r="HNP8" s="222"/>
      <c r="HNQ8" s="222"/>
      <c r="HNR8" s="222"/>
      <c r="HNS8" s="222"/>
      <c r="HNT8" s="222"/>
      <c r="HNU8" s="222"/>
      <c r="HNV8" s="222"/>
      <c r="HNW8" s="222"/>
      <c r="HNX8" s="222"/>
      <c r="HNY8" s="222"/>
      <c r="HNZ8" s="222"/>
      <c r="HOA8" s="222"/>
      <c r="HOB8" s="222"/>
      <c r="HOC8" s="222"/>
      <c r="HOD8" s="222"/>
      <c r="HOE8" s="222"/>
      <c r="HOF8" s="222"/>
      <c r="HOG8" s="222"/>
      <c r="HOH8" s="222"/>
      <c r="HOI8" s="222"/>
      <c r="HOJ8" s="222"/>
      <c r="HOK8" s="222"/>
      <c r="HOL8" s="222"/>
      <c r="HOM8" s="222"/>
      <c r="HON8" s="222"/>
      <c r="HOO8" s="222"/>
      <c r="HOP8" s="222"/>
      <c r="HOQ8" s="222"/>
      <c r="HOR8" s="222"/>
      <c r="HOS8" s="222"/>
      <c r="HOT8" s="222"/>
      <c r="HOU8" s="222"/>
      <c r="HOV8" s="222"/>
      <c r="HOW8" s="222"/>
      <c r="HOX8" s="222"/>
      <c r="HOY8" s="222"/>
      <c r="HOZ8" s="222"/>
      <c r="HPA8" s="222"/>
      <c r="HPB8" s="222"/>
      <c r="HPC8" s="222"/>
      <c r="HPD8" s="222"/>
      <c r="HPE8" s="222"/>
      <c r="HPF8" s="222"/>
      <c r="HPG8" s="222"/>
      <c r="HPH8" s="222"/>
      <c r="HPI8" s="222"/>
      <c r="HPJ8" s="222"/>
      <c r="HPK8" s="222"/>
      <c r="HPL8" s="222"/>
      <c r="HPM8" s="222"/>
      <c r="HPN8" s="222"/>
      <c r="HPO8" s="222"/>
      <c r="HPP8" s="222"/>
      <c r="HPQ8" s="222"/>
      <c r="HPR8" s="222"/>
      <c r="HPS8" s="222"/>
      <c r="HPT8" s="222"/>
      <c r="HPU8" s="222"/>
      <c r="HPV8" s="222"/>
      <c r="HPW8" s="222"/>
      <c r="HPX8" s="222"/>
      <c r="HPY8" s="222"/>
      <c r="HPZ8" s="222"/>
      <c r="HQA8" s="222"/>
      <c r="HQB8" s="222"/>
      <c r="HQC8" s="222"/>
      <c r="HQD8" s="222"/>
      <c r="HQE8" s="222"/>
      <c r="HQF8" s="222"/>
      <c r="HQG8" s="222"/>
      <c r="HQH8" s="222"/>
      <c r="HQI8" s="222"/>
      <c r="HQJ8" s="222"/>
      <c r="HQK8" s="222"/>
      <c r="HQL8" s="222"/>
      <c r="HQM8" s="222"/>
      <c r="HQN8" s="222"/>
      <c r="HQO8" s="222"/>
      <c r="HQP8" s="222"/>
      <c r="HQQ8" s="222"/>
      <c r="HQR8" s="222"/>
      <c r="HQS8" s="222"/>
      <c r="HQT8" s="222"/>
      <c r="HQU8" s="222"/>
      <c r="HQV8" s="222"/>
      <c r="HQW8" s="222"/>
      <c r="HQX8" s="222"/>
      <c r="HQY8" s="222"/>
      <c r="HQZ8" s="222"/>
      <c r="HRA8" s="222"/>
      <c r="HRB8" s="222"/>
      <c r="HRC8" s="222"/>
      <c r="HRD8" s="222"/>
      <c r="HRE8" s="222"/>
      <c r="HRF8" s="222"/>
      <c r="HRG8" s="222"/>
      <c r="HRH8" s="222"/>
      <c r="HRI8" s="222"/>
      <c r="HRJ8" s="222"/>
      <c r="HRK8" s="222"/>
      <c r="HRL8" s="222"/>
      <c r="HRM8" s="222"/>
      <c r="HRN8" s="222"/>
      <c r="HRO8" s="222"/>
      <c r="HRP8" s="222"/>
      <c r="HRQ8" s="222"/>
      <c r="HRR8" s="222"/>
      <c r="HRS8" s="222"/>
      <c r="HRT8" s="222"/>
      <c r="HRU8" s="222"/>
      <c r="HRV8" s="222"/>
      <c r="HRW8" s="222"/>
      <c r="HRX8" s="222"/>
      <c r="HRY8" s="222"/>
      <c r="HRZ8" s="222"/>
      <c r="HSA8" s="222"/>
      <c r="HSB8" s="222"/>
      <c r="HSC8" s="222"/>
      <c r="HSD8" s="222"/>
      <c r="HSE8" s="222"/>
      <c r="HSF8" s="222"/>
      <c r="HSG8" s="222"/>
      <c r="HSH8" s="222"/>
      <c r="HSI8" s="222"/>
      <c r="HSJ8" s="222"/>
      <c r="HSK8" s="222"/>
      <c r="HSL8" s="222"/>
      <c r="HSM8" s="222"/>
      <c r="HSN8" s="222"/>
      <c r="HSO8" s="222"/>
      <c r="HSP8" s="222"/>
      <c r="HSQ8" s="222"/>
      <c r="HSR8" s="222"/>
      <c r="HSS8" s="222"/>
      <c r="HST8" s="222"/>
      <c r="HSU8" s="222"/>
      <c r="HSV8" s="222"/>
      <c r="HSW8" s="222"/>
      <c r="HSX8" s="222"/>
      <c r="HSY8" s="222"/>
      <c r="HSZ8" s="222"/>
      <c r="HTA8" s="222"/>
      <c r="HTB8" s="222"/>
      <c r="HTC8" s="222"/>
      <c r="HTD8" s="222"/>
      <c r="HTE8" s="222"/>
      <c r="HTF8" s="222"/>
      <c r="HTG8" s="222"/>
      <c r="HTH8" s="222"/>
      <c r="HTI8" s="222"/>
      <c r="HTJ8" s="222"/>
      <c r="HTK8" s="222"/>
      <c r="HTL8" s="222"/>
      <c r="HTM8" s="222"/>
      <c r="HTN8" s="222"/>
      <c r="HTO8" s="222"/>
      <c r="HTP8" s="222"/>
      <c r="HTQ8" s="222"/>
      <c r="HTR8" s="222"/>
      <c r="HTS8" s="222"/>
      <c r="HTT8" s="222"/>
      <c r="HTU8" s="222"/>
      <c r="HTV8" s="222"/>
      <c r="HTW8" s="222"/>
      <c r="HTX8" s="222"/>
      <c r="HTY8" s="222"/>
      <c r="HTZ8" s="222"/>
      <c r="HUA8" s="222"/>
      <c r="HUB8" s="222"/>
      <c r="HUC8" s="222"/>
      <c r="HUD8" s="222"/>
      <c r="HUE8" s="222"/>
      <c r="HUF8" s="222"/>
      <c r="HUG8" s="222"/>
      <c r="HUH8" s="222"/>
      <c r="HUI8" s="222"/>
      <c r="HUJ8" s="222"/>
      <c r="HUK8" s="222"/>
      <c r="HUL8" s="222"/>
      <c r="HUM8" s="222"/>
      <c r="HUN8" s="222"/>
      <c r="HUO8" s="222"/>
      <c r="HUP8" s="222"/>
      <c r="HUQ8" s="222"/>
      <c r="HUR8" s="222"/>
      <c r="HUS8" s="222"/>
      <c r="HUT8" s="222"/>
      <c r="HUU8" s="222"/>
      <c r="HUV8" s="222"/>
      <c r="HUW8" s="222"/>
      <c r="HUX8" s="222"/>
      <c r="HUY8" s="222"/>
      <c r="HUZ8" s="222"/>
      <c r="HVA8" s="222"/>
      <c r="HVB8" s="222"/>
      <c r="HVC8" s="222"/>
      <c r="HVD8" s="222"/>
      <c r="HVE8" s="222"/>
      <c r="HVF8" s="222"/>
      <c r="HVG8" s="222"/>
      <c r="HVH8" s="222"/>
      <c r="HVI8" s="222"/>
      <c r="HVJ8" s="222"/>
      <c r="HVK8" s="222"/>
      <c r="HVL8" s="222"/>
      <c r="HVM8" s="222"/>
      <c r="HVN8" s="222"/>
      <c r="HVO8" s="222"/>
      <c r="HVP8" s="222"/>
      <c r="HVQ8" s="222"/>
      <c r="HVR8" s="222"/>
      <c r="HVS8" s="222"/>
      <c r="HVT8" s="222"/>
      <c r="HVU8" s="222"/>
      <c r="HVV8" s="222"/>
      <c r="HVW8" s="222"/>
      <c r="HVX8" s="222"/>
      <c r="HVY8" s="222"/>
      <c r="HVZ8" s="222"/>
      <c r="HWA8" s="222"/>
      <c r="HWB8" s="222"/>
      <c r="HWC8" s="222"/>
      <c r="HWD8" s="222"/>
      <c r="HWE8" s="222"/>
      <c r="HWF8" s="222"/>
      <c r="HWG8" s="222"/>
      <c r="HWH8" s="222"/>
      <c r="HWI8" s="222"/>
      <c r="HWJ8" s="222"/>
      <c r="HWK8" s="222"/>
      <c r="HWL8" s="222"/>
      <c r="HWM8" s="222"/>
      <c r="HWN8" s="222"/>
      <c r="HWO8" s="222"/>
      <c r="HWP8" s="222"/>
      <c r="HWQ8" s="222"/>
      <c r="HWR8" s="222"/>
      <c r="HWS8" s="222"/>
      <c r="HWT8" s="222"/>
      <c r="HWU8" s="222"/>
      <c r="HWV8" s="222"/>
      <c r="HWW8" s="222"/>
      <c r="HWX8" s="222"/>
      <c r="HWY8" s="222"/>
      <c r="HWZ8" s="222"/>
      <c r="HXA8" s="222"/>
      <c r="HXB8" s="222"/>
      <c r="HXC8" s="222"/>
      <c r="HXD8" s="222"/>
      <c r="HXE8" s="222"/>
      <c r="HXF8" s="222"/>
      <c r="HXG8" s="222"/>
      <c r="HXH8" s="222"/>
      <c r="HXI8" s="222"/>
      <c r="HXJ8" s="222"/>
      <c r="HXK8" s="222"/>
      <c r="HXL8" s="222"/>
      <c r="HXM8" s="222"/>
      <c r="HXN8" s="222"/>
      <c r="HXO8" s="222"/>
      <c r="HXP8" s="222"/>
      <c r="HXQ8" s="222"/>
      <c r="HXR8" s="222"/>
      <c r="HXS8" s="222"/>
      <c r="HXT8" s="222"/>
      <c r="HXU8" s="222"/>
      <c r="HXV8" s="222"/>
      <c r="HXW8" s="222"/>
      <c r="HXX8" s="222"/>
      <c r="HXY8" s="222"/>
      <c r="HXZ8" s="222"/>
      <c r="HYA8" s="222"/>
      <c r="HYB8" s="222"/>
      <c r="HYC8" s="222"/>
      <c r="HYD8" s="222"/>
      <c r="HYE8" s="222"/>
      <c r="HYF8" s="222"/>
      <c r="HYG8" s="222"/>
      <c r="HYH8" s="222"/>
      <c r="HYI8" s="222"/>
      <c r="HYJ8" s="222"/>
      <c r="HYK8" s="222"/>
      <c r="HYL8" s="222"/>
      <c r="HYM8" s="222"/>
      <c r="HYN8" s="222"/>
      <c r="HYO8" s="222"/>
      <c r="HYP8" s="222"/>
      <c r="HYQ8" s="222"/>
      <c r="HYR8" s="222"/>
      <c r="HYS8" s="222"/>
      <c r="HYT8" s="222"/>
      <c r="HYU8" s="222"/>
      <c r="HYV8" s="222"/>
      <c r="HYW8" s="222"/>
      <c r="HYX8" s="222"/>
      <c r="HYY8" s="222"/>
      <c r="HYZ8" s="222"/>
      <c r="HZA8" s="222"/>
      <c r="HZB8" s="222"/>
      <c r="HZC8" s="222"/>
      <c r="HZD8" s="222"/>
      <c r="HZE8" s="222"/>
      <c r="HZF8" s="222"/>
      <c r="HZG8" s="222"/>
      <c r="HZH8" s="222"/>
      <c r="HZI8" s="222"/>
      <c r="HZJ8" s="222"/>
      <c r="HZK8" s="222"/>
      <c r="HZL8" s="222"/>
      <c r="HZM8" s="222"/>
      <c r="HZN8" s="222"/>
      <c r="HZO8" s="222"/>
      <c r="HZP8" s="222"/>
      <c r="HZQ8" s="222"/>
      <c r="HZR8" s="222"/>
      <c r="HZS8" s="222"/>
      <c r="HZT8" s="222"/>
      <c r="HZU8" s="222"/>
      <c r="HZV8" s="222"/>
      <c r="HZW8" s="222"/>
      <c r="HZX8" s="222"/>
      <c r="HZY8" s="222"/>
      <c r="HZZ8" s="222"/>
      <c r="IAA8" s="222"/>
      <c r="IAB8" s="222"/>
      <c r="IAC8" s="222"/>
      <c r="IAD8" s="222"/>
      <c r="IAE8" s="222"/>
      <c r="IAF8" s="222"/>
      <c r="IAG8" s="222"/>
      <c r="IAH8" s="222"/>
      <c r="IAI8" s="222"/>
      <c r="IAJ8" s="222"/>
      <c r="IAK8" s="222"/>
      <c r="IAL8" s="222"/>
      <c r="IAM8" s="222"/>
      <c r="IAN8" s="222"/>
      <c r="IAO8" s="222"/>
      <c r="IAP8" s="222"/>
      <c r="IAQ8" s="222"/>
      <c r="IAR8" s="222"/>
      <c r="IAS8" s="222"/>
      <c r="IAT8" s="222"/>
      <c r="IAU8" s="222"/>
      <c r="IAV8" s="222"/>
      <c r="IAW8" s="222"/>
      <c r="IAX8" s="222"/>
      <c r="IAY8" s="222"/>
      <c r="IAZ8" s="222"/>
      <c r="IBA8" s="222"/>
      <c r="IBB8" s="222"/>
      <c r="IBC8" s="222"/>
      <c r="IBD8" s="222"/>
      <c r="IBE8" s="222"/>
      <c r="IBF8" s="222"/>
      <c r="IBG8" s="222"/>
      <c r="IBH8" s="222"/>
      <c r="IBI8" s="222"/>
      <c r="IBJ8" s="222"/>
      <c r="IBK8" s="222"/>
      <c r="IBL8" s="222"/>
      <c r="IBM8" s="222"/>
      <c r="IBN8" s="222"/>
      <c r="IBO8" s="222"/>
      <c r="IBP8" s="222"/>
      <c r="IBQ8" s="222"/>
      <c r="IBR8" s="222"/>
      <c r="IBS8" s="222"/>
      <c r="IBT8" s="222"/>
      <c r="IBU8" s="222"/>
      <c r="IBV8" s="222"/>
      <c r="IBW8" s="222"/>
      <c r="IBX8" s="222"/>
      <c r="IBY8" s="222"/>
      <c r="IBZ8" s="222"/>
      <c r="ICA8" s="222"/>
      <c r="ICB8" s="222"/>
      <c r="ICC8" s="222"/>
      <c r="ICD8" s="222"/>
      <c r="ICE8" s="222"/>
      <c r="ICF8" s="222"/>
      <c r="ICG8" s="222"/>
      <c r="ICH8" s="222"/>
      <c r="ICI8" s="222"/>
      <c r="ICJ8" s="222"/>
      <c r="ICK8" s="222"/>
      <c r="ICL8" s="222"/>
      <c r="ICM8" s="222"/>
      <c r="ICN8" s="222"/>
      <c r="ICO8" s="222"/>
      <c r="ICP8" s="222"/>
      <c r="ICQ8" s="222"/>
      <c r="ICR8" s="222"/>
      <c r="ICS8" s="222"/>
      <c r="ICT8" s="222"/>
      <c r="ICU8" s="222"/>
      <c r="ICV8" s="222"/>
      <c r="ICW8" s="222"/>
      <c r="ICX8" s="222"/>
      <c r="ICY8" s="222"/>
      <c r="ICZ8" s="222"/>
      <c r="IDA8" s="222"/>
      <c r="IDB8" s="222"/>
      <c r="IDC8" s="222"/>
      <c r="IDD8" s="222"/>
      <c r="IDE8" s="222"/>
      <c r="IDF8" s="222"/>
      <c r="IDG8" s="222"/>
      <c r="IDH8" s="222"/>
      <c r="IDI8" s="222"/>
      <c r="IDJ8" s="222"/>
      <c r="IDK8" s="222"/>
      <c r="IDL8" s="222"/>
      <c r="IDM8" s="222"/>
      <c r="IDN8" s="222"/>
      <c r="IDO8" s="222"/>
      <c r="IDP8" s="222"/>
      <c r="IDQ8" s="222"/>
      <c r="IDR8" s="222"/>
      <c r="IDS8" s="222"/>
      <c r="IDT8" s="222"/>
      <c r="IDU8" s="222"/>
      <c r="IDV8" s="222"/>
      <c r="IDW8" s="222"/>
      <c r="IDX8" s="222"/>
      <c r="IDY8" s="222"/>
      <c r="IDZ8" s="222"/>
      <c r="IEA8" s="222"/>
      <c r="IEB8" s="222"/>
      <c r="IEC8" s="222"/>
      <c r="IED8" s="222"/>
      <c r="IEE8" s="222"/>
      <c r="IEF8" s="222"/>
      <c r="IEG8" s="222"/>
      <c r="IEH8" s="222"/>
      <c r="IEI8" s="222"/>
      <c r="IEJ8" s="222"/>
      <c r="IEK8" s="222"/>
      <c r="IEL8" s="222"/>
      <c r="IEM8" s="222"/>
      <c r="IEN8" s="222"/>
      <c r="IEO8" s="222"/>
      <c r="IEP8" s="222"/>
      <c r="IEQ8" s="222"/>
      <c r="IER8" s="222"/>
      <c r="IES8" s="222"/>
      <c r="IET8" s="222"/>
      <c r="IEU8" s="222"/>
      <c r="IEV8" s="222"/>
      <c r="IEW8" s="222"/>
      <c r="IEX8" s="222"/>
      <c r="IEY8" s="222"/>
      <c r="IEZ8" s="222"/>
      <c r="IFA8" s="222"/>
      <c r="IFB8" s="222"/>
      <c r="IFC8" s="222"/>
      <c r="IFD8" s="222"/>
      <c r="IFE8" s="222"/>
      <c r="IFF8" s="222"/>
      <c r="IFG8" s="222"/>
      <c r="IFH8" s="222"/>
      <c r="IFI8" s="222"/>
      <c r="IFJ8" s="222"/>
      <c r="IFK8" s="222"/>
      <c r="IFL8" s="222"/>
      <c r="IFM8" s="222"/>
      <c r="IFN8" s="222"/>
      <c r="IFO8" s="222"/>
      <c r="IFP8" s="222"/>
      <c r="IFQ8" s="222"/>
      <c r="IFR8" s="222"/>
      <c r="IFS8" s="222"/>
      <c r="IFT8" s="222"/>
      <c r="IFU8" s="222"/>
      <c r="IFV8" s="222"/>
      <c r="IFW8" s="222"/>
      <c r="IFX8" s="222"/>
      <c r="IFY8" s="222"/>
      <c r="IFZ8" s="222"/>
      <c r="IGA8" s="222"/>
      <c r="IGB8" s="222"/>
      <c r="IGC8" s="222"/>
      <c r="IGD8" s="222"/>
      <c r="IGE8" s="222"/>
      <c r="IGF8" s="222"/>
      <c r="IGG8" s="222"/>
      <c r="IGH8" s="222"/>
      <c r="IGI8" s="222"/>
      <c r="IGJ8" s="222"/>
      <c r="IGK8" s="222"/>
      <c r="IGL8" s="222"/>
      <c r="IGM8" s="222"/>
      <c r="IGN8" s="222"/>
      <c r="IGO8" s="222"/>
      <c r="IGP8" s="222"/>
      <c r="IGQ8" s="222"/>
      <c r="IGR8" s="222"/>
      <c r="IGS8" s="222"/>
      <c r="IGT8" s="222"/>
      <c r="IGU8" s="222"/>
      <c r="IGV8" s="222"/>
      <c r="IGW8" s="222"/>
      <c r="IGX8" s="222"/>
      <c r="IGY8" s="222"/>
      <c r="IGZ8" s="222"/>
      <c r="IHA8" s="222"/>
      <c r="IHB8" s="222"/>
      <c r="IHC8" s="222"/>
      <c r="IHD8" s="222"/>
      <c r="IHE8" s="222"/>
      <c r="IHF8" s="222"/>
      <c r="IHG8" s="222"/>
      <c r="IHH8" s="222"/>
      <c r="IHI8" s="222"/>
      <c r="IHJ8" s="222"/>
      <c r="IHK8" s="222"/>
      <c r="IHL8" s="222"/>
      <c r="IHM8" s="222"/>
      <c r="IHN8" s="222"/>
      <c r="IHO8" s="222"/>
      <c r="IHP8" s="222"/>
      <c r="IHQ8" s="222"/>
      <c r="IHR8" s="222"/>
      <c r="IHS8" s="222"/>
      <c r="IHT8" s="222"/>
      <c r="IHU8" s="222"/>
      <c r="IHV8" s="222"/>
      <c r="IHW8" s="222"/>
      <c r="IHX8" s="222"/>
      <c r="IHY8" s="222"/>
      <c r="IHZ8" s="222"/>
      <c r="IIA8" s="222"/>
      <c r="IIB8" s="222"/>
      <c r="IIC8" s="222"/>
      <c r="IID8" s="222"/>
      <c r="IIE8" s="222"/>
      <c r="IIF8" s="222"/>
      <c r="IIG8" s="222"/>
      <c r="IIH8" s="222"/>
      <c r="III8" s="222"/>
      <c r="IIJ8" s="222"/>
      <c r="IIK8" s="222"/>
      <c r="IIL8" s="222"/>
      <c r="IIM8" s="222"/>
      <c r="IIN8" s="222"/>
      <c r="IIO8" s="222"/>
      <c r="IIP8" s="222"/>
      <c r="IIQ8" s="222"/>
      <c r="IIR8" s="222"/>
      <c r="IIS8" s="222"/>
      <c r="IIT8" s="222"/>
      <c r="IIU8" s="222"/>
      <c r="IIV8" s="222"/>
      <c r="IIW8" s="222"/>
      <c r="IIX8" s="222"/>
      <c r="IIY8" s="222"/>
      <c r="IIZ8" s="222"/>
      <c r="IJA8" s="222"/>
      <c r="IJB8" s="222"/>
      <c r="IJC8" s="222"/>
      <c r="IJD8" s="222"/>
      <c r="IJE8" s="222"/>
      <c r="IJF8" s="222"/>
      <c r="IJG8" s="222"/>
      <c r="IJH8" s="222"/>
      <c r="IJI8" s="222"/>
      <c r="IJJ8" s="222"/>
      <c r="IJK8" s="222"/>
      <c r="IJL8" s="222"/>
      <c r="IJM8" s="222"/>
      <c r="IJN8" s="222"/>
      <c r="IJO8" s="222"/>
      <c r="IJP8" s="222"/>
      <c r="IJQ8" s="222"/>
      <c r="IJR8" s="222"/>
      <c r="IJS8" s="222"/>
      <c r="IJT8" s="222"/>
      <c r="IJU8" s="222"/>
      <c r="IJV8" s="222"/>
      <c r="IJW8" s="222"/>
      <c r="IJX8" s="222"/>
      <c r="IJY8" s="222"/>
      <c r="IJZ8" s="222"/>
      <c r="IKA8" s="222"/>
      <c r="IKB8" s="222"/>
      <c r="IKC8" s="222"/>
      <c r="IKD8" s="222"/>
      <c r="IKE8" s="222"/>
      <c r="IKF8" s="222"/>
      <c r="IKG8" s="222"/>
      <c r="IKH8" s="222"/>
      <c r="IKI8" s="222"/>
      <c r="IKJ8" s="222"/>
      <c r="IKK8" s="222"/>
      <c r="IKL8" s="222"/>
      <c r="IKM8" s="222"/>
      <c r="IKN8" s="222"/>
      <c r="IKO8" s="222"/>
      <c r="IKP8" s="222"/>
      <c r="IKQ8" s="222"/>
      <c r="IKR8" s="222"/>
      <c r="IKS8" s="222"/>
      <c r="IKT8" s="222"/>
      <c r="IKU8" s="222"/>
      <c r="IKV8" s="222"/>
      <c r="IKW8" s="222"/>
      <c r="IKX8" s="222"/>
      <c r="IKY8" s="222"/>
      <c r="IKZ8" s="222"/>
      <c r="ILA8" s="222"/>
      <c r="ILB8" s="222"/>
      <c r="ILC8" s="222"/>
      <c r="ILD8" s="222"/>
      <c r="ILE8" s="222"/>
      <c r="ILF8" s="222"/>
      <c r="ILG8" s="222"/>
      <c r="ILH8" s="222"/>
      <c r="ILI8" s="222"/>
      <c r="ILJ8" s="222"/>
      <c r="ILK8" s="222"/>
      <c r="ILL8" s="222"/>
      <c r="ILM8" s="222"/>
      <c r="ILN8" s="222"/>
      <c r="ILO8" s="222"/>
      <c r="ILP8" s="222"/>
      <c r="ILQ8" s="222"/>
      <c r="ILR8" s="222"/>
      <c r="ILS8" s="222"/>
      <c r="ILT8" s="222"/>
      <c r="ILU8" s="222"/>
      <c r="ILV8" s="222"/>
      <c r="ILW8" s="222"/>
      <c r="ILX8" s="222"/>
      <c r="ILY8" s="222"/>
      <c r="ILZ8" s="222"/>
      <c r="IMA8" s="222"/>
      <c r="IMB8" s="222"/>
      <c r="IMC8" s="222"/>
      <c r="IMD8" s="222"/>
      <c r="IME8" s="222"/>
      <c r="IMF8" s="222"/>
      <c r="IMG8" s="222"/>
      <c r="IMH8" s="222"/>
      <c r="IMI8" s="222"/>
      <c r="IMJ8" s="222"/>
      <c r="IMK8" s="222"/>
      <c r="IML8" s="222"/>
      <c r="IMM8" s="222"/>
      <c r="IMN8" s="222"/>
      <c r="IMO8" s="222"/>
      <c r="IMP8" s="222"/>
      <c r="IMQ8" s="222"/>
      <c r="IMR8" s="222"/>
      <c r="IMS8" s="222"/>
      <c r="IMT8" s="222"/>
      <c r="IMU8" s="222"/>
      <c r="IMV8" s="222"/>
      <c r="IMW8" s="222"/>
      <c r="IMX8" s="222"/>
      <c r="IMY8" s="222"/>
      <c r="IMZ8" s="222"/>
      <c r="INA8" s="222"/>
      <c r="INB8" s="222"/>
      <c r="INC8" s="222"/>
      <c r="IND8" s="222"/>
      <c r="INE8" s="222"/>
      <c r="INF8" s="222"/>
      <c r="ING8" s="222"/>
      <c r="INH8" s="222"/>
      <c r="INI8" s="222"/>
      <c r="INJ8" s="222"/>
      <c r="INK8" s="222"/>
      <c r="INL8" s="222"/>
      <c r="INM8" s="222"/>
      <c r="INN8" s="222"/>
      <c r="INO8" s="222"/>
      <c r="INP8" s="222"/>
      <c r="INQ8" s="222"/>
      <c r="INR8" s="222"/>
      <c r="INS8" s="222"/>
      <c r="INT8" s="222"/>
      <c r="INU8" s="222"/>
      <c r="INV8" s="222"/>
      <c r="INW8" s="222"/>
      <c r="INX8" s="222"/>
      <c r="INY8" s="222"/>
      <c r="INZ8" s="222"/>
      <c r="IOA8" s="222"/>
      <c r="IOB8" s="222"/>
      <c r="IOC8" s="222"/>
      <c r="IOD8" s="222"/>
      <c r="IOE8" s="222"/>
      <c r="IOF8" s="222"/>
      <c r="IOG8" s="222"/>
      <c r="IOH8" s="222"/>
      <c r="IOI8" s="222"/>
      <c r="IOJ8" s="222"/>
      <c r="IOK8" s="222"/>
      <c r="IOL8" s="222"/>
      <c r="IOM8" s="222"/>
      <c r="ION8" s="222"/>
      <c r="IOO8" s="222"/>
      <c r="IOP8" s="222"/>
      <c r="IOQ8" s="222"/>
      <c r="IOR8" s="222"/>
      <c r="IOS8" s="222"/>
      <c r="IOT8" s="222"/>
      <c r="IOU8" s="222"/>
      <c r="IOV8" s="222"/>
      <c r="IOW8" s="222"/>
      <c r="IOX8" s="222"/>
      <c r="IOY8" s="222"/>
      <c r="IOZ8" s="222"/>
      <c r="IPA8" s="222"/>
      <c r="IPB8" s="222"/>
      <c r="IPC8" s="222"/>
      <c r="IPD8" s="222"/>
      <c r="IPE8" s="222"/>
      <c r="IPF8" s="222"/>
      <c r="IPG8" s="222"/>
      <c r="IPH8" s="222"/>
      <c r="IPI8" s="222"/>
      <c r="IPJ8" s="222"/>
      <c r="IPK8" s="222"/>
      <c r="IPL8" s="222"/>
      <c r="IPM8" s="222"/>
      <c r="IPN8" s="222"/>
      <c r="IPO8" s="222"/>
      <c r="IPP8" s="222"/>
      <c r="IPQ8" s="222"/>
      <c r="IPR8" s="222"/>
      <c r="IPS8" s="222"/>
      <c r="IPT8" s="222"/>
      <c r="IPU8" s="222"/>
      <c r="IPV8" s="222"/>
      <c r="IPW8" s="222"/>
      <c r="IPX8" s="222"/>
      <c r="IPY8" s="222"/>
      <c r="IPZ8" s="222"/>
      <c r="IQA8" s="222"/>
      <c r="IQB8" s="222"/>
      <c r="IQC8" s="222"/>
      <c r="IQD8" s="222"/>
      <c r="IQE8" s="222"/>
      <c r="IQF8" s="222"/>
      <c r="IQG8" s="222"/>
      <c r="IQH8" s="222"/>
      <c r="IQI8" s="222"/>
      <c r="IQJ8" s="222"/>
      <c r="IQK8" s="222"/>
      <c r="IQL8" s="222"/>
      <c r="IQM8" s="222"/>
      <c r="IQN8" s="222"/>
      <c r="IQO8" s="222"/>
      <c r="IQP8" s="222"/>
      <c r="IQQ8" s="222"/>
      <c r="IQR8" s="222"/>
      <c r="IQS8" s="222"/>
      <c r="IQT8" s="222"/>
      <c r="IQU8" s="222"/>
      <c r="IQV8" s="222"/>
      <c r="IQW8" s="222"/>
      <c r="IQX8" s="222"/>
      <c r="IQY8" s="222"/>
      <c r="IQZ8" s="222"/>
      <c r="IRA8" s="222"/>
      <c r="IRB8" s="222"/>
      <c r="IRC8" s="222"/>
      <c r="IRD8" s="222"/>
      <c r="IRE8" s="222"/>
      <c r="IRF8" s="222"/>
      <c r="IRG8" s="222"/>
      <c r="IRH8" s="222"/>
      <c r="IRI8" s="222"/>
      <c r="IRJ8" s="222"/>
      <c r="IRK8" s="222"/>
      <c r="IRL8" s="222"/>
      <c r="IRM8" s="222"/>
      <c r="IRN8" s="222"/>
      <c r="IRO8" s="222"/>
      <c r="IRP8" s="222"/>
      <c r="IRQ8" s="222"/>
      <c r="IRR8" s="222"/>
      <c r="IRS8" s="222"/>
      <c r="IRT8" s="222"/>
      <c r="IRU8" s="222"/>
      <c r="IRV8" s="222"/>
      <c r="IRW8" s="222"/>
      <c r="IRX8" s="222"/>
      <c r="IRY8" s="222"/>
      <c r="IRZ8" s="222"/>
      <c r="ISA8" s="222"/>
      <c r="ISB8" s="222"/>
      <c r="ISC8" s="222"/>
      <c r="ISD8" s="222"/>
      <c r="ISE8" s="222"/>
      <c r="ISF8" s="222"/>
      <c r="ISG8" s="222"/>
      <c r="ISH8" s="222"/>
      <c r="ISI8" s="222"/>
      <c r="ISJ8" s="222"/>
      <c r="ISK8" s="222"/>
      <c r="ISL8" s="222"/>
      <c r="ISM8" s="222"/>
      <c r="ISN8" s="222"/>
      <c r="ISO8" s="222"/>
      <c r="ISP8" s="222"/>
      <c r="ISQ8" s="222"/>
      <c r="ISR8" s="222"/>
      <c r="ISS8" s="222"/>
      <c r="IST8" s="222"/>
      <c r="ISU8" s="222"/>
      <c r="ISV8" s="222"/>
      <c r="ISW8" s="222"/>
      <c r="ISX8" s="222"/>
      <c r="ISY8" s="222"/>
      <c r="ISZ8" s="222"/>
      <c r="ITA8" s="222"/>
      <c r="ITB8" s="222"/>
      <c r="ITC8" s="222"/>
      <c r="ITD8" s="222"/>
      <c r="ITE8" s="222"/>
      <c r="ITF8" s="222"/>
      <c r="ITG8" s="222"/>
      <c r="ITH8" s="222"/>
      <c r="ITI8" s="222"/>
      <c r="ITJ8" s="222"/>
      <c r="ITK8" s="222"/>
      <c r="ITL8" s="222"/>
      <c r="ITM8" s="222"/>
      <c r="ITN8" s="222"/>
      <c r="ITO8" s="222"/>
      <c r="ITP8" s="222"/>
      <c r="ITQ8" s="222"/>
      <c r="ITR8" s="222"/>
      <c r="ITS8" s="222"/>
      <c r="ITT8" s="222"/>
      <c r="ITU8" s="222"/>
      <c r="ITV8" s="222"/>
      <c r="ITW8" s="222"/>
      <c r="ITX8" s="222"/>
      <c r="ITY8" s="222"/>
      <c r="ITZ8" s="222"/>
      <c r="IUA8" s="222"/>
      <c r="IUB8" s="222"/>
      <c r="IUC8" s="222"/>
      <c r="IUD8" s="222"/>
      <c r="IUE8" s="222"/>
      <c r="IUF8" s="222"/>
      <c r="IUG8" s="222"/>
      <c r="IUH8" s="222"/>
      <c r="IUI8" s="222"/>
      <c r="IUJ8" s="222"/>
      <c r="IUK8" s="222"/>
      <c r="IUL8" s="222"/>
      <c r="IUM8" s="222"/>
      <c r="IUN8" s="222"/>
      <c r="IUO8" s="222"/>
      <c r="IUP8" s="222"/>
      <c r="IUQ8" s="222"/>
      <c r="IUR8" s="222"/>
      <c r="IUS8" s="222"/>
      <c r="IUT8" s="222"/>
      <c r="IUU8" s="222"/>
      <c r="IUV8" s="222"/>
      <c r="IUW8" s="222"/>
      <c r="IUX8" s="222"/>
      <c r="IUY8" s="222"/>
      <c r="IUZ8" s="222"/>
      <c r="IVA8" s="222"/>
      <c r="IVB8" s="222"/>
      <c r="IVC8" s="222"/>
      <c r="IVD8" s="222"/>
      <c r="IVE8" s="222"/>
      <c r="IVF8" s="222"/>
      <c r="IVG8" s="222"/>
      <c r="IVH8" s="222"/>
      <c r="IVI8" s="222"/>
      <c r="IVJ8" s="222"/>
      <c r="IVK8" s="222"/>
      <c r="IVL8" s="222"/>
      <c r="IVM8" s="222"/>
      <c r="IVN8" s="222"/>
      <c r="IVO8" s="222"/>
      <c r="IVP8" s="222"/>
      <c r="IVQ8" s="222"/>
      <c r="IVR8" s="222"/>
      <c r="IVS8" s="222"/>
      <c r="IVT8" s="222"/>
      <c r="IVU8" s="222"/>
      <c r="IVV8" s="222"/>
      <c r="IVW8" s="222"/>
      <c r="IVX8" s="222"/>
      <c r="IVY8" s="222"/>
      <c r="IVZ8" s="222"/>
      <c r="IWA8" s="222"/>
      <c r="IWB8" s="222"/>
      <c r="IWC8" s="222"/>
      <c r="IWD8" s="222"/>
      <c r="IWE8" s="222"/>
      <c r="IWF8" s="222"/>
      <c r="IWG8" s="222"/>
      <c r="IWH8" s="222"/>
      <c r="IWI8" s="222"/>
      <c r="IWJ8" s="222"/>
      <c r="IWK8" s="222"/>
      <c r="IWL8" s="222"/>
      <c r="IWM8" s="222"/>
      <c r="IWN8" s="222"/>
      <c r="IWO8" s="222"/>
      <c r="IWP8" s="222"/>
      <c r="IWQ8" s="222"/>
      <c r="IWR8" s="222"/>
      <c r="IWS8" s="222"/>
      <c r="IWT8" s="222"/>
      <c r="IWU8" s="222"/>
      <c r="IWV8" s="222"/>
      <c r="IWW8" s="222"/>
      <c r="IWX8" s="222"/>
      <c r="IWY8" s="222"/>
      <c r="IWZ8" s="222"/>
      <c r="IXA8" s="222"/>
      <c r="IXB8" s="222"/>
      <c r="IXC8" s="222"/>
      <c r="IXD8" s="222"/>
      <c r="IXE8" s="222"/>
      <c r="IXF8" s="222"/>
      <c r="IXG8" s="222"/>
      <c r="IXH8" s="222"/>
      <c r="IXI8" s="222"/>
      <c r="IXJ8" s="222"/>
      <c r="IXK8" s="222"/>
      <c r="IXL8" s="222"/>
      <c r="IXM8" s="222"/>
      <c r="IXN8" s="222"/>
      <c r="IXO8" s="222"/>
      <c r="IXP8" s="222"/>
      <c r="IXQ8" s="222"/>
      <c r="IXR8" s="222"/>
      <c r="IXS8" s="222"/>
      <c r="IXT8" s="222"/>
      <c r="IXU8" s="222"/>
      <c r="IXV8" s="222"/>
      <c r="IXW8" s="222"/>
      <c r="IXX8" s="222"/>
      <c r="IXY8" s="222"/>
      <c r="IXZ8" s="222"/>
      <c r="IYA8" s="222"/>
      <c r="IYB8" s="222"/>
      <c r="IYC8" s="222"/>
      <c r="IYD8" s="222"/>
      <c r="IYE8" s="222"/>
      <c r="IYF8" s="222"/>
      <c r="IYG8" s="222"/>
      <c r="IYH8" s="222"/>
      <c r="IYI8" s="222"/>
      <c r="IYJ8" s="222"/>
      <c r="IYK8" s="222"/>
      <c r="IYL8" s="222"/>
      <c r="IYM8" s="222"/>
      <c r="IYN8" s="222"/>
      <c r="IYO8" s="222"/>
      <c r="IYP8" s="222"/>
      <c r="IYQ8" s="222"/>
      <c r="IYR8" s="222"/>
      <c r="IYS8" s="222"/>
      <c r="IYT8" s="222"/>
      <c r="IYU8" s="222"/>
      <c r="IYV8" s="222"/>
      <c r="IYW8" s="222"/>
      <c r="IYX8" s="222"/>
      <c r="IYY8" s="222"/>
      <c r="IYZ8" s="222"/>
      <c r="IZA8" s="222"/>
      <c r="IZB8" s="222"/>
      <c r="IZC8" s="222"/>
      <c r="IZD8" s="222"/>
      <c r="IZE8" s="222"/>
      <c r="IZF8" s="222"/>
      <c r="IZG8" s="222"/>
      <c r="IZH8" s="222"/>
      <c r="IZI8" s="222"/>
      <c r="IZJ8" s="222"/>
      <c r="IZK8" s="222"/>
      <c r="IZL8" s="222"/>
      <c r="IZM8" s="222"/>
      <c r="IZN8" s="222"/>
      <c r="IZO8" s="222"/>
      <c r="IZP8" s="222"/>
      <c r="IZQ8" s="222"/>
      <c r="IZR8" s="222"/>
      <c r="IZS8" s="222"/>
      <c r="IZT8" s="222"/>
      <c r="IZU8" s="222"/>
      <c r="IZV8" s="222"/>
      <c r="IZW8" s="222"/>
      <c r="IZX8" s="222"/>
      <c r="IZY8" s="222"/>
      <c r="IZZ8" s="222"/>
      <c r="JAA8" s="222"/>
      <c r="JAB8" s="222"/>
      <c r="JAC8" s="222"/>
      <c r="JAD8" s="222"/>
      <c r="JAE8" s="222"/>
      <c r="JAF8" s="222"/>
      <c r="JAG8" s="222"/>
      <c r="JAH8" s="222"/>
      <c r="JAI8" s="222"/>
      <c r="JAJ8" s="222"/>
      <c r="JAK8" s="222"/>
      <c r="JAL8" s="222"/>
      <c r="JAM8" s="222"/>
      <c r="JAN8" s="222"/>
      <c r="JAO8" s="222"/>
      <c r="JAP8" s="222"/>
      <c r="JAQ8" s="222"/>
      <c r="JAR8" s="222"/>
      <c r="JAS8" s="222"/>
      <c r="JAT8" s="222"/>
      <c r="JAU8" s="222"/>
      <c r="JAV8" s="222"/>
      <c r="JAW8" s="222"/>
      <c r="JAX8" s="222"/>
      <c r="JAY8" s="222"/>
      <c r="JAZ8" s="222"/>
      <c r="JBA8" s="222"/>
      <c r="JBB8" s="222"/>
      <c r="JBC8" s="222"/>
      <c r="JBD8" s="222"/>
      <c r="JBE8" s="222"/>
      <c r="JBF8" s="222"/>
      <c r="JBG8" s="222"/>
      <c r="JBH8" s="222"/>
      <c r="JBI8" s="222"/>
      <c r="JBJ8" s="222"/>
      <c r="JBK8" s="222"/>
      <c r="JBL8" s="222"/>
      <c r="JBM8" s="222"/>
      <c r="JBN8" s="222"/>
      <c r="JBO8" s="222"/>
      <c r="JBP8" s="222"/>
      <c r="JBQ8" s="222"/>
      <c r="JBR8" s="222"/>
      <c r="JBS8" s="222"/>
      <c r="JBT8" s="222"/>
      <c r="JBU8" s="222"/>
      <c r="JBV8" s="222"/>
      <c r="JBW8" s="222"/>
      <c r="JBX8" s="222"/>
      <c r="JBY8" s="222"/>
      <c r="JBZ8" s="222"/>
      <c r="JCA8" s="222"/>
      <c r="JCB8" s="222"/>
      <c r="JCC8" s="222"/>
      <c r="JCD8" s="222"/>
      <c r="JCE8" s="222"/>
      <c r="JCF8" s="222"/>
      <c r="JCG8" s="222"/>
      <c r="JCH8" s="222"/>
      <c r="JCI8" s="222"/>
      <c r="JCJ8" s="222"/>
      <c r="JCK8" s="222"/>
      <c r="JCL8" s="222"/>
      <c r="JCM8" s="222"/>
      <c r="JCN8" s="222"/>
      <c r="JCO8" s="222"/>
      <c r="JCP8" s="222"/>
      <c r="JCQ8" s="222"/>
      <c r="JCR8" s="222"/>
      <c r="JCS8" s="222"/>
      <c r="JCT8" s="222"/>
      <c r="JCU8" s="222"/>
      <c r="JCV8" s="222"/>
      <c r="JCW8" s="222"/>
      <c r="JCX8" s="222"/>
      <c r="JCY8" s="222"/>
      <c r="JCZ8" s="222"/>
      <c r="JDA8" s="222"/>
      <c r="JDB8" s="222"/>
      <c r="JDC8" s="222"/>
      <c r="JDD8" s="222"/>
      <c r="JDE8" s="222"/>
      <c r="JDF8" s="222"/>
      <c r="JDG8" s="222"/>
      <c r="JDH8" s="222"/>
      <c r="JDI8" s="222"/>
      <c r="JDJ8" s="222"/>
      <c r="JDK8" s="222"/>
      <c r="JDL8" s="222"/>
      <c r="JDM8" s="222"/>
      <c r="JDN8" s="222"/>
      <c r="JDO8" s="222"/>
      <c r="JDP8" s="222"/>
      <c r="JDQ8" s="222"/>
      <c r="JDR8" s="222"/>
      <c r="JDS8" s="222"/>
      <c r="JDT8" s="222"/>
      <c r="JDU8" s="222"/>
      <c r="JDV8" s="222"/>
      <c r="JDW8" s="222"/>
      <c r="JDX8" s="222"/>
      <c r="JDY8" s="222"/>
      <c r="JDZ8" s="222"/>
      <c r="JEA8" s="222"/>
      <c r="JEB8" s="222"/>
      <c r="JEC8" s="222"/>
      <c r="JED8" s="222"/>
      <c r="JEE8" s="222"/>
      <c r="JEF8" s="222"/>
      <c r="JEG8" s="222"/>
      <c r="JEH8" s="222"/>
      <c r="JEI8" s="222"/>
      <c r="JEJ8" s="222"/>
      <c r="JEK8" s="222"/>
      <c r="JEL8" s="222"/>
      <c r="JEM8" s="222"/>
      <c r="JEN8" s="222"/>
      <c r="JEO8" s="222"/>
      <c r="JEP8" s="222"/>
      <c r="JEQ8" s="222"/>
      <c r="JER8" s="222"/>
      <c r="JES8" s="222"/>
      <c r="JET8" s="222"/>
      <c r="JEU8" s="222"/>
      <c r="JEV8" s="222"/>
      <c r="JEW8" s="222"/>
      <c r="JEX8" s="222"/>
      <c r="JEY8" s="222"/>
      <c r="JEZ8" s="222"/>
      <c r="JFA8" s="222"/>
      <c r="JFB8" s="222"/>
      <c r="JFC8" s="222"/>
      <c r="JFD8" s="222"/>
      <c r="JFE8" s="222"/>
      <c r="JFF8" s="222"/>
      <c r="JFG8" s="222"/>
      <c r="JFH8" s="222"/>
      <c r="JFI8" s="222"/>
      <c r="JFJ8" s="222"/>
      <c r="JFK8" s="222"/>
      <c r="JFL8" s="222"/>
      <c r="JFM8" s="222"/>
      <c r="JFN8" s="222"/>
      <c r="JFO8" s="222"/>
      <c r="JFP8" s="222"/>
      <c r="JFQ8" s="222"/>
      <c r="JFR8" s="222"/>
      <c r="JFS8" s="222"/>
      <c r="JFT8" s="222"/>
      <c r="JFU8" s="222"/>
      <c r="JFV8" s="222"/>
      <c r="JFW8" s="222"/>
      <c r="JFX8" s="222"/>
      <c r="JFY8" s="222"/>
      <c r="JFZ8" s="222"/>
      <c r="JGA8" s="222"/>
      <c r="JGB8" s="222"/>
      <c r="JGC8" s="222"/>
      <c r="JGD8" s="222"/>
      <c r="JGE8" s="222"/>
      <c r="JGF8" s="222"/>
      <c r="JGG8" s="222"/>
      <c r="JGH8" s="222"/>
      <c r="JGI8" s="222"/>
      <c r="JGJ8" s="222"/>
      <c r="JGK8" s="222"/>
      <c r="JGL8" s="222"/>
      <c r="JGM8" s="222"/>
      <c r="JGN8" s="222"/>
      <c r="JGO8" s="222"/>
      <c r="JGP8" s="222"/>
      <c r="JGQ8" s="222"/>
      <c r="JGR8" s="222"/>
      <c r="JGS8" s="222"/>
      <c r="JGT8" s="222"/>
      <c r="JGU8" s="222"/>
      <c r="JGV8" s="222"/>
      <c r="JGW8" s="222"/>
      <c r="JGX8" s="222"/>
      <c r="JGY8" s="222"/>
      <c r="JGZ8" s="222"/>
      <c r="JHA8" s="222"/>
      <c r="JHB8" s="222"/>
      <c r="JHC8" s="222"/>
      <c r="JHD8" s="222"/>
      <c r="JHE8" s="222"/>
      <c r="JHF8" s="222"/>
      <c r="JHG8" s="222"/>
      <c r="JHH8" s="222"/>
      <c r="JHI8" s="222"/>
      <c r="JHJ8" s="222"/>
      <c r="JHK8" s="222"/>
      <c r="JHL8" s="222"/>
      <c r="JHM8" s="222"/>
      <c r="JHN8" s="222"/>
      <c r="JHO8" s="222"/>
      <c r="JHP8" s="222"/>
      <c r="JHQ8" s="222"/>
      <c r="JHR8" s="222"/>
      <c r="JHS8" s="222"/>
      <c r="JHT8" s="222"/>
      <c r="JHU8" s="222"/>
      <c r="JHV8" s="222"/>
      <c r="JHW8" s="222"/>
      <c r="JHX8" s="222"/>
      <c r="JHY8" s="222"/>
      <c r="JHZ8" s="222"/>
      <c r="JIA8" s="222"/>
      <c r="JIB8" s="222"/>
      <c r="JIC8" s="222"/>
      <c r="JID8" s="222"/>
      <c r="JIE8" s="222"/>
      <c r="JIF8" s="222"/>
      <c r="JIG8" s="222"/>
      <c r="JIH8" s="222"/>
      <c r="JII8" s="222"/>
      <c r="JIJ8" s="222"/>
      <c r="JIK8" s="222"/>
      <c r="JIL8" s="222"/>
      <c r="JIM8" s="222"/>
      <c r="JIN8" s="222"/>
      <c r="JIO8" s="222"/>
      <c r="JIP8" s="222"/>
      <c r="JIQ8" s="222"/>
      <c r="JIR8" s="222"/>
      <c r="JIS8" s="222"/>
      <c r="JIT8" s="222"/>
      <c r="JIU8" s="222"/>
      <c r="JIV8" s="222"/>
      <c r="JIW8" s="222"/>
      <c r="JIX8" s="222"/>
      <c r="JIY8" s="222"/>
      <c r="JIZ8" s="222"/>
      <c r="JJA8" s="222"/>
      <c r="JJB8" s="222"/>
      <c r="JJC8" s="222"/>
      <c r="JJD8" s="222"/>
      <c r="JJE8" s="222"/>
      <c r="JJF8" s="222"/>
      <c r="JJG8" s="222"/>
      <c r="JJH8" s="222"/>
      <c r="JJI8" s="222"/>
      <c r="JJJ8" s="222"/>
      <c r="JJK8" s="222"/>
      <c r="JJL8" s="222"/>
      <c r="JJM8" s="222"/>
      <c r="JJN8" s="222"/>
      <c r="JJO8" s="222"/>
      <c r="JJP8" s="222"/>
      <c r="JJQ8" s="222"/>
      <c r="JJR8" s="222"/>
      <c r="JJS8" s="222"/>
      <c r="JJT8" s="222"/>
      <c r="JJU8" s="222"/>
      <c r="JJV8" s="222"/>
      <c r="JJW8" s="222"/>
      <c r="JJX8" s="222"/>
      <c r="JJY8" s="222"/>
      <c r="JJZ8" s="222"/>
      <c r="JKA8" s="222"/>
      <c r="JKB8" s="222"/>
      <c r="JKC8" s="222"/>
      <c r="JKD8" s="222"/>
      <c r="JKE8" s="222"/>
      <c r="JKF8" s="222"/>
      <c r="JKG8" s="222"/>
      <c r="JKH8" s="222"/>
      <c r="JKI8" s="222"/>
      <c r="JKJ8" s="222"/>
      <c r="JKK8" s="222"/>
      <c r="JKL8" s="222"/>
      <c r="JKM8" s="222"/>
      <c r="JKN8" s="222"/>
      <c r="JKO8" s="222"/>
      <c r="JKP8" s="222"/>
      <c r="JKQ8" s="222"/>
      <c r="JKR8" s="222"/>
      <c r="JKS8" s="222"/>
      <c r="JKT8" s="222"/>
      <c r="JKU8" s="222"/>
      <c r="JKV8" s="222"/>
      <c r="JKW8" s="222"/>
      <c r="JKX8" s="222"/>
      <c r="JKY8" s="222"/>
      <c r="JKZ8" s="222"/>
      <c r="JLA8" s="222"/>
      <c r="JLB8" s="222"/>
      <c r="JLC8" s="222"/>
      <c r="JLD8" s="222"/>
      <c r="JLE8" s="222"/>
      <c r="JLF8" s="222"/>
      <c r="JLG8" s="222"/>
      <c r="JLH8" s="222"/>
      <c r="JLI8" s="222"/>
      <c r="JLJ8" s="222"/>
      <c r="JLK8" s="222"/>
      <c r="JLL8" s="222"/>
      <c r="JLM8" s="222"/>
      <c r="JLN8" s="222"/>
      <c r="JLO8" s="222"/>
      <c r="JLP8" s="222"/>
      <c r="JLQ8" s="222"/>
      <c r="JLR8" s="222"/>
      <c r="JLS8" s="222"/>
      <c r="JLT8" s="222"/>
      <c r="JLU8" s="222"/>
      <c r="JLV8" s="222"/>
      <c r="JLW8" s="222"/>
      <c r="JLX8" s="222"/>
      <c r="JLY8" s="222"/>
      <c r="JLZ8" s="222"/>
      <c r="JMA8" s="222"/>
      <c r="JMB8" s="222"/>
      <c r="JMC8" s="222"/>
      <c r="JMD8" s="222"/>
      <c r="JME8" s="222"/>
      <c r="JMF8" s="222"/>
      <c r="JMG8" s="222"/>
      <c r="JMH8" s="222"/>
      <c r="JMI8" s="222"/>
      <c r="JMJ8" s="222"/>
      <c r="JMK8" s="222"/>
      <c r="JML8" s="222"/>
      <c r="JMM8" s="222"/>
      <c r="JMN8" s="222"/>
      <c r="JMO8" s="222"/>
      <c r="JMP8" s="222"/>
      <c r="JMQ8" s="222"/>
      <c r="JMR8" s="222"/>
      <c r="JMS8" s="222"/>
      <c r="JMT8" s="222"/>
      <c r="JMU8" s="222"/>
      <c r="JMV8" s="222"/>
      <c r="JMW8" s="222"/>
      <c r="JMX8" s="222"/>
      <c r="JMY8" s="222"/>
      <c r="JMZ8" s="222"/>
      <c r="JNA8" s="222"/>
      <c r="JNB8" s="222"/>
      <c r="JNC8" s="222"/>
      <c r="JND8" s="222"/>
      <c r="JNE8" s="222"/>
      <c r="JNF8" s="222"/>
      <c r="JNG8" s="222"/>
      <c r="JNH8" s="222"/>
      <c r="JNI8" s="222"/>
      <c r="JNJ8" s="222"/>
      <c r="JNK8" s="222"/>
      <c r="JNL8" s="222"/>
      <c r="JNM8" s="222"/>
      <c r="JNN8" s="222"/>
      <c r="JNO8" s="222"/>
      <c r="JNP8" s="222"/>
      <c r="JNQ8" s="222"/>
      <c r="JNR8" s="222"/>
      <c r="JNS8" s="222"/>
      <c r="JNT8" s="222"/>
      <c r="JNU8" s="222"/>
      <c r="JNV8" s="222"/>
      <c r="JNW8" s="222"/>
      <c r="JNX8" s="222"/>
      <c r="JNY8" s="222"/>
      <c r="JNZ8" s="222"/>
      <c r="JOA8" s="222"/>
      <c r="JOB8" s="222"/>
      <c r="JOC8" s="222"/>
      <c r="JOD8" s="222"/>
      <c r="JOE8" s="222"/>
      <c r="JOF8" s="222"/>
      <c r="JOG8" s="222"/>
      <c r="JOH8" s="222"/>
      <c r="JOI8" s="222"/>
      <c r="JOJ8" s="222"/>
      <c r="JOK8" s="222"/>
      <c r="JOL8" s="222"/>
      <c r="JOM8" s="222"/>
      <c r="JON8" s="222"/>
      <c r="JOO8" s="222"/>
      <c r="JOP8" s="222"/>
      <c r="JOQ8" s="222"/>
      <c r="JOR8" s="222"/>
      <c r="JOS8" s="222"/>
      <c r="JOT8" s="222"/>
      <c r="JOU8" s="222"/>
      <c r="JOV8" s="222"/>
      <c r="JOW8" s="222"/>
      <c r="JOX8" s="222"/>
      <c r="JOY8" s="222"/>
      <c r="JOZ8" s="222"/>
      <c r="JPA8" s="222"/>
      <c r="JPB8" s="222"/>
      <c r="JPC8" s="222"/>
      <c r="JPD8" s="222"/>
      <c r="JPE8" s="222"/>
      <c r="JPF8" s="222"/>
      <c r="JPG8" s="222"/>
      <c r="JPH8" s="222"/>
      <c r="JPI8" s="222"/>
      <c r="JPJ8" s="222"/>
      <c r="JPK8" s="222"/>
      <c r="JPL8" s="222"/>
      <c r="JPM8" s="222"/>
      <c r="JPN8" s="222"/>
      <c r="JPO8" s="222"/>
      <c r="JPP8" s="222"/>
      <c r="JPQ8" s="222"/>
      <c r="JPR8" s="222"/>
      <c r="JPS8" s="222"/>
      <c r="JPT8" s="222"/>
      <c r="JPU8" s="222"/>
      <c r="JPV8" s="222"/>
      <c r="JPW8" s="222"/>
      <c r="JPX8" s="222"/>
      <c r="JPY8" s="222"/>
      <c r="JPZ8" s="222"/>
      <c r="JQA8" s="222"/>
      <c r="JQB8" s="222"/>
      <c r="JQC8" s="222"/>
      <c r="JQD8" s="222"/>
      <c r="JQE8" s="222"/>
      <c r="JQF8" s="222"/>
      <c r="JQG8" s="222"/>
      <c r="JQH8" s="222"/>
      <c r="JQI8" s="222"/>
      <c r="JQJ8" s="222"/>
      <c r="JQK8" s="222"/>
      <c r="JQL8" s="222"/>
      <c r="JQM8" s="222"/>
      <c r="JQN8" s="222"/>
      <c r="JQO8" s="222"/>
      <c r="JQP8" s="222"/>
      <c r="JQQ8" s="222"/>
      <c r="JQR8" s="222"/>
      <c r="JQS8" s="222"/>
      <c r="JQT8" s="222"/>
      <c r="JQU8" s="222"/>
      <c r="JQV8" s="222"/>
      <c r="JQW8" s="222"/>
      <c r="JQX8" s="222"/>
      <c r="JQY8" s="222"/>
      <c r="JQZ8" s="222"/>
      <c r="JRA8" s="222"/>
      <c r="JRB8" s="222"/>
      <c r="JRC8" s="222"/>
      <c r="JRD8" s="222"/>
      <c r="JRE8" s="222"/>
      <c r="JRF8" s="222"/>
      <c r="JRG8" s="222"/>
      <c r="JRH8" s="222"/>
      <c r="JRI8" s="222"/>
      <c r="JRJ8" s="222"/>
      <c r="JRK8" s="222"/>
      <c r="JRL8" s="222"/>
      <c r="JRM8" s="222"/>
      <c r="JRN8" s="222"/>
      <c r="JRO8" s="222"/>
      <c r="JRP8" s="222"/>
      <c r="JRQ8" s="222"/>
      <c r="JRR8" s="222"/>
      <c r="JRS8" s="222"/>
      <c r="JRT8" s="222"/>
      <c r="JRU8" s="222"/>
      <c r="JRV8" s="222"/>
      <c r="JRW8" s="222"/>
      <c r="JRX8" s="222"/>
      <c r="JRY8" s="222"/>
      <c r="JRZ8" s="222"/>
      <c r="JSA8" s="222"/>
      <c r="JSB8" s="222"/>
      <c r="JSC8" s="222"/>
      <c r="JSD8" s="222"/>
      <c r="JSE8" s="222"/>
      <c r="JSF8" s="222"/>
      <c r="JSG8" s="222"/>
      <c r="JSH8" s="222"/>
      <c r="JSI8" s="222"/>
      <c r="JSJ8" s="222"/>
      <c r="JSK8" s="222"/>
      <c r="JSL8" s="222"/>
      <c r="JSM8" s="222"/>
      <c r="JSN8" s="222"/>
      <c r="JSO8" s="222"/>
      <c r="JSP8" s="222"/>
      <c r="JSQ8" s="222"/>
      <c r="JSR8" s="222"/>
      <c r="JSS8" s="222"/>
      <c r="JST8" s="222"/>
      <c r="JSU8" s="222"/>
      <c r="JSV8" s="222"/>
      <c r="JSW8" s="222"/>
      <c r="JSX8" s="222"/>
      <c r="JSY8" s="222"/>
      <c r="JSZ8" s="222"/>
      <c r="JTA8" s="222"/>
      <c r="JTB8" s="222"/>
      <c r="JTC8" s="222"/>
      <c r="JTD8" s="222"/>
      <c r="JTE8" s="222"/>
      <c r="JTF8" s="222"/>
      <c r="JTG8" s="222"/>
      <c r="JTH8" s="222"/>
      <c r="JTI8" s="222"/>
      <c r="JTJ8" s="222"/>
      <c r="JTK8" s="222"/>
      <c r="JTL8" s="222"/>
      <c r="JTM8" s="222"/>
      <c r="JTN8" s="222"/>
      <c r="JTO8" s="222"/>
      <c r="JTP8" s="222"/>
      <c r="JTQ8" s="222"/>
      <c r="JTR8" s="222"/>
      <c r="JTS8" s="222"/>
      <c r="JTT8" s="222"/>
      <c r="JTU8" s="222"/>
      <c r="JTV8" s="222"/>
      <c r="JTW8" s="222"/>
      <c r="JTX8" s="222"/>
      <c r="JTY8" s="222"/>
      <c r="JTZ8" s="222"/>
      <c r="JUA8" s="222"/>
      <c r="JUB8" s="222"/>
      <c r="JUC8" s="222"/>
      <c r="JUD8" s="222"/>
      <c r="JUE8" s="222"/>
      <c r="JUF8" s="222"/>
      <c r="JUG8" s="222"/>
      <c r="JUH8" s="222"/>
      <c r="JUI8" s="222"/>
      <c r="JUJ8" s="222"/>
      <c r="JUK8" s="222"/>
      <c r="JUL8" s="222"/>
      <c r="JUM8" s="222"/>
      <c r="JUN8" s="222"/>
      <c r="JUO8" s="222"/>
      <c r="JUP8" s="222"/>
      <c r="JUQ8" s="222"/>
      <c r="JUR8" s="222"/>
      <c r="JUS8" s="222"/>
      <c r="JUT8" s="222"/>
      <c r="JUU8" s="222"/>
      <c r="JUV8" s="222"/>
      <c r="JUW8" s="222"/>
      <c r="JUX8" s="222"/>
      <c r="JUY8" s="222"/>
      <c r="JUZ8" s="222"/>
      <c r="JVA8" s="222"/>
      <c r="JVB8" s="222"/>
      <c r="JVC8" s="222"/>
      <c r="JVD8" s="222"/>
      <c r="JVE8" s="222"/>
      <c r="JVF8" s="222"/>
      <c r="JVG8" s="222"/>
      <c r="JVH8" s="222"/>
      <c r="JVI8" s="222"/>
      <c r="JVJ8" s="222"/>
      <c r="JVK8" s="222"/>
      <c r="JVL8" s="222"/>
      <c r="JVM8" s="222"/>
      <c r="JVN8" s="222"/>
      <c r="JVO8" s="222"/>
      <c r="JVP8" s="222"/>
      <c r="JVQ8" s="222"/>
      <c r="JVR8" s="222"/>
      <c r="JVS8" s="222"/>
      <c r="JVT8" s="222"/>
      <c r="JVU8" s="222"/>
      <c r="JVV8" s="222"/>
      <c r="JVW8" s="222"/>
      <c r="JVX8" s="222"/>
      <c r="JVY8" s="222"/>
      <c r="JVZ8" s="222"/>
      <c r="JWA8" s="222"/>
      <c r="JWB8" s="222"/>
      <c r="JWC8" s="222"/>
      <c r="JWD8" s="222"/>
      <c r="JWE8" s="222"/>
      <c r="JWF8" s="222"/>
      <c r="JWG8" s="222"/>
      <c r="JWH8" s="222"/>
      <c r="JWI8" s="222"/>
      <c r="JWJ8" s="222"/>
      <c r="JWK8" s="222"/>
      <c r="JWL8" s="222"/>
      <c r="JWM8" s="222"/>
      <c r="JWN8" s="222"/>
      <c r="JWO8" s="222"/>
      <c r="JWP8" s="222"/>
      <c r="JWQ8" s="222"/>
      <c r="JWR8" s="222"/>
      <c r="JWS8" s="222"/>
      <c r="JWT8" s="222"/>
      <c r="JWU8" s="222"/>
      <c r="JWV8" s="222"/>
      <c r="JWW8" s="222"/>
      <c r="JWX8" s="222"/>
      <c r="JWY8" s="222"/>
      <c r="JWZ8" s="222"/>
      <c r="JXA8" s="222"/>
      <c r="JXB8" s="222"/>
      <c r="JXC8" s="222"/>
      <c r="JXD8" s="222"/>
      <c r="JXE8" s="222"/>
      <c r="JXF8" s="222"/>
      <c r="JXG8" s="222"/>
      <c r="JXH8" s="222"/>
      <c r="JXI8" s="222"/>
      <c r="JXJ8" s="222"/>
      <c r="JXK8" s="222"/>
      <c r="JXL8" s="222"/>
      <c r="JXM8" s="222"/>
      <c r="JXN8" s="222"/>
      <c r="JXO8" s="222"/>
      <c r="JXP8" s="222"/>
      <c r="JXQ8" s="222"/>
      <c r="JXR8" s="222"/>
      <c r="JXS8" s="222"/>
      <c r="JXT8" s="222"/>
      <c r="JXU8" s="222"/>
      <c r="JXV8" s="222"/>
      <c r="JXW8" s="222"/>
      <c r="JXX8" s="222"/>
      <c r="JXY8" s="222"/>
      <c r="JXZ8" s="222"/>
      <c r="JYA8" s="222"/>
      <c r="JYB8" s="222"/>
      <c r="JYC8" s="222"/>
      <c r="JYD8" s="222"/>
      <c r="JYE8" s="222"/>
      <c r="JYF8" s="222"/>
      <c r="JYG8" s="222"/>
      <c r="JYH8" s="222"/>
      <c r="JYI8" s="222"/>
      <c r="JYJ8" s="222"/>
      <c r="JYK8" s="222"/>
      <c r="JYL8" s="222"/>
      <c r="JYM8" s="222"/>
      <c r="JYN8" s="222"/>
      <c r="JYO8" s="222"/>
      <c r="JYP8" s="222"/>
      <c r="JYQ8" s="222"/>
      <c r="JYR8" s="222"/>
      <c r="JYS8" s="222"/>
      <c r="JYT8" s="222"/>
      <c r="JYU8" s="222"/>
      <c r="JYV8" s="222"/>
      <c r="JYW8" s="222"/>
      <c r="JYX8" s="222"/>
      <c r="JYY8" s="222"/>
      <c r="JYZ8" s="222"/>
      <c r="JZA8" s="222"/>
      <c r="JZB8" s="222"/>
      <c r="JZC8" s="222"/>
      <c r="JZD8" s="222"/>
      <c r="JZE8" s="222"/>
      <c r="JZF8" s="222"/>
      <c r="JZG8" s="222"/>
      <c r="JZH8" s="222"/>
      <c r="JZI8" s="222"/>
      <c r="JZJ8" s="222"/>
      <c r="JZK8" s="222"/>
      <c r="JZL8" s="222"/>
      <c r="JZM8" s="222"/>
      <c r="JZN8" s="222"/>
      <c r="JZO8" s="222"/>
      <c r="JZP8" s="222"/>
      <c r="JZQ8" s="222"/>
      <c r="JZR8" s="222"/>
      <c r="JZS8" s="222"/>
      <c r="JZT8" s="222"/>
      <c r="JZU8" s="222"/>
      <c r="JZV8" s="222"/>
      <c r="JZW8" s="222"/>
      <c r="JZX8" s="222"/>
      <c r="JZY8" s="222"/>
      <c r="JZZ8" s="222"/>
      <c r="KAA8" s="222"/>
      <c r="KAB8" s="222"/>
      <c r="KAC8" s="222"/>
      <c r="KAD8" s="222"/>
      <c r="KAE8" s="222"/>
      <c r="KAF8" s="222"/>
      <c r="KAG8" s="222"/>
      <c r="KAH8" s="222"/>
      <c r="KAI8" s="222"/>
      <c r="KAJ8" s="222"/>
      <c r="KAK8" s="222"/>
      <c r="KAL8" s="222"/>
      <c r="KAM8" s="222"/>
      <c r="KAN8" s="222"/>
      <c r="KAO8" s="222"/>
      <c r="KAP8" s="222"/>
      <c r="KAQ8" s="222"/>
      <c r="KAR8" s="222"/>
      <c r="KAS8" s="222"/>
      <c r="KAT8" s="222"/>
      <c r="KAU8" s="222"/>
      <c r="KAV8" s="222"/>
      <c r="KAW8" s="222"/>
      <c r="KAX8" s="222"/>
      <c r="KAY8" s="222"/>
      <c r="KAZ8" s="222"/>
      <c r="KBA8" s="222"/>
      <c r="KBB8" s="222"/>
      <c r="KBC8" s="222"/>
      <c r="KBD8" s="222"/>
      <c r="KBE8" s="222"/>
      <c r="KBF8" s="222"/>
      <c r="KBG8" s="222"/>
      <c r="KBH8" s="222"/>
      <c r="KBI8" s="222"/>
      <c r="KBJ8" s="222"/>
      <c r="KBK8" s="222"/>
      <c r="KBL8" s="222"/>
      <c r="KBM8" s="222"/>
      <c r="KBN8" s="222"/>
      <c r="KBO8" s="222"/>
      <c r="KBP8" s="222"/>
      <c r="KBQ8" s="222"/>
      <c r="KBR8" s="222"/>
      <c r="KBS8" s="222"/>
      <c r="KBT8" s="222"/>
      <c r="KBU8" s="222"/>
      <c r="KBV8" s="222"/>
      <c r="KBW8" s="222"/>
      <c r="KBX8" s="222"/>
      <c r="KBY8" s="222"/>
      <c r="KBZ8" s="222"/>
      <c r="KCA8" s="222"/>
      <c r="KCB8" s="222"/>
      <c r="KCC8" s="222"/>
      <c r="KCD8" s="222"/>
      <c r="KCE8" s="222"/>
      <c r="KCF8" s="222"/>
      <c r="KCG8" s="222"/>
      <c r="KCH8" s="222"/>
      <c r="KCI8" s="222"/>
      <c r="KCJ8" s="222"/>
      <c r="KCK8" s="222"/>
      <c r="KCL8" s="222"/>
      <c r="KCM8" s="222"/>
      <c r="KCN8" s="222"/>
      <c r="KCO8" s="222"/>
      <c r="KCP8" s="222"/>
      <c r="KCQ8" s="222"/>
      <c r="KCR8" s="222"/>
      <c r="KCS8" s="222"/>
      <c r="KCT8" s="222"/>
      <c r="KCU8" s="222"/>
      <c r="KCV8" s="222"/>
      <c r="KCW8" s="222"/>
      <c r="KCX8" s="222"/>
      <c r="KCY8" s="222"/>
      <c r="KCZ8" s="222"/>
      <c r="KDA8" s="222"/>
      <c r="KDB8" s="222"/>
      <c r="KDC8" s="222"/>
      <c r="KDD8" s="222"/>
      <c r="KDE8" s="222"/>
      <c r="KDF8" s="222"/>
      <c r="KDG8" s="222"/>
      <c r="KDH8" s="222"/>
      <c r="KDI8" s="222"/>
      <c r="KDJ8" s="222"/>
      <c r="KDK8" s="222"/>
      <c r="KDL8" s="222"/>
      <c r="KDM8" s="222"/>
      <c r="KDN8" s="222"/>
      <c r="KDO8" s="222"/>
      <c r="KDP8" s="222"/>
      <c r="KDQ8" s="222"/>
      <c r="KDR8" s="222"/>
      <c r="KDS8" s="222"/>
      <c r="KDT8" s="222"/>
      <c r="KDU8" s="222"/>
      <c r="KDV8" s="222"/>
      <c r="KDW8" s="222"/>
      <c r="KDX8" s="222"/>
      <c r="KDY8" s="222"/>
      <c r="KDZ8" s="222"/>
      <c r="KEA8" s="222"/>
      <c r="KEB8" s="222"/>
      <c r="KEC8" s="222"/>
      <c r="KED8" s="222"/>
      <c r="KEE8" s="222"/>
      <c r="KEF8" s="222"/>
      <c r="KEG8" s="222"/>
      <c r="KEH8" s="222"/>
      <c r="KEI8" s="222"/>
      <c r="KEJ8" s="222"/>
      <c r="KEK8" s="222"/>
      <c r="KEL8" s="222"/>
      <c r="KEM8" s="222"/>
      <c r="KEN8" s="222"/>
      <c r="KEO8" s="222"/>
      <c r="KEP8" s="222"/>
      <c r="KEQ8" s="222"/>
      <c r="KER8" s="222"/>
      <c r="KES8" s="222"/>
      <c r="KET8" s="222"/>
      <c r="KEU8" s="222"/>
      <c r="KEV8" s="222"/>
      <c r="KEW8" s="222"/>
      <c r="KEX8" s="222"/>
      <c r="KEY8" s="222"/>
      <c r="KEZ8" s="222"/>
      <c r="KFA8" s="222"/>
      <c r="KFB8" s="222"/>
      <c r="KFC8" s="222"/>
      <c r="KFD8" s="222"/>
      <c r="KFE8" s="222"/>
      <c r="KFF8" s="222"/>
      <c r="KFG8" s="222"/>
      <c r="KFH8" s="222"/>
      <c r="KFI8" s="222"/>
      <c r="KFJ8" s="222"/>
      <c r="KFK8" s="222"/>
      <c r="KFL8" s="222"/>
      <c r="KFM8" s="222"/>
      <c r="KFN8" s="222"/>
      <c r="KFO8" s="222"/>
      <c r="KFP8" s="222"/>
      <c r="KFQ8" s="222"/>
      <c r="KFR8" s="222"/>
      <c r="KFS8" s="222"/>
      <c r="KFT8" s="222"/>
      <c r="KFU8" s="222"/>
      <c r="KFV8" s="222"/>
      <c r="KFW8" s="222"/>
      <c r="KFX8" s="222"/>
      <c r="KFY8" s="222"/>
      <c r="KFZ8" s="222"/>
      <c r="KGA8" s="222"/>
      <c r="KGB8" s="222"/>
      <c r="KGC8" s="222"/>
      <c r="KGD8" s="222"/>
      <c r="KGE8" s="222"/>
      <c r="KGF8" s="222"/>
      <c r="KGG8" s="222"/>
      <c r="KGH8" s="222"/>
      <c r="KGI8" s="222"/>
      <c r="KGJ8" s="222"/>
      <c r="KGK8" s="222"/>
      <c r="KGL8" s="222"/>
      <c r="KGM8" s="222"/>
      <c r="KGN8" s="222"/>
      <c r="KGO8" s="222"/>
      <c r="KGP8" s="222"/>
      <c r="KGQ8" s="222"/>
      <c r="KGR8" s="222"/>
      <c r="KGS8" s="222"/>
      <c r="KGT8" s="222"/>
      <c r="KGU8" s="222"/>
      <c r="KGV8" s="222"/>
      <c r="KGW8" s="222"/>
      <c r="KGX8" s="222"/>
      <c r="KGY8" s="222"/>
      <c r="KGZ8" s="222"/>
      <c r="KHA8" s="222"/>
      <c r="KHB8" s="222"/>
      <c r="KHC8" s="222"/>
      <c r="KHD8" s="222"/>
      <c r="KHE8" s="222"/>
      <c r="KHF8" s="222"/>
      <c r="KHG8" s="222"/>
      <c r="KHH8" s="222"/>
      <c r="KHI8" s="222"/>
      <c r="KHJ8" s="222"/>
      <c r="KHK8" s="222"/>
      <c r="KHL8" s="222"/>
      <c r="KHM8" s="222"/>
      <c r="KHN8" s="222"/>
      <c r="KHO8" s="222"/>
      <c r="KHP8" s="222"/>
      <c r="KHQ8" s="222"/>
      <c r="KHR8" s="222"/>
      <c r="KHS8" s="222"/>
      <c r="KHT8" s="222"/>
      <c r="KHU8" s="222"/>
      <c r="KHV8" s="222"/>
      <c r="KHW8" s="222"/>
      <c r="KHX8" s="222"/>
      <c r="KHY8" s="222"/>
      <c r="KHZ8" s="222"/>
      <c r="KIA8" s="222"/>
      <c r="KIB8" s="222"/>
      <c r="KIC8" s="222"/>
      <c r="KID8" s="222"/>
      <c r="KIE8" s="222"/>
      <c r="KIF8" s="222"/>
      <c r="KIG8" s="222"/>
      <c r="KIH8" s="222"/>
      <c r="KII8" s="222"/>
      <c r="KIJ8" s="222"/>
      <c r="KIK8" s="222"/>
      <c r="KIL8" s="222"/>
      <c r="KIM8" s="222"/>
      <c r="KIN8" s="222"/>
      <c r="KIO8" s="222"/>
      <c r="KIP8" s="222"/>
      <c r="KIQ8" s="222"/>
      <c r="KIR8" s="222"/>
      <c r="KIS8" s="222"/>
      <c r="KIT8" s="222"/>
      <c r="KIU8" s="222"/>
      <c r="KIV8" s="222"/>
      <c r="KIW8" s="222"/>
      <c r="KIX8" s="222"/>
      <c r="KIY8" s="222"/>
      <c r="KIZ8" s="222"/>
      <c r="KJA8" s="222"/>
      <c r="KJB8" s="222"/>
      <c r="KJC8" s="222"/>
      <c r="KJD8" s="222"/>
      <c r="KJE8" s="222"/>
      <c r="KJF8" s="222"/>
      <c r="KJG8" s="222"/>
      <c r="KJH8" s="222"/>
      <c r="KJI8" s="222"/>
      <c r="KJJ8" s="222"/>
      <c r="KJK8" s="222"/>
      <c r="KJL8" s="222"/>
      <c r="KJM8" s="222"/>
      <c r="KJN8" s="222"/>
      <c r="KJO8" s="222"/>
      <c r="KJP8" s="222"/>
      <c r="KJQ8" s="222"/>
      <c r="KJR8" s="222"/>
      <c r="KJS8" s="222"/>
      <c r="KJT8" s="222"/>
      <c r="KJU8" s="222"/>
      <c r="KJV8" s="222"/>
      <c r="KJW8" s="222"/>
      <c r="KJX8" s="222"/>
      <c r="KJY8" s="222"/>
      <c r="KJZ8" s="222"/>
      <c r="KKA8" s="222"/>
      <c r="KKB8" s="222"/>
      <c r="KKC8" s="222"/>
      <c r="KKD8" s="222"/>
      <c r="KKE8" s="222"/>
      <c r="KKF8" s="222"/>
      <c r="KKG8" s="222"/>
      <c r="KKH8" s="222"/>
      <c r="KKI8" s="222"/>
      <c r="KKJ8" s="222"/>
      <c r="KKK8" s="222"/>
      <c r="KKL8" s="222"/>
      <c r="KKM8" s="222"/>
      <c r="KKN8" s="222"/>
      <c r="KKO8" s="222"/>
      <c r="KKP8" s="222"/>
      <c r="KKQ8" s="222"/>
      <c r="KKR8" s="222"/>
      <c r="KKS8" s="222"/>
      <c r="KKT8" s="222"/>
      <c r="KKU8" s="222"/>
      <c r="KKV8" s="222"/>
      <c r="KKW8" s="222"/>
      <c r="KKX8" s="222"/>
      <c r="KKY8" s="222"/>
      <c r="KKZ8" s="222"/>
      <c r="KLA8" s="222"/>
      <c r="KLB8" s="222"/>
      <c r="KLC8" s="222"/>
      <c r="KLD8" s="222"/>
      <c r="KLE8" s="222"/>
      <c r="KLF8" s="222"/>
      <c r="KLG8" s="222"/>
      <c r="KLH8" s="222"/>
      <c r="KLI8" s="222"/>
      <c r="KLJ8" s="222"/>
      <c r="KLK8" s="222"/>
      <c r="KLL8" s="222"/>
      <c r="KLM8" s="222"/>
      <c r="KLN8" s="222"/>
      <c r="KLO8" s="222"/>
      <c r="KLP8" s="222"/>
      <c r="KLQ8" s="222"/>
      <c r="KLR8" s="222"/>
      <c r="KLS8" s="222"/>
      <c r="KLT8" s="222"/>
      <c r="KLU8" s="222"/>
      <c r="KLV8" s="222"/>
      <c r="KLW8" s="222"/>
      <c r="KLX8" s="222"/>
      <c r="KLY8" s="222"/>
      <c r="KLZ8" s="222"/>
      <c r="KMA8" s="222"/>
      <c r="KMB8" s="222"/>
      <c r="KMC8" s="222"/>
      <c r="KMD8" s="222"/>
      <c r="KME8" s="222"/>
      <c r="KMF8" s="222"/>
      <c r="KMG8" s="222"/>
      <c r="KMH8" s="222"/>
      <c r="KMI8" s="222"/>
      <c r="KMJ8" s="222"/>
      <c r="KMK8" s="222"/>
      <c r="KML8" s="222"/>
      <c r="KMM8" s="222"/>
      <c r="KMN8" s="222"/>
      <c r="KMO8" s="222"/>
      <c r="KMP8" s="222"/>
      <c r="KMQ8" s="222"/>
      <c r="KMR8" s="222"/>
      <c r="KMS8" s="222"/>
      <c r="KMT8" s="222"/>
      <c r="KMU8" s="222"/>
      <c r="KMV8" s="222"/>
      <c r="KMW8" s="222"/>
      <c r="KMX8" s="222"/>
      <c r="KMY8" s="222"/>
      <c r="KMZ8" s="222"/>
      <c r="KNA8" s="222"/>
      <c r="KNB8" s="222"/>
      <c r="KNC8" s="222"/>
      <c r="KND8" s="222"/>
      <c r="KNE8" s="222"/>
      <c r="KNF8" s="222"/>
      <c r="KNG8" s="222"/>
      <c r="KNH8" s="222"/>
      <c r="KNI8" s="222"/>
      <c r="KNJ8" s="222"/>
      <c r="KNK8" s="222"/>
      <c r="KNL8" s="222"/>
      <c r="KNM8" s="222"/>
      <c r="KNN8" s="222"/>
      <c r="KNO8" s="222"/>
      <c r="KNP8" s="222"/>
      <c r="KNQ8" s="222"/>
      <c r="KNR8" s="222"/>
      <c r="KNS8" s="222"/>
      <c r="KNT8" s="222"/>
      <c r="KNU8" s="222"/>
      <c r="KNV8" s="222"/>
      <c r="KNW8" s="222"/>
      <c r="KNX8" s="222"/>
      <c r="KNY8" s="222"/>
      <c r="KNZ8" s="222"/>
      <c r="KOA8" s="222"/>
      <c r="KOB8" s="222"/>
      <c r="KOC8" s="222"/>
      <c r="KOD8" s="222"/>
      <c r="KOE8" s="222"/>
      <c r="KOF8" s="222"/>
      <c r="KOG8" s="222"/>
      <c r="KOH8" s="222"/>
      <c r="KOI8" s="222"/>
      <c r="KOJ8" s="222"/>
      <c r="KOK8" s="222"/>
      <c r="KOL8" s="222"/>
      <c r="KOM8" s="222"/>
      <c r="KON8" s="222"/>
      <c r="KOO8" s="222"/>
      <c r="KOP8" s="222"/>
      <c r="KOQ8" s="222"/>
      <c r="KOR8" s="222"/>
      <c r="KOS8" s="222"/>
      <c r="KOT8" s="222"/>
      <c r="KOU8" s="222"/>
      <c r="KOV8" s="222"/>
      <c r="KOW8" s="222"/>
      <c r="KOX8" s="222"/>
      <c r="KOY8" s="222"/>
      <c r="KOZ8" s="222"/>
      <c r="KPA8" s="222"/>
      <c r="KPB8" s="222"/>
      <c r="KPC8" s="222"/>
      <c r="KPD8" s="222"/>
      <c r="KPE8" s="222"/>
      <c r="KPF8" s="222"/>
      <c r="KPG8" s="222"/>
      <c r="KPH8" s="222"/>
      <c r="KPI8" s="222"/>
      <c r="KPJ8" s="222"/>
      <c r="KPK8" s="222"/>
      <c r="KPL8" s="222"/>
      <c r="KPM8" s="222"/>
      <c r="KPN8" s="222"/>
      <c r="KPO8" s="222"/>
      <c r="KPP8" s="222"/>
      <c r="KPQ8" s="222"/>
      <c r="KPR8" s="222"/>
      <c r="KPS8" s="222"/>
      <c r="KPT8" s="222"/>
      <c r="KPU8" s="222"/>
      <c r="KPV8" s="222"/>
      <c r="KPW8" s="222"/>
      <c r="KPX8" s="222"/>
      <c r="KPY8" s="222"/>
      <c r="KPZ8" s="222"/>
      <c r="KQA8" s="222"/>
      <c r="KQB8" s="222"/>
      <c r="KQC8" s="222"/>
      <c r="KQD8" s="222"/>
      <c r="KQE8" s="222"/>
      <c r="KQF8" s="222"/>
      <c r="KQG8" s="222"/>
      <c r="KQH8" s="222"/>
      <c r="KQI8" s="222"/>
      <c r="KQJ8" s="222"/>
      <c r="KQK8" s="222"/>
      <c r="KQL8" s="222"/>
      <c r="KQM8" s="222"/>
      <c r="KQN8" s="222"/>
      <c r="KQO8" s="222"/>
      <c r="KQP8" s="222"/>
      <c r="KQQ8" s="222"/>
      <c r="KQR8" s="222"/>
      <c r="KQS8" s="222"/>
      <c r="KQT8" s="222"/>
      <c r="KQU8" s="222"/>
      <c r="KQV8" s="222"/>
      <c r="KQW8" s="222"/>
      <c r="KQX8" s="222"/>
      <c r="KQY8" s="222"/>
      <c r="KQZ8" s="222"/>
      <c r="KRA8" s="222"/>
      <c r="KRB8" s="222"/>
      <c r="KRC8" s="222"/>
      <c r="KRD8" s="222"/>
      <c r="KRE8" s="222"/>
      <c r="KRF8" s="222"/>
      <c r="KRG8" s="222"/>
      <c r="KRH8" s="222"/>
      <c r="KRI8" s="222"/>
      <c r="KRJ8" s="222"/>
      <c r="KRK8" s="222"/>
      <c r="KRL8" s="222"/>
      <c r="KRM8" s="222"/>
      <c r="KRN8" s="222"/>
      <c r="KRO8" s="222"/>
      <c r="KRP8" s="222"/>
      <c r="KRQ8" s="222"/>
      <c r="KRR8" s="222"/>
      <c r="KRS8" s="222"/>
      <c r="KRT8" s="222"/>
      <c r="KRU8" s="222"/>
      <c r="KRV8" s="222"/>
      <c r="KRW8" s="222"/>
      <c r="KRX8" s="222"/>
      <c r="KRY8" s="222"/>
      <c r="KRZ8" s="222"/>
      <c r="KSA8" s="222"/>
      <c r="KSB8" s="222"/>
      <c r="KSC8" s="222"/>
      <c r="KSD8" s="222"/>
      <c r="KSE8" s="222"/>
      <c r="KSF8" s="222"/>
      <c r="KSG8" s="222"/>
      <c r="KSH8" s="222"/>
      <c r="KSI8" s="222"/>
      <c r="KSJ8" s="222"/>
      <c r="KSK8" s="222"/>
      <c r="KSL8" s="222"/>
      <c r="KSM8" s="222"/>
      <c r="KSN8" s="222"/>
      <c r="KSO8" s="222"/>
      <c r="KSP8" s="222"/>
      <c r="KSQ8" s="222"/>
      <c r="KSR8" s="222"/>
      <c r="KSS8" s="222"/>
      <c r="KST8" s="222"/>
      <c r="KSU8" s="222"/>
      <c r="KSV8" s="222"/>
      <c r="KSW8" s="222"/>
      <c r="KSX8" s="222"/>
      <c r="KSY8" s="222"/>
      <c r="KSZ8" s="222"/>
      <c r="KTA8" s="222"/>
      <c r="KTB8" s="222"/>
      <c r="KTC8" s="222"/>
      <c r="KTD8" s="222"/>
      <c r="KTE8" s="222"/>
      <c r="KTF8" s="222"/>
      <c r="KTG8" s="222"/>
      <c r="KTH8" s="222"/>
      <c r="KTI8" s="222"/>
      <c r="KTJ8" s="222"/>
      <c r="KTK8" s="222"/>
      <c r="KTL8" s="222"/>
      <c r="KTM8" s="222"/>
      <c r="KTN8" s="222"/>
      <c r="KTO8" s="222"/>
      <c r="KTP8" s="222"/>
      <c r="KTQ8" s="222"/>
      <c r="KTR8" s="222"/>
      <c r="KTS8" s="222"/>
      <c r="KTT8" s="222"/>
      <c r="KTU8" s="222"/>
      <c r="KTV8" s="222"/>
      <c r="KTW8" s="222"/>
      <c r="KTX8" s="222"/>
      <c r="KTY8" s="222"/>
      <c r="KTZ8" s="222"/>
      <c r="KUA8" s="222"/>
      <c r="KUB8" s="222"/>
      <c r="KUC8" s="222"/>
      <c r="KUD8" s="222"/>
      <c r="KUE8" s="222"/>
      <c r="KUF8" s="222"/>
      <c r="KUG8" s="222"/>
      <c r="KUH8" s="222"/>
      <c r="KUI8" s="222"/>
      <c r="KUJ8" s="222"/>
      <c r="KUK8" s="222"/>
      <c r="KUL8" s="222"/>
      <c r="KUM8" s="222"/>
      <c r="KUN8" s="222"/>
      <c r="KUO8" s="222"/>
      <c r="KUP8" s="222"/>
      <c r="KUQ8" s="222"/>
      <c r="KUR8" s="222"/>
      <c r="KUS8" s="222"/>
      <c r="KUT8" s="222"/>
      <c r="KUU8" s="222"/>
      <c r="KUV8" s="222"/>
      <c r="KUW8" s="222"/>
      <c r="KUX8" s="222"/>
      <c r="KUY8" s="222"/>
      <c r="KUZ8" s="222"/>
      <c r="KVA8" s="222"/>
      <c r="KVB8" s="222"/>
      <c r="KVC8" s="222"/>
      <c r="KVD8" s="222"/>
      <c r="KVE8" s="222"/>
      <c r="KVF8" s="222"/>
      <c r="KVG8" s="222"/>
      <c r="KVH8" s="222"/>
      <c r="KVI8" s="222"/>
      <c r="KVJ8" s="222"/>
      <c r="KVK8" s="222"/>
      <c r="KVL8" s="222"/>
      <c r="KVM8" s="222"/>
      <c r="KVN8" s="222"/>
      <c r="KVO8" s="222"/>
      <c r="KVP8" s="222"/>
      <c r="KVQ8" s="222"/>
      <c r="KVR8" s="222"/>
      <c r="KVS8" s="222"/>
      <c r="KVT8" s="222"/>
      <c r="KVU8" s="222"/>
      <c r="KVV8" s="222"/>
      <c r="KVW8" s="222"/>
      <c r="KVX8" s="222"/>
      <c r="KVY8" s="222"/>
      <c r="KVZ8" s="222"/>
      <c r="KWA8" s="222"/>
      <c r="KWB8" s="222"/>
      <c r="KWC8" s="222"/>
      <c r="KWD8" s="222"/>
      <c r="KWE8" s="222"/>
      <c r="KWF8" s="222"/>
      <c r="KWG8" s="222"/>
      <c r="KWH8" s="222"/>
      <c r="KWI8" s="222"/>
      <c r="KWJ8" s="222"/>
      <c r="KWK8" s="222"/>
      <c r="KWL8" s="222"/>
      <c r="KWM8" s="222"/>
      <c r="KWN8" s="222"/>
      <c r="KWO8" s="222"/>
      <c r="KWP8" s="222"/>
      <c r="KWQ8" s="222"/>
      <c r="KWR8" s="222"/>
      <c r="KWS8" s="222"/>
      <c r="KWT8" s="222"/>
      <c r="KWU8" s="222"/>
      <c r="KWV8" s="222"/>
      <c r="KWW8" s="222"/>
      <c r="KWX8" s="222"/>
      <c r="KWY8" s="222"/>
      <c r="KWZ8" s="222"/>
      <c r="KXA8" s="222"/>
      <c r="KXB8" s="222"/>
      <c r="KXC8" s="222"/>
      <c r="KXD8" s="222"/>
      <c r="KXE8" s="222"/>
      <c r="KXF8" s="222"/>
      <c r="KXG8" s="222"/>
      <c r="KXH8" s="222"/>
      <c r="KXI8" s="222"/>
      <c r="KXJ8" s="222"/>
      <c r="KXK8" s="222"/>
      <c r="KXL8" s="222"/>
      <c r="KXM8" s="222"/>
      <c r="KXN8" s="222"/>
      <c r="KXO8" s="222"/>
      <c r="KXP8" s="222"/>
      <c r="KXQ8" s="222"/>
      <c r="KXR8" s="222"/>
      <c r="KXS8" s="222"/>
      <c r="KXT8" s="222"/>
      <c r="KXU8" s="222"/>
      <c r="KXV8" s="222"/>
      <c r="KXW8" s="222"/>
      <c r="KXX8" s="222"/>
      <c r="KXY8" s="222"/>
      <c r="KXZ8" s="222"/>
      <c r="KYA8" s="222"/>
      <c r="KYB8" s="222"/>
      <c r="KYC8" s="222"/>
      <c r="KYD8" s="222"/>
      <c r="KYE8" s="222"/>
      <c r="KYF8" s="222"/>
      <c r="KYG8" s="222"/>
      <c r="KYH8" s="222"/>
      <c r="KYI8" s="222"/>
      <c r="KYJ8" s="222"/>
      <c r="KYK8" s="222"/>
      <c r="KYL8" s="222"/>
      <c r="KYM8" s="222"/>
      <c r="KYN8" s="222"/>
      <c r="KYO8" s="222"/>
      <c r="KYP8" s="222"/>
      <c r="KYQ8" s="222"/>
      <c r="KYR8" s="222"/>
      <c r="KYS8" s="222"/>
      <c r="KYT8" s="222"/>
      <c r="KYU8" s="222"/>
      <c r="KYV8" s="222"/>
      <c r="KYW8" s="222"/>
      <c r="KYX8" s="222"/>
      <c r="KYY8" s="222"/>
      <c r="KYZ8" s="222"/>
      <c r="KZA8" s="222"/>
      <c r="KZB8" s="222"/>
      <c r="KZC8" s="222"/>
      <c r="KZD8" s="222"/>
      <c r="KZE8" s="222"/>
      <c r="KZF8" s="222"/>
      <c r="KZG8" s="222"/>
      <c r="KZH8" s="222"/>
      <c r="KZI8" s="222"/>
      <c r="KZJ8" s="222"/>
      <c r="KZK8" s="222"/>
      <c r="KZL8" s="222"/>
      <c r="KZM8" s="222"/>
      <c r="KZN8" s="222"/>
      <c r="KZO8" s="222"/>
      <c r="KZP8" s="222"/>
      <c r="KZQ8" s="222"/>
      <c r="KZR8" s="222"/>
      <c r="KZS8" s="222"/>
      <c r="KZT8" s="222"/>
      <c r="KZU8" s="222"/>
      <c r="KZV8" s="222"/>
      <c r="KZW8" s="222"/>
      <c r="KZX8" s="222"/>
      <c r="KZY8" s="222"/>
      <c r="KZZ8" s="222"/>
      <c r="LAA8" s="222"/>
      <c r="LAB8" s="222"/>
      <c r="LAC8" s="222"/>
      <c r="LAD8" s="222"/>
      <c r="LAE8" s="222"/>
      <c r="LAF8" s="222"/>
      <c r="LAG8" s="222"/>
      <c r="LAH8" s="222"/>
      <c r="LAI8" s="222"/>
      <c r="LAJ8" s="222"/>
      <c r="LAK8" s="222"/>
      <c r="LAL8" s="222"/>
      <c r="LAM8" s="222"/>
      <c r="LAN8" s="222"/>
      <c r="LAO8" s="222"/>
      <c r="LAP8" s="222"/>
      <c r="LAQ8" s="222"/>
      <c r="LAR8" s="222"/>
      <c r="LAS8" s="222"/>
      <c r="LAT8" s="222"/>
      <c r="LAU8" s="222"/>
      <c r="LAV8" s="222"/>
      <c r="LAW8" s="222"/>
      <c r="LAX8" s="222"/>
      <c r="LAY8" s="222"/>
      <c r="LAZ8" s="222"/>
      <c r="LBA8" s="222"/>
      <c r="LBB8" s="222"/>
      <c r="LBC8" s="222"/>
      <c r="LBD8" s="222"/>
      <c r="LBE8" s="222"/>
      <c r="LBF8" s="222"/>
      <c r="LBG8" s="222"/>
      <c r="LBH8" s="222"/>
      <c r="LBI8" s="222"/>
      <c r="LBJ8" s="222"/>
      <c r="LBK8" s="222"/>
      <c r="LBL8" s="222"/>
      <c r="LBM8" s="222"/>
      <c r="LBN8" s="222"/>
      <c r="LBO8" s="222"/>
      <c r="LBP8" s="222"/>
      <c r="LBQ8" s="222"/>
      <c r="LBR8" s="222"/>
      <c r="LBS8" s="222"/>
      <c r="LBT8" s="222"/>
      <c r="LBU8" s="222"/>
      <c r="LBV8" s="222"/>
      <c r="LBW8" s="222"/>
      <c r="LBX8" s="222"/>
      <c r="LBY8" s="222"/>
      <c r="LBZ8" s="222"/>
      <c r="LCA8" s="222"/>
      <c r="LCB8" s="222"/>
      <c r="LCC8" s="222"/>
      <c r="LCD8" s="222"/>
      <c r="LCE8" s="222"/>
      <c r="LCF8" s="222"/>
      <c r="LCG8" s="222"/>
      <c r="LCH8" s="222"/>
      <c r="LCI8" s="222"/>
      <c r="LCJ8" s="222"/>
      <c r="LCK8" s="222"/>
      <c r="LCL8" s="222"/>
      <c r="LCM8" s="222"/>
      <c r="LCN8" s="222"/>
      <c r="LCO8" s="222"/>
      <c r="LCP8" s="222"/>
      <c r="LCQ8" s="222"/>
      <c r="LCR8" s="222"/>
      <c r="LCS8" s="222"/>
      <c r="LCT8" s="222"/>
      <c r="LCU8" s="222"/>
      <c r="LCV8" s="222"/>
      <c r="LCW8" s="222"/>
      <c r="LCX8" s="222"/>
      <c r="LCY8" s="222"/>
      <c r="LCZ8" s="222"/>
      <c r="LDA8" s="222"/>
      <c r="LDB8" s="222"/>
      <c r="LDC8" s="222"/>
      <c r="LDD8" s="222"/>
      <c r="LDE8" s="222"/>
      <c r="LDF8" s="222"/>
      <c r="LDG8" s="222"/>
      <c r="LDH8" s="222"/>
      <c r="LDI8" s="222"/>
      <c r="LDJ8" s="222"/>
      <c r="LDK8" s="222"/>
      <c r="LDL8" s="222"/>
      <c r="LDM8" s="222"/>
      <c r="LDN8" s="222"/>
      <c r="LDO8" s="222"/>
      <c r="LDP8" s="222"/>
      <c r="LDQ8" s="222"/>
      <c r="LDR8" s="222"/>
      <c r="LDS8" s="222"/>
      <c r="LDT8" s="222"/>
      <c r="LDU8" s="222"/>
      <c r="LDV8" s="222"/>
      <c r="LDW8" s="222"/>
      <c r="LDX8" s="222"/>
      <c r="LDY8" s="222"/>
      <c r="LDZ8" s="222"/>
      <c r="LEA8" s="222"/>
      <c r="LEB8" s="222"/>
      <c r="LEC8" s="222"/>
      <c r="LED8" s="222"/>
      <c r="LEE8" s="222"/>
      <c r="LEF8" s="222"/>
      <c r="LEG8" s="222"/>
      <c r="LEH8" s="222"/>
      <c r="LEI8" s="222"/>
      <c r="LEJ8" s="222"/>
      <c r="LEK8" s="222"/>
      <c r="LEL8" s="222"/>
      <c r="LEM8" s="222"/>
      <c r="LEN8" s="222"/>
      <c r="LEO8" s="222"/>
      <c r="LEP8" s="222"/>
      <c r="LEQ8" s="222"/>
      <c r="LER8" s="222"/>
      <c r="LES8" s="222"/>
      <c r="LET8" s="222"/>
      <c r="LEU8" s="222"/>
      <c r="LEV8" s="222"/>
      <c r="LEW8" s="222"/>
      <c r="LEX8" s="222"/>
      <c r="LEY8" s="222"/>
      <c r="LEZ8" s="222"/>
      <c r="LFA8" s="222"/>
      <c r="LFB8" s="222"/>
      <c r="LFC8" s="222"/>
      <c r="LFD8" s="222"/>
      <c r="LFE8" s="222"/>
      <c r="LFF8" s="222"/>
      <c r="LFG8" s="222"/>
      <c r="LFH8" s="222"/>
      <c r="LFI8" s="222"/>
      <c r="LFJ8" s="222"/>
      <c r="LFK8" s="222"/>
      <c r="LFL8" s="222"/>
      <c r="LFM8" s="222"/>
      <c r="LFN8" s="222"/>
      <c r="LFO8" s="222"/>
      <c r="LFP8" s="222"/>
      <c r="LFQ8" s="222"/>
      <c r="LFR8" s="222"/>
      <c r="LFS8" s="222"/>
      <c r="LFT8" s="222"/>
      <c r="LFU8" s="222"/>
      <c r="LFV8" s="222"/>
      <c r="LFW8" s="222"/>
      <c r="LFX8" s="222"/>
      <c r="LFY8" s="222"/>
      <c r="LFZ8" s="222"/>
      <c r="LGA8" s="222"/>
      <c r="LGB8" s="222"/>
      <c r="LGC8" s="222"/>
      <c r="LGD8" s="222"/>
      <c r="LGE8" s="222"/>
      <c r="LGF8" s="222"/>
      <c r="LGG8" s="222"/>
      <c r="LGH8" s="222"/>
      <c r="LGI8" s="222"/>
      <c r="LGJ8" s="222"/>
      <c r="LGK8" s="222"/>
      <c r="LGL8" s="222"/>
      <c r="LGM8" s="222"/>
      <c r="LGN8" s="222"/>
      <c r="LGO8" s="222"/>
      <c r="LGP8" s="222"/>
      <c r="LGQ8" s="222"/>
      <c r="LGR8" s="222"/>
      <c r="LGS8" s="222"/>
      <c r="LGT8" s="222"/>
      <c r="LGU8" s="222"/>
      <c r="LGV8" s="222"/>
      <c r="LGW8" s="222"/>
      <c r="LGX8" s="222"/>
      <c r="LGY8" s="222"/>
      <c r="LGZ8" s="222"/>
      <c r="LHA8" s="222"/>
      <c r="LHB8" s="222"/>
      <c r="LHC8" s="222"/>
      <c r="LHD8" s="222"/>
      <c r="LHE8" s="222"/>
      <c r="LHF8" s="222"/>
      <c r="LHG8" s="222"/>
      <c r="LHH8" s="222"/>
      <c r="LHI8" s="222"/>
      <c r="LHJ8" s="222"/>
      <c r="LHK8" s="222"/>
      <c r="LHL8" s="222"/>
      <c r="LHM8" s="222"/>
      <c r="LHN8" s="222"/>
      <c r="LHO8" s="222"/>
      <c r="LHP8" s="222"/>
      <c r="LHQ8" s="222"/>
      <c r="LHR8" s="222"/>
      <c r="LHS8" s="222"/>
      <c r="LHT8" s="222"/>
      <c r="LHU8" s="222"/>
      <c r="LHV8" s="222"/>
      <c r="LHW8" s="222"/>
      <c r="LHX8" s="222"/>
      <c r="LHY8" s="222"/>
      <c r="LHZ8" s="222"/>
      <c r="LIA8" s="222"/>
      <c r="LIB8" s="222"/>
      <c r="LIC8" s="222"/>
      <c r="LID8" s="222"/>
      <c r="LIE8" s="222"/>
      <c r="LIF8" s="222"/>
      <c r="LIG8" s="222"/>
      <c r="LIH8" s="222"/>
      <c r="LII8" s="222"/>
      <c r="LIJ8" s="222"/>
      <c r="LIK8" s="222"/>
      <c r="LIL8" s="222"/>
      <c r="LIM8" s="222"/>
      <c r="LIN8" s="222"/>
      <c r="LIO8" s="222"/>
      <c r="LIP8" s="222"/>
      <c r="LIQ8" s="222"/>
      <c r="LIR8" s="222"/>
      <c r="LIS8" s="222"/>
      <c r="LIT8" s="222"/>
      <c r="LIU8" s="222"/>
      <c r="LIV8" s="222"/>
      <c r="LIW8" s="222"/>
      <c r="LIX8" s="222"/>
      <c r="LIY8" s="222"/>
      <c r="LIZ8" s="222"/>
      <c r="LJA8" s="222"/>
      <c r="LJB8" s="222"/>
      <c r="LJC8" s="222"/>
      <c r="LJD8" s="222"/>
      <c r="LJE8" s="222"/>
      <c r="LJF8" s="222"/>
      <c r="LJG8" s="222"/>
      <c r="LJH8" s="222"/>
      <c r="LJI8" s="222"/>
      <c r="LJJ8" s="222"/>
      <c r="LJK8" s="222"/>
      <c r="LJL8" s="222"/>
      <c r="LJM8" s="222"/>
      <c r="LJN8" s="222"/>
      <c r="LJO8" s="222"/>
      <c r="LJP8" s="222"/>
      <c r="LJQ8" s="222"/>
      <c r="LJR8" s="222"/>
      <c r="LJS8" s="222"/>
      <c r="LJT8" s="222"/>
      <c r="LJU8" s="222"/>
      <c r="LJV8" s="222"/>
      <c r="LJW8" s="222"/>
      <c r="LJX8" s="222"/>
      <c r="LJY8" s="222"/>
      <c r="LJZ8" s="222"/>
      <c r="LKA8" s="222"/>
      <c r="LKB8" s="222"/>
      <c r="LKC8" s="222"/>
      <c r="LKD8" s="222"/>
      <c r="LKE8" s="222"/>
      <c r="LKF8" s="222"/>
      <c r="LKG8" s="222"/>
      <c r="LKH8" s="222"/>
      <c r="LKI8" s="222"/>
      <c r="LKJ8" s="222"/>
      <c r="LKK8" s="222"/>
      <c r="LKL8" s="222"/>
      <c r="LKM8" s="222"/>
      <c r="LKN8" s="222"/>
      <c r="LKO8" s="222"/>
      <c r="LKP8" s="222"/>
      <c r="LKQ8" s="222"/>
      <c r="LKR8" s="222"/>
      <c r="LKS8" s="222"/>
      <c r="LKT8" s="222"/>
      <c r="LKU8" s="222"/>
      <c r="LKV8" s="222"/>
      <c r="LKW8" s="222"/>
      <c r="LKX8" s="222"/>
      <c r="LKY8" s="222"/>
      <c r="LKZ8" s="222"/>
      <c r="LLA8" s="222"/>
      <c r="LLB8" s="222"/>
      <c r="LLC8" s="222"/>
      <c r="LLD8" s="222"/>
      <c r="LLE8" s="222"/>
      <c r="LLF8" s="222"/>
      <c r="LLG8" s="222"/>
      <c r="LLH8" s="222"/>
      <c r="LLI8" s="222"/>
      <c r="LLJ8" s="222"/>
      <c r="LLK8" s="222"/>
      <c r="LLL8" s="222"/>
      <c r="LLM8" s="222"/>
      <c r="LLN8" s="222"/>
      <c r="LLO8" s="222"/>
      <c r="LLP8" s="222"/>
      <c r="LLQ8" s="222"/>
      <c r="LLR8" s="222"/>
      <c r="LLS8" s="222"/>
      <c r="LLT8" s="222"/>
      <c r="LLU8" s="222"/>
      <c r="LLV8" s="222"/>
      <c r="LLW8" s="222"/>
      <c r="LLX8" s="222"/>
      <c r="LLY8" s="222"/>
      <c r="LLZ8" s="222"/>
      <c r="LMA8" s="222"/>
      <c r="LMB8" s="222"/>
      <c r="LMC8" s="222"/>
      <c r="LMD8" s="222"/>
      <c r="LME8" s="222"/>
      <c r="LMF8" s="222"/>
      <c r="LMG8" s="222"/>
      <c r="LMH8" s="222"/>
      <c r="LMI8" s="222"/>
      <c r="LMJ8" s="222"/>
      <c r="LMK8" s="222"/>
      <c r="LML8" s="222"/>
      <c r="LMM8" s="222"/>
      <c r="LMN8" s="222"/>
      <c r="LMO8" s="222"/>
      <c r="LMP8" s="222"/>
      <c r="LMQ8" s="222"/>
      <c r="LMR8" s="222"/>
      <c r="LMS8" s="222"/>
      <c r="LMT8" s="222"/>
      <c r="LMU8" s="222"/>
      <c r="LMV8" s="222"/>
      <c r="LMW8" s="222"/>
      <c r="LMX8" s="222"/>
      <c r="LMY8" s="222"/>
      <c r="LMZ8" s="222"/>
      <c r="LNA8" s="222"/>
      <c r="LNB8" s="222"/>
      <c r="LNC8" s="222"/>
      <c r="LND8" s="222"/>
      <c r="LNE8" s="222"/>
      <c r="LNF8" s="222"/>
      <c r="LNG8" s="222"/>
      <c r="LNH8" s="222"/>
      <c r="LNI8" s="222"/>
      <c r="LNJ8" s="222"/>
      <c r="LNK8" s="222"/>
      <c r="LNL8" s="222"/>
      <c r="LNM8" s="222"/>
      <c r="LNN8" s="222"/>
      <c r="LNO8" s="222"/>
      <c r="LNP8" s="222"/>
      <c r="LNQ8" s="222"/>
      <c r="LNR8" s="222"/>
      <c r="LNS8" s="222"/>
      <c r="LNT8" s="222"/>
      <c r="LNU8" s="222"/>
      <c r="LNV8" s="222"/>
      <c r="LNW8" s="222"/>
      <c r="LNX8" s="222"/>
      <c r="LNY8" s="222"/>
      <c r="LNZ8" s="222"/>
      <c r="LOA8" s="222"/>
      <c r="LOB8" s="222"/>
      <c r="LOC8" s="222"/>
      <c r="LOD8" s="222"/>
      <c r="LOE8" s="222"/>
      <c r="LOF8" s="222"/>
      <c r="LOG8" s="222"/>
      <c r="LOH8" s="222"/>
      <c r="LOI8" s="222"/>
      <c r="LOJ8" s="222"/>
      <c r="LOK8" s="222"/>
      <c r="LOL8" s="222"/>
      <c r="LOM8" s="222"/>
      <c r="LON8" s="222"/>
      <c r="LOO8" s="222"/>
      <c r="LOP8" s="222"/>
      <c r="LOQ8" s="222"/>
      <c r="LOR8" s="222"/>
      <c r="LOS8" s="222"/>
      <c r="LOT8" s="222"/>
      <c r="LOU8" s="222"/>
      <c r="LOV8" s="222"/>
      <c r="LOW8" s="222"/>
      <c r="LOX8" s="222"/>
      <c r="LOY8" s="222"/>
      <c r="LOZ8" s="222"/>
      <c r="LPA8" s="222"/>
      <c r="LPB8" s="222"/>
      <c r="LPC8" s="222"/>
      <c r="LPD8" s="222"/>
      <c r="LPE8" s="222"/>
      <c r="LPF8" s="222"/>
      <c r="LPG8" s="222"/>
      <c r="LPH8" s="222"/>
      <c r="LPI8" s="222"/>
      <c r="LPJ8" s="222"/>
      <c r="LPK8" s="222"/>
      <c r="LPL8" s="222"/>
      <c r="LPM8" s="222"/>
      <c r="LPN8" s="222"/>
      <c r="LPO8" s="222"/>
      <c r="LPP8" s="222"/>
      <c r="LPQ8" s="222"/>
      <c r="LPR8" s="222"/>
      <c r="LPS8" s="222"/>
      <c r="LPT8" s="222"/>
      <c r="LPU8" s="222"/>
      <c r="LPV8" s="222"/>
      <c r="LPW8" s="222"/>
      <c r="LPX8" s="222"/>
      <c r="LPY8" s="222"/>
      <c r="LPZ8" s="222"/>
      <c r="LQA8" s="222"/>
      <c r="LQB8" s="222"/>
      <c r="LQC8" s="222"/>
      <c r="LQD8" s="222"/>
      <c r="LQE8" s="222"/>
      <c r="LQF8" s="222"/>
      <c r="LQG8" s="222"/>
      <c r="LQH8" s="222"/>
      <c r="LQI8" s="222"/>
      <c r="LQJ8" s="222"/>
      <c r="LQK8" s="222"/>
      <c r="LQL8" s="222"/>
      <c r="LQM8" s="222"/>
      <c r="LQN8" s="222"/>
      <c r="LQO8" s="222"/>
      <c r="LQP8" s="222"/>
      <c r="LQQ8" s="222"/>
      <c r="LQR8" s="222"/>
      <c r="LQS8" s="222"/>
      <c r="LQT8" s="222"/>
      <c r="LQU8" s="222"/>
      <c r="LQV8" s="222"/>
      <c r="LQW8" s="222"/>
      <c r="LQX8" s="222"/>
      <c r="LQY8" s="222"/>
      <c r="LQZ8" s="222"/>
      <c r="LRA8" s="222"/>
      <c r="LRB8" s="222"/>
      <c r="LRC8" s="222"/>
      <c r="LRD8" s="222"/>
      <c r="LRE8" s="222"/>
      <c r="LRF8" s="222"/>
      <c r="LRG8" s="222"/>
      <c r="LRH8" s="222"/>
      <c r="LRI8" s="222"/>
      <c r="LRJ8" s="222"/>
      <c r="LRK8" s="222"/>
      <c r="LRL8" s="222"/>
      <c r="LRM8" s="222"/>
      <c r="LRN8" s="222"/>
      <c r="LRO8" s="222"/>
      <c r="LRP8" s="222"/>
      <c r="LRQ8" s="222"/>
      <c r="LRR8" s="222"/>
      <c r="LRS8" s="222"/>
      <c r="LRT8" s="222"/>
      <c r="LRU8" s="222"/>
      <c r="LRV8" s="222"/>
      <c r="LRW8" s="222"/>
      <c r="LRX8" s="222"/>
      <c r="LRY8" s="222"/>
      <c r="LRZ8" s="222"/>
      <c r="LSA8" s="222"/>
      <c r="LSB8" s="222"/>
      <c r="LSC8" s="222"/>
      <c r="LSD8" s="222"/>
      <c r="LSE8" s="222"/>
      <c r="LSF8" s="222"/>
      <c r="LSG8" s="222"/>
      <c r="LSH8" s="222"/>
      <c r="LSI8" s="222"/>
      <c r="LSJ8" s="222"/>
      <c r="LSK8" s="222"/>
      <c r="LSL8" s="222"/>
      <c r="LSM8" s="222"/>
      <c r="LSN8" s="222"/>
      <c r="LSO8" s="222"/>
      <c r="LSP8" s="222"/>
      <c r="LSQ8" s="222"/>
      <c r="LSR8" s="222"/>
      <c r="LSS8" s="222"/>
      <c r="LST8" s="222"/>
      <c r="LSU8" s="222"/>
      <c r="LSV8" s="222"/>
      <c r="LSW8" s="222"/>
      <c r="LSX8" s="222"/>
      <c r="LSY8" s="222"/>
      <c r="LSZ8" s="222"/>
      <c r="LTA8" s="222"/>
      <c r="LTB8" s="222"/>
      <c r="LTC8" s="222"/>
      <c r="LTD8" s="222"/>
      <c r="LTE8" s="222"/>
      <c r="LTF8" s="222"/>
      <c r="LTG8" s="222"/>
      <c r="LTH8" s="222"/>
      <c r="LTI8" s="222"/>
      <c r="LTJ8" s="222"/>
      <c r="LTK8" s="222"/>
      <c r="LTL8" s="222"/>
      <c r="LTM8" s="222"/>
      <c r="LTN8" s="222"/>
      <c r="LTO8" s="222"/>
      <c r="LTP8" s="222"/>
      <c r="LTQ8" s="222"/>
      <c r="LTR8" s="222"/>
      <c r="LTS8" s="222"/>
      <c r="LTT8" s="222"/>
      <c r="LTU8" s="222"/>
      <c r="LTV8" s="222"/>
      <c r="LTW8" s="222"/>
      <c r="LTX8" s="222"/>
      <c r="LTY8" s="222"/>
      <c r="LTZ8" s="222"/>
      <c r="LUA8" s="222"/>
      <c r="LUB8" s="222"/>
      <c r="LUC8" s="222"/>
      <c r="LUD8" s="222"/>
      <c r="LUE8" s="222"/>
      <c r="LUF8" s="222"/>
      <c r="LUG8" s="222"/>
      <c r="LUH8" s="222"/>
      <c r="LUI8" s="222"/>
      <c r="LUJ8" s="222"/>
      <c r="LUK8" s="222"/>
      <c r="LUL8" s="222"/>
      <c r="LUM8" s="222"/>
      <c r="LUN8" s="222"/>
      <c r="LUO8" s="222"/>
      <c r="LUP8" s="222"/>
      <c r="LUQ8" s="222"/>
      <c r="LUR8" s="222"/>
      <c r="LUS8" s="222"/>
      <c r="LUT8" s="222"/>
      <c r="LUU8" s="222"/>
      <c r="LUV8" s="222"/>
      <c r="LUW8" s="222"/>
      <c r="LUX8" s="222"/>
      <c r="LUY8" s="222"/>
      <c r="LUZ8" s="222"/>
      <c r="LVA8" s="222"/>
      <c r="LVB8" s="222"/>
      <c r="LVC8" s="222"/>
      <c r="LVD8" s="222"/>
      <c r="LVE8" s="222"/>
      <c r="LVF8" s="222"/>
      <c r="LVG8" s="222"/>
      <c r="LVH8" s="222"/>
      <c r="LVI8" s="222"/>
      <c r="LVJ8" s="222"/>
      <c r="LVK8" s="222"/>
      <c r="LVL8" s="222"/>
      <c r="LVM8" s="222"/>
      <c r="LVN8" s="222"/>
      <c r="LVO8" s="222"/>
      <c r="LVP8" s="222"/>
      <c r="LVQ8" s="222"/>
      <c r="LVR8" s="222"/>
      <c r="LVS8" s="222"/>
      <c r="LVT8" s="222"/>
      <c r="LVU8" s="222"/>
      <c r="LVV8" s="222"/>
      <c r="LVW8" s="222"/>
      <c r="LVX8" s="222"/>
      <c r="LVY8" s="222"/>
      <c r="LVZ8" s="222"/>
      <c r="LWA8" s="222"/>
      <c r="LWB8" s="222"/>
      <c r="LWC8" s="222"/>
      <c r="LWD8" s="222"/>
      <c r="LWE8" s="222"/>
      <c r="LWF8" s="222"/>
      <c r="LWG8" s="222"/>
      <c r="LWH8" s="222"/>
      <c r="LWI8" s="222"/>
      <c r="LWJ8" s="222"/>
      <c r="LWK8" s="222"/>
      <c r="LWL8" s="222"/>
      <c r="LWM8" s="222"/>
      <c r="LWN8" s="222"/>
      <c r="LWO8" s="222"/>
      <c r="LWP8" s="222"/>
      <c r="LWQ8" s="222"/>
      <c r="LWR8" s="222"/>
      <c r="LWS8" s="222"/>
      <c r="LWT8" s="222"/>
      <c r="LWU8" s="222"/>
      <c r="LWV8" s="222"/>
      <c r="LWW8" s="222"/>
      <c r="LWX8" s="222"/>
      <c r="LWY8" s="222"/>
      <c r="LWZ8" s="222"/>
      <c r="LXA8" s="222"/>
      <c r="LXB8" s="222"/>
      <c r="LXC8" s="222"/>
      <c r="LXD8" s="222"/>
      <c r="LXE8" s="222"/>
      <c r="LXF8" s="222"/>
      <c r="LXG8" s="222"/>
      <c r="LXH8" s="222"/>
      <c r="LXI8" s="222"/>
      <c r="LXJ8" s="222"/>
      <c r="LXK8" s="222"/>
      <c r="LXL8" s="222"/>
      <c r="LXM8" s="222"/>
      <c r="LXN8" s="222"/>
      <c r="LXO8" s="222"/>
      <c r="LXP8" s="222"/>
      <c r="LXQ8" s="222"/>
      <c r="LXR8" s="222"/>
      <c r="LXS8" s="222"/>
      <c r="LXT8" s="222"/>
      <c r="LXU8" s="222"/>
      <c r="LXV8" s="222"/>
      <c r="LXW8" s="222"/>
      <c r="LXX8" s="222"/>
      <c r="LXY8" s="222"/>
      <c r="LXZ8" s="222"/>
      <c r="LYA8" s="222"/>
      <c r="LYB8" s="222"/>
      <c r="LYC8" s="222"/>
      <c r="LYD8" s="222"/>
      <c r="LYE8" s="222"/>
      <c r="LYF8" s="222"/>
      <c r="LYG8" s="222"/>
      <c r="LYH8" s="222"/>
      <c r="LYI8" s="222"/>
      <c r="LYJ8" s="222"/>
      <c r="LYK8" s="222"/>
      <c r="LYL8" s="222"/>
      <c r="LYM8" s="222"/>
      <c r="LYN8" s="222"/>
      <c r="LYO8" s="222"/>
      <c r="LYP8" s="222"/>
      <c r="LYQ8" s="222"/>
      <c r="LYR8" s="222"/>
      <c r="LYS8" s="222"/>
      <c r="LYT8" s="222"/>
      <c r="LYU8" s="222"/>
      <c r="LYV8" s="222"/>
      <c r="LYW8" s="222"/>
      <c r="LYX8" s="222"/>
      <c r="LYY8" s="222"/>
      <c r="LYZ8" s="222"/>
      <c r="LZA8" s="222"/>
      <c r="LZB8" s="222"/>
      <c r="LZC8" s="222"/>
      <c r="LZD8" s="222"/>
      <c r="LZE8" s="222"/>
      <c r="LZF8" s="222"/>
      <c r="LZG8" s="222"/>
      <c r="LZH8" s="222"/>
      <c r="LZI8" s="222"/>
      <c r="LZJ8" s="222"/>
      <c r="LZK8" s="222"/>
      <c r="LZL8" s="222"/>
      <c r="LZM8" s="222"/>
      <c r="LZN8" s="222"/>
      <c r="LZO8" s="222"/>
      <c r="LZP8" s="222"/>
      <c r="LZQ8" s="222"/>
      <c r="LZR8" s="222"/>
      <c r="LZS8" s="222"/>
      <c r="LZT8" s="222"/>
      <c r="LZU8" s="222"/>
      <c r="LZV8" s="222"/>
      <c r="LZW8" s="222"/>
      <c r="LZX8" s="222"/>
      <c r="LZY8" s="222"/>
      <c r="LZZ8" s="222"/>
      <c r="MAA8" s="222"/>
      <c r="MAB8" s="222"/>
      <c r="MAC8" s="222"/>
      <c r="MAD8" s="222"/>
      <c r="MAE8" s="222"/>
      <c r="MAF8" s="222"/>
      <c r="MAG8" s="222"/>
      <c r="MAH8" s="222"/>
      <c r="MAI8" s="222"/>
      <c r="MAJ8" s="222"/>
      <c r="MAK8" s="222"/>
      <c r="MAL8" s="222"/>
      <c r="MAM8" s="222"/>
      <c r="MAN8" s="222"/>
      <c r="MAO8" s="222"/>
      <c r="MAP8" s="222"/>
      <c r="MAQ8" s="222"/>
      <c r="MAR8" s="222"/>
      <c r="MAS8" s="222"/>
      <c r="MAT8" s="222"/>
      <c r="MAU8" s="222"/>
      <c r="MAV8" s="222"/>
      <c r="MAW8" s="222"/>
      <c r="MAX8" s="222"/>
      <c r="MAY8" s="222"/>
      <c r="MAZ8" s="222"/>
      <c r="MBA8" s="222"/>
      <c r="MBB8" s="222"/>
      <c r="MBC8" s="222"/>
      <c r="MBD8" s="222"/>
      <c r="MBE8" s="222"/>
      <c r="MBF8" s="222"/>
      <c r="MBG8" s="222"/>
      <c r="MBH8" s="222"/>
      <c r="MBI8" s="222"/>
      <c r="MBJ8" s="222"/>
      <c r="MBK8" s="222"/>
      <c r="MBL8" s="222"/>
      <c r="MBM8" s="222"/>
      <c r="MBN8" s="222"/>
      <c r="MBO8" s="222"/>
      <c r="MBP8" s="222"/>
      <c r="MBQ8" s="222"/>
      <c r="MBR8" s="222"/>
      <c r="MBS8" s="222"/>
      <c r="MBT8" s="222"/>
      <c r="MBU8" s="222"/>
      <c r="MBV8" s="222"/>
      <c r="MBW8" s="222"/>
      <c r="MBX8" s="222"/>
      <c r="MBY8" s="222"/>
      <c r="MBZ8" s="222"/>
      <c r="MCA8" s="222"/>
      <c r="MCB8" s="222"/>
      <c r="MCC8" s="222"/>
      <c r="MCD8" s="222"/>
      <c r="MCE8" s="222"/>
      <c r="MCF8" s="222"/>
      <c r="MCG8" s="222"/>
      <c r="MCH8" s="222"/>
      <c r="MCI8" s="222"/>
      <c r="MCJ8" s="222"/>
      <c r="MCK8" s="222"/>
      <c r="MCL8" s="222"/>
      <c r="MCM8" s="222"/>
      <c r="MCN8" s="222"/>
      <c r="MCO8" s="222"/>
      <c r="MCP8" s="222"/>
      <c r="MCQ8" s="222"/>
      <c r="MCR8" s="222"/>
      <c r="MCS8" s="222"/>
      <c r="MCT8" s="222"/>
      <c r="MCU8" s="222"/>
      <c r="MCV8" s="222"/>
      <c r="MCW8" s="222"/>
      <c r="MCX8" s="222"/>
      <c r="MCY8" s="222"/>
      <c r="MCZ8" s="222"/>
      <c r="MDA8" s="222"/>
      <c r="MDB8" s="222"/>
      <c r="MDC8" s="222"/>
      <c r="MDD8" s="222"/>
      <c r="MDE8" s="222"/>
      <c r="MDF8" s="222"/>
      <c r="MDG8" s="222"/>
      <c r="MDH8" s="222"/>
      <c r="MDI8" s="222"/>
      <c r="MDJ8" s="222"/>
      <c r="MDK8" s="222"/>
      <c r="MDL8" s="222"/>
      <c r="MDM8" s="222"/>
      <c r="MDN8" s="222"/>
      <c r="MDO8" s="222"/>
      <c r="MDP8" s="222"/>
      <c r="MDQ8" s="222"/>
      <c r="MDR8" s="222"/>
      <c r="MDS8" s="222"/>
      <c r="MDT8" s="222"/>
      <c r="MDU8" s="222"/>
      <c r="MDV8" s="222"/>
      <c r="MDW8" s="222"/>
      <c r="MDX8" s="222"/>
      <c r="MDY8" s="222"/>
      <c r="MDZ8" s="222"/>
      <c r="MEA8" s="222"/>
      <c r="MEB8" s="222"/>
      <c r="MEC8" s="222"/>
      <c r="MED8" s="222"/>
      <c r="MEE8" s="222"/>
      <c r="MEF8" s="222"/>
      <c r="MEG8" s="222"/>
      <c r="MEH8" s="222"/>
      <c r="MEI8" s="222"/>
      <c r="MEJ8" s="222"/>
      <c r="MEK8" s="222"/>
      <c r="MEL8" s="222"/>
      <c r="MEM8" s="222"/>
      <c r="MEN8" s="222"/>
      <c r="MEO8" s="222"/>
      <c r="MEP8" s="222"/>
      <c r="MEQ8" s="222"/>
      <c r="MER8" s="222"/>
      <c r="MES8" s="222"/>
      <c r="MET8" s="222"/>
      <c r="MEU8" s="222"/>
      <c r="MEV8" s="222"/>
      <c r="MEW8" s="222"/>
      <c r="MEX8" s="222"/>
      <c r="MEY8" s="222"/>
      <c r="MEZ8" s="222"/>
      <c r="MFA8" s="222"/>
      <c r="MFB8" s="222"/>
      <c r="MFC8" s="222"/>
      <c r="MFD8" s="222"/>
      <c r="MFE8" s="222"/>
      <c r="MFF8" s="222"/>
      <c r="MFG8" s="222"/>
      <c r="MFH8" s="222"/>
      <c r="MFI8" s="222"/>
      <c r="MFJ8" s="222"/>
      <c r="MFK8" s="222"/>
      <c r="MFL8" s="222"/>
      <c r="MFM8" s="222"/>
      <c r="MFN8" s="222"/>
      <c r="MFO8" s="222"/>
      <c r="MFP8" s="222"/>
      <c r="MFQ8" s="222"/>
      <c r="MFR8" s="222"/>
      <c r="MFS8" s="222"/>
      <c r="MFT8" s="222"/>
      <c r="MFU8" s="222"/>
      <c r="MFV8" s="222"/>
      <c r="MFW8" s="222"/>
      <c r="MFX8" s="222"/>
      <c r="MFY8" s="222"/>
      <c r="MFZ8" s="222"/>
      <c r="MGA8" s="222"/>
      <c r="MGB8" s="222"/>
      <c r="MGC8" s="222"/>
      <c r="MGD8" s="222"/>
      <c r="MGE8" s="222"/>
      <c r="MGF8" s="222"/>
      <c r="MGG8" s="222"/>
      <c r="MGH8" s="222"/>
      <c r="MGI8" s="222"/>
      <c r="MGJ8" s="222"/>
      <c r="MGK8" s="222"/>
      <c r="MGL8" s="222"/>
      <c r="MGM8" s="222"/>
      <c r="MGN8" s="222"/>
      <c r="MGO8" s="222"/>
      <c r="MGP8" s="222"/>
      <c r="MGQ8" s="222"/>
      <c r="MGR8" s="222"/>
      <c r="MGS8" s="222"/>
      <c r="MGT8" s="222"/>
      <c r="MGU8" s="222"/>
      <c r="MGV8" s="222"/>
      <c r="MGW8" s="222"/>
      <c r="MGX8" s="222"/>
      <c r="MGY8" s="222"/>
      <c r="MGZ8" s="222"/>
      <c r="MHA8" s="222"/>
      <c r="MHB8" s="222"/>
      <c r="MHC8" s="222"/>
      <c r="MHD8" s="222"/>
      <c r="MHE8" s="222"/>
      <c r="MHF8" s="222"/>
      <c r="MHG8" s="222"/>
      <c r="MHH8" s="222"/>
      <c r="MHI8" s="222"/>
      <c r="MHJ8" s="222"/>
      <c r="MHK8" s="222"/>
      <c r="MHL8" s="222"/>
      <c r="MHM8" s="222"/>
      <c r="MHN8" s="222"/>
      <c r="MHO8" s="222"/>
      <c r="MHP8" s="222"/>
      <c r="MHQ8" s="222"/>
      <c r="MHR8" s="222"/>
      <c r="MHS8" s="222"/>
      <c r="MHT8" s="222"/>
      <c r="MHU8" s="222"/>
      <c r="MHV8" s="222"/>
      <c r="MHW8" s="222"/>
      <c r="MHX8" s="222"/>
      <c r="MHY8" s="222"/>
      <c r="MHZ8" s="222"/>
      <c r="MIA8" s="222"/>
      <c r="MIB8" s="222"/>
      <c r="MIC8" s="222"/>
      <c r="MID8" s="222"/>
      <c r="MIE8" s="222"/>
      <c r="MIF8" s="222"/>
      <c r="MIG8" s="222"/>
      <c r="MIH8" s="222"/>
      <c r="MII8" s="222"/>
      <c r="MIJ8" s="222"/>
      <c r="MIK8" s="222"/>
      <c r="MIL8" s="222"/>
      <c r="MIM8" s="222"/>
      <c r="MIN8" s="222"/>
      <c r="MIO8" s="222"/>
      <c r="MIP8" s="222"/>
      <c r="MIQ8" s="222"/>
      <c r="MIR8" s="222"/>
      <c r="MIS8" s="222"/>
      <c r="MIT8" s="222"/>
      <c r="MIU8" s="222"/>
      <c r="MIV8" s="222"/>
      <c r="MIW8" s="222"/>
      <c r="MIX8" s="222"/>
      <c r="MIY8" s="222"/>
      <c r="MIZ8" s="222"/>
      <c r="MJA8" s="222"/>
      <c r="MJB8" s="222"/>
      <c r="MJC8" s="222"/>
      <c r="MJD8" s="222"/>
      <c r="MJE8" s="222"/>
      <c r="MJF8" s="222"/>
      <c r="MJG8" s="222"/>
      <c r="MJH8" s="222"/>
      <c r="MJI8" s="222"/>
      <c r="MJJ8" s="222"/>
      <c r="MJK8" s="222"/>
      <c r="MJL8" s="222"/>
      <c r="MJM8" s="222"/>
      <c r="MJN8" s="222"/>
      <c r="MJO8" s="222"/>
      <c r="MJP8" s="222"/>
      <c r="MJQ8" s="222"/>
      <c r="MJR8" s="222"/>
      <c r="MJS8" s="222"/>
      <c r="MJT8" s="222"/>
      <c r="MJU8" s="222"/>
      <c r="MJV8" s="222"/>
      <c r="MJW8" s="222"/>
      <c r="MJX8" s="222"/>
      <c r="MJY8" s="222"/>
      <c r="MJZ8" s="222"/>
      <c r="MKA8" s="222"/>
      <c r="MKB8" s="222"/>
      <c r="MKC8" s="222"/>
      <c r="MKD8" s="222"/>
      <c r="MKE8" s="222"/>
      <c r="MKF8" s="222"/>
      <c r="MKG8" s="222"/>
      <c r="MKH8" s="222"/>
      <c r="MKI8" s="222"/>
      <c r="MKJ8" s="222"/>
      <c r="MKK8" s="222"/>
      <c r="MKL8" s="222"/>
      <c r="MKM8" s="222"/>
      <c r="MKN8" s="222"/>
      <c r="MKO8" s="222"/>
      <c r="MKP8" s="222"/>
      <c r="MKQ8" s="222"/>
      <c r="MKR8" s="222"/>
      <c r="MKS8" s="222"/>
      <c r="MKT8" s="222"/>
      <c r="MKU8" s="222"/>
      <c r="MKV8" s="222"/>
      <c r="MKW8" s="222"/>
      <c r="MKX8" s="222"/>
      <c r="MKY8" s="222"/>
      <c r="MKZ8" s="222"/>
      <c r="MLA8" s="222"/>
      <c r="MLB8" s="222"/>
      <c r="MLC8" s="222"/>
      <c r="MLD8" s="222"/>
      <c r="MLE8" s="222"/>
      <c r="MLF8" s="222"/>
      <c r="MLG8" s="222"/>
      <c r="MLH8" s="222"/>
      <c r="MLI8" s="222"/>
      <c r="MLJ8" s="222"/>
      <c r="MLK8" s="222"/>
      <c r="MLL8" s="222"/>
      <c r="MLM8" s="222"/>
      <c r="MLN8" s="222"/>
      <c r="MLO8" s="222"/>
      <c r="MLP8" s="222"/>
      <c r="MLQ8" s="222"/>
      <c r="MLR8" s="222"/>
      <c r="MLS8" s="222"/>
      <c r="MLT8" s="222"/>
      <c r="MLU8" s="222"/>
      <c r="MLV8" s="222"/>
      <c r="MLW8" s="222"/>
      <c r="MLX8" s="222"/>
      <c r="MLY8" s="222"/>
      <c r="MLZ8" s="222"/>
      <c r="MMA8" s="222"/>
      <c r="MMB8" s="222"/>
      <c r="MMC8" s="222"/>
      <c r="MMD8" s="222"/>
      <c r="MME8" s="222"/>
      <c r="MMF8" s="222"/>
      <c r="MMG8" s="222"/>
      <c r="MMH8" s="222"/>
      <c r="MMI8" s="222"/>
      <c r="MMJ8" s="222"/>
      <c r="MMK8" s="222"/>
      <c r="MML8" s="222"/>
      <c r="MMM8" s="222"/>
      <c r="MMN8" s="222"/>
      <c r="MMO8" s="222"/>
      <c r="MMP8" s="222"/>
      <c r="MMQ8" s="222"/>
      <c r="MMR8" s="222"/>
      <c r="MMS8" s="222"/>
      <c r="MMT8" s="222"/>
      <c r="MMU8" s="222"/>
      <c r="MMV8" s="222"/>
      <c r="MMW8" s="222"/>
      <c r="MMX8" s="222"/>
      <c r="MMY8" s="222"/>
      <c r="MMZ8" s="222"/>
      <c r="MNA8" s="222"/>
      <c r="MNB8" s="222"/>
      <c r="MNC8" s="222"/>
      <c r="MND8" s="222"/>
      <c r="MNE8" s="222"/>
      <c r="MNF8" s="222"/>
      <c r="MNG8" s="222"/>
      <c r="MNH8" s="222"/>
      <c r="MNI8" s="222"/>
      <c r="MNJ8" s="222"/>
      <c r="MNK8" s="222"/>
      <c r="MNL8" s="222"/>
      <c r="MNM8" s="222"/>
      <c r="MNN8" s="222"/>
      <c r="MNO8" s="222"/>
      <c r="MNP8" s="222"/>
      <c r="MNQ8" s="222"/>
      <c r="MNR8" s="222"/>
      <c r="MNS8" s="222"/>
      <c r="MNT8" s="222"/>
      <c r="MNU8" s="222"/>
      <c r="MNV8" s="222"/>
      <c r="MNW8" s="222"/>
      <c r="MNX8" s="222"/>
      <c r="MNY8" s="222"/>
      <c r="MNZ8" s="222"/>
      <c r="MOA8" s="222"/>
      <c r="MOB8" s="222"/>
      <c r="MOC8" s="222"/>
      <c r="MOD8" s="222"/>
      <c r="MOE8" s="222"/>
      <c r="MOF8" s="222"/>
      <c r="MOG8" s="222"/>
      <c r="MOH8" s="222"/>
      <c r="MOI8" s="222"/>
      <c r="MOJ8" s="222"/>
      <c r="MOK8" s="222"/>
      <c r="MOL8" s="222"/>
      <c r="MOM8" s="222"/>
      <c r="MON8" s="222"/>
      <c r="MOO8" s="222"/>
      <c r="MOP8" s="222"/>
      <c r="MOQ8" s="222"/>
      <c r="MOR8" s="222"/>
      <c r="MOS8" s="222"/>
      <c r="MOT8" s="222"/>
      <c r="MOU8" s="222"/>
      <c r="MOV8" s="222"/>
      <c r="MOW8" s="222"/>
      <c r="MOX8" s="222"/>
      <c r="MOY8" s="222"/>
      <c r="MOZ8" s="222"/>
      <c r="MPA8" s="222"/>
      <c r="MPB8" s="222"/>
      <c r="MPC8" s="222"/>
      <c r="MPD8" s="222"/>
      <c r="MPE8" s="222"/>
      <c r="MPF8" s="222"/>
      <c r="MPG8" s="222"/>
      <c r="MPH8" s="222"/>
      <c r="MPI8" s="222"/>
      <c r="MPJ8" s="222"/>
      <c r="MPK8" s="222"/>
      <c r="MPL8" s="222"/>
      <c r="MPM8" s="222"/>
      <c r="MPN8" s="222"/>
      <c r="MPO8" s="222"/>
      <c r="MPP8" s="222"/>
      <c r="MPQ8" s="222"/>
      <c r="MPR8" s="222"/>
      <c r="MPS8" s="222"/>
      <c r="MPT8" s="222"/>
      <c r="MPU8" s="222"/>
      <c r="MPV8" s="222"/>
      <c r="MPW8" s="222"/>
      <c r="MPX8" s="222"/>
      <c r="MPY8" s="222"/>
      <c r="MPZ8" s="222"/>
      <c r="MQA8" s="222"/>
      <c r="MQB8" s="222"/>
      <c r="MQC8" s="222"/>
      <c r="MQD8" s="222"/>
      <c r="MQE8" s="222"/>
      <c r="MQF8" s="222"/>
      <c r="MQG8" s="222"/>
      <c r="MQH8" s="222"/>
      <c r="MQI8" s="222"/>
      <c r="MQJ8" s="222"/>
      <c r="MQK8" s="222"/>
      <c r="MQL8" s="222"/>
      <c r="MQM8" s="222"/>
      <c r="MQN8" s="222"/>
      <c r="MQO8" s="222"/>
      <c r="MQP8" s="222"/>
      <c r="MQQ8" s="222"/>
      <c r="MQR8" s="222"/>
      <c r="MQS8" s="222"/>
      <c r="MQT8" s="222"/>
      <c r="MQU8" s="222"/>
      <c r="MQV8" s="222"/>
      <c r="MQW8" s="222"/>
      <c r="MQX8" s="222"/>
      <c r="MQY8" s="222"/>
      <c r="MQZ8" s="222"/>
      <c r="MRA8" s="222"/>
      <c r="MRB8" s="222"/>
      <c r="MRC8" s="222"/>
      <c r="MRD8" s="222"/>
      <c r="MRE8" s="222"/>
      <c r="MRF8" s="222"/>
      <c r="MRG8" s="222"/>
      <c r="MRH8" s="222"/>
      <c r="MRI8" s="222"/>
      <c r="MRJ8" s="222"/>
      <c r="MRK8" s="222"/>
      <c r="MRL8" s="222"/>
      <c r="MRM8" s="222"/>
      <c r="MRN8" s="222"/>
      <c r="MRO8" s="222"/>
      <c r="MRP8" s="222"/>
      <c r="MRQ8" s="222"/>
      <c r="MRR8" s="222"/>
      <c r="MRS8" s="222"/>
      <c r="MRT8" s="222"/>
      <c r="MRU8" s="222"/>
      <c r="MRV8" s="222"/>
      <c r="MRW8" s="222"/>
      <c r="MRX8" s="222"/>
      <c r="MRY8" s="222"/>
      <c r="MRZ8" s="222"/>
      <c r="MSA8" s="222"/>
      <c r="MSB8" s="222"/>
      <c r="MSC8" s="222"/>
      <c r="MSD8" s="222"/>
      <c r="MSE8" s="222"/>
      <c r="MSF8" s="222"/>
      <c r="MSG8" s="222"/>
      <c r="MSH8" s="222"/>
      <c r="MSI8" s="222"/>
      <c r="MSJ8" s="222"/>
      <c r="MSK8" s="222"/>
      <c r="MSL8" s="222"/>
      <c r="MSM8" s="222"/>
      <c r="MSN8" s="222"/>
      <c r="MSO8" s="222"/>
      <c r="MSP8" s="222"/>
      <c r="MSQ8" s="222"/>
      <c r="MSR8" s="222"/>
      <c r="MSS8" s="222"/>
      <c r="MST8" s="222"/>
      <c r="MSU8" s="222"/>
      <c r="MSV8" s="222"/>
      <c r="MSW8" s="222"/>
      <c r="MSX8" s="222"/>
      <c r="MSY8" s="222"/>
      <c r="MSZ8" s="222"/>
      <c r="MTA8" s="222"/>
      <c r="MTB8" s="222"/>
      <c r="MTC8" s="222"/>
      <c r="MTD8" s="222"/>
      <c r="MTE8" s="222"/>
      <c r="MTF8" s="222"/>
      <c r="MTG8" s="222"/>
      <c r="MTH8" s="222"/>
      <c r="MTI8" s="222"/>
      <c r="MTJ8" s="222"/>
      <c r="MTK8" s="222"/>
      <c r="MTL8" s="222"/>
      <c r="MTM8" s="222"/>
      <c r="MTN8" s="222"/>
      <c r="MTO8" s="222"/>
      <c r="MTP8" s="222"/>
      <c r="MTQ8" s="222"/>
      <c r="MTR8" s="222"/>
      <c r="MTS8" s="222"/>
      <c r="MTT8" s="222"/>
      <c r="MTU8" s="222"/>
      <c r="MTV8" s="222"/>
      <c r="MTW8" s="222"/>
      <c r="MTX8" s="222"/>
      <c r="MTY8" s="222"/>
      <c r="MTZ8" s="222"/>
      <c r="MUA8" s="222"/>
      <c r="MUB8" s="222"/>
      <c r="MUC8" s="222"/>
      <c r="MUD8" s="222"/>
      <c r="MUE8" s="222"/>
      <c r="MUF8" s="222"/>
      <c r="MUG8" s="222"/>
      <c r="MUH8" s="222"/>
      <c r="MUI8" s="222"/>
      <c r="MUJ8" s="222"/>
      <c r="MUK8" s="222"/>
      <c r="MUL8" s="222"/>
      <c r="MUM8" s="222"/>
      <c r="MUN8" s="222"/>
      <c r="MUO8" s="222"/>
      <c r="MUP8" s="222"/>
      <c r="MUQ8" s="222"/>
      <c r="MUR8" s="222"/>
      <c r="MUS8" s="222"/>
      <c r="MUT8" s="222"/>
      <c r="MUU8" s="222"/>
      <c r="MUV8" s="222"/>
      <c r="MUW8" s="222"/>
      <c r="MUX8" s="222"/>
      <c r="MUY8" s="222"/>
      <c r="MUZ8" s="222"/>
      <c r="MVA8" s="222"/>
      <c r="MVB8" s="222"/>
      <c r="MVC8" s="222"/>
      <c r="MVD8" s="222"/>
      <c r="MVE8" s="222"/>
      <c r="MVF8" s="222"/>
      <c r="MVG8" s="222"/>
      <c r="MVH8" s="222"/>
      <c r="MVI8" s="222"/>
      <c r="MVJ8" s="222"/>
      <c r="MVK8" s="222"/>
      <c r="MVL8" s="222"/>
      <c r="MVM8" s="222"/>
      <c r="MVN8" s="222"/>
      <c r="MVO8" s="222"/>
      <c r="MVP8" s="222"/>
      <c r="MVQ8" s="222"/>
      <c r="MVR8" s="222"/>
      <c r="MVS8" s="222"/>
      <c r="MVT8" s="222"/>
      <c r="MVU8" s="222"/>
      <c r="MVV8" s="222"/>
      <c r="MVW8" s="222"/>
      <c r="MVX8" s="222"/>
      <c r="MVY8" s="222"/>
      <c r="MVZ8" s="222"/>
      <c r="MWA8" s="222"/>
      <c r="MWB8" s="222"/>
      <c r="MWC8" s="222"/>
      <c r="MWD8" s="222"/>
      <c r="MWE8" s="222"/>
      <c r="MWF8" s="222"/>
      <c r="MWG8" s="222"/>
      <c r="MWH8" s="222"/>
      <c r="MWI8" s="222"/>
      <c r="MWJ8" s="222"/>
      <c r="MWK8" s="222"/>
      <c r="MWL8" s="222"/>
      <c r="MWM8" s="222"/>
      <c r="MWN8" s="222"/>
      <c r="MWO8" s="222"/>
      <c r="MWP8" s="222"/>
      <c r="MWQ8" s="222"/>
      <c r="MWR8" s="222"/>
      <c r="MWS8" s="222"/>
      <c r="MWT8" s="222"/>
      <c r="MWU8" s="222"/>
      <c r="MWV8" s="222"/>
      <c r="MWW8" s="222"/>
      <c r="MWX8" s="222"/>
      <c r="MWY8" s="222"/>
      <c r="MWZ8" s="222"/>
      <c r="MXA8" s="222"/>
      <c r="MXB8" s="222"/>
      <c r="MXC8" s="222"/>
      <c r="MXD8" s="222"/>
      <c r="MXE8" s="222"/>
      <c r="MXF8" s="222"/>
      <c r="MXG8" s="222"/>
      <c r="MXH8" s="222"/>
      <c r="MXI8" s="222"/>
      <c r="MXJ8" s="222"/>
      <c r="MXK8" s="222"/>
      <c r="MXL8" s="222"/>
      <c r="MXM8" s="222"/>
      <c r="MXN8" s="222"/>
      <c r="MXO8" s="222"/>
      <c r="MXP8" s="222"/>
      <c r="MXQ8" s="222"/>
      <c r="MXR8" s="222"/>
      <c r="MXS8" s="222"/>
      <c r="MXT8" s="222"/>
      <c r="MXU8" s="222"/>
      <c r="MXV8" s="222"/>
      <c r="MXW8" s="222"/>
      <c r="MXX8" s="222"/>
      <c r="MXY8" s="222"/>
      <c r="MXZ8" s="222"/>
      <c r="MYA8" s="222"/>
      <c r="MYB8" s="222"/>
      <c r="MYC8" s="222"/>
      <c r="MYD8" s="222"/>
      <c r="MYE8" s="222"/>
      <c r="MYF8" s="222"/>
      <c r="MYG8" s="222"/>
      <c r="MYH8" s="222"/>
      <c r="MYI8" s="222"/>
      <c r="MYJ8" s="222"/>
      <c r="MYK8" s="222"/>
      <c r="MYL8" s="222"/>
      <c r="MYM8" s="222"/>
      <c r="MYN8" s="222"/>
      <c r="MYO8" s="222"/>
      <c r="MYP8" s="222"/>
      <c r="MYQ8" s="222"/>
      <c r="MYR8" s="222"/>
      <c r="MYS8" s="222"/>
      <c r="MYT8" s="222"/>
      <c r="MYU8" s="222"/>
      <c r="MYV8" s="222"/>
      <c r="MYW8" s="222"/>
      <c r="MYX8" s="222"/>
      <c r="MYY8" s="222"/>
      <c r="MYZ8" s="222"/>
      <c r="MZA8" s="222"/>
      <c r="MZB8" s="222"/>
      <c r="MZC8" s="222"/>
      <c r="MZD8" s="222"/>
      <c r="MZE8" s="222"/>
      <c r="MZF8" s="222"/>
      <c r="MZG8" s="222"/>
      <c r="MZH8" s="222"/>
      <c r="MZI8" s="222"/>
      <c r="MZJ8" s="222"/>
      <c r="MZK8" s="222"/>
      <c r="MZL8" s="222"/>
      <c r="MZM8" s="222"/>
      <c r="MZN8" s="222"/>
      <c r="MZO8" s="222"/>
      <c r="MZP8" s="222"/>
      <c r="MZQ8" s="222"/>
      <c r="MZR8" s="222"/>
      <c r="MZS8" s="222"/>
      <c r="MZT8" s="222"/>
      <c r="MZU8" s="222"/>
      <c r="MZV8" s="222"/>
      <c r="MZW8" s="222"/>
      <c r="MZX8" s="222"/>
      <c r="MZY8" s="222"/>
      <c r="MZZ8" s="222"/>
      <c r="NAA8" s="222"/>
      <c r="NAB8" s="222"/>
      <c r="NAC8" s="222"/>
      <c r="NAD8" s="222"/>
      <c r="NAE8" s="222"/>
      <c r="NAF8" s="222"/>
      <c r="NAG8" s="222"/>
      <c r="NAH8" s="222"/>
      <c r="NAI8" s="222"/>
      <c r="NAJ8" s="222"/>
      <c r="NAK8" s="222"/>
      <c r="NAL8" s="222"/>
      <c r="NAM8" s="222"/>
      <c r="NAN8" s="222"/>
      <c r="NAO8" s="222"/>
      <c r="NAP8" s="222"/>
      <c r="NAQ8" s="222"/>
      <c r="NAR8" s="222"/>
      <c r="NAS8" s="222"/>
      <c r="NAT8" s="222"/>
      <c r="NAU8" s="222"/>
      <c r="NAV8" s="222"/>
      <c r="NAW8" s="222"/>
      <c r="NAX8" s="222"/>
      <c r="NAY8" s="222"/>
      <c r="NAZ8" s="222"/>
      <c r="NBA8" s="222"/>
      <c r="NBB8" s="222"/>
      <c r="NBC8" s="222"/>
      <c r="NBD8" s="222"/>
      <c r="NBE8" s="222"/>
      <c r="NBF8" s="222"/>
      <c r="NBG8" s="222"/>
      <c r="NBH8" s="222"/>
      <c r="NBI8" s="222"/>
      <c r="NBJ8" s="222"/>
      <c r="NBK8" s="222"/>
      <c r="NBL8" s="222"/>
      <c r="NBM8" s="222"/>
      <c r="NBN8" s="222"/>
      <c r="NBO8" s="222"/>
      <c r="NBP8" s="222"/>
      <c r="NBQ8" s="222"/>
      <c r="NBR8" s="222"/>
      <c r="NBS8" s="222"/>
      <c r="NBT8" s="222"/>
      <c r="NBU8" s="222"/>
      <c r="NBV8" s="222"/>
      <c r="NBW8" s="222"/>
      <c r="NBX8" s="222"/>
      <c r="NBY8" s="222"/>
      <c r="NBZ8" s="222"/>
      <c r="NCA8" s="222"/>
      <c r="NCB8" s="222"/>
      <c r="NCC8" s="222"/>
      <c r="NCD8" s="222"/>
      <c r="NCE8" s="222"/>
      <c r="NCF8" s="222"/>
      <c r="NCG8" s="222"/>
      <c r="NCH8" s="222"/>
      <c r="NCI8" s="222"/>
      <c r="NCJ8" s="222"/>
      <c r="NCK8" s="222"/>
      <c r="NCL8" s="222"/>
      <c r="NCM8" s="222"/>
      <c r="NCN8" s="222"/>
      <c r="NCO8" s="222"/>
      <c r="NCP8" s="222"/>
      <c r="NCQ8" s="222"/>
      <c r="NCR8" s="222"/>
      <c r="NCS8" s="222"/>
      <c r="NCT8" s="222"/>
      <c r="NCU8" s="222"/>
      <c r="NCV8" s="222"/>
      <c r="NCW8" s="222"/>
      <c r="NCX8" s="222"/>
      <c r="NCY8" s="222"/>
      <c r="NCZ8" s="222"/>
      <c r="NDA8" s="222"/>
      <c r="NDB8" s="222"/>
      <c r="NDC8" s="222"/>
      <c r="NDD8" s="222"/>
      <c r="NDE8" s="222"/>
      <c r="NDF8" s="222"/>
      <c r="NDG8" s="222"/>
      <c r="NDH8" s="222"/>
      <c r="NDI8" s="222"/>
      <c r="NDJ8" s="222"/>
      <c r="NDK8" s="222"/>
      <c r="NDL8" s="222"/>
      <c r="NDM8" s="222"/>
      <c r="NDN8" s="222"/>
      <c r="NDO8" s="222"/>
      <c r="NDP8" s="222"/>
      <c r="NDQ8" s="222"/>
      <c r="NDR8" s="222"/>
      <c r="NDS8" s="222"/>
      <c r="NDT8" s="222"/>
      <c r="NDU8" s="222"/>
      <c r="NDV8" s="222"/>
      <c r="NDW8" s="222"/>
      <c r="NDX8" s="222"/>
      <c r="NDY8" s="222"/>
      <c r="NDZ8" s="222"/>
      <c r="NEA8" s="222"/>
      <c r="NEB8" s="222"/>
      <c r="NEC8" s="222"/>
      <c r="NED8" s="222"/>
      <c r="NEE8" s="222"/>
      <c r="NEF8" s="222"/>
      <c r="NEG8" s="222"/>
      <c r="NEH8" s="222"/>
      <c r="NEI8" s="222"/>
      <c r="NEJ8" s="222"/>
      <c r="NEK8" s="222"/>
      <c r="NEL8" s="222"/>
      <c r="NEM8" s="222"/>
      <c r="NEN8" s="222"/>
      <c r="NEO8" s="222"/>
      <c r="NEP8" s="222"/>
      <c r="NEQ8" s="222"/>
      <c r="NER8" s="222"/>
      <c r="NES8" s="222"/>
      <c r="NET8" s="222"/>
      <c r="NEU8" s="222"/>
      <c r="NEV8" s="222"/>
      <c r="NEW8" s="222"/>
      <c r="NEX8" s="222"/>
      <c r="NEY8" s="222"/>
      <c r="NEZ8" s="222"/>
      <c r="NFA8" s="222"/>
      <c r="NFB8" s="222"/>
      <c r="NFC8" s="222"/>
      <c r="NFD8" s="222"/>
      <c r="NFE8" s="222"/>
      <c r="NFF8" s="222"/>
      <c r="NFG8" s="222"/>
      <c r="NFH8" s="222"/>
      <c r="NFI8" s="222"/>
      <c r="NFJ8" s="222"/>
      <c r="NFK8" s="222"/>
      <c r="NFL8" s="222"/>
      <c r="NFM8" s="222"/>
      <c r="NFN8" s="222"/>
      <c r="NFO8" s="222"/>
      <c r="NFP8" s="222"/>
      <c r="NFQ8" s="222"/>
      <c r="NFR8" s="222"/>
      <c r="NFS8" s="222"/>
      <c r="NFT8" s="222"/>
      <c r="NFU8" s="222"/>
      <c r="NFV8" s="222"/>
      <c r="NFW8" s="222"/>
      <c r="NFX8" s="222"/>
      <c r="NFY8" s="222"/>
      <c r="NFZ8" s="222"/>
      <c r="NGA8" s="222"/>
      <c r="NGB8" s="222"/>
      <c r="NGC8" s="222"/>
      <c r="NGD8" s="222"/>
      <c r="NGE8" s="222"/>
      <c r="NGF8" s="222"/>
      <c r="NGG8" s="222"/>
      <c r="NGH8" s="222"/>
      <c r="NGI8" s="222"/>
      <c r="NGJ8" s="222"/>
      <c r="NGK8" s="222"/>
      <c r="NGL8" s="222"/>
      <c r="NGM8" s="222"/>
      <c r="NGN8" s="222"/>
      <c r="NGO8" s="222"/>
      <c r="NGP8" s="222"/>
      <c r="NGQ8" s="222"/>
      <c r="NGR8" s="222"/>
      <c r="NGS8" s="222"/>
      <c r="NGT8" s="222"/>
      <c r="NGU8" s="222"/>
      <c r="NGV8" s="222"/>
      <c r="NGW8" s="222"/>
      <c r="NGX8" s="222"/>
      <c r="NGY8" s="222"/>
      <c r="NGZ8" s="222"/>
      <c r="NHA8" s="222"/>
      <c r="NHB8" s="222"/>
      <c r="NHC8" s="222"/>
      <c r="NHD8" s="222"/>
      <c r="NHE8" s="222"/>
      <c r="NHF8" s="222"/>
      <c r="NHG8" s="222"/>
      <c r="NHH8" s="222"/>
      <c r="NHI8" s="222"/>
      <c r="NHJ8" s="222"/>
      <c r="NHK8" s="222"/>
      <c r="NHL8" s="222"/>
      <c r="NHM8" s="222"/>
      <c r="NHN8" s="222"/>
      <c r="NHO8" s="222"/>
      <c r="NHP8" s="222"/>
      <c r="NHQ8" s="222"/>
      <c r="NHR8" s="222"/>
      <c r="NHS8" s="222"/>
      <c r="NHT8" s="222"/>
      <c r="NHU8" s="222"/>
      <c r="NHV8" s="222"/>
      <c r="NHW8" s="222"/>
      <c r="NHX8" s="222"/>
      <c r="NHY8" s="222"/>
      <c r="NHZ8" s="222"/>
      <c r="NIA8" s="222"/>
      <c r="NIB8" s="222"/>
      <c r="NIC8" s="222"/>
      <c r="NID8" s="222"/>
      <c r="NIE8" s="222"/>
      <c r="NIF8" s="222"/>
      <c r="NIG8" s="222"/>
      <c r="NIH8" s="222"/>
      <c r="NII8" s="222"/>
      <c r="NIJ8" s="222"/>
      <c r="NIK8" s="222"/>
      <c r="NIL8" s="222"/>
      <c r="NIM8" s="222"/>
      <c r="NIN8" s="222"/>
      <c r="NIO8" s="222"/>
      <c r="NIP8" s="222"/>
      <c r="NIQ8" s="222"/>
      <c r="NIR8" s="222"/>
      <c r="NIS8" s="222"/>
      <c r="NIT8" s="222"/>
      <c r="NIU8" s="222"/>
      <c r="NIV8" s="222"/>
      <c r="NIW8" s="222"/>
      <c r="NIX8" s="222"/>
      <c r="NIY8" s="222"/>
      <c r="NIZ8" s="222"/>
      <c r="NJA8" s="222"/>
      <c r="NJB8" s="222"/>
      <c r="NJC8" s="222"/>
      <c r="NJD8" s="222"/>
      <c r="NJE8" s="222"/>
      <c r="NJF8" s="222"/>
      <c r="NJG8" s="222"/>
      <c r="NJH8" s="222"/>
      <c r="NJI8" s="222"/>
      <c r="NJJ8" s="222"/>
      <c r="NJK8" s="222"/>
      <c r="NJL8" s="222"/>
      <c r="NJM8" s="222"/>
      <c r="NJN8" s="222"/>
      <c r="NJO8" s="222"/>
      <c r="NJP8" s="222"/>
      <c r="NJQ8" s="222"/>
      <c r="NJR8" s="222"/>
      <c r="NJS8" s="222"/>
      <c r="NJT8" s="222"/>
      <c r="NJU8" s="222"/>
      <c r="NJV8" s="222"/>
      <c r="NJW8" s="222"/>
      <c r="NJX8" s="222"/>
      <c r="NJY8" s="222"/>
      <c r="NJZ8" s="222"/>
      <c r="NKA8" s="222"/>
      <c r="NKB8" s="222"/>
      <c r="NKC8" s="222"/>
      <c r="NKD8" s="222"/>
      <c r="NKE8" s="222"/>
      <c r="NKF8" s="222"/>
      <c r="NKG8" s="222"/>
      <c r="NKH8" s="222"/>
      <c r="NKI8" s="222"/>
      <c r="NKJ8" s="222"/>
      <c r="NKK8" s="222"/>
      <c r="NKL8" s="222"/>
      <c r="NKM8" s="222"/>
      <c r="NKN8" s="222"/>
      <c r="NKO8" s="222"/>
      <c r="NKP8" s="222"/>
      <c r="NKQ8" s="222"/>
      <c r="NKR8" s="222"/>
      <c r="NKS8" s="222"/>
      <c r="NKT8" s="222"/>
      <c r="NKU8" s="222"/>
      <c r="NKV8" s="222"/>
      <c r="NKW8" s="222"/>
      <c r="NKX8" s="222"/>
      <c r="NKY8" s="222"/>
      <c r="NKZ8" s="222"/>
      <c r="NLA8" s="222"/>
      <c r="NLB8" s="222"/>
      <c r="NLC8" s="222"/>
      <c r="NLD8" s="222"/>
      <c r="NLE8" s="222"/>
      <c r="NLF8" s="222"/>
      <c r="NLG8" s="222"/>
      <c r="NLH8" s="222"/>
      <c r="NLI8" s="222"/>
      <c r="NLJ8" s="222"/>
      <c r="NLK8" s="222"/>
      <c r="NLL8" s="222"/>
      <c r="NLM8" s="222"/>
      <c r="NLN8" s="222"/>
      <c r="NLO8" s="222"/>
      <c r="NLP8" s="222"/>
      <c r="NLQ8" s="222"/>
      <c r="NLR8" s="222"/>
      <c r="NLS8" s="222"/>
      <c r="NLT8" s="222"/>
      <c r="NLU8" s="222"/>
      <c r="NLV8" s="222"/>
      <c r="NLW8" s="222"/>
      <c r="NLX8" s="222"/>
      <c r="NLY8" s="222"/>
      <c r="NLZ8" s="222"/>
      <c r="NMA8" s="222"/>
      <c r="NMB8" s="222"/>
      <c r="NMC8" s="222"/>
      <c r="NMD8" s="222"/>
      <c r="NME8" s="222"/>
      <c r="NMF8" s="222"/>
      <c r="NMG8" s="222"/>
      <c r="NMH8" s="222"/>
      <c r="NMI8" s="222"/>
      <c r="NMJ8" s="222"/>
      <c r="NMK8" s="222"/>
      <c r="NML8" s="222"/>
      <c r="NMM8" s="222"/>
      <c r="NMN8" s="222"/>
      <c r="NMO8" s="222"/>
      <c r="NMP8" s="222"/>
      <c r="NMQ8" s="222"/>
      <c r="NMR8" s="222"/>
      <c r="NMS8" s="222"/>
      <c r="NMT8" s="222"/>
      <c r="NMU8" s="222"/>
      <c r="NMV8" s="222"/>
      <c r="NMW8" s="222"/>
      <c r="NMX8" s="222"/>
      <c r="NMY8" s="222"/>
      <c r="NMZ8" s="222"/>
      <c r="NNA8" s="222"/>
      <c r="NNB8" s="222"/>
      <c r="NNC8" s="222"/>
      <c r="NND8" s="222"/>
      <c r="NNE8" s="222"/>
      <c r="NNF8" s="222"/>
      <c r="NNG8" s="222"/>
      <c r="NNH8" s="222"/>
      <c r="NNI8" s="222"/>
      <c r="NNJ8" s="222"/>
      <c r="NNK8" s="222"/>
      <c r="NNL8" s="222"/>
      <c r="NNM8" s="222"/>
      <c r="NNN8" s="222"/>
      <c r="NNO8" s="222"/>
      <c r="NNP8" s="222"/>
      <c r="NNQ8" s="222"/>
      <c r="NNR8" s="222"/>
      <c r="NNS8" s="222"/>
      <c r="NNT8" s="222"/>
      <c r="NNU8" s="222"/>
      <c r="NNV8" s="222"/>
      <c r="NNW8" s="222"/>
      <c r="NNX8" s="222"/>
      <c r="NNY8" s="222"/>
      <c r="NNZ8" s="222"/>
      <c r="NOA8" s="222"/>
      <c r="NOB8" s="222"/>
      <c r="NOC8" s="222"/>
      <c r="NOD8" s="222"/>
      <c r="NOE8" s="222"/>
      <c r="NOF8" s="222"/>
      <c r="NOG8" s="222"/>
      <c r="NOH8" s="222"/>
      <c r="NOI8" s="222"/>
      <c r="NOJ8" s="222"/>
      <c r="NOK8" s="222"/>
      <c r="NOL8" s="222"/>
      <c r="NOM8" s="222"/>
      <c r="NON8" s="222"/>
      <c r="NOO8" s="222"/>
      <c r="NOP8" s="222"/>
      <c r="NOQ8" s="222"/>
      <c r="NOR8" s="222"/>
      <c r="NOS8" s="222"/>
      <c r="NOT8" s="222"/>
      <c r="NOU8" s="222"/>
      <c r="NOV8" s="222"/>
      <c r="NOW8" s="222"/>
      <c r="NOX8" s="222"/>
      <c r="NOY8" s="222"/>
      <c r="NOZ8" s="222"/>
      <c r="NPA8" s="222"/>
      <c r="NPB8" s="222"/>
      <c r="NPC8" s="222"/>
      <c r="NPD8" s="222"/>
      <c r="NPE8" s="222"/>
      <c r="NPF8" s="222"/>
      <c r="NPG8" s="222"/>
      <c r="NPH8" s="222"/>
      <c r="NPI8" s="222"/>
      <c r="NPJ8" s="222"/>
      <c r="NPK8" s="222"/>
      <c r="NPL8" s="222"/>
      <c r="NPM8" s="222"/>
      <c r="NPN8" s="222"/>
      <c r="NPO8" s="222"/>
      <c r="NPP8" s="222"/>
      <c r="NPQ8" s="222"/>
      <c r="NPR8" s="222"/>
      <c r="NPS8" s="222"/>
      <c r="NPT8" s="222"/>
      <c r="NPU8" s="222"/>
      <c r="NPV8" s="222"/>
      <c r="NPW8" s="222"/>
      <c r="NPX8" s="222"/>
      <c r="NPY8" s="222"/>
      <c r="NPZ8" s="222"/>
      <c r="NQA8" s="222"/>
      <c r="NQB8" s="222"/>
      <c r="NQC8" s="222"/>
      <c r="NQD8" s="222"/>
      <c r="NQE8" s="222"/>
      <c r="NQF8" s="222"/>
      <c r="NQG8" s="222"/>
      <c r="NQH8" s="222"/>
      <c r="NQI8" s="222"/>
      <c r="NQJ8" s="222"/>
      <c r="NQK8" s="222"/>
      <c r="NQL8" s="222"/>
      <c r="NQM8" s="222"/>
      <c r="NQN8" s="222"/>
      <c r="NQO8" s="222"/>
      <c r="NQP8" s="222"/>
      <c r="NQQ8" s="222"/>
      <c r="NQR8" s="222"/>
      <c r="NQS8" s="222"/>
      <c r="NQT8" s="222"/>
      <c r="NQU8" s="222"/>
      <c r="NQV8" s="222"/>
      <c r="NQW8" s="222"/>
      <c r="NQX8" s="222"/>
      <c r="NQY8" s="222"/>
      <c r="NQZ8" s="222"/>
      <c r="NRA8" s="222"/>
      <c r="NRB8" s="222"/>
      <c r="NRC8" s="222"/>
      <c r="NRD8" s="222"/>
      <c r="NRE8" s="222"/>
      <c r="NRF8" s="222"/>
      <c r="NRG8" s="222"/>
      <c r="NRH8" s="222"/>
      <c r="NRI8" s="222"/>
      <c r="NRJ8" s="222"/>
      <c r="NRK8" s="222"/>
      <c r="NRL8" s="222"/>
      <c r="NRM8" s="222"/>
      <c r="NRN8" s="222"/>
      <c r="NRO8" s="222"/>
      <c r="NRP8" s="222"/>
      <c r="NRQ8" s="222"/>
      <c r="NRR8" s="222"/>
      <c r="NRS8" s="222"/>
      <c r="NRT8" s="222"/>
      <c r="NRU8" s="222"/>
      <c r="NRV8" s="222"/>
      <c r="NRW8" s="222"/>
      <c r="NRX8" s="222"/>
      <c r="NRY8" s="222"/>
      <c r="NRZ8" s="222"/>
      <c r="NSA8" s="222"/>
      <c r="NSB8" s="222"/>
      <c r="NSC8" s="222"/>
      <c r="NSD8" s="222"/>
      <c r="NSE8" s="222"/>
      <c r="NSF8" s="222"/>
      <c r="NSG8" s="222"/>
      <c r="NSH8" s="222"/>
      <c r="NSI8" s="222"/>
      <c r="NSJ8" s="222"/>
      <c r="NSK8" s="222"/>
      <c r="NSL8" s="222"/>
      <c r="NSM8" s="222"/>
      <c r="NSN8" s="222"/>
      <c r="NSO8" s="222"/>
      <c r="NSP8" s="222"/>
      <c r="NSQ8" s="222"/>
      <c r="NSR8" s="222"/>
      <c r="NSS8" s="222"/>
      <c r="NST8" s="222"/>
      <c r="NSU8" s="222"/>
      <c r="NSV8" s="222"/>
      <c r="NSW8" s="222"/>
      <c r="NSX8" s="222"/>
      <c r="NSY8" s="222"/>
      <c r="NSZ8" s="222"/>
      <c r="NTA8" s="222"/>
      <c r="NTB8" s="222"/>
      <c r="NTC8" s="222"/>
      <c r="NTD8" s="222"/>
      <c r="NTE8" s="222"/>
      <c r="NTF8" s="222"/>
      <c r="NTG8" s="222"/>
      <c r="NTH8" s="222"/>
      <c r="NTI8" s="222"/>
      <c r="NTJ8" s="222"/>
      <c r="NTK8" s="222"/>
      <c r="NTL8" s="222"/>
      <c r="NTM8" s="222"/>
      <c r="NTN8" s="222"/>
      <c r="NTO8" s="222"/>
      <c r="NTP8" s="222"/>
      <c r="NTQ8" s="222"/>
      <c r="NTR8" s="222"/>
      <c r="NTS8" s="222"/>
      <c r="NTT8" s="222"/>
      <c r="NTU8" s="222"/>
      <c r="NTV8" s="222"/>
      <c r="NTW8" s="222"/>
      <c r="NTX8" s="222"/>
      <c r="NTY8" s="222"/>
      <c r="NTZ8" s="222"/>
      <c r="NUA8" s="222"/>
      <c r="NUB8" s="222"/>
      <c r="NUC8" s="222"/>
      <c r="NUD8" s="222"/>
      <c r="NUE8" s="222"/>
      <c r="NUF8" s="222"/>
      <c r="NUG8" s="222"/>
      <c r="NUH8" s="222"/>
      <c r="NUI8" s="222"/>
      <c r="NUJ8" s="222"/>
      <c r="NUK8" s="222"/>
      <c r="NUL8" s="222"/>
      <c r="NUM8" s="222"/>
      <c r="NUN8" s="222"/>
      <c r="NUO8" s="222"/>
      <c r="NUP8" s="222"/>
      <c r="NUQ8" s="222"/>
      <c r="NUR8" s="222"/>
      <c r="NUS8" s="222"/>
      <c r="NUT8" s="222"/>
      <c r="NUU8" s="222"/>
      <c r="NUV8" s="222"/>
      <c r="NUW8" s="222"/>
      <c r="NUX8" s="222"/>
      <c r="NUY8" s="222"/>
      <c r="NUZ8" s="222"/>
      <c r="NVA8" s="222"/>
      <c r="NVB8" s="222"/>
      <c r="NVC8" s="222"/>
      <c r="NVD8" s="222"/>
      <c r="NVE8" s="222"/>
      <c r="NVF8" s="222"/>
      <c r="NVG8" s="222"/>
      <c r="NVH8" s="222"/>
      <c r="NVI8" s="222"/>
      <c r="NVJ8" s="222"/>
      <c r="NVK8" s="222"/>
      <c r="NVL8" s="222"/>
      <c r="NVM8" s="222"/>
      <c r="NVN8" s="222"/>
      <c r="NVO8" s="222"/>
      <c r="NVP8" s="222"/>
      <c r="NVQ8" s="222"/>
      <c r="NVR8" s="222"/>
      <c r="NVS8" s="222"/>
      <c r="NVT8" s="222"/>
      <c r="NVU8" s="222"/>
      <c r="NVV8" s="222"/>
      <c r="NVW8" s="222"/>
      <c r="NVX8" s="222"/>
      <c r="NVY8" s="222"/>
      <c r="NVZ8" s="222"/>
      <c r="NWA8" s="222"/>
      <c r="NWB8" s="222"/>
      <c r="NWC8" s="222"/>
      <c r="NWD8" s="222"/>
      <c r="NWE8" s="222"/>
      <c r="NWF8" s="222"/>
      <c r="NWG8" s="222"/>
      <c r="NWH8" s="222"/>
      <c r="NWI8" s="222"/>
      <c r="NWJ8" s="222"/>
      <c r="NWK8" s="222"/>
      <c r="NWL8" s="222"/>
      <c r="NWM8" s="222"/>
      <c r="NWN8" s="222"/>
      <c r="NWO8" s="222"/>
      <c r="NWP8" s="222"/>
      <c r="NWQ8" s="222"/>
      <c r="NWR8" s="222"/>
      <c r="NWS8" s="222"/>
      <c r="NWT8" s="222"/>
      <c r="NWU8" s="222"/>
      <c r="NWV8" s="222"/>
      <c r="NWW8" s="222"/>
      <c r="NWX8" s="222"/>
      <c r="NWY8" s="222"/>
      <c r="NWZ8" s="222"/>
      <c r="NXA8" s="222"/>
      <c r="NXB8" s="222"/>
      <c r="NXC8" s="222"/>
      <c r="NXD8" s="222"/>
      <c r="NXE8" s="222"/>
      <c r="NXF8" s="222"/>
      <c r="NXG8" s="222"/>
      <c r="NXH8" s="222"/>
      <c r="NXI8" s="222"/>
      <c r="NXJ8" s="222"/>
      <c r="NXK8" s="222"/>
      <c r="NXL8" s="222"/>
      <c r="NXM8" s="222"/>
      <c r="NXN8" s="222"/>
      <c r="NXO8" s="222"/>
      <c r="NXP8" s="222"/>
      <c r="NXQ8" s="222"/>
      <c r="NXR8" s="222"/>
      <c r="NXS8" s="222"/>
      <c r="NXT8" s="222"/>
      <c r="NXU8" s="222"/>
      <c r="NXV8" s="222"/>
      <c r="NXW8" s="222"/>
      <c r="NXX8" s="222"/>
      <c r="NXY8" s="222"/>
      <c r="NXZ8" s="222"/>
      <c r="NYA8" s="222"/>
      <c r="NYB8" s="222"/>
      <c r="NYC8" s="222"/>
      <c r="NYD8" s="222"/>
      <c r="NYE8" s="222"/>
      <c r="NYF8" s="222"/>
      <c r="NYG8" s="222"/>
      <c r="NYH8" s="222"/>
      <c r="NYI8" s="222"/>
      <c r="NYJ8" s="222"/>
      <c r="NYK8" s="222"/>
      <c r="NYL8" s="222"/>
      <c r="NYM8" s="222"/>
      <c r="NYN8" s="222"/>
      <c r="NYO8" s="222"/>
      <c r="NYP8" s="222"/>
      <c r="NYQ8" s="222"/>
      <c r="NYR8" s="222"/>
      <c r="NYS8" s="222"/>
      <c r="NYT8" s="222"/>
      <c r="NYU8" s="222"/>
      <c r="NYV8" s="222"/>
      <c r="NYW8" s="222"/>
      <c r="NYX8" s="222"/>
      <c r="NYY8" s="222"/>
      <c r="NYZ8" s="222"/>
      <c r="NZA8" s="222"/>
      <c r="NZB8" s="222"/>
      <c r="NZC8" s="222"/>
      <c r="NZD8" s="222"/>
      <c r="NZE8" s="222"/>
      <c r="NZF8" s="222"/>
      <c r="NZG8" s="222"/>
      <c r="NZH8" s="222"/>
      <c r="NZI8" s="222"/>
      <c r="NZJ8" s="222"/>
      <c r="NZK8" s="222"/>
      <c r="NZL8" s="222"/>
      <c r="NZM8" s="222"/>
      <c r="NZN8" s="222"/>
      <c r="NZO8" s="222"/>
      <c r="NZP8" s="222"/>
      <c r="NZQ8" s="222"/>
      <c r="NZR8" s="222"/>
      <c r="NZS8" s="222"/>
      <c r="NZT8" s="222"/>
      <c r="NZU8" s="222"/>
      <c r="NZV8" s="222"/>
      <c r="NZW8" s="222"/>
      <c r="NZX8" s="222"/>
      <c r="NZY8" s="222"/>
      <c r="NZZ8" s="222"/>
      <c r="OAA8" s="222"/>
      <c r="OAB8" s="222"/>
      <c r="OAC8" s="222"/>
      <c r="OAD8" s="222"/>
      <c r="OAE8" s="222"/>
      <c r="OAF8" s="222"/>
      <c r="OAG8" s="222"/>
      <c r="OAH8" s="222"/>
      <c r="OAI8" s="222"/>
      <c r="OAJ8" s="222"/>
      <c r="OAK8" s="222"/>
      <c r="OAL8" s="222"/>
      <c r="OAM8" s="222"/>
      <c r="OAN8" s="222"/>
      <c r="OAO8" s="222"/>
      <c r="OAP8" s="222"/>
      <c r="OAQ8" s="222"/>
      <c r="OAR8" s="222"/>
      <c r="OAS8" s="222"/>
      <c r="OAT8" s="222"/>
      <c r="OAU8" s="222"/>
      <c r="OAV8" s="222"/>
      <c r="OAW8" s="222"/>
      <c r="OAX8" s="222"/>
      <c r="OAY8" s="222"/>
      <c r="OAZ8" s="222"/>
      <c r="OBA8" s="222"/>
      <c r="OBB8" s="222"/>
      <c r="OBC8" s="222"/>
      <c r="OBD8" s="222"/>
      <c r="OBE8" s="222"/>
      <c r="OBF8" s="222"/>
      <c r="OBG8" s="222"/>
      <c r="OBH8" s="222"/>
      <c r="OBI8" s="222"/>
      <c r="OBJ8" s="222"/>
      <c r="OBK8" s="222"/>
      <c r="OBL8" s="222"/>
      <c r="OBM8" s="222"/>
      <c r="OBN8" s="222"/>
      <c r="OBO8" s="222"/>
      <c r="OBP8" s="222"/>
      <c r="OBQ8" s="222"/>
      <c r="OBR8" s="222"/>
      <c r="OBS8" s="222"/>
      <c r="OBT8" s="222"/>
      <c r="OBU8" s="222"/>
      <c r="OBV8" s="222"/>
      <c r="OBW8" s="222"/>
      <c r="OBX8" s="222"/>
      <c r="OBY8" s="222"/>
      <c r="OBZ8" s="222"/>
      <c r="OCA8" s="222"/>
      <c r="OCB8" s="222"/>
      <c r="OCC8" s="222"/>
      <c r="OCD8" s="222"/>
      <c r="OCE8" s="222"/>
      <c r="OCF8" s="222"/>
      <c r="OCG8" s="222"/>
      <c r="OCH8" s="222"/>
      <c r="OCI8" s="222"/>
      <c r="OCJ8" s="222"/>
      <c r="OCK8" s="222"/>
      <c r="OCL8" s="222"/>
      <c r="OCM8" s="222"/>
      <c r="OCN8" s="222"/>
      <c r="OCO8" s="222"/>
      <c r="OCP8" s="222"/>
      <c r="OCQ8" s="222"/>
      <c r="OCR8" s="222"/>
      <c r="OCS8" s="222"/>
      <c r="OCT8" s="222"/>
      <c r="OCU8" s="222"/>
      <c r="OCV8" s="222"/>
      <c r="OCW8" s="222"/>
      <c r="OCX8" s="222"/>
      <c r="OCY8" s="222"/>
      <c r="OCZ8" s="222"/>
      <c r="ODA8" s="222"/>
      <c r="ODB8" s="222"/>
      <c r="ODC8" s="222"/>
      <c r="ODD8" s="222"/>
      <c r="ODE8" s="222"/>
      <c r="ODF8" s="222"/>
      <c r="ODG8" s="222"/>
      <c r="ODH8" s="222"/>
      <c r="ODI8" s="222"/>
      <c r="ODJ8" s="222"/>
      <c r="ODK8" s="222"/>
      <c r="ODL8" s="222"/>
      <c r="ODM8" s="222"/>
      <c r="ODN8" s="222"/>
      <c r="ODO8" s="222"/>
      <c r="ODP8" s="222"/>
      <c r="ODQ8" s="222"/>
      <c r="ODR8" s="222"/>
      <c r="ODS8" s="222"/>
      <c r="ODT8" s="222"/>
      <c r="ODU8" s="222"/>
      <c r="ODV8" s="222"/>
      <c r="ODW8" s="222"/>
      <c r="ODX8" s="222"/>
      <c r="ODY8" s="222"/>
      <c r="ODZ8" s="222"/>
      <c r="OEA8" s="222"/>
      <c r="OEB8" s="222"/>
      <c r="OEC8" s="222"/>
      <c r="OED8" s="222"/>
      <c r="OEE8" s="222"/>
      <c r="OEF8" s="222"/>
      <c r="OEG8" s="222"/>
      <c r="OEH8" s="222"/>
      <c r="OEI8" s="222"/>
      <c r="OEJ8" s="222"/>
      <c r="OEK8" s="222"/>
      <c r="OEL8" s="222"/>
      <c r="OEM8" s="222"/>
      <c r="OEN8" s="222"/>
      <c r="OEO8" s="222"/>
      <c r="OEP8" s="222"/>
      <c r="OEQ8" s="222"/>
      <c r="OER8" s="222"/>
      <c r="OES8" s="222"/>
      <c r="OET8" s="222"/>
      <c r="OEU8" s="222"/>
      <c r="OEV8" s="222"/>
      <c r="OEW8" s="222"/>
      <c r="OEX8" s="222"/>
      <c r="OEY8" s="222"/>
      <c r="OEZ8" s="222"/>
      <c r="OFA8" s="222"/>
      <c r="OFB8" s="222"/>
      <c r="OFC8" s="222"/>
      <c r="OFD8" s="222"/>
      <c r="OFE8" s="222"/>
      <c r="OFF8" s="222"/>
      <c r="OFG8" s="222"/>
      <c r="OFH8" s="222"/>
      <c r="OFI8" s="222"/>
      <c r="OFJ8" s="222"/>
      <c r="OFK8" s="222"/>
      <c r="OFL8" s="222"/>
      <c r="OFM8" s="222"/>
      <c r="OFN8" s="222"/>
      <c r="OFO8" s="222"/>
      <c r="OFP8" s="222"/>
      <c r="OFQ8" s="222"/>
      <c r="OFR8" s="222"/>
      <c r="OFS8" s="222"/>
      <c r="OFT8" s="222"/>
      <c r="OFU8" s="222"/>
      <c r="OFV8" s="222"/>
      <c r="OFW8" s="222"/>
      <c r="OFX8" s="222"/>
      <c r="OFY8" s="222"/>
      <c r="OFZ8" s="222"/>
      <c r="OGA8" s="222"/>
      <c r="OGB8" s="222"/>
      <c r="OGC8" s="222"/>
      <c r="OGD8" s="222"/>
      <c r="OGE8" s="222"/>
      <c r="OGF8" s="222"/>
      <c r="OGG8" s="222"/>
      <c r="OGH8" s="222"/>
      <c r="OGI8" s="222"/>
      <c r="OGJ8" s="222"/>
      <c r="OGK8" s="222"/>
      <c r="OGL8" s="222"/>
      <c r="OGM8" s="222"/>
      <c r="OGN8" s="222"/>
      <c r="OGO8" s="222"/>
      <c r="OGP8" s="222"/>
      <c r="OGQ8" s="222"/>
      <c r="OGR8" s="222"/>
      <c r="OGS8" s="222"/>
      <c r="OGT8" s="222"/>
      <c r="OGU8" s="222"/>
      <c r="OGV8" s="222"/>
      <c r="OGW8" s="222"/>
      <c r="OGX8" s="222"/>
      <c r="OGY8" s="222"/>
      <c r="OGZ8" s="222"/>
      <c r="OHA8" s="222"/>
      <c r="OHB8" s="222"/>
      <c r="OHC8" s="222"/>
      <c r="OHD8" s="222"/>
      <c r="OHE8" s="222"/>
      <c r="OHF8" s="222"/>
      <c r="OHG8" s="222"/>
      <c r="OHH8" s="222"/>
      <c r="OHI8" s="222"/>
      <c r="OHJ8" s="222"/>
      <c r="OHK8" s="222"/>
      <c r="OHL8" s="222"/>
      <c r="OHM8" s="222"/>
      <c r="OHN8" s="222"/>
      <c r="OHO8" s="222"/>
      <c r="OHP8" s="222"/>
      <c r="OHQ8" s="222"/>
      <c r="OHR8" s="222"/>
      <c r="OHS8" s="222"/>
      <c r="OHT8" s="222"/>
      <c r="OHU8" s="222"/>
      <c r="OHV8" s="222"/>
      <c r="OHW8" s="222"/>
      <c r="OHX8" s="222"/>
      <c r="OHY8" s="222"/>
      <c r="OHZ8" s="222"/>
      <c r="OIA8" s="222"/>
      <c r="OIB8" s="222"/>
      <c r="OIC8" s="222"/>
      <c r="OID8" s="222"/>
      <c r="OIE8" s="222"/>
      <c r="OIF8" s="222"/>
      <c r="OIG8" s="222"/>
      <c r="OIH8" s="222"/>
      <c r="OII8" s="222"/>
      <c r="OIJ8" s="222"/>
      <c r="OIK8" s="222"/>
      <c r="OIL8" s="222"/>
      <c r="OIM8" s="222"/>
      <c r="OIN8" s="222"/>
      <c r="OIO8" s="222"/>
      <c r="OIP8" s="222"/>
      <c r="OIQ8" s="222"/>
      <c r="OIR8" s="222"/>
      <c r="OIS8" s="222"/>
      <c r="OIT8" s="222"/>
      <c r="OIU8" s="222"/>
      <c r="OIV8" s="222"/>
      <c r="OIW8" s="222"/>
      <c r="OIX8" s="222"/>
      <c r="OIY8" s="222"/>
      <c r="OIZ8" s="222"/>
      <c r="OJA8" s="222"/>
      <c r="OJB8" s="222"/>
      <c r="OJC8" s="222"/>
      <c r="OJD8" s="222"/>
      <c r="OJE8" s="222"/>
      <c r="OJF8" s="222"/>
      <c r="OJG8" s="222"/>
      <c r="OJH8" s="222"/>
      <c r="OJI8" s="222"/>
      <c r="OJJ8" s="222"/>
      <c r="OJK8" s="222"/>
      <c r="OJL8" s="222"/>
      <c r="OJM8" s="222"/>
      <c r="OJN8" s="222"/>
      <c r="OJO8" s="222"/>
      <c r="OJP8" s="222"/>
      <c r="OJQ8" s="222"/>
      <c r="OJR8" s="222"/>
      <c r="OJS8" s="222"/>
      <c r="OJT8" s="222"/>
      <c r="OJU8" s="222"/>
      <c r="OJV8" s="222"/>
      <c r="OJW8" s="222"/>
      <c r="OJX8" s="222"/>
      <c r="OJY8" s="222"/>
      <c r="OJZ8" s="222"/>
      <c r="OKA8" s="222"/>
      <c r="OKB8" s="222"/>
      <c r="OKC8" s="222"/>
      <c r="OKD8" s="222"/>
      <c r="OKE8" s="222"/>
      <c r="OKF8" s="222"/>
      <c r="OKG8" s="222"/>
      <c r="OKH8" s="222"/>
      <c r="OKI8" s="222"/>
      <c r="OKJ8" s="222"/>
      <c r="OKK8" s="222"/>
      <c r="OKL8" s="222"/>
      <c r="OKM8" s="222"/>
      <c r="OKN8" s="222"/>
      <c r="OKO8" s="222"/>
      <c r="OKP8" s="222"/>
      <c r="OKQ8" s="222"/>
      <c r="OKR8" s="222"/>
      <c r="OKS8" s="222"/>
      <c r="OKT8" s="222"/>
      <c r="OKU8" s="222"/>
      <c r="OKV8" s="222"/>
      <c r="OKW8" s="222"/>
      <c r="OKX8" s="222"/>
      <c r="OKY8" s="222"/>
      <c r="OKZ8" s="222"/>
      <c r="OLA8" s="222"/>
      <c r="OLB8" s="222"/>
      <c r="OLC8" s="222"/>
      <c r="OLD8" s="222"/>
      <c r="OLE8" s="222"/>
      <c r="OLF8" s="222"/>
      <c r="OLG8" s="222"/>
      <c r="OLH8" s="222"/>
      <c r="OLI8" s="222"/>
      <c r="OLJ8" s="222"/>
      <c r="OLK8" s="222"/>
      <c r="OLL8" s="222"/>
      <c r="OLM8" s="222"/>
      <c r="OLN8" s="222"/>
      <c r="OLO8" s="222"/>
      <c r="OLP8" s="222"/>
      <c r="OLQ8" s="222"/>
      <c r="OLR8" s="222"/>
      <c r="OLS8" s="222"/>
      <c r="OLT8" s="222"/>
      <c r="OLU8" s="222"/>
      <c r="OLV8" s="222"/>
      <c r="OLW8" s="222"/>
      <c r="OLX8" s="222"/>
      <c r="OLY8" s="222"/>
      <c r="OLZ8" s="222"/>
      <c r="OMA8" s="222"/>
      <c r="OMB8" s="222"/>
      <c r="OMC8" s="222"/>
      <c r="OMD8" s="222"/>
      <c r="OME8" s="222"/>
      <c r="OMF8" s="222"/>
      <c r="OMG8" s="222"/>
      <c r="OMH8" s="222"/>
      <c r="OMI8" s="222"/>
      <c r="OMJ8" s="222"/>
      <c r="OMK8" s="222"/>
      <c r="OML8" s="222"/>
      <c r="OMM8" s="222"/>
      <c r="OMN8" s="222"/>
      <c r="OMO8" s="222"/>
      <c r="OMP8" s="222"/>
      <c r="OMQ8" s="222"/>
      <c r="OMR8" s="222"/>
      <c r="OMS8" s="222"/>
      <c r="OMT8" s="222"/>
      <c r="OMU8" s="222"/>
      <c r="OMV8" s="222"/>
      <c r="OMW8" s="222"/>
      <c r="OMX8" s="222"/>
      <c r="OMY8" s="222"/>
      <c r="OMZ8" s="222"/>
      <c r="ONA8" s="222"/>
      <c r="ONB8" s="222"/>
      <c r="ONC8" s="222"/>
      <c r="OND8" s="222"/>
      <c r="ONE8" s="222"/>
      <c r="ONF8" s="222"/>
      <c r="ONG8" s="222"/>
      <c r="ONH8" s="222"/>
      <c r="ONI8" s="222"/>
      <c r="ONJ8" s="222"/>
      <c r="ONK8" s="222"/>
      <c r="ONL8" s="222"/>
      <c r="ONM8" s="222"/>
      <c r="ONN8" s="222"/>
      <c r="ONO8" s="222"/>
      <c r="ONP8" s="222"/>
      <c r="ONQ8" s="222"/>
      <c r="ONR8" s="222"/>
      <c r="ONS8" s="222"/>
      <c r="ONT8" s="222"/>
      <c r="ONU8" s="222"/>
      <c r="ONV8" s="222"/>
      <c r="ONW8" s="222"/>
      <c r="ONX8" s="222"/>
      <c r="ONY8" s="222"/>
      <c r="ONZ8" s="222"/>
      <c r="OOA8" s="222"/>
      <c r="OOB8" s="222"/>
      <c r="OOC8" s="222"/>
      <c r="OOD8" s="222"/>
      <c r="OOE8" s="222"/>
      <c r="OOF8" s="222"/>
      <c r="OOG8" s="222"/>
      <c r="OOH8" s="222"/>
      <c r="OOI8" s="222"/>
      <c r="OOJ8" s="222"/>
      <c r="OOK8" s="222"/>
      <c r="OOL8" s="222"/>
      <c r="OOM8" s="222"/>
      <c r="OON8" s="222"/>
      <c r="OOO8" s="222"/>
      <c r="OOP8" s="222"/>
      <c r="OOQ8" s="222"/>
      <c r="OOR8" s="222"/>
      <c r="OOS8" s="222"/>
      <c r="OOT8" s="222"/>
      <c r="OOU8" s="222"/>
      <c r="OOV8" s="222"/>
      <c r="OOW8" s="222"/>
      <c r="OOX8" s="222"/>
      <c r="OOY8" s="222"/>
      <c r="OOZ8" s="222"/>
      <c r="OPA8" s="222"/>
      <c r="OPB8" s="222"/>
      <c r="OPC8" s="222"/>
      <c r="OPD8" s="222"/>
      <c r="OPE8" s="222"/>
      <c r="OPF8" s="222"/>
      <c r="OPG8" s="222"/>
      <c r="OPH8" s="222"/>
      <c r="OPI8" s="222"/>
      <c r="OPJ8" s="222"/>
      <c r="OPK8" s="222"/>
      <c r="OPL8" s="222"/>
      <c r="OPM8" s="222"/>
      <c r="OPN8" s="222"/>
      <c r="OPO8" s="222"/>
      <c r="OPP8" s="222"/>
      <c r="OPQ8" s="222"/>
      <c r="OPR8" s="222"/>
      <c r="OPS8" s="222"/>
      <c r="OPT8" s="222"/>
      <c r="OPU8" s="222"/>
      <c r="OPV8" s="222"/>
      <c r="OPW8" s="222"/>
      <c r="OPX8" s="222"/>
      <c r="OPY8" s="222"/>
      <c r="OPZ8" s="222"/>
      <c r="OQA8" s="222"/>
      <c r="OQB8" s="222"/>
      <c r="OQC8" s="222"/>
      <c r="OQD8" s="222"/>
      <c r="OQE8" s="222"/>
      <c r="OQF8" s="222"/>
      <c r="OQG8" s="222"/>
      <c r="OQH8" s="222"/>
      <c r="OQI8" s="222"/>
      <c r="OQJ8" s="222"/>
      <c r="OQK8" s="222"/>
      <c r="OQL8" s="222"/>
      <c r="OQM8" s="222"/>
      <c r="OQN8" s="222"/>
      <c r="OQO8" s="222"/>
      <c r="OQP8" s="222"/>
      <c r="OQQ8" s="222"/>
      <c r="OQR8" s="222"/>
      <c r="OQS8" s="222"/>
      <c r="OQT8" s="222"/>
      <c r="OQU8" s="222"/>
      <c r="OQV8" s="222"/>
      <c r="OQW8" s="222"/>
      <c r="OQX8" s="222"/>
      <c r="OQY8" s="222"/>
      <c r="OQZ8" s="222"/>
      <c r="ORA8" s="222"/>
      <c r="ORB8" s="222"/>
      <c r="ORC8" s="222"/>
      <c r="ORD8" s="222"/>
      <c r="ORE8" s="222"/>
      <c r="ORF8" s="222"/>
      <c r="ORG8" s="222"/>
      <c r="ORH8" s="222"/>
      <c r="ORI8" s="222"/>
      <c r="ORJ8" s="222"/>
      <c r="ORK8" s="222"/>
      <c r="ORL8" s="222"/>
      <c r="ORM8" s="222"/>
      <c r="ORN8" s="222"/>
      <c r="ORO8" s="222"/>
      <c r="ORP8" s="222"/>
      <c r="ORQ8" s="222"/>
      <c r="ORR8" s="222"/>
      <c r="ORS8" s="222"/>
      <c r="ORT8" s="222"/>
      <c r="ORU8" s="222"/>
      <c r="ORV8" s="222"/>
      <c r="ORW8" s="222"/>
      <c r="ORX8" s="222"/>
      <c r="ORY8" s="222"/>
      <c r="ORZ8" s="222"/>
      <c r="OSA8" s="222"/>
      <c r="OSB8" s="222"/>
      <c r="OSC8" s="222"/>
      <c r="OSD8" s="222"/>
      <c r="OSE8" s="222"/>
      <c r="OSF8" s="222"/>
      <c r="OSG8" s="222"/>
      <c r="OSH8" s="222"/>
      <c r="OSI8" s="222"/>
      <c r="OSJ8" s="222"/>
      <c r="OSK8" s="222"/>
      <c r="OSL8" s="222"/>
      <c r="OSM8" s="222"/>
      <c r="OSN8" s="222"/>
      <c r="OSO8" s="222"/>
      <c r="OSP8" s="222"/>
      <c r="OSQ8" s="222"/>
      <c r="OSR8" s="222"/>
      <c r="OSS8" s="222"/>
      <c r="OST8" s="222"/>
      <c r="OSU8" s="222"/>
      <c r="OSV8" s="222"/>
      <c r="OSW8" s="222"/>
      <c r="OSX8" s="222"/>
      <c r="OSY8" s="222"/>
      <c r="OSZ8" s="222"/>
      <c r="OTA8" s="222"/>
      <c r="OTB8" s="222"/>
      <c r="OTC8" s="222"/>
      <c r="OTD8" s="222"/>
      <c r="OTE8" s="222"/>
      <c r="OTF8" s="222"/>
      <c r="OTG8" s="222"/>
      <c r="OTH8" s="222"/>
      <c r="OTI8" s="222"/>
      <c r="OTJ8" s="222"/>
      <c r="OTK8" s="222"/>
      <c r="OTL8" s="222"/>
      <c r="OTM8" s="222"/>
      <c r="OTN8" s="222"/>
      <c r="OTO8" s="222"/>
      <c r="OTP8" s="222"/>
      <c r="OTQ8" s="222"/>
      <c r="OTR8" s="222"/>
      <c r="OTS8" s="222"/>
      <c r="OTT8" s="222"/>
      <c r="OTU8" s="222"/>
      <c r="OTV8" s="222"/>
      <c r="OTW8" s="222"/>
      <c r="OTX8" s="222"/>
      <c r="OTY8" s="222"/>
      <c r="OTZ8" s="222"/>
      <c r="OUA8" s="222"/>
      <c r="OUB8" s="222"/>
      <c r="OUC8" s="222"/>
      <c r="OUD8" s="222"/>
      <c r="OUE8" s="222"/>
      <c r="OUF8" s="222"/>
      <c r="OUG8" s="222"/>
      <c r="OUH8" s="222"/>
      <c r="OUI8" s="222"/>
      <c r="OUJ8" s="222"/>
      <c r="OUK8" s="222"/>
      <c r="OUL8" s="222"/>
      <c r="OUM8" s="222"/>
      <c r="OUN8" s="222"/>
      <c r="OUO8" s="222"/>
      <c r="OUP8" s="222"/>
      <c r="OUQ8" s="222"/>
      <c r="OUR8" s="222"/>
      <c r="OUS8" s="222"/>
      <c r="OUT8" s="222"/>
      <c r="OUU8" s="222"/>
      <c r="OUV8" s="222"/>
      <c r="OUW8" s="222"/>
      <c r="OUX8" s="222"/>
      <c r="OUY8" s="222"/>
      <c r="OUZ8" s="222"/>
      <c r="OVA8" s="222"/>
      <c r="OVB8" s="222"/>
      <c r="OVC8" s="222"/>
      <c r="OVD8" s="222"/>
      <c r="OVE8" s="222"/>
      <c r="OVF8" s="222"/>
      <c r="OVG8" s="222"/>
      <c r="OVH8" s="222"/>
      <c r="OVI8" s="222"/>
      <c r="OVJ8" s="222"/>
      <c r="OVK8" s="222"/>
      <c r="OVL8" s="222"/>
      <c r="OVM8" s="222"/>
      <c r="OVN8" s="222"/>
      <c r="OVO8" s="222"/>
      <c r="OVP8" s="222"/>
      <c r="OVQ8" s="222"/>
      <c r="OVR8" s="222"/>
      <c r="OVS8" s="222"/>
      <c r="OVT8" s="222"/>
      <c r="OVU8" s="222"/>
      <c r="OVV8" s="222"/>
      <c r="OVW8" s="222"/>
      <c r="OVX8" s="222"/>
      <c r="OVY8" s="222"/>
      <c r="OVZ8" s="222"/>
      <c r="OWA8" s="222"/>
      <c r="OWB8" s="222"/>
      <c r="OWC8" s="222"/>
      <c r="OWD8" s="222"/>
      <c r="OWE8" s="222"/>
      <c r="OWF8" s="222"/>
      <c r="OWG8" s="222"/>
      <c r="OWH8" s="222"/>
      <c r="OWI8" s="222"/>
      <c r="OWJ8" s="222"/>
      <c r="OWK8" s="222"/>
      <c r="OWL8" s="222"/>
      <c r="OWM8" s="222"/>
      <c r="OWN8" s="222"/>
      <c r="OWO8" s="222"/>
      <c r="OWP8" s="222"/>
      <c r="OWQ8" s="222"/>
      <c r="OWR8" s="222"/>
      <c r="OWS8" s="222"/>
      <c r="OWT8" s="222"/>
      <c r="OWU8" s="222"/>
      <c r="OWV8" s="222"/>
      <c r="OWW8" s="222"/>
      <c r="OWX8" s="222"/>
      <c r="OWY8" s="222"/>
      <c r="OWZ8" s="222"/>
      <c r="OXA8" s="222"/>
      <c r="OXB8" s="222"/>
      <c r="OXC8" s="222"/>
      <c r="OXD8" s="222"/>
      <c r="OXE8" s="222"/>
      <c r="OXF8" s="222"/>
      <c r="OXG8" s="222"/>
      <c r="OXH8" s="222"/>
      <c r="OXI8" s="222"/>
      <c r="OXJ8" s="222"/>
      <c r="OXK8" s="222"/>
      <c r="OXL8" s="222"/>
      <c r="OXM8" s="222"/>
      <c r="OXN8" s="222"/>
      <c r="OXO8" s="222"/>
      <c r="OXP8" s="222"/>
      <c r="OXQ8" s="222"/>
      <c r="OXR8" s="222"/>
      <c r="OXS8" s="222"/>
      <c r="OXT8" s="222"/>
      <c r="OXU8" s="222"/>
      <c r="OXV8" s="222"/>
      <c r="OXW8" s="222"/>
      <c r="OXX8" s="222"/>
      <c r="OXY8" s="222"/>
      <c r="OXZ8" s="222"/>
      <c r="OYA8" s="222"/>
      <c r="OYB8" s="222"/>
      <c r="OYC8" s="222"/>
      <c r="OYD8" s="222"/>
      <c r="OYE8" s="222"/>
      <c r="OYF8" s="222"/>
      <c r="OYG8" s="222"/>
      <c r="OYH8" s="222"/>
      <c r="OYI8" s="222"/>
      <c r="OYJ8" s="222"/>
      <c r="OYK8" s="222"/>
      <c r="OYL8" s="222"/>
      <c r="OYM8" s="222"/>
      <c r="OYN8" s="222"/>
      <c r="OYO8" s="222"/>
      <c r="OYP8" s="222"/>
      <c r="OYQ8" s="222"/>
      <c r="OYR8" s="222"/>
      <c r="OYS8" s="222"/>
      <c r="OYT8" s="222"/>
      <c r="OYU8" s="222"/>
      <c r="OYV8" s="222"/>
      <c r="OYW8" s="222"/>
      <c r="OYX8" s="222"/>
      <c r="OYY8" s="222"/>
      <c r="OYZ8" s="222"/>
      <c r="OZA8" s="222"/>
      <c r="OZB8" s="222"/>
      <c r="OZC8" s="222"/>
      <c r="OZD8" s="222"/>
      <c r="OZE8" s="222"/>
      <c r="OZF8" s="222"/>
      <c r="OZG8" s="222"/>
      <c r="OZH8" s="222"/>
      <c r="OZI8" s="222"/>
      <c r="OZJ8" s="222"/>
      <c r="OZK8" s="222"/>
      <c r="OZL8" s="222"/>
      <c r="OZM8" s="222"/>
      <c r="OZN8" s="222"/>
      <c r="OZO8" s="222"/>
      <c r="OZP8" s="222"/>
      <c r="OZQ8" s="222"/>
      <c r="OZR8" s="222"/>
      <c r="OZS8" s="222"/>
      <c r="OZT8" s="222"/>
      <c r="OZU8" s="222"/>
      <c r="OZV8" s="222"/>
      <c r="OZW8" s="222"/>
      <c r="OZX8" s="222"/>
      <c r="OZY8" s="222"/>
      <c r="OZZ8" s="222"/>
      <c r="PAA8" s="222"/>
      <c r="PAB8" s="222"/>
      <c r="PAC8" s="222"/>
      <c r="PAD8" s="222"/>
      <c r="PAE8" s="222"/>
      <c r="PAF8" s="222"/>
      <c r="PAG8" s="222"/>
      <c r="PAH8" s="222"/>
      <c r="PAI8" s="222"/>
      <c r="PAJ8" s="222"/>
      <c r="PAK8" s="222"/>
      <c r="PAL8" s="222"/>
      <c r="PAM8" s="222"/>
      <c r="PAN8" s="222"/>
      <c r="PAO8" s="222"/>
      <c r="PAP8" s="222"/>
      <c r="PAQ8" s="222"/>
      <c r="PAR8" s="222"/>
      <c r="PAS8" s="222"/>
      <c r="PAT8" s="222"/>
      <c r="PAU8" s="222"/>
      <c r="PAV8" s="222"/>
      <c r="PAW8" s="222"/>
      <c r="PAX8" s="222"/>
      <c r="PAY8" s="222"/>
      <c r="PAZ8" s="222"/>
      <c r="PBA8" s="222"/>
      <c r="PBB8" s="222"/>
      <c r="PBC8" s="222"/>
      <c r="PBD8" s="222"/>
      <c r="PBE8" s="222"/>
      <c r="PBF8" s="222"/>
      <c r="PBG8" s="222"/>
      <c r="PBH8" s="222"/>
      <c r="PBI8" s="222"/>
      <c r="PBJ8" s="222"/>
      <c r="PBK8" s="222"/>
      <c r="PBL8" s="222"/>
      <c r="PBM8" s="222"/>
      <c r="PBN8" s="222"/>
      <c r="PBO8" s="222"/>
      <c r="PBP8" s="222"/>
      <c r="PBQ8" s="222"/>
      <c r="PBR8" s="222"/>
      <c r="PBS8" s="222"/>
      <c r="PBT8" s="222"/>
      <c r="PBU8" s="222"/>
      <c r="PBV8" s="222"/>
      <c r="PBW8" s="222"/>
      <c r="PBX8" s="222"/>
      <c r="PBY8" s="222"/>
      <c r="PBZ8" s="222"/>
      <c r="PCA8" s="222"/>
      <c r="PCB8" s="222"/>
      <c r="PCC8" s="222"/>
      <c r="PCD8" s="222"/>
      <c r="PCE8" s="222"/>
      <c r="PCF8" s="222"/>
      <c r="PCG8" s="222"/>
      <c r="PCH8" s="222"/>
      <c r="PCI8" s="222"/>
      <c r="PCJ8" s="222"/>
      <c r="PCK8" s="222"/>
      <c r="PCL8" s="222"/>
      <c r="PCM8" s="222"/>
      <c r="PCN8" s="222"/>
      <c r="PCO8" s="222"/>
      <c r="PCP8" s="222"/>
      <c r="PCQ8" s="222"/>
      <c r="PCR8" s="222"/>
      <c r="PCS8" s="222"/>
      <c r="PCT8" s="222"/>
      <c r="PCU8" s="222"/>
      <c r="PCV8" s="222"/>
      <c r="PCW8" s="222"/>
      <c r="PCX8" s="222"/>
      <c r="PCY8" s="222"/>
      <c r="PCZ8" s="222"/>
      <c r="PDA8" s="222"/>
      <c r="PDB8" s="222"/>
      <c r="PDC8" s="222"/>
      <c r="PDD8" s="222"/>
      <c r="PDE8" s="222"/>
      <c r="PDF8" s="222"/>
      <c r="PDG8" s="222"/>
      <c r="PDH8" s="222"/>
      <c r="PDI8" s="222"/>
      <c r="PDJ8" s="222"/>
      <c r="PDK8" s="222"/>
      <c r="PDL8" s="222"/>
      <c r="PDM8" s="222"/>
      <c r="PDN8" s="222"/>
      <c r="PDO8" s="222"/>
      <c r="PDP8" s="222"/>
      <c r="PDQ8" s="222"/>
      <c r="PDR8" s="222"/>
      <c r="PDS8" s="222"/>
      <c r="PDT8" s="222"/>
      <c r="PDU8" s="222"/>
      <c r="PDV8" s="222"/>
      <c r="PDW8" s="222"/>
      <c r="PDX8" s="222"/>
      <c r="PDY8" s="222"/>
      <c r="PDZ8" s="222"/>
      <c r="PEA8" s="222"/>
      <c r="PEB8" s="222"/>
      <c r="PEC8" s="222"/>
      <c r="PED8" s="222"/>
      <c r="PEE8" s="222"/>
      <c r="PEF8" s="222"/>
      <c r="PEG8" s="222"/>
      <c r="PEH8" s="222"/>
      <c r="PEI8" s="222"/>
      <c r="PEJ8" s="222"/>
      <c r="PEK8" s="222"/>
      <c r="PEL8" s="222"/>
      <c r="PEM8" s="222"/>
      <c r="PEN8" s="222"/>
      <c r="PEO8" s="222"/>
      <c r="PEP8" s="222"/>
      <c r="PEQ8" s="222"/>
      <c r="PER8" s="222"/>
      <c r="PES8" s="222"/>
      <c r="PET8" s="222"/>
      <c r="PEU8" s="222"/>
      <c r="PEV8" s="222"/>
      <c r="PEW8" s="222"/>
      <c r="PEX8" s="222"/>
      <c r="PEY8" s="222"/>
      <c r="PEZ8" s="222"/>
      <c r="PFA8" s="222"/>
      <c r="PFB8" s="222"/>
      <c r="PFC8" s="222"/>
      <c r="PFD8" s="222"/>
      <c r="PFE8" s="222"/>
      <c r="PFF8" s="222"/>
      <c r="PFG8" s="222"/>
      <c r="PFH8" s="222"/>
      <c r="PFI8" s="222"/>
      <c r="PFJ8" s="222"/>
      <c r="PFK8" s="222"/>
      <c r="PFL8" s="222"/>
      <c r="PFM8" s="222"/>
      <c r="PFN8" s="222"/>
      <c r="PFO8" s="222"/>
      <c r="PFP8" s="222"/>
      <c r="PFQ8" s="222"/>
      <c r="PFR8" s="222"/>
      <c r="PFS8" s="222"/>
      <c r="PFT8" s="222"/>
      <c r="PFU8" s="222"/>
      <c r="PFV8" s="222"/>
      <c r="PFW8" s="222"/>
      <c r="PFX8" s="222"/>
      <c r="PFY8" s="222"/>
      <c r="PFZ8" s="222"/>
      <c r="PGA8" s="222"/>
      <c r="PGB8" s="222"/>
      <c r="PGC8" s="222"/>
      <c r="PGD8" s="222"/>
      <c r="PGE8" s="222"/>
      <c r="PGF8" s="222"/>
      <c r="PGG8" s="222"/>
      <c r="PGH8" s="222"/>
      <c r="PGI8" s="222"/>
      <c r="PGJ8" s="222"/>
      <c r="PGK8" s="222"/>
      <c r="PGL8" s="222"/>
      <c r="PGM8" s="222"/>
      <c r="PGN8" s="222"/>
      <c r="PGO8" s="222"/>
      <c r="PGP8" s="222"/>
      <c r="PGQ8" s="222"/>
      <c r="PGR8" s="222"/>
      <c r="PGS8" s="222"/>
      <c r="PGT8" s="222"/>
      <c r="PGU8" s="222"/>
      <c r="PGV8" s="222"/>
      <c r="PGW8" s="222"/>
      <c r="PGX8" s="222"/>
      <c r="PGY8" s="222"/>
      <c r="PGZ8" s="222"/>
      <c r="PHA8" s="222"/>
      <c r="PHB8" s="222"/>
      <c r="PHC8" s="222"/>
      <c r="PHD8" s="222"/>
      <c r="PHE8" s="222"/>
      <c r="PHF8" s="222"/>
      <c r="PHG8" s="222"/>
      <c r="PHH8" s="222"/>
      <c r="PHI8" s="222"/>
      <c r="PHJ8" s="222"/>
      <c r="PHK8" s="222"/>
      <c r="PHL8" s="222"/>
      <c r="PHM8" s="222"/>
      <c r="PHN8" s="222"/>
      <c r="PHO8" s="222"/>
      <c r="PHP8" s="222"/>
      <c r="PHQ8" s="222"/>
      <c r="PHR8" s="222"/>
      <c r="PHS8" s="222"/>
      <c r="PHT8" s="222"/>
      <c r="PHU8" s="222"/>
      <c r="PHV8" s="222"/>
      <c r="PHW8" s="222"/>
      <c r="PHX8" s="222"/>
      <c r="PHY8" s="222"/>
      <c r="PHZ8" s="222"/>
      <c r="PIA8" s="222"/>
      <c r="PIB8" s="222"/>
      <c r="PIC8" s="222"/>
      <c r="PID8" s="222"/>
      <c r="PIE8" s="222"/>
      <c r="PIF8" s="222"/>
      <c r="PIG8" s="222"/>
      <c r="PIH8" s="222"/>
      <c r="PII8" s="222"/>
      <c r="PIJ8" s="222"/>
      <c r="PIK8" s="222"/>
      <c r="PIL8" s="222"/>
      <c r="PIM8" s="222"/>
      <c r="PIN8" s="222"/>
      <c r="PIO8" s="222"/>
      <c r="PIP8" s="222"/>
      <c r="PIQ8" s="222"/>
      <c r="PIR8" s="222"/>
      <c r="PIS8" s="222"/>
      <c r="PIT8" s="222"/>
      <c r="PIU8" s="222"/>
      <c r="PIV8" s="222"/>
      <c r="PIW8" s="222"/>
      <c r="PIX8" s="222"/>
      <c r="PIY8" s="222"/>
      <c r="PIZ8" s="222"/>
      <c r="PJA8" s="222"/>
      <c r="PJB8" s="222"/>
      <c r="PJC8" s="222"/>
      <c r="PJD8" s="222"/>
      <c r="PJE8" s="222"/>
      <c r="PJF8" s="222"/>
      <c r="PJG8" s="222"/>
      <c r="PJH8" s="222"/>
      <c r="PJI8" s="222"/>
      <c r="PJJ8" s="222"/>
      <c r="PJK8" s="222"/>
      <c r="PJL8" s="222"/>
      <c r="PJM8" s="222"/>
      <c r="PJN8" s="222"/>
      <c r="PJO8" s="222"/>
      <c r="PJP8" s="222"/>
      <c r="PJQ8" s="222"/>
      <c r="PJR8" s="222"/>
      <c r="PJS8" s="222"/>
      <c r="PJT8" s="222"/>
      <c r="PJU8" s="222"/>
      <c r="PJV8" s="222"/>
      <c r="PJW8" s="222"/>
      <c r="PJX8" s="222"/>
      <c r="PJY8" s="222"/>
      <c r="PJZ8" s="222"/>
      <c r="PKA8" s="222"/>
      <c r="PKB8" s="222"/>
      <c r="PKC8" s="222"/>
      <c r="PKD8" s="222"/>
      <c r="PKE8" s="222"/>
      <c r="PKF8" s="222"/>
      <c r="PKG8" s="222"/>
      <c r="PKH8" s="222"/>
      <c r="PKI8" s="222"/>
      <c r="PKJ8" s="222"/>
      <c r="PKK8" s="222"/>
      <c r="PKL8" s="222"/>
      <c r="PKM8" s="222"/>
      <c r="PKN8" s="222"/>
      <c r="PKO8" s="222"/>
      <c r="PKP8" s="222"/>
      <c r="PKQ8" s="222"/>
      <c r="PKR8" s="222"/>
      <c r="PKS8" s="222"/>
      <c r="PKT8" s="222"/>
      <c r="PKU8" s="222"/>
      <c r="PKV8" s="222"/>
      <c r="PKW8" s="222"/>
      <c r="PKX8" s="222"/>
      <c r="PKY8" s="222"/>
      <c r="PKZ8" s="222"/>
      <c r="PLA8" s="222"/>
      <c r="PLB8" s="222"/>
      <c r="PLC8" s="222"/>
      <c r="PLD8" s="222"/>
      <c r="PLE8" s="222"/>
      <c r="PLF8" s="222"/>
      <c r="PLG8" s="222"/>
      <c r="PLH8" s="222"/>
      <c r="PLI8" s="222"/>
      <c r="PLJ8" s="222"/>
      <c r="PLK8" s="222"/>
      <c r="PLL8" s="222"/>
      <c r="PLM8" s="222"/>
      <c r="PLN8" s="222"/>
      <c r="PLO8" s="222"/>
      <c r="PLP8" s="222"/>
      <c r="PLQ8" s="222"/>
      <c r="PLR8" s="222"/>
      <c r="PLS8" s="222"/>
      <c r="PLT8" s="222"/>
      <c r="PLU8" s="222"/>
      <c r="PLV8" s="222"/>
      <c r="PLW8" s="222"/>
      <c r="PLX8" s="222"/>
      <c r="PLY8" s="222"/>
      <c r="PLZ8" s="222"/>
      <c r="PMA8" s="222"/>
      <c r="PMB8" s="222"/>
      <c r="PMC8" s="222"/>
      <c r="PMD8" s="222"/>
      <c r="PME8" s="222"/>
      <c r="PMF8" s="222"/>
      <c r="PMG8" s="222"/>
      <c r="PMH8" s="222"/>
      <c r="PMI8" s="222"/>
      <c r="PMJ8" s="222"/>
      <c r="PMK8" s="222"/>
      <c r="PML8" s="222"/>
      <c r="PMM8" s="222"/>
      <c r="PMN8" s="222"/>
      <c r="PMO8" s="222"/>
      <c r="PMP8" s="222"/>
      <c r="PMQ8" s="222"/>
      <c r="PMR8" s="222"/>
      <c r="PMS8" s="222"/>
      <c r="PMT8" s="222"/>
      <c r="PMU8" s="222"/>
      <c r="PMV8" s="222"/>
      <c r="PMW8" s="222"/>
      <c r="PMX8" s="222"/>
      <c r="PMY8" s="222"/>
      <c r="PMZ8" s="222"/>
      <c r="PNA8" s="222"/>
      <c r="PNB8" s="222"/>
      <c r="PNC8" s="222"/>
      <c r="PND8" s="222"/>
      <c r="PNE8" s="222"/>
      <c r="PNF8" s="222"/>
      <c r="PNG8" s="222"/>
      <c r="PNH8" s="222"/>
      <c r="PNI8" s="222"/>
      <c r="PNJ8" s="222"/>
      <c r="PNK8" s="222"/>
      <c r="PNL8" s="222"/>
      <c r="PNM8" s="222"/>
      <c r="PNN8" s="222"/>
      <c r="PNO8" s="222"/>
      <c r="PNP8" s="222"/>
      <c r="PNQ8" s="222"/>
      <c r="PNR8" s="222"/>
      <c r="PNS8" s="222"/>
      <c r="PNT8" s="222"/>
      <c r="PNU8" s="222"/>
      <c r="PNV8" s="222"/>
      <c r="PNW8" s="222"/>
      <c r="PNX8" s="222"/>
      <c r="PNY8" s="222"/>
      <c r="PNZ8" s="222"/>
      <c r="POA8" s="222"/>
      <c r="POB8" s="222"/>
      <c r="POC8" s="222"/>
      <c r="POD8" s="222"/>
      <c r="POE8" s="222"/>
      <c r="POF8" s="222"/>
      <c r="POG8" s="222"/>
      <c r="POH8" s="222"/>
      <c r="POI8" s="222"/>
      <c r="POJ8" s="222"/>
      <c r="POK8" s="222"/>
      <c r="POL8" s="222"/>
      <c r="POM8" s="222"/>
      <c r="PON8" s="222"/>
      <c r="POO8" s="222"/>
      <c r="POP8" s="222"/>
      <c r="POQ8" s="222"/>
      <c r="POR8" s="222"/>
      <c r="POS8" s="222"/>
      <c r="POT8" s="222"/>
      <c r="POU8" s="222"/>
      <c r="POV8" s="222"/>
      <c r="POW8" s="222"/>
      <c r="POX8" s="222"/>
      <c r="POY8" s="222"/>
      <c r="POZ8" s="222"/>
      <c r="PPA8" s="222"/>
      <c r="PPB8" s="222"/>
      <c r="PPC8" s="222"/>
      <c r="PPD8" s="222"/>
      <c r="PPE8" s="222"/>
      <c r="PPF8" s="222"/>
      <c r="PPG8" s="222"/>
      <c r="PPH8" s="222"/>
      <c r="PPI8" s="222"/>
      <c r="PPJ8" s="222"/>
      <c r="PPK8" s="222"/>
      <c r="PPL8" s="222"/>
      <c r="PPM8" s="222"/>
      <c r="PPN8" s="222"/>
      <c r="PPO8" s="222"/>
      <c r="PPP8" s="222"/>
      <c r="PPQ8" s="222"/>
      <c r="PPR8" s="222"/>
      <c r="PPS8" s="222"/>
      <c r="PPT8" s="222"/>
      <c r="PPU8" s="222"/>
      <c r="PPV8" s="222"/>
      <c r="PPW8" s="222"/>
      <c r="PPX8" s="222"/>
      <c r="PPY8" s="222"/>
      <c r="PPZ8" s="222"/>
      <c r="PQA8" s="222"/>
      <c r="PQB8" s="222"/>
      <c r="PQC8" s="222"/>
      <c r="PQD8" s="222"/>
      <c r="PQE8" s="222"/>
      <c r="PQF8" s="222"/>
      <c r="PQG8" s="222"/>
      <c r="PQH8" s="222"/>
      <c r="PQI8" s="222"/>
      <c r="PQJ8" s="222"/>
      <c r="PQK8" s="222"/>
      <c r="PQL8" s="222"/>
      <c r="PQM8" s="222"/>
      <c r="PQN8" s="222"/>
      <c r="PQO8" s="222"/>
      <c r="PQP8" s="222"/>
      <c r="PQQ8" s="222"/>
      <c r="PQR8" s="222"/>
      <c r="PQS8" s="222"/>
      <c r="PQT8" s="222"/>
      <c r="PQU8" s="222"/>
      <c r="PQV8" s="222"/>
      <c r="PQW8" s="222"/>
      <c r="PQX8" s="222"/>
      <c r="PQY8" s="222"/>
      <c r="PQZ8" s="222"/>
      <c r="PRA8" s="222"/>
      <c r="PRB8" s="222"/>
      <c r="PRC8" s="222"/>
      <c r="PRD8" s="222"/>
      <c r="PRE8" s="222"/>
      <c r="PRF8" s="222"/>
      <c r="PRG8" s="222"/>
      <c r="PRH8" s="222"/>
      <c r="PRI8" s="222"/>
      <c r="PRJ8" s="222"/>
      <c r="PRK8" s="222"/>
      <c r="PRL8" s="222"/>
      <c r="PRM8" s="222"/>
      <c r="PRN8" s="222"/>
      <c r="PRO8" s="222"/>
      <c r="PRP8" s="222"/>
      <c r="PRQ8" s="222"/>
      <c r="PRR8" s="222"/>
      <c r="PRS8" s="222"/>
      <c r="PRT8" s="222"/>
      <c r="PRU8" s="222"/>
      <c r="PRV8" s="222"/>
      <c r="PRW8" s="222"/>
      <c r="PRX8" s="222"/>
      <c r="PRY8" s="222"/>
      <c r="PRZ8" s="222"/>
      <c r="PSA8" s="222"/>
      <c r="PSB8" s="222"/>
      <c r="PSC8" s="222"/>
      <c r="PSD8" s="222"/>
      <c r="PSE8" s="222"/>
      <c r="PSF8" s="222"/>
      <c r="PSG8" s="222"/>
      <c r="PSH8" s="222"/>
      <c r="PSI8" s="222"/>
      <c r="PSJ8" s="222"/>
      <c r="PSK8" s="222"/>
      <c r="PSL8" s="222"/>
      <c r="PSM8" s="222"/>
      <c r="PSN8" s="222"/>
      <c r="PSO8" s="222"/>
      <c r="PSP8" s="222"/>
      <c r="PSQ8" s="222"/>
      <c r="PSR8" s="222"/>
      <c r="PSS8" s="222"/>
      <c r="PST8" s="222"/>
      <c r="PSU8" s="222"/>
      <c r="PSV8" s="222"/>
      <c r="PSW8" s="222"/>
      <c r="PSX8" s="222"/>
      <c r="PSY8" s="222"/>
      <c r="PSZ8" s="222"/>
      <c r="PTA8" s="222"/>
      <c r="PTB8" s="222"/>
      <c r="PTC8" s="222"/>
      <c r="PTD8" s="222"/>
      <c r="PTE8" s="222"/>
      <c r="PTF8" s="222"/>
      <c r="PTG8" s="222"/>
      <c r="PTH8" s="222"/>
      <c r="PTI8" s="222"/>
      <c r="PTJ8" s="222"/>
      <c r="PTK8" s="222"/>
      <c r="PTL8" s="222"/>
      <c r="PTM8" s="222"/>
      <c r="PTN8" s="222"/>
      <c r="PTO8" s="222"/>
      <c r="PTP8" s="222"/>
      <c r="PTQ8" s="222"/>
      <c r="PTR8" s="222"/>
      <c r="PTS8" s="222"/>
      <c r="PTT8" s="222"/>
      <c r="PTU8" s="222"/>
      <c r="PTV8" s="222"/>
      <c r="PTW8" s="222"/>
      <c r="PTX8" s="222"/>
      <c r="PTY8" s="222"/>
      <c r="PTZ8" s="222"/>
      <c r="PUA8" s="222"/>
      <c r="PUB8" s="222"/>
      <c r="PUC8" s="222"/>
      <c r="PUD8" s="222"/>
      <c r="PUE8" s="222"/>
      <c r="PUF8" s="222"/>
      <c r="PUG8" s="222"/>
      <c r="PUH8" s="222"/>
      <c r="PUI8" s="222"/>
      <c r="PUJ8" s="222"/>
      <c r="PUK8" s="222"/>
      <c r="PUL8" s="222"/>
      <c r="PUM8" s="222"/>
      <c r="PUN8" s="222"/>
      <c r="PUO8" s="222"/>
      <c r="PUP8" s="222"/>
      <c r="PUQ8" s="222"/>
      <c r="PUR8" s="222"/>
      <c r="PUS8" s="222"/>
      <c r="PUT8" s="222"/>
      <c r="PUU8" s="222"/>
      <c r="PUV8" s="222"/>
      <c r="PUW8" s="222"/>
      <c r="PUX8" s="222"/>
      <c r="PUY8" s="222"/>
      <c r="PUZ8" s="222"/>
      <c r="PVA8" s="222"/>
      <c r="PVB8" s="222"/>
      <c r="PVC8" s="222"/>
      <c r="PVD8" s="222"/>
      <c r="PVE8" s="222"/>
      <c r="PVF8" s="222"/>
      <c r="PVG8" s="222"/>
      <c r="PVH8" s="222"/>
      <c r="PVI8" s="222"/>
      <c r="PVJ8" s="222"/>
      <c r="PVK8" s="222"/>
      <c r="PVL8" s="222"/>
      <c r="PVM8" s="222"/>
      <c r="PVN8" s="222"/>
      <c r="PVO8" s="222"/>
      <c r="PVP8" s="222"/>
      <c r="PVQ8" s="222"/>
      <c r="PVR8" s="222"/>
      <c r="PVS8" s="222"/>
      <c r="PVT8" s="222"/>
      <c r="PVU8" s="222"/>
      <c r="PVV8" s="222"/>
      <c r="PVW8" s="222"/>
      <c r="PVX8" s="222"/>
      <c r="PVY8" s="222"/>
      <c r="PVZ8" s="222"/>
      <c r="PWA8" s="222"/>
      <c r="PWB8" s="222"/>
      <c r="PWC8" s="222"/>
      <c r="PWD8" s="222"/>
      <c r="PWE8" s="222"/>
      <c r="PWF8" s="222"/>
      <c r="PWG8" s="222"/>
      <c r="PWH8" s="222"/>
      <c r="PWI8" s="222"/>
      <c r="PWJ8" s="222"/>
      <c r="PWK8" s="222"/>
      <c r="PWL8" s="222"/>
      <c r="PWM8" s="222"/>
      <c r="PWN8" s="222"/>
      <c r="PWO8" s="222"/>
      <c r="PWP8" s="222"/>
      <c r="PWQ8" s="222"/>
      <c r="PWR8" s="222"/>
      <c r="PWS8" s="222"/>
      <c r="PWT8" s="222"/>
      <c r="PWU8" s="222"/>
      <c r="PWV8" s="222"/>
      <c r="PWW8" s="222"/>
      <c r="PWX8" s="222"/>
      <c r="PWY8" s="222"/>
      <c r="PWZ8" s="222"/>
      <c r="PXA8" s="222"/>
      <c r="PXB8" s="222"/>
      <c r="PXC8" s="222"/>
      <c r="PXD8" s="222"/>
      <c r="PXE8" s="222"/>
      <c r="PXF8" s="222"/>
      <c r="PXG8" s="222"/>
      <c r="PXH8" s="222"/>
      <c r="PXI8" s="222"/>
      <c r="PXJ8" s="222"/>
      <c r="PXK8" s="222"/>
      <c r="PXL8" s="222"/>
      <c r="PXM8" s="222"/>
      <c r="PXN8" s="222"/>
      <c r="PXO8" s="222"/>
      <c r="PXP8" s="222"/>
      <c r="PXQ8" s="222"/>
      <c r="PXR8" s="222"/>
      <c r="PXS8" s="222"/>
      <c r="PXT8" s="222"/>
      <c r="PXU8" s="222"/>
      <c r="PXV8" s="222"/>
      <c r="PXW8" s="222"/>
      <c r="PXX8" s="222"/>
      <c r="PXY8" s="222"/>
      <c r="PXZ8" s="222"/>
      <c r="PYA8" s="222"/>
      <c r="PYB8" s="222"/>
      <c r="PYC8" s="222"/>
      <c r="PYD8" s="222"/>
      <c r="PYE8" s="222"/>
      <c r="PYF8" s="222"/>
      <c r="PYG8" s="222"/>
      <c r="PYH8" s="222"/>
      <c r="PYI8" s="222"/>
      <c r="PYJ8" s="222"/>
      <c r="PYK8" s="222"/>
      <c r="PYL8" s="222"/>
      <c r="PYM8" s="222"/>
      <c r="PYN8" s="222"/>
      <c r="PYO8" s="222"/>
      <c r="PYP8" s="222"/>
      <c r="PYQ8" s="222"/>
      <c r="PYR8" s="222"/>
      <c r="PYS8" s="222"/>
      <c r="PYT8" s="222"/>
      <c r="PYU8" s="222"/>
      <c r="PYV8" s="222"/>
      <c r="PYW8" s="222"/>
      <c r="PYX8" s="222"/>
      <c r="PYY8" s="222"/>
      <c r="PYZ8" s="222"/>
      <c r="PZA8" s="222"/>
      <c r="PZB8" s="222"/>
      <c r="PZC8" s="222"/>
      <c r="PZD8" s="222"/>
      <c r="PZE8" s="222"/>
      <c r="PZF8" s="222"/>
      <c r="PZG8" s="222"/>
      <c r="PZH8" s="222"/>
      <c r="PZI8" s="222"/>
      <c r="PZJ8" s="222"/>
      <c r="PZK8" s="222"/>
      <c r="PZL8" s="222"/>
      <c r="PZM8" s="222"/>
      <c r="PZN8" s="222"/>
      <c r="PZO8" s="222"/>
      <c r="PZP8" s="222"/>
      <c r="PZQ8" s="222"/>
      <c r="PZR8" s="222"/>
      <c r="PZS8" s="222"/>
      <c r="PZT8" s="222"/>
      <c r="PZU8" s="222"/>
      <c r="PZV8" s="222"/>
      <c r="PZW8" s="222"/>
      <c r="PZX8" s="222"/>
      <c r="PZY8" s="222"/>
      <c r="PZZ8" s="222"/>
      <c r="QAA8" s="222"/>
      <c r="QAB8" s="222"/>
      <c r="QAC8" s="222"/>
      <c r="QAD8" s="222"/>
      <c r="QAE8" s="222"/>
      <c r="QAF8" s="222"/>
      <c r="QAG8" s="222"/>
      <c r="QAH8" s="222"/>
      <c r="QAI8" s="222"/>
      <c r="QAJ8" s="222"/>
      <c r="QAK8" s="222"/>
      <c r="QAL8" s="222"/>
      <c r="QAM8" s="222"/>
      <c r="QAN8" s="222"/>
      <c r="QAO8" s="222"/>
      <c r="QAP8" s="222"/>
      <c r="QAQ8" s="222"/>
      <c r="QAR8" s="222"/>
      <c r="QAS8" s="222"/>
      <c r="QAT8" s="222"/>
      <c r="QAU8" s="222"/>
      <c r="QAV8" s="222"/>
      <c r="QAW8" s="222"/>
      <c r="QAX8" s="222"/>
      <c r="QAY8" s="222"/>
      <c r="QAZ8" s="222"/>
      <c r="QBA8" s="222"/>
      <c r="QBB8" s="222"/>
      <c r="QBC8" s="222"/>
      <c r="QBD8" s="222"/>
      <c r="QBE8" s="222"/>
      <c r="QBF8" s="222"/>
      <c r="QBG8" s="222"/>
      <c r="QBH8" s="222"/>
      <c r="QBI8" s="222"/>
      <c r="QBJ8" s="222"/>
      <c r="QBK8" s="222"/>
      <c r="QBL8" s="222"/>
      <c r="QBM8" s="222"/>
      <c r="QBN8" s="222"/>
      <c r="QBO8" s="222"/>
      <c r="QBP8" s="222"/>
      <c r="QBQ8" s="222"/>
      <c r="QBR8" s="222"/>
      <c r="QBS8" s="222"/>
      <c r="QBT8" s="222"/>
      <c r="QBU8" s="222"/>
      <c r="QBV8" s="222"/>
      <c r="QBW8" s="222"/>
      <c r="QBX8" s="222"/>
      <c r="QBY8" s="222"/>
      <c r="QBZ8" s="222"/>
      <c r="QCA8" s="222"/>
      <c r="QCB8" s="222"/>
      <c r="QCC8" s="222"/>
      <c r="QCD8" s="222"/>
      <c r="QCE8" s="222"/>
      <c r="QCF8" s="222"/>
      <c r="QCG8" s="222"/>
      <c r="QCH8" s="222"/>
      <c r="QCI8" s="222"/>
      <c r="QCJ8" s="222"/>
      <c r="QCK8" s="222"/>
      <c r="QCL8" s="222"/>
      <c r="QCM8" s="222"/>
      <c r="QCN8" s="222"/>
      <c r="QCO8" s="222"/>
      <c r="QCP8" s="222"/>
      <c r="QCQ8" s="222"/>
      <c r="QCR8" s="222"/>
      <c r="QCS8" s="222"/>
      <c r="QCT8" s="222"/>
      <c r="QCU8" s="222"/>
      <c r="QCV8" s="222"/>
      <c r="QCW8" s="222"/>
      <c r="QCX8" s="222"/>
      <c r="QCY8" s="222"/>
      <c r="QCZ8" s="222"/>
      <c r="QDA8" s="222"/>
      <c r="QDB8" s="222"/>
      <c r="QDC8" s="222"/>
      <c r="QDD8" s="222"/>
      <c r="QDE8" s="222"/>
      <c r="QDF8" s="222"/>
      <c r="QDG8" s="222"/>
      <c r="QDH8" s="222"/>
      <c r="QDI8" s="222"/>
      <c r="QDJ8" s="222"/>
      <c r="QDK8" s="222"/>
      <c r="QDL8" s="222"/>
      <c r="QDM8" s="222"/>
      <c r="QDN8" s="222"/>
      <c r="QDO8" s="222"/>
      <c r="QDP8" s="222"/>
      <c r="QDQ8" s="222"/>
      <c r="QDR8" s="222"/>
      <c r="QDS8" s="222"/>
      <c r="QDT8" s="222"/>
      <c r="QDU8" s="222"/>
      <c r="QDV8" s="222"/>
      <c r="QDW8" s="222"/>
      <c r="QDX8" s="222"/>
      <c r="QDY8" s="222"/>
      <c r="QDZ8" s="222"/>
      <c r="QEA8" s="222"/>
      <c r="QEB8" s="222"/>
      <c r="QEC8" s="222"/>
      <c r="QED8" s="222"/>
      <c r="QEE8" s="222"/>
      <c r="QEF8" s="222"/>
      <c r="QEG8" s="222"/>
      <c r="QEH8" s="222"/>
      <c r="QEI8" s="222"/>
      <c r="QEJ8" s="222"/>
      <c r="QEK8" s="222"/>
      <c r="QEL8" s="222"/>
      <c r="QEM8" s="222"/>
      <c r="QEN8" s="222"/>
      <c r="QEO8" s="222"/>
      <c r="QEP8" s="222"/>
      <c r="QEQ8" s="222"/>
      <c r="QER8" s="222"/>
      <c r="QES8" s="222"/>
      <c r="QET8" s="222"/>
      <c r="QEU8" s="222"/>
      <c r="QEV8" s="222"/>
      <c r="QEW8" s="222"/>
      <c r="QEX8" s="222"/>
      <c r="QEY8" s="222"/>
      <c r="QEZ8" s="222"/>
      <c r="QFA8" s="222"/>
      <c r="QFB8" s="222"/>
      <c r="QFC8" s="222"/>
      <c r="QFD8" s="222"/>
      <c r="QFE8" s="222"/>
      <c r="QFF8" s="222"/>
      <c r="QFG8" s="222"/>
      <c r="QFH8" s="222"/>
      <c r="QFI8" s="222"/>
      <c r="QFJ8" s="222"/>
      <c r="QFK8" s="222"/>
      <c r="QFL8" s="222"/>
      <c r="QFM8" s="222"/>
      <c r="QFN8" s="222"/>
      <c r="QFO8" s="222"/>
      <c r="QFP8" s="222"/>
      <c r="QFQ8" s="222"/>
      <c r="QFR8" s="222"/>
      <c r="QFS8" s="222"/>
      <c r="QFT8" s="222"/>
      <c r="QFU8" s="222"/>
      <c r="QFV8" s="222"/>
      <c r="QFW8" s="222"/>
      <c r="QFX8" s="222"/>
      <c r="QFY8" s="222"/>
      <c r="QFZ8" s="222"/>
      <c r="QGA8" s="222"/>
      <c r="QGB8" s="222"/>
      <c r="QGC8" s="222"/>
      <c r="QGD8" s="222"/>
      <c r="QGE8" s="222"/>
      <c r="QGF8" s="222"/>
      <c r="QGG8" s="222"/>
      <c r="QGH8" s="222"/>
      <c r="QGI8" s="222"/>
      <c r="QGJ8" s="222"/>
      <c r="QGK8" s="222"/>
      <c r="QGL8" s="222"/>
      <c r="QGM8" s="222"/>
      <c r="QGN8" s="222"/>
      <c r="QGO8" s="222"/>
      <c r="QGP8" s="222"/>
      <c r="QGQ8" s="222"/>
      <c r="QGR8" s="222"/>
      <c r="QGS8" s="222"/>
      <c r="QGT8" s="222"/>
      <c r="QGU8" s="222"/>
      <c r="QGV8" s="222"/>
      <c r="QGW8" s="222"/>
      <c r="QGX8" s="222"/>
      <c r="QGY8" s="222"/>
      <c r="QGZ8" s="222"/>
      <c r="QHA8" s="222"/>
      <c r="QHB8" s="222"/>
      <c r="QHC8" s="222"/>
      <c r="QHD8" s="222"/>
      <c r="QHE8" s="222"/>
      <c r="QHF8" s="222"/>
      <c r="QHG8" s="222"/>
      <c r="QHH8" s="222"/>
      <c r="QHI8" s="222"/>
      <c r="QHJ8" s="222"/>
      <c r="QHK8" s="222"/>
      <c r="QHL8" s="222"/>
      <c r="QHM8" s="222"/>
      <c r="QHN8" s="222"/>
      <c r="QHO8" s="222"/>
      <c r="QHP8" s="222"/>
      <c r="QHQ8" s="222"/>
      <c r="QHR8" s="222"/>
      <c r="QHS8" s="222"/>
      <c r="QHT8" s="222"/>
      <c r="QHU8" s="222"/>
      <c r="QHV8" s="222"/>
      <c r="QHW8" s="222"/>
      <c r="QHX8" s="222"/>
      <c r="QHY8" s="222"/>
      <c r="QHZ8" s="222"/>
      <c r="QIA8" s="222"/>
      <c r="QIB8" s="222"/>
      <c r="QIC8" s="222"/>
      <c r="QID8" s="222"/>
      <c r="QIE8" s="222"/>
      <c r="QIF8" s="222"/>
      <c r="QIG8" s="222"/>
      <c r="QIH8" s="222"/>
      <c r="QII8" s="222"/>
      <c r="QIJ8" s="222"/>
      <c r="QIK8" s="222"/>
      <c r="QIL8" s="222"/>
      <c r="QIM8" s="222"/>
      <c r="QIN8" s="222"/>
      <c r="QIO8" s="222"/>
      <c r="QIP8" s="222"/>
      <c r="QIQ8" s="222"/>
      <c r="QIR8" s="222"/>
      <c r="QIS8" s="222"/>
      <c r="QIT8" s="222"/>
      <c r="QIU8" s="222"/>
      <c r="QIV8" s="222"/>
      <c r="QIW8" s="222"/>
      <c r="QIX8" s="222"/>
      <c r="QIY8" s="222"/>
      <c r="QIZ8" s="222"/>
      <c r="QJA8" s="222"/>
      <c r="QJB8" s="222"/>
      <c r="QJC8" s="222"/>
      <c r="QJD8" s="222"/>
      <c r="QJE8" s="222"/>
      <c r="QJF8" s="222"/>
      <c r="QJG8" s="222"/>
      <c r="QJH8" s="222"/>
      <c r="QJI8" s="222"/>
      <c r="QJJ8" s="222"/>
      <c r="QJK8" s="222"/>
      <c r="QJL8" s="222"/>
      <c r="QJM8" s="222"/>
      <c r="QJN8" s="222"/>
      <c r="QJO8" s="222"/>
      <c r="QJP8" s="222"/>
      <c r="QJQ8" s="222"/>
      <c r="QJR8" s="222"/>
      <c r="QJS8" s="222"/>
      <c r="QJT8" s="222"/>
      <c r="QJU8" s="222"/>
      <c r="QJV8" s="222"/>
      <c r="QJW8" s="222"/>
      <c r="QJX8" s="222"/>
      <c r="QJY8" s="222"/>
      <c r="QJZ8" s="222"/>
      <c r="QKA8" s="222"/>
      <c r="QKB8" s="222"/>
      <c r="QKC8" s="222"/>
      <c r="QKD8" s="222"/>
      <c r="QKE8" s="222"/>
      <c r="QKF8" s="222"/>
      <c r="QKG8" s="222"/>
      <c r="QKH8" s="222"/>
      <c r="QKI8" s="222"/>
      <c r="QKJ8" s="222"/>
      <c r="QKK8" s="222"/>
      <c r="QKL8" s="222"/>
      <c r="QKM8" s="222"/>
      <c r="QKN8" s="222"/>
      <c r="QKO8" s="222"/>
      <c r="QKP8" s="222"/>
      <c r="QKQ8" s="222"/>
      <c r="QKR8" s="222"/>
      <c r="QKS8" s="222"/>
      <c r="QKT8" s="222"/>
      <c r="QKU8" s="222"/>
      <c r="QKV8" s="222"/>
      <c r="QKW8" s="222"/>
      <c r="QKX8" s="222"/>
      <c r="QKY8" s="222"/>
      <c r="QKZ8" s="222"/>
      <c r="QLA8" s="222"/>
      <c r="QLB8" s="222"/>
      <c r="QLC8" s="222"/>
      <c r="QLD8" s="222"/>
      <c r="QLE8" s="222"/>
      <c r="QLF8" s="222"/>
      <c r="QLG8" s="222"/>
      <c r="QLH8" s="222"/>
      <c r="QLI8" s="222"/>
      <c r="QLJ8" s="222"/>
      <c r="QLK8" s="222"/>
      <c r="QLL8" s="222"/>
      <c r="QLM8" s="222"/>
      <c r="QLN8" s="222"/>
      <c r="QLO8" s="222"/>
      <c r="QLP8" s="222"/>
      <c r="QLQ8" s="222"/>
      <c r="QLR8" s="222"/>
      <c r="QLS8" s="222"/>
      <c r="QLT8" s="222"/>
      <c r="QLU8" s="222"/>
      <c r="QLV8" s="222"/>
      <c r="QLW8" s="222"/>
      <c r="QLX8" s="222"/>
      <c r="QLY8" s="222"/>
      <c r="QLZ8" s="222"/>
      <c r="QMA8" s="222"/>
      <c r="QMB8" s="222"/>
      <c r="QMC8" s="222"/>
      <c r="QMD8" s="222"/>
      <c r="QME8" s="222"/>
      <c r="QMF8" s="222"/>
      <c r="QMG8" s="222"/>
      <c r="QMH8" s="222"/>
      <c r="QMI8" s="222"/>
      <c r="QMJ8" s="222"/>
      <c r="QMK8" s="222"/>
      <c r="QML8" s="222"/>
      <c r="QMM8" s="222"/>
      <c r="QMN8" s="222"/>
      <c r="QMO8" s="222"/>
      <c r="QMP8" s="222"/>
      <c r="QMQ8" s="222"/>
      <c r="QMR8" s="222"/>
      <c r="QMS8" s="222"/>
      <c r="QMT8" s="222"/>
      <c r="QMU8" s="222"/>
      <c r="QMV8" s="222"/>
      <c r="QMW8" s="222"/>
      <c r="QMX8" s="222"/>
      <c r="QMY8" s="222"/>
      <c r="QMZ8" s="222"/>
      <c r="QNA8" s="222"/>
      <c r="QNB8" s="222"/>
      <c r="QNC8" s="222"/>
      <c r="QND8" s="222"/>
      <c r="QNE8" s="222"/>
      <c r="QNF8" s="222"/>
      <c r="QNG8" s="222"/>
      <c r="QNH8" s="222"/>
      <c r="QNI8" s="222"/>
      <c r="QNJ8" s="222"/>
      <c r="QNK8" s="222"/>
      <c r="QNL8" s="222"/>
      <c r="QNM8" s="222"/>
      <c r="QNN8" s="222"/>
      <c r="QNO8" s="222"/>
      <c r="QNP8" s="222"/>
      <c r="QNQ8" s="222"/>
      <c r="QNR8" s="222"/>
      <c r="QNS8" s="222"/>
      <c r="QNT8" s="222"/>
      <c r="QNU8" s="222"/>
      <c r="QNV8" s="222"/>
      <c r="QNW8" s="222"/>
      <c r="QNX8" s="222"/>
      <c r="QNY8" s="222"/>
      <c r="QNZ8" s="222"/>
      <c r="QOA8" s="222"/>
      <c r="QOB8" s="222"/>
      <c r="QOC8" s="222"/>
      <c r="QOD8" s="222"/>
      <c r="QOE8" s="222"/>
      <c r="QOF8" s="222"/>
      <c r="QOG8" s="222"/>
      <c r="QOH8" s="222"/>
      <c r="QOI8" s="222"/>
      <c r="QOJ8" s="222"/>
      <c r="QOK8" s="222"/>
      <c r="QOL8" s="222"/>
      <c r="QOM8" s="222"/>
      <c r="QON8" s="222"/>
      <c r="QOO8" s="222"/>
      <c r="QOP8" s="222"/>
      <c r="QOQ8" s="222"/>
      <c r="QOR8" s="222"/>
      <c r="QOS8" s="222"/>
      <c r="QOT8" s="222"/>
      <c r="QOU8" s="222"/>
      <c r="QOV8" s="222"/>
      <c r="QOW8" s="222"/>
      <c r="QOX8" s="222"/>
      <c r="QOY8" s="222"/>
      <c r="QOZ8" s="222"/>
      <c r="QPA8" s="222"/>
      <c r="QPB8" s="222"/>
      <c r="QPC8" s="222"/>
      <c r="QPD8" s="222"/>
      <c r="QPE8" s="222"/>
      <c r="QPF8" s="222"/>
      <c r="QPG8" s="222"/>
      <c r="QPH8" s="222"/>
      <c r="QPI8" s="222"/>
      <c r="QPJ8" s="222"/>
      <c r="QPK8" s="222"/>
      <c r="QPL8" s="222"/>
      <c r="QPM8" s="222"/>
      <c r="QPN8" s="222"/>
      <c r="QPO8" s="222"/>
      <c r="QPP8" s="222"/>
      <c r="QPQ8" s="222"/>
      <c r="QPR8" s="222"/>
      <c r="QPS8" s="222"/>
      <c r="QPT8" s="222"/>
      <c r="QPU8" s="222"/>
      <c r="QPV8" s="222"/>
      <c r="QPW8" s="222"/>
      <c r="QPX8" s="222"/>
      <c r="QPY8" s="222"/>
      <c r="QPZ8" s="222"/>
      <c r="QQA8" s="222"/>
      <c r="QQB8" s="222"/>
      <c r="QQC8" s="222"/>
      <c r="QQD8" s="222"/>
      <c r="QQE8" s="222"/>
      <c r="QQF8" s="222"/>
      <c r="QQG8" s="222"/>
      <c r="QQH8" s="222"/>
      <c r="QQI8" s="222"/>
      <c r="QQJ8" s="222"/>
      <c r="QQK8" s="222"/>
      <c r="QQL8" s="222"/>
      <c r="QQM8" s="222"/>
      <c r="QQN8" s="222"/>
      <c r="QQO8" s="222"/>
      <c r="QQP8" s="222"/>
      <c r="QQQ8" s="222"/>
      <c r="QQR8" s="222"/>
      <c r="QQS8" s="222"/>
      <c r="QQT8" s="222"/>
      <c r="QQU8" s="222"/>
      <c r="QQV8" s="222"/>
      <c r="QQW8" s="222"/>
      <c r="QQX8" s="222"/>
      <c r="QQY8" s="222"/>
      <c r="QQZ8" s="222"/>
      <c r="QRA8" s="222"/>
      <c r="QRB8" s="222"/>
      <c r="QRC8" s="222"/>
      <c r="QRD8" s="222"/>
      <c r="QRE8" s="222"/>
      <c r="QRF8" s="222"/>
      <c r="QRG8" s="222"/>
      <c r="QRH8" s="222"/>
      <c r="QRI8" s="222"/>
      <c r="QRJ8" s="222"/>
      <c r="QRK8" s="222"/>
      <c r="QRL8" s="222"/>
      <c r="QRM8" s="222"/>
      <c r="QRN8" s="222"/>
      <c r="QRO8" s="222"/>
      <c r="QRP8" s="222"/>
      <c r="QRQ8" s="222"/>
      <c r="QRR8" s="222"/>
      <c r="QRS8" s="222"/>
      <c r="QRT8" s="222"/>
      <c r="QRU8" s="222"/>
      <c r="QRV8" s="222"/>
      <c r="QRW8" s="222"/>
      <c r="QRX8" s="222"/>
      <c r="QRY8" s="222"/>
      <c r="QRZ8" s="222"/>
      <c r="QSA8" s="222"/>
      <c r="QSB8" s="222"/>
      <c r="QSC8" s="222"/>
      <c r="QSD8" s="222"/>
      <c r="QSE8" s="222"/>
      <c r="QSF8" s="222"/>
      <c r="QSG8" s="222"/>
      <c r="QSH8" s="222"/>
      <c r="QSI8" s="222"/>
      <c r="QSJ8" s="222"/>
      <c r="QSK8" s="222"/>
      <c r="QSL8" s="222"/>
      <c r="QSM8" s="222"/>
      <c r="QSN8" s="222"/>
      <c r="QSO8" s="222"/>
      <c r="QSP8" s="222"/>
      <c r="QSQ8" s="222"/>
      <c r="QSR8" s="222"/>
      <c r="QSS8" s="222"/>
      <c r="QST8" s="222"/>
      <c r="QSU8" s="222"/>
      <c r="QSV8" s="222"/>
      <c r="QSW8" s="222"/>
      <c r="QSX8" s="222"/>
      <c r="QSY8" s="222"/>
      <c r="QSZ8" s="222"/>
      <c r="QTA8" s="222"/>
      <c r="QTB8" s="222"/>
      <c r="QTC8" s="222"/>
      <c r="QTD8" s="222"/>
      <c r="QTE8" s="222"/>
      <c r="QTF8" s="222"/>
      <c r="QTG8" s="222"/>
      <c r="QTH8" s="222"/>
      <c r="QTI8" s="222"/>
      <c r="QTJ8" s="222"/>
      <c r="QTK8" s="222"/>
      <c r="QTL8" s="222"/>
      <c r="QTM8" s="222"/>
      <c r="QTN8" s="222"/>
      <c r="QTO8" s="222"/>
      <c r="QTP8" s="222"/>
      <c r="QTQ8" s="222"/>
      <c r="QTR8" s="222"/>
      <c r="QTS8" s="222"/>
      <c r="QTT8" s="222"/>
      <c r="QTU8" s="222"/>
      <c r="QTV8" s="222"/>
      <c r="QTW8" s="222"/>
      <c r="QTX8" s="222"/>
      <c r="QTY8" s="222"/>
      <c r="QTZ8" s="222"/>
      <c r="QUA8" s="222"/>
      <c r="QUB8" s="222"/>
      <c r="QUC8" s="222"/>
      <c r="QUD8" s="222"/>
      <c r="QUE8" s="222"/>
      <c r="QUF8" s="222"/>
      <c r="QUG8" s="222"/>
      <c r="QUH8" s="222"/>
      <c r="QUI8" s="222"/>
      <c r="QUJ8" s="222"/>
      <c r="QUK8" s="222"/>
      <c r="QUL8" s="222"/>
      <c r="QUM8" s="222"/>
      <c r="QUN8" s="222"/>
      <c r="QUO8" s="222"/>
      <c r="QUP8" s="222"/>
      <c r="QUQ8" s="222"/>
      <c r="QUR8" s="222"/>
      <c r="QUS8" s="222"/>
      <c r="QUT8" s="222"/>
      <c r="QUU8" s="222"/>
      <c r="QUV8" s="222"/>
      <c r="QUW8" s="222"/>
      <c r="QUX8" s="222"/>
      <c r="QUY8" s="222"/>
      <c r="QUZ8" s="222"/>
      <c r="QVA8" s="222"/>
      <c r="QVB8" s="222"/>
      <c r="QVC8" s="222"/>
      <c r="QVD8" s="222"/>
      <c r="QVE8" s="222"/>
      <c r="QVF8" s="222"/>
      <c r="QVG8" s="222"/>
      <c r="QVH8" s="222"/>
      <c r="QVI8" s="222"/>
      <c r="QVJ8" s="222"/>
      <c r="QVK8" s="222"/>
      <c r="QVL8" s="222"/>
      <c r="QVM8" s="222"/>
      <c r="QVN8" s="222"/>
      <c r="QVO8" s="222"/>
      <c r="QVP8" s="222"/>
      <c r="QVQ8" s="222"/>
      <c r="QVR8" s="222"/>
      <c r="QVS8" s="222"/>
      <c r="QVT8" s="222"/>
      <c r="QVU8" s="222"/>
      <c r="QVV8" s="222"/>
      <c r="QVW8" s="222"/>
      <c r="QVX8" s="222"/>
      <c r="QVY8" s="222"/>
      <c r="QVZ8" s="222"/>
      <c r="QWA8" s="222"/>
      <c r="QWB8" s="222"/>
      <c r="QWC8" s="222"/>
      <c r="QWD8" s="222"/>
      <c r="QWE8" s="222"/>
      <c r="QWF8" s="222"/>
      <c r="QWG8" s="222"/>
      <c r="QWH8" s="222"/>
      <c r="QWI8" s="222"/>
      <c r="QWJ8" s="222"/>
      <c r="QWK8" s="222"/>
      <c r="QWL8" s="222"/>
      <c r="QWM8" s="222"/>
      <c r="QWN8" s="222"/>
      <c r="QWO8" s="222"/>
      <c r="QWP8" s="222"/>
      <c r="QWQ8" s="222"/>
      <c r="QWR8" s="222"/>
      <c r="QWS8" s="222"/>
      <c r="QWT8" s="222"/>
      <c r="QWU8" s="222"/>
      <c r="QWV8" s="222"/>
      <c r="QWW8" s="222"/>
      <c r="QWX8" s="222"/>
      <c r="QWY8" s="222"/>
      <c r="QWZ8" s="222"/>
      <c r="QXA8" s="222"/>
      <c r="QXB8" s="222"/>
      <c r="QXC8" s="222"/>
      <c r="QXD8" s="222"/>
      <c r="QXE8" s="222"/>
      <c r="QXF8" s="222"/>
      <c r="QXG8" s="222"/>
      <c r="QXH8" s="222"/>
      <c r="QXI8" s="222"/>
      <c r="QXJ8" s="222"/>
      <c r="QXK8" s="222"/>
      <c r="QXL8" s="222"/>
      <c r="QXM8" s="222"/>
      <c r="QXN8" s="222"/>
      <c r="QXO8" s="222"/>
      <c r="QXP8" s="222"/>
      <c r="QXQ8" s="222"/>
      <c r="QXR8" s="222"/>
      <c r="QXS8" s="222"/>
      <c r="QXT8" s="222"/>
      <c r="QXU8" s="222"/>
      <c r="QXV8" s="222"/>
      <c r="QXW8" s="222"/>
      <c r="QXX8" s="222"/>
      <c r="QXY8" s="222"/>
      <c r="QXZ8" s="222"/>
      <c r="QYA8" s="222"/>
      <c r="QYB8" s="222"/>
      <c r="QYC8" s="222"/>
      <c r="QYD8" s="222"/>
      <c r="QYE8" s="222"/>
      <c r="QYF8" s="222"/>
      <c r="QYG8" s="222"/>
      <c r="QYH8" s="222"/>
      <c r="QYI8" s="222"/>
      <c r="QYJ8" s="222"/>
      <c r="QYK8" s="222"/>
      <c r="QYL8" s="222"/>
      <c r="QYM8" s="222"/>
      <c r="QYN8" s="222"/>
      <c r="QYO8" s="222"/>
      <c r="QYP8" s="222"/>
      <c r="QYQ8" s="222"/>
      <c r="QYR8" s="222"/>
      <c r="QYS8" s="222"/>
      <c r="QYT8" s="222"/>
      <c r="QYU8" s="222"/>
      <c r="QYV8" s="222"/>
      <c r="QYW8" s="222"/>
      <c r="QYX8" s="222"/>
      <c r="QYY8" s="222"/>
      <c r="QYZ8" s="222"/>
      <c r="QZA8" s="222"/>
      <c r="QZB8" s="222"/>
      <c r="QZC8" s="222"/>
      <c r="QZD8" s="222"/>
      <c r="QZE8" s="222"/>
      <c r="QZF8" s="222"/>
      <c r="QZG8" s="222"/>
      <c r="QZH8" s="222"/>
      <c r="QZI8" s="222"/>
      <c r="QZJ8" s="222"/>
      <c r="QZK8" s="222"/>
      <c r="QZL8" s="222"/>
      <c r="QZM8" s="222"/>
      <c r="QZN8" s="222"/>
      <c r="QZO8" s="222"/>
      <c r="QZP8" s="222"/>
      <c r="QZQ8" s="222"/>
      <c r="QZR8" s="222"/>
      <c r="QZS8" s="222"/>
      <c r="QZT8" s="222"/>
      <c r="QZU8" s="222"/>
      <c r="QZV8" s="222"/>
      <c r="QZW8" s="222"/>
      <c r="QZX8" s="222"/>
      <c r="QZY8" s="222"/>
      <c r="QZZ8" s="222"/>
      <c r="RAA8" s="222"/>
      <c r="RAB8" s="222"/>
      <c r="RAC8" s="222"/>
      <c r="RAD8" s="222"/>
      <c r="RAE8" s="222"/>
      <c r="RAF8" s="222"/>
      <c r="RAG8" s="222"/>
      <c r="RAH8" s="222"/>
      <c r="RAI8" s="222"/>
      <c r="RAJ8" s="222"/>
      <c r="RAK8" s="222"/>
      <c r="RAL8" s="222"/>
      <c r="RAM8" s="222"/>
      <c r="RAN8" s="222"/>
      <c r="RAO8" s="222"/>
      <c r="RAP8" s="222"/>
      <c r="RAQ8" s="222"/>
      <c r="RAR8" s="222"/>
      <c r="RAS8" s="222"/>
      <c r="RAT8" s="222"/>
      <c r="RAU8" s="222"/>
      <c r="RAV8" s="222"/>
      <c r="RAW8" s="222"/>
      <c r="RAX8" s="222"/>
      <c r="RAY8" s="222"/>
      <c r="RAZ8" s="222"/>
      <c r="RBA8" s="222"/>
      <c r="RBB8" s="222"/>
      <c r="RBC8" s="222"/>
      <c r="RBD8" s="222"/>
      <c r="RBE8" s="222"/>
      <c r="RBF8" s="222"/>
      <c r="RBG8" s="222"/>
      <c r="RBH8" s="222"/>
      <c r="RBI8" s="222"/>
      <c r="RBJ8" s="222"/>
      <c r="RBK8" s="222"/>
      <c r="RBL8" s="222"/>
      <c r="RBM8" s="222"/>
      <c r="RBN8" s="222"/>
      <c r="RBO8" s="222"/>
      <c r="RBP8" s="222"/>
      <c r="RBQ8" s="222"/>
      <c r="RBR8" s="222"/>
      <c r="RBS8" s="222"/>
      <c r="RBT8" s="222"/>
      <c r="RBU8" s="222"/>
      <c r="RBV8" s="222"/>
      <c r="RBW8" s="222"/>
      <c r="RBX8" s="222"/>
      <c r="RBY8" s="222"/>
      <c r="RBZ8" s="222"/>
      <c r="RCA8" s="222"/>
      <c r="RCB8" s="222"/>
      <c r="RCC8" s="222"/>
      <c r="RCD8" s="222"/>
      <c r="RCE8" s="222"/>
      <c r="RCF8" s="222"/>
      <c r="RCG8" s="222"/>
      <c r="RCH8" s="222"/>
      <c r="RCI8" s="222"/>
      <c r="RCJ8" s="222"/>
      <c r="RCK8" s="222"/>
      <c r="RCL8" s="222"/>
      <c r="RCM8" s="222"/>
      <c r="RCN8" s="222"/>
      <c r="RCO8" s="222"/>
      <c r="RCP8" s="222"/>
      <c r="RCQ8" s="222"/>
      <c r="RCR8" s="222"/>
      <c r="RCS8" s="222"/>
      <c r="RCT8" s="222"/>
      <c r="RCU8" s="222"/>
      <c r="RCV8" s="222"/>
      <c r="RCW8" s="222"/>
      <c r="RCX8" s="222"/>
      <c r="RCY8" s="222"/>
      <c r="RCZ8" s="222"/>
      <c r="RDA8" s="222"/>
      <c r="RDB8" s="222"/>
      <c r="RDC8" s="222"/>
      <c r="RDD8" s="222"/>
      <c r="RDE8" s="222"/>
      <c r="RDF8" s="222"/>
      <c r="RDG8" s="222"/>
      <c r="RDH8" s="222"/>
      <c r="RDI8" s="222"/>
      <c r="RDJ8" s="222"/>
      <c r="RDK8" s="222"/>
      <c r="RDL8" s="222"/>
      <c r="RDM8" s="222"/>
      <c r="RDN8" s="222"/>
      <c r="RDO8" s="222"/>
      <c r="RDP8" s="222"/>
      <c r="RDQ8" s="222"/>
      <c r="RDR8" s="222"/>
      <c r="RDS8" s="222"/>
      <c r="RDT8" s="222"/>
      <c r="RDU8" s="222"/>
      <c r="RDV8" s="222"/>
      <c r="RDW8" s="222"/>
      <c r="RDX8" s="222"/>
      <c r="RDY8" s="222"/>
      <c r="RDZ8" s="222"/>
      <c r="REA8" s="222"/>
      <c r="REB8" s="222"/>
      <c r="REC8" s="222"/>
      <c r="RED8" s="222"/>
      <c r="REE8" s="222"/>
      <c r="REF8" s="222"/>
      <c r="REG8" s="222"/>
      <c r="REH8" s="222"/>
      <c r="REI8" s="222"/>
      <c r="REJ8" s="222"/>
      <c r="REK8" s="222"/>
      <c r="REL8" s="222"/>
      <c r="REM8" s="222"/>
      <c r="REN8" s="222"/>
      <c r="REO8" s="222"/>
      <c r="REP8" s="222"/>
      <c r="REQ8" s="222"/>
      <c r="RER8" s="222"/>
      <c r="RES8" s="222"/>
      <c r="RET8" s="222"/>
      <c r="REU8" s="222"/>
      <c r="REV8" s="222"/>
      <c r="REW8" s="222"/>
      <c r="REX8" s="222"/>
      <c r="REY8" s="222"/>
      <c r="REZ8" s="222"/>
      <c r="RFA8" s="222"/>
      <c r="RFB8" s="222"/>
      <c r="RFC8" s="222"/>
      <c r="RFD8" s="222"/>
      <c r="RFE8" s="222"/>
      <c r="RFF8" s="222"/>
      <c r="RFG8" s="222"/>
      <c r="RFH8" s="222"/>
      <c r="RFI8" s="222"/>
      <c r="RFJ8" s="222"/>
      <c r="RFK8" s="222"/>
      <c r="RFL8" s="222"/>
      <c r="RFM8" s="222"/>
      <c r="RFN8" s="222"/>
      <c r="RFO8" s="222"/>
      <c r="RFP8" s="222"/>
      <c r="RFQ8" s="222"/>
      <c r="RFR8" s="222"/>
      <c r="RFS8" s="222"/>
      <c r="RFT8" s="222"/>
      <c r="RFU8" s="222"/>
      <c r="RFV8" s="222"/>
      <c r="RFW8" s="222"/>
      <c r="RFX8" s="222"/>
      <c r="RFY8" s="222"/>
      <c r="RFZ8" s="222"/>
      <c r="RGA8" s="222"/>
      <c r="RGB8" s="222"/>
      <c r="RGC8" s="222"/>
      <c r="RGD8" s="222"/>
      <c r="RGE8" s="222"/>
      <c r="RGF8" s="222"/>
      <c r="RGG8" s="222"/>
      <c r="RGH8" s="222"/>
      <c r="RGI8" s="222"/>
      <c r="RGJ8" s="222"/>
      <c r="RGK8" s="222"/>
      <c r="RGL8" s="222"/>
      <c r="RGM8" s="222"/>
      <c r="RGN8" s="222"/>
      <c r="RGO8" s="222"/>
      <c r="RGP8" s="222"/>
      <c r="RGQ8" s="222"/>
      <c r="RGR8" s="222"/>
      <c r="RGS8" s="222"/>
      <c r="RGT8" s="222"/>
      <c r="RGU8" s="222"/>
      <c r="RGV8" s="222"/>
      <c r="RGW8" s="222"/>
      <c r="RGX8" s="222"/>
      <c r="RGY8" s="222"/>
      <c r="RGZ8" s="222"/>
      <c r="RHA8" s="222"/>
      <c r="RHB8" s="222"/>
      <c r="RHC8" s="222"/>
      <c r="RHD8" s="222"/>
      <c r="RHE8" s="222"/>
      <c r="RHF8" s="222"/>
      <c r="RHG8" s="222"/>
      <c r="RHH8" s="222"/>
      <c r="RHI8" s="222"/>
      <c r="RHJ8" s="222"/>
      <c r="RHK8" s="222"/>
      <c r="RHL8" s="222"/>
      <c r="RHM8" s="222"/>
      <c r="RHN8" s="222"/>
      <c r="RHO8" s="222"/>
      <c r="RHP8" s="222"/>
      <c r="RHQ8" s="222"/>
      <c r="RHR8" s="222"/>
      <c r="RHS8" s="222"/>
      <c r="RHT8" s="222"/>
      <c r="RHU8" s="222"/>
      <c r="RHV8" s="222"/>
      <c r="RHW8" s="222"/>
      <c r="RHX8" s="222"/>
      <c r="RHY8" s="222"/>
      <c r="RHZ8" s="222"/>
      <c r="RIA8" s="222"/>
      <c r="RIB8" s="222"/>
      <c r="RIC8" s="222"/>
      <c r="RID8" s="222"/>
      <c r="RIE8" s="222"/>
      <c r="RIF8" s="222"/>
      <c r="RIG8" s="222"/>
      <c r="RIH8" s="222"/>
      <c r="RII8" s="222"/>
      <c r="RIJ8" s="222"/>
      <c r="RIK8" s="222"/>
      <c r="RIL8" s="222"/>
      <c r="RIM8" s="222"/>
      <c r="RIN8" s="222"/>
      <c r="RIO8" s="222"/>
      <c r="RIP8" s="222"/>
      <c r="RIQ8" s="222"/>
      <c r="RIR8" s="222"/>
      <c r="RIS8" s="222"/>
      <c r="RIT8" s="222"/>
      <c r="RIU8" s="222"/>
      <c r="RIV8" s="222"/>
      <c r="RIW8" s="222"/>
      <c r="RIX8" s="222"/>
      <c r="RIY8" s="222"/>
      <c r="RIZ8" s="222"/>
      <c r="RJA8" s="222"/>
      <c r="RJB8" s="222"/>
      <c r="RJC8" s="222"/>
      <c r="RJD8" s="222"/>
      <c r="RJE8" s="222"/>
      <c r="RJF8" s="222"/>
      <c r="RJG8" s="222"/>
      <c r="RJH8" s="222"/>
      <c r="RJI8" s="222"/>
      <c r="RJJ8" s="222"/>
      <c r="RJK8" s="222"/>
      <c r="RJL8" s="222"/>
      <c r="RJM8" s="222"/>
      <c r="RJN8" s="222"/>
      <c r="RJO8" s="222"/>
      <c r="RJP8" s="222"/>
      <c r="RJQ8" s="222"/>
      <c r="RJR8" s="222"/>
      <c r="RJS8" s="222"/>
      <c r="RJT8" s="222"/>
      <c r="RJU8" s="222"/>
      <c r="RJV8" s="222"/>
      <c r="RJW8" s="222"/>
      <c r="RJX8" s="222"/>
      <c r="RJY8" s="222"/>
      <c r="RJZ8" s="222"/>
      <c r="RKA8" s="222"/>
      <c r="RKB8" s="222"/>
      <c r="RKC8" s="222"/>
      <c r="RKD8" s="222"/>
      <c r="RKE8" s="222"/>
      <c r="RKF8" s="222"/>
      <c r="RKG8" s="222"/>
      <c r="RKH8" s="222"/>
      <c r="RKI8" s="222"/>
      <c r="RKJ8" s="222"/>
      <c r="RKK8" s="222"/>
      <c r="RKL8" s="222"/>
      <c r="RKM8" s="222"/>
      <c r="RKN8" s="222"/>
      <c r="RKO8" s="222"/>
      <c r="RKP8" s="222"/>
      <c r="RKQ8" s="222"/>
      <c r="RKR8" s="222"/>
      <c r="RKS8" s="222"/>
      <c r="RKT8" s="222"/>
      <c r="RKU8" s="222"/>
      <c r="RKV8" s="222"/>
      <c r="RKW8" s="222"/>
      <c r="RKX8" s="222"/>
      <c r="RKY8" s="222"/>
      <c r="RKZ8" s="222"/>
      <c r="RLA8" s="222"/>
      <c r="RLB8" s="222"/>
      <c r="RLC8" s="222"/>
      <c r="RLD8" s="222"/>
      <c r="RLE8" s="222"/>
      <c r="RLF8" s="222"/>
      <c r="RLG8" s="222"/>
      <c r="RLH8" s="222"/>
      <c r="RLI8" s="222"/>
      <c r="RLJ8" s="222"/>
      <c r="RLK8" s="222"/>
      <c r="RLL8" s="222"/>
      <c r="RLM8" s="222"/>
      <c r="RLN8" s="222"/>
      <c r="RLO8" s="222"/>
      <c r="RLP8" s="222"/>
      <c r="RLQ8" s="222"/>
      <c r="RLR8" s="222"/>
      <c r="RLS8" s="222"/>
      <c r="RLT8" s="222"/>
      <c r="RLU8" s="222"/>
      <c r="RLV8" s="222"/>
      <c r="RLW8" s="222"/>
      <c r="RLX8" s="222"/>
      <c r="RLY8" s="222"/>
      <c r="RLZ8" s="222"/>
      <c r="RMA8" s="222"/>
      <c r="RMB8" s="222"/>
      <c r="RMC8" s="222"/>
      <c r="RMD8" s="222"/>
      <c r="RME8" s="222"/>
      <c r="RMF8" s="222"/>
      <c r="RMG8" s="222"/>
      <c r="RMH8" s="222"/>
      <c r="RMI8" s="222"/>
      <c r="RMJ8" s="222"/>
      <c r="RMK8" s="222"/>
      <c r="RML8" s="222"/>
      <c r="RMM8" s="222"/>
      <c r="RMN8" s="222"/>
      <c r="RMO8" s="222"/>
      <c r="RMP8" s="222"/>
      <c r="RMQ8" s="222"/>
      <c r="RMR8" s="222"/>
      <c r="RMS8" s="222"/>
      <c r="RMT8" s="222"/>
      <c r="RMU8" s="222"/>
      <c r="RMV8" s="222"/>
      <c r="RMW8" s="222"/>
      <c r="RMX8" s="222"/>
      <c r="RMY8" s="222"/>
      <c r="RMZ8" s="222"/>
      <c r="RNA8" s="222"/>
      <c r="RNB8" s="222"/>
      <c r="RNC8" s="222"/>
      <c r="RND8" s="222"/>
      <c r="RNE8" s="222"/>
      <c r="RNF8" s="222"/>
      <c r="RNG8" s="222"/>
      <c r="RNH8" s="222"/>
      <c r="RNI8" s="222"/>
      <c r="RNJ8" s="222"/>
      <c r="RNK8" s="222"/>
      <c r="RNL8" s="222"/>
      <c r="RNM8" s="222"/>
      <c r="RNN8" s="222"/>
      <c r="RNO8" s="222"/>
      <c r="RNP8" s="222"/>
      <c r="RNQ8" s="222"/>
      <c r="RNR8" s="222"/>
      <c r="RNS8" s="222"/>
      <c r="RNT8" s="222"/>
      <c r="RNU8" s="222"/>
      <c r="RNV8" s="222"/>
      <c r="RNW8" s="222"/>
      <c r="RNX8" s="222"/>
      <c r="RNY8" s="222"/>
      <c r="RNZ8" s="222"/>
      <c r="ROA8" s="222"/>
      <c r="ROB8" s="222"/>
      <c r="ROC8" s="222"/>
      <c r="ROD8" s="222"/>
      <c r="ROE8" s="222"/>
      <c r="ROF8" s="222"/>
      <c r="ROG8" s="222"/>
      <c r="ROH8" s="222"/>
      <c r="ROI8" s="222"/>
      <c r="ROJ8" s="222"/>
      <c r="ROK8" s="222"/>
      <c r="ROL8" s="222"/>
      <c r="ROM8" s="222"/>
      <c r="RON8" s="222"/>
      <c r="ROO8" s="222"/>
      <c r="ROP8" s="222"/>
      <c r="ROQ8" s="222"/>
      <c r="ROR8" s="222"/>
      <c r="ROS8" s="222"/>
      <c r="ROT8" s="222"/>
      <c r="ROU8" s="222"/>
      <c r="ROV8" s="222"/>
      <c r="ROW8" s="222"/>
      <c r="ROX8" s="222"/>
      <c r="ROY8" s="222"/>
      <c r="ROZ8" s="222"/>
      <c r="RPA8" s="222"/>
      <c r="RPB8" s="222"/>
      <c r="RPC8" s="222"/>
      <c r="RPD8" s="222"/>
      <c r="RPE8" s="222"/>
      <c r="RPF8" s="222"/>
      <c r="RPG8" s="222"/>
      <c r="RPH8" s="222"/>
      <c r="RPI8" s="222"/>
      <c r="RPJ8" s="222"/>
      <c r="RPK8" s="222"/>
      <c r="RPL8" s="222"/>
      <c r="RPM8" s="222"/>
      <c r="RPN8" s="222"/>
      <c r="RPO8" s="222"/>
      <c r="RPP8" s="222"/>
      <c r="RPQ8" s="222"/>
      <c r="RPR8" s="222"/>
      <c r="RPS8" s="222"/>
      <c r="RPT8" s="222"/>
      <c r="RPU8" s="222"/>
      <c r="RPV8" s="222"/>
      <c r="RPW8" s="222"/>
      <c r="RPX8" s="222"/>
      <c r="RPY8" s="222"/>
      <c r="RPZ8" s="222"/>
      <c r="RQA8" s="222"/>
      <c r="RQB8" s="222"/>
      <c r="RQC8" s="222"/>
      <c r="RQD8" s="222"/>
      <c r="RQE8" s="222"/>
      <c r="RQF8" s="222"/>
      <c r="RQG8" s="222"/>
      <c r="RQH8" s="222"/>
      <c r="RQI8" s="222"/>
      <c r="RQJ8" s="222"/>
      <c r="RQK8" s="222"/>
      <c r="RQL8" s="222"/>
      <c r="RQM8" s="222"/>
      <c r="RQN8" s="222"/>
      <c r="RQO8" s="222"/>
      <c r="RQP8" s="222"/>
      <c r="RQQ8" s="222"/>
      <c r="RQR8" s="222"/>
      <c r="RQS8" s="222"/>
      <c r="RQT8" s="222"/>
      <c r="RQU8" s="222"/>
      <c r="RQV8" s="222"/>
      <c r="RQW8" s="222"/>
      <c r="RQX8" s="222"/>
      <c r="RQY8" s="222"/>
      <c r="RQZ8" s="222"/>
      <c r="RRA8" s="222"/>
      <c r="RRB8" s="222"/>
      <c r="RRC8" s="222"/>
      <c r="RRD8" s="222"/>
      <c r="RRE8" s="222"/>
      <c r="RRF8" s="222"/>
      <c r="RRG8" s="222"/>
      <c r="RRH8" s="222"/>
      <c r="RRI8" s="222"/>
      <c r="RRJ8" s="222"/>
      <c r="RRK8" s="222"/>
      <c r="RRL8" s="222"/>
      <c r="RRM8" s="222"/>
      <c r="RRN8" s="222"/>
      <c r="RRO8" s="222"/>
      <c r="RRP8" s="222"/>
      <c r="RRQ8" s="222"/>
      <c r="RRR8" s="222"/>
      <c r="RRS8" s="222"/>
      <c r="RRT8" s="222"/>
      <c r="RRU8" s="222"/>
      <c r="RRV8" s="222"/>
      <c r="RRW8" s="222"/>
      <c r="RRX8" s="222"/>
      <c r="RRY8" s="222"/>
      <c r="RRZ8" s="222"/>
      <c r="RSA8" s="222"/>
      <c r="RSB8" s="222"/>
      <c r="RSC8" s="222"/>
      <c r="RSD8" s="222"/>
      <c r="RSE8" s="222"/>
      <c r="RSF8" s="222"/>
      <c r="RSG8" s="222"/>
      <c r="RSH8" s="222"/>
      <c r="RSI8" s="222"/>
      <c r="RSJ8" s="222"/>
      <c r="RSK8" s="222"/>
      <c r="RSL8" s="222"/>
      <c r="RSM8" s="222"/>
      <c r="RSN8" s="222"/>
      <c r="RSO8" s="222"/>
      <c r="RSP8" s="222"/>
      <c r="RSQ8" s="222"/>
      <c r="RSR8" s="222"/>
      <c r="RSS8" s="222"/>
      <c r="RST8" s="222"/>
      <c r="RSU8" s="222"/>
      <c r="RSV8" s="222"/>
      <c r="RSW8" s="222"/>
      <c r="RSX8" s="222"/>
      <c r="RSY8" s="222"/>
      <c r="RSZ8" s="222"/>
      <c r="RTA8" s="222"/>
      <c r="RTB8" s="222"/>
      <c r="RTC8" s="222"/>
      <c r="RTD8" s="222"/>
      <c r="RTE8" s="222"/>
      <c r="RTF8" s="222"/>
      <c r="RTG8" s="222"/>
      <c r="RTH8" s="222"/>
      <c r="RTI8" s="222"/>
      <c r="RTJ8" s="222"/>
      <c r="RTK8" s="222"/>
      <c r="RTL8" s="222"/>
      <c r="RTM8" s="222"/>
      <c r="RTN8" s="222"/>
      <c r="RTO8" s="222"/>
      <c r="RTP8" s="222"/>
      <c r="RTQ8" s="222"/>
      <c r="RTR8" s="222"/>
      <c r="RTS8" s="222"/>
      <c r="RTT8" s="222"/>
      <c r="RTU8" s="222"/>
      <c r="RTV8" s="222"/>
      <c r="RTW8" s="222"/>
      <c r="RTX8" s="222"/>
      <c r="RTY8" s="222"/>
      <c r="RTZ8" s="222"/>
      <c r="RUA8" s="222"/>
      <c r="RUB8" s="222"/>
      <c r="RUC8" s="222"/>
      <c r="RUD8" s="222"/>
      <c r="RUE8" s="222"/>
      <c r="RUF8" s="222"/>
      <c r="RUG8" s="222"/>
      <c r="RUH8" s="222"/>
      <c r="RUI8" s="222"/>
      <c r="RUJ8" s="222"/>
      <c r="RUK8" s="222"/>
      <c r="RUL8" s="222"/>
      <c r="RUM8" s="222"/>
      <c r="RUN8" s="222"/>
      <c r="RUO8" s="222"/>
      <c r="RUP8" s="222"/>
      <c r="RUQ8" s="222"/>
      <c r="RUR8" s="222"/>
      <c r="RUS8" s="222"/>
      <c r="RUT8" s="222"/>
      <c r="RUU8" s="222"/>
      <c r="RUV8" s="222"/>
      <c r="RUW8" s="222"/>
      <c r="RUX8" s="222"/>
      <c r="RUY8" s="222"/>
      <c r="RUZ8" s="222"/>
      <c r="RVA8" s="222"/>
      <c r="RVB8" s="222"/>
      <c r="RVC8" s="222"/>
      <c r="RVD8" s="222"/>
      <c r="RVE8" s="222"/>
      <c r="RVF8" s="222"/>
      <c r="RVG8" s="222"/>
      <c r="RVH8" s="222"/>
      <c r="RVI8" s="222"/>
      <c r="RVJ8" s="222"/>
      <c r="RVK8" s="222"/>
      <c r="RVL8" s="222"/>
      <c r="RVM8" s="222"/>
      <c r="RVN8" s="222"/>
      <c r="RVO8" s="222"/>
      <c r="RVP8" s="222"/>
      <c r="RVQ8" s="222"/>
      <c r="RVR8" s="222"/>
      <c r="RVS8" s="222"/>
      <c r="RVT8" s="222"/>
      <c r="RVU8" s="222"/>
      <c r="RVV8" s="222"/>
      <c r="RVW8" s="222"/>
      <c r="RVX8" s="222"/>
      <c r="RVY8" s="222"/>
      <c r="RVZ8" s="222"/>
      <c r="RWA8" s="222"/>
      <c r="RWB8" s="222"/>
      <c r="RWC8" s="222"/>
      <c r="RWD8" s="222"/>
      <c r="RWE8" s="222"/>
      <c r="RWF8" s="222"/>
      <c r="RWG8" s="222"/>
      <c r="RWH8" s="222"/>
      <c r="RWI8" s="222"/>
      <c r="RWJ8" s="222"/>
      <c r="RWK8" s="222"/>
      <c r="RWL8" s="222"/>
      <c r="RWM8" s="222"/>
      <c r="RWN8" s="222"/>
      <c r="RWO8" s="222"/>
      <c r="RWP8" s="222"/>
      <c r="RWQ8" s="222"/>
      <c r="RWR8" s="222"/>
      <c r="RWS8" s="222"/>
      <c r="RWT8" s="222"/>
      <c r="RWU8" s="222"/>
      <c r="RWV8" s="222"/>
      <c r="RWW8" s="222"/>
      <c r="RWX8" s="222"/>
      <c r="RWY8" s="222"/>
      <c r="RWZ8" s="222"/>
      <c r="RXA8" s="222"/>
      <c r="RXB8" s="222"/>
      <c r="RXC8" s="222"/>
      <c r="RXD8" s="222"/>
      <c r="RXE8" s="222"/>
      <c r="RXF8" s="222"/>
      <c r="RXG8" s="222"/>
      <c r="RXH8" s="222"/>
      <c r="RXI8" s="222"/>
      <c r="RXJ8" s="222"/>
      <c r="RXK8" s="222"/>
      <c r="RXL8" s="222"/>
      <c r="RXM8" s="222"/>
      <c r="RXN8" s="222"/>
      <c r="RXO8" s="222"/>
      <c r="RXP8" s="222"/>
      <c r="RXQ8" s="222"/>
      <c r="RXR8" s="222"/>
      <c r="RXS8" s="222"/>
      <c r="RXT8" s="222"/>
      <c r="RXU8" s="222"/>
      <c r="RXV8" s="222"/>
      <c r="RXW8" s="222"/>
      <c r="RXX8" s="222"/>
      <c r="RXY8" s="222"/>
      <c r="RXZ8" s="222"/>
      <c r="RYA8" s="222"/>
      <c r="RYB8" s="222"/>
      <c r="RYC8" s="222"/>
      <c r="RYD8" s="222"/>
      <c r="RYE8" s="222"/>
      <c r="RYF8" s="222"/>
      <c r="RYG8" s="222"/>
      <c r="RYH8" s="222"/>
      <c r="RYI8" s="222"/>
      <c r="RYJ8" s="222"/>
      <c r="RYK8" s="222"/>
      <c r="RYL8" s="222"/>
      <c r="RYM8" s="222"/>
      <c r="RYN8" s="222"/>
      <c r="RYO8" s="222"/>
      <c r="RYP8" s="222"/>
      <c r="RYQ8" s="222"/>
      <c r="RYR8" s="222"/>
      <c r="RYS8" s="222"/>
      <c r="RYT8" s="222"/>
      <c r="RYU8" s="222"/>
      <c r="RYV8" s="222"/>
      <c r="RYW8" s="222"/>
      <c r="RYX8" s="222"/>
      <c r="RYY8" s="222"/>
      <c r="RYZ8" s="222"/>
      <c r="RZA8" s="222"/>
      <c r="RZB8" s="222"/>
      <c r="RZC8" s="222"/>
      <c r="RZD8" s="222"/>
      <c r="RZE8" s="222"/>
      <c r="RZF8" s="222"/>
      <c r="RZG8" s="222"/>
      <c r="RZH8" s="222"/>
      <c r="RZI8" s="222"/>
      <c r="RZJ8" s="222"/>
      <c r="RZK8" s="222"/>
      <c r="RZL8" s="222"/>
      <c r="RZM8" s="222"/>
      <c r="RZN8" s="222"/>
      <c r="RZO8" s="222"/>
      <c r="RZP8" s="222"/>
      <c r="RZQ8" s="222"/>
      <c r="RZR8" s="222"/>
      <c r="RZS8" s="222"/>
      <c r="RZT8" s="222"/>
      <c r="RZU8" s="222"/>
      <c r="RZV8" s="222"/>
      <c r="RZW8" s="222"/>
      <c r="RZX8" s="222"/>
      <c r="RZY8" s="222"/>
      <c r="RZZ8" s="222"/>
      <c r="SAA8" s="222"/>
      <c r="SAB8" s="222"/>
      <c r="SAC8" s="222"/>
      <c r="SAD8" s="222"/>
      <c r="SAE8" s="222"/>
      <c r="SAF8" s="222"/>
      <c r="SAG8" s="222"/>
      <c r="SAH8" s="222"/>
      <c r="SAI8" s="222"/>
      <c r="SAJ8" s="222"/>
      <c r="SAK8" s="222"/>
      <c r="SAL8" s="222"/>
      <c r="SAM8" s="222"/>
      <c r="SAN8" s="222"/>
      <c r="SAO8" s="222"/>
      <c r="SAP8" s="222"/>
      <c r="SAQ8" s="222"/>
      <c r="SAR8" s="222"/>
      <c r="SAS8" s="222"/>
      <c r="SAT8" s="222"/>
      <c r="SAU8" s="222"/>
      <c r="SAV8" s="222"/>
      <c r="SAW8" s="222"/>
      <c r="SAX8" s="222"/>
      <c r="SAY8" s="222"/>
      <c r="SAZ8" s="222"/>
      <c r="SBA8" s="222"/>
      <c r="SBB8" s="222"/>
      <c r="SBC8" s="222"/>
      <c r="SBD8" s="222"/>
      <c r="SBE8" s="222"/>
      <c r="SBF8" s="222"/>
      <c r="SBG8" s="222"/>
      <c r="SBH8" s="222"/>
      <c r="SBI8" s="222"/>
      <c r="SBJ8" s="222"/>
      <c r="SBK8" s="222"/>
      <c r="SBL8" s="222"/>
      <c r="SBM8" s="222"/>
      <c r="SBN8" s="222"/>
      <c r="SBO8" s="222"/>
      <c r="SBP8" s="222"/>
      <c r="SBQ8" s="222"/>
      <c r="SBR8" s="222"/>
      <c r="SBS8" s="222"/>
      <c r="SBT8" s="222"/>
      <c r="SBU8" s="222"/>
      <c r="SBV8" s="222"/>
      <c r="SBW8" s="222"/>
      <c r="SBX8" s="222"/>
      <c r="SBY8" s="222"/>
      <c r="SBZ8" s="222"/>
      <c r="SCA8" s="222"/>
      <c r="SCB8" s="222"/>
      <c r="SCC8" s="222"/>
      <c r="SCD8" s="222"/>
      <c r="SCE8" s="222"/>
      <c r="SCF8" s="222"/>
      <c r="SCG8" s="222"/>
      <c r="SCH8" s="222"/>
      <c r="SCI8" s="222"/>
      <c r="SCJ8" s="222"/>
      <c r="SCK8" s="222"/>
      <c r="SCL8" s="222"/>
      <c r="SCM8" s="222"/>
      <c r="SCN8" s="222"/>
      <c r="SCO8" s="222"/>
      <c r="SCP8" s="222"/>
      <c r="SCQ8" s="222"/>
      <c r="SCR8" s="222"/>
      <c r="SCS8" s="222"/>
      <c r="SCT8" s="222"/>
      <c r="SCU8" s="222"/>
      <c r="SCV8" s="222"/>
      <c r="SCW8" s="222"/>
      <c r="SCX8" s="222"/>
      <c r="SCY8" s="222"/>
      <c r="SCZ8" s="222"/>
      <c r="SDA8" s="222"/>
      <c r="SDB8" s="222"/>
      <c r="SDC8" s="222"/>
      <c r="SDD8" s="222"/>
      <c r="SDE8" s="222"/>
      <c r="SDF8" s="222"/>
      <c r="SDG8" s="222"/>
      <c r="SDH8" s="222"/>
      <c r="SDI8" s="222"/>
      <c r="SDJ8" s="222"/>
      <c r="SDK8" s="222"/>
      <c r="SDL8" s="222"/>
      <c r="SDM8" s="222"/>
      <c r="SDN8" s="222"/>
      <c r="SDO8" s="222"/>
      <c r="SDP8" s="222"/>
      <c r="SDQ8" s="222"/>
      <c r="SDR8" s="222"/>
      <c r="SDS8" s="222"/>
      <c r="SDT8" s="222"/>
      <c r="SDU8" s="222"/>
      <c r="SDV8" s="222"/>
      <c r="SDW8" s="222"/>
      <c r="SDX8" s="222"/>
      <c r="SDY8" s="222"/>
      <c r="SDZ8" s="222"/>
      <c r="SEA8" s="222"/>
      <c r="SEB8" s="222"/>
      <c r="SEC8" s="222"/>
      <c r="SED8" s="222"/>
      <c r="SEE8" s="222"/>
      <c r="SEF8" s="222"/>
      <c r="SEG8" s="222"/>
      <c r="SEH8" s="222"/>
      <c r="SEI8" s="222"/>
      <c r="SEJ8" s="222"/>
      <c r="SEK8" s="222"/>
      <c r="SEL8" s="222"/>
      <c r="SEM8" s="222"/>
      <c r="SEN8" s="222"/>
      <c r="SEO8" s="222"/>
      <c r="SEP8" s="222"/>
      <c r="SEQ8" s="222"/>
      <c r="SER8" s="222"/>
      <c r="SES8" s="222"/>
      <c r="SET8" s="222"/>
      <c r="SEU8" s="222"/>
      <c r="SEV8" s="222"/>
      <c r="SEW8" s="222"/>
      <c r="SEX8" s="222"/>
      <c r="SEY8" s="222"/>
      <c r="SEZ8" s="222"/>
      <c r="SFA8" s="222"/>
      <c r="SFB8" s="222"/>
      <c r="SFC8" s="222"/>
      <c r="SFD8" s="222"/>
      <c r="SFE8" s="222"/>
      <c r="SFF8" s="222"/>
      <c r="SFG8" s="222"/>
      <c r="SFH8" s="222"/>
      <c r="SFI8" s="222"/>
      <c r="SFJ8" s="222"/>
      <c r="SFK8" s="222"/>
      <c r="SFL8" s="222"/>
      <c r="SFM8" s="222"/>
      <c r="SFN8" s="222"/>
      <c r="SFO8" s="222"/>
      <c r="SFP8" s="222"/>
      <c r="SFQ8" s="222"/>
      <c r="SFR8" s="222"/>
      <c r="SFS8" s="222"/>
      <c r="SFT8" s="222"/>
      <c r="SFU8" s="222"/>
      <c r="SFV8" s="222"/>
      <c r="SFW8" s="222"/>
      <c r="SFX8" s="222"/>
      <c r="SFY8" s="222"/>
      <c r="SFZ8" s="222"/>
      <c r="SGA8" s="222"/>
      <c r="SGB8" s="222"/>
      <c r="SGC8" s="222"/>
      <c r="SGD8" s="222"/>
      <c r="SGE8" s="222"/>
      <c r="SGF8" s="222"/>
      <c r="SGG8" s="222"/>
      <c r="SGH8" s="222"/>
      <c r="SGI8" s="222"/>
      <c r="SGJ8" s="222"/>
      <c r="SGK8" s="222"/>
      <c r="SGL8" s="222"/>
      <c r="SGM8" s="222"/>
      <c r="SGN8" s="222"/>
      <c r="SGO8" s="222"/>
      <c r="SGP8" s="222"/>
      <c r="SGQ8" s="222"/>
      <c r="SGR8" s="222"/>
      <c r="SGS8" s="222"/>
      <c r="SGT8" s="222"/>
      <c r="SGU8" s="222"/>
      <c r="SGV8" s="222"/>
      <c r="SGW8" s="222"/>
      <c r="SGX8" s="222"/>
      <c r="SGY8" s="222"/>
      <c r="SGZ8" s="222"/>
      <c r="SHA8" s="222"/>
      <c r="SHB8" s="222"/>
      <c r="SHC8" s="222"/>
      <c r="SHD8" s="222"/>
      <c r="SHE8" s="222"/>
      <c r="SHF8" s="222"/>
      <c r="SHG8" s="222"/>
      <c r="SHH8" s="222"/>
      <c r="SHI8" s="222"/>
      <c r="SHJ8" s="222"/>
      <c r="SHK8" s="222"/>
      <c r="SHL8" s="222"/>
      <c r="SHM8" s="222"/>
      <c r="SHN8" s="222"/>
      <c r="SHO8" s="222"/>
      <c r="SHP8" s="222"/>
      <c r="SHQ8" s="222"/>
      <c r="SHR8" s="222"/>
      <c r="SHS8" s="222"/>
      <c r="SHT8" s="222"/>
      <c r="SHU8" s="222"/>
      <c r="SHV8" s="222"/>
      <c r="SHW8" s="222"/>
      <c r="SHX8" s="222"/>
      <c r="SHY8" s="222"/>
      <c r="SHZ8" s="222"/>
      <c r="SIA8" s="222"/>
      <c r="SIB8" s="222"/>
      <c r="SIC8" s="222"/>
      <c r="SID8" s="222"/>
      <c r="SIE8" s="222"/>
      <c r="SIF8" s="222"/>
      <c r="SIG8" s="222"/>
      <c r="SIH8" s="222"/>
      <c r="SII8" s="222"/>
      <c r="SIJ8" s="222"/>
      <c r="SIK8" s="222"/>
      <c r="SIL8" s="222"/>
      <c r="SIM8" s="222"/>
      <c r="SIN8" s="222"/>
      <c r="SIO8" s="222"/>
      <c r="SIP8" s="222"/>
      <c r="SIQ8" s="222"/>
      <c r="SIR8" s="222"/>
      <c r="SIS8" s="222"/>
      <c r="SIT8" s="222"/>
      <c r="SIU8" s="222"/>
      <c r="SIV8" s="222"/>
      <c r="SIW8" s="222"/>
      <c r="SIX8" s="222"/>
      <c r="SIY8" s="222"/>
      <c r="SIZ8" s="222"/>
      <c r="SJA8" s="222"/>
      <c r="SJB8" s="222"/>
      <c r="SJC8" s="222"/>
      <c r="SJD8" s="222"/>
      <c r="SJE8" s="222"/>
      <c r="SJF8" s="222"/>
      <c r="SJG8" s="222"/>
      <c r="SJH8" s="222"/>
      <c r="SJI8" s="222"/>
      <c r="SJJ8" s="222"/>
      <c r="SJK8" s="222"/>
      <c r="SJL8" s="222"/>
      <c r="SJM8" s="222"/>
      <c r="SJN8" s="222"/>
      <c r="SJO8" s="222"/>
      <c r="SJP8" s="222"/>
      <c r="SJQ8" s="222"/>
      <c r="SJR8" s="222"/>
      <c r="SJS8" s="222"/>
      <c r="SJT8" s="222"/>
      <c r="SJU8" s="222"/>
      <c r="SJV8" s="222"/>
      <c r="SJW8" s="222"/>
      <c r="SJX8" s="222"/>
      <c r="SJY8" s="222"/>
      <c r="SJZ8" s="222"/>
      <c r="SKA8" s="222"/>
      <c r="SKB8" s="222"/>
      <c r="SKC8" s="222"/>
      <c r="SKD8" s="222"/>
      <c r="SKE8" s="222"/>
      <c r="SKF8" s="222"/>
      <c r="SKG8" s="222"/>
      <c r="SKH8" s="222"/>
      <c r="SKI8" s="222"/>
      <c r="SKJ8" s="222"/>
      <c r="SKK8" s="222"/>
      <c r="SKL8" s="222"/>
      <c r="SKM8" s="222"/>
      <c r="SKN8" s="222"/>
      <c r="SKO8" s="222"/>
      <c r="SKP8" s="222"/>
      <c r="SKQ8" s="222"/>
      <c r="SKR8" s="222"/>
      <c r="SKS8" s="222"/>
      <c r="SKT8" s="222"/>
      <c r="SKU8" s="222"/>
      <c r="SKV8" s="222"/>
      <c r="SKW8" s="222"/>
      <c r="SKX8" s="222"/>
      <c r="SKY8" s="222"/>
      <c r="SKZ8" s="222"/>
      <c r="SLA8" s="222"/>
      <c r="SLB8" s="222"/>
      <c r="SLC8" s="222"/>
      <c r="SLD8" s="222"/>
      <c r="SLE8" s="222"/>
      <c r="SLF8" s="222"/>
      <c r="SLG8" s="222"/>
      <c r="SLH8" s="222"/>
      <c r="SLI8" s="222"/>
      <c r="SLJ8" s="222"/>
      <c r="SLK8" s="222"/>
      <c r="SLL8" s="222"/>
      <c r="SLM8" s="222"/>
      <c r="SLN8" s="222"/>
      <c r="SLO8" s="222"/>
      <c r="SLP8" s="222"/>
      <c r="SLQ8" s="222"/>
      <c r="SLR8" s="222"/>
      <c r="SLS8" s="222"/>
      <c r="SLT8" s="222"/>
      <c r="SLU8" s="222"/>
      <c r="SLV8" s="222"/>
      <c r="SLW8" s="222"/>
      <c r="SLX8" s="222"/>
      <c r="SLY8" s="222"/>
      <c r="SLZ8" s="222"/>
      <c r="SMA8" s="222"/>
      <c r="SMB8" s="222"/>
      <c r="SMC8" s="222"/>
      <c r="SMD8" s="222"/>
      <c r="SME8" s="222"/>
      <c r="SMF8" s="222"/>
      <c r="SMG8" s="222"/>
      <c r="SMH8" s="222"/>
      <c r="SMI8" s="222"/>
      <c r="SMJ8" s="222"/>
      <c r="SMK8" s="222"/>
      <c r="SML8" s="222"/>
      <c r="SMM8" s="222"/>
      <c r="SMN8" s="222"/>
      <c r="SMO8" s="222"/>
      <c r="SMP8" s="222"/>
      <c r="SMQ8" s="222"/>
      <c r="SMR8" s="222"/>
      <c r="SMS8" s="222"/>
      <c r="SMT8" s="222"/>
      <c r="SMU8" s="222"/>
      <c r="SMV8" s="222"/>
      <c r="SMW8" s="222"/>
      <c r="SMX8" s="222"/>
      <c r="SMY8" s="222"/>
      <c r="SMZ8" s="222"/>
      <c r="SNA8" s="222"/>
      <c r="SNB8" s="222"/>
      <c r="SNC8" s="222"/>
      <c r="SND8" s="222"/>
      <c r="SNE8" s="222"/>
      <c r="SNF8" s="222"/>
      <c r="SNG8" s="222"/>
      <c r="SNH8" s="222"/>
      <c r="SNI8" s="222"/>
      <c r="SNJ8" s="222"/>
      <c r="SNK8" s="222"/>
      <c r="SNL8" s="222"/>
      <c r="SNM8" s="222"/>
      <c r="SNN8" s="222"/>
      <c r="SNO8" s="222"/>
      <c r="SNP8" s="222"/>
      <c r="SNQ8" s="222"/>
      <c r="SNR8" s="222"/>
      <c r="SNS8" s="222"/>
      <c r="SNT8" s="222"/>
      <c r="SNU8" s="222"/>
      <c r="SNV8" s="222"/>
      <c r="SNW8" s="222"/>
      <c r="SNX8" s="222"/>
      <c r="SNY8" s="222"/>
      <c r="SNZ8" s="222"/>
      <c r="SOA8" s="222"/>
      <c r="SOB8" s="222"/>
      <c r="SOC8" s="222"/>
      <c r="SOD8" s="222"/>
      <c r="SOE8" s="222"/>
      <c r="SOF8" s="222"/>
      <c r="SOG8" s="222"/>
      <c r="SOH8" s="222"/>
      <c r="SOI8" s="222"/>
      <c r="SOJ8" s="222"/>
      <c r="SOK8" s="222"/>
      <c r="SOL8" s="222"/>
      <c r="SOM8" s="222"/>
      <c r="SON8" s="222"/>
      <c r="SOO8" s="222"/>
      <c r="SOP8" s="222"/>
      <c r="SOQ8" s="222"/>
      <c r="SOR8" s="222"/>
      <c r="SOS8" s="222"/>
      <c r="SOT8" s="222"/>
      <c r="SOU8" s="222"/>
      <c r="SOV8" s="222"/>
      <c r="SOW8" s="222"/>
      <c r="SOX8" s="222"/>
      <c r="SOY8" s="222"/>
      <c r="SOZ8" s="222"/>
      <c r="SPA8" s="222"/>
      <c r="SPB8" s="222"/>
      <c r="SPC8" s="222"/>
      <c r="SPD8" s="222"/>
      <c r="SPE8" s="222"/>
      <c r="SPF8" s="222"/>
      <c r="SPG8" s="222"/>
      <c r="SPH8" s="222"/>
      <c r="SPI8" s="222"/>
      <c r="SPJ8" s="222"/>
      <c r="SPK8" s="222"/>
      <c r="SPL8" s="222"/>
      <c r="SPM8" s="222"/>
      <c r="SPN8" s="222"/>
      <c r="SPO8" s="222"/>
      <c r="SPP8" s="222"/>
      <c r="SPQ8" s="222"/>
      <c r="SPR8" s="222"/>
      <c r="SPS8" s="222"/>
      <c r="SPT8" s="222"/>
      <c r="SPU8" s="222"/>
      <c r="SPV8" s="222"/>
      <c r="SPW8" s="222"/>
      <c r="SPX8" s="222"/>
      <c r="SPY8" s="222"/>
      <c r="SPZ8" s="222"/>
      <c r="SQA8" s="222"/>
      <c r="SQB8" s="222"/>
      <c r="SQC8" s="222"/>
      <c r="SQD8" s="222"/>
      <c r="SQE8" s="222"/>
      <c r="SQF8" s="222"/>
      <c r="SQG8" s="222"/>
      <c r="SQH8" s="222"/>
      <c r="SQI8" s="222"/>
      <c r="SQJ8" s="222"/>
      <c r="SQK8" s="222"/>
      <c r="SQL8" s="222"/>
      <c r="SQM8" s="222"/>
      <c r="SQN8" s="222"/>
      <c r="SQO8" s="222"/>
      <c r="SQP8" s="222"/>
      <c r="SQQ8" s="222"/>
      <c r="SQR8" s="222"/>
      <c r="SQS8" s="222"/>
      <c r="SQT8" s="222"/>
      <c r="SQU8" s="222"/>
      <c r="SQV8" s="222"/>
      <c r="SQW8" s="222"/>
      <c r="SQX8" s="222"/>
      <c r="SQY8" s="222"/>
      <c r="SQZ8" s="222"/>
      <c r="SRA8" s="222"/>
      <c r="SRB8" s="222"/>
      <c r="SRC8" s="222"/>
      <c r="SRD8" s="222"/>
      <c r="SRE8" s="222"/>
      <c r="SRF8" s="222"/>
      <c r="SRG8" s="222"/>
      <c r="SRH8" s="222"/>
      <c r="SRI8" s="222"/>
      <c r="SRJ8" s="222"/>
      <c r="SRK8" s="222"/>
      <c r="SRL8" s="222"/>
      <c r="SRM8" s="222"/>
      <c r="SRN8" s="222"/>
      <c r="SRO8" s="222"/>
      <c r="SRP8" s="222"/>
      <c r="SRQ8" s="222"/>
      <c r="SRR8" s="222"/>
      <c r="SRS8" s="222"/>
      <c r="SRT8" s="222"/>
      <c r="SRU8" s="222"/>
      <c r="SRV8" s="222"/>
      <c r="SRW8" s="222"/>
      <c r="SRX8" s="222"/>
      <c r="SRY8" s="222"/>
      <c r="SRZ8" s="222"/>
      <c r="SSA8" s="222"/>
      <c r="SSB8" s="222"/>
      <c r="SSC8" s="222"/>
      <c r="SSD8" s="222"/>
      <c r="SSE8" s="222"/>
      <c r="SSF8" s="222"/>
      <c r="SSG8" s="222"/>
      <c r="SSH8" s="222"/>
      <c r="SSI8" s="222"/>
      <c r="SSJ8" s="222"/>
      <c r="SSK8" s="222"/>
      <c r="SSL8" s="222"/>
      <c r="SSM8" s="222"/>
      <c r="SSN8" s="222"/>
      <c r="SSO8" s="222"/>
      <c r="SSP8" s="222"/>
      <c r="SSQ8" s="222"/>
      <c r="SSR8" s="222"/>
      <c r="SSS8" s="222"/>
      <c r="SST8" s="222"/>
      <c r="SSU8" s="222"/>
      <c r="SSV8" s="222"/>
      <c r="SSW8" s="222"/>
      <c r="SSX8" s="222"/>
      <c r="SSY8" s="222"/>
      <c r="SSZ8" s="222"/>
      <c r="STA8" s="222"/>
      <c r="STB8" s="222"/>
      <c r="STC8" s="222"/>
      <c r="STD8" s="222"/>
      <c r="STE8" s="222"/>
      <c r="STF8" s="222"/>
      <c r="STG8" s="222"/>
      <c r="STH8" s="222"/>
      <c r="STI8" s="222"/>
      <c r="STJ8" s="222"/>
      <c r="STK8" s="222"/>
      <c r="STL8" s="222"/>
      <c r="STM8" s="222"/>
      <c r="STN8" s="222"/>
      <c r="STO8" s="222"/>
      <c r="STP8" s="222"/>
      <c r="STQ8" s="222"/>
      <c r="STR8" s="222"/>
      <c r="STS8" s="222"/>
      <c r="STT8" s="222"/>
      <c r="STU8" s="222"/>
      <c r="STV8" s="222"/>
      <c r="STW8" s="222"/>
      <c r="STX8" s="222"/>
      <c r="STY8" s="222"/>
      <c r="STZ8" s="222"/>
      <c r="SUA8" s="222"/>
      <c r="SUB8" s="222"/>
      <c r="SUC8" s="222"/>
      <c r="SUD8" s="222"/>
      <c r="SUE8" s="222"/>
      <c r="SUF8" s="222"/>
      <c r="SUG8" s="222"/>
      <c r="SUH8" s="222"/>
      <c r="SUI8" s="222"/>
      <c r="SUJ8" s="222"/>
      <c r="SUK8" s="222"/>
      <c r="SUL8" s="222"/>
      <c r="SUM8" s="222"/>
      <c r="SUN8" s="222"/>
      <c r="SUO8" s="222"/>
      <c r="SUP8" s="222"/>
      <c r="SUQ8" s="222"/>
      <c r="SUR8" s="222"/>
      <c r="SUS8" s="222"/>
      <c r="SUT8" s="222"/>
      <c r="SUU8" s="222"/>
      <c r="SUV8" s="222"/>
      <c r="SUW8" s="222"/>
      <c r="SUX8" s="222"/>
      <c r="SUY8" s="222"/>
      <c r="SUZ8" s="222"/>
      <c r="SVA8" s="222"/>
      <c r="SVB8" s="222"/>
      <c r="SVC8" s="222"/>
      <c r="SVD8" s="222"/>
      <c r="SVE8" s="222"/>
      <c r="SVF8" s="222"/>
      <c r="SVG8" s="222"/>
      <c r="SVH8" s="222"/>
      <c r="SVI8" s="222"/>
      <c r="SVJ8" s="222"/>
      <c r="SVK8" s="222"/>
      <c r="SVL8" s="222"/>
      <c r="SVM8" s="222"/>
      <c r="SVN8" s="222"/>
      <c r="SVO8" s="222"/>
      <c r="SVP8" s="222"/>
      <c r="SVQ8" s="222"/>
      <c r="SVR8" s="222"/>
      <c r="SVS8" s="222"/>
      <c r="SVT8" s="222"/>
      <c r="SVU8" s="222"/>
      <c r="SVV8" s="222"/>
      <c r="SVW8" s="222"/>
      <c r="SVX8" s="222"/>
      <c r="SVY8" s="222"/>
      <c r="SVZ8" s="222"/>
      <c r="SWA8" s="222"/>
      <c r="SWB8" s="222"/>
      <c r="SWC8" s="222"/>
      <c r="SWD8" s="222"/>
      <c r="SWE8" s="222"/>
      <c r="SWF8" s="222"/>
      <c r="SWG8" s="222"/>
      <c r="SWH8" s="222"/>
      <c r="SWI8" s="222"/>
      <c r="SWJ8" s="222"/>
      <c r="SWK8" s="222"/>
      <c r="SWL8" s="222"/>
      <c r="SWM8" s="222"/>
      <c r="SWN8" s="222"/>
      <c r="SWO8" s="222"/>
      <c r="SWP8" s="222"/>
      <c r="SWQ8" s="222"/>
      <c r="SWR8" s="222"/>
      <c r="SWS8" s="222"/>
      <c r="SWT8" s="222"/>
      <c r="SWU8" s="222"/>
      <c r="SWV8" s="222"/>
      <c r="SWW8" s="222"/>
      <c r="SWX8" s="222"/>
      <c r="SWY8" s="222"/>
      <c r="SWZ8" s="222"/>
      <c r="SXA8" s="222"/>
      <c r="SXB8" s="222"/>
      <c r="SXC8" s="222"/>
      <c r="SXD8" s="222"/>
      <c r="SXE8" s="222"/>
      <c r="SXF8" s="222"/>
      <c r="SXG8" s="222"/>
      <c r="SXH8" s="222"/>
      <c r="SXI8" s="222"/>
      <c r="SXJ8" s="222"/>
      <c r="SXK8" s="222"/>
      <c r="SXL8" s="222"/>
      <c r="SXM8" s="222"/>
      <c r="SXN8" s="222"/>
      <c r="SXO8" s="222"/>
      <c r="SXP8" s="222"/>
      <c r="SXQ8" s="222"/>
      <c r="SXR8" s="222"/>
      <c r="SXS8" s="222"/>
      <c r="SXT8" s="222"/>
      <c r="SXU8" s="222"/>
      <c r="SXV8" s="222"/>
      <c r="SXW8" s="222"/>
      <c r="SXX8" s="222"/>
      <c r="SXY8" s="222"/>
      <c r="SXZ8" s="222"/>
      <c r="SYA8" s="222"/>
      <c r="SYB8" s="222"/>
      <c r="SYC8" s="222"/>
      <c r="SYD8" s="222"/>
      <c r="SYE8" s="222"/>
      <c r="SYF8" s="222"/>
      <c r="SYG8" s="222"/>
      <c r="SYH8" s="222"/>
      <c r="SYI8" s="222"/>
      <c r="SYJ8" s="222"/>
      <c r="SYK8" s="222"/>
      <c r="SYL8" s="222"/>
      <c r="SYM8" s="222"/>
      <c r="SYN8" s="222"/>
      <c r="SYO8" s="222"/>
      <c r="SYP8" s="222"/>
      <c r="SYQ8" s="222"/>
      <c r="SYR8" s="222"/>
      <c r="SYS8" s="222"/>
      <c r="SYT8" s="222"/>
      <c r="SYU8" s="222"/>
      <c r="SYV8" s="222"/>
      <c r="SYW8" s="222"/>
      <c r="SYX8" s="222"/>
      <c r="SYY8" s="222"/>
      <c r="SYZ8" s="222"/>
      <c r="SZA8" s="222"/>
      <c r="SZB8" s="222"/>
      <c r="SZC8" s="222"/>
      <c r="SZD8" s="222"/>
      <c r="SZE8" s="222"/>
      <c r="SZF8" s="222"/>
      <c r="SZG8" s="222"/>
      <c r="SZH8" s="222"/>
      <c r="SZI8" s="222"/>
      <c r="SZJ8" s="222"/>
      <c r="SZK8" s="222"/>
      <c r="SZL8" s="222"/>
      <c r="SZM8" s="222"/>
      <c r="SZN8" s="222"/>
      <c r="SZO8" s="222"/>
      <c r="SZP8" s="222"/>
      <c r="SZQ8" s="222"/>
      <c r="SZR8" s="222"/>
      <c r="SZS8" s="222"/>
      <c r="SZT8" s="222"/>
      <c r="SZU8" s="222"/>
      <c r="SZV8" s="222"/>
      <c r="SZW8" s="222"/>
      <c r="SZX8" s="222"/>
      <c r="SZY8" s="222"/>
      <c r="SZZ8" s="222"/>
      <c r="TAA8" s="222"/>
      <c r="TAB8" s="222"/>
      <c r="TAC8" s="222"/>
      <c r="TAD8" s="222"/>
      <c r="TAE8" s="222"/>
      <c r="TAF8" s="222"/>
      <c r="TAG8" s="222"/>
      <c r="TAH8" s="222"/>
      <c r="TAI8" s="222"/>
      <c r="TAJ8" s="222"/>
      <c r="TAK8" s="222"/>
      <c r="TAL8" s="222"/>
      <c r="TAM8" s="222"/>
      <c r="TAN8" s="222"/>
      <c r="TAO8" s="222"/>
      <c r="TAP8" s="222"/>
      <c r="TAQ8" s="222"/>
      <c r="TAR8" s="222"/>
      <c r="TAS8" s="222"/>
      <c r="TAT8" s="222"/>
      <c r="TAU8" s="222"/>
      <c r="TAV8" s="222"/>
      <c r="TAW8" s="222"/>
      <c r="TAX8" s="222"/>
      <c r="TAY8" s="222"/>
      <c r="TAZ8" s="222"/>
      <c r="TBA8" s="222"/>
      <c r="TBB8" s="222"/>
      <c r="TBC8" s="222"/>
      <c r="TBD8" s="222"/>
      <c r="TBE8" s="222"/>
      <c r="TBF8" s="222"/>
      <c r="TBG8" s="222"/>
      <c r="TBH8" s="222"/>
      <c r="TBI8" s="222"/>
      <c r="TBJ8" s="222"/>
      <c r="TBK8" s="222"/>
      <c r="TBL8" s="222"/>
      <c r="TBM8" s="222"/>
      <c r="TBN8" s="222"/>
      <c r="TBO8" s="222"/>
      <c r="TBP8" s="222"/>
      <c r="TBQ8" s="222"/>
      <c r="TBR8" s="222"/>
      <c r="TBS8" s="222"/>
      <c r="TBT8" s="222"/>
      <c r="TBU8" s="222"/>
      <c r="TBV8" s="222"/>
      <c r="TBW8" s="222"/>
      <c r="TBX8" s="222"/>
      <c r="TBY8" s="222"/>
      <c r="TBZ8" s="222"/>
      <c r="TCA8" s="222"/>
      <c r="TCB8" s="222"/>
      <c r="TCC8" s="222"/>
      <c r="TCD8" s="222"/>
      <c r="TCE8" s="222"/>
      <c r="TCF8" s="222"/>
      <c r="TCG8" s="222"/>
      <c r="TCH8" s="222"/>
      <c r="TCI8" s="222"/>
      <c r="TCJ8" s="222"/>
      <c r="TCK8" s="222"/>
      <c r="TCL8" s="222"/>
      <c r="TCM8" s="222"/>
      <c r="TCN8" s="222"/>
      <c r="TCO8" s="222"/>
      <c r="TCP8" s="222"/>
      <c r="TCQ8" s="222"/>
      <c r="TCR8" s="222"/>
      <c r="TCS8" s="222"/>
      <c r="TCT8" s="222"/>
      <c r="TCU8" s="222"/>
      <c r="TCV8" s="222"/>
      <c r="TCW8" s="222"/>
      <c r="TCX8" s="222"/>
      <c r="TCY8" s="222"/>
      <c r="TCZ8" s="222"/>
      <c r="TDA8" s="222"/>
      <c r="TDB8" s="222"/>
      <c r="TDC8" s="222"/>
      <c r="TDD8" s="222"/>
      <c r="TDE8" s="222"/>
      <c r="TDF8" s="222"/>
      <c r="TDG8" s="222"/>
      <c r="TDH8" s="222"/>
      <c r="TDI8" s="222"/>
      <c r="TDJ8" s="222"/>
      <c r="TDK8" s="222"/>
      <c r="TDL8" s="222"/>
      <c r="TDM8" s="222"/>
      <c r="TDN8" s="222"/>
      <c r="TDO8" s="222"/>
      <c r="TDP8" s="222"/>
      <c r="TDQ8" s="222"/>
      <c r="TDR8" s="222"/>
      <c r="TDS8" s="222"/>
      <c r="TDT8" s="222"/>
      <c r="TDU8" s="222"/>
      <c r="TDV8" s="222"/>
      <c r="TDW8" s="222"/>
      <c r="TDX8" s="222"/>
      <c r="TDY8" s="222"/>
      <c r="TDZ8" s="222"/>
      <c r="TEA8" s="222"/>
      <c r="TEB8" s="222"/>
      <c r="TEC8" s="222"/>
      <c r="TED8" s="222"/>
      <c r="TEE8" s="222"/>
      <c r="TEF8" s="222"/>
      <c r="TEG8" s="222"/>
      <c r="TEH8" s="222"/>
      <c r="TEI8" s="222"/>
      <c r="TEJ8" s="222"/>
      <c r="TEK8" s="222"/>
      <c r="TEL8" s="222"/>
      <c r="TEM8" s="222"/>
      <c r="TEN8" s="222"/>
      <c r="TEO8" s="222"/>
      <c r="TEP8" s="222"/>
      <c r="TEQ8" s="222"/>
      <c r="TER8" s="222"/>
      <c r="TES8" s="222"/>
      <c r="TET8" s="222"/>
      <c r="TEU8" s="222"/>
      <c r="TEV8" s="222"/>
      <c r="TEW8" s="222"/>
      <c r="TEX8" s="222"/>
      <c r="TEY8" s="222"/>
      <c r="TEZ8" s="222"/>
      <c r="TFA8" s="222"/>
      <c r="TFB8" s="222"/>
      <c r="TFC8" s="222"/>
      <c r="TFD8" s="222"/>
      <c r="TFE8" s="222"/>
      <c r="TFF8" s="222"/>
      <c r="TFG8" s="222"/>
      <c r="TFH8" s="222"/>
      <c r="TFI8" s="222"/>
      <c r="TFJ8" s="222"/>
      <c r="TFK8" s="222"/>
      <c r="TFL8" s="222"/>
      <c r="TFM8" s="222"/>
      <c r="TFN8" s="222"/>
      <c r="TFO8" s="222"/>
      <c r="TFP8" s="222"/>
      <c r="TFQ8" s="222"/>
      <c r="TFR8" s="222"/>
      <c r="TFS8" s="222"/>
      <c r="TFT8" s="222"/>
      <c r="TFU8" s="222"/>
      <c r="TFV8" s="222"/>
      <c r="TFW8" s="222"/>
      <c r="TFX8" s="222"/>
      <c r="TFY8" s="222"/>
      <c r="TFZ8" s="222"/>
      <c r="TGA8" s="222"/>
      <c r="TGB8" s="222"/>
      <c r="TGC8" s="222"/>
      <c r="TGD8" s="222"/>
      <c r="TGE8" s="222"/>
      <c r="TGF8" s="222"/>
      <c r="TGG8" s="222"/>
      <c r="TGH8" s="222"/>
      <c r="TGI8" s="222"/>
      <c r="TGJ8" s="222"/>
      <c r="TGK8" s="222"/>
      <c r="TGL8" s="222"/>
      <c r="TGM8" s="222"/>
      <c r="TGN8" s="222"/>
      <c r="TGO8" s="222"/>
      <c r="TGP8" s="222"/>
      <c r="TGQ8" s="222"/>
      <c r="TGR8" s="222"/>
      <c r="TGS8" s="222"/>
      <c r="TGT8" s="222"/>
      <c r="TGU8" s="222"/>
      <c r="TGV8" s="222"/>
      <c r="TGW8" s="222"/>
      <c r="TGX8" s="222"/>
      <c r="TGY8" s="222"/>
      <c r="TGZ8" s="222"/>
      <c r="THA8" s="222"/>
      <c r="THB8" s="222"/>
      <c r="THC8" s="222"/>
      <c r="THD8" s="222"/>
      <c r="THE8" s="222"/>
      <c r="THF8" s="222"/>
      <c r="THG8" s="222"/>
      <c r="THH8" s="222"/>
      <c r="THI8" s="222"/>
      <c r="THJ8" s="222"/>
      <c r="THK8" s="222"/>
      <c r="THL8" s="222"/>
      <c r="THM8" s="222"/>
      <c r="THN8" s="222"/>
      <c r="THO8" s="222"/>
      <c r="THP8" s="222"/>
      <c r="THQ8" s="222"/>
      <c r="THR8" s="222"/>
      <c r="THS8" s="222"/>
      <c r="THT8" s="222"/>
      <c r="THU8" s="222"/>
      <c r="THV8" s="222"/>
      <c r="THW8" s="222"/>
      <c r="THX8" s="222"/>
      <c r="THY8" s="222"/>
      <c r="THZ8" s="222"/>
      <c r="TIA8" s="222"/>
      <c r="TIB8" s="222"/>
      <c r="TIC8" s="222"/>
      <c r="TID8" s="222"/>
      <c r="TIE8" s="222"/>
      <c r="TIF8" s="222"/>
      <c r="TIG8" s="222"/>
      <c r="TIH8" s="222"/>
      <c r="TII8" s="222"/>
      <c r="TIJ8" s="222"/>
      <c r="TIK8" s="222"/>
      <c r="TIL8" s="222"/>
      <c r="TIM8" s="222"/>
      <c r="TIN8" s="222"/>
      <c r="TIO8" s="222"/>
      <c r="TIP8" s="222"/>
      <c r="TIQ8" s="222"/>
      <c r="TIR8" s="222"/>
      <c r="TIS8" s="222"/>
      <c r="TIT8" s="222"/>
      <c r="TIU8" s="222"/>
      <c r="TIV8" s="222"/>
      <c r="TIW8" s="222"/>
      <c r="TIX8" s="222"/>
      <c r="TIY8" s="222"/>
      <c r="TIZ8" s="222"/>
      <c r="TJA8" s="222"/>
      <c r="TJB8" s="222"/>
      <c r="TJC8" s="222"/>
      <c r="TJD8" s="222"/>
      <c r="TJE8" s="222"/>
      <c r="TJF8" s="222"/>
      <c r="TJG8" s="222"/>
      <c r="TJH8" s="222"/>
      <c r="TJI8" s="222"/>
      <c r="TJJ8" s="222"/>
      <c r="TJK8" s="222"/>
      <c r="TJL8" s="222"/>
      <c r="TJM8" s="222"/>
      <c r="TJN8" s="222"/>
      <c r="TJO8" s="222"/>
      <c r="TJP8" s="222"/>
      <c r="TJQ8" s="222"/>
      <c r="TJR8" s="222"/>
      <c r="TJS8" s="222"/>
      <c r="TJT8" s="222"/>
      <c r="TJU8" s="222"/>
      <c r="TJV8" s="222"/>
      <c r="TJW8" s="222"/>
      <c r="TJX8" s="222"/>
      <c r="TJY8" s="222"/>
      <c r="TJZ8" s="222"/>
      <c r="TKA8" s="222"/>
      <c r="TKB8" s="222"/>
      <c r="TKC8" s="222"/>
      <c r="TKD8" s="222"/>
      <c r="TKE8" s="222"/>
      <c r="TKF8" s="222"/>
      <c r="TKG8" s="222"/>
      <c r="TKH8" s="222"/>
      <c r="TKI8" s="222"/>
      <c r="TKJ8" s="222"/>
      <c r="TKK8" s="222"/>
      <c r="TKL8" s="222"/>
      <c r="TKM8" s="222"/>
      <c r="TKN8" s="222"/>
      <c r="TKO8" s="222"/>
      <c r="TKP8" s="222"/>
      <c r="TKQ8" s="222"/>
      <c r="TKR8" s="222"/>
      <c r="TKS8" s="222"/>
      <c r="TKT8" s="222"/>
      <c r="TKU8" s="222"/>
      <c r="TKV8" s="222"/>
      <c r="TKW8" s="222"/>
      <c r="TKX8" s="222"/>
      <c r="TKY8" s="222"/>
      <c r="TKZ8" s="222"/>
      <c r="TLA8" s="222"/>
      <c r="TLB8" s="222"/>
      <c r="TLC8" s="222"/>
      <c r="TLD8" s="222"/>
      <c r="TLE8" s="222"/>
      <c r="TLF8" s="222"/>
      <c r="TLG8" s="222"/>
      <c r="TLH8" s="222"/>
      <c r="TLI8" s="222"/>
      <c r="TLJ8" s="222"/>
      <c r="TLK8" s="222"/>
      <c r="TLL8" s="222"/>
      <c r="TLM8" s="222"/>
      <c r="TLN8" s="222"/>
      <c r="TLO8" s="222"/>
      <c r="TLP8" s="222"/>
      <c r="TLQ8" s="222"/>
      <c r="TLR8" s="222"/>
      <c r="TLS8" s="222"/>
      <c r="TLT8" s="222"/>
      <c r="TLU8" s="222"/>
      <c r="TLV8" s="222"/>
      <c r="TLW8" s="222"/>
      <c r="TLX8" s="222"/>
      <c r="TLY8" s="222"/>
      <c r="TLZ8" s="222"/>
      <c r="TMA8" s="222"/>
      <c r="TMB8" s="222"/>
      <c r="TMC8" s="222"/>
      <c r="TMD8" s="222"/>
      <c r="TME8" s="222"/>
      <c r="TMF8" s="222"/>
      <c r="TMG8" s="222"/>
      <c r="TMH8" s="222"/>
      <c r="TMI8" s="222"/>
      <c r="TMJ8" s="222"/>
      <c r="TMK8" s="222"/>
      <c r="TML8" s="222"/>
      <c r="TMM8" s="222"/>
      <c r="TMN8" s="222"/>
      <c r="TMO8" s="222"/>
      <c r="TMP8" s="222"/>
      <c r="TMQ8" s="222"/>
      <c r="TMR8" s="222"/>
      <c r="TMS8" s="222"/>
      <c r="TMT8" s="222"/>
      <c r="TMU8" s="222"/>
      <c r="TMV8" s="222"/>
      <c r="TMW8" s="222"/>
      <c r="TMX8" s="222"/>
      <c r="TMY8" s="222"/>
      <c r="TMZ8" s="222"/>
      <c r="TNA8" s="222"/>
      <c r="TNB8" s="222"/>
      <c r="TNC8" s="222"/>
      <c r="TND8" s="222"/>
      <c r="TNE8" s="222"/>
      <c r="TNF8" s="222"/>
      <c r="TNG8" s="222"/>
      <c r="TNH8" s="222"/>
      <c r="TNI8" s="222"/>
      <c r="TNJ8" s="222"/>
      <c r="TNK8" s="222"/>
      <c r="TNL8" s="222"/>
      <c r="TNM8" s="222"/>
      <c r="TNN8" s="222"/>
      <c r="TNO8" s="222"/>
      <c r="TNP8" s="222"/>
      <c r="TNQ8" s="222"/>
      <c r="TNR8" s="222"/>
      <c r="TNS8" s="222"/>
      <c r="TNT8" s="222"/>
      <c r="TNU8" s="222"/>
      <c r="TNV8" s="222"/>
      <c r="TNW8" s="222"/>
      <c r="TNX8" s="222"/>
      <c r="TNY8" s="222"/>
      <c r="TNZ8" s="222"/>
      <c r="TOA8" s="222"/>
      <c r="TOB8" s="222"/>
      <c r="TOC8" s="222"/>
      <c r="TOD8" s="222"/>
      <c r="TOE8" s="222"/>
      <c r="TOF8" s="222"/>
      <c r="TOG8" s="222"/>
      <c r="TOH8" s="222"/>
      <c r="TOI8" s="222"/>
      <c r="TOJ8" s="222"/>
      <c r="TOK8" s="222"/>
      <c r="TOL8" s="222"/>
      <c r="TOM8" s="222"/>
      <c r="TON8" s="222"/>
      <c r="TOO8" s="222"/>
      <c r="TOP8" s="222"/>
      <c r="TOQ8" s="222"/>
      <c r="TOR8" s="222"/>
      <c r="TOS8" s="222"/>
      <c r="TOT8" s="222"/>
      <c r="TOU8" s="222"/>
      <c r="TOV8" s="222"/>
      <c r="TOW8" s="222"/>
      <c r="TOX8" s="222"/>
      <c r="TOY8" s="222"/>
      <c r="TOZ8" s="222"/>
      <c r="TPA8" s="222"/>
      <c r="TPB8" s="222"/>
      <c r="TPC8" s="222"/>
      <c r="TPD8" s="222"/>
      <c r="TPE8" s="222"/>
      <c r="TPF8" s="222"/>
      <c r="TPG8" s="222"/>
      <c r="TPH8" s="222"/>
      <c r="TPI8" s="222"/>
      <c r="TPJ8" s="222"/>
      <c r="TPK8" s="222"/>
      <c r="TPL8" s="222"/>
      <c r="TPM8" s="222"/>
      <c r="TPN8" s="222"/>
      <c r="TPO8" s="222"/>
      <c r="TPP8" s="222"/>
      <c r="TPQ8" s="222"/>
      <c r="TPR8" s="222"/>
      <c r="TPS8" s="222"/>
      <c r="TPT8" s="222"/>
      <c r="TPU8" s="222"/>
      <c r="TPV8" s="222"/>
      <c r="TPW8" s="222"/>
      <c r="TPX8" s="222"/>
      <c r="TPY8" s="222"/>
      <c r="TPZ8" s="222"/>
      <c r="TQA8" s="222"/>
      <c r="TQB8" s="222"/>
      <c r="TQC8" s="222"/>
      <c r="TQD8" s="222"/>
      <c r="TQE8" s="222"/>
      <c r="TQF8" s="222"/>
      <c r="TQG8" s="222"/>
      <c r="TQH8" s="222"/>
      <c r="TQI8" s="222"/>
      <c r="TQJ8" s="222"/>
      <c r="TQK8" s="222"/>
      <c r="TQL8" s="222"/>
      <c r="TQM8" s="222"/>
      <c r="TQN8" s="222"/>
      <c r="TQO8" s="222"/>
      <c r="TQP8" s="222"/>
      <c r="TQQ8" s="222"/>
      <c r="TQR8" s="222"/>
      <c r="TQS8" s="222"/>
      <c r="TQT8" s="222"/>
      <c r="TQU8" s="222"/>
      <c r="TQV8" s="222"/>
      <c r="TQW8" s="222"/>
      <c r="TQX8" s="222"/>
      <c r="TQY8" s="222"/>
      <c r="TQZ8" s="222"/>
      <c r="TRA8" s="222"/>
      <c r="TRB8" s="222"/>
      <c r="TRC8" s="222"/>
      <c r="TRD8" s="222"/>
      <c r="TRE8" s="222"/>
      <c r="TRF8" s="222"/>
      <c r="TRG8" s="222"/>
      <c r="TRH8" s="222"/>
      <c r="TRI8" s="222"/>
      <c r="TRJ8" s="222"/>
      <c r="TRK8" s="222"/>
      <c r="TRL8" s="222"/>
      <c r="TRM8" s="222"/>
      <c r="TRN8" s="222"/>
      <c r="TRO8" s="222"/>
      <c r="TRP8" s="222"/>
      <c r="TRQ8" s="222"/>
      <c r="TRR8" s="222"/>
      <c r="TRS8" s="222"/>
      <c r="TRT8" s="222"/>
      <c r="TRU8" s="222"/>
      <c r="TRV8" s="222"/>
      <c r="TRW8" s="222"/>
      <c r="TRX8" s="222"/>
      <c r="TRY8" s="222"/>
      <c r="TRZ8" s="222"/>
      <c r="TSA8" s="222"/>
      <c r="TSB8" s="222"/>
      <c r="TSC8" s="222"/>
      <c r="TSD8" s="222"/>
      <c r="TSE8" s="222"/>
      <c r="TSF8" s="222"/>
      <c r="TSG8" s="222"/>
      <c r="TSH8" s="222"/>
      <c r="TSI8" s="222"/>
      <c r="TSJ8" s="222"/>
      <c r="TSK8" s="222"/>
      <c r="TSL8" s="222"/>
      <c r="TSM8" s="222"/>
      <c r="TSN8" s="222"/>
      <c r="TSO8" s="222"/>
      <c r="TSP8" s="222"/>
      <c r="TSQ8" s="222"/>
      <c r="TSR8" s="222"/>
      <c r="TSS8" s="222"/>
      <c r="TST8" s="222"/>
      <c r="TSU8" s="222"/>
      <c r="TSV8" s="222"/>
      <c r="TSW8" s="222"/>
      <c r="TSX8" s="222"/>
      <c r="TSY8" s="222"/>
      <c r="TSZ8" s="222"/>
      <c r="TTA8" s="222"/>
      <c r="TTB8" s="222"/>
      <c r="TTC8" s="222"/>
      <c r="TTD8" s="222"/>
      <c r="TTE8" s="222"/>
      <c r="TTF8" s="222"/>
      <c r="TTG8" s="222"/>
      <c r="TTH8" s="222"/>
      <c r="TTI8" s="222"/>
      <c r="TTJ8" s="222"/>
      <c r="TTK8" s="222"/>
      <c r="TTL8" s="222"/>
      <c r="TTM8" s="222"/>
      <c r="TTN8" s="222"/>
      <c r="TTO8" s="222"/>
      <c r="TTP8" s="222"/>
      <c r="TTQ8" s="222"/>
      <c r="TTR8" s="222"/>
      <c r="TTS8" s="222"/>
      <c r="TTT8" s="222"/>
      <c r="TTU8" s="222"/>
      <c r="TTV8" s="222"/>
      <c r="TTW8" s="222"/>
      <c r="TTX8" s="222"/>
      <c r="TTY8" s="222"/>
      <c r="TTZ8" s="222"/>
      <c r="TUA8" s="222"/>
      <c r="TUB8" s="222"/>
      <c r="TUC8" s="222"/>
      <c r="TUD8" s="222"/>
      <c r="TUE8" s="222"/>
      <c r="TUF8" s="222"/>
      <c r="TUG8" s="222"/>
      <c r="TUH8" s="222"/>
      <c r="TUI8" s="222"/>
      <c r="TUJ8" s="222"/>
      <c r="TUK8" s="222"/>
      <c r="TUL8" s="222"/>
      <c r="TUM8" s="222"/>
      <c r="TUN8" s="222"/>
      <c r="TUO8" s="222"/>
      <c r="TUP8" s="222"/>
      <c r="TUQ8" s="222"/>
      <c r="TUR8" s="222"/>
      <c r="TUS8" s="222"/>
      <c r="TUT8" s="222"/>
      <c r="TUU8" s="222"/>
      <c r="TUV8" s="222"/>
      <c r="TUW8" s="222"/>
      <c r="TUX8" s="222"/>
      <c r="TUY8" s="222"/>
      <c r="TUZ8" s="222"/>
      <c r="TVA8" s="222"/>
      <c r="TVB8" s="222"/>
      <c r="TVC8" s="222"/>
      <c r="TVD8" s="222"/>
      <c r="TVE8" s="222"/>
      <c r="TVF8" s="222"/>
      <c r="TVG8" s="222"/>
      <c r="TVH8" s="222"/>
      <c r="TVI8" s="222"/>
      <c r="TVJ8" s="222"/>
      <c r="TVK8" s="222"/>
      <c r="TVL8" s="222"/>
      <c r="TVM8" s="222"/>
      <c r="TVN8" s="222"/>
      <c r="TVO8" s="222"/>
      <c r="TVP8" s="222"/>
      <c r="TVQ8" s="222"/>
      <c r="TVR8" s="222"/>
      <c r="TVS8" s="222"/>
      <c r="TVT8" s="222"/>
      <c r="TVU8" s="222"/>
      <c r="TVV8" s="222"/>
      <c r="TVW8" s="222"/>
      <c r="TVX8" s="222"/>
      <c r="TVY8" s="222"/>
      <c r="TVZ8" s="222"/>
      <c r="TWA8" s="222"/>
      <c r="TWB8" s="222"/>
      <c r="TWC8" s="222"/>
      <c r="TWD8" s="222"/>
      <c r="TWE8" s="222"/>
      <c r="TWF8" s="222"/>
      <c r="TWG8" s="222"/>
      <c r="TWH8" s="222"/>
      <c r="TWI8" s="222"/>
      <c r="TWJ8" s="222"/>
      <c r="TWK8" s="222"/>
      <c r="TWL8" s="222"/>
      <c r="TWM8" s="222"/>
      <c r="TWN8" s="222"/>
      <c r="TWO8" s="222"/>
      <c r="TWP8" s="222"/>
      <c r="TWQ8" s="222"/>
      <c r="TWR8" s="222"/>
      <c r="TWS8" s="222"/>
      <c r="TWT8" s="222"/>
      <c r="TWU8" s="222"/>
      <c r="TWV8" s="222"/>
      <c r="TWW8" s="222"/>
      <c r="TWX8" s="222"/>
      <c r="TWY8" s="222"/>
      <c r="TWZ8" s="222"/>
      <c r="TXA8" s="222"/>
      <c r="TXB8" s="222"/>
      <c r="TXC8" s="222"/>
      <c r="TXD8" s="222"/>
      <c r="TXE8" s="222"/>
      <c r="TXF8" s="222"/>
      <c r="TXG8" s="222"/>
      <c r="TXH8" s="222"/>
      <c r="TXI8" s="222"/>
      <c r="TXJ8" s="222"/>
      <c r="TXK8" s="222"/>
      <c r="TXL8" s="222"/>
      <c r="TXM8" s="222"/>
      <c r="TXN8" s="222"/>
      <c r="TXO8" s="222"/>
      <c r="TXP8" s="222"/>
      <c r="TXQ8" s="222"/>
      <c r="TXR8" s="222"/>
      <c r="TXS8" s="222"/>
      <c r="TXT8" s="222"/>
      <c r="TXU8" s="222"/>
      <c r="TXV8" s="222"/>
      <c r="TXW8" s="222"/>
      <c r="TXX8" s="222"/>
      <c r="TXY8" s="222"/>
      <c r="TXZ8" s="222"/>
      <c r="TYA8" s="222"/>
      <c r="TYB8" s="222"/>
      <c r="TYC8" s="222"/>
      <c r="TYD8" s="222"/>
      <c r="TYE8" s="222"/>
      <c r="TYF8" s="222"/>
      <c r="TYG8" s="222"/>
      <c r="TYH8" s="222"/>
      <c r="TYI8" s="222"/>
      <c r="TYJ8" s="222"/>
      <c r="TYK8" s="222"/>
      <c r="TYL8" s="222"/>
      <c r="TYM8" s="222"/>
      <c r="TYN8" s="222"/>
      <c r="TYO8" s="222"/>
      <c r="TYP8" s="222"/>
      <c r="TYQ8" s="222"/>
      <c r="TYR8" s="222"/>
      <c r="TYS8" s="222"/>
      <c r="TYT8" s="222"/>
      <c r="TYU8" s="222"/>
      <c r="TYV8" s="222"/>
      <c r="TYW8" s="222"/>
      <c r="TYX8" s="222"/>
      <c r="TYY8" s="222"/>
      <c r="TYZ8" s="222"/>
      <c r="TZA8" s="222"/>
      <c r="TZB8" s="222"/>
      <c r="TZC8" s="222"/>
      <c r="TZD8" s="222"/>
      <c r="TZE8" s="222"/>
      <c r="TZF8" s="222"/>
      <c r="TZG8" s="222"/>
      <c r="TZH8" s="222"/>
      <c r="TZI8" s="222"/>
      <c r="TZJ8" s="222"/>
      <c r="TZK8" s="222"/>
      <c r="TZL8" s="222"/>
      <c r="TZM8" s="222"/>
      <c r="TZN8" s="222"/>
      <c r="TZO8" s="222"/>
      <c r="TZP8" s="222"/>
      <c r="TZQ8" s="222"/>
      <c r="TZR8" s="222"/>
      <c r="TZS8" s="222"/>
      <c r="TZT8" s="222"/>
      <c r="TZU8" s="222"/>
      <c r="TZV8" s="222"/>
      <c r="TZW8" s="222"/>
      <c r="TZX8" s="222"/>
      <c r="TZY8" s="222"/>
      <c r="TZZ8" s="222"/>
      <c r="UAA8" s="222"/>
      <c r="UAB8" s="222"/>
      <c r="UAC8" s="222"/>
      <c r="UAD8" s="222"/>
      <c r="UAE8" s="222"/>
      <c r="UAF8" s="222"/>
      <c r="UAG8" s="222"/>
      <c r="UAH8" s="222"/>
      <c r="UAI8" s="222"/>
      <c r="UAJ8" s="222"/>
      <c r="UAK8" s="222"/>
      <c r="UAL8" s="222"/>
      <c r="UAM8" s="222"/>
      <c r="UAN8" s="222"/>
      <c r="UAO8" s="222"/>
      <c r="UAP8" s="222"/>
      <c r="UAQ8" s="222"/>
      <c r="UAR8" s="222"/>
      <c r="UAS8" s="222"/>
      <c r="UAT8" s="222"/>
      <c r="UAU8" s="222"/>
      <c r="UAV8" s="222"/>
      <c r="UAW8" s="222"/>
      <c r="UAX8" s="222"/>
      <c r="UAY8" s="222"/>
      <c r="UAZ8" s="222"/>
      <c r="UBA8" s="222"/>
      <c r="UBB8" s="222"/>
      <c r="UBC8" s="222"/>
      <c r="UBD8" s="222"/>
      <c r="UBE8" s="222"/>
      <c r="UBF8" s="222"/>
      <c r="UBG8" s="222"/>
      <c r="UBH8" s="222"/>
      <c r="UBI8" s="222"/>
      <c r="UBJ8" s="222"/>
      <c r="UBK8" s="222"/>
      <c r="UBL8" s="222"/>
      <c r="UBM8" s="222"/>
      <c r="UBN8" s="222"/>
      <c r="UBO8" s="222"/>
      <c r="UBP8" s="222"/>
      <c r="UBQ8" s="222"/>
      <c r="UBR8" s="222"/>
      <c r="UBS8" s="222"/>
      <c r="UBT8" s="222"/>
      <c r="UBU8" s="222"/>
      <c r="UBV8" s="222"/>
      <c r="UBW8" s="222"/>
      <c r="UBX8" s="222"/>
      <c r="UBY8" s="222"/>
      <c r="UBZ8" s="222"/>
      <c r="UCA8" s="222"/>
      <c r="UCB8" s="222"/>
      <c r="UCC8" s="222"/>
      <c r="UCD8" s="222"/>
      <c r="UCE8" s="222"/>
      <c r="UCF8" s="222"/>
      <c r="UCG8" s="222"/>
      <c r="UCH8" s="222"/>
      <c r="UCI8" s="222"/>
      <c r="UCJ8" s="222"/>
      <c r="UCK8" s="222"/>
      <c r="UCL8" s="222"/>
      <c r="UCM8" s="222"/>
      <c r="UCN8" s="222"/>
      <c r="UCO8" s="222"/>
      <c r="UCP8" s="222"/>
      <c r="UCQ8" s="222"/>
      <c r="UCR8" s="222"/>
      <c r="UCS8" s="222"/>
      <c r="UCT8" s="222"/>
      <c r="UCU8" s="222"/>
      <c r="UCV8" s="222"/>
      <c r="UCW8" s="222"/>
      <c r="UCX8" s="222"/>
      <c r="UCY8" s="222"/>
      <c r="UCZ8" s="222"/>
      <c r="UDA8" s="222"/>
      <c r="UDB8" s="222"/>
      <c r="UDC8" s="222"/>
      <c r="UDD8" s="222"/>
      <c r="UDE8" s="222"/>
      <c r="UDF8" s="222"/>
      <c r="UDG8" s="222"/>
      <c r="UDH8" s="222"/>
      <c r="UDI8" s="222"/>
      <c r="UDJ8" s="222"/>
      <c r="UDK8" s="222"/>
      <c r="UDL8" s="222"/>
      <c r="UDM8" s="222"/>
      <c r="UDN8" s="222"/>
      <c r="UDO8" s="222"/>
      <c r="UDP8" s="222"/>
      <c r="UDQ8" s="222"/>
      <c r="UDR8" s="222"/>
      <c r="UDS8" s="222"/>
      <c r="UDT8" s="222"/>
      <c r="UDU8" s="222"/>
      <c r="UDV8" s="222"/>
      <c r="UDW8" s="222"/>
      <c r="UDX8" s="222"/>
      <c r="UDY8" s="222"/>
      <c r="UDZ8" s="222"/>
      <c r="UEA8" s="222"/>
      <c r="UEB8" s="222"/>
      <c r="UEC8" s="222"/>
      <c r="UED8" s="222"/>
      <c r="UEE8" s="222"/>
      <c r="UEF8" s="222"/>
      <c r="UEG8" s="222"/>
      <c r="UEH8" s="222"/>
      <c r="UEI8" s="222"/>
      <c r="UEJ8" s="222"/>
      <c r="UEK8" s="222"/>
      <c r="UEL8" s="222"/>
      <c r="UEM8" s="222"/>
      <c r="UEN8" s="222"/>
      <c r="UEO8" s="222"/>
      <c r="UEP8" s="222"/>
      <c r="UEQ8" s="222"/>
      <c r="UER8" s="222"/>
      <c r="UES8" s="222"/>
      <c r="UET8" s="222"/>
      <c r="UEU8" s="222"/>
      <c r="UEV8" s="222"/>
      <c r="UEW8" s="222"/>
      <c r="UEX8" s="222"/>
      <c r="UEY8" s="222"/>
      <c r="UEZ8" s="222"/>
      <c r="UFA8" s="222"/>
      <c r="UFB8" s="222"/>
      <c r="UFC8" s="222"/>
      <c r="UFD8" s="222"/>
      <c r="UFE8" s="222"/>
      <c r="UFF8" s="222"/>
      <c r="UFG8" s="222"/>
      <c r="UFH8" s="222"/>
      <c r="UFI8" s="222"/>
      <c r="UFJ8" s="222"/>
      <c r="UFK8" s="222"/>
      <c r="UFL8" s="222"/>
      <c r="UFM8" s="222"/>
      <c r="UFN8" s="222"/>
      <c r="UFO8" s="222"/>
      <c r="UFP8" s="222"/>
      <c r="UFQ8" s="222"/>
      <c r="UFR8" s="222"/>
      <c r="UFS8" s="222"/>
      <c r="UFT8" s="222"/>
      <c r="UFU8" s="222"/>
      <c r="UFV8" s="222"/>
      <c r="UFW8" s="222"/>
      <c r="UFX8" s="222"/>
      <c r="UFY8" s="222"/>
      <c r="UFZ8" s="222"/>
      <c r="UGA8" s="222"/>
      <c r="UGB8" s="222"/>
      <c r="UGC8" s="222"/>
      <c r="UGD8" s="222"/>
      <c r="UGE8" s="222"/>
      <c r="UGF8" s="222"/>
      <c r="UGG8" s="222"/>
      <c r="UGH8" s="222"/>
      <c r="UGI8" s="222"/>
      <c r="UGJ8" s="222"/>
      <c r="UGK8" s="222"/>
      <c r="UGL8" s="222"/>
      <c r="UGM8" s="222"/>
      <c r="UGN8" s="222"/>
      <c r="UGO8" s="222"/>
      <c r="UGP8" s="222"/>
      <c r="UGQ8" s="222"/>
      <c r="UGR8" s="222"/>
      <c r="UGS8" s="222"/>
      <c r="UGT8" s="222"/>
      <c r="UGU8" s="222"/>
      <c r="UGV8" s="222"/>
      <c r="UGW8" s="222"/>
      <c r="UGX8" s="222"/>
      <c r="UGY8" s="222"/>
      <c r="UGZ8" s="222"/>
      <c r="UHA8" s="222"/>
      <c r="UHB8" s="222"/>
      <c r="UHC8" s="222"/>
      <c r="UHD8" s="222"/>
      <c r="UHE8" s="222"/>
      <c r="UHF8" s="222"/>
      <c r="UHG8" s="222"/>
      <c r="UHH8" s="222"/>
      <c r="UHI8" s="222"/>
      <c r="UHJ8" s="222"/>
      <c r="UHK8" s="222"/>
      <c r="UHL8" s="222"/>
      <c r="UHM8" s="222"/>
      <c r="UHN8" s="222"/>
      <c r="UHO8" s="222"/>
      <c r="UHP8" s="222"/>
      <c r="UHQ8" s="222"/>
      <c r="UHR8" s="222"/>
      <c r="UHS8" s="222"/>
      <c r="UHT8" s="222"/>
      <c r="UHU8" s="222"/>
      <c r="UHV8" s="222"/>
      <c r="UHW8" s="222"/>
      <c r="UHX8" s="222"/>
      <c r="UHY8" s="222"/>
      <c r="UHZ8" s="222"/>
      <c r="UIA8" s="222"/>
      <c r="UIB8" s="222"/>
      <c r="UIC8" s="222"/>
      <c r="UID8" s="222"/>
      <c r="UIE8" s="222"/>
      <c r="UIF8" s="222"/>
      <c r="UIG8" s="222"/>
      <c r="UIH8" s="222"/>
      <c r="UII8" s="222"/>
      <c r="UIJ8" s="222"/>
      <c r="UIK8" s="222"/>
      <c r="UIL8" s="222"/>
      <c r="UIM8" s="222"/>
      <c r="UIN8" s="222"/>
      <c r="UIO8" s="222"/>
      <c r="UIP8" s="222"/>
      <c r="UIQ8" s="222"/>
      <c r="UIR8" s="222"/>
      <c r="UIS8" s="222"/>
      <c r="UIT8" s="222"/>
      <c r="UIU8" s="222"/>
      <c r="UIV8" s="222"/>
      <c r="UIW8" s="222"/>
      <c r="UIX8" s="222"/>
      <c r="UIY8" s="222"/>
      <c r="UIZ8" s="222"/>
      <c r="UJA8" s="222"/>
      <c r="UJB8" s="222"/>
      <c r="UJC8" s="222"/>
      <c r="UJD8" s="222"/>
      <c r="UJE8" s="222"/>
      <c r="UJF8" s="222"/>
      <c r="UJG8" s="222"/>
      <c r="UJH8" s="222"/>
      <c r="UJI8" s="222"/>
      <c r="UJJ8" s="222"/>
      <c r="UJK8" s="222"/>
      <c r="UJL8" s="222"/>
      <c r="UJM8" s="222"/>
      <c r="UJN8" s="222"/>
      <c r="UJO8" s="222"/>
      <c r="UJP8" s="222"/>
      <c r="UJQ8" s="222"/>
      <c r="UJR8" s="222"/>
      <c r="UJS8" s="222"/>
      <c r="UJT8" s="222"/>
      <c r="UJU8" s="222"/>
      <c r="UJV8" s="222"/>
      <c r="UJW8" s="222"/>
      <c r="UJX8" s="222"/>
      <c r="UJY8" s="222"/>
      <c r="UJZ8" s="222"/>
      <c r="UKA8" s="222"/>
      <c r="UKB8" s="222"/>
      <c r="UKC8" s="222"/>
      <c r="UKD8" s="222"/>
      <c r="UKE8" s="222"/>
      <c r="UKF8" s="222"/>
      <c r="UKG8" s="222"/>
      <c r="UKH8" s="222"/>
      <c r="UKI8" s="222"/>
      <c r="UKJ8" s="222"/>
      <c r="UKK8" s="222"/>
      <c r="UKL8" s="222"/>
      <c r="UKM8" s="222"/>
      <c r="UKN8" s="222"/>
      <c r="UKO8" s="222"/>
      <c r="UKP8" s="222"/>
      <c r="UKQ8" s="222"/>
      <c r="UKR8" s="222"/>
      <c r="UKS8" s="222"/>
      <c r="UKT8" s="222"/>
      <c r="UKU8" s="222"/>
      <c r="UKV8" s="222"/>
      <c r="UKW8" s="222"/>
      <c r="UKX8" s="222"/>
      <c r="UKY8" s="222"/>
      <c r="UKZ8" s="222"/>
      <c r="ULA8" s="222"/>
      <c r="ULB8" s="222"/>
      <c r="ULC8" s="222"/>
      <c r="ULD8" s="222"/>
      <c r="ULE8" s="222"/>
      <c r="ULF8" s="222"/>
      <c r="ULG8" s="222"/>
      <c r="ULH8" s="222"/>
      <c r="ULI8" s="222"/>
      <c r="ULJ8" s="222"/>
      <c r="ULK8" s="222"/>
      <c r="ULL8" s="222"/>
      <c r="ULM8" s="222"/>
      <c r="ULN8" s="222"/>
      <c r="ULO8" s="222"/>
      <c r="ULP8" s="222"/>
      <c r="ULQ8" s="222"/>
      <c r="ULR8" s="222"/>
      <c r="ULS8" s="222"/>
      <c r="ULT8" s="222"/>
      <c r="ULU8" s="222"/>
      <c r="ULV8" s="222"/>
      <c r="ULW8" s="222"/>
      <c r="ULX8" s="222"/>
      <c r="ULY8" s="222"/>
      <c r="ULZ8" s="222"/>
      <c r="UMA8" s="222"/>
      <c r="UMB8" s="222"/>
      <c r="UMC8" s="222"/>
      <c r="UMD8" s="222"/>
      <c r="UME8" s="222"/>
      <c r="UMF8" s="222"/>
      <c r="UMG8" s="222"/>
      <c r="UMH8" s="222"/>
      <c r="UMI8" s="222"/>
      <c r="UMJ8" s="222"/>
      <c r="UMK8" s="222"/>
      <c r="UML8" s="222"/>
      <c r="UMM8" s="222"/>
      <c r="UMN8" s="222"/>
      <c r="UMO8" s="222"/>
      <c r="UMP8" s="222"/>
      <c r="UMQ8" s="222"/>
      <c r="UMR8" s="222"/>
      <c r="UMS8" s="222"/>
      <c r="UMT8" s="222"/>
      <c r="UMU8" s="222"/>
      <c r="UMV8" s="222"/>
      <c r="UMW8" s="222"/>
      <c r="UMX8" s="222"/>
      <c r="UMY8" s="222"/>
      <c r="UMZ8" s="222"/>
      <c r="UNA8" s="222"/>
      <c r="UNB8" s="222"/>
      <c r="UNC8" s="222"/>
      <c r="UND8" s="222"/>
      <c r="UNE8" s="222"/>
      <c r="UNF8" s="222"/>
      <c r="UNG8" s="222"/>
      <c r="UNH8" s="222"/>
      <c r="UNI8" s="222"/>
      <c r="UNJ8" s="222"/>
      <c r="UNK8" s="222"/>
      <c r="UNL8" s="222"/>
      <c r="UNM8" s="222"/>
      <c r="UNN8" s="222"/>
      <c r="UNO8" s="222"/>
      <c r="UNP8" s="222"/>
      <c r="UNQ8" s="222"/>
      <c r="UNR8" s="222"/>
      <c r="UNS8" s="222"/>
      <c r="UNT8" s="222"/>
      <c r="UNU8" s="222"/>
      <c r="UNV8" s="222"/>
      <c r="UNW8" s="222"/>
      <c r="UNX8" s="222"/>
      <c r="UNY8" s="222"/>
      <c r="UNZ8" s="222"/>
      <c r="UOA8" s="222"/>
      <c r="UOB8" s="222"/>
      <c r="UOC8" s="222"/>
      <c r="UOD8" s="222"/>
      <c r="UOE8" s="222"/>
      <c r="UOF8" s="222"/>
      <c r="UOG8" s="222"/>
      <c r="UOH8" s="222"/>
      <c r="UOI8" s="222"/>
      <c r="UOJ8" s="222"/>
      <c r="UOK8" s="222"/>
      <c r="UOL8" s="222"/>
      <c r="UOM8" s="222"/>
      <c r="UON8" s="222"/>
      <c r="UOO8" s="222"/>
      <c r="UOP8" s="222"/>
      <c r="UOQ8" s="222"/>
      <c r="UOR8" s="222"/>
      <c r="UOS8" s="222"/>
      <c r="UOT8" s="222"/>
      <c r="UOU8" s="222"/>
      <c r="UOV8" s="222"/>
      <c r="UOW8" s="222"/>
      <c r="UOX8" s="222"/>
      <c r="UOY8" s="222"/>
      <c r="UOZ8" s="222"/>
      <c r="UPA8" s="222"/>
      <c r="UPB8" s="222"/>
      <c r="UPC8" s="222"/>
      <c r="UPD8" s="222"/>
      <c r="UPE8" s="222"/>
      <c r="UPF8" s="222"/>
      <c r="UPG8" s="222"/>
      <c r="UPH8" s="222"/>
      <c r="UPI8" s="222"/>
      <c r="UPJ8" s="222"/>
      <c r="UPK8" s="222"/>
      <c r="UPL8" s="222"/>
      <c r="UPM8" s="222"/>
      <c r="UPN8" s="222"/>
      <c r="UPO8" s="222"/>
      <c r="UPP8" s="222"/>
      <c r="UPQ8" s="222"/>
      <c r="UPR8" s="222"/>
      <c r="UPS8" s="222"/>
      <c r="UPT8" s="222"/>
      <c r="UPU8" s="222"/>
      <c r="UPV8" s="222"/>
      <c r="UPW8" s="222"/>
      <c r="UPX8" s="222"/>
      <c r="UPY8" s="222"/>
      <c r="UPZ8" s="222"/>
      <c r="UQA8" s="222"/>
      <c r="UQB8" s="222"/>
      <c r="UQC8" s="222"/>
      <c r="UQD8" s="222"/>
      <c r="UQE8" s="222"/>
      <c r="UQF8" s="222"/>
      <c r="UQG8" s="222"/>
      <c r="UQH8" s="222"/>
      <c r="UQI8" s="222"/>
      <c r="UQJ8" s="222"/>
      <c r="UQK8" s="222"/>
      <c r="UQL8" s="222"/>
      <c r="UQM8" s="222"/>
      <c r="UQN8" s="222"/>
      <c r="UQO8" s="222"/>
      <c r="UQP8" s="222"/>
      <c r="UQQ8" s="222"/>
      <c r="UQR8" s="222"/>
      <c r="UQS8" s="222"/>
      <c r="UQT8" s="222"/>
      <c r="UQU8" s="222"/>
      <c r="UQV8" s="222"/>
      <c r="UQW8" s="222"/>
      <c r="UQX8" s="222"/>
      <c r="UQY8" s="222"/>
      <c r="UQZ8" s="222"/>
      <c r="URA8" s="222"/>
      <c r="URB8" s="222"/>
      <c r="URC8" s="222"/>
      <c r="URD8" s="222"/>
      <c r="URE8" s="222"/>
      <c r="URF8" s="222"/>
      <c r="URG8" s="222"/>
      <c r="URH8" s="222"/>
      <c r="URI8" s="222"/>
      <c r="URJ8" s="222"/>
      <c r="URK8" s="222"/>
      <c r="URL8" s="222"/>
      <c r="URM8" s="222"/>
      <c r="URN8" s="222"/>
      <c r="URO8" s="222"/>
      <c r="URP8" s="222"/>
      <c r="URQ8" s="222"/>
      <c r="URR8" s="222"/>
      <c r="URS8" s="222"/>
      <c r="URT8" s="222"/>
      <c r="URU8" s="222"/>
      <c r="URV8" s="222"/>
      <c r="URW8" s="222"/>
      <c r="URX8" s="222"/>
      <c r="URY8" s="222"/>
      <c r="URZ8" s="222"/>
      <c r="USA8" s="222"/>
      <c r="USB8" s="222"/>
      <c r="USC8" s="222"/>
      <c r="USD8" s="222"/>
      <c r="USE8" s="222"/>
      <c r="USF8" s="222"/>
      <c r="USG8" s="222"/>
      <c r="USH8" s="222"/>
      <c r="USI8" s="222"/>
      <c r="USJ8" s="222"/>
      <c r="USK8" s="222"/>
      <c r="USL8" s="222"/>
      <c r="USM8" s="222"/>
      <c r="USN8" s="222"/>
      <c r="USO8" s="222"/>
      <c r="USP8" s="222"/>
      <c r="USQ8" s="222"/>
      <c r="USR8" s="222"/>
      <c r="USS8" s="222"/>
      <c r="UST8" s="222"/>
      <c r="USU8" s="222"/>
      <c r="USV8" s="222"/>
      <c r="USW8" s="222"/>
      <c r="USX8" s="222"/>
      <c r="USY8" s="222"/>
      <c r="USZ8" s="222"/>
      <c r="UTA8" s="222"/>
      <c r="UTB8" s="222"/>
      <c r="UTC8" s="222"/>
      <c r="UTD8" s="222"/>
      <c r="UTE8" s="222"/>
      <c r="UTF8" s="222"/>
      <c r="UTG8" s="222"/>
      <c r="UTH8" s="222"/>
      <c r="UTI8" s="222"/>
      <c r="UTJ8" s="222"/>
      <c r="UTK8" s="222"/>
      <c r="UTL8" s="222"/>
      <c r="UTM8" s="222"/>
      <c r="UTN8" s="222"/>
      <c r="UTO8" s="222"/>
      <c r="UTP8" s="222"/>
      <c r="UTQ8" s="222"/>
      <c r="UTR8" s="222"/>
      <c r="UTS8" s="222"/>
      <c r="UTT8" s="222"/>
      <c r="UTU8" s="222"/>
      <c r="UTV8" s="222"/>
      <c r="UTW8" s="222"/>
      <c r="UTX8" s="222"/>
      <c r="UTY8" s="222"/>
      <c r="UTZ8" s="222"/>
      <c r="UUA8" s="222"/>
      <c r="UUB8" s="222"/>
      <c r="UUC8" s="222"/>
      <c r="UUD8" s="222"/>
      <c r="UUE8" s="222"/>
      <c r="UUF8" s="222"/>
      <c r="UUG8" s="222"/>
      <c r="UUH8" s="222"/>
      <c r="UUI8" s="222"/>
      <c r="UUJ8" s="222"/>
      <c r="UUK8" s="222"/>
      <c r="UUL8" s="222"/>
      <c r="UUM8" s="222"/>
      <c r="UUN8" s="222"/>
      <c r="UUO8" s="222"/>
      <c r="UUP8" s="222"/>
      <c r="UUQ8" s="222"/>
      <c r="UUR8" s="222"/>
      <c r="UUS8" s="222"/>
      <c r="UUT8" s="222"/>
      <c r="UUU8" s="222"/>
      <c r="UUV8" s="222"/>
      <c r="UUW8" s="222"/>
      <c r="UUX8" s="222"/>
      <c r="UUY8" s="222"/>
      <c r="UUZ8" s="222"/>
      <c r="UVA8" s="222"/>
      <c r="UVB8" s="222"/>
      <c r="UVC8" s="222"/>
      <c r="UVD8" s="222"/>
      <c r="UVE8" s="222"/>
      <c r="UVF8" s="222"/>
      <c r="UVG8" s="222"/>
      <c r="UVH8" s="222"/>
      <c r="UVI8" s="222"/>
      <c r="UVJ8" s="222"/>
      <c r="UVK8" s="222"/>
      <c r="UVL8" s="222"/>
      <c r="UVM8" s="222"/>
      <c r="UVN8" s="222"/>
      <c r="UVO8" s="222"/>
      <c r="UVP8" s="222"/>
      <c r="UVQ8" s="222"/>
      <c r="UVR8" s="222"/>
      <c r="UVS8" s="222"/>
      <c r="UVT8" s="222"/>
      <c r="UVU8" s="222"/>
      <c r="UVV8" s="222"/>
      <c r="UVW8" s="222"/>
      <c r="UVX8" s="222"/>
      <c r="UVY8" s="222"/>
      <c r="UVZ8" s="222"/>
      <c r="UWA8" s="222"/>
      <c r="UWB8" s="222"/>
      <c r="UWC8" s="222"/>
      <c r="UWD8" s="222"/>
      <c r="UWE8" s="222"/>
      <c r="UWF8" s="222"/>
      <c r="UWG8" s="222"/>
      <c r="UWH8" s="222"/>
      <c r="UWI8" s="222"/>
      <c r="UWJ8" s="222"/>
      <c r="UWK8" s="222"/>
      <c r="UWL8" s="222"/>
      <c r="UWM8" s="222"/>
      <c r="UWN8" s="222"/>
      <c r="UWO8" s="222"/>
      <c r="UWP8" s="222"/>
      <c r="UWQ8" s="222"/>
      <c r="UWR8" s="222"/>
      <c r="UWS8" s="222"/>
      <c r="UWT8" s="222"/>
      <c r="UWU8" s="222"/>
      <c r="UWV8" s="222"/>
      <c r="UWW8" s="222"/>
      <c r="UWX8" s="222"/>
      <c r="UWY8" s="222"/>
      <c r="UWZ8" s="222"/>
      <c r="UXA8" s="222"/>
      <c r="UXB8" s="222"/>
      <c r="UXC8" s="222"/>
      <c r="UXD8" s="222"/>
      <c r="UXE8" s="222"/>
      <c r="UXF8" s="222"/>
      <c r="UXG8" s="222"/>
      <c r="UXH8" s="222"/>
      <c r="UXI8" s="222"/>
      <c r="UXJ8" s="222"/>
      <c r="UXK8" s="222"/>
      <c r="UXL8" s="222"/>
      <c r="UXM8" s="222"/>
      <c r="UXN8" s="222"/>
      <c r="UXO8" s="222"/>
      <c r="UXP8" s="222"/>
      <c r="UXQ8" s="222"/>
      <c r="UXR8" s="222"/>
      <c r="UXS8" s="222"/>
      <c r="UXT8" s="222"/>
      <c r="UXU8" s="222"/>
      <c r="UXV8" s="222"/>
      <c r="UXW8" s="222"/>
      <c r="UXX8" s="222"/>
      <c r="UXY8" s="222"/>
      <c r="UXZ8" s="222"/>
      <c r="UYA8" s="222"/>
      <c r="UYB8" s="222"/>
      <c r="UYC8" s="222"/>
      <c r="UYD8" s="222"/>
      <c r="UYE8" s="222"/>
      <c r="UYF8" s="222"/>
      <c r="UYG8" s="222"/>
      <c r="UYH8" s="222"/>
      <c r="UYI8" s="222"/>
      <c r="UYJ8" s="222"/>
      <c r="UYK8" s="222"/>
      <c r="UYL8" s="222"/>
      <c r="UYM8" s="222"/>
      <c r="UYN8" s="222"/>
      <c r="UYO8" s="222"/>
      <c r="UYP8" s="222"/>
      <c r="UYQ8" s="222"/>
      <c r="UYR8" s="222"/>
      <c r="UYS8" s="222"/>
      <c r="UYT8" s="222"/>
      <c r="UYU8" s="222"/>
      <c r="UYV8" s="222"/>
      <c r="UYW8" s="222"/>
      <c r="UYX8" s="222"/>
      <c r="UYY8" s="222"/>
      <c r="UYZ8" s="222"/>
      <c r="UZA8" s="222"/>
      <c r="UZB8" s="222"/>
      <c r="UZC8" s="222"/>
      <c r="UZD8" s="222"/>
      <c r="UZE8" s="222"/>
      <c r="UZF8" s="222"/>
      <c r="UZG8" s="222"/>
      <c r="UZH8" s="222"/>
      <c r="UZI8" s="222"/>
      <c r="UZJ8" s="222"/>
      <c r="UZK8" s="222"/>
      <c r="UZL8" s="222"/>
      <c r="UZM8" s="222"/>
      <c r="UZN8" s="222"/>
      <c r="UZO8" s="222"/>
      <c r="UZP8" s="222"/>
      <c r="UZQ8" s="222"/>
      <c r="UZR8" s="222"/>
      <c r="UZS8" s="222"/>
      <c r="UZT8" s="222"/>
      <c r="UZU8" s="222"/>
      <c r="UZV8" s="222"/>
      <c r="UZW8" s="222"/>
      <c r="UZX8" s="222"/>
      <c r="UZY8" s="222"/>
      <c r="UZZ8" s="222"/>
      <c r="VAA8" s="222"/>
      <c r="VAB8" s="222"/>
      <c r="VAC8" s="222"/>
      <c r="VAD8" s="222"/>
      <c r="VAE8" s="222"/>
      <c r="VAF8" s="222"/>
      <c r="VAG8" s="222"/>
      <c r="VAH8" s="222"/>
      <c r="VAI8" s="222"/>
      <c r="VAJ8" s="222"/>
      <c r="VAK8" s="222"/>
      <c r="VAL8" s="222"/>
      <c r="VAM8" s="222"/>
      <c r="VAN8" s="222"/>
      <c r="VAO8" s="222"/>
      <c r="VAP8" s="222"/>
      <c r="VAQ8" s="222"/>
      <c r="VAR8" s="222"/>
      <c r="VAS8" s="222"/>
      <c r="VAT8" s="222"/>
      <c r="VAU8" s="222"/>
      <c r="VAV8" s="222"/>
      <c r="VAW8" s="222"/>
      <c r="VAX8" s="222"/>
      <c r="VAY8" s="222"/>
      <c r="VAZ8" s="222"/>
      <c r="VBA8" s="222"/>
      <c r="VBB8" s="222"/>
      <c r="VBC8" s="222"/>
      <c r="VBD8" s="222"/>
      <c r="VBE8" s="222"/>
      <c r="VBF8" s="222"/>
      <c r="VBG8" s="222"/>
      <c r="VBH8" s="222"/>
      <c r="VBI8" s="222"/>
      <c r="VBJ8" s="222"/>
      <c r="VBK8" s="222"/>
      <c r="VBL8" s="222"/>
      <c r="VBM8" s="222"/>
      <c r="VBN8" s="222"/>
      <c r="VBO8" s="222"/>
      <c r="VBP8" s="222"/>
      <c r="VBQ8" s="222"/>
      <c r="VBR8" s="222"/>
      <c r="VBS8" s="222"/>
      <c r="VBT8" s="222"/>
      <c r="VBU8" s="222"/>
      <c r="VBV8" s="222"/>
      <c r="VBW8" s="222"/>
      <c r="VBX8" s="222"/>
      <c r="VBY8" s="222"/>
      <c r="VBZ8" s="222"/>
      <c r="VCA8" s="222"/>
      <c r="VCB8" s="222"/>
      <c r="VCC8" s="222"/>
      <c r="VCD8" s="222"/>
      <c r="VCE8" s="222"/>
      <c r="VCF8" s="222"/>
      <c r="VCG8" s="222"/>
      <c r="VCH8" s="222"/>
      <c r="VCI8" s="222"/>
      <c r="VCJ8" s="222"/>
      <c r="VCK8" s="222"/>
      <c r="VCL8" s="222"/>
      <c r="VCM8" s="222"/>
      <c r="VCN8" s="222"/>
      <c r="VCO8" s="222"/>
      <c r="VCP8" s="222"/>
      <c r="VCQ8" s="222"/>
      <c r="VCR8" s="222"/>
      <c r="VCS8" s="222"/>
      <c r="VCT8" s="222"/>
      <c r="VCU8" s="222"/>
      <c r="VCV8" s="222"/>
      <c r="VCW8" s="222"/>
      <c r="VCX8" s="222"/>
      <c r="VCY8" s="222"/>
      <c r="VCZ8" s="222"/>
      <c r="VDA8" s="222"/>
      <c r="VDB8" s="222"/>
      <c r="VDC8" s="222"/>
      <c r="VDD8" s="222"/>
      <c r="VDE8" s="222"/>
      <c r="VDF8" s="222"/>
      <c r="VDG8" s="222"/>
      <c r="VDH8" s="222"/>
      <c r="VDI8" s="222"/>
      <c r="VDJ8" s="222"/>
      <c r="VDK8" s="222"/>
      <c r="VDL8" s="222"/>
      <c r="VDM8" s="222"/>
      <c r="VDN8" s="222"/>
      <c r="VDO8" s="222"/>
      <c r="VDP8" s="222"/>
      <c r="VDQ8" s="222"/>
      <c r="VDR8" s="222"/>
      <c r="VDS8" s="222"/>
      <c r="VDT8" s="222"/>
      <c r="VDU8" s="222"/>
      <c r="VDV8" s="222"/>
      <c r="VDW8" s="222"/>
      <c r="VDX8" s="222"/>
      <c r="VDY8" s="222"/>
      <c r="VDZ8" s="222"/>
      <c r="VEA8" s="222"/>
      <c r="VEB8" s="222"/>
      <c r="VEC8" s="222"/>
      <c r="VED8" s="222"/>
      <c r="VEE8" s="222"/>
      <c r="VEF8" s="222"/>
      <c r="VEG8" s="222"/>
      <c r="VEH8" s="222"/>
      <c r="VEI8" s="222"/>
      <c r="VEJ8" s="222"/>
      <c r="VEK8" s="222"/>
      <c r="VEL8" s="222"/>
      <c r="VEM8" s="222"/>
      <c r="VEN8" s="222"/>
      <c r="VEO8" s="222"/>
      <c r="VEP8" s="222"/>
      <c r="VEQ8" s="222"/>
      <c r="VER8" s="222"/>
      <c r="VES8" s="222"/>
      <c r="VET8" s="222"/>
      <c r="VEU8" s="222"/>
      <c r="VEV8" s="222"/>
      <c r="VEW8" s="222"/>
      <c r="VEX8" s="222"/>
      <c r="VEY8" s="222"/>
      <c r="VEZ8" s="222"/>
      <c r="VFA8" s="222"/>
      <c r="VFB8" s="222"/>
      <c r="VFC8" s="222"/>
      <c r="VFD8" s="222"/>
      <c r="VFE8" s="222"/>
      <c r="VFF8" s="222"/>
      <c r="VFG8" s="222"/>
      <c r="VFH8" s="222"/>
      <c r="VFI8" s="222"/>
      <c r="VFJ8" s="222"/>
      <c r="VFK8" s="222"/>
      <c r="VFL8" s="222"/>
      <c r="VFM8" s="222"/>
      <c r="VFN8" s="222"/>
      <c r="VFO8" s="222"/>
      <c r="VFP8" s="222"/>
      <c r="VFQ8" s="222"/>
      <c r="VFR8" s="222"/>
      <c r="VFS8" s="222"/>
      <c r="VFT8" s="222"/>
      <c r="VFU8" s="222"/>
      <c r="VFV8" s="222"/>
      <c r="VFW8" s="222"/>
      <c r="VFX8" s="222"/>
      <c r="VFY8" s="222"/>
      <c r="VFZ8" s="222"/>
      <c r="VGA8" s="222"/>
      <c r="VGB8" s="222"/>
      <c r="VGC8" s="222"/>
      <c r="VGD8" s="222"/>
      <c r="VGE8" s="222"/>
      <c r="VGF8" s="222"/>
      <c r="VGG8" s="222"/>
      <c r="VGH8" s="222"/>
      <c r="VGI8" s="222"/>
      <c r="VGJ8" s="222"/>
      <c r="VGK8" s="222"/>
      <c r="VGL8" s="222"/>
      <c r="VGM8" s="222"/>
      <c r="VGN8" s="222"/>
      <c r="VGO8" s="222"/>
      <c r="VGP8" s="222"/>
      <c r="VGQ8" s="222"/>
      <c r="VGR8" s="222"/>
      <c r="VGS8" s="222"/>
      <c r="VGT8" s="222"/>
      <c r="VGU8" s="222"/>
      <c r="VGV8" s="222"/>
      <c r="VGW8" s="222"/>
      <c r="VGX8" s="222"/>
      <c r="VGY8" s="222"/>
      <c r="VGZ8" s="222"/>
      <c r="VHA8" s="222"/>
      <c r="VHB8" s="222"/>
      <c r="VHC8" s="222"/>
      <c r="VHD8" s="222"/>
      <c r="VHE8" s="222"/>
      <c r="VHF8" s="222"/>
      <c r="VHG8" s="222"/>
      <c r="VHH8" s="222"/>
      <c r="VHI8" s="222"/>
      <c r="VHJ8" s="222"/>
      <c r="VHK8" s="222"/>
      <c r="VHL8" s="222"/>
      <c r="VHM8" s="222"/>
      <c r="VHN8" s="222"/>
      <c r="VHO8" s="222"/>
      <c r="VHP8" s="222"/>
      <c r="VHQ8" s="222"/>
      <c r="VHR8" s="222"/>
      <c r="VHS8" s="222"/>
      <c r="VHT8" s="222"/>
      <c r="VHU8" s="222"/>
      <c r="VHV8" s="222"/>
      <c r="VHW8" s="222"/>
      <c r="VHX8" s="222"/>
      <c r="VHY8" s="222"/>
      <c r="VHZ8" s="222"/>
      <c r="VIA8" s="222"/>
      <c r="VIB8" s="222"/>
      <c r="VIC8" s="222"/>
      <c r="VID8" s="222"/>
      <c r="VIE8" s="222"/>
      <c r="VIF8" s="222"/>
      <c r="VIG8" s="222"/>
      <c r="VIH8" s="222"/>
      <c r="VII8" s="222"/>
      <c r="VIJ8" s="222"/>
      <c r="VIK8" s="222"/>
      <c r="VIL8" s="222"/>
      <c r="VIM8" s="222"/>
      <c r="VIN8" s="222"/>
      <c r="VIO8" s="222"/>
      <c r="VIP8" s="222"/>
      <c r="VIQ8" s="222"/>
      <c r="VIR8" s="222"/>
      <c r="VIS8" s="222"/>
      <c r="VIT8" s="222"/>
      <c r="VIU8" s="222"/>
      <c r="VIV8" s="222"/>
      <c r="VIW8" s="222"/>
      <c r="VIX8" s="222"/>
      <c r="VIY8" s="222"/>
      <c r="VIZ8" s="222"/>
      <c r="VJA8" s="222"/>
      <c r="VJB8" s="222"/>
      <c r="VJC8" s="222"/>
      <c r="VJD8" s="222"/>
      <c r="VJE8" s="222"/>
      <c r="VJF8" s="222"/>
      <c r="VJG8" s="222"/>
      <c r="VJH8" s="222"/>
      <c r="VJI8" s="222"/>
      <c r="VJJ8" s="222"/>
      <c r="VJK8" s="222"/>
      <c r="VJL8" s="222"/>
      <c r="VJM8" s="222"/>
      <c r="VJN8" s="222"/>
      <c r="VJO8" s="222"/>
      <c r="VJP8" s="222"/>
      <c r="VJQ8" s="222"/>
      <c r="VJR8" s="222"/>
      <c r="VJS8" s="222"/>
      <c r="VJT8" s="222"/>
      <c r="VJU8" s="222"/>
      <c r="VJV8" s="222"/>
      <c r="VJW8" s="222"/>
      <c r="VJX8" s="222"/>
      <c r="VJY8" s="222"/>
      <c r="VJZ8" s="222"/>
      <c r="VKA8" s="222"/>
      <c r="VKB8" s="222"/>
      <c r="VKC8" s="222"/>
      <c r="VKD8" s="222"/>
      <c r="VKE8" s="222"/>
      <c r="VKF8" s="222"/>
      <c r="VKG8" s="222"/>
      <c r="VKH8" s="222"/>
      <c r="VKI8" s="222"/>
      <c r="VKJ8" s="222"/>
      <c r="VKK8" s="222"/>
      <c r="VKL8" s="222"/>
      <c r="VKM8" s="222"/>
      <c r="VKN8" s="222"/>
      <c r="VKO8" s="222"/>
      <c r="VKP8" s="222"/>
      <c r="VKQ8" s="222"/>
      <c r="VKR8" s="222"/>
      <c r="VKS8" s="222"/>
      <c r="VKT8" s="222"/>
      <c r="VKU8" s="222"/>
      <c r="VKV8" s="222"/>
      <c r="VKW8" s="222"/>
      <c r="VKX8" s="222"/>
      <c r="VKY8" s="222"/>
      <c r="VKZ8" s="222"/>
      <c r="VLA8" s="222"/>
      <c r="VLB8" s="222"/>
      <c r="VLC8" s="222"/>
      <c r="VLD8" s="222"/>
      <c r="VLE8" s="222"/>
      <c r="VLF8" s="222"/>
      <c r="VLG8" s="222"/>
      <c r="VLH8" s="222"/>
      <c r="VLI8" s="222"/>
      <c r="VLJ8" s="222"/>
      <c r="VLK8" s="222"/>
      <c r="VLL8" s="222"/>
      <c r="VLM8" s="222"/>
      <c r="VLN8" s="222"/>
      <c r="VLO8" s="222"/>
      <c r="VLP8" s="222"/>
      <c r="VLQ8" s="222"/>
      <c r="VLR8" s="222"/>
      <c r="VLS8" s="222"/>
      <c r="VLT8" s="222"/>
      <c r="VLU8" s="222"/>
      <c r="VLV8" s="222"/>
      <c r="VLW8" s="222"/>
      <c r="VLX8" s="222"/>
      <c r="VLY8" s="222"/>
      <c r="VLZ8" s="222"/>
      <c r="VMA8" s="222"/>
      <c r="VMB8" s="222"/>
      <c r="VMC8" s="222"/>
      <c r="VMD8" s="222"/>
      <c r="VME8" s="222"/>
      <c r="VMF8" s="222"/>
      <c r="VMG8" s="222"/>
      <c r="VMH8" s="222"/>
      <c r="VMI8" s="222"/>
      <c r="VMJ8" s="222"/>
      <c r="VMK8" s="222"/>
      <c r="VML8" s="222"/>
      <c r="VMM8" s="222"/>
      <c r="VMN8" s="222"/>
      <c r="VMO8" s="222"/>
      <c r="VMP8" s="222"/>
      <c r="VMQ8" s="222"/>
      <c r="VMR8" s="222"/>
      <c r="VMS8" s="222"/>
      <c r="VMT8" s="222"/>
      <c r="VMU8" s="222"/>
      <c r="VMV8" s="222"/>
      <c r="VMW8" s="222"/>
      <c r="VMX8" s="222"/>
      <c r="VMY8" s="222"/>
      <c r="VMZ8" s="222"/>
      <c r="VNA8" s="222"/>
      <c r="VNB8" s="222"/>
      <c r="VNC8" s="222"/>
      <c r="VND8" s="222"/>
      <c r="VNE8" s="222"/>
      <c r="VNF8" s="222"/>
      <c r="VNG8" s="222"/>
      <c r="VNH8" s="222"/>
      <c r="VNI8" s="222"/>
      <c r="VNJ8" s="222"/>
      <c r="VNK8" s="222"/>
      <c r="VNL8" s="222"/>
      <c r="VNM8" s="222"/>
      <c r="VNN8" s="222"/>
      <c r="VNO8" s="222"/>
      <c r="VNP8" s="222"/>
      <c r="VNQ8" s="222"/>
      <c r="VNR8" s="222"/>
      <c r="VNS8" s="222"/>
      <c r="VNT8" s="222"/>
      <c r="VNU8" s="222"/>
      <c r="VNV8" s="222"/>
      <c r="VNW8" s="222"/>
      <c r="VNX8" s="222"/>
      <c r="VNY8" s="222"/>
      <c r="VNZ8" s="222"/>
      <c r="VOA8" s="222"/>
      <c r="VOB8" s="222"/>
      <c r="VOC8" s="222"/>
      <c r="VOD8" s="222"/>
      <c r="VOE8" s="222"/>
      <c r="VOF8" s="222"/>
      <c r="VOG8" s="222"/>
      <c r="VOH8" s="222"/>
      <c r="VOI8" s="222"/>
      <c r="VOJ8" s="222"/>
      <c r="VOK8" s="222"/>
      <c r="VOL8" s="222"/>
      <c r="VOM8" s="222"/>
      <c r="VON8" s="222"/>
      <c r="VOO8" s="222"/>
      <c r="VOP8" s="222"/>
      <c r="VOQ8" s="222"/>
      <c r="VOR8" s="222"/>
      <c r="VOS8" s="222"/>
      <c r="VOT8" s="222"/>
      <c r="VOU8" s="222"/>
      <c r="VOV8" s="222"/>
      <c r="VOW8" s="222"/>
      <c r="VOX8" s="222"/>
      <c r="VOY8" s="222"/>
      <c r="VOZ8" s="222"/>
      <c r="VPA8" s="222"/>
      <c r="VPB8" s="222"/>
      <c r="VPC8" s="222"/>
      <c r="VPD8" s="222"/>
      <c r="VPE8" s="222"/>
      <c r="VPF8" s="222"/>
      <c r="VPG8" s="222"/>
      <c r="VPH8" s="222"/>
      <c r="VPI8" s="222"/>
      <c r="VPJ8" s="222"/>
      <c r="VPK8" s="222"/>
      <c r="VPL8" s="222"/>
      <c r="VPM8" s="222"/>
      <c r="VPN8" s="222"/>
      <c r="VPO8" s="222"/>
      <c r="VPP8" s="222"/>
      <c r="VPQ8" s="222"/>
      <c r="VPR8" s="222"/>
      <c r="VPS8" s="222"/>
      <c r="VPT8" s="222"/>
      <c r="VPU8" s="222"/>
      <c r="VPV8" s="222"/>
      <c r="VPW8" s="222"/>
      <c r="VPX8" s="222"/>
      <c r="VPY8" s="222"/>
      <c r="VPZ8" s="222"/>
      <c r="VQA8" s="222"/>
      <c r="VQB8" s="222"/>
      <c r="VQC8" s="222"/>
      <c r="VQD8" s="222"/>
      <c r="VQE8" s="222"/>
      <c r="VQF8" s="222"/>
      <c r="VQG8" s="222"/>
      <c r="VQH8" s="222"/>
      <c r="VQI8" s="222"/>
      <c r="VQJ8" s="222"/>
      <c r="VQK8" s="222"/>
      <c r="VQL8" s="222"/>
      <c r="VQM8" s="222"/>
      <c r="VQN8" s="222"/>
      <c r="VQO8" s="222"/>
      <c r="VQP8" s="222"/>
      <c r="VQQ8" s="222"/>
      <c r="VQR8" s="222"/>
      <c r="VQS8" s="222"/>
      <c r="VQT8" s="222"/>
      <c r="VQU8" s="222"/>
      <c r="VQV8" s="222"/>
      <c r="VQW8" s="222"/>
      <c r="VQX8" s="222"/>
      <c r="VQY8" s="222"/>
      <c r="VQZ8" s="222"/>
      <c r="VRA8" s="222"/>
      <c r="VRB8" s="222"/>
      <c r="VRC8" s="222"/>
      <c r="VRD8" s="222"/>
      <c r="VRE8" s="222"/>
      <c r="VRF8" s="222"/>
      <c r="VRG8" s="222"/>
      <c r="VRH8" s="222"/>
      <c r="VRI8" s="222"/>
      <c r="VRJ8" s="222"/>
      <c r="VRK8" s="222"/>
      <c r="VRL8" s="222"/>
      <c r="VRM8" s="222"/>
      <c r="VRN8" s="222"/>
      <c r="VRO8" s="222"/>
      <c r="VRP8" s="222"/>
      <c r="VRQ8" s="222"/>
      <c r="VRR8" s="222"/>
      <c r="VRS8" s="222"/>
      <c r="VRT8" s="222"/>
      <c r="VRU8" s="222"/>
      <c r="VRV8" s="222"/>
      <c r="VRW8" s="222"/>
      <c r="VRX8" s="222"/>
      <c r="VRY8" s="222"/>
      <c r="VRZ8" s="222"/>
      <c r="VSA8" s="222"/>
      <c r="VSB8" s="222"/>
      <c r="VSC8" s="222"/>
      <c r="VSD8" s="222"/>
      <c r="VSE8" s="222"/>
      <c r="VSF8" s="222"/>
      <c r="VSG8" s="222"/>
      <c r="VSH8" s="222"/>
      <c r="VSI8" s="222"/>
      <c r="VSJ8" s="222"/>
      <c r="VSK8" s="222"/>
      <c r="VSL8" s="222"/>
      <c r="VSM8" s="222"/>
      <c r="VSN8" s="222"/>
      <c r="VSO8" s="222"/>
      <c r="VSP8" s="222"/>
      <c r="VSQ8" s="222"/>
      <c r="VSR8" s="222"/>
      <c r="VSS8" s="222"/>
      <c r="VST8" s="222"/>
      <c r="VSU8" s="222"/>
      <c r="VSV8" s="222"/>
      <c r="VSW8" s="222"/>
      <c r="VSX8" s="222"/>
      <c r="VSY8" s="222"/>
      <c r="VSZ8" s="222"/>
      <c r="VTA8" s="222"/>
      <c r="VTB8" s="222"/>
      <c r="VTC8" s="222"/>
      <c r="VTD8" s="222"/>
      <c r="VTE8" s="222"/>
      <c r="VTF8" s="222"/>
      <c r="VTG8" s="222"/>
      <c r="VTH8" s="222"/>
      <c r="VTI8" s="222"/>
      <c r="VTJ8" s="222"/>
      <c r="VTK8" s="222"/>
      <c r="VTL8" s="222"/>
      <c r="VTM8" s="222"/>
      <c r="VTN8" s="222"/>
      <c r="VTO8" s="222"/>
      <c r="VTP8" s="222"/>
      <c r="VTQ8" s="222"/>
      <c r="VTR8" s="222"/>
      <c r="VTS8" s="222"/>
      <c r="VTT8" s="222"/>
      <c r="VTU8" s="222"/>
      <c r="VTV8" s="222"/>
      <c r="VTW8" s="222"/>
      <c r="VTX8" s="222"/>
      <c r="VTY8" s="222"/>
      <c r="VTZ8" s="222"/>
      <c r="VUA8" s="222"/>
      <c r="VUB8" s="222"/>
      <c r="VUC8" s="222"/>
      <c r="VUD8" s="222"/>
      <c r="VUE8" s="222"/>
      <c r="VUF8" s="222"/>
      <c r="VUG8" s="222"/>
      <c r="VUH8" s="222"/>
      <c r="VUI8" s="222"/>
      <c r="VUJ8" s="222"/>
      <c r="VUK8" s="222"/>
      <c r="VUL8" s="222"/>
      <c r="VUM8" s="222"/>
      <c r="VUN8" s="222"/>
      <c r="VUO8" s="222"/>
      <c r="VUP8" s="222"/>
      <c r="VUQ8" s="222"/>
      <c r="VUR8" s="222"/>
      <c r="VUS8" s="222"/>
      <c r="VUT8" s="222"/>
      <c r="VUU8" s="222"/>
      <c r="VUV8" s="222"/>
      <c r="VUW8" s="222"/>
      <c r="VUX8" s="222"/>
      <c r="VUY8" s="222"/>
      <c r="VUZ8" s="222"/>
      <c r="VVA8" s="222"/>
      <c r="VVB8" s="222"/>
      <c r="VVC8" s="222"/>
      <c r="VVD8" s="222"/>
      <c r="VVE8" s="222"/>
      <c r="VVF8" s="222"/>
      <c r="VVG8" s="222"/>
      <c r="VVH8" s="222"/>
      <c r="VVI8" s="222"/>
      <c r="VVJ8" s="222"/>
      <c r="VVK8" s="222"/>
      <c r="VVL8" s="222"/>
      <c r="VVM8" s="222"/>
      <c r="VVN8" s="222"/>
      <c r="VVO8" s="222"/>
      <c r="VVP8" s="222"/>
      <c r="VVQ8" s="222"/>
      <c r="VVR8" s="222"/>
      <c r="VVS8" s="222"/>
      <c r="VVT8" s="222"/>
      <c r="VVU8" s="222"/>
      <c r="VVV8" s="222"/>
      <c r="VVW8" s="222"/>
      <c r="VVX8" s="222"/>
      <c r="VVY8" s="222"/>
      <c r="VVZ8" s="222"/>
      <c r="VWA8" s="222"/>
      <c r="VWB8" s="222"/>
      <c r="VWC8" s="222"/>
      <c r="VWD8" s="222"/>
      <c r="VWE8" s="222"/>
      <c r="VWF8" s="222"/>
      <c r="VWG8" s="222"/>
      <c r="VWH8" s="222"/>
      <c r="VWI8" s="222"/>
      <c r="VWJ8" s="222"/>
      <c r="VWK8" s="222"/>
      <c r="VWL8" s="222"/>
      <c r="VWM8" s="222"/>
      <c r="VWN8" s="222"/>
      <c r="VWO8" s="222"/>
      <c r="VWP8" s="222"/>
      <c r="VWQ8" s="222"/>
      <c r="VWR8" s="222"/>
      <c r="VWS8" s="222"/>
      <c r="VWT8" s="222"/>
      <c r="VWU8" s="222"/>
      <c r="VWV8" s="222"/>
      <c r="VWW8" s="222"/>
      <c r="VWX8" s="222"/>
      <c r="VWY8" s="222"/>
      <c r="VWZ8" s="222"/>
      <c r="VXA8" s="222"/>
      <c r="VXB8" s="222"/>
      <c r="VXC8" s="222"/>
      <c r="VXD8" s="222"/>
      <c r="VXE8" s="222"/>
      <c r="VXF8" s="222"/>
      <c r="VXG8" s="222"/>
      <c r="VXH8" s="222"/>
      <c r="VXI8" s="222"/>
      <c r="VXJ8" s="222"/>
      <c r="VXK8" s="222"/>
      <c r="VXL8" s="222"/>
      <c r="VXM8" s="222"/>
      <c r="VXN8" s="222"/>
      <c r="VXO8" s="222"/>
      <c r="VXP8" s="222"/>
      <c r="VXQ8" s="222"/>
      <c r="VXR8" s="222"/>
      <c r="VXS8" s="222"/>
      <c r="VXT8" s="222"/>
      <c r="VXU8" s="222"/>
      <c r="VXV8" s="222"/>
      <c r="VXW8" s="222"/>
      <c r="VXX8" s="222"/>
      <c r="VXY8" s="222"/>
      <c r="VXZ8" s="222"/>
      <c r="VYA8" s="222"/>
      <c r="VYB8" s="222"/>
      <c r="VYC8" s="222"/>
      <c r="VYD8" s="222"/>
      <c r="VYE8" s="222"/>
      <c r="VYF8" s="222"/>
      <c r="VYG8" s="222"/>
      <c r="VYH8" s="222"/>
      <c r="VYI8" s="222"/>
      <c r="VYJ8" s="222"/>
      <c r="VYK8" s="222"/>
      <c r="VYL8" s="222"/>
      <c r="VYM8" s="222"/>
      <c r="VYN8" s="222"/>
      <c r="VYO8" s="222"/>
      <c r="VYP8" s="222"/>
      <c r="VYQ8" s="222"/>
      <c r="VYR8" s="222"/>
      <c r="VYS8" s="222"/>
      <c r="VYT8" s="222"/>
      <c r="VYU8" s="222"/>
      <c r="VYV8" s="222"/>
      <c r="VYW8" s="222"/>
      <c r="VYX8" s="222"/>
      <c r="VYY8" s="222"/>
      <c r="VYZ8" s="222"/>
      <c r="VZA8" s="222"/>
      <c r="VZB8" s="222"/>
      <c r="VZC8" s="222"/>
      <c r="VZD8" s="222"/>
      <c r="VZE8" s="222"/>
      <c r="VZF8" s="222"/>
      <c r="VZG8" s="222"/>
      <c r="VZH8" s="222"/>
      <c r="VZI8" s="222"/>
      <c r="VZJ8" s="222"/>
      <c r="VZK8" s="222"/>
      <c r="VZL8" s="222"/>
      <c r="VZM8" s="222"/>
      <c r="VZN8" s="222"/>
      <c r="VZO8" s="222"/>
      <c r="VZP8" s="222"/>
      <c r="VZQ8" s="222"/>
      <c r="VZR8" s="222"/>
      <c r="VZS8" s="222"/>
      <c r="VZT8" s="222"/>
      <c r="VZU8" s="222"/>
      <c r="VZV8" s="222"/>
      <c r="VZW8" s="222"/>
      <c r="VZX8" s="222"/>
      <c r="VZY8" s="222"/>
      <c r="VZZ8" s="222"/>
      <c r="WAA8" s="222"/>
      <c r="WAB8" s="222"/>
      <c r="WAC8" s="222"/>
      <c r="WAD8" s="222"/>
      <c r="WAE8" s="222"/>
      <c r="WAF8" s="222"/>
      <c r="WAG8" s="222"/>
      <c r="WAH8" s="222"/>
      <c r="WAI8" s="222"/>
      <c r="WAJ8" s="222"/>
      <c r="WAK8" s="222"/>
      <c r="WAL8" s="222"/>
      <c r="WAM8" s="222"/>
      <c r="WAN8" s="222"/>
      <c r="WAO8" s="222"/>
      <c r="WAP8" s="222"/>
      <c r="WAQ8" s="222"/>
      <c r="WAR8" s="222"/>
      <c r="WAS8" s="222"/>
      <c r="WAT8" s="222"/>
      <c r="WAU8" s="222"/>
      <c r="WAV8" s="222"/>
      <c r="WAW8" s="222"/>
      <c r="WAX8" s="222"/>
      <c r="WAY8" s="222"/>
      <c r="WAZ8" s="222"/>
      <c r="WBA8" s="222"/>
      <c r="WBB8" s="222"/>
      <c r="WBC8" s="222"/>
      <c r="WBD8" s="222"/>
      <c r="WBE8" s="222"/>
      <c r="WBF8" s="222"/>
      <c r="WBG8" s="222"/>
      <c r="WBH8" s="222"/>
      <c r="WBI8" s="222"/>
      <c r="WBJ8" s="222"/>
      <c r="WBK8" s="222"/>
      <c r="WBL8" s="222"/>
      <c r="WBM8" s="222"/>
      <c r="WBN8" s="222"/>
      <c r="WBO8" s="222"/>
      <c r="WBP8" s="222"/>
      <c r="WBQ8" s="222"/>
      <c r="WBR8" s="222"/>
      <c r="WBS8" s="222"/>
      <c r="WBT8" s="222"/>
      <c r="WBU8" s="222"/>
      <c r="WBV8" s="222"/>
      <c r="WBW8" s="222"/>
      <c r="WBX8" s="222"/>
      <c r="WBY8" s="222"/>
      <c r="WBZ8" s="222"/>
      <c r="WCA8" s="222"/>
      <c r="WCB8" s="222"/>
      <c r="WCC8" s="222"/>
      <c r="WCD8" s="222"/>
      <c r="WCE8" s="222"/>
      <c r="WCF8" s="222"/>
      <c r="WCG8" s="222"/>
      <c r="WCH8" s="222"/>
      <c r="WCI8" s="222"/>
      <c r="WCJ8" s="222"/>
      <c r="WCK8" s="222"/>
      <c r="WCL8" s="222"/>
      <c r="WCM8" s="222"/>
      <c r="WCN8" s="222"/>
      <c r="WCO8" s="222"/>
      <c r="WCP8" s="222"/>
      <c r="WCQ8" s="222"/>
      <c r="WCR8" s="222"/>
      <c r="WCS8" s="222"/>
      <c r="WCT8" s="222"/>
      <c r="WCU8" s="222"/>
      <c r="WCV8" s="222"/>
      <c r="WCW8" s="222"/>
      <c r="WCX8" s="222"/>
      <c r="WCY8" s="222"/>
      <c r="WCZ8" s="222"/>
      <c r="WDA8" s="222"/>
      <c r="WDB8" s="222"/>
      <c r="WDC8" s="222"/>
      <c r="WDD8" s="222"/>
      <c r="WDE8" s="222"/>
      <c r="WDF8" s="222"/>
      <c r="WDG8" s="222"/>
      <c r="WDH8" s="222"/>
      <c r="WDI8" s="222"/>
      <c r="WDJ8" s="222"/>
      <c r="WDK8" s="222"/>
      <c r="WDL8" s="222"/>
      <c r="WDM8" s="222"/>
      <c r="WDN8" s="222"/>
      <c r="WDO8" s="222"/>
      <c r="WDP8" s="222"/>
      <c r="WDQ8" s="222"/>
      <c r="WDR8" s="222"/>
      <c r="WDS8" s="222"/>
      <c r="WDT8" s="222"/>
      <c r="WDU8" s="222"/>
      <c r="WDV8" s="222"/>
      <c r="WDW8" s="222"/>
      <c r="WDX8" s="222"/>
      <c r="WDY8" s="222"/>
      <c r="WDZ8" s="222"/>
      <c r="WEA8" s="222"/>
      <c r="WEB8" s="222"/>
      <c r="WEC8" s="222"/>
      <c r="WED8" s="222"/>
      <c r="WEE8" s="222"/>
      <c r="WEF8" s="222"/>
      <c r="WEG8" s="222"/>
      <c r="WEH8" s="222"/>
      <c r="WEI8" s="222"/>
      <c r="WEJ8" s="222"/>
      <c r="WEK8" s="222"/>
      <c r="WEL8" s="222"/>
      <c r="WEM8" s="222"/>
      <c r="WEN8" s="222"/>
      <c r="WEO8" s="222"/>
      <c r="WEP8" s="222"/>
      <c r="WEQ8" s="222"/>
      <c r="WER8" s="222"/>
      <c r="WES8" s="222"/>
      <c r="WET8" s="222"/>
      <c r="WEU8" s="222"/>
      <c r="WEV8" s="222"/>
      <c r="WEW8" s="222"/>
      <c r="WEX8" s="222"/>
      <c r="WEY8" s="222"/>
      <c r="WEZ8" s="222"/>
      <c r="WFA8" s="222"/>
      <c r="WFB8" s="222"/>
      <c r="WFC8" s="222"/>
      <c r="WFD8" s="222"/>
      <c r="WFE8" s="222"/>
      <c r="WFF8" s="222"/>
      <c r="WFG8" s="222"/>
      <c r="WFH8" s="222"/>
      <c r="WFI8" s="222"/>
      <c r="WFJ8" s="222"/>
      <c r="WFK8" s="222"/>
      <c r="WFL8" s="222"/>
      <c r="WFM8" s="222"/>
      <c r="WFN8" s="222"/>
      <c r="WFO8" s="222"/>
      <c r="WFP8" s="222"/>
      <c r="WFQ8" s="222"/>
      <c r="WFR8" s="222"/>
      <c r="WFS8" s="222"/>
      <c r="WFT8" s="222"/>
      <c r="WFU8" s="222"/>
      <c r="WFV8" s="222"/>
      <c r="WFW8" s="222"/>
      <c r="WFX8" s="222"/>
      <c r="WFY8" s="222"/>
      <c r="WFZ8" s="222"/>
      <c r="WGA8" s="222"/>
      <c r="WGB8" s="222"/>
      <c r="WGC8" s="222"/>
      <c r="WGD8" s="222"/>
      <c r="WGE8" s="222"/>
      <c r="WGF8" s="222"/>
      <c r="WGG8" s="222"/>
      <c r="WGH8" s="222"/>
      <c r="WGI8" s="222"/>
      <c r="WGJ8" s="222"/>
      <c r="WGK8" s="222"/>
      <c r="WGL8" s="222"/>
      <c r="WGM8" s="222"/>
      <c r="WGN8" s="222"/>
      <c r="WGO8" s="222"/>
      <c r="WGP8" s="222"/>
      <c r="WGQ8" s="222"/>
      <c r="WGR8" s="222"/>
      <c r="WGS8" s="222"/>
      <c r="WGT8" s="222"/>
      <c r="WGU8" s="222"/>
      <c r="WGV8" s="222"/>
      <c r="WGW8" s="222"/>
      <c r="WGX8" s="222"/>
      <c r="WGY8" s="222"/>
      <c r="WGZ8" s="222"/>
      <c r="WHA8" s="222"/>
      <c r="WHB8" s="222"/>
      <c r="WHC8" s="222"/>
      <c r="WHD8" s="222"/>
      <c r="WHE8" s="222"/>
      <c r="WHF8" s="222"/>
      <c r="WHG8" s="222"/>
      <c r="WHH8" s="222"/>
      <c r="WHI8" s="222"/>
      <c r="WHJ8" s="222"/>
      <c r="WHK8" s="222"/>
      <c r="WHL8" s="222"/>
      <c r="WHM8" s="222"/>
      <c r="WHN8" s="222"/>
      <c r="WHO8" s="222"/>
      <c r="WHP8" s="222"/>
      <c r="WHQ8" s="222"/>
      <c r="WHR8" s="222"/>
      <c r="WHS8" s="222"/>
      <c r="WHT8" s="222"/>
      <c r="WHU8" s="222"/>
      <c r="WHV8" s="222"/>
      <c r="WHW8" s="222"/>
      <c r="WHX8" s="222"/>
      <c r="WHY8" s="222"/>
      <c r="WHZ8" s="222"/>
      <c r="WIA8" s="222"/>
      <c r="WIB8" s="222"/>
      <c r="WIC8" s="222"/>
      <c r="WID8" s="222"/>
      <c r="WIE8" s="222"/>
      <c r="WIF8" s="222"/>
      <c r="WIG8" s="222"/>
      <c r="WIH8" s="222"/>
      <c r="WII8" s="222"/>
      <c r="WIJ8" s="222"/>
      <c r="WIK8" s="222"/>
      <c r="WIL8" s="222"/>
      <c r="WIM8" s="222"/>
      <c r="WIN8" s="222"/>
      <c r="WIO8" s="222"/>
      <c r="WIP8" s="222"/>
      <c r="WIQ8" s="222"/>
      <c r="WIR8" s="222"/>
      <c r="WIS8" s="222"/>
      <c r="WIT8" s="222"/>
      <c r="WIU8" s="222"/>
      <c r="WIV8" s="222"/>
      <c r="WIW8" s="222"/>
      <c r="WIX8" s="222"/>
      <c r="WIY8" s="222"/>
      <c r="WIZ8" s="222"/>
      <c r="WJA8" s="222"/>
      <c r="WJB8" s="222"/>
      <c r="WJC8" s="222"/>
      <c r="WJD8" s="222"/>
      <c r="WJE8" s="222"/>
      <c r="WJF8" s="222"/>
      <c r="WJG8" s="222"/>
      <c r="WJH8" s="222"/>
      <c r="WJI8" s="222"/>
      <c r="WJJ8" s="222"/>
      <c r="WJK8" s="222"/>
      <c r="WJL8" s="222"/>
      <c r="WJM8" s="222"/>
      <c r="WJN8" s="222"/>
      <c r="WJO8" s="222"/>
      <c r="WJP8" s="222"/>
      <c r="WJQ8" s="222"/>
      <c r="WJR8" s="222"/>
      <c r="WJS8" s="222"/>
      <c r="WJT8" s="222"/>
      <c r="WJU8" s="222"/>
      <c r="WJV8" s="222"/>
      <c r="WJW8" s="222"/>
      <c r="WJX8" s="222"/>
      <c r="WJY8" s="222"/>
      <c r="WJZ8" s="222"/>
      <c r="WKA8" s="222"/>
      <c r="WKB8" s="222"/>
      <c r="WKC8" s="222"/>
      <c r="WKD8" s="222"/>
      <c r="WKE8" s="222"/>
      <c r="WKF8" s="222"/>
      <c r="WKG8" s="222"/>
      <c r="WKH8" s="222"/>
      <c r="WKI8" s="222"/>
      <c r="WKJ8" s="222"/>
      <c r="WKK8" s="222"/>
      <c r="WKL8" s="222"/>
      <c r="WKM8" s="222"/>
      <c r="WKN8" s="222"/>
      <c r="WKO8" s="222"/>
      <c r="WKP8" s="222"/>
      <c r="WKQ8" s="222"/>
      <c r="WKR8" s="222"/>
      <c r="WKS8" s="222"/>
      <c r="WKT8" s="222"/>
      <c r="WKU8" s="222"/>
      <c r="WKV8" s="222"/>
      <c r="WKW8" s="222"/>
      <c r="WKX8" s="222"/>
      <c r="WKY8" s="222"/>
      <c r="WKZ8" s="222"/>
      <c r="WLA8" s="222"/>
      <c r="WLB8" s="222"/>
      <c r="WLC8" s="222"/>
      <c r="WLD8" s="222"/>
      <c r="WLE8" s="222"/>
      <c r="WLF8" s="222"/>
      <c r="WLG8" s="222"/>
      <c r="WLH8" s="222"/>
      <c r="WLI8" s="222"/>
      <c r="WLJ8" s="222"/>
      <c r="WLK8" s="222"/>
      <c r="WLL8" s="222"/>
      <c r="WLM8" s="222"/>
      <c r="WLN8" s="222"/>
      <c r="WLO8" s="222"/>
      <c r="WLP8" s="222"/>
      <c r="WLQ8" s="222"/>
      <c r="WLR8" s="222"/>
      <c r="WLS8" s="222"/>
      <c r="WLT8" s="222"/>
      <c r="WLU8" s="222"/>
      <c r="WLV8" s="222"/>
      <c r="WLW8" s="222"/>
      <c r="WLX8" s="222"/>
      <c r="WLY8" s="222"/>
      <c r="WLZ8" s="222"/>
      <c r="WMA8" s="222"/>
      <c r="WMB8" s="222"/>
      <c r="WMC8" s="222"/>
      <c r="WMD8" s="222"/>
      <c r="WME8" s="222"/>
      <c r="WMF8" s="222"/>
      <c r="WMG8" s="222"/>
      <c r="WMH8" s="222"/>
      <c r="WMI8" s="222"/>
      <c r="WMJ8" s="222"/>
      <c r="WMK8" s="222"/>
      <c r="WML8" s="222"/>
      <c r="WMM8" s="222"/>
      <c r="WMN8" s="222"/>
      <c r="WMO8" s="222"/>
      <c r="WMP8" s="222"/>
      <c r="WMQ8" s="222"/>
      <c r="WMR8" s="222"/>
      <c r="WMS8" s="222"/>
      <c r="WMT8" s="222"/>
      <c r="WMU8" s="222"/>
      <c r="WMV8" s="222"/>
      <c r="WMW8" s="222"/>
      <c r="WMX8" s="222"/>
      <c r="WMY8" s="222"/>
      <c r="WMZ8" s="222"/>
      <c r="WNA8" s="222"/>
      <c r="WNB8" s="222"/>
      <c r="WNC8" s="222"/>
      <c r="WND8" s="222"/>
      <c r="WNE8" s="222"/>
      <c r="WNF8" s="222"/>
      <c r="WNG8" s="222"/>
      <c r="WNH8" s="222"/>
      <c r="WNI8" s="222"/>
      <c r="WNJ8" s="222"/>
      <c r="WNK8" s="222"/>
      <c r="WNL8" s="222"/>
      <c r="WNM8" s="222"/>
      <c r="WNN8" s="222"/>
      <c r="WNO8" s="222"/>
      <c r="WNP8" s="222"/>
      <c r="WNQ8" s="222"/>
      <c r="WNR8" s="222"/>
      <c r="WNS8" s="222"/>
      <c r="WNT8" s="222"/>
      <c r="WNU8" s="222"/>
      <c r="WNV8" s="222"/>
      <c r="WNW8" s="222"/>
      <c r="WNX8" s="222"/>
      <c r="WNY8" s="222"/>
      <c r="WNZ8" s="222"/>
      <c r="WOA8" s="222"/>
      <c r="WOB8" s="222"/>
      <c r="WOC8" s="222"/>
      <c r="WOD8" s="222"/>
      <c r="WOE8" s="222"/>
      <c r="WOF8" s="222"/>
      <c r="WOG8" s="222"/>
      <c r="WOH8" s="222"/>
      <c r="WOI8" s="222"/>
      <c r="WOJ8" s="222"/>
      <c r="WOK8" s="222"/>
      <c r="WOL8" s="222"/>
      <c r="WOM8" s="222"/>
      <c r="WON8" s="222"/>
      <c r="WOO8" s="222"/>
      <c r="WOP8" s="222"/>
      <c r="WOQ8" s="222"/>
      <c r="WOR8" s="222"/>
      <c r="WOS8" s="222"/>
      <c r="WOT8" s="222"/>
      <c r="WOU8" s="222"/>
      <c r="WOV8" s="222"/>
      <c r="WOW8" s="222"/>
      <c r="WOX8" s="222"/>
      <c r="WOY8" s="222"/>
      <c r="WOZ8" s="222"/>
      <c r="WPA8" s="222"/>
      <c r="WPB8" s="222"/>
      <c r="WPC8" s="222"/>
      <c r="WPD8" s="222"/>
      <c r="WPE8" s="222"/>
      <c r="WPF8" s="222"/>
      <c r="WPG8" s="222"/>
      <c r="WPH8" s="222"/>
      <c r="WPI8" s="222"/>
      <c r="WPJ8" s="222"/>
      <c r="WPK8" s="222"/>
      <c r="WPL8" s="222"/>
      <c r="WPM8" s="222"/>
      <c r="WPN8" s="222"/>
      <c r="WPO8" s="222"/>
      <c r="WPP8" s="222"/>
      <c r="WPQ8" s="222"/>
      <c r="WPR8" s="222"/>
      <c r="WPS8" s="222"/>
      <c r="WPT8" s="222"/>
      <c r="WPU8" s="222"/>
      <c r="WPV8" s="222"/>
      <c r="WPW8" s="222"/>
      <c r="WPX8" s="222"/>
      <c r="WPY8" s="222"/>
      <c r="WPZ8" s="222"/>
      <c r="WQA8" s="222"/>
      <c r="WQB8" s="222"/>
      <c r="WQC8" s="222"/>
      <c r="WQD8" s="222"/>
      <c r="WQE8" s="222"/>
      <c r="WQF8" s="222"/>
      <c r="WQG8" s="222"/>
      <c r="WQH8" s="222"/>
      <c r="WQI8" s="222"/>
      <c r="WQJ8" s="222"/>
      <c r="WQK8" s="222"/>
      <c r="WQL8" s="222"/>
      <c r="WQM8" s="222"/>
      <c r="WQN8" s="222"/>
      <c r="WQO8" s="222"/>
      <c r="WQP8" s="222"/>
      <c r="WQQ8" s="222"/>
      <c r="WQR8" s="222"/>
      <c r="WQS8" s="222"/>
      <c r="WQT8" s="222"/>
      <c r="WQU8" s="222"/>
      <c r="WQV8" s="222"/>
      <c r="WQW8" s="222"/>
      <c r="WQX8" s="222"/>
      <c r="WQY8" s="222"/>
      <c r="WQZ8" s="222"/>
      <c r="WRA8" s="222"/>
      <c r="WRB8" s="222"/>
      <c r="WRC8" s="222"/>
      <c r="WRD8" s="222"/>
      <c r="WRE8" s="222"/>
      <c r="WRF8" s="222"/>
      <c r="WRG8" s="222"/>
      <c r="WRH8" s="222"/>
      <c r="WRI8" s="222"/>
      <c r="WRJ8" s="222"/>
      <c r="WRK8" s="222"/>
      <c r="WRL8" s="222"/>
      <c r="WRM8" s="222"/>
      <c r="WRN8" s="222"/>
      <c r="WRO8" s="222"/>
      <c r="WRP8" s="222"/>
      <c r="WRQ8" s="222"/>
      <c r="WRR8" s="222"/>
      <c r="WRS8" s="222"/>
      <c r="WRT8" s="222"/>
      <c r="WRU8" s="222"/>
      <c r="WRV8" s="222"/>
      <c r="WRW8" s="222"/>
      <c r="WRX8" s="222"/>
      <c r="WRY8" s="222"/>
      <c r="WRZ8" s="222"/>
      <c r="WSA8" s="222"/>
      <c r="WSB8" s="222"/>
      <c r="WSC8" s="222"/>
      <c r="WSD8" s="222"/>
      <c r="WSE8" s="222"/>
      <c r="WSF8" s="222"/>
      <c r="WSG8" s="222"/>
      <c r="WSH8" s="222"/>
      <c r="WSI8" s="222"/>
      <c r="WSJ8" s="222"/>
      <c r="WSK8" s="222"/>
      <c r="WSL8" s="222"/>
      <c r="WSM8" s="222"/>
      <c r="WSN8" s="222"/>
      <c r="WSO8" s="222"/>
      <c r="WSP8" s="222"/>
      <c r="WSQ8" s="222"/>
      <c r="WSR8" s="222"/>
      <c r="WSS8" s="222"/>
      <c r="WST8" s="222"/>
      <c r="WSU8" s="222"/>
      <c r="WSV8" s="222"/>
      <c r="WSW8" s="222"/>
      <c r="WSX8" s="222"/>
      <c r="WSY8" s="222"/>
      <c r="WSZ8" s="222"/>
      <c r="WTA8" s="222"/>
      <c r="WTB8" s="222"/>
      <c r="WTC8" s="222"/>
      <c r="WTD8" s="222"/>
      <c r="WTE8" s="222"/>
      <c r="WTF8" s="222"/>
      <c r="WTG8" s="222"/>
      <c r="WTH8" s="222"/>
      <c r="WTI8" s="222"/>
      <c r="WTJ8" s="222"/>
      <c r="WTK8" s="222"/>
      <c r="WTL8" s="222"/>
      <c r="WTM8" s="222"/>
      <c r="WTN8" s="222"/>
      <c r="WTO8" s="222"/>
      <c r="WTP8" s="222"/>
      <c r="WTQ8" s="222"/>
      <c r="WTR8" s="222"/>
      <c r="WTS8" s="222"/>
      <c r="WTT8" s="222"/>
      <c r="WTU8" s="222"/>
      <c r="WTV8" s="222"/>
      <c r="WTW8" s="222"/>
      <c r="WTX8" s="222"/>
      <c r="WTY8" s="222"/>
      <c r="WTZ8" s="222"/>
      <c r="WUA8" s="222"/>
      <c r="WUB8" s="222"/>
      <c r="WUC8" s="222"/>
      <c r="WUD8" s="222"/>
      <c r="WUE8" s="222"/>
      <c r="WUF8" s="222"/>
      <c r="WUG8" s="222"/>
      <c r="WUH8" s="222"/>
      <c r="WUI8" s="222"/>
      <c r="WUJ8" s="222"/>
      <c r="WUK8" s="222"/>
      <c r="WUL8" s="222"/>
      <c r="WUM8" s="222"/>
      <c r="WUN8" s="222"/>
      <c r="WUO8" s="222"/>
      <c r="WUP8" s="222"/>
      <c r="WUQ8" s="222"/>
      <c r="WUR8" s="222"/>
      <c r="WUS8" s="222"/>
      <c r="WUT8" s="222"/>
      <c r="WUU8" s="222"/>
      <c r="WUV8" s="222"/>
      <c r="WUW8" s="222"/>
      <c r="WUX8" s="222"/>
      <c r="WUY8" s="222"/>
      <c r="WUZ8" s="222"/>
      <c r="WVA8" s="222"/>
      <c r="WVB8" s="222"/>
      <c r="WVC8" s="222"/>
      <c r="WVD8" s="222"/>
      <c r="WVE8" s="222"/>
      <c r="WVF8" s="222"/>
      <c r="WVG8" s="222"/>
      <c r="WVH8" s="222"/>
      <c r="WVI8" s="222"/>
      <c r="WVJ8" s="222"/>
      <c r="WVK8" s="222"/>
      <c r="WVL8" s="222"/>
      <c r="WVM8" s="222"/>
      <c r="WVN8" s="222"/>
      <c r="WVO8" s="222"/>
      <c r="WVP8" s="222"/>
      <c r="WVQ8" s="222"/>
      <c r="WVR8" s="222"/>
      <c r="WVS8" s="222"/>
      <c r="WVT8" s="222"/>
      <c r="WVU8" s="222"/>
      <c r="WVV8" s="222"/>
      <c r="WVW8" s="222"/>
      <c r="WVX8" s="222"/>
      <c r="WVY8" s="222"/>
      <c r="WVZ8" s="222"/>
      <c r="WWA8" s="222"/>
      <c r="WWB8" s="222"/>
      <c r="WWC8" s="222"/>
      <c r="WWD8" s="222"/>
      <c r="WWE8" s="222"/>
      <c r="WWF8" s="222"/>
      <c r="WWG8" s="222"/>
      <c r="WWH8" s="222"/>
      <c r="WWI8" s="222"/>
      <c r="WWJ8" s="222"/>
      <c r="WWK8" s="222"/>
      <c r="WWL8" s="222"/>
      <c r="WWM8" s="222"/>
      <c r="WWN8" s="222"/>
      <c r="WWO8" s="222"/>
      <c r="WWP8" s="222"/>
      <c r="WWQ8" s="222"/>
      <c r="WWR8" s="222"/>
      <c r="WWS8" s="222"/>
      <c r="WWT8" s="222"/>
      <c r="WWU8" s="222"/>
      <c r="WWV8" s="222"/>
      <c r="WWW8" s="222"/>
      <c r="WWX8" s="222"/>
      <c r="WWY8" s="222"/>
      <c r="WWZ8" s="222"/>
      <c r="WXA8" s="222"/>
      <c r="WXB8" s="222"/>
      <c r="WXC8" s="222"/>
      <c r="WXD8" s="222"/>
      <c r="WXE8" s="222"/>
      <c r="WXF8" s="222"/>
      <c r="WXG8" s="222"/>
      <c r="WXH8" s="222"/>
      <c r="WXI8" s="222"/>
      <c r="WXJ8" s="222"/>
      <c r="WXK8" s="222"/>
      <c r="WXL8" s="222"/>
      <c r="WXM8" s="222"/>
      <c r="WXN8" s="222"/>
      <c r="WXO8" s="222"/>
      <c r="WXP8" s="222"/>
      <c r="WXQ8" s="222"/>
      <c r="WXR8" s="222"/>
      <c r="WXS8" s="222"/>
      <c r="WXT8" s="222"/>
      <c r="WXU8" s="222"/>
      <c r="WXV8" s="222"/>
      <c r="WXW8" s="222"/>
      <c r="WXX8" s="222"/>
      <c r="WXY8" s="222"/>
      <c r="WXZ8" s="222"/>
      <c r="WYA8" s="222"/>
      <c r="WYB8" s="222"/>
      <c r="WYC8" s="222"/>
      <c r="WYD8" s="222"/>
      <c r="WYE8" s="222"/>
      <c r="WYF8" s="222"/>
      <c r="WYG8" s="222"/>
      <c r="WYH8" s="222"/>
      <c r="WYI8" s="222"/>
      <c r="WYJ8" s="222"/>
      <c r="WYK8" s="222"/>
      <c r="WYL8" s="222"/>
      <c r="WYM8" s="222"/>
      <c r="WYN8" s="222"/>
      <c r="WYO8" s="222"/>
      <c r="WYP8" s="222"/>
      <c r="WYQ8" s="222"/>
      <c r="WYR8" s="222"/>
      <c r="WYS8" s="222"/>
      <c r="WYT8" s="222"/>
      <c r="WYU8" s="222"/>
      <c r="WYV8" s="222"/>
      <c r="WYW8" s="222"/>
      <c r="WYX8" s="222"/>
      <c r="WYY8" s="222"/>
      <c r="WYZ8" s="222"/>
      <c r="WZA8" s="222"/>
      <c r="WZB8" s="222"/>
      <c r="WZC8" s="222"/>
      <c r="WZD8" s="222"/>
      <c r="WZE8" s="222"/>
      <c r="WZF8" s="222"/>
      <c r="WZG8" s="222"/>
      <c r="WZH8" s="222"/>
      <c r="WZI8" s="222"/>
      <c r="WZJ8" s="222"/>
      <c r="WZK8" s="222"/>
      <c r="WZL8" s="222"/>
      <c r="WZM8" s="222"/>
      <c r="WZN8" s="222"/>
      <c r="WZO8" s="222"/>
      <c r="WZP8" s="222"/>
      <c r="WZQ8" s="222"/>
      <c r="WZR8" s="222"/>
      <c r="WZS8" s="222"/>
      <c r="WZT8" s="222"/>
      <c r="WZU8" s="222"/>
      <c r="WZV8" s="222"/>
      <c r="WZW8" s="222"/>
      <c r="WZX8" s="222"/>
      <c r="WZY8" s="222"/>
      <c r="WZZ8" s="222"/>
      <c r="XAA8" s="222"/>
      <c r="XAB8" s="222"/>
      <c r="XAC8" s="222"/>
      <c r="XAD8" s="222"/>
      <c r="XAE8" s="222"/>
      <c r="XAF8" s="222"/>
      <c r="XAG8" s="222"/>
      <c r="XAH8" s="222"/>
      <c r="XAI8" s="222"/>
      <c r="XAJ8" s="222"/>
      <c r="XAK8" s="222"/>
      <c r="XAL8" s="222"/>
      <c r="XAM8" s="222"/>
      <c r="XAN8" s="222"/>
      <c r="XAO8" s="222"/>
      <c r="XAP8" s="222"/>
      <c r="XAQ8" s="222"/>
      <c r="XAR8" s="222"/>
      <c r="XAS8" s="222"/>
      <c r="XAT8" s="222"/>
      <c r="XAU8" s="222"/>
      <c r="XAV8" s="222"/>
      <c r="XAW8" s="222"/>
      <c r="XAX8" s="222"/>
      <c r="XAY8" s="222"/>
      <c r="XAZ8" s="222"/>
      <c r="XBA8" s="222"/>
      <c r="XBB8" s="222"/>
      <c r="XBC8" s="222"/>
      <c r="XBD8" s="222"/>
      <c r="XBE8" s="222"/>
      <c r="XBF8" s="222"/>
      <c r="XBG8" s="222"/>
      <c r="XBH8" s="222"/>
      <c r="XBI8" s="222"/>
      <c r="XBJ8" s="222"/>
      <c r="XBK8" s="222"/>
      <c r="XBL8" s="222"/>
      <c r="XBM8" s="222"/>
      <c r="XBN8" s="222"/>
      <c r="XBO8" s="222"/>
      <c r="XBP8" s="222"/>
      <c r="XBQ8" s="222"/>
      <c r="XBR8" s="222"/>
      <c r="XBS8" s="222"/>
      <c r="XBT8" s="222"/>
      <c r="XBU8" s="222"/>
      <c r="XBV8" s="222"/>
      <c r="XBW8" s="222"/>
      <c r="XBX8" s="222"/>
      <c r="XBY8" s="222"/>
      <c r="XBZ8" s="222"/>
      <c r="XCA8" s="222"/>
      <c r="XCB8" s="222"/>
      <c r="XCC8" s="222"/>
      <c r="XCD8" s="222"/>
      <c r="XCE8" s="222"/>
      <c r="XCF8" s="222"/>
      <c r="XCG8" s="222"/>
      <c r="XCH8" s="222"/>
      <c r="XCI8" s="222"/>
      <c r="XCJ8" s="222"/>
      <c r="XCK8" s="222"/>
      <c r="XCL8" s="222"/>
      <c r="XCM8" s="222"/>
      <c r="XCN8" s="222"/>
      <c r="XCO8" s="222"/>
      <c r="XCP8" s="222"/>
      <c r="XCQ8" s="222"/>
      <c r="XCR8" s="222"/>
      <c r="XCS8" s="222"/>
      <c r="XCT8" s="222"/>
      <c r="XCU8" s="222"/>
      <c r="XCV8" s="222"/>
      <c r="XCW8" s="222"/>
      <c r="XCX8" s="222"/>
      <c r="XCY8" s="222"/>
      <c r="XCZ8" s="222"/>
      <c r="XDA8" s="222"/>
      <c r="XDB8" s="222"/>
      <c r="XDC8" s="222"/>
      <c r="XDD8" s="222"/>
      <c r="XDE8" s="222"/>
      <c r="XDF8" s="222"/>
      <c r="XDG8" s="222"/>
      <c r="XDH8" s="222"/>
      <c r="XDI8" s="222"/>
      <c r="XDJ8" s="222"/>
    </row>
    <row r="9" spans="1:16338" s="225" customFormat="1" x14ac:dyDescent="0.2">
      <c r="A9" s="223">
        <v>5</v>
      </c>
      <c r="B9" s="224" t="s">
        <v>147</v>
      </c>
      <c r="C9" s="643">
        <v>55.054718572692025</v>
      </c>
      <c r="D9" s="643">
        <v>72.496560482028286</v>
      </c>
      <c r="E9" s="643">
        <v>62.713977795763732</v>
      </c>
      <c r="F9" s="643">
        <v>65.034767707363869</v>
      </c>
      <c r="G9" s="643">
        <v>103.33568702045113</v>
      </c>
      <c r="H9" s="643">
        <v>116.47290216755003</v>
      </c>
      <c r="I9" s="643">
        <v>178.95100350699977</v>
      </c>
      <c r="J9" s="644">
        <v>244.76543765221845</v>
      </c>
      <c r="K9" s="643">
        <v>264.70311991959994</v>
      </c>
      <c r="L9" s="643">
        <v>9.243931964525494</v>
      </c>
      <c r="M9" s="643">
        <v>8.2261793528339648</v>
      </c>
      <c r="N9" s="643">
        <v>8.2253911544655711</v>
      </c>
      <c r="O9" s="643">
        <v>5.7529204210798639</v>
      </c>
      <c r="P9" s="643">
        <v>11.177248696881058</v>
      </c>
      <c r="Q9" s="643">
        <v>12.349543812</v>
      </c>
      <c r="R9" s="643">
        <v>11.706971739999998</v>
      </c>
      <c r="S9" s="644">
        <v>14.010534123087197</v>
      </c>
      <c r="T9" s="643">
        <v>20.561351514999998</v>
      </c>
      <c r="U9" s="643">
        <v>1.1000000000000001E-3</v>
      </c>
      <c r="V9" s="643">
        <v>5.9999999999999995E-4</v>
      </c>
      <c r="W9" s="643">
        <v>2.066003206</v>
      </c>
      <c r="X9" s="643">
        <v>0</v>
      </c>
      <c r="Y9" s="643">
        <v>0</v>
      </c>
      <c r="Z9" s="643">
        <v>2.9999999999999997E-4</v>
      </c>
      <c r="AA9" s="643">
        <v>2.1702900000000001E-2</v>
      </c>
      <c r="AB9" s="644">
        <v>0.18160000000000001</v>
      </c>
      <c r="AC9" s="643">
        <v>9.0800000000000006E-2</v>
      </c>
      <c r="AD9" s="643">
        <v>0.11155000000000001</v>
      </c>
      <c r="AE9" s="643">
        <v>0.1166084</v>
      </c>
      <c r="AF9" s="643">
        <v>1.1906146</v>
      </c>
      <c r="AG9" s="643">
        <v>4.0054697999999993</v>
      </c>
      <c r="AH9" s="643">
        <v>0.20524561375115907</v>
      </c>
      <c r="AI9" s="643">
        <v>0.16721240000000001</v>
      </c>
      <c r="AJ9" s="643">
        <v>0.1353772</v>
      </c>
      <c r="AK9" s="644">
        <v>0.15918360000000001</v>
      </c>
      <c r="AL9" s="643">
        <v>0.10045320000000001</v>
      </c>
      <c r="AM9" s="643">
        <v>46.211437593344719</v>
      </c>
      <c r="AN9" s="643">
        <v>48.537613088505253</v>
      </c>
      <c r="AO9" s="643">
        <v>45.632425892250012</v>
      </c>
      <c r="AP9" s="643">
        <v>34.489543061608387</v>
      </c>
      <c r="AQ9" s="643">
        <v>36.412302967665369</v>
      </c>
      <c r="AR9" s="643">
        <v>37.38028482499999</v>
      </c>
      <c r="AS9" s="643">
        <v>38.303669519000003</v>
      </c>
      <c r="AT9" s="644">
        <v>46.69056464949999</v>
      </c>
      <c r="AU9" s="643">
        <v>43.793687909199996</v>
      </c>
      <c r="AV9" s="643">
        <v>264.62990241458925</v>
      </c>
      <c r="AW9" s="643">
        <v>267.78308248070635</v>
      </c>
      <c r="AX9" s="643">
        <v>249.34296914486148</v>
      </c>
      <c r="AY9" s="643">
        <v>268.41780049149446</v>
      </c>
      <c r="AZ9" s="643">
        <v>376.40394856959125</v>
      </c>
      <c r="BA9" s="643">
        <v>408.51318858854052</v>
      </c>
      <c r="BB9" s="643">
        <v>400.94542336082651</v>
      </c>
      <c r="BC9" s="644">
        <v>404.66462978446361</v>
      </c>
      <c r="BD9" s="643">
        <v>418.23025313941076</v>
      </c>
      <c r="BE9" s="643">
        <v>253.55621792674572</v>
      </c>
      <c r="BF9" s="643">
        <v>307.92372941902607</v>
      </c>
      <c r="BG9" s="643">
        <v>353.63519489220607</v>
      </c>
      <c r="BH9" s="643">
        <v>358.28350480197668</v>
      </c>
      <c r="BI9" s="643">
        <v>591.95078149201697</v>
      </c>
      <c r="BJ9" s="643">
        <v>722.61436254366652</v>
      </c>
      <c r="BK9" s="643">
        <v>785.67010225114825</v>
      </c>
      <c r="BL9" s="644">
        <v>785.89629605112088</v>
      </c>
      <c r="BM9" s="643">
        <v>805.65614024888998</v>
      </c>
      <c r="BN9" s="643">
        <v>7.4516987880000007</v>
      </c>
      <c r="BO9" s="643">
        <v>7.1408174928468506</v>
      </c>
      <c r="BP9" s="643">
        <v>6.6991815383596736</v>
      </c>
      <c r="BQ9" s="643">
        <v>5.6835768001176579</v>
      </c>
      <c r="BR9" s="643">
        <v>7.3691395210741781</v>
      </c>
      <c r="BS9" s="643">
        <v>9.3063361069999981</v>
      </c>
      <c r="BT9" s="643">
        <v>9.9669601799999992</v>
      </c>
      <c r="BU9" s="644">
        <v>13.484975299500915</v>
      </c>
      <c r="BV9" s="643">
        <v>16.067198068000003</v>
      </c>
      <c r="BW9" s="643">
        <v>60.204727653999996</v>
      </c>
      <c r="BX9" s="643">
        <v>336.07255329999998</v>
      </c>
      <c r="BY9" s="643">
        <v>82.467725797</v>
      </c>
      <c r="BZ9" s="643">
        <v>411.36778312499996</v>
      </c>
      <c r="CA9" s="643">
        <v>419.07060932677939</v>
      </c>
      <c r="CB9" s="643">
        <v>865.40684837956678</v>
      </c>
      <c r="CC9" s="643">
        <v>1103.1577599161251</v>
      </c>
      <c r="CD9" s="644">
        <v>1429.1339137315022</v>
      </c>
      <c r="CE9" s="643">
        <v>1458.9969104653742</v>
      </c>
      <c r="CF9" s="643">
        <v>0</v>
      </c>
      <c r="CG9" s="643">
        <v>0</v>
      </c>
      <c r="CH9" s="643">
        <v>1.0841000000000001</v>
      </c>
      <c r="CI9" s="643">
        <v>0.55570000000000008</v>
      </c>
      <c r="CJ9" s="643">
        <v>2.2208000000000001</v>
      </c>
      <c r="CK9" s="643">
        <v>7.1209000000000007</v>
      </c>
      <c r="CL9" s="643">
        <v>5.3976999999999995</v>
      </c>
      <c r="CM9" s="644">
        <v>6.8276000000000003</v>
      </c>
      <c r="CN9" s="643">
        <v>6.6997750000000007</v>
      </c>
      <c r="CO9" s="643">
        <v>25.245032869332476</v>
      </c>
      <c r="CP9" s="643">
        <v>50.737747453309993</v>
      </c>
      <c r="CQ9" s="643">
        <v>18.804602793949996</v>
      </c>
      <c r="CR9" s="643">
        <v>21.37747339291289</v>
      </c>
      <c r="CS9" s="643">
        <v>27.555661740066874</v>
      </c>
      <c r="CT9" s="643">
        <v>29.007783864110216</v>
      </c>
      <c r="CU9" s="643">
        <v>23.075917128000093</v>
      </c>
      <c r="CV9" s="643">
        <v>23.047268567551203</v>
      </c>
      <c r="CW9" s="643">
        <v>31.9547337152</v>
      </c>
      <c r="CX9" s="643">
        <f t="shared" si="1"/>
        <v>721.7103177832297</v>
      </c>
      <c r="CY9" s="643">
        <f t="shared" si="2"/>
        <v>1099.0354914692566</v>
      </c>
      <c r="CZ9" s="643">
        <f t="shared" si="3"/>
        <v>831.8621868148565</v>
      </c>
      <c r="DA9" s="643">
        <f t="shared" si="4"/>
        <v>1174.9685396015536</v>
      </c>
      <c r="DB9" s="643">
        <f t="shared" si="5"/>
        <v>1575.7014249482775</v>
      </c>
      <c r="DC9" s="643">
        <f t="shared" si="6"/>
        <v>2208.3396626874337</v>
      </c>
      <c r="DD9" s="643">
        <f t="shared" si="7"/>
        <v>2557.3325877020998</v>
      </c>
      <c r="DE9" s="643">
        <f t="shared" si="8"/>
        <v>2968.8620034589449</v>
      </c>
      <c r="DF9" s="643">
        <f t="shared" si="9"/>
        <v>3066.8544231806745</v>
      </c>
      <c r="DG9" s="222"/>
      <c r="DH9" s="222"/>
      <c r="DI9" s="222"/>
      <c r="DJ9" s="222"/>
      <c r="DK9" s="222"/>
      <c r="DL9" s="222"/>
      <c r="DM9" s="222"/>
      <c r="DN9" s="222"/>
      <c r="DO9" s="222"/>
      <c r="DP9" s="222"/>
      <c r="DQ9" s="222"/>
      <c r="DR9" s="222"/>
      <c r="DS9" s="222"/>
      <c r="DT9" s="222"/>
      <c r="DU9" s="222"/>
      <c r="DV9" s="222"/>
      <c r="DW9" s="222"/>
      <c r="DX9" s="222"/>
      <c r="DY9" s="222"/>
      <c r="DZ9" s="222"/>
      <c r="EA9" s="222"/>
      <c r="EB9" s="222"/>
      <c r="EC9" s="222"/>
      <c r="ED9" s="222"/>
      <c r="EE9" s="222"/>
      <c r="EF9" s="222"/>
      <c r="EG9" s="222"/>
      <c r="EH9" s="222"/>
      <c r="EI9" s="222"/>
      <c r="EJ9" s="222"/>
      <c r="EK9" s="222"/>
      <c r="EL9" s="222"/>
      <c r="EM9" s="222"/>
      <c r="EN9" s="222"/>
      <c r="EO9" s="222"/>
      <c r="EP9" s="222"/>
      <c r="EQ9" s="222"/>
      <c r="ER9" s="222"/>
      <c r="ES9" s="222"/>
      <c r="ET9" s="222"/>
      <c r="EU9" s="222"/>
      <c r="EV9" s="222"/>
      <c r="EW9" s="222"/>
      <c r="EX9" s="222"/>
      <c r="EY9" s="222"/>
      <c r="EZ9" s="222"/>
      <c r="FA9" s="222"/>
      <c r="FB9" s="222"/>
      <c r="FC9" s="222"/>
      <c r="FD9" s="222"/>
      <c r="FE9" s="222"/>
      <c r="FF9" s="222"/>
      <c r="FG9" s="222"/>
      <c r="FH9" s="222"/>
      <c r="FI9" s="222"/>
      <c r="FJ9" s="222"/>
      <c r="FK9" s="222"/>
      <c r="FL9" s="222"/>
      <c r="FM9" s="222"/>
      <c r="FN9" s="222"/>
      <c r="FO9" s="222"/>
      <c r="FP9" s="222"/>
      <c r="FQ9" s="222"/>
      <c r="FR9" s="222"/>
      <c r="FS9" s="222"/>
      <c r="FT9" s="222"/>
      <c r="FU9" s="222"/>
      <c r="FV9" s="222"/>
      <c r="FW9" s="222"/>
      <c r="FX9" s="222"/>
      <c r="FY9" s="222"/>
      <c r="FZ9" s="222"/>
      <c r="GA9" s="222"/>
      <c r="GB9" s="222"/>
      <c r="GC9" s="222"/>
      <c r="GD9" s="222"/>
      <c r="GE9" s="222"/>
      <c r="GF9" s="222"/>
      <c r="GG9" s="222"/>
      <c r="GH9" s="222"/>
      <c r="GI9" s="222"/>
      <c r="GJ9" s="222"/>
      <c r="GK9" s="222"/>
      <c r="GL9" s="222"/>
      <c r="GM9" s="222"/>
      <c r="GN9" s="222"/>
      <c r="GO9" s="222"/>
      <c r="GP9" s="222"/>
      <c r="GQ9" s="222"/>
      <c r="GR9" s="222"/>
      <c r="GS9" s="222"/>
      <c r="GT9" s="222"/>
      <c r="GU9" s="222"/>
      <c r="GV9" s="222"/>
      <c r="GW9" s="222"/>
      <c r="GX9" s="222"/>
      <c r="GY9" s="222"/>
      <c r="GZ9" s="222"/>
      <c r="HA9" s="222"/>
      <c r="HB9" s="222"/>
      <c r="HC9" s="222"/>
      <c r="HD9" s="222"/>
      <c r="HE9" s="222"/>
      <c r="HF9" s="222"/>
      <c r="HG9" s="222"/>
      <c r="HH9" s="222"/>
      <c r="HI9" s="222"/>
      <c r="HJ9" s="222"/>
      <c r="HK9" s="222"/>
      <c r="HL9" s="222"/>
      <c r="HM9" s="222"/>
      <c r="HN9" s="222"/>
      <c r="HO9" s="222"/>
      <c r="HP9" s="222"/>
      <c r="HQ9" s="222"/>
      <c r="HR9" s="222"/>
      <c r="HS9" s="222"/>
      <c r="HT9" s="222"/>
      <c r="HU9" s="222"/>
      <c r="HV9" s="222"/>
      <c r="HW9" s="222"/>
      <c r="HX9" s="222"/>
      <c r="HY9" s="222"/>
      <c r="HZ9" s="222"/>
      <c r="IA9" s="222"/>
      <c r="IB9" s="222"/>
      <c r="IC9" s="222"/>
      <c r="ID9" s="222"/>
      <c r="IE9" s="222"/>
      <c r="IF9" s="222"/>
      <c r="IG9" s="222"/>
      <c r="IH9" s="222"/>
      <c r="II9" s="222"/>
      <c r="IJ9" s="222"/>
      <c r="IK9" s="222"/>
      <c r="IL9" s="222"/>
      <c r="IM9" s="222"/>
      <c r="IN9" s="222"/>
      <c r="IO9" s="222"/>
      <c r="IP9" s="222"/>
      <c r="IQ9" s="222"/>
      <c r="IR9" s="222"/>
      <c r="IS9" s="222"/>
      <c r="IT9" s="222"/>
      <c r="IU9" s="222"/>
      <c r="IV9" s="222"/>
      <c r="IW9" s="222"/>
      <c r="IX9" s="222"/>
      <c r="IY9" s="222"/>
      <c r="IZ9" s="222"/>
      <c r="JA9" s="222"/>
      <c r="JB9" s="222"/>
      <c r="JC9" s="222"/>
      <c r="JD9" s="222"/>
      <c r="JE9" s="222"/>
      <c r="JF9" s="222"/>
      <c r="JG9" s="222"/>
      <c r="JH9" s="222"/>
      <c r="JI9" s="222"/>
      <c r="JJ9" s="222"/>
      <c r="JK9" s="222"/>
      <c r="JL9" s="222"/>
      <c r="JM9" s="222"/>
      <c r="JN9" s="222"/>
      <c r="JO9" s="222"/>
      <c r="JP9" s="222"/>
      <c r="JQ9" s="222"/>
      <c r="JR9" s="222"/>
      <c r="JS9" s="222"/>
      <c r="JT9" s="222"/>
      <c r="JU9" s="222"/>
      <c r="JV9" s="222"/>
      <c r="JW9" s="222"/>
      <c r="JX9" s="222"/>
      <c r="JY9" s="222"/>
      <c r="JZ9" s="222"/>
      <c r="KA9" s="222"/>
      <c r="KB9" s="222"/>
      <c r="KC9" s="222"/>
      <c r="KD9" s="222"/>
      <c r="KE9" s="222"/>
      <c r="KF9" s="222"/>
      <c r="KG9" s="222"/>
      <c r="KH9" s="222"/>
      <c r="KI9" s="222"/>
      <c r="KJ9" s="222"/>
      <c r="KK9" s="222"/>
      <c r="KL9" s="222"/>
      <c r="KM9" s="222"/>
      <c r="KN9" s="222"/>
      <c r="KO9" s="222"/>
      <c r="KP9" s="222"/>
      <c r="KQ9" s="222"/>
      <c r="KR9" s="222"/>
      <c r="KS9" s="222"/>
      <c r="KT9" s="222"/>
      <c r="KU9" s="222"/>
      <c r="KV9" s="222"/>
      <c r="KW9" s="222"/>
      <c r="KX9" s="222"/>
      <c r="KY9" s="222"/>
      <c r="KZ9" s="222"/>
      <c r="LA9" s="222"/>
      <c r="LB9" s="222"/>
      <c r="LC9" s="222"/>
      <c r="LD9" s="222"/>
      <c r="LE9" s="222"/>
      <c r="LF9" s="222"/>
      <c r="LG9" s="222"/>
      <c r="LH9" s="222"/>
      <c r="LI9" s="222"/>
      <c r="LJ9" s="222"/>
      <c r="LK9" s="222"/>
      <c r="LL9" s="222"/>
      <c r="LM9" s="222"/>
      <c r="LN9" s="222"/>
      <c r="LO9" s="222"/>
      <c r="LP9" s="222"/>
      <c r="LQ9" s="222"/>
      <c r="LR9" s="222"/>
      <c r="LS9" s="222"/>
      <c r="LT9" s="222"/>
      <c r="LU9" s="222"/>
      <c r="LV9" s="222"/>
      <c r="LW9" s="222"/>
      <c r="LX9" s="222"/>
      <c r="LY9" s="222"/>
      <c r="LZ9" s="222"/>
      <c r="MA9" s="222"/>
      <c r="MB9" s="222"/>
      <c r="MC9" s="222"/>
      <c r="MD9" s="222"/>
      <c r="ME9" s="222"/>
      <c r="MF9" s="222"/>
      <c r="MG9" s="222"/>
      <c r="MH9" s="222"/>
      <c r="MI9" s="222"/>
      <c r="MJ9" s="222"/>
      <c r="MK9" s="222"/>
      <c r="ML9" s="222"/>
      <c r="MM9" s="222"/>
      <c r="MN9" s="222"/>
      <c r="MO9" s="222"/>
      <c r="MP9" s="222"/>
      <c r="MQ9" s="222"/>
      <c r="MR9" s="222"/>
      <c r="MS9" s="222"/>
      <c r="MT9" s="222"/>
      <c r="MU9" s="222"/>
      <c r="MV9" s="222"/>
      <c r="MW9" s="222"/>
      <c r="MX9" s="222"/>
      <c r="MY9" s="222"/>
      <c r="MZ9" s="222"/>
      <c r="NA9" s="222"/>
      <c r="NB9" s="222"/>
      <c r="NC9" s="222"/>
      <c r="ND9" s="222"/>
      <c r="NE9" s="222"/>
      <c r="NF9" s="222"/>
      <c r="NG9" s="222"/>
      <c r="NH9" s="222"/>
      <c r="NI9" s="222"/>
      <c r="NJ9" s="222"/>
      <c r="NK9" s="222"/>
      <c r="NL9" s="222"/>
      <c r="NM9" s="222"/>
      <c r="NN9" s="222"/>
      <c r="NO9" s="222"/>
      <c r="NP9" s="222"/>
      <c r="NQ9" s="222"/>
      <c r="NR9" s="222"/>
      <c r="NS9" s="222"/>
      <c r="NT9" s="222"/>
      <c r="NU9" s="222"/>
      <c r="NV9" s="222"/>
      <c r="NW9" s="222"/>
      <c r="NX9" s="222"/>
      <c r="NY9" s="222"/>
      <c r="NZ9" s="222"/>
      <c r="OA9" s="222"/>
      <c r="OB9" s="222"/>
      <c r="OC9" s="222"/>
      <c r="OD9" s="222"/>
      <c r="OE9" s="222"/>
      <c r="OF9" s="222"/>
      <c r="OG9" s="222"/>
      <c r="OH9" s="222"/>
      <c r="OI9" s="222"/>
      <c r="OJ9" s="222"/>
      <c r="OK9" s="222"/>
      <c r="OL9" s="222"/>
      <c r="OM9" s="222"/>
      <c r="ON9" s="222"/>
      <c r="OO9" s="222"/>
      <c r="OP9" s="222"/>
      <c r="OQ9" s="222"/>
      <c r="OR9" s="222"/>
      <c r="OS9" s="222"/>
      <c r="OT9" s="222"/>
      <c r="OU9" s="222"/>
      <c r="OV9" s="222"/>
      <c r="OW9" s="222"/>
      <c r="OX9" s="222"/>
      <c r="OY9" s="222"/>
      <c r="OZ9" s="222"/>
      <c r="PA9" s="222"/>
      <c r="PB9" s="222"/>
      <c r="PC9" s="222"/>
      <c r="PD9" s="222"/>
      <c r="PE9" s="222"/>
      <c r="PF9" s="222"/>
      <c r="PG9" s="222"/>
      <c r="PH9" s="222"/>
      <c r="PI9" s="222"/>
      <c r="PJ9" s="222"/>
      <c r="PK9" s="222"/>
      <c r="PL9" s="222"/>
      <c r="PM9" s="222"/>
      <c r="PN9" s="222"/>
      <c r="PO9" s="222"/>
      <c r="PP9" s="222"/>
      <c r="PQ9" s="222"/>
      <c r="PR9" s="222"/>
      <c r="PS9" s="222"/>
      <c r="PT9" s="222"/>
      <c r="PU9" s="222"/>
      <c r="PV9" s="222"/>
      <c r="PW9" s="222"/>
      <c r="PX9" s="222"/>
      <c r="PY9" s="222"/>
      <c r="PZ9" s="222"/>
      <c r="QA9" s="222"/>
      <c r="QB9" s="222"/>
      <c r="QC9" s="222"/>
      <c r="QD9" s="222"/>
      <c r="QE9" s="222"/>
      <c r="QF9" s="222"/>
      <c r="QG9" s="222"/>
      <c r="QH9" s="222"/>
      <c r="QI9" s="222"/>
      <c r="QJ9" s="222"/>
      <c r="QK9" s="222"/>
      <c r="QL9" s="222"/>
      <c r="QM9" s="222"/>
      <c r="QN9" s="222"/>
      <c r="QO9" s="222"/>
      <c r="QP9" s="222"/>
      <c r="QQ9" s="222"/>
      <c r="QR9" s="222"/>
      <c r="QS9" s="222"/>
      <c r="QT9" s="222"/>
      <c r="QU9" s="222"/>
      <c r="QV9" s="222"/>
      <c r="QW9" s="222"/>
      <c r="QX9" s="222"/>
      <c r="QY9" s="222"/>
      <c r="QZ9" s="222"/>
      <c r="RA9" s="222"/>
      <c r="RB9" s="222"/>
      <c r="RC9" s="222"/>
      <c r="RD9" s="222"/>
      <c r="RE9" s="222"/>
      <c r="RF9" s="222"/>
      <c r="RG9" s="222"/>
      <c r="RH9" s="222"/>
      <c r="RI9" s="222"/>
      <c r="RJ9" s="222"/>
      <c r="RK9" s="222"/>
      <c r="RL9" s="222"/>
      <c r="RM9" s="222"/>
      <c r="RN9" s="222"/>
      <c r="RO9" s="222"/>
      <c r="RP9" s="222"/>
      <c r="RQ9" s="222"/>
      <c r="RR9" s="222"/>
      <c r="RS9" s="222"/>
      <c r="RT9" s="222"/>
      <c r="RU9" s="222"/>
      <c r="RV9" s="222"/>
      <c r="RW9" s="222"/>
      <c r="RX9" s="222"/>
      <c r="RY9" s="222"/>
      <c r="RZ9" s="222"/>
      <c r="SA9" s="222"/>
      <c r="SB9" s="222"/>
      <c r="SC9" s="222"/>
      <c r="SD9" s="222"/>
      <c r="SE9" s="222"/>
      <c r="SF9" s="222"/>
      <c r="SG9" s="222"/>
      <c r="SH9" s="222"/>
      <c r="SI9" s="222"/>
      <c r="SJ9" s="222"/>
      <c r="SK9" s="222"/>
      <c r="SL9" s="222"/>
      <c r="SM9" s="222"/>
      <c r="SN9" s="222"/>
      <c r="SO9" s="222"/>
      <c r="SP9" s="222"/>
      <c r="SQ9" s="222"/>
      <c r="SR9" s="222"/>
      <c r="SS9" s="222"/>
      <c r="ST9" s="222"/>
      <c r="SU9" s="222"/>
      <c r="SV9" s="222"/>
      <c r="SW9" s="222"/>
      <c r="SX9" s="222"/>
      <c r="SY9" s="222"/>
      <c r="SZ9" s="222"/>
      <c r="TA9" s="222"/>
      <c r="TB9" s="222"/>
      <c r="TC9" s="222"/>
      <c r="TD9" s="222"/>
      <c r="TE9" s="222"/>
      <c r="TF9" s="222"/>
      <c r="TG9" s="222"/>
      <c r="TH9" s="222"/>
      <c r="TI9" s="222"/>
      <c r="TJ9" s="222"/>
      <c r="TK9" s="222"/>
      <c r="TL9" s="222"/>
      <c r="TM9" s="222"/>
      <c r="TN9" s="222"/>
      <c r="TO9" s="222"/>
      <c r="TP9" s="222"/>
      <c r="TQ9" s="222"/>
      <c r="TR9" s="222"/>
      <c r="TS9" s="222"/>
      <c r="TT9" s="222"/>
      <c r="TU9" s="222"/>
      <c r="TV9" s="222"/>
      <c r="TW9" s="222"/>
      <c r="TX9" s="222"/>
      <c r="TY9" s="222"/>
      <c r="TZ9" s="222"/>
      <c r="UA9" s="222"/>
      <c r="UB9" s="222"/>
      <c r="UC9" s="222"/>
      <c r="UD9" s="222"/>
      <c r="UE9" s="222"/>
      <c r="UF9" s="222"/>
      <c r="UG9" s="222"/>
      <c r="UH9" s="222"/>
      <c r="UI9" s="222"/>
      <c r="UJ9" s="222"/>
      <c r="UK9" s="222"/>
      <c r="UL9" s="222"/>
      <c r="UM9" s="222"/>
      <c r="UN9" s="222"/>
      <c r="UO9" s="222"/>
      <c r="UP9" s="222"/>
      <c r="UQ9" s="222"/>
      <c r="UR9" s="222"/>
      <c r="US9" s="222"/>
      <c r="UT9" s="222"/>
      <c r="UU9" s="222"/>
      <c r="UV9" s="222"/>
      <c r="UW9" s="222"/>
      <c r="UX9" s="222"/>
      <c r="UY9" s="222"/>
      <c r="UZ9" s="222"/>
      <c r="VA9" s="222"/>
      <c r="VB9" s="222"/>
      <c r="VC9" s="222"/>
      <c r="VD9" s="222"/>
      <c r="VE9" s="222"/>
      <c r="VF9" s="222"/>
      <c r="VG9" s="222"/>
      <c r="VH9" s="222"/>
      <c r="VI9" s="222"/>
      <c r="VJ9" s="222"/>
      <c r="VK9" s="222"/>
      <c r="VL9" s="222"/>
      <c r="VM9" s="222"/>
      <c r="VN9" s="222"/>
      <c r="VO9" s="222"/>
      <c r="VP9" s="222"/>
      <c r="VQ9" s="222"/>
      <c r="VR9" s="222"/>
      <c r="VS9" s="222"/>
      <c r="VT9" s="222"/>
      <c r="VU9" s="222"/>
      <c r="VV9" s="222"/>
      <c r="VW9" s="222"/>
      <c r="VX9" s="222"/>
      <c r="VY9" s="222"/>
      <c r="VZ9" s="222"/>
      <c r="WA9" s="222"/>
      <c r="WB9" s="222"/>
      <c r="WC9" s="222"/>
      <c r="WD9" s="222"/>
      <c r="WE9" s="222"/>
      <c r="WF9" s="222"/>
      <c r="WG9" s="222"/>
      <c r="WH9" s="222"/>
      <c r="WI9" s="222"/>
      <c r="WJ9" s="222"/>
      <c r="WK9" s="222"/>
      <c r="WL9" s="222"/>
      <c r="WM9" s="222"/>
      <c r="WN9" s="222"/>
      <c r="WO9" s="222"/>
      <c r="WP9" s="222"/>
      <c r="WQ9" s="222"/>
      <c r="WR9" s="222"/>
      <c r="WS9" s="222"/>
      <c r="WT9" s="222"/>
      <c r="WU9" s="222"/>
      <c r="WV9" s="222"/>
      <c r="WW9" s="222"/>
      <c r="WX9" s="222"/>
      <c r="WY9" s="222"/>
      <c r="WZ9" s="222"/>
      <c r="XA9" s="222"/>
      <c r="XB9" s="222"/>
      <c r="XC9" s="222"/>
      <c r="XD9" s="222"/>
      <c r="XE9" s="222"/>
      <c r="XF9" s="222"/>
      <c r="XG9" s="222"/>
      <c r="XH9" s="222"/>
      <c r="XI9" s="222"/>
      <c r="XJ9" s="222"/>
      <c r="XK9" s="222"/>
      <c r="XL9" s="222"/>
      <c r="XM9" s="222"/>
      <c r="XN9" s="222"/>
      <c r="XO9" s="222"/>
      <c r="XP9" s="222"/>
      <c r="XQ9" s="222"/>
      <c r="XR9" s="222"/>
      <c r="XS9" s="222"/>
      <c r="XT9" s="222"/>
      <c r="XU9" s="222"/>
      <c r="XV9" s="222"/>
      <c r="XW9" s="222"/>
      <c r="XX9" s="222"/>
      <c r="XY9" s="222"/>
      <c r="XZ9" s="222"/>
      <c r="YA9" s="222"/>
      <c r="YB9" s="222"/>
      <c r="YC9" s="222"/>
      <c r="YD9" s="222"/>
      <c r="YE9" s="222"/>
      <c r="YF9" s="222"/>
      <c r="YG9" s="222"/>
      <c r="YH9" s="222"/>
      <c r="YI9" s="222"/>
      <c r="YJ9" s="222"/>
      <c r="YK9" s="222"/>
      <c r="YL9" s="222"/>
      <c r="YM9" s="222"/>
      <c r="YN9" s="222"/>
      <c r="YO9" s="222"/>
      <c r="YP9" s="222"/>
      <c r="YQ9" s="222"/>
      <c r="YR9" s="222"/>
      <c r="YS9" s="222"/>
      <c r="YT9" s="222"/>
      <c r="YU9" s="222"/>
      <c r="YV9" s="222"/>
      <c r="YW9" s="222"/>
      <c r="YX9" s="222"/>
      <c r="YY9" s="222"/>
      <c r="YZ9" s="222"/>
      <c r="ZA9" s="222"/>
      <c r="ZB9" s="222"/>
      <c r="ZC9" s="222"/>
      <c r="ZD9" s="222"/>
      <c r="ZE9" s="222"/>
      <c r="ZF9" s="222"/>
      <c r="ZG9" s="222"/>
      <c r="ZH9" s="222"/>
      <c r="ZI9" s="222"/>
      <c r="ZJ9" s="222"/>
      <c r="ZK9" s="222"/>
      <c r="ZL9" s="222"/>
      <c r="ZM9" s="222"/>
      <c r="ZN9" s="222"/>
      <c r="ZO9" s="222"/>
      <c r="ZP9" s="222"/>
      <c r="ZQ9" s="222"/>
      <c r="ZR9" s="222"/>
      <c r="ZS9" s="222"/>
      <c r="ZT9" s="222"/>
      <c r="ZU9" s="222"/>
      <c r="ZV9" s="222"/>
      <c r="ZW9" s="222"/>
      <c r="ZX9" s="222"/>
      <c r="ZY9" s="222"/>
      <c r="ZZ9" s="222"/>
      <c r="AAA9" s="222"/>
      <c r="AAB9" s="222"/>
      <c r="AAC9" s="222"/>
      <c r="AAD9" s="222"/>
      <c r="AAE9" s="222"/>
      <c r="AAF9" s="222"/>
      <c r="AAG9" s="222"/>
      <c r="AAH9" s="222"/>
      <c r="AAI9" s="222"/>
      <c r="AAJ9" s="222"/>
      <c r="AAK9" s="222"/>
      <c r="AAL9" s="222"/>
      <c r="AAM9" s="222"/>
      <c r="AAN9" s="222"/>
      <c r="AAO9" s="222"/>
      <c r="AAP9" s="222"/>
      <c r="AAQ9" s="222"/>
      <c r="AAR9" s="222"/>
      <c r="AAS9" s="222"/>
      <c r="AAT9" s="222"/>
      <c r="AAU9" s="222"/>
      <c r="AAV9" s="222"/>
      <c r="AAW9" s="222"/>
      <c r="AAX9" s="222"/>
      <c r="AAY9" s="222"/>
      <c r="AAZ9" s="222"/>
      <c r="ABA9" s="222"/>
      <c r="ABB9" s="222"/>
      <c r="ABC9" s="222"/>
      <c r="ABD9" s="222"/>
      <c r="ABE9" s="222"/>
      <c r="ABF9" s="222"/>
      <c r="ABG9" s="222"/>
      <c r="ABH9" s="222"/>
      <c r="ABI9" s="222"/>
      <c r="ABJ9" s="222"/>
      <c r="ABK9" s="222"/>
      <c r="ABL9" s="222"/>
      <c r="ABM9" s="222"/>
      <c r="ABN9" s="222"/>
      <c r="ABO9" s="222"/>
      <c r="ABP9" s="222"/>
      <c r="ABQ9" s="222"/>
      <c r="ABR9" s="222"/>
      <c r="ABS9" s="222"/>
      <c r="ABT9" s="222"/>
      <c r="ABU9" s="222"/>
      <c r="ABV9" s="222"/>
      <c r="ABW9" s="222"/>
      <c r="ABX9" s="222"/>
      <c r="ABY9" s="222"/>
      <c r="ABZ9" s="222"/>
      <c r="ACA9" s="222"/>
      <c r="ACB9" s="222"/>
      <c r="ACC9" s="222"/>
      <c r="ACD9" s="222"/>
      <c r="ACE9" s="222"/>
      <c r="ACF9" s="222"/>
      <c r="ACG9" s="222"/>
      <c r="ACH9" s="222"/>
      <c r="ACI9" s="222"/>
      <c r="ACJ9" s="222"/>
      <c r="ACK9" s="222"/>
      <c r="ACL9" s="222"/>
      <c r="ACM9" s="222"/>
      <c r="ACN9" s="222"/>
      <c r="ACO9" s="222"/>
      <c r="ACP9" s="222"/>
      <c r="ACQ9" s="222"/>
      <c r="ACR9" s="222"/>
      <c r="ACS9" s="222"/>
      <c r="ACT9" s="222"/>
      <c r="ACU9" s="222"/>
      <c r="ACV9" s="222"/>
      <c r="ACW9" s="222"/>
      <c r="ACX9" s="222"/>
      <c r="ACY9" s="222"/>
      <c r="ACZ9" s="222"/>
      <c r="ADA9" s="222"/>
      <c r="ADB9" s="222"/>
      <c r="ADC9" s="222"/>
      <c r="ADD9" s="222"/>
      <c r="ADE9" s="222"/>
      <c r="ADF9" s="222"/>
      <c r="ADG9" s="222"/>
      <c r="ADH9" s="222"/>
      <c r="ADI9" s="222"/>
      <c r="ADJ9" s="222"/>
      <c r="ADK9" s="222"/>
      <c r="ADL9" s="222"/>
      <c r="ADM9" s="222"/>
      <c r="ADN9" s="222"/>
      <c r="ADO9" s="222"/>
      <c r="ADP9" s="222"/>
      <c r="ADQ9" s="222"/>
      <c r="ADR9" s="222"/>
      <c r="ADS9" s="222"/>
      <c r="ADT9" s="222"/>
      <c r="ADU9" s="222"/>
      <c r="ADV9" s="222"/>
      <c r="ADW9" s="222"/>
      <c r="ADX9" s="222"/>
      <c r="ADY9" s="222"/>
      <c r="ADZ9" s="222"/>
      <c r="AEA9" s="222"/>
      <c r="AEB9" s="222"/>
      <c r="AEC9" s="222"/>
      <c r="AED9" s="222"/>
      <c r="AEE9" s="222"/>
      <c r="AEF9" s="222"/>
      <c r="AEG9" s="222"/>
      <c r="AEH9" s="222"/>
      <c r="AEI9" s="222"/>
      <c r="AEJ9" s="222"/>
      <c r="AEK9" s="222"/>
      <c r="AEL9" s="222"/>
      <c r="AEM9" s="222"/>
      <c r="AEN9" s="222"/>
      <c r="AEO9" s="222"/>
      <c r="AEP9" s="222"/>
      <c r="AEQ9" s="222"/>
      <c r="AER9" s="222"/>
      <c r="AES9" s="222"/>
      <c r="AET9" s="222"/>
      <c r="AEU9" s="222"/>
      <c r="AEV9" s="222"/>
      <c r="AEW9" s="222"/>
      <c r="AEX9" s="222"/>
      <c r="AEY9" s="222"/>
      <c r="AEZ9" s="222"/>
      <c r="AFA9" s="222"/>
      <c r="AFB9" s="222"/>
      <c r="AFC9" s="222"/>
      <c r="AFD9" s="222"/>
      <c r="AFE9" s="222"/>
      <c r="AFF9" s="222"/>
      <c r="AFG9" s="222"/>
      <c r="AFH9" s="222"/>
      <c r="AFI9" s="222"/>
      <c r="AFJ9" s="222"/>
      <c r="AFK9" s="222"/>
      <c r="AFL9" s="222"/>
      <c r="AFM9" s="222"/>
      <c r="AFN9" s="222"/>
      <c r="AFO9" s="222"/>
      <c r="AFP9" s="222"/>
      <c r="AFQ9" s="222"/>
      <c r="AFR9" s="222"/>
      <c r="AFS9" s="222"/>
      <c r="AFT9" s="222"/>
      <c r="AFU9" s="222"/>
      <c r="AFV9" s="222"/>
      <c r="AFW9" s="222"/>
      <c r="AFX9" s="222"/>
      <c r="AFY9" s="222"/>
      <c r="AFZ9" s="222"/>
      <c r="AGA9" s="222"/>
      <c r="AGB9" s="222"/>
      <c r="AGC9" s="222"/>
      <c r="AGD9" s="222"/>
      <c r="AGE9" s="222"/>
      <c r="AGF9" s="222"/>
      <c r="AGG9" s="222"/>
      <c r="AGH9" s="222"/>
      <c r="AGI9" s="222"/>
      <c r="AGJ9" s="222"/>
      <c r="AGK9" s="222"/>
      <c r="AGL9" s="222"/>
      <c r="AGM9" s="222"/>
      <c r="AGN9" s="222"/>
      <c r="AGO9" s="222"/>
      <c r="AGP9" s="222"/>
      <c r="AGQ9" s="222"/>
      <c r="AGR9" s="222"/>
      <c r="AGS9" s="222"/>
      <c r="AGT9" s="222"/>
      <c r="AGU9" s="222"/>
      <c r="AGV9" s="222"/>
      <c r="AGW9" s="222"/>
      <c r="AGX9" s="222"/>
      <c r="AGY9" s="222"/>
      <c r="AGZ9" s="222"/>
      <c r="AHA9" s="222"/>
      <c r="AHB9" s="222"/>
      <c r="AHC9" s="222"/>
      <c r="AHD9" s="222"/>
      <c r="AHE9" s="222"/>
      <c r="AHF9" s="222"/>
      <c r="AHG9" s="222"/>
      <c r="AHH9" s="222"/>
      <c r="AHI9" s="222"/>
      <c r="AHJ9" s="222"/>
      <c r="AHK9" s="222"/>
      <c r="AHL9" s="222"/>
      <c r="AHM9" s="222"/>
      <c r="AHN9" s="222"/>
      <c r="AHO9" s="222"/>
      <c r="AHP9" s="222"/>
      <c r="AHQ9" s="222"/>
      <c r="AHR9" s="222"/>
      <c r="AHS9" s="222"/>
      <c r="AHT9" s="222"/>
      <c r="AHU9" s="222"/>
      <c r="AHV9" s="222"/>
      <c r="AHW9" s="222"/>
      <c r="AHX9" s="222"/>
      <c r="AHY9" s="222"/>
      <c r="AHZ9" s="222"/>
      <c r="AIA9" s="222"/>
      <c r="AIB9" s="222"/>
      <c r="AIC9" s="222"/>
      <c r="AID9" s="222"/>
      <c r="AIE9" s="222"/>
      <c r="AIF9" s="222"/>
      <c r="AIG9" s="222"/>
      <c r="AIH9" s="222"/>
      <c r="AII9" s="222"/>
      <c r="AIJ9" s="222"/>
      <c r="AIK9" s="222"/>
      <c r="AIL9" s="222"/>
      <c r="AIM9" s="222"/>
      <c r="AIN9" s="222"/>
      <c r="AIO9" s="222"/>
      <c r="AIP9" s="222"/>
      <c r="AIQ9" s="222"/>
      <c r="AIR9" s="222"/>
      <c r="AIS9" s="222"/>
      <c r="AIT9" s="222"/>
      <c r="AIU9" s="222"/>
      <c r="AIV9" s="222"/>
      <c r="AIW9" s="222"/>
      <c r="AIX9" s="222"/>
      <c r="AIY9" s="222"/>
      <c r="AIZ9" s="222"/>
      <c r="AJA9" s="222"/>
      <c r="AJB9" s="222"/>
      <c r="AJC9" s="222"/>
      <c r="AJD9" s="222"/>
      <c r="AJE9" s="222"/>
      <c r="AJF9" s="222"/>
      <c r="AJG9" s="222"/>
      <c r="AJH9" s="222"/>
      <c r="AJI9" s="222"/>
      <c r="AJJ9" s="222"/>
      <c r="AJK9" s="222"/>
      <c r="AJL9" s="222"/>
      <c r="AJM9" s="222"/>
      <c r="AJN9" s="222"/>
      <c r="AJO9" s="222"/>
      <c r="AJP9" s="222"/>
      <c r="AJQ9" s="222"/>
      <c r="AJR9" s="222"/>
      <c r="AJS9" s="222"/>
      <c r="AJT9" s="222"/>
      <c r="AJU9" s="222"/>
      <c r="AJV9" s="222"/>
      <c r="AJW9" s="222"/>
      <c r="AJX9" s="222"/>
      <c r="AJY9" s="222"/>
      <c r="AJZ9" s="222"/>
      <c r="AKA9" s="222"/>
      <c r="AKB9" s="222"/>
      <c r="AKC9" s="222"/>
      <c r="AKD9" s="222"/>
      <c r="AKE9" s="222"/>
      <c r="AKF9" s="222"/>
      <c r="AKG9" s="222"/>
      <c r="AKH9" s="222"/>
      <c r="AKI9" s="222"/>
      <c r="AKJ9" s="222"/>
      <c r="AKK9" s="222"/>
      <c r="AKL9" s="222"/>
      <c r="AKM9" s="222"/>
      <c r="AKN9" s="222"/>
      <c r="AKO9" s="222"/>
      <c r="AKP9" s="222"/>
      <c r="AKQ9" s="222"/>
      <c r="AKR9" s="222"/>
      <c r="AKS9" s="222"/>
      <c r="AKT9" s="222"/>
      <c r="AKU9" s="222"/>
      <c r="AKV9" s="222"/>
      <c r="AKW9" s="222"/>
      <c r="AKX9" s="222"/>
      <c r="AKY9" s="222"/>
      <c r="AKZ9" s="222"/>
      <c r="ALA9" s="222"/>
      <c r="ALB9" s="222"/>
      <c r="ALC9" s="222"/>
      <c r="ALD9" s="222"/>
      <c r="ALE9" s="222"/>
      <c r="ALF9" s="222"/>
      <c r="ALG9" s="222"/>
      <c r="ALH9" s="222"/>
      <c r="ALI9" s="222"/>
      <c r="ALJ9" s="222"/>
      <c r="ALK9" s="222"/>
      <c r="ALL9" s="222"/>
      <c r="ALM9" s="222"/>
      <c r="ALN9" s="222"/>
      <c r="ALO9" s="222"/>
      <c r="ALP9" s="222"/>
      <c r="ALQ9" s="222"/>
      <c r="ALR9" s="222"/>
      <c r="ALS9" s="222"/>
      <c r="ALT9" s="222"/>
      <c r="ALU9" s="222"/>
      <c r="ALV9" s="222"/>
      <c r="ALW9" s="222"/>
      <c r="ALX9" s="222"/>
      <c r="ALY9" s="222"/>
      <c r="ALZ9" s="222"/>
      <c r="AMA9" s="222"/>
      <c r="AMB9" s="222"/>
      <c r="AMC9" s="222"/>
      <c r="AMD9" s="222"/>
      <c r="AME9" s="222"/>
      <c r="AMF9" s="222"/>
      <c r="AMG9" s="222"/>
      <c r="AMH9" s="222"/>
      <c r="AMI9" s="222"/>
      <c r="AMJ9" s="222"/>
      <c r="AMK9" s="222"/>
      <c r="AML9" s="222"/>
      <c r="AMM9" s="222"/>
      <c r="AMN9" s="222"/>
      <c r="AMO9" s="222"/>
      <c r="AMP9" s="222"/>
      <c r="AMQ9" s="222"/>
      <c r="AMR9" s="222"/>
      <c r="AMS9" s="222"/>
      <c r="AMT9" s="222"/>
      <c r="AMU9" s="222"/>
      <c r="AMV9" s="222"/>
      <c r="AMW9" s="222"/>
      <c r="AMX9" s="222"/>
      <c r="AMY9" s="222"/>
      <c r="AMZ9" s="222"/>
      <c r="ANA9" s="222"/>
      <c r="ANB9" s="222"/>
      <c r="ANC9" s="222"/>
      <c r="AND9" s="222"/>
      <c r="ANE9" s="222"/>
      <c r="ANF9" s="222"/>
      <c r="ANG9" s="222"/>
      <c r="ANH9" s="222"/>
      <c r="ANI9" s="222"/>
      <c r="ANJ9" s="222"/>
      <c r="ANK9" s="222"/>
      <c r="ANL9" s="222"/>
      <c r="ANM9" s="222"/>
      <c r="ANN9" s="222"/>
      <c r="ANO9" s="222"/>
      <c r="ANP9" s="222"/>
      <c r="ANQ9" s="222"/>
      <c r="ANR9" s="222"/>
      <c r="ANS9" s="222"/>
      <c r="ANT9" s="222"/>
      <c r="ANU9" s="222"/>
      <c r="ANV9" s="222"/>
      <c r="ANW9" s="222"/>
      <c r="ANX9" s="222"/>
      <c r="ANY9" s="222"/>
      <c r="ANZ9" s="222"/>
      <c r="AOA9" s="222"/>
      <c r="AOB9" s="222"/>
      <c r="AOC9" s="222"/>
      <c r="AOD9" s="222"/>
      <c r="AOE9" s="222"/>
      <c r="AOF9" s="222"/>
      <c r="AOG9" s="222"/>
      <c r="AOH9" s="222"/>
      <c r="AOI9" s="222"/>
      <c r="AOJ9" s="222"/>
      <c r="AOK9" s="222"/>
      <c r="AOL9" s="222"/>
      <c r="AOM9" s="222"/>
      <c r="AON9" s="222"/>
      <c r="AOO9" s="222"/>
      <c r="AOP9" s="222"/>
      <c r="AOQ9" s="222"/>
      <c r="AOR9" s="222"/>
      <c r="AOS9" s="222"/>
      <c r="AOT9" s="222"/>
      <c r="AOU9" s="222"/>
      <c r="AOV9" s="222"/>
      <c r="AOW9" s="222"/>
      <c r="AOX9" s="222"/>
      <c r="AOY9" s="222"/>
      <c r="AOZ9" s="222"/>
      <c r="APA9" s="222"/>
      <c r="APB9" s="222"/>
      <c r="APC9" s="222"/>
      <c r="APD9" s="222"/>
      <c r="APE9" s="222"/>
      <c r="APF9" s="222"/>
      <c r="APG9" s="222"/>
      <c r="APH9" s="222"/>
      <c r="API9" s="222"/>
      <c r="APJ9" s="222"/>
      <c r="APK9" s="222"/>
      <c r="APL9" s="222"/>
      <c r="APM9" s="222"/>
      <c r="APN9" s="222"/>
      <c r="APO9" s="222"/>
      <c r="APP9" s="222"/>
      <c r="APQ9" s="222"/>
      <c r="APR9" s="222"/>
      <c r="APS9" s="222"/>
      <c r="APT9" s="222"/>
      <c r="APU9" s="222"/>
      <c r="APV9" s="222"/>
      <c r="APW9" s="222"/>
      <c r="APX9" s="222"/>
      <c r="APY9" s="222"/>
      <c r="APZ9" s="222"/>
      <c r="AQA9" s="222"/>
      <c r="AQB9" s="222"/>
      <c r="AQC9" s="222"/>
      <c r="AQD9" s="222"/>
      <c r="AQE9" s="222"/>
      <c r="AQF9" s="222"/>
      <c r="AQG9" s="222"/>
      <c r="AQH9" s="222"/>
      <c r="AQI9" s="222"/>
      <c r="AQJ9" s="222"/>
      <c r="AQK9" s="222"/>
      <c r="AQL9" s="222"/>
      <c r="AQM9" s="222"/>
      <c r="AQN9" s="222"/>
      <c r="AQO9" s="222"/>
      <c r="AQP9" s="222"/>
      <c r="AQQ9" s="222"/>
      <c r="AQR9" s="222"/>
      <c r="AQS9" s="222"/>
      <c r="AQT9" s="222"/>
      <c r="AQU9" s="222"/>
      <c r="AQV9" s="222"/>
      <c r="AQW9" s="222"/>
      <c r="AQX9" s="222"/>
      <c r="AQY9" s="222"/>
      <c r="AQZ9" s="222"/>
      <c r="ARA9" s="222"/>
      <c r="ARB9" s="222"/>
      <c r="ARC9" s="222"/>
      <c r="ARD9" s="222"/>
      <c r="ARE9" s="222"/>
      <c r="ARF9" s="222"/>
      <c r="ARG9" s="222"/>
      <c r="ARH9" s="222"/>
      <c r="ARI9" s="222"/>
      <c r="ARJ9" s="222"/>
      <c r="ARK9" s="222"/>
      <c r="ARL9" s="222"/>
      <c r="ARM9" s="222"/>
      <c r="ARN9" s="222"/>
      <c r="ARO9" s="222"/>
      <c r="ARP9" s="222"/>
      <c r="ARQ9" s="222"/>
      <c r="ARR9" s="222"/>
      <c r="ARS9" s="222"/>
      <c r="ART9" s="222"/>
      <c r="ARU9" s="222"/>
      <c r="ARV9" s="222"/>
      <c r="ARW9" s="222"/>
      <c r="ARX9" s="222"/>
      <c r="ARY9" s="222"/>
      <c r="ARZ9" s="222"/>
      <c r="ASA9" s="222"/>
      <c r="ASB9" s="222"/>
      <c r="ASC9" s="222"/>
      <c r="ASD9" s="222"/>
      <c r="ASE9" s="222"/>
      <c r="ASF9" s="222"/>
      <c r="ASG9" s="222"/>
      <c r="ASH9" s="222"/>
      <c r="ASI9" s="222"/>
      <c r="ASJ9" s="222"/>
      <c r="ASK9" s="222"/>
      <c r="ASL9" s="222"/>
      <c r="ASM9" s="222"/>
      <c r="ASN9" s="222"/>
      <c r="ASO9" s="222"/>
      <c r="ASP9" s="222"/>
      <c r="ASQ9" s="222"/>
      <c r="ASR9" s="222"/>
      <c r="ASS9" s="222"/>
      <c r="AST9" s="222"/>
      <c r="ASU9" s="222"/>
      <c r="ASV9" s="222"/>
      <c r="ASW9" s="222"/>
      <c r="ASX9" s="222"/>
      <c r="ASY9" s="222"/>
      <c r="ASZ9" s="222"/>
      <c r="ATA9" s="222"/>
      <c r="ATB9" s="222"/>
      <c r="ATC9" s="222"/>
      <c r="ATD9" s="222"/>
      <c r="ATE9" s="222"/>
      <c r="ATF9" s="222"/>
      <c r="ATG9" s="222"/>
      <c r="ATH9" s="222"/>
      <c r="ATI9" s="222"/>
      <c r="ATJ9" s="222"/>
      <c r="ATK9" s="222"/>
      <c r="ATL9" s="222"/>
      <c r="ATM9" s="222"/>
      <c r="ATN9" s="222"/>
      <c r="ATO9" s="222"/>
      <c r="ATP9" s="222"/>
      <c r="ATQ9" s="222"/>
      <c r="ATR9" s="222"/>
      <c r="ATS9" s="222"/>
      <c r="ATT9" s="222"/>
      <c r="ATU9" s="222"/>
      <c r="ATV9" s="222"/>
      <c r="ATW9" s="222"/>
      <c r="ATX9" s="222"/>
      <c r="ATY9" s="222"/>
      <c r="ATZ9" s="222"/>
      <c r="AUA9" s="222"/>
      <c r="AUB9" s="222"/>
      <c r="AUC9" s="222"/>
      <c r="AUD9" s="222"/>
      <c r="AUE9" s="222"/>
      <c r="AUF9" s="222"/>
      <c r="AUG9" s="222"/>
      <c r="AUH9" s="222"/>
      <c r="AUI9" s="222"/>
      <c r="AUJ9" s="222"/>
      <c r="AUK9" s="222"/>
      <c r="AUL9" s="222"/>
      <c r="AUM9" s="222"/>
      <c r="AUN9" s="222"/>
      <c r="AUO9" s="222"/>
      <c r="AUP9" s="222"/>
      <c r="AUQ9" s="222"/>
      <c r="AUR9" s="222"/>
      <c r="AUS9" s="222"/>
      <c r="AUT9" s="222"/>
      <c r="AUU9" s="222"/>
      <c r="AUV9" s="222"/>
      <c r="AUW9" s="222"/>
      <c r="AUX9" s="222"/>
      <c r="AUY9" s="222"/>
      <c r="AUZ9" s="222"/>
      <c r="AVA9" s="222"/>
      <c r="AVB9" s="222"/>
      <c r="AVC9" s="222"/>
      <c r="AVD9" s="222"/>
      <c r="AVE9" s="222"/>
      <c r="AVF9" s="222"/>
      <c r="AVG9" s="222"/>
      <c r="AVH9" s="222"/>
      <c r="AVI9" s="222"/>
      <c r="AVJ9" s="222"/>
      <c r="AVK9" s="222"/>
      <c r="AVL9" s="222"/>
      <c r="AVM9" s="222"/>
      <c r="AVN9" s="222"/>
      <c r="AVO9" s="222"/>
      <c r="AVP9" s="222"/>
      <c r="AVQ9" s="222"/>
      <c r="AVR9" s="222"/>
      <c r="AVS9" s="222"/>
      <c r="AVT9" s="222"/>
      <c r="AVU9" s="222"/>
      <c r="AVV9" s="222"/>
      <c r="AVW9" s="222"/>
      <c r="AVX9" s="222"/>
      <c r="AVY9" s="222"/>
      <c r="AVZ9" s="222"/>
      <c r="AWA9" s="222"/>
      <c r="AWB9" s="222"/>
      <c r="AWC9" s="222"/>
      <c r="AWD9" s="222"/>
      <c r="AWE9" s="222"/>
      <c r="AWF9" s="222"/>
      <c r="AWG9" s="222"/>
      <c r="AWH9" s="222"/>
      <c r="AWI9" s="222"/>
      <c r="AWJ9" s="222"/>
      <c r="AWK9" s="222"/>
      <c r="AWL9" s="222"/>
      <c r="AWM9" s="222"/>
      <c r="AWN9" s="222"/>
      <c r="AWO9" s="222"/>
      <c r="AWP9" s="222"/>
      <c r="AWQ9" s="222"/>
      <c r="AWR9" s="222"/>
      <c r="AWS9" s="222"/>
      <c r="AWT9" s="222"/>
      <c r="AWU9" s="222"/>
      <c r="AWV9" s="222"/>
      <c r="AWW9" s="222"/>
      <c r="AWX9" s="222"/>
      <c r="AWY9" s="222"/>
      <c r="AWZ9" s="222"/>
      <c r="AXA9" s="222"/>
      <c r="AXB9" s="222"/>
      <c r="AXC9" s="222"/>
      <c r="AXD9" s="222"/>
      <c r="AXE9" s="222"/>
      <c r="AXF9" s="222"/>
      <c r="AXG9" s="222"/>
      <c r="AXH9" s="222"/>
      <c r="AXI9" s="222"/>
      <c r="AXJ9" s="222"/>
      <c r="AXK9" s="222"/>
      <c r="AXL9" s="222"/>
      <c r="AXM9" s="222"/>
      <c r="AXN9" s="222"/>
      <c r="AXO9" s="222"/>
      <c r="AXP9" s="222"/>
      <c r="AXQ9" s="222"/>
      <c r="AXR9" s="222"/>
      <c r="AXS9" s="222"/>
      <c r="AXT9" s="222"/>
      <c r="AXU9" s="222"/>
      <c r="AXV9" s="222"/>
      <c r="AXW9" s="222"/>
      <c r="AXX9" s="222"/>
      <c r="AXY9" s="222"/>
      <c r="AXZ9" s="222"/>
      <c r="AYA9" s="222"/>
      <c r="AYB9" s="222"/>
      <c r="AYC9" s="222"/>
      <c r="AYD9" s="222"/>
      <c r="AYE9" s="222"/>
      <c r="AYF9" s="222"/>
      <c r="AYG9" s="222"/>
      <c r="AYH9" s="222"/>
      <c r="AYI9" s="222"/>
      <c r="AYJ9" s="222"/>
      <c r="AYK9" s="222"/>
      <c r="AYL9" s="222"/>
      <c r="AYM9" s="222"/>
      <c r="AYN9" s="222"/>
      <c r="AYO9" s="222"/>
      <c r="AYP9" s="222"/>
      <c r="AYQ9" s="222"/>
      <c r="AYR9" s="222"/>
      <c r="AYS9" s="222"/>
      <c r="AYT9" s="222"/>
      <c r="AYU9" s="222"/>
      <c r="AYV9" s="222"/>
      <c r="AYW9" s="222"/>
      <c r="AYX9" s="222"/>
      <c r="AYY9" s="222"/>
      <c r="AYZ9" s="222"/>
      <c r="AZA9" s="222"/>
      <c r="AZB9" s="222"/>
      <c r="AZC9" s="222"/>
      <c r="AZD9" s="222"/>
      <c r="AZE9" s="222"/>
      <c r="AZF9" s="222"/>
      <c r="AZG9" s="222"/>
      <c r="AZH9" s="222"/>
      <c r="AZI9" s="222"/>
      <c r="AZJ9" s="222"/>
      <c r="AZK9" s="222"/>
      <c r="AZL9" s="222"/>
      <c r="AZM9" s="222"/>
      <c r="AZN9" s="222"/>
      <c r="AZO9" s="222"/>
      <c r="AZP9" s="222"/>
      <c r="AZQ9" s="222"/>
      <c r="AZR9" s="222"/>
      <c r="AZS9" s="222"/>
      <c r="AZT9" s="222"/>
      <c r="AZU9" s="222"/>
      <c r="AZV9" s="222"/>
      <c r="AZW9" s="222"/>
      <c r="AZX9" s="222"/>
      <c r="AZY9" s="222"/>
      <c r="AZZ9" s="222"/>
      <c r="BAA9" s="222"/>
      <c r="BAB9" s="222"/>
      <c r="BAC9" s="222"/>
      <c r="BAD9" s="222"/>
      <c r="BAE9" s="222"/>
      <c r="BAF9" s="222"/>
      <c r="BAG9" s="222"/>
      <c r="BAH9" s="222"/>
      <c r="BAI9" s="222"/>
      <c r="BAJ9" s="222"/>
      <c r="BAK9" s="222"/>
      <c r="BAL9" s="222"/>
      <c r="BAM9" s="222"/>
      <c r="BAN9" s="222"/>
      <c r="BAO9" s="222"/>
      <c r="BAP9" s="222"/>
      <c r="BAQ9" s="222"/>
      <c r="BAR9" s="222"/>
      <c r="BAS9" s="222"/>
      <c r="BAT9" s="222"/>
      <c r="BAU9" s="222"/>
      <c r="BAV9" s="222"/>
      <c r="BAW9" s="222"/>
      <c r="BAX9" s="222"/>
      <c r="BAY9" s="222"/>
      <c r="BAZ9" s="222"/>
      <c r="BBA9" s="222"/>
      <c r="BBB9" s="222"/>
      <c r="BBC9" s="222"/>
      <c r="BBD9" s="222"/>
      <c r="BBE9" s="222"/>
      <c r="BBF9" s="222"/>
      <c r="BBG9" s="222"/>
      <c r="BBH9" s="222"/>
      <c r="BBI9" s="222"/>
      <c r="BBJ9" s="222"/>
      <c r="BBK9" s="222"/>
      <c r="BBL9" s="222"/>
      <c r="BBM9" s="222"/>
      <c r="BBN9" s="222"/>
      <c r="BBO9" s="222"/>
      <c r="BBP9" s="222"/>
      <c r="BBQ9" s="222"/>
      <c r="BBR9" s="222"/>
      <c r="BBS9" s="222"/>
      <c r="BBT9" s="222"/>
      <c r="BBU9" s="222"/>
      <c r="BBV9" s="222"/>
      <c r="BBW9" s="222"/>
      <c r="BBX9" s="222"/>
      <c r="BBY9" s="222"/>
      <c r="BBZ9" s="222"/>
      <c r="BCA9" s="222"/>
      <c r="BCB9" s="222"/>
      <c r="BCC9" s="222"/>
      <c r="BCD9" s="222"/>
      <c r="BCE9" s="222"/>
      <c r="BCF9" s="222"/>
      <c r="BCG9" s="222"/>
      <c r="BCH9" s="222"/>
      <c r="BCI9" s="222"/>
      <c r="BCJ9" s="222"/>
      <c r="BCK9" s="222"/>
      <c r="BCL9" s="222"/>
      <c r="BCM9" s="222"/>
      <c r="BCN9" s="222"/>
      <c r="BCO9" s="222"/>
      <c r="BCP9" s="222"/>
      <c r="BCQ9" s="222"/>
      <c r="BCR9" s="222"/>
      <c r="BCS9" s="222"/>
      <c r="BCT9" s="222"/>
      <c r="BCU9" s="222"/>
      <c r="BCV9" s="222"/>
      <c r="BCW9" s="222"/>
      <c r="BCX9" s="222"/>
      <c r="BCY9" s="222"/>
      <c r="BCZ9" s="222"/>
      <c r="BDA9" s="222"/>
      <c r="BDB9" s="222"/>
      <c r="BDC9" s="222"/>
      <c r="BDD9" s="222"/>
      <c r="BDE9" s="222"/>
      <c r="BDF9" s="222"/>
      <c r="BDG9" s="222"/>
      <c r="BDH9" s="222"/>
      <c r="BDI9" s="222"/>
      <c r="BDJ9" s="222"/>
      <c r="BDK9" s="222"/>
      <c r="BDL9" s="222"/>
      <c r="BDM9" s="222"/>
      <c r="BDN9" s="222"/>
      <c r="BDO9" s="222"/>
      <c r="BDP9" s="222"/>
      <c r="BDQ9" s="222"/>
      <c r="BDR9" s="222"/>
      <c r="BDS9" s="222"/>
      <c r="BDT9" s="222"/>
      <c r="BDU9" s="222"/>
      <c r="BDV9" s="222"/>
      <c r="BDW9" s="222"/>
      <c r="BDX9" s="222"/>
      <c r="BDY9" s="222"/>
      <c r="BDZ9" s="222"/>
      <c r="BEA9" s="222"/>
      <c r="BEB9" s="222"/>
      <c r="BEC9" s="222"/>
      <c r="BED9" s="222"/>
      <c r="BEE9" s="222"/>
      <c r="BEF9" s="222"/>
      <c r="BEG9" s="222"/>
      <c r="BEH9" s="222"/>
      <c r="BEI9" s="222"/>
      <c r="BEJ9" s="222"/>
      <c r="BEK9" s="222"/>
      <c r="BEL9" s="222"/>
      <c r="BEM9" s="222"/>
      <c r="BEN9" s="222"/>
      <c r="BEO9" s="222"/>
      <c r="BEP9" s="222"/>
      <c r="BEQ9" s="222"/>
      <c r="BER9" s="222"/>
      <c r="BES9" s="222"/>
      <c r="BET9" s="222"/>
      <c r="BEU9" s="222"/>
      <c r="BEV9" s="222"/>
      <c r="BEW9" s="222"/>
      <c r="BEX9" s="222"/>
      <c r="BEY9" s="222"/>
      <c r="BEZ9" s="222"/>
      <c r="BFA9" s="222"/>
      <c r="BFB9" s="222"/>
      <c r="BFC9" s="222"/>
      <c r="BFD9" s="222"/>
      <c r="BFE9" s="222"/>
      <c r="BFF9" s="222"/>
      <c r="BFG9" s="222"/>
      <c r="BFH9" s="222"/>
      <c r="BFI9" s="222"/>
      <c r="BFJ9" s="222"/>
      <c r="BFK9" s="222"/>
      <c r="BFL9" s="222"/>
      <c r="BFM9" s="222"/>
      <c r="BFN9" s="222"/>
      <c r="BFO9" s="222"/>
      <c r="BFP9" s="222"/>
      <c r="BFQ9" s="222"/>
      <c r="BFR9" s="222"/>
      <c r="BFS9" s="222"/>
      <c r="BFT9" s="222"/>
      <c r="BFU9" s="222"/>
      <c r="BFV9" s="222"/>
      <c r="BFW9" s="222"/>
      <c r="BFX9" s="222"/>
      <c r="BFY9" s="222"/>
      <c r="BFZ9" s="222"/>
      <c r="BGA9" s="222"/>
      <c r="BGB9" s="222"/>
      <c r="BGC9" s="222"/>
      <c r="BGD9" s="222"/>
      <c r="BGE9" s="222"/>
      <c r="BGF9" s="222"/>
      <c r="BGG9" s="222"/>
      <c r="BGH9" s="222"/>
      <c r="BGI9" s="222"/>
      <c r="BGJ9" s="222"/>
      <c r="BGK9" s="222"/>
      <c r="BGL9" s="222"/>
      <c r="BGM9" s="222"/>
      <c r="BGN9" s="222"/>
      <c r="BGO9" s="222"/>
      <c r="BGP9" s="222"/>
      <c r="BGQ9" s="222"/>
      <c r="BGR9" s="222"/>
      <c r="BGS9" s="222"/>
      <c r="BGT9" s="222"/>
      <c r="BGU9" s="222"/>
      <c r="BGV9" s="222"/>
      <c r="BGW9" s="222"/>
      <c r="BGX9" s="222"/>
      <c r="BGY9" s="222"/>
      <c r="BGZ9" s="222"/>
      <c r="BHA9" s="222"/>
      <c r="BHB9" s="222"/>
      <c r="BHC9" s="222"/>
      <c r="BHD9" s="222"/>
      <c r="BHE9" s="222"/>
      <c r="BHF9" s="222"/>
      <c r="BHG9" s="222"/>
      <c r="BHH9" s="222"/>
      <c r="BHI9" s="222"/>
      <c r="BHJ9" s="222"/>
      <c r="BHK9" s="222"/>
      <c r="BHL9" s="222"/>
      <c r="BHM9" s="222"/>
      <c r="BHN9" s="222"/>
      <c r="BHO9" s="222"/>
      <c r="BHP9" s="222"/>
      <c r="BHQ9" s="222"/>
      <c r="BHR9" s="222"/>
      <c r="BHS9" s="222"/>
      <c r="BHT9" s="222"/>
      <c r="BHU9" s="222"/>
      <c r="BHV9" s="222"/>
      <c r="BHW9" s="222"/>
      <c r="BHX9" s="222"/>
      <c r="BHY9" s="222"/>
      <c r="BHZ9" s="222"/>
      <c r="BIA9" s="222"/>
      <c r="BIB9" s="222"/>
      <c r="BIC9" s="222"/>
      <c r="BID9" s="222"/>
      <c r="BIE9" s="222"/>
      <c r="BIF9" s="222"/>
      <c r="BIG9" s="222"/>
      <c r="BIH9" s="222"/>
      <c r="BII9" s="222"/>
      <c r="BIJ9" s="222"/>
      <c r="BIK9" s="222"/>
      <c r="BIL9" s="222"/>
      <c r="BIM9" s="222"/>
      <c r="BIN9" s="222"/>
      <c r="BIO9" s="222"/>
      <c r="BIP9" s="222"/>
      <c r="BIQ9" s="222"/>
      <c r="BIR9" s="222"/>
      <c r="BIS9" s="222"/>
      <c r="BIT9" s="222"/>
      <c r="BIU9" s="222"/>
      <c r="BIV9" s="222"/>
      <c r="BIW9" s="222"/>
      <c r="BIX9" s="222"/>
      <c r="BIY9" s="222"/>
      <c r="BIZ9" s="222"/>
      <c r="BJA9" s="222"/>
      <c r="BJB9" s="222"/>
      <c r="BJC9" s="222"/>
      <c r="BJD9" s="222"/>
      <c r="BJE9" s="222"/>
      <c r="BJF9" s="222"/>
      <c r="BJG9" s="222"/>
      <c r="BJH9" s="222"/>
      <c r="BJI9" s="222"/>
      <c r="BJJ9" s="222"/>
      <c r="BJK9" s="222"/>
      <c r="BJL9" s="222"/>
      <c r="BJM9" s="222"/>
      <c r="BJN9" s="222"/>
      <c r="BJO9" s="222"/>
      <c r="BJP9" s="222"/>
      <c r="BJQ9" s="222"/>
      <c r="BJR9" s="222"/>
      <c r="BJS9" s="222"/>
      <c r="BJT9" s="222"/>
      <c r="BJU9" s="222"/>
      <c r="BJV9" s="222"/>
      <c r="BJW9" s="222"/>
      <c r="BJX9" s="222"/>
      <c r="BJY9" s="222"/>
      <c r="BJZ9" s="222"/>
      <c r="BKA9" s="222"/>
      <c r="BKB9" s="222"/>
      <c r="BKC9" s="222"/>
      <c r="BKD9" s="222"/>
      <c r="BKE9" s="222"/>
      <c r="BKF9" s="222"/>
      <c r="BKG9" s="222"/>
      <c r="BKH9" s="222"/>
      <c r="BKI9" s="222"/>
      <c r="BKJ9" s="222"/>
      <c r="BKK9" s="222"/>
      <c r="BKL9" s="222"/>
      <c r="BKM9" s="222"/>
      <c r="BKN9" s="222"/>
      <c r="BKO9" s="222"/>
      <c r="BKP9" s="222"/>
      <c r="BKQ9" s="222"/>
      <c r="BKR9" s="222"/>
      <c r="BKS9" s="222"/>
      <c r="BKT9" s="222"/>
      <c r="BKU9" s="222"/>
      <c r="BKV9" s="222"/>
      <c r="BKW9" s="222"/>
      <c r="BKX9" s="222"/>
      <c r="BKY9" s="222"/>
      <c r="BKZ9" s="222"/>
      <c r="BLA9" s="222"/>
      <c r="BLB9" s="222"/>
      <c r="BLC9" s="222"/>
      <c r="BLD9" s="222"/>
      <c r="BLE9" s="222"/>
      <c r="BLF9" s="222"/>
      <c r="BLG9" s="222"/>
      <c r="BLH9" s="222"/>
      <c r="BLI9" s="222"/>
      <c r="BLJ9" s="222"/>
      <c r="BLK9" s="222"/>
      <c r="BLL9" s="222"/>
      <c r="BLM9" s="222"/>
      <c r="BLN9" s="222"/>
      <c r="BLO9" s="222"/>
      <c r="BLP9" s="222"/>
      <c r="BLQ9" s="222"/>
      <c r="BLR9" s="222"/>
      <c r="BLS9" s="222"/>
      <c r="BLT9" s="222"/>
      <c r="BLU9" s="222"/>
      <c r="BLV9" s="222"/>
      <c r="BLW9" s="222"/>
      <c r="BLX9" s="222"/>
      <c r="BLY9" s="222"/>
      <c r="BLZ9" s="222"/>
      <c r="BMA9" s="222"/>
      <c r="BMB9" s="222"/>
      <c r="BMC9" s="222"/>
      <c r="BMD9" s="222"/>
      <c r="BME9" s="222"/>
      <c r="BMF9" s="222"/>
      <c r="BMG9" s="222"/>
      <c r="BMH9" s="222"/>
      <c r="BMI9" s="222"/>
      <c r="BMJ9" s="222"/>
      <c r="BMK9" s="222"/>
      <c r="BML9" s="222"/>
      <c r="BMM9" s="222"/>
      <c r="BMN9" s="222"/>
      <c r="BMO9" s="222"/>
      <c r="BMP9" s="222"/>
      <c r="BMQ9" s="222"/>
      <c r="BMR9" s="222"/>
      <c r="BMS9" s="222"/>
      <c r="BMT9" s="222"/>
      <c r="BMU9" s="222"/>
      <c r="BMV9" s="222"/>
      <c r="BMW9" s="222"/>
      <c r="BMX9" s="222"/>
      <c r="BMY9" s="222"/>
      <c r="BMZ9" s="222"/>
      <c r="BNA9" s="222"/>
      <c r="BNB9" s="222"/>
      <c r="BNC9" s="222"/>
      <c r="BND9" s="222"/>
      <c r="BNE9" s="222"/>
      <c r="BNF9" s="222"/>
      <c r="BNG9" s="222"/>
      <c r="BNH9" s="222"/>
      <c r="BNI9" s="222"/>
      <c r="BNJ9" s="222"/>
      <c r="BNK9" s="222"/>
      <c r="BNL9" s="222"/>
      <c r="BNM9" s="222"/>
      <c r="BNN9" s="222"/>
      <c r="BNO9" s="222"/>
      <c r="BNP9" s="222"/>
      <c r="BNQ9" s="222"/>
      <c r="BNR9" s="222"/>
      <c r="BNS9" s="222"/>
      <c r="BNT9" s="222"/>
      <c r="BNU9" s="222"/>
      <c r="BNV9" s="222"/>
      <c r="BNW9" s="222"/>
      <c r="BNX9" s="222"/>
      <c r="BNY9" s="222"/>
      <c r="BNZ9" s="222"/>
      <c r="BOA9" s="222"/>
      <c r="BOB9" s="222"/>
      <c r="BOC9" s="222"/>
      <c r="BOD9" s="222"/>
      <c r="BOE9" s="222"/>
      <c r="BOF9" s="222"/>
      <c r="BOG9" s="222"/>
      <c r="BOH9" s="222"/>
      <c r="BOI9" s="222"/>
      <c r="BOJ9" s="222"/>
      <c r="BOK9" s="222"/>
      <c r="BOL9" s="222"/>
      <c r="BOM9" s="222"/>
      <c r="BON9" s="222"/>
      <c r="BOO9" s="222"/>
      <c r="BOP9" s="222"/>
      <c r="BOQ9" s="222"/>
      <c r="BOR9" s="222"/>
      <c r="BOS9" s="222"/>
      <c r="BOT9" s="222"/>
      <c r="BOU9" s="222"/>
      <c r="BOV9" s="222"/>
      <c r="BOW9" s="222"/>
      <c r="BOX9" s="222"/>
      <c r="BOY9" s="222"/>
      <c r="BOZ9" s="222"/>
      <c r="BPA9" s="222"/>
      <c r="BPB9" s="222"/>
      <c r="BPC9" s="222"/>
      <c r="BPD9" s="222"/>
      <c r="BPE9" s="222"/>
      <c r="BPF9" s="222"/>
      <c r="BPG9" s="222"/>
      <c r="BPH9" s="222"/>
      <c r="BPI9" s="222"/>
      <c r="BPJ9" s="222"/>
      <c r="BPK9" s="222"/>
      <c r="BPL9" s="222"/>
      <c r="BPM9" s="222"/>
      <c r="BPN9" s="222"/>
      <c r="BPO9" s="222"/>
      <c r="BPP9" s="222"/>
      <c r="BPQ9" s="222"/>
      <c r="BPR9" s="222"/>
      <c r="BPS9" s="222"/>
      <c r="BPT9" s="222"/>
      <c r="BPU9" s="222"/>
      <c r="BPV9" s="222"/>
      <c r="BPW9" s="222"/>
      <c r="BPX9" s="222"/>
      <c r="BPY9" s="222"/>
      <c r="BPZ9" s="222"/>
      <c r="BQA9" s="222"/>
      <c r="BQB9" s="222"/>
      <c r="BQC9" s="222"/>
      <c r="BQD9" s="222"/>
      <c r="BQE9" s="222"/>
      <c r="BQF9" s="222"/>
      <c r="BQG9" s="222"/>
      <c r="BQH9" s="222"/>
      <c r="BQI9" s="222"/>
      <c r="BQJ9" s="222"/>
      <c r="BQK9" s="222"/>
      <c r="BQL9" s="222"/>
      <c r="BQM9" s="222"/>
      <c r="BQN9" s="222"/>
      <c r="BQO9" s="222"/>
      <c r="BQP9" s="222"/>
      <c r="BQQ9" s="222"/>
      <c r="BQR9" s="222"/>
      <c r="BQS9" s="222"/>
      <c r="BQT9" s="222"/>
      <c r="BQU9" s="222"/>
      <c r="BQV9" s="222"/>
      <c r="BQW9" s="222"/>
      <c r="BQX9" s="222"/>
      <c r="BQY9" s="222"/>
      <c r="BQZ9" s="222"/>
      <c r="BRA9" s="222"/>
      <c r="BRB9" s="222"/>
      <c r="BRC9" s="222"/>
      <c r="BRD9" s="222"/>
      <c r="BRE9" s="222"/>
      <c r="BRF9" s="222"/>
      <c r="BRG9" s="222"/>
      <c r="BRH9" s="222"/>
      <c r="BRI9" s="222"/>
      <c r="BRJ9" s="222"/>
      <c r="BRK9" s="222"/>
      <c r="BRL9" s="222"/>
      <c r="BRM9" s="222"/>
      <c r="BRN9" s="222"/>
      <c r="BRO9" s="222"/>
      <c r="BRP9" s="222"/>
      <c r="BRQ9" s="222"/>
      <c r="BRR9" s="222"/>
      <c r="BRS9" s="222"/>
      <c r="BRT9" s="222"/>
      <c r="BRU9" s="222"/>
      <c r="BRV9" s="222"/>
      <c r="BRW9" s="222"/>
      <c r="BRX9" s="222"/>
      <c r="BRY9" s="222"/>
      <c r="BRZ9" s="222"/>
      <c r="BSA9" s="222"/>
      <c r="BSB9" s="222"/>
      <c r="BSC9" s="222"/>
      <c r="BSD9" s="222"/>
      <c r="BSE9" s="222"/>
      <c r="BSF9" s="222"/>
      <c r="BSG9" s="222"/>
      <c r="BSH9" s="222"/>
      <c r="BSI9" s="222"/>
      <c r="BSJ9" s="222"/>
      <c r="BSK9" s="222"/>
      <c r="BSL9" s="222"/>
      <c r="BSM9" s="222"/>
      <c r="BSN9" s="222"/>
      <c r="BSO9" s="222"/>
      <c r="BSP9" s="222"/>
      <c r="BSQ9" s="222"/>
      <c r="BSR9" s="222"/>
      <c r="BSS9" s="222"/>
      <c r="BST9" s="222"/>
      <c r="BSU9" s="222"/>
      <c r="BSV9" s="222"/>
      <c r="BSW9" s="222"/>
      <c r="BSX9" s="222"/>
      <c r="BSY9" s="222"/>
      <c r="BSZ9" s="222"/>
      <c r="BTA9" s="222"/>
      <c r="BTB9" s="222"/>
      <c r="BTC9" s="222"/>
      <c r="BTD9" s="222"/>
      <c r="BTE9" s="222"/>
      <c r="BTF9" s="222"/>
      <c r="BTG9" s="222"/>
      <c r="BTH9" s="222"/>
      <c r="BTI9" s="222"/>
      <c r="BTJ9" s="222"/>
      <c r="BTK9" s="222"/>
      <c r="BTL9" s="222"/>
      <c r="BTM9" s="222"/>
      <c r="BTN9" s="222"/>
      <c r="BTO9" s="222"/>
      <c r="BTP9" s="222"/>
      <c r="BTQ9" s="222"/>
      <c r="BTR9" s="222"/>
      <c r="BTS9" s="222"/>
      <c r="BTT9" s="222"/>
      <c r="BTU9" s="222"/>
      <c r="BTV9" s="222"/>
      <c r="BTW9" s="222"/>
      <c r="BTX9" s="222"/>
      <c r="BTY9" s="222"/>
      <c r="BTZ9" s="222"/>
      <c r="BUA9" s="222"/>
      <c r="BUB9" s="222"/>
      <c r="BUC9" s="222"/>
      <c r="BUD9" s="222"/>
      <c r="BUE9" s="222"/>
      <c r="BUF9" s="222"/>
      <c r="BUG9" s="222"/>
      <c r="BUH9" s="222"/>
      <c r="BUI9" s="222"/>
      <c r="BUJ9" s="222"/>
      <c r="BUK9" s="222"/>
      <c r="BUL9" s="222"/>
      <c r="BUM9" s="222"/>
      <c r="BUN9" s="222"/>
      <c r="BUO9" s="222"/>
      <c r="BUP9" s="222"/>
      <c r="BUQ9" s="222"/>
      <c r="BUR9" s="222"/>
      <c r="BUS9" s="222"/>
      <c r="BUT9" s="222"/>
      <c r="BUU9" s="222"/>
      <c r="BUV9" s="222"/>
      <c r="BUW9" s="222"/>
      <c r="BUX9" s="222"/>
      <c r="BUY9" s="222"/>
      <c r="BUZ9" s="222"/>
      <c r="BVA9" s="222"/>
      <c r="BVB9" s="222"/>
      <c r="BVC9" s="222"/>
      <c r="BVD9" s="222"/>
      <c r="BVE9" s="222"/>
      <c r="BVF9" s="222"/>
      <c r="BVG9" s="222"/>
      <c r="BVH9" s="222"/>
      <c r="BVI9" s="222"/>
      <c r="BVJ9" s="222"/>
      <c r="BVK9" s="222"/>
      <c r="BVL9" s="222"/>
      <c r="BVM9" s="222"/>
      <c r="BVN9" s="222"/>
      <c r="BVO9" s="222"/>
      <c r="BVP9" s="222"/>
      <c r="BVQ9" s="222"/>
      <c r="BVR9" s="222"/>
      <c r="BVS9" s="222"/>
      <c r="BVT9" s="222"/>
      <c r="BVU9" s="222"/>
      <c r="BVV9" s="222"/>
      <c r="BVW9" s="222"/>
      <c r="BVX9" s="222"/>
      <c r="BVY9" s="222"/>
      <c r="BVZ9" s="222"/>
      <c r="BWA9" s="222"/>
      <c r="BWB9" s="222"/>
      <c r="BWC9" s="222"/>
      <c r="BWD9" s="222"/>
      <c r="BWE9" s="222"/>
      <c r="BWF9" s="222"/>
      <c r="BWG9" s="222"/>
      <c r="BWH9" s="222"/>
      <c r="BWI9" s="222"/>
      <c r="BWJ9" s="222"/>
      <c r="BWK9" s="222"/>
      <c r="BWL9" s="222"/>
      <c r="BWM9" s="222"/>
      <c r="BWN9" s="222"/>
      <c r="BWO9" s="222"/>
      <c r="BWP9" s="222"/>
      <c r="BWQ9" s="222"/>
      <c r="BWR9" s="222"/>
      <c r="BWS9" s="222"/>
      <c r="BWT9" s="222"/>
      <c r="BWU9" s="222"/>
      <c r="BWV9" s="222"/>
      <c r="BWW9" s="222"/>
      <c r="BWX9" s="222"/>
      <c r="BWY9" s="222"/>
      <c r="BWZ9" s="222"/>
      <c r="BXA9" s="222"/>
      <c r="BXB9" s="222"/>
      <c r="BXC9" s="222"/>
      <c r="BXD9" s="222"/>
      <c r="BXE9" s="222"/>
      <c r="BXF9" s="222"/>
      <c r="BXG9" s="222"/>
      <c r="BXH9" s="222"/>
      <c r="BXI9" s="222"/>
      <c r="BXJ9" s="222"/>
      <c r="BXK9" s="222"/>
      <c r="BXL9" s="222"/>
      <c r="BXM9" s="222"/>
      <c r="BXN9" s="222"/>
      <c r="BXO9" s="222"/>
      <c r="BXP9" s="222"/>
      <c r="BXQ9" s="222"/>
      <c r="BXR9" s="222"/>
      <c r="BXS9" s="222"/>
      <c r="BXT9" s="222"/>
      <c r="BXU9" s="222"/>
      <c r="BXV9" s="222"/>
      <c r="BXW9" s="222"/>
      <c r="BXX9" s="222"/>
      <c r="BXY9" s="222"/>
      <c r="BXZ9" s="222"/>
      <c r="BYA9" s="222"/>
      <c r="BYB9" s="222"/>
      <c r="BYC9" s="222"/>
      <c r="BYD9" s="222"/>
      <c r="BYE9" s="222"/>
      <c r="BYF9" s="222"/>
      <c r="BYG9" s="222"/>
      <c r="BYH9" s="222"/>
      <c r="BYI9" s="222"/>
      <c r="BYJ9" s="222"/>
      <c r="BYK9" s="222"/>
      <c r="BYL9" s="222"/>
      <c r="BYM9" s="222"/>
      <c r="BYN9" s="222"/>
      <c r="BYO9" s="222"/>
      <c r="BYP9" s="222"/>
      <c r="BYQ9" s="222"/>
      <c r="BYR9" s="222"/>
      <c r="BYS9" s="222"/>
      <c r="BYT9" s="222"/>
      <c r="BYU9" s="222"/>
      <c r="BYV9" s="222"/>
      <c r="BYW9" s="222"/>
      <c r="BYX9" s="222"/>
      <c r="BYY9" s="222"/>
      <c r="BYZ9" s="222"/>
      <c r="BZA9" s="222"/>
      <c r="BZB9" s="222"/>
      <c r="BZC9" s="222"/>
      <c r="BZD9" s="222"/>
      <c r="BZE9" s="222"/>
      <c r="BZF9" s="222"/>
      <c r="BZG9" s="222"/>
      <c r="BZH9" s="222"/>
      <c r="BZI9" s="222"/>
      <c r="BZJ9" s="222"/>
      <c r="BZK9" s="222"/>
      <c r="BZL9" s="222"/>
      <c r="BZM9" s="222"/>
      <c r="BZN9" s="222"/>
      <c r="BZO9" s="222"/>
      <c r="BZP9" s="222"/>
      <c r="BZQ9" s="222"/>
      <c r="BZR9" s="222"/>
      <c r="BZS9" s="222"/>
      <c r="BZT9" s="222"/>
      <c r="BZU9" s="222"/>
      <c r="BZV9" s="222"/>
      <c r="BZW9" s="222"/>
      <c r="BZX9" s="222"/>
      <c r="BZY9" s="222"/>
      <c r="BZZ9" s="222"/>
      <c r="CAA9" s="222"/>
      <c r="CAB9" s="222"/>
      <c r="CAC9" s="222"/>
      <c r="CAD9" s="222"/>
      <c r="CAE9" s="222"/>
      <c r="CAF9" s="222"/>
      <c r="CAG9" s="222"/>
      <c r="CAH9" s="222"/>
      <c r="CAI9" s="222"/>
      <c r="CAJ9" s="222"/>
      <c r="CAK9" s="222"/>
      <c r="CAL9" s="222"/>
      <c r="CAM9" s="222"/>
      <c r="CAN9" s="222"/>
      <c r="CAO9" s="222"/>
      <c r="CAP9" s="222"/>
      <c r="CAQ9" s="222"/>
      <c r="CAR9" s="222"/>
      <c r="CAS9" s="222"/>
      <c r="CAT9" s="222"/>
      <c r="CAU9" s="222"/>
      <c r="CAV9" s="222"/>
      <c r="CAW9" s="222"/>
      <c r="CAX9" s="222"/>
      <c r="CAY9" s="222"/>
      <c r="CAZ9" s="222"/>
      <c r="CBA9" s="222"/>
      <c r="CBB9" s="222"/>
      <c r="CBC9" s="222"/>
      <c r="CBD9" s="222"/>
      <c r="CBE9" s="222"/>
      <c r="CBF9" s="222"/>
      <c r="CBG9" s="222"/>
      <c r="CBH9" s="222"/>
      <c r="CBI9" s="222"/>
      <c r="CBJ9" s="222"/>
      <c r="CBK9" s="222"/>
      <c r="CBL9" s="222"/>
      <c r="CBM9" s="222"/>
      <c r="CBN9" s="222"/>
      <c r="CBO9" s="222"/>
      <c r="CBP9" s="222"/>
      <c r="CBQ9" s="222"/>
      <c r="CBR9" s="222"/>
      <c r="CBS9" s="222"/>
      <c r="CBT9" s="222"/>
      <c r="CBU9" s="222"/>
      <c r="CBV9" s="222"/>
      <c r="CBW9" s="222"/>
      <c r="CBX9" s="222"/>
      <c r="CBY9" s="222"/>
      <c r="CBZ9" s="222"/>
      <c r="CCA9" s="222"/>
      <c r="CCB9" s="222"/>
      <c r="CCC9" s="222"/>
      <c r="CCD9" s="222"/>
      <c r="CCE9" s="222"/>
      <c r="CCF9" s="222"/>
      <c r="CCG9" s="222"/>
      <c r="CCH9" s="222"/>
      <c r="CCI9" s="222"/>
      <c r="CCJ9" s="222"/>
      <c r="CCK9" s="222"/>
      <c r="CCL9" s="222"/>
      <c r="CCM9" s="222"/>
      <c r="CCN9" s="222"/>
      <c r="CCO9" s="222"/>
      <c r="CCP9" s="222"/>
      <c r="CCQ9" s="222"/>
      <c r="CCR9" s="222"/>
      <c r="CCS9" s="222"/>
      <c r="CCT9" s="222"/>
      <c r="CCU9" s="222"/>
      <c r="CCV9" s="222"/>
      <c r="CCW9" s="222"/>
      <c r="CCX9" s="222"/>
      <c r="CCY9" s="222"/>
      <c r="CCZ9" s="222"/>
      <c r="CDA9" s="222"/>
      <c r="CDB9" s="222"/>
      <c r="CDC9" s="222"/>
      <c r="CDD9" s="222"/>
      <c r="CDE9" s="222"/>
      <c r="CDF9" s="222"/>
      <c r="CDG9" s="222"/>
      <c r="CDH9" s="222"/>
      <c r="CDI9" s="222"/>
      <c r="CDJ9" s="222"/>
      <c r="CDK9" s="222"/>
      <c r="CDL9" s="222"/>
      <c r="CDM9" s="222"/>
      <c r="CDN9" s="222"/>
      <c r="CDO9" s="222"/>
      <c r="CDP9" s="222"/>
      <c r="CDQ9" s="222"/>
      <c r="CDR9" s="222"/>
      <c r="CDS9" s="222"/>
      <c r="CDT9" s="222"/>
      <c r="CDU9" s="222"/>
      <c r="CDV9" s="222"/>
      <c r="CDW9" s="222"/>
      <c r="CDX9" s="222"/>
      <c r="CDY9" s="222"/>
      <c r="CDZ9" s="222"/>
      <c r="CEA9" s="222"/>
      <c r="CEB9" s="222"/>
      <c r="CEC9" s="222"/>
      <c r="CED9" s="222"/>
      <c r="CEE9" s="222"/>
      <c r="CEF9" s="222"/>
      <c r="CEG9" s="222"/>
      <c r="CEH9" s="222"/>
      <c r="CEI9" s="222"/>
      <c r="CEJ9" s="222"/>
      <c r="CEK9" s="222"/>
      <c r="CEL9" s="222"/>
      <c r="CEM9" s="222"/>
      <c r="CEN9" s="222"/>
      <c r="CEO9" s="222"/>
      <c r="CEP9" s="222"/>
      <c r="CEQ9" s="222"/>
      <c r="CER9" s="222"/>
      <c r="CES9" s="222"/>
      <c r="CET9" s="222"/>
      <c r="CEU9" s="222"/>
      <c r="CEV9" s="222"/>
      <c r="CEW9" s="222"/>
      <c r="CEX9" s="222"/>
      <c r="CEY9" s="222"/>
      <c r="CEZ9" s="222"/>
      <c r="CFA9" s="222"/>
      <c r="CFB9" s="222"/>
      <c r="CFC9" s="222"/>
      <c r="CFD9" s="222"/>
      <c r="CFE9" s="222"/>
      <c r="CFF9" s="222"/>
      <c r="CFG9" s="222"/>
      <c r="CFH9" s="222"/>
      <c r="CFI9" s="222"/>
      <c r="CFJ9" s="222"/>
      <c r="CFK9" s="222"/>
      <c r="CFL9" s="222"/>
      <c r="CFM9" s="222"/>
      <c r="CFN9" s="222"/>
      <c r="CFO9" s="222"/>
      <c r="CFP9" s="222"/>
      <c r="CFQ9" s="222"/>
      <c r="CFR9" s="222"/>
      <c r="CFS9" s="222"/>
      <c r="CFT9" s="222"/>
      <c r="CFU9" s="222"/>
      <c r="CFV9" s="222"/>
      <c r="CFW9" s="222"/>
      <c r="CFX9" s="222"/>
      <c r="CFY9" s="222"/>
      <c r="CFZ9" s="222"/>
      <c r="CGA9" s="222"/>
      <c r="CGB9" s="222"/>
      <c r="CGC9" s="222"/>
      <c r="CGD9" s="222"/>
      <c r="CGE9" s="222"/>
      <c r="CGF9" s="222"/>
      <c r="CGG9" s="222"/>
      <c r="CGH9" s="222"/>
      <c r="CGI9" s="222"/>
      <c r="CGJ9" s="222"/>
      <c r="CGK9" s="222"/>
      <c r="CGL9" s="222"/>
      <c r="CGM9" s="222"/>
      <c r="CGN9" s="222"/>
      <c r="CGO9" s="222"/>
      <c r="CGP9" s="222"/>
      <c r="CGQ9" s="222"/>
      <c r="CGR9" s="222"/>
      <c r="CGS9" s="222"/>
      <c r="CGT9" s="222"/>
      <c r="CGU9" s="222"/>
      <c r="CGV9" s="222"/>
      <c r="CGW9" s="222"/>
      <c r="CGX9" s="222"/>
      <c r="CGY9" s="222"/>
      <c r="CGZ9" s="222"/>
      <c r="CHA9" s="222"/>
      <c r="CHB9" s="222"/>
      <c r="CHC9" s="222"/>
      <c r="CHD9" s="222"/>
      <c r="CHE9" s="222"/>
      <c r="CHF9" s="222"/>
      <c r="CHG9" s="222"/>
      <c r="CHH9" s="222"/>
      <c r="CHI9" s="222"/>
      <c r="CHJ9" s="222"/>
      <c r="CHK9" s="222"/>
      <c r="CHL9" s="222"/>
      <c r="CHM9" s="222"/>
      <c r="CHN9" s="222"/>
      <c r="CHO9" s="222"/>
      <c r="CHP9" s="222"/>
      <c r="CHQ9" s="222"/>
      <c r="CHR9" s="222"/>
      <c r="CHS9" s="222"/>
      <c r="CHT9" s="222"/>
      <c r="CHU9" s="222"/>
      <c r="CHV9" s="222"/>
      <c r="CHW9" s="222"/>
      <c r="CHX9" s="222"/>
      <c r="CHY9" s="222"/>
      <c r="CHZ9" s="222"/>
      <c r="CIA9" s="222"/>
      <c r="CIB9" s="222"/>
      <c r="CIC9" s="222"/>
      <c r="CID9" s="222"/>
      <c r="CIE9" s="222"/>
      <c r="CIF9" s="222"/>
      <c r="CIG9" s="222"/>
      <c r="CIH9" s="222"/>
      <c r="CII9" s="222"/>
      <c r="CIJ9" s="222"/>
      <c r="CIK9" s="222"/>
      <c r="CIL9" s="222"/>
      <c r="CIM9" s="222"/>
      <c r="CIN9" s="222"/>
      <c r="CIO9" s="222"/>
      <c r="CIP9" s="222"/>
      <c r="CIQ9" s="222"/>
      <c r="CIR9" s="222"/>
      <c r="CIS9" s="222"/>
      <c r="CIT9" s="222"/>
      <c r="CIU9" s="222"/>
      <c r="CIV9" s="222"/>
      <c r="CIW9" s="222"/>
      <c r="CIX9" s="222"/>
      <c r="CIY9" s="222"/>
      <c r="CIZ9" s="222"/>
      <c r="CJA9" s="222"/>
      <c r="CJB9" s="222"/>
      <c r="CJC9" s="222"/>
      <c r="CJD9" s="222"/>
      <c r="CJE9" s="222"/>
      <c r="CJF9" s="222"/>
      <c r="CJG9" s="222"/>
      <c r="CJH9" s="222"/>
      <c r="CJI9" s="222"/>
      <c r="CJJ9" s="222"/>
      <c r="CJK9" s="222"/>
      <c r="CJL9" s="222"/>
      <c r="CJM9" s="222"/>
      <c r="CJN9" s="222"/>
      <c r="CJO9" s="222"/>
      <c r="CJP9" s="222"/>
      <c r="CJQ9" s="222"/>
      <c r="CJR9" s="222"/>
      <c r="CJS9" s="222"/>
      <c r="CJT9" s="222"/>
      <c r="CJU9" s="222"/>
      <c r="CJV9" s="222"/>
      <c r="CJW9" s="222"/>
      <c r="CJX9" s="222"/>
      <c r="CJY9" s="222"/>
      <c r="CJZ9" s="222"/>
      <c r="CKA9" s="222"/>
      <c r="CKB9" s="222"/>
      <c r="CKC9" s="222"/>
      <c r="CKD9" s="222"/>
      <c r="CKE9" s="222"/>
      <c r="CKF9" s="222"/>
      <c r="CKG9" s="222"/>
      <c r="CKH9" s="222"/>
      <c r="CKI9" s="222"/>
      <c r="CKJ9" s="222"/>
      <c r="CKK9" s="222"/>
      <c r="CKL9" s="222"/>
      <c r="CKM9" s="222"/>
      <c r="CKN9" s="222"/>
      <c r="CKO9" s="222"/>
      <c r="CKP9" s="222"/>
      <c r="CKQ9" s="222"/>
      <c r="CKR9" s="222"/>
      <c r="CKS9" s="222"/>
      <c r="CKT9" s="222"/>
      <c r="CKU9" s="222"/>
      <c r="CKV9" s="222"/>
      <c r="CKW9" s="222"/>
      <c r="CKX9" s="222"/>
      <c r="CKY9" s="222"/>
      <c r="CKZ9" s="222"/>
      <c r="CLA9" s="222"/>
      <c r="CLB9" s="222"/>
      <c r="CLC9" s="222"/>
      <c r="CLD9" s="222"/>
      <c r="CLE9" s="222"/>
      <c r="CLF9" s="222"/>
      <c r="CLG9" s="222"/>
      <c r="CLH9" s="222"/>
      <c r="CLI9" s="222"/>
      <c r="CLJ9" s="222"/>
      <c r="CLK9" s="222"/>
      <c r="CLL9" s="222"/>
      <c r="CLM9" s="222"/>
      <c r="CLN9" s="222"/>
      <c r="CLO9" s="222"/>
      <c r="CLP9" s="222"/>
      <c r="CLQ9" s="222"/>
      <c r="CLR9" s="222"/>
      <c r="CLS9" s="222"/>
      <c r="CLT9" s="222"/>
      <c r="CLU9" s="222"/>
      <c r="CLV9" s="222"/>
      <c r="CLW9" s="222"/>
      <c r="CLX9" s="222"/>
      <c r="CLY9" s="222"/>
      <c r="CLZ9" s="222"/>
      <c r="CMA9" s="222"/>
      <c r="CMB9" s="222"/>
      <c r="CMC9" s="222"/>
      <c r="CMD9" s="222"/>
      <c r="CME9" s="222"/>
      <c r="CMF9" s="222"/>
      <c r="CMG9" s="222"/>
      <c r="CMH9" s="222"/>
      <c r="CMI9" s="222"/>
      <c r="CMJ9" s="222"/>
      <c r="CMK9" s="222"/>
      <c r="CML9" s="222"/>
      <c r="CMM9" s="222"/>
      <c r="CMN9" s="222"/>
      <c r="CMO9" s="222"/>
      <c r="CMP9" s="222"/>
      <c r="CMQ9" s="222"/>
      <c r="CMR9" s="222"/>
      <c r="CMS9" s="222"/>
      <c r="CMT9" s="222"/>
      <c r="CMU9" s="222"/>
      <c r="CMV9" s="222"/>
      <c r="CMW9" s="222"/>
      <c r="CMX9" s="222"/>
      <c r="CMY9" s="222"/>
      <c r="CMZ9" s="222"/>
      <c r="CNA9" s="222"/>
      <c r="CNB9" s="222"/>
      <c r="CNC9" s="222"/>
      <c r="CND9" s="222"/>
      <c r="CNE9" s="222"/>
      <c r="CNF9" s="222"/>
      <c r="CNG9" s="222"/>
      <c r="CNH9" s="222"/>
      <c r="CNI9" s="222"/>
      <c r="CNJ9" s="222"/>
      <c r="CNK9" s="222"/>
      <c r="CNL9" s="222"/>
      <c r="CNM9" s="222"/>
      <c r="CNN9" s="222"/>
      <c r="CNO9" s="222"/>
      <c r="CNP9" s="222"/>
      <c r="CNQ9" s="222"/>
      <c r="CNR9" s="222"/>
      <c r="CNS9" s="222"/>
      <c r="CNT9" s="222"/>
      <c r="CNU9" s="222"/>
      <c r="CNV9" s="222"/>
      <c r="CNW9" s="222"/>
      <c r="CNX9" s="222"/>
      <c r="CNY9" s="222"/>
      <c r="CNZ9" s="222"/>
      <c r="COA9" s="222"/>
      <c r="COB9" s="222"/>
      <c r="COC9" s="222"/>
      <c r="COD9" s="222"/>
      <c r="COE9" s="222"/>
      <c r="COF9" s="222"/>
      <c r="COG9" s="222"/>
      <c r="COH9" s="222"/>
      <c r="COI9" s="222"/>
      <c r="COJ9" s="222"/>
      <c r="COK9" s="222"/>
      <c r="COL9" s="222"/>
      <c r="COM9" s="222"/>
      <c r="CON9" s="222"/>
      <c r="COO9" s="222"/>
      <c r="COP9" s="222"/>
      <c r="COQ9" s="222"/>
      <c r="COR9" s="222"/>
      <c r="COS9" s="222"/>
      <c r="COT9" s="222"/>
      <c r="COU9" s="222"/>
      <c r="COV9" s="222"/>
      <c r="COW9" s="222"/>
      <c r="COX9" s="222"/>
      <c r="COY9" s="222"/>
      <c r="COZ9" s="222"/>
      <c r="CPA9" s="222"/>
      <c r="CPB9" s="222"/>
      <c r="CPC9" s="222"/>
      <c r="CPD9" s="222"/>
      <c r="CPE9" s="222"/>
      <c r="CPF9" s="222"/>
      <c r="CPG9" s="222"/>
      <c r="CPH9" s="222"/>
      <c r="CPI9" s="222"/>
      <c r="CPJ9" s="222"/>
      <c r="CPK9" s="222"/>
      <c r="CPL9" s="222"/>
      <c r="CPM9" s="222"/>
      <c r="CPN9" s="222"/>
      <c r="CPO9" s="222"/>
      <c r="CPP9" s="222"/>
      <c r="CPQ9" s="222"/>
      <c r="CPR9" s="222"/>
      <c r="CPS9" s="222"/>
      <c r="CPT9" s="222"/>
      <c r="CPU9" s="222"/>
      <c r="CPV9" s="222"/>
      <c r="CPW9" s="222"/>
      <c r="CPX9" s="222"/>
      <c r="CPY9" s="222"/>
      <c r="CPZ9" s="222"/>
      <c r="CQA9" s="222"/>
      <c r="CQB9" s="222"/>
      <c r="CQC9" s="222"/>
      <c r="CQD9" s="222"/>
      <c r="CQE9" s="222"/>
      <c r="CQF9" s="222"/>
      <c r="CQG9" s="222"/>
      <c r="CQH9" s="222"/>
      <c r="CQI9" s="222"/>
      <c r="CQJ9" s="222"/>
      <c r="CQK9" s="222"/>
      <c r="CQL9" s="222"/>
      <c r="CQM9" s="222"/>
      <c r="CQN9" s="222"/>
      <c r="CQO9" s="222"/>
      <c r="CQP9" s="222"/>
      <c r="CQQ9" s="222"/>
      <c r="CQR9" s="222"/>
      <c r="CQS9" s="222"/>
      <c r="CQT9" s="222"/>
      <c r="CQU9" s="222"/>
      <c r="CQV9" s="222"/>
      <c r="CQW9" s="222"/>
      <c r="CQX9" s="222"/>
      <c r="CQY9" s="222"/>
      <c r="CQZ9" s="222"/>
      <c r="CRA9" s="222"/>
      <c r="CRB9" s="222"/>
      <c r="CRC9" s="222"/>
      <c r="CRD9" s="222"/>
      <c r="CRE9" s="222"/>
      <c r="CRF9" s="222"/>
      <c r="CRG9" s="222"/>
      <c r="CRH9" s="222"/>
      <c r="CRI9" s="222"/>
      <c r="CRJ9" s="222"/>
      <c r="CRK9" s="222"/>
      <c r="CRL9" s="222"/>
      <c r="CRM9" s="222"/>
      <c r="CRN9" s="222"/>
      <c r="CRO9" s="222"/>
      <c r="CRP9" s="222"/>
      <c r="CRQ9" s="222"/>
      <c r="CRR9" s="222"/>
      <c r="CRS9" s="222"/>
      <c r="CRT9" s="222"/>
      <c r="CRU9" s="222"/>
      <c r="CRV9" s="222"/>
      <c r="CRW9" s="222"/>
      <c r="CRX9" s="222"/>
      <c r="CRY9" s="222"/>
      <c r="CRZ9" s="222"/>
      <c r="CSA9" s="222"/>
      <c r="CSB9" s="222"/>
      <c r="CSC9" s="222"/>
      <c r="CSD9" s="222"/>
      <c r="CSE9" s="222"/>
      <c r="CSF9" s="222"/>
      <c r="CSG9" s="222"/>
      <c r="CSH9" s="222"/>
      <c r="CSI9" s="222"/>
      <c r="CSJ9" s="222"/>
      <c r="CSK9" s="222"/>
      <c r="CSL9" s="222"/>
      <c r="CSM9" s="222"/>
      <c r="CSN9" s="222"/>
      <c r="CSO9" s="222"/>
      <c r="CSP9" s="222"/>
      <c r="CSQ9" s="222"/>
      <c r="CSR9" s="222"/>
      <c r="CSS9" s="222"/>
      <c r="CST9" s="222"/>
      <c r="CSU9" s="222"/>
      <c r="CSV9" s="222"/>
      <c r="CSW9" s="222"/>
      <c r="CSX9" s="222"/>
      <c r="CSY9" s="222"/>
      <c r="CSZ9" s="222"/>
      <c r="CTA9" s="222"/>
      <c r="CTB9" s="222"/>
      <c r="CTC9" s="222"/>
      <c r="CTD9" s="222"/>
      <c r="CTE9" s="222"/>
      <c r="CTF9" s="222"/>
      <c r="CTG9" s="222"/>
      <c r="CTH9" s="222"/>
      <c r="CTI9" s="222"/>
      <c r="CTJ9" s="222"/>
      <c r="CTK9" s="222"/>
      <c r="CTL9" s="222"/>
      <c r="CTM9" s="222"/>
      <c r="CTN9" s="222"/>
      <c r="CTO9" s="222"/>
      <c r="CTP9" s="222"/>
      <c r="CTQ9" s="222"/>
      <c r="CTR9" s="222"/>
      <c r="CTS9" s="222"/>
      <c r="CTT9" s="222"/>
      <c r="CTU9" s="222"/>
      <c r="CTV9" s="222"/>
      <c r="CTW9" s="222"/>
      <c r="CTX9" s="222"/>
      <c r="CTY9" s="222"/>
      <c r="CTZ9" s="222"/>
      <c r="CUA9" s="222"/>
      <c r="CUB9" s="222"/>
      <c r="CUC9" s="222"/>
      <c r="CUD9" s="222"/>
      <c r="CUE9" s="222"/>
      <c r="CUF9" s="222"/>
      <c r="CUG9" s="222"/>
      <c r="CUH9" s="222"/>
      <c r="CUI9" s="222"/>
      <c r="CUJ9" s="222"/>
      <c r="CUK9" s="222"/>
      <c r="CUL9" s="222"/>
      <c r="CUM9" s="222"/>
      <c r="CUN9" s="222"/>
      <c r="CUO9" s="222"/>
      <c r="CUP9" s="222"/>
      <c r="CUQ9" s="222"/>
      <c r="CUR9" s="222"/>
      <c r="CUS9" s="222"/>
      <c r="CUT9" s="222"/>
      <c r="CUU9" s="222"/>
      <c r="CUV9" s="222"/>
      <c r="CUW9" s="222"/>
      <c r="CUX9" s="222"/>
      <c r="CUY9" s="222"/>
      <c r="CUZ9" s="222"/>
      <c r="CVA9" s="222"/>
      <c r="CVB9" s="222"/>
      <c r="CVC9" s="222"/>
      <c r="CVD9" s="222"/>
      <c r="CVE9" s="222"/>
      <c r="CVF9" s="222"/>
      <c r="CVG9" s="222"/>
      <c r="CVH9" s="222"/>
      <c r="CVI9" s="222"/>
      <c r="CVJ9" s="222"/>
      <c r="CVK9" s="222"/>
      <c r="CVL9" s="222"/>
      <c r="CVM9" s="222"/>
      <c r="CVN9" s="222"/>
      <c r="CVO9" s="222"/>
      <c r="CVP9" s="222"/>
      <c r="CVQ9" s="222"/>
      <c r="CVR9" s="222"/>
      <c r="CVS9" s="222"/>
      <c r="CVT9" s="222"/>
      <c r="CVU9" s="222"/>
      <c r="CVV9" s="222"/>
      <c r="CVW9" s="222"/>
      <c r="CVX9" s="222"/>
      <c r="CVY9" s="222"/>
      <c r="CVZ9" s="222"/>
      <c r="CWA9" s="222"/>
      <c r="CWB9" s="222"/>
      <c r="CWC9" s="222"/>
      <c r="CWD9" s="222"/>
      <c r="CWE9" s="222"/>
      <c r="CWF9" s="222"/>
      <c r="CWG9" s="222"/>
      <c r="CWH9" s="222"/>
      <c r="CWI9" s="222"/>
      <c r="CWJ9" s="222"/>
      <c r="CWK9" s="222"/>
      <c r="CWL9" s="222"/>
      <c r="CWM9" s="222"/>
      <c r="CWN9" s="222"/>
      <c r="CWO9" s="222"/>
      <c r="CWP9" s="222"/>
      <c r="CWQ9" s="222"/>
      <c r="CWR9" s="222"/>
      <c r="CWS9" s="222"/>
      <c r="CWT9" s="222"/>
      <c r="CWU9" s="222"/>
      <c r="CWV9" s="222"/>
      <c r="CWW9" s="222"/>
      <c r="CWX9" s="222"/>
      <c r="CWY9" s="222"/>
      <c r="CWZ9" s="222"/>
      <c r="CXA9" s="222"/>
      <c r="CXB9" s="222"/>
      <c r="CXC9" s="222"/>
      <c r="CXD9" s="222"/>
      <c r="CXE9" s="222"/>
      <c r="CXF9" s="222"/>
      <c r="CXG9" s="222"/>
      <c r="CXH9" s="222"/>
      <c r="CXI9" s="222"/>
      <c r="CXJ9" s="222"/>
      <c r="CXK9" s="222"/>
      <c r="CXL9" s="222"/>
      <c r="CXM9" s="222"/>
      <c r="CXN9" s="222"/>
      <c r="CXO9" s="222"/>
      <c r="CXP9" s="222"/>
      <c r="CXQ9" s="222"/>
      <c r="CXR9" s="222"/>
      <c r="CXS9" s="222"/>
      <c r="CXT9" s="222"/>
      <c r="CXU9" s="222"/>
      <c r="CXV9" s="222"/>
      <c r="CXW9" s="222"/>
      <c r="CXX9" s="222"/>
      <c r="CXY9" s="222"/>
      <c r="CXZ9" s="222"/>
      <c r="CYA9" s="222"/>
      <c r="CYB9" s="222"/>
      <c r="CYC9" s="222"/>
      <c r="CYD9" s="222"/>
      <c r="CYE9" s="222"/>
      <c r="CYF9" s="222"/>
      <c r="CYG9" s="222"/>
      <c r="CYH9" s="222"/>
      <c r="CYI9" s="222"/>
      <c r="CYJ9" s="222"/>
      <c r="CYK9" s="222"/>
      <c r="CYL9" s="222"/>
      <c r="CYM9" s="222"/>
      <c r="CYN9" s="222"/>
      <c r="CYO9" s="222"/>
      <c r="CYP9" s="222"/>
      <c r="CYQ9" s="222"/>
      <c r="CYR9" s="222"/>
      <c r="CYS9" s="222"/>
      <c r="CYT9" s="222"/>
      <c r="CYU9" s="222"/>
      <c r="CYV9" s="222"/>
      <c r="CYW9" s="222"/>
      <c r="CYX9" s="222"/>
      <c r="CYY9" s="222"/>
      <c r="CYZ9" s="222"/>
      <c r="CZA9" s="222"/>
      <c r="CZB9" s="222"/>
      <c r="CZC9" s="222"/>
      <c r="CZD9" s="222"/>
      <c r="CZE9" s="222"/>
      <c r="CZF9" s="222"/>
      <c r="CZG9" s="222"/>
      <c r="CZH9" s="222"/>
      <c r="CZI9" s="222"/>
      <c r="CZJ9" s="222"/>
      <c r="CZK9" s="222"/>
      <c r="CZL9" s="222"/>
      <c r="CZM9" s="222"/>
      <c r="CZN9" s="222"/>
      <c r="CZO9" s="222"/>
      <c r="CZP9" s="222"/>
      <c r="CZQ9" s="222"/>
      <c r="CZR9" s="222"/>
      <c r="CZS9" s="222"/>
      <c r="CZT9" s="222"/>
      <c r="CZU9" s="222"/>
      <c r="CZV9" s="222"/>
      <c r="CZW9" s="222"/>
      <c r="CZX9" s="222"/>
      <c r="CZY9" s="222"/>
      <c r="CZZ9" s="222"/>
      <c r="DAA9" s="222"/>
      <c r="DAB9" s="222"/>
      <c r="DAC9" s="222"/>
      <c r="DAD9" s="222"/>
      <c r="DAE9" s="222"/>
      <c r="DAF9" s="222"/>
      <c r="DAG9" s="222"/>
      <c r="DAH9" s="222"/>
      <c r="DAI9" s="222"/>
      <c r="DAJ9" s="222"/>
      <c r="DAK9" s="222"/>
      <c r="DAL9" s="222"/>
      <c r="DAM9" s="222"/>
      <c r="DAN9" s="222"/>
      <c r="DAO9" s="222"/>
      <c r="DAP9" s="222"/>
      <c r="DAQ9" s="222"/>
      <c r="DAR9" s="222"/>
      <c r="DAS9" s="222"/>
      <c r="DAT9" s="222"/>
      <c r="DAU9" s="222"/>
      <c r="DAV9" s="222"/>
      <c r="DAW9" s="222"/>
      <c r="DAX9" s="222"/>
      <c r="DAY9" s="222"/>
      <c r="DAZ9" s="222"/>
      <c r="DBA9" s="222"/>
      <c r="DBB9" s="222"/>
      <c r="DBC9" s="222"/>
      <c r="DBD9" s="222"/>
      <c r="DBE9" s="222"/>
      <c r="DBF9" s="222"/>
      <c r="DBG9" s="222"/>
      <c r="DBH9" s="222"/>
      <c r="DBI9" s="222"/>
      <c r="DBJ9" s="222"/>
      <c r="DBK9" s="222"/>
      <c r="DBL9" s="222"/>
      <c r="DBM9" s="222"/>
      <c r="DBN9" s="222"/>
      <c r="DBO9" s="222"/>
      <c r="DBP9" s="222"/>
      <c r="DBQ9" s="222"/>
      <c r="DBR9" s="222"/>
      <c r="DBS9" s="222"/>
      <c r="DBT9" s="222"/>
      <c r="DBU9" s="222"/>
      <c r="DBV9" s="222"/>
      <c r="DBW9" s="222"/>
      <c r="DBX9" s="222"/>
      <c r="DBY9" s="222"/>
      <c r="DBZ9" s="222"/>
      <c r="DCA9" s="222"/>
      <c r="DCB9" s="222"/>
      <c r="DCC9" s="222"/>
      <c r="DCD9" s="222"/>
      <c r="DCE9" s="222"/>
      <c r="DCF9" s="222"/>
      <c r="DCG9" s="222"/>
      <c r="DCH9" s="222"/>
      <c r="DCI9" s="222"/>
      <c r="DCJ9" s="222"/>
      <c r="DCK9" s="222"/>
      <c r="DCL9" s="222"/>
      <c r="DCM9" s="222"/>
      <c r="DCN9" s="222"/>
      <c r="DCO9" s="222"/>
      <c r="DCP9" s="222"/>
      <c r="DCQ9" s="222"/>
      <c r="DCR9" s="222"/>
      <c r="DCS9" s="222"/>
      <c r="DCT9" s="222"/>
      <c r="DCU9" s="222"/>
      <c r="DCV9" s="222"/>
      <c r="DCW9" s="222"/>
      <c r="DCX9" s="222"/>
      <c r="DCY9" s="222"/>
      <c r="DCZ9" s="222"/>
      <c r="DDA9" s="222"/>
      <c r="DDB9" s="222"/>
      <c r="DDC9" s="222"/>
      <c r="DDD9" s="222"/>
      <c r="DDE9" s="222"/>
      <c r="DDF9" s="222"/>
      <c r="DDG9" s="222"/>
      <c r="DDH9" s="222"/>
      <c r="DDI9" s="222"/>
      <c r="DDJ9" s="222"/>
      <c r="DDK9" s="222"/>
      <c r="DDL9" s="222"/>
      <c r="DDM9" s="222"/>
      <c r="DDN9" s="222"/>
      <c r="DDO9" s="222"/>
      <c r="DDP9" s="222"/>
      <c r="DDQ9" s="222"/>
      <c r="DDR9" s="222"/>
      <c r="DDS9" s="222"/>
      <c r="DDT9" s="222"/>
      <c r="DDU9" s="222"/>
      <c r="DDV9" s="222"/>
      <c r="DDW9" s="222"/>
      <c r="DDX9" s="222"/>
      <c r="DDY9" s="222"/>
      <c r="DDZ9" s="222"/>
      <c r="DEA9" s="222"/>
      <c r="DEB9" s="222"/>
      <c r="DEC9" s="222"/>
      <c r="DED9" s="222"/>
      <c r="DEE9" s="222"/>
      <c r="DEF9" s="222"/>
      <c r="DEG9" s="222"/>
      <c r="DEH9" s="222"/>
      <c r="DEI9" s="222"/>
      <c r="DEJ9" s="222"/>
      <c r="DEK9" s="222"/>
      <c r="DEL9" s="222"/>
      <c r="DEM9" s="222"/>
      <c r="DEN9" s="222"/>
      <c r="DEO9" s="222"/>
      <c r="DEP9" s="222"/>
      <c r="DEQ9" s="222"/>
      <c r="DER9" s="222"/>
      <c r="DES9" s="222"/>
      <c r="DET9" s="222"/>
      <c r="DEU9" s="222"/>
      <c r="DEV9" s="222"/>
      <c r="DEW9" s="222"/>
      <c r="DEX9" s="222"/>
      <c r="DEY9" s="222"/>
      <c r="DEZ9" s="222"/>
      <c r="DFA9" s="222"/>
      <c r="DFB9" s="222"/>
      <c r="DFC9" s="222"/>
      <c r="DFD9" s="222"/>
      <c r="DFE9" s="222"/>
      <c r="DFF9" s="222"/>
      <c r="DFG9" s="222"/>
      <c r="DFH9" s="222"/>
      <c r="DFI9" s="222"/>
      <c r="DFJ9" s="222"/>
      <c r="DFK9" s="222"/>
      <c r="DFL9" s="222"/>
      <c r="DFM9" s="222"/>
      <c r="DFN9" s="222"/>
      <c r="DFO9" s="222"/>
      <c r="DFP9" s="222"/>
      <c r="DFQ9" s="222"/>
      <c r="DFR9" s="222"/>
      <c r="DFS9" s="222"/>
      <c r="DFT9" s="222"/>
      <c r="DFU9" s="222"/>
      <c r="DFV9" s="222"/>
      <c r="DFW9" s="222"/>
      <c r="DFX9" s="222"/>
      <c r="DFY9" s="222"/>
      <c r="DFZ9" s="222"/>
      <c r="DGA9" s="222"/>
      <c r="DGB9" s="222"/>
      <c r="DGC9" s="222"/>
      <c r="DGD9" s="222"/>
      <c r="DGE9" s="222"/>
      <c r="DGF9" s="222"/>
      <c r="DGG9" s="222"/>
      <c r="DGH9" s="222"/>
      <c r="DGI9" s="222"/>
      <c r="DGJ9" s="222"/>
      <c r="DGK9" s="222"/>
      <c r="DGL9" s="222"/>
      <c r="DGM9" s="222"/>
      <c r="DGN9" s="222"/>
      <c r="DGO9" s="222"/>
      <c r="DGP9" s="222"/>
      <c r="DGQ9" s="222"/>
      <c r="DGR9" s="222"/>
      <c r="DGS9" s="222"/>
      <c r="DGT9" s="222"/>
      <c r="DGU9" s="222"/>
      <c r="DGV9" s="222"/>
      <c r="DGW9" s="222"/>
      <c r="DGX9" s="222"/>
      <c r="DGY9" s="222"/>
      <c r="DGZ9" s="222"/>
      <c r="DHA9" s="222"/>
      <c r="DHB9" s="222"/>
      <c r="DHC9" s="222"/>
      <c r="DHD9" s="222"/>
      <c r="DHE9" s="222"/>
      <c r="DHF9" s="222"/>
      <c r="DHG9" s="222"/>
      <c r="DHH9" s="222"/>
      <c r="DHI9" s="222"/>
      <c r="DHJ9" s="222"/>
      <c r="DHK9" s="222"/>
      <c r="DHL9" s="222"/>
      <c r="DHM9" s="222"/>
      <c r="DHN9" s="222"/>
      <c r="DHO9" s="222"/>
      <c r="DHP9" s="222"/>
      <c r="DHQ9" s="222"/>
      <c r="DHR9" s="222"/>
      <c r="DHS9" s="222"/>
      <c r="DHT9" s="222"/>
      <c r="DHU9" s="222"/>
      <c r="DHV9" s="222"/>
      <c r="DHW9" s="222"/>
      <c r="DHX9" s="222"/>
      <c r="DHY9" s="222"/>
      <c r="DHZ9" s="222"/>
      <c r="DIA9" s="222"/>
      <c r="DIB9" s="222"/>
      <c r="DIC9" s="222"/>
      <c r="DID9" s="222"/>
      <c r="DIE9" s="222"/>
      <c r="DIF9" s="222"/>
      <c r="DIG9" s="222"/>
      <c r="DIH9" s="222"/>
      <c r="DII9" s="222"/>
      <c r="DIJ9" s="222"/>
      <c r="DIK9" s="222"/>
      <c r="DIL9" s="222"/>
      <c r="DIM9" s="222"/>
      <c r="DIN9" s="222"/>
      <c r="DIO9" s="222"/>
      <c r="DIP9" s="222"/>
      <c r="DIQ9" s="222"/>
      <c r="DIR9" s="222"/>
      <c r="DIS9" s="222"/>
      <c r="DIT9" s="222"/>
      <c r="DIU9" s="222"/>
      <c r="DIV9" s="222"/>
      <c r="DIW9" s="222"/>
      <c r="DIX9" s="222"/>
      <c r="DIY9" s="222"/>
      <c r="DIZ9" s="222"/>
      <c r="DJA9" s="222"/>
      <c r="DJB9" s="222"/>
      <c r="DJC9" s="222"/>
      <c r="DJD9" s="222"/>
      <c r="DJE9" s="222"/>
      <c r="DJF9" s="222"/>
      <c r="DJG9" s="222"/>
      <c r="DJH9" s="222"/>
      <c r="DJI9" s="222"/>
      <c r="DJJ9" s="222"/>
      <c r="DJK9" s="222"/>
      <c r="DJL9" s="222"/>
      <c r="DJM9" s="222"/>
      <c r="DJN9" s="222"/>
      <c r="DJO9" s="222"/>
      <c r="DJP9" s="222"/>
      <c r="DJQ9" s="222"/>
      <c r="DJR9" s="222"/>
      <c r="DJS9" s="222"/>
      <c r="DJT9" s="222"/>
      <c r="DJU9" s="222"/>
      <c r="DJV9" s="222"/>
      <c r="DJW9" s="222"/>
      <c r="DJX9" s="222"/>
      <c r="DJY9" s="222"/>
      <c r="DJZ9" s="222"/>
      <c r="DKA9" s="222"/>
      <c r="DKB9" s="222"/>
      <c r="DKC9" s="222"/>
      <c r="DKD9" s="222"/>
      <c r="DKE9" s="222"/>
      <c r="DKF9" s="222"/>
      <c r="DKG9" s="222"/>
      <c r="DKH9" s="222"/>
      <c r="DKI9" s="222"/>
      <c r="DKJ9" s="222"/>
      <c r="DKK9" s="222"/>
      <c r="DKL9" s="222"/>
      <c r="DKM9" s="222"/>
      <c r="DKN9" s="222"/>
      <c r="DKO9" s="222"/>
      <c r="DKP9" s="222"/>
      <c r="DKQ9" s="222"/>
      <c r="DKR9" s="222"/>
      <c r="DKS9" s="222"/>
      <c r="DKT9" s="222"/>
      <c r="DKU9" s="222"/>
      <c r="DKV9" s="222"/>
      <c r="DKW9" s="222"/>
      <c r="DKX9" s="222"/>
      <c r="DKY9" s="222"/>
      <c r="DKZ9" s="222"/>
      <c r="DLA9" s="222"/>
      <c r="DLB9" s="222"/>
      <c r="DLC9" s="222"/>
      <c r="DLD9" s="222"/>
      <c r="DLE9" s="222"/>
      <c r="DLF9" s="222"/>
      <c r="DLG9" s="222"/>
      <c r="DLH9" s="222"/>
      <c r="DLI9" s="222"/>
      <c r="DLJ9" s="222"/>
      <c r="DLK9" s="222"/>
      <c r="DLL9" s="222"/>
      <c r="DLM9" s="222"/>
      <c r="DLN9" s="222"/>
      <c r="DLO9" s="222"/>
      <c r="DLP9" s="222"/>
      <c r="DLQ9" s="222"/>
      <c r="DLR9" s="222"/>
      <c r="DLS9" s="222"/>
      <c r="DLT9" s="222"/>
      <c r="DLU9" s="222"/>
      <c r="DLV9" s="222"/>
      <c r="DLW9" s="222"/>
      <c r="DLX9" s="222"/>
      <c r="DLY9" s="222"/>
      <c r="DLZ9" s="222"/>
      <c r="DMA9" s="222"/>
      <c r="DMB9" s="222"/>
      <c r="DMC9" s="222"/>
      <c r="DMD9" s="222"/>
      <c r="DME9" s="222"/>
      <c r="DMF9" s="222"/>
      <c r="DMG9" s="222"/>
      <c r="DMH9" s="222"/>
      <c r="DMI9" s="222"/>
      <c r="DMJ9" s="222"/>
      <c r="DMK9" s="222"/>
      <c r="DML9" s="222"/>
      <c r="DMM9" s="222"/>
      <c r="DMN9" s="222"/>
      <c r="DMO9" s="222"/>
      <c r="DMP9" s="222"/>
      <c r="DMQ9" s="222"/>
      <c r="DMR9" s="222"/>
      <c r="DMS9" s="222"/>
      <c r="DMT9" s="222"/>
      <c r="DMU9" s="222"/>
      <c r="DMV9" s="222"/>
      <c r="DMW9" s="222"/>
      <c r="DMX9" s="222"/>
      <c r="DMY9" s="222"/>
      <c r="DMZ9" s="222"/>
      <c r="DNA9" s="222"/>
      <c r="DNB9" s="222"/>
      <c r="DNC9" s="222"/>
      <c r="DND9" s="222"/>
      <c r="DNE9" s="222"/>
      <c r="DNF9" s="222"/>
      <c r="DNG9" s="222"/>
      <c r="DNH9" s="222"/>
      <c r="DNI9" s="222"/>
      <c r="DNJ9" s="222"/>
      <c r="DNK9" s="222"/>
      <c r="DNL9" s="222"/>
      <c r="DNM9" s="222"/>
      <c r="DNN9" s="222"/>
      <c r="DNO9" s="222"/>
      <c r="DNP9" s="222"/>
      <c r="DNQ9" s="222"/>
      <c r="DNR9" s="222"/>
      <c r="DNS9" s="222"/>
      <c r="DNT9" s="222"/>
      <c r="DNU9" s="222"/>
      <c r="DNV9" s="222"/>
      <c r="DNW9" s="222"/>
      <c r="DNX9" s="222"/>
      <c r="DNY9" s="222"/>
      <c r="DNZ9" s="222"/>
      <c r="DOA9" s="222"/>
      <c r="DOB9" s="222"/>
      <c r="DOC9" s="222"/>
      <c r="DOD9" s="222"/>
      <c r="DOE9" s="222"/>
      <c r="DOF9" s="222"/>
      <c r="DOG9" s="222"/>
      <c r="DOH9" s="222"/>
      <c r="DOI9" s="222"/>
      <c r="DOJ9" s="222"/>
      <c r="DOK9" s="222"/>
      <c r="DOL9" s="222"/>
      <c r="DOM9" s="222"/>
      <c r="DON9" s="222"/>
      <c r="DOO9" s="222"/>
      <c r="DOP9" s="222"/>
      <c r="DOQ9" s="222"/>
      <c r="DOR9" s="222"/>
      <c r="DOS9" s="222"/>
      <c r="DOT9" s="222"/>
      <c r="DOU9" s="222"/>
      <c r="DOV9" s="222"/>
      <c r="DOW9" s="222"/>
      <c r="DOX9" s="222"/>
      <c r="DOY9" s="222"/>
      <c r="DOZ9" s="222"/>
      <c r="DPA9" s="222"/>
      <c r="DPB9" s="222"/>
      <c r="DPC9" s="222"/>
      <c r="DPD9" s="222"/>
      <c r="DPE9" s="222"/>
      <c r="DPF9" s="222"/>
      <c r="DPG9" s="222"/>
      <c r="DPH9" s="222"/>
      <c r="DPI9" s="222"/>
      <c r="DPJ9" s="222"/>
      <c r="DPK9" s="222"/>
      <c r="DPL9" s="222"/>
      <c r="DPM9" s="222"/>
      <c r="DPN9" s="222"/>
      <c r="DPO9" s="222"/>
      <c r="DPP9" s="222"/>
      <c r="DPQ9" s="222"/>
      <c r="DPR9" s="222"/>
      <c r="DPS9" s="222"/>
      <c r="DPT9" s="222"/>
      <c r="DPU9" s="222"/>
      <c r="DPV9" s="222"/>
      <c r="DPW9" s="222"/>
      <c r="DPX9" s="222"/>
      <c r="DPY9" s="222"/>
      <c r="DPZ9" s="222"/>
      <c r="DQA9" s="222"/>
      <c r="DQB9" s="222"/>
      <c r="DQC9" s="222"/>
      <c r="DQD9" s="222"/>
      <c r="DQE9" s="222"/>
      <c r="DQF9" s="222"/>
      <c r="DQG9" s="222"/>
      <c r="DQH9" s="222"/>
      <c r="DQI9" s="222"/>
      <c r="DQJ9" s="222"/>
      <c r="DQK9" s="222"/>
      <c r="DQL9" s="222"/>
      <c r="DQM9" s="222"/>
      <c r="DQN9" s="222"/>
      <c r="DQO9" s="222"/>
      <c r="DQP9" s="222"/>
      <c r="DQQ9" s="222"/>
      <c r="DQR9" s="222"/>
      <c r="DQS9" s="222"/>
      <c r="DQT9" s="222"/>
      <c r="DQU9" s="222"/>
      <c r="DQV9" s="222"/>
      <c r="DQW9" s="222"/>
      <c r="DQX9" s="222"/>
      <c r="DQY9" s="222"/>
      <c r="DQZ9" s="222"/>
      <c r="DRA9" s="222"/>
      <c r="DRB9" s="222"/>
      <c r="DRC9" s="222"/>
      <c r="DRD9" s="222"/>
      <c r="DRE9" s="222"/>
      <c r="DRF9" s="222"/>
      <c r="DRG9" s="222"/>
      <c r="DRH9" s="222"/>
      <c r="DRI9" s="222"/>
      <c r="DRJ9" s="222"/>
      <c r="DRK9" s="222"/>
      <c r="DRL9" s="222"/>
      <c r="DRM9" s="222"/>
      <c r="DRN9" s="222"/>
      <c r="DRO9" s="222"/>
      <c r="DRP9" s="222"/>
      <c r="DRQ9" s="222"/>
      <c r="DRR9" s="222"/>
      <c r="DRS9" s="222"/>
      <c r="DRT9" s="222"/>
      <c r="DRU9" s="222"/>
      <c r="DRV9" s="222"/>
      <c r="DRW9" s="222"/>
      <c r="DRX9" s="222"/>
      <c r="DRY9" s="222"/>
      <c r="DRZ9" s="222"/>
      <c r="DSA9" s="222"/>
      <c r="DSB9" s="222"/>
      <c r="DSC9" s="222"/>
      <c r="DSD9" s="222"/>
      <c r="DSE9" s="222"/>
      <c r="DSF9" s="222"/>
      <c r="DSG9" s="222"/>
      <c r="DSH9" s="222"/>
      <c r="DSI9" s="222"/>
      <c r="DSJ9" s="222"/>
      <c r="DSK9" s="222"/>
      <c r="DSL9" s="222"/>
      <c r="DSM9" s="222"/>
      <c r="DSN9" s="222"/>
      <c r="DSO9" s="222"/>
      <c r="DSP9" s="222"/>
      <c r="DSQ9" s="222"/>
      <c r="DSR9" s="222"/>
      <c r="DSS9" s="222"/>
      <c r="DST9" s="222"/>
      <c r="DSU9" s="222"/>
      <c r="DSV9" s="222"/>
      <c r="DSW9" s="222"/>
      <c r="DSX9" s="222"/>
      <c r="DSY9" s="222"/>
      <c r="DSZ9" s="222"/>
      <c r="DTA9" s="222"/>
      <c r="DTB9" s="222"/>
      <c r="DTC9" s="222"/>
      <c r="DTD9" s="222"/>
      <c r="DTE9" s="222"/>
      <c r="DTF9" s="222"/>
      <c r="DTG9" s="222"/>
      <c r="DTH9" s="222"/>
      <c r="DTI9" s="222"/>
      <c r="DTJ9" s="222"/>
      <c r="DTK9" s="222"/>
      <c r="DTL9" s="222"/>
      <c r="DTM9" s="222"/>
      <c r="DTN9" s="222"/>
      <c r="DTO9" s="222"/>
      <c r="DTP9" s="222"/>
      <c r="DTQ9" s="222"/>
      <c r="DTR9" s="222"/>
      <c r="DTS9" s="222"/>
      <c r="DTT9" s="222"/>
      <c r="DTU9" s="222"/>
      <c r="DTV9" s="222"/>
      <c r="DTW9" s="222"/>
      <c r="DTX9" s="222"/>
      <c r="DTY9" s="222"/>
      <c r="DTZ9" s="222"/>
      <c r="DUA9" s="222"/>
      <c r="DUB9" s="222"/>
      <c r="DUC9" s="222"/>
      <c r="DUD9" s="222"/>
      <c r="DUE9" s="222"/>
      <c r="DUF9" s="222"/>
      <c r="DUG9" s="222"/>
      <c r="DUH9" s="222"/>
      <c r="DUI9" s="222"/>
      <c r="DUJ9" s="222"/>
      <c r="DUK9" s="222"/>
      <c r="DUL9" s="222"/>
      <c r="DUM9" s="222"/>
      <c r="DUN9" s="222"/>
      <c r="DUO9" s="222"/>
      <c r="DUP9" s="222"/>
      <c r="DUQ9" s="222"/>
      <c r="DUR9" s="222"/>
      <c r="DUS9" s="222"/>
      <c r="DUT9" s="222"/>
      <c r="DUU9" s="222"/>
      <c r="DUV9" s="222"/>
      <c r="DUW9" s="222"/>
      <c r="DUX9" s="222"/>
      <c r="DUY9" s="222"/>
      <c r="DUZ9" s="222"/>
      <c r="DVA9" s="222"/>
      <c r="DVB9" s="222"/>
      <c r="DVC9" s="222"/>
      <c r="DVD9" s="222"/>
      <c r="DVE9" s="222"/>
      <c r="DVF9" s="222"/>
      <c r="DVG9" s="222"/>
      <c r="DVH9" s="222"/>
      <c r="DVI9" s="222"/>
      <c r="DVJ9" s="222"/>
      <c r="DVK9" s="222"/>
      <c r="DVL9" s="222"/>
      <c r="DVM9" s="222"/>
      <c r="DVN9" s="222"/>
      <c r="DVO9" s="222"/>
      <c r="DVP9" s="222"/>
      <c r="DVQ9" s="222"/>
      <c r="DVR9" s="222"/>
      <c r="DVS9" s="222"/>
      <c r="DVT9" s="222"/>
      <c r="DVU9" s="222"/>
      <c r="DVV9" s="222"/>
      <c r="DVW9" s="222"/>
      <c r="DVX9" s="222"/>
      <c r="DVY9" s="222"/>
      <c r="DVZ9" s="222"/>
      <c r="DWA9" s="222"/>
      <c r="DWB9" s="222"/>
      <c r="DWC9" s="222"/>
      <c r="DWD9" s="222"/>
      <c r="DWE9" s="222"/>
      <c r="DWF9" s="222"/>
      <c r="DWG9" s="222"/>
      <c r="DWH9" s="222"/>
      <c r="DWI9" s="222"/>
      <c r="DWJ9" s="222"/>
      <c r="DWK9" s="222"/>
      <c r="DWL9" s="222"/>
      <c r="DWM9" s="222"/>
      <c r="DWN9" s="222"/>
      <c r="DWO9" s="222"/>
      <c r="DWP9" s="222"/>
      <c r="DWQ9" s="222"/>
      <c r="DWR9" s="222"/>
      <c r="DWS9" s="222"/>
      <c r="DWT9" s="222"/>
      <c r="DWU9" s="222"/>
      <c r="DWV9" s="222"/>
      <c r="DWW9" s="222"/>
      <c r="DWX9" s="222"/>
      <c r="DWY9" s="222"/>
      <c r="DWZ9" s="222"/>
      <c r="DXA9" s="222"/>
      <c r="DXB9" s="222"/>
      <c r="DXC9" s="222"/>
      <c r="DXD9" s="222"/>
      <c r="DXE9" s="222"/>
      <c r="DXF9" s="222"/>
      <c r="DXG9" s="222"/>
      <c r="DXH9" s="222"/>
      <c r="DXI9" s="222"/>
      <c r="DXJ9" s="222"/>
      <c r="DXK9" s="222"/>
      <c r="DXL9" s="222"/>
      <c r="DXM9" s="222"/>
      <c r="DXN9" s="222"/>
      <c r="DXO9" s="222"/>
      <c r="DXP9" s="222"/>
      <c r="DXQ9" s="222"/>
      <c r="DXR9" s="222"/>
      <c r="DXS9" s="222"/>
      <c r="DXT9" s="222"/>
      <c r="DXU9" s="222"/>
      <c r="DXV9" s="222"/>
      <c r="DXW9" s="222"/>
      <c r="DXX9" s="222"/>
      <c r="DXY9" s="222"/>
      <c r="DXZ9" s="222"/>
      <c r="DYA9" s="222"/>
      <c r="DYB9" s="222"/>
      <c r="DYC9" s="222"/>
      <c r="DYD9" s="222"/>
      <c r="DYE9" s="222"/>
      <c r="DYF9" s="222"/>
      <c r="DYG9" s="222"/>
      <c r="DYH9" s="222"/>
      <c r="DYI9" s="222"/>
      <c r="DYJ9" s="222"/>
      <c r="DYK9" s="222"/>
      <c r="DYL9" s="222"/>
      <c r="DYM9" s="222"/>
      <c r="DYN9" s="222"/>
      <c r="DYO9" s="222"/>
      <c r="DYP9" s="222"/>
      <c r="DYQ9" s="222"/>
      <c r="DYR9" s="222"/>
      <c r="DYS9" s="222"/>
      <c r="DYT9" s="222"/>
      <c r="DYU9" s="222"/>
      <c r="DYV9" s="222"/>
      <c r="DYW9" s="222"/>
      <c r="DYX9" s="222"/>
      <c r="DYY9" s="222"/>
      <c r="DYZ9" s="222"/>
      <c r="DZA9" s="222"/>
      <c r="DZB9" s="222"/>
      <c r="DZC9" s="222"/>
      <c r="DZD9" s="222"/>
      <c r="DZE9" s="222"/>
      <c r="DZF9" s="222"/>
      <c r="DZG9" s="222"/>
      <c r="DZH9" s="222"/>
      <c r="DZI9" s="222"/>
      <c r="DZJ9" s="222"/>
      <c r="DZK9" s="222"/>
      <c r="DZL9" s="222"/>
      <c r="DZM9" s="222"/>
      <c r="DZN9" s="222"/>
      <c r="DZO9" s="222"/>
      <c r="DZP9" s="222"/>
      <c r="DZQ9" s="222"/>
      <c r="DZR9" s="222"/>
      <c r="DZS9" s="222"/>
      <c r="DZT9" s="222"/>
      <c r="DZU9" s="222"/>
      <c r="DZV9" s="222"/>
      <c r="DZW9" s="222"/>
      <c r="DZX9" s="222"/>
      <c r="DZY9" s="222"/>
      <c r="DZZ9" s="222"/>
      <c r="EAA9" s="222"/>
      <c r="EAB9" s="222"/>
      <c r="EAC9" s="222"/>
      <c r="EAD9" s="222"/>
      <c r="EAE9" s="222"/>
      <c r="EAF9" s="222"/>
      <c r="EAG9" s="222"/>
      <c r="EAH9" s="222"/>
      <c r="EAI9" s="222"/>
      <c r="EAJ9" s="222"/>
      <c r="EAK9" s="222"/>
      <c r="EAL9" s="222"/>
      <c r="EAM9" s="222"/>
      <c r="EAN9" s="222"/>
      <c r="EAO9" s="222"/>
      <c r="EAP9" s="222"/>
      <c r="EAQ9" s="222"/>
      <c r="EAR9" s="222"/>
      <c r="EAS9" s="222"/>
      <c r="EAT9" s="222"/>
      <c r="EAU9" s="222"/>
      <c r="EAV9" s="222"/>
      <c r="EAW9" s="222"/>
      <c r="EAX9" s="222"/>
      <c r="EAY9" s="222"/>
      <c r="EAZ9" s="222"/>
      <c r="EBA9" s="222"/>
      <c r="EBB9" s="222"/>
      <c r="EBC9" s="222"/>
      <c r="EBD9" s="222"/>
      <c r="EBE9" s="222"/>
      <c r="EBF9" s="222"/>
      <c r="EBG9" s="222"/>
      <c r="EBH9" s="222"/>
      <c r="EBI9" s="222"/>
      <c r="EBJ9" s="222"/>
      <c r="EBK9" s="222"/>
      <c r="EBL9" s="222"/>
      <c r="EBM9" s="222"/>
      <c r="EBN9" s="222"/>
      <c r="EBO9" s="222"/>
      <c r="EBP9" s="222"/>
      <c r="EBQ9" s="222"/>
      <c r="EBR9" s="222"/>
      <c r="EBS9" s="222"/>
      <c r="EBT9" s="222"/>
      <c r="EBU9" s="222"/>
      <c r="EBV9" s="222"/>
      <c r="EBW9" s="222"/>
      <c r="EBX9" s="222"/>
      <c r="EBY9" s="222"/>
      <c r="EBZ9" s="222"/>
      <c r="ECA9" s="222"/>
      <c r="ECB9" s="222"/>
      <c r="ECC9" s="222"/>
      <c r="ECD9" s="222"/>
      <c r="ECE9" s="222"/>
      <c r="ECF9" s="222"/>
      <c r="ECG9" s="222"/>
      <c r="ECH9" s="222"/>
      <c r="ECI9" s="222"/>
      <c r="ECJ9" s="222"/>
      <c r="ECK9" s="222"/>
      <c r="ECL9" s="222"/>
      <c r="ECM9" s="222"/>
      <c r="ECN9" s="222"/>
      <c r="ECO9" s="222"/>
      <c r="ECP9" s="222"/>
      <c r="ECQ9" s="222"/>
      <c r="ECR9" s="222"/>
      <c r="ECS9" s="222"/>
      <c r="ECT9" s="222"/>
      <c r="ECU9" s="222"/>
      <c r="ECV9" s="222"/>
      <c r="ECW9" s="222"/>
      <c r="ECX9" s="222"/>
      <c r="ECY9" s="222"/>
      <c r="ECZ9" s="222"/>
      <c r="EDA9" s="222"/>
      <c r="EDB9" s="222"/>
      <c r="EDC9" s="222"/>
      <c r="EDD9" s="222"/>
      <c r="EDE9" s="222"/>
      <c r="EDF9" s="222"/>
      <c r="EDG9" s="222"/>
      <c r="EDH9" s="222"/>
      <c r="EDI9" s="222"/>
      <c r="EDJ9" s="222"/>
      <c r="EDK9" s="222"/>
      <c r="EDL9" s="222"/>
      <c r="EDM9" s="222"/>
      <c r="EDN9" s="222"/>
      <c r="EDO9" s="222"/>
      <c r="EDP9" s="222"/>
      <c r="EDQ9" s="222"/>
      <c r="EDR9" s="222"/>
      <c r="EDS9" s="222"/>
      <c r="EDT9" s="222"/>
      <c r="EDU9" s="222"/>
      <c r="EDV9" s="222"/>
      <c r="EDW9" s="222"/>
      <c r="EDX9" s="222"/>
      <c r="EDY9" s="222"/>
      <c r="EDZ9" s="222"/>
      <c r="EEA9" s="222"/>
      <c r="EEB9" s="222"/>
      <c r="EEC9" s="222"/>
      <c r="EED9" s="222"/>
      <c r="EEE9" s="222"/>
      <c r="EEF9" s="222"/>
      <c r="EEG9" s="222"/>
      <c r="EEH9" s="222"/>
      <c r="EEI9" s="222"/>
      <c r="EEJ9" s="222"/>
      <c r="EEK9" s="222"/>
      <c r="EEL9" s="222"/>
      <c r="EEM9" s="222"/>
      <c r="EEN9" s="222"/>
      <c r="EEO9" s="222"/>
      <c r="EEP9" s="222"/>
      <c r="EEQ9" s="222"/>
      <c r="EER9" s="222"/>
      <c r="EES9" s="222"/>
      <c r="EET9" s="222"/>
      <c r="EEU9" s="222"/>
      <c r="EEV9" s="222"/>
      <c r="EEW9" s="222"/>
      <c r="EEX9" s="222"/>
      <c r="EEY9" s="222"/>
      <c r="EEZ9" s="222"/>
      <c r="EFA9" s="222"/>
      <c r="EFB9" s="222"/>
      <c r="EFC9" s="222"/>
      <c r="EFD9" s="222"/>
      <c r="EFE9" s="222"/>
      <c r="EFF9" s="222"/>
      <c r="EFG9" s="222"/>
      <c r="EFH9" s="222"/>
      <c r="EFI9" s="222"/>
      <c r="EFJ9" s="222"/>
      <c r="EFK9" s="222"/>
      <c r="EFL9" s="222"/>
      <c r="EFM9" s="222"/>
      <c r="EFN9" s="222"/>
      <c r="EFO9" s="222"/>
      <c r="EFP9" s="222"/>
      <c r="EFQ9" s="222"/>
      <c r="EFR9" s="222"/>
      <c r="EFS9" s="222"/>
      <c r="EFT9" s="222"/>
      <c r="EFU9" s="222"/>
      <c r="EFV9" s="222"/>
      <c r="EFW9" s="222"/>
      <c r="EFX9" s="222"/>
      <c r="EFY9" s="222"/>
      <c r="EFZ9" s="222"/>
      <c r="EGA9" s="222"/>
      <c r="EGB9" s="222"/>
      <c r="EGC9" s="222"/>
      <c r="EGD9" s="222"/>
      <c r="EGE9" s="222"/>
      <c r="EGF9" s="222"/>
      <c r="EGG9" s="222"/>
      <c r="EGH9" s="222"/>
      <c r="EGI9" s="222"/>
      <c r="EGJ9" s="222"/>
      <c r="EGK9" s="222"/>
      <c r="EGL9" s="222"/>
      <c r="EGM9" s="222"/>
      <c r="EGN9" s="222"/>
      <c r="EGO9" s="222"/>
      <c r="EGP9" s="222"/>
      <c r="EGQ9" s="222"/>
      <c r="EGR9" s="222"/>
      <c r="EGS9" s="222"/>
      <c r="EGT9" s="222"/>
      <c r="EGU9" s="222"/>
      <c r="EGV9" s="222"/>
      <c r="EGW9" s="222"/>
      <c r="EGX9" s="222"/>
      <c r="EGY9" s="222"/>
      <c r="EGZ9" s="222"/>
      <c r="EHA9" s="222"/>
      <c r="EHB9" s="222"/>
      <c r="EHC9" s="222"/>
      <c r="EHD9" s="222"/>
      <c r="EHE9" s="222"/>
      <c r="EHF9" s="222"/>
      <c r="EHG9" s="222"/>
      <c r="EHH9" s="222"/>
      <c r="EHI9" s="222"/>
      <c r="EHJ9" s="222"/>
      <c r="EHK9" s="222"/>
      <c r="EHL9" s="222"/>
      <c r="EHM9" s="222"/>
      <c r="EHN9" s="222"/>
      <c r="EHO9" s="222"/>
      <c r="EHP9" s="222"/>
      <c r="EHQ9" s="222"/>
      <c r="EHR9" s="222"/>
      <c r="EHS9" s="222"/>
      <c r="EHT9" s="222"/>
      <c r="EHU9" s="222"/>
      <c r="EHV9" s="222"/>
      <c r="EHW9" s="222"/>
      <c r="EHX9" s="222"/>
      <c r="EHY9" s="222"/>
      <c r="EHZ9" s="222"/>
      <c r="EIA9" s="222"/>
      <c r="EIB9" s="222"/>
      <c r="EIC9" s="222"/>
      <c r="EID9" s="222"/>
      <c r="EIE9" s="222"/>
      <c r="EIF9" s="222"/>
      <c r="EIG9" s="222"/>
      <c r="EIH9" s="222"/>
      <c r="EII9" s="222"/>
      <c r="EIJ9" s="222"/>
      <c r="EIK9" s="222"/>
      <c r="EIL9" s="222"/>
      <c r="EIM9" s="222"/>
      <c r="EIN9" s="222"/>
      <c r="EIO9" s="222"/>
      <c r="EIP9" s="222"/>
      <c r="EIQ9" s="222"/>
      <c r="EIR9" s="222"/>
      <c r="EIS9" s="222"/>
      <c r="EIT9" s="222"/>
      <c r="EIU9" s="222"/>
      <c r="EIV9" s="222"/>
      <c r="EIW9" s="222"/>
      <c r="EIX9" s="222"/>
      <c r="EIY9" s="222"/>
      <c r="EIZ9" s="222"/>
      <c r="EJA9" s="222"/>
      <c r="EJB9" s="222"/>
      <c r="EJC9" s="222"/>
      <c r="EJD9" s="222"/>
      <c r="EJE9" s="222"/>
      <c r="EJF9" s="222"/>
      <c r="EJG9" s="222"/>
      <c r="EJH9" s="222"/>
      <c r="EJI9" s="222"/>
      <c r="EJJ9" s="222"/>
      <c r="EJK9" s="222"/>
      <c r="EJL9" s="222"/>
      <c r="EJM9" s="222"/>
      <c r="EJN9" s="222"/>
      <c r="EJO9" s="222"/>
      <c r="EJP9" s="222"/>
      <c r="EJQ9" s="222"/>
      <c r="EJR9" s="222"/>
      <c r="EJS9" s="222"/>
      <c r="EJT9" s="222"/>
      <c r="EJU9" s="222"/>
      <c r="EJV9" s="222"/>
      <c r="EJW9" s="222"/>
      <c r="EJX9" s="222"/>
      <c r="EJY9" s="222"/>
      <c r="EJZ9" s="222"/>
      <c r="EKA9" s="222"/>
      <c r="EKB9" s="222"/>
      <c r="EKC9" s="222"/>
      <c r="EKD9" s="222"/>
      <c r="EKE9" s="222"/>
      <c r="EKF9" s="222"/>
      <c r="EKG9" s="222"/>
      <c r="EKH9" s="222"/>
      <c r="EKI9" s="222"/>
      <c r="EKJ9" s="222"/>
      <c r="EKK9" s="222"/>
      <c r="EKL9" s="222"/>
      <c r="EKM9" s="222"/>
      <c r="EKN9" s="222"/>
      <c r="EKO9" s="222"/>
      <c r="EKP9" s="222"/>
      <c r="EKQ9" s="222"/>
      <c r="EKR9" s="222"/>
      <c r="EKS9" s="222"/>
      <c r="EKT9" s="222"/>
      <c r="EKU9" s="222"/>
      <c r="EKV9" s="222"/>
      <c r="EKW9" s="222"/>
      <c r="EKX9" s="222"/>
      <c r="EKY9" s="222"/>
      <c r="EKZ9" s="222"/>
      <c r="ELA9" s="222"/>
      <c r="ELB9" s="222"/>
      <c r="ELC9" s="222"/>
      <c r="ELD9" s="222"/>
      <c r="ELE9" s="222"/>
      <c r="ELF9" s="222"/>
      <c r="ELG9" s="222"/>
      <c r="ELH9" s="222"/>
      <c r="ELI9" s="222"/>
      <c r="ELJ9" s="222"/>
      <c r="ELK9" s="222"/>
      <c r="ELL9" s="222"/>
      <c r="ELM9" s="222"/>
      <c r="ELN9" s="222"/>
      <c r="ELO9" s="222"/>
      <c r="ELP9" s="222"/>
      <c r="ELQ9" s="222"/>
      <c r="ELR9" s="222"/>
      <c r="ELS9" s="222"/>
      <c r="ELT9" s="222"/>
      <c r="ELU9" s="222"/>
      <c r="ELV9" s="222"/>
      <c r="ELW9" s="222"/>
      <c r="ELX9" s="222"/>
      <c r="ELY9" s="222"/>
      <c r="ELZ9" s="222"/>
      <c r="EMA9" s="222"/>
      <c r="EMB9" s="222"/>
      <c r="EMC9" s="222"/>
      <c r="EMD9" s="222"/>
      <c r="EME9" s="222"/>
      <c r="EMF9" s="222"/>
      <c r="EMG9" s="222"/>
      <c r="EMH9" s="222"/>
      <c r="EMI9" s="222"/>
      <c r="EMJ9" s="222"/>
      <c r="EMK9" s="222"/>
      <c r="EML9" s="222"/>
      <c r="EMM9" s="222"/>
      <c r="EMN9" s="222"/>
      <c r="EMO9" s="222"/>
      <c r="EMP9" s="222"/>
      <c r="EMQ9" s="222"/>
      <c r="EMR9" s="222"/>
      <c r="EMS9" s="222"/>
      <c r="EMT9" s="222"/>
      <c r="EMU9" s="222"/>
      <c r="EMV9" s="222"/>
      <c r="EMW9" s="222"/>
      <c r="EMX9" s="222"/>
      <c r="EMY9" s="222"/>
      <c r="EMZ9" s="222"/>
      <c r="ENA9" s="222"/>
      <c r="ENB9" s="222"/>
      <c r="ENC9" s="222"/>
      <c r="END9" s="222"/>
      <c r="ENE9" s="222"/>
      <c r="ENF9" s="222"/>
      <c r="ENG9" s="222"/>
      <c r="ENH9" s="222"/>
      <c r="ENI9" s="222"/>
      <c r="ENJ9" s="222"/>
      <c r="ENK9" s="222"/>
      <c r="ENL9" s="222"/>
      <c r="ENM9" s="222"/>
      <c r="ENN9" s="222"/>
      <c r="ENO9" s="222"/>
      <c r="ENP9" s="222"/>
      <c r="ENQ9" s="222"/>
      <c r="ENR9" s="222"/>
      <c r="ENS9" s="222"/>
      <c r="ENT9" s="222"/>
      <c r="ENU9" s="222"/>
      <c r="ENV9" s="222"/>
      <c r="ENW9" s="222"/>
      <c r="ENX9" s="222"/>
      <c r="ENY9" s="222"/>
      <c r="ENZ9" s="222"/>
      <c r="EOA9" s="222"/>
      <c r="EOB9" s="222"/>
      <c r="EOC9" s="222"/>
      <c r="EOD9" s="222"/>
      <c r="EOE9" s="222"/>
      <c r="EOF9" s="222"/>
      <c r="EOG9" s="222"/>
      <c r="EOH9" s="222"/>
      <c r="EOI9" s="222"/>
      <c r="EOJ9" s="222"/>
      <c r="EOK9" s="222"/>
      <c r="EOL9" s="222"/>
      <c r="EOM9" s="222"/>
      <c r="EON9" s="222"/>
      <c r="EOO9" s="222"/>
      <c r="EOP9" s="222"/>
      <c r="EOQ9" s="222"/>
      <c r="EOR9" s="222"/>
      <c r="EOS9" s="222"/>
      <c r="EOT9" s="222"/>
      <c r="EOU9" s="222"/>
      <c r="EOV9" s="222"/>
      <c r="EOW9" s="222"/>
      <c r="EOX9" s="222"/>
      <c r="EOY9" s="222"/>
      <c r="EOZ9" s="222"/>
      <c r="EPA9" s="222"/>
      <c r="EPB9" s="222"/>
      <c r="EPC9" s="222"/>
      <c r="EPD9" s="222"/>
      <c r="EPE9" s="222"/>
      <c r="EPF9" s="222"/>
      <c r="EPG9" s="222"/>
      <c r="EPH9" s="222"/>
      <c r="EPI9" s="222"/>
      <c r="EPJ9" s="222"/>
      <c r="EPK9" s="222"/>
      <c r="EPL9" s="222"/>
      <c r="EPM9" s="222"/>
      <c r="EPN9" s="222"/>
      <c r="EPO9" s="222"/>
      <c r="EPP9" s="222"/>
      <c r="EPQ9" s="222"/>
      <c r="EPR9" s="222"/>
      <c r="EPS9" s="222"/>
      <c r="EPT9" s="222"/>
      <c r="EPU9" s="222"/>
      <c r="EPV9" s="222"/>
      <c r="EPW9" s="222"/>
      <c r="EPX9" s="222"/>
      <c r="EPY9" s="222"/>
      <c r="EPZ9" s="222"/>
      <c r="EQA9" s="222"/>
      <c r="EQB9" s="222"/>
      <c r="EQC9" s="222"/>
      <c r="EQD9" s="222"/>
      <c r="EQE9" s="222"/>
      <c r="EQF9" s="222"/>
      <c r="EQG9" s="222"/>
      <c r="EQH9" s="222"/>
      <c r="EQI9" s="222"/>
      <c r="EQJ9" s="222"/>
      <c r="EQK9" s="222"/>
      <c r="EQL9" s="222"/>
      <c r="EQM9" s="222"/>
      <c r="EQN9" s="222"/>
      <c r="EQO9" s="222"/>
      <c r="EQP9" s="222"/>
      <c r="EQQ9" s="222"/>
      <c r="EQR9" s="222"/>
      <c r="EQS9" s="222"/>
      <c r="EQT9" s="222"/>
      <c r="EQU9" s="222"/>
      <c r="EQV9" s="222"/>
      <c r="EQW9" s="222"/>
      <c r="EQX9" s="222"/>
      <c r="EQY9" s="222"/>
      <c r="EQZ9" s="222"/>
      <c r="ERA9" s="222"/>
      <c r="ERB9" s="222"/>
      <c r="ERC9" s="222"/>
      <c r="ERD9" s="222"/>
      <c r="ERE9" s="222"/>
      <c r="ERF9" s="222"/>
      <c r="ERG9" s="222"/>
      <c r="ERH9" s="222"/>
      <c r="ERI9" s="222"/>
      <c r="ERJ9" s="222"/>
      <c r="ERK9" s="222"/>
      <c r="ERL9" s="222"/>
      <c r="ERM9" s="222"/>
      <c r="ERN9" s="222"/>
      <c r="ERO9" s="222"/>
      <c r="ERP9" s="222"/>
      <c r="ERQ9" s="222"/>
      <c r="ERR9" s="222"/>
      <c r="ERS9" s="222"/>
      <c r="ERT9" s="222"/>
      <c r="ERU9" s="222"/>
      <c r="ERV9" s="222"/>
      <c r="ERW9" s="222"/>
      <c r="ERX9" s="222"/>
      <c r="ERY9" s="222"/>
      <c r="ERZ9" s="222"/>
      <c r="ESA9" s="222"/>
      <c r="ESB9" s="222"/>
      <c r="ESC9" s="222"/>
      <c r="ESD9" s="222"/>
      <c r="ESE9" s="222"/>
      <c r="ESF9" s="222"/>
      <c r="ESG9" s="222"/>
      <c r="ESH9" s="222"/>
      <c r="ESI9" s="222"/>
      <c r="ESJ9" s="222"/>
      <c r="ESK9" s="222"/>
      <c r="ESL9" s="222"/>
      <c r="ESM9" s="222"/>
      <c r="ESN9" s="222"/>
      <c r="ESO9" s="222"/>
      <c r="ESP9" s="222"/>
      <c r="ESQ9" s="222"/>
      <c r="ESR9" s="222"/>
      <c r="ESS9" s="222"/>
      <c r="EST9" s="222"/>
      <c r="ESU9" s="222"/>
      <c r="ESV9" s="222"/>
      <c r="ESW9" s="222"/>
      <c r="ESX9" s="222"/>
      <c r="ESY9" s="222"/>
      <c r="ESZ9" s="222"/>
      <c r="ETA9" s="222"/>
      <c r="ETB9" s="222"/>
      <c r="ETC9" s="222"/>
      <c r="ETD9" s="222"/>
      <c r="ETE9" s="222"/>
      <c r="ETF9" s="222"/>
      <c r="ETG9" s="222"/>
      <c r="ETH9" s="222"/>
      <c r="ETI9" s="222"/>
      <c r="ETJ9" s="222"/>
      <c r="ETK9" s="222"/>
      <c r="ETL9" s="222"/>
      <c r="ETM9" s="222"/>
      <c r="ETN9" s="222"/>
      <c r="ETO9" s="222"/>
      <c r="ETP9" s="222"/>
      <c r="ETQ9" s="222"/>
      <c r="ETR9" s="222"/>
      <c r="ETS9" s="222"/>
      <c r="ETT9" s="222"/>
      <c r="ETU9" s="222"/>
      <c r="ETV9" s="222"/>
      <c r="ETW9" s="222"/>
      <c r="ETX9" s="222"/>
      <c r="ETY9" s="222"/>
      <c r="ETZ9" s="222"/>
      <c r="EUA9" s="222"/>
      <c r="EUB9" s="222"/>
      <c r="EUC9" s="222"/>
      <c r="EUD9" s="222"/>
      <c r="EUE9" s="222"/>
      <c r="EUF9" s="222"/>
      <c r="EUG9" s="222"/>
      <c r="EUH9" s="222"/>
      <c r="EUI9" s="222"/>
      <c r="EUJ9" s="222"/>
      <c r="EUK9" s="222"/>
      <c r="EUL9" s="222"/>
      <c r="EUM9" s="222"/>
      <c r="EUN9" s="222"/>
      <c r="EUO9" s="222"/>
      <c r="EUP9" s="222"/>
      <c r="EUQ9" s="222"/>
      <c r="EUR9" s="222"/>
      <c r="EUS9" s="222"/>
      <c r="EUT9" s="222"/>
      <c r="EUU9" s="222"/>
      <c r="EUV9" s="222"/>
      <c r="EUW9" s="222"/>
      <c r="EUX9" s="222"/>
      <c r="EUY9" s="222"/>
      <c r="EUZ9" s="222"/>
      <c r="EVA9" s="222"/>
      <c r="EVB9" s="222"/>
      <c r="EVC9" s="222"/>
      <c r="EVD9" s="222"/>
      <c r="EVE9" s="222"/>
      <c r="EVF9" s="222"/>
      <c r="EVG9" s="222"/>
      <c r="EVH9" s="222"/>
      <c r="EVI9" s="222"/>
      <c r="EVJ9" s="222"/>
      <c r="EVK9" s="222"/>
      <c r="EVL9" s="222"/>
      <c r="EVM9" s="222"/>
      <c r="EVN9" s="222"/>
      <c r="EVO9" s="222"/>
      <c r="EVP9" s="222"/>
      <c r="EVQ9" s="222"/>
      <c r="EVR9" s="222"/>
      <c r="EVS9" s="222"/>
      <c r="EVT9" s="222"/>
      <c r="EVU9" s="222"/>
      <c r="EVV9" s="222"/>
      <c r="EVW9" s="222"/>
      <c r="EVX9" s="222"/>
      <c r="EVY9" s="222"/>
      <c r="EVZ9" s="222"/>
      <c r="EWA9" s="222"/>
      <c r="EWB9" s="222"/>
      <c r="EWC9" s="222"/>
      <c r="EWD9" s="222"/>
      <c r="EWE9" s="222"/>
      <c r="EWF9" s="222"/>
      <c r="EWG9" s="222"/>
      <c r="EWH9" s="222"/>
      <c r="EWI9" s="222"/>
      <c r="EWJ9" s="222"/>
      <c r="EWK9" s="222"/>
      <c r="EWL9" s="222"/>
      <c r="EWM9" s="222"/>
      <c r="EWN9" s="222"/>
      <c r="EWO9" s="222"/>
      <c r="EWP9" s="222"/>
      <c r="EWQ9" s="222"/>
      <c r="EWR9" s="222"/>
      <c r="EWS9" s="222"/>
      <c r="EWT9" s="222"/>
      <c r="EWU9" s="222"/>
      <c r="EWV9" s="222"/>
      <c r="EWW9" s="222"/>
      <c r="EWX9" s="222"/>
      <c r="EWY9" s="222"/>
      <c r="EWZ9" s="222"/>
      <c r="EXA9" s="222"/>
      <c r="EXB9" s="222"/>
      <c r="EXC9" s="222"/>
      <c r="EXD9" s="222"/>
      <c r="EXE9" s="222"/>
      <c r="EXF9" s="222"/>
      <c r="EXG9" s="222"/>
      <c r="EXH9" s="222"/>
      <c r="EXI9" s="222"/>
      <c r="EXJ9" s="222"/>
      <c r="EXK9" s="222"/>
      <c r="EXL9" s="222"/>
      <c r="EXM9" s="222"/>
      <c r="EXN9" s="222"/>
      <c r="EXO9" s="222"/>
      <c r="EXP9" s="222"/>
      <c r="EXQ9" s="222"/>
      <c r="EXR9" s="222"/>
      <c r="EXS9" s="222"/>
      <c r="EXT9" s="222"/>
      <c r="EXU9" s="222"/>
      <c r="EXV9" s="222"/>
      <c r="EXW9" s="222"/>
      <c r="EXX9" s="222"/>
      <c r="EXY9" s="222"/>
      <c r="EXZ9" s="222"/>
      <c r="EYA9" s="222"/>
      <c r="EYB9" s="222"/>
      <c r="EYC9" s="222"/>
      <c r="EYD9" s="222"/>
      <c r="EYE9" s="222"/>
      <c r="EYF9" s="222"/>
      <c r="EYG9" s="222"/>
      <c r="EYH9" s="222"/>
      <c r="EYI9" s="222"/>
      <c r="EYJ9" s="222"/>
      <c r="EYK9" s="222"/>
      <c r="EYL9" s="222"/>
      <c r="EYM9" s="222"/>
      <c r="EYN9" s="222"/>
      <c r="EYO9" s="222"/>
      <c r="EYP9" s="222"/>
      <c r="EYQ9" s="222"/>
      <c r="EYR9" s="222"/>
      <c r="EYS9" s="222"/>
      <c r="EYT9" s="222"/>
      <c r="EYU9" s="222"/>
      <c r="EYV9" s="222"/>
      <c r="EYW9" s="222"/>
      <c r="EYX9" s="222"/>
      <c r="EYY9" s="222"/>
      <c r="EYZ9" s="222"/>
      <c r="EZA9" s="222"/>
      <c r="EZB9" s="222"/>
      <c r="EZC9" s="222"/>
      <c r="EZD9" s="222"/>
      <c r="EZE9" s="222"/>
      <c r="EZF9" s="222"/>
      <c r="EZG9" s="222"/>
      <c r="EZH9" s="222"/>
      <c r="EZI9" s="222"/>
      <c r="EZJ9" s="222"/>
      <c r="EZK9" s="222"/>
      <c r="EZL9" s="222"/>
      <c r="EZM9" s="222"/>
      <c r="EZN9" s="222"/>
      <c r="EZO9" s="222"/>
      <c r="EZP9" s="222"/>
      <c r="EZQ9" s="222"/>
      <c r="EZR9" s="222"/>
      <c r="EZS9" s="222"/>
      <c r="EZT9" s="222"/>
      <c r="EZU9" s="222"/>
      <c r="EZV9" s="222"/>
      <c r="EZW9" s="222"/>
      <c r="EZX9" s="222"/>
      <c r="EZY9" s="222"/>
      <c r="EZZ9" s="222"/>
      <c r="FAA9" s="222"/>
      <c r="FAB9" s="222"/>
      <c r="FAC9" s="222"/>
      <c r="FAD9" s="222"/>
      <c r="FAE9" s="222"/>
      <c r="FAF9" s="222"/>
      <c r="FAG9" s="222"/>
      <c r="FAH9" s="222"/>
      <c r="FAI9" s="222"/>
      <c r="FAJ9" s="222"/>
      <c r="FAK9" s="222"/>
      <c r="FAL9" s="222"/>
      <c r="FAM9" s="222"/>
      <c r="FAN9" s="222"/>
      <c r="FAO9" s="222"/>
      <c r="FAP9" s="222"/>
      <c r="FAQ9" s="222"/>
      <c r="FAR9" s="222"/>
      <c r="FAS9" s="222"/>
      <c r="FAT9" s="222"/>
      <c r="FAU9" s="222"/>
      <c r="FAV9" s="222"/>
      <c r="FAW9" s="222"/>
      <c r="FAX9" s="222"/>
      <c r="FAY9" s="222"/>
      <c r="FAZ9" s="222"/>
      <c r="FBA9" s="222"/>
      <c r="FBB9" s="222"/>
      <c r="FBC9" s="222"/>
      <c r="FBD9" s="222"/>
      <c r="FBE9" s="222"/>
      <c r="FBF9" s="222"/>
      <c r="FBG9" s="222"/>
      <c r="FBH9" s="222"/>
      <c r="FBI9" s="222"/>
      <c r="FBJ9" s="222"/>
      <c r="FBK9" s="222"/>
      <c r="FBL9" s="222"/>
      <c r="FBM9" s="222"/>
      <c r="FBN9" s="222"/>
      <c r="FBO9" s="222"/>
      <c r="FBP9" s="222"/>
      <c r="FBQ9" s="222"/>
      <c r="FBR9" s="222"/>
      <c r="FBS9" s="222"/>
      <c r="FBT9" s="222"/>
      <c r="FBU9" s="222"/>
      <c r="FBV9" s="222"/>
      <c r="FBW9" s="222"/>
      <c r="FBX9" s="222"/>
      <c r="FBY9" s="222"/>
      <c r="FBZ9" s="222"/>
      <c r="FCA9" s="222"/>
      <c r="FCB9" s="222"/>
      <c r="FCC9" s="222"/>
      <c r="FCD9" s="222"/>
      <c r="FCE9" s="222"/>
      <c r="FCF9" s="222"/>
      <c r="FCG9" s="222"/>
      <c r="FCH9" s="222"/>
      <c r="FCI9" s="222"/>
      <c r="FCJ9" s="222"/>
      <c r="FCK9" s="222"/>
      <c r="FCL9" s="222"/>
      <c r="FCM9" s="222"/>
      <c r="FCN9" s="222"/>
      <c r="FCO9" s="222"/>
      <c r="FCP9" s="222"/>
      <c r="FCQ9" s="222"/>
      <c r="FCR9" s="222"/>
      <c r="FCS9" s="222"/>
      <c r="FCT9" s="222"/>
      <c r="FCU9" s="222"/>
      <c r="FCV9" s="222"/>
      <c r="FCW9" s="222"/>
      <c r="FCX9" s="222"/>
      <c r="FCY9" s="222"/>
      <c r="FCZ9" s="222"/>
      <c r="FDA9" s="222"/>
      <c r="FDB9" s="222"/>
      <c r="FDC9" s="222"/>
      <c r="FDD9" s="222"/>
      <c r="FDE9" s="222"/>
      <c r="FDF9" s="222"/>
      <c r="FDG9" s="222"/>
      <c r="FDH9" s="222"/>
      <c r="FDI9" s="222"/>
      <c r="FDJ9" s="222"/>
      <c r="FDK9" s="222"/>
      <c r="FDL9" s="222"/>
      <c r="FDM9" s="222"/>
      <c r="FDN9" s="222"/>
      <c r="FDO9" s="222"/>
      <c r="FDP9" s="222"/>
      <c r="FDQ9" s="222"/>
      <c r="FDR9" s="222"/>
      <c r="FDS9" s="222"/>
      <c r="FDT9" s="222"/>
      <c r="FDU9" s="222"/>
      <c r="FDV9" s="222"/>
      <c r="FDW9" s="222"/>
      <c r="FDX9" s="222"/>
      <c r="FDY9" s="222"/>
      <c r="FDZ9" s="222"/>
      <c r="FEA9" s="222"/>
      <c r="FEB9" s="222"/>
      <c r="FEC9" s="222"/>
      <c r="FED9" s="222"/>
      <c r="FEE9" s="222"/>
      <c r="FEF9" s="222"/>
      <c r="FEG9" s="222"/>
      <c r="FEH9" s="222"/>
      <c r="FEI9" s="222"/>
      <c r="FEJ9" s="222"/>
      <c r="FEK9" s="222"/>
      <c r="FEL9" s="222"/>
      <c r="FEM9" s="222"/>
      <c r="FEN9" s="222"/>
      <c r="FEO9" s="222"/>
      <c r="FEP9" s="222"/>
      <c r="FEQ9" s="222"/>
      <c r="FER9" s="222"/>
      <c r="FES9" s="222"/>
      <c r="FET9" s="222"/>
      <c r="FEU9" s="222"/>
      <c r="FEV9" s="222"/>
      <c r="FEW9" s="222"/>
      <c r="FEX9" s="222"/>
      <c r="FEY9" s="222"/>
      <c r="FEZ9" s="222"/>
      <c r="FFA9" s="222"/>
      <c r="FFB9" s="222"/>
      <c r="FFC9" s="222"/>
      <c r="FFD9" s="222"/>
      <c r="FFE9" s="222"/>
      <c r="FFF9" s="222"/>
      <c r="FFG9" s="222"/>
      <c r="FFH9" s="222"/>
      <c r="FFI9" s="222"/>
      <c r="FFJ9" s="222"/>
      <c r="FFK9" s="222"/>
      <c r="FFL9" s="222"/>
      <c r="FFM9" s="222"/>
      <c r="FFN9" s="222"/>
      <c r="FFO9" s="222"/>
      <c r="FFP9" s="222"/>
      <c r="FFQ9" s="222"/>
      <c r="FFR9" s="222"/>
      <c r="FFS9" s="222"/>
      <c r="FFT9" s="222"/>
      <c r="FFU9" s="222"/>
      <c r="FFV9" s="222"/>
      <c r="FFW9" s="222"/>
      <c r="FFX9" s="222"/>
      <c r="FFY9" s="222"/>
      <c r="FFZ9" s="222"/>
      <c r="FGA9" s="222"/>
      <c r="FGB9" s="222"/>
      <c r="FGC9" s="222"/>
      <c r="FGD9" s="222"/>
      <c r="FGE9" s="222"/>
      <c r="FGF9" s="222"/>
      <c r="FGG9" s="222"/>
      <c r="FGH9" s="222"/>
      <c r="FGI9" s="222"/>
      <c r="FGJ9" s="222"/>
      <c r="FGK9" s="222"/>
      <c r="FGL9" s="222"/>
      <c r="FGM9" s="222"/>
      <c r="FGN9" s="222"/>
      <c r="FGO9" s="222"/>
      <c r="FGP9" s="222"/>
      <c r="FGQ9" s="222"/>
      <c r="FGR9" s="222"/>
      <c r="FGS9" s="222"/>
      <c r="FGT9" s="222"/>
      <c r="FGU9" s="222"/>
      <c r="FGV9" s="222"/>
      <c r="FGW9" s="222"/>
      <c r="FGX9" s="222"/>
      <c r="FGY9" s="222"/>
      <c r="FGZ9" s="222"/>
      <c r="FHA9" s="222"/>
      <c r="FHB9" s="222"/>
      <c r="FHC9" s="222"/>
      <c r="FHD9" s="222"/>
      <c r="FHE9" s="222"/>
      <c r="FHF9" s="222"/>
      <c r="FHG9" s="222"/>
      <c r="FHH9" s="222"/>
      <c r="FHI9" s="222"/>
      <c r="FHJ9" s="222"/>
      <c r="FHK9" s="222"/>
      <c r="FHL9" s="222"/>
      <c r="FHM9" s="222"/>
      <c r="FHN9" s="222"/>
      <c r="FHO9" s="222"/>
      <c r="FHP9" s="222"/>
      <c r="FHQ9" s="222"/>
      <c r="FHR9" s="222"/>
      <c r="FHS9" s="222"/>
      <c r="FHT9" s="222"/>
      <c r="FHU9" s="222"/>
      <c r="FHV9" s="222"/>
      <c r="FHW9" s="222"/>
      <c r="FHX9" s="222"/>
      <c r="FHY9" s="222"/>
      <c r="FHZ9" s="222"/>
      <c r="FIA9" s="222"/>
      <c r="FIB9" s="222"/>
      <c r="FIC9" s="222"/>
      <c r="FID9" s="222"/>
      <c r="FIE9" s="222"/>
      <c r="FIF9" s="222"/>
      <c r="FIG9" s="222"/>
      <c r="FIH9" s="222"/>
      <c r="FII9" s="222"/>
      <c r="FIJ9" s="222"/>
      <c r="FIK9" s="222"/>
      <c r="FIL9" s="222"/>
      <c r="FIM9" s="222"/>
      <c r="FIN9" s="222"/>
      <c r="FIO9" s="222"/>
      <c r="FIP9" s="222"/>
      <c r="FIQ9" s="222"/>
      <c r="FIR9" s="222"/>
      <c r="FIS9" s="222"/>
      <c r="FIT9" s="222"/>
      <c r="FIU9" s="222"/>
      <c r="FIV9" s="222"/>
      <c r="FIW9" s="222"/>
      <c r="FIX9" s="222"/>
      <c r="FIY9" s="222"/>
      <c r="FIZ9" s="222"/>
      <c r="FJA9" s="222"/>
      <c r="FJB9" s="222"/>
      <c r="FJC9" s="222"/>
      <c r="FJD9" s="222"/>
      <c r="FJE9" s="222"/>
      <c r="FJF9" s="222"/>
      <c r="FJG9" s="222"/>
      <c r="FJH9" s="222"/>
      <c r="FJI9" s="222"/>
      <c r="FJJ9" s="222"/>
      <c r="FJK9" s="222"/>
      <c r="FJL9" s="222"/>
      <c r="FJM9" s="222"/>
      <c r="FJN9" s="222"/>
      <c r="FJO9" s="222"/>
      <c r="FJP9" s="222"/>
      <c r="FJQ9" s="222"/>
      <c r="FJR9" s="222"/>
      <c r="FJS9" s="222"/>
      <c r="FJT9" s="222"/>
      <c r="FJU9" s="222"/>
      <c r="FJV9" s="222"/>
      <c r="FJW9" s="222"/>
      <c r="FJX9" s="222"/>
      <c r="FJY9" s="222"/>
      <c r="FJZ9" s="222"/>
      <c r="FKA9" s="222"/>
      <c r="FKB9" s="222"/>
      <c r="FKC9" s="222"/>
      <c r="FKD9" s="222"/>
      <c r="FKE9" s="222"/>
      <c r="FKF9" s="222"/>
      <c r="FKG9" s="222"/>
      <c r="FKH9" s="222"/>
      <c r="FKI9" s="222"/>
      <c r="FKJ9" s="222"/>
      <c r="FKK9" s="222"/>
      <c r="FKL9" s="222"/>
      <c r="FKM9" s="222"/>
      <c r="FKN9" s="222"/>
      <c r="FKO9" s="222"/>
      <c r="FKP9" s="222"/>
      <c r="FKQ9" s="222"/>
      <c r="FKR9" s="222"/>
      <c r="FKS9" s="222"/>
      <c r="FKT9" s="222"/>
      <c r="FKU9" s="222"/>
      <c r="FKV9" s="222"/>
      <c r="FKW9" s="222"/>
      <c r="FKX9" s="222"/>
      <c r="FKY9" s="222"/>
      <c r="FKZ9" s="222"/>
      <c r="FLA9" s="222"/>
      <c r="FLB9" s="222"/>
      <c r="FLC9" s="222"/>
      <c r="FLD9" s="222"/>
      <c r="FLE9" s="222"/>
      <c r="FLF9" s="222"/>
      <c r="FLG9" s="222"/>
      <c r="FLH9" s="222"/>
      <c r="FLI9" s="222"/>
      <c r="FLJ9" s="222"/>
      <c r="FLK9" s="222"/>
      <c r="FLL9" s="222"/>
      <c r="FLM9" s="222"/>
      <c r="FLN9" s="222"/>
      <c r="FLO9" s="222"/>
      <c r="FLP9" s="222"/>
      <c r="FLQ9" s="222"/>
      <c r="FLR9" s="222"/>
      <c r="FLS9" s="222"/>
      <c r="FLT9" s="222"/>
      <c r="FLU9" s="222"/>
      <c r="FLV9" s="222"/>
      <c r="FLW9" s="222"/>
      <c r="FLX9" s="222"/>
      <c r="FLY9" s="222"/>
      <c r="FLZ9" s="222"/>
      <c r="FMA9" s="222"/>
      <c r="FMB9" s="222"/>
      <c r="FMC9" s="222"/>
      <c r="FMD9" s="222"/>
      <c r="FME9" s="222"/>
      <c r="FMF9" s="222"/>
      <c r="FMG9" s="222"/>
      <c r="FMH9" s="222"/>
      <c r="FMI9" s="222"/>
      <c r="FMJ9" s="222"/>
      <c r="FMK9" s="222"/>
      <c r="FML9" s="222"/>
      <c r="FMM9" s="222"/>
      <c r="FMN9" s="222"/>
      <c r="FMO9" s="222"/>
      <c r="FMP9" s="222"/>
      <c r="FMQ9" s="222"/>
      <c r="FMR9" s="222"/>
      <c r="FMS9" s="222"/>
      <c r="FMT9" s="222"/>
      <c r="FMU9" s="222"/>
      <c r="FMV9" s="222"/>
      <c r="FMW9" s="222"/>
      <c r="FMX9" s="222"/>
      <c r="FMY9" s="222"/>
      <c r="FMZ9" s="222"/>
      <c r="FNA9" s="222"/>
      <c r="FNB9" s="222"/>
      <c r="FNC9" s="222"/>
      <c r="FND9" s="222"/>
      <c r="FNE9" s="222"/>
      <c r="FNF9" s="222"/>
      <c r="FNG9" s="222"/>
      <c r="FNH9" s="222"/>
      <c r="FNI9" s="222"/>
      <c r="FNJ9" s="222"/>
      <c r="FNK9" s="222"/>
      <c r="FNL9" s="222"/>
      <c r="FNM9" s="222"/>
      <c r="FNN9" s="222"/>
      <c r="FNO9" s="222"/>
      <c r="FNP9" s="222"/>
      <c r="FNQ9" s="222"/>
      <c r="FNR9" s="222"/>
      <c r="FNS9" s="222"/>
      <c r="FNT9" s="222"/>
      <c r="FNU9" s="222"/>
      <c r="FNV9" s="222"/>
      <c r="FNW9" s="222"/>
      <c r="FNX9" s="222"/>
      <c r="FNY9" s="222"/>
      <c r="FNZ9" s="222"/>
      <c r="FOA9" s="222"/>
      <c r="FOB9" s="222"/>
      <c r="FOC9" s="222"/>
      <c r="FOD9" s="222"/>
      <c r="FOE9" s="222"/>
      <c r="FOF9" s="222"/>
      <c r="FOG9" s="222"/>
      <c r="FOH9" s="222"/>
      <c r="FOI9" s="222"/>
      <c r="FOJ9" s="222"/>
      <c r="FOK9" s="222"/>
      <c r="FOL9" s="222"/>
      <c r="FOM9" s="222"/>
      <c r="FON9" s="222"/>
      <c r="FOO9" s="222"/>
      <c r="FOP9" s="222"/>
      <c r="FOQ9" s="222"/>
      <c r="FOR9" s="222"/>
      <c r="FOS9" s="222"/>
      <c r="FOT9" s="222"/>
      <c r="FOU9" s="222"/>
      <c r="FOV9" s="222"/>
      <c r="FOW9" s="222"/>
      <c r="FOX9" s="222"/>
      <c r="FOY9" s="222"/>
      <c r="FOZ9" s="222"/>
      <c r="FPA9" s="222"/>
      <c r="FPB9" s="222"/>
      <c r="FPC9" s="222"/>
      <c r="FPD9" s="222"/>
      <c r="FPE9" s="222"/>
      <c r="FPF9" s="222"/>
      <c r="FPG9" s="222"/>
      <c r="FPH9" s="222"/>
      <c r="FPI9" s="222"/>
      <c r="FPJ9" s="222"/>
      <c r="FPK9" s="222"/>
      <c r="FPL9" s="222"/>
      <c r="FPM9" s="222"/>
      <c r="FPN9" s="222"/>
      <c r="FPO9" s="222"/>
      <c r="FPP9" s="222"/>
      <c r="FPQ9" s="222"/>
      <c r="FPR9" s="222"/>
      <c r="FPS9" s="222"/>
      <c r="FPT9" s="222"/>
      <c r="FPU9" s="222"/>
      <c r="FPV9" s="222"/>
      <c r="FPW9" s="222"/>
      <c r="FPX9" s="222"/>
      <c r="FPY9" s="222"/>
      <c r="FPZ9" s="222"/>
      <c r="FQA9" s="222"/>
      <c r="FQB9" s="222"/>
      <c r="FQC9" s="222"/>
      <c r="FQD9" s="222"/>
      <c r="FQE9" s="222"/>
      <c r="FQF9" s="222"/>
      <c r="FQG9" s="222"/>
      <c r="FQH9" s="222"/>
      <c r="FQI9" s="222"/>
      <c r="FQJ9" s="222"/>
      <c r="FQK9" s="222"/>
      <c r="FQL9" s="222"/>
      <c r="FQM9" s="222"/>
      <c r="FQN9" s="222"/>
      <c r="FQO9" s="222"/>
      <c r="FQP9" s="222"/>
      <c r="FQQ9" s="222"/>
      <c r="FQR9" s="222"/>
      <c r="FQS9" s="222"/>
      <c r="FQT9" s="222"/>
      <c r="FQU9" s="222"/>
      <c r="FQV9" s="222"/>
      <c r="FQW9" s="222"/>
      <c r="FQX9" s="222"/>
      <c r="FQY9" s="222"/>
      <c r="FQZ9" s="222"/>
      <c r="FRA9" s="222"/>
      <c r="FRB9" s="222"/>
      <c r="FRC9" s="222"/>
      <c r="FRD9" s="222"/>
      <c r="FRE9" s="222"/>
      <c r="FRF9" s="222"/>
      <c r="FRG9" s="222"/>
      <c r="FRH9" s="222"/>
      <c r="FRI9" s="222"/>
      <c r="FRJ9" s="222"/>
      <c r="FRK9" s="222"/>
      <c r="FRL9" s="222"/>
      <c r="FRM9" s="222"/>
      <c r="FRN9" s="222"/>
      <c r="FRO9" s="222"/>
      <c r="FRP9" s="222"/>
      <c r="FRQ9" s="222"/>
      <c r="FRR9" s="222"/>
      <c r="FRS9" s="222"/>
      <c r="FRT9" s="222"/>
      <c r="FRU9" s="222"/>
      <c r="FRV9" s="222"/>
      <c r="FRW9" s="222"/>
      <c r="FRX9" s="222"/>
      <c r="FRY9" s="222"/>
      <c r="FRZ9" s="222"/>
      <c r="FSA9" s="222"/>
      <c r="FSB9" s="222"/>
      <c r="FSC9" s="222"/>
      <c r="FSD9" s="222"/>
      <c r="FSE9" s="222"/>
      <c r="FSF9" s="222"/>
      <c r="FSG9" s="222"/>
      <c r="FSH9" s="222"/>
      <c r="FSI9" s="222"/>
      <c r="FSJ9" s="222"/>
      <c r="FSK9" s="222"/>
      <c r="FSL9" s="222"/>
      <c r="FSM9" s="222"/>
      <c r="FSN9" s="222"/>
      <c r="FSO9" s="222"/>
      <c r="FSP9" s="222"/>
      <c r="FSQ9" s="222"/>
      <c r="FSR9" s="222"/>
      <c r="FSS9" s="222"/>
      <c r="FST9" s="222"/>
      <c r="FSU9" s="222"/>
      <c r="FSV9" s="222"/>
      <c r="FSW9" s="222"/>
      <c r="FSX9" s="222"/>
      <c r="FSY9" s="222"/>
      <c r="FSZ9" s="222"/>
      <c r="FTA9" s="222"/>
      <c r="FTB9" s="222"/>
      <c r="FTC9" s="222"/>
      <c r="FTD9" s="222"/>
      <c r="FTE9" s="222"/>
      <c r="FTF9" s="222"/>
      <c r="FTG9" s="222"/>
      <c r="FTH9" s="222"/>
      <c r="FTI9" s="222"/>
      <c r="FTJ9" s="222"/>
      <c r="FTK9" s="222"/>
      <c r="FTL9" s="222"/>
      <c r="FTM9" s="222"/>
      <c r="FTN9" s="222"/>
      <c r="FTO9" s="222"/>
      <c r="FTP9" s="222"/>
      <c r="FTQ9" s="222"/>
      <c r="FTR9" s="222"/>
      <c r="FTS9" s="222"/>
      <c r="FTT9" s="222"/>
      <c r="FTU9" s="222"/>
      <c r="FTV9" s="222"/>
      <c r="FTW9" s="222"/>
      <c r="FTX9" s="222"/>
      <c r="FTY9" s="222"/>
      <c r="FTZ9" s="222"/>
      <c r="FUA9" s="222"/>
      <c r="FUB9" s="222"/>
      <c r="FUC9" s="222"/>
      <c r="FUD9" s="222"/>
      <c r="FUE9" s="222"/>
      <c r="FUF9" s="222"/>
      <c r="FUG9" s="222"/>
      <c r="FUH9" s="222"/>
      <c r="FUI9" s="222"/>
      <c r="FUJ9" s="222"/>
      <c r="FUK9" s="222"/>
      <c r="FUL9" s="222"/>
      <c r="FUM9" s="222"/>
      <c r="FUN9" s="222"/>
      <c r="FUO9" s="222"/>
      <c r="FUP9" s="222"/>
      <c r="FUQ9" s="222"/>
      <c r="FUR9" s="222"/>
      <c r="FUS9" s="222"/>
      <c r="FUT9" s="222"/>
      <c r="FUU9" s="222"/>
      <c r="FUV9" s="222"/>
      <c r="FUW9" s="222"/>
      <c r="FUX9" s="222"/>
      <c r="FUY9" s="222"/>
      <c r="FUZ9" s="222"/>
      <c r="FVA9" s="222"/>
      <c r="FVB9" s="222"/>
      <c r="FVC9" s="222"/>
      <c r="FVD9" s="222"/>
      <c r="FVE9" s="222"/>
      <c r="FVF9" s="222"/>
      <c r="FVG9" s="222"/>
      <c r="FVH9" s="222"/>
      <c r="FVI9" s="222"/>
      <c r="FVJ9" s="222"/>
      <c r="FVK9" s="222"/>
      <c r="FVL9" s="222"/>
      <c r="FVM9" s="222"/>
      <c r="FVN9" s="222"/>
      <c r="FVO9" s="222"/>
      <c r="FVP9" s="222"/>
      <c r="FVQ9" s="222"/>
      <c r="FVR9" s="222"/>
      <c r="FVS9" s="222"/>
      <c r="FVT9" s="222"/>
      <c r="FVU9" s="222"/>
      <c r="FVV9" s="222"/>
      <c r="FVW9" s="222"/>
      <c r="FVX9" s="222"/>
      <c r="FVY9" s="222"/>
      <c r="FVZ9" s="222"/>
      <c r="FWA9" s="222"/>
      <c r="FWB9" s="222"/>
      <c r="FWC9" s="222"/>
      <c r="FWD9" s="222"/>
      <c r="FWE9" s="222"/>
      <c r="FWF9" s="222"/>
      <c r="FWG9" s="222"/>
      <c r="FWH9" s="222"/>
      <c r="FWI9" s="222"/>
      <c r="FWJ9" s="222"/>
      <c r="FWK9" s="222"/>
      <c r="FWL9" s="222"/>
      <c r="FWM9" s="222"/>
      <c r="FWN9" s="222"/>
      <c r="FWO9" s="222"/>
      <c r="FWP9" s="222"/>
      <c r="FWQ9" s="222"/>
      <c r="FWR9" s="222"/>
      <c r="FWS9" s="222"/>
      <c r="FWT9" s="222"/>
      <c r="FWU9" s="222"/>
      <c r="FWV9" s="222"/>
      <c r="FWW9" s="222"/>
      <c r="FWX9" s="222"/>
      <c r="FWY9" s="222"/>
      <c r="FWZ9" s="222"/>
      <c r="FXA9" s="222"/>
      <c r="FXB9" s="222"/>
      <c r="FXC9" s="222"/>
      <c r="FXD9" s="222"/>
      <c r="FXE9" s="222"/>
      <c r="FXF9" s="222"/>
      <c r="FXG9" s="222"/>
      <c r="FXH9" s="222"/>
      <c r="FXI9" s="222"/>
      <c r="FXJ9" s="222"/>
      <c r="FXK9" s="222"/>
      <c r="FXL9" s="222"/>
      <c r="FXM9" s="222"/>
      <c r="FXN9" s="222"/>
      <c r="FXO9" s="222"/>
      <c r="FXP9" s="222"/>
      <c r="FXQ9" s="222"/>
      <c r="FXR9" s="222"/>
      <c r="FXS9" s="222"/>
      <c r="FXT9" s="222"/>
      <c r="FXU9" s="222"/>
      <c r="FXV9" s="222"/>
      <c r="FXW9" s="222"/>
      <c r="FXX9" s="222"/>
      <c r="FXY9" s="222"/>
      <c r="FXZ9" s="222"/>
      <c r="FYA9" s="222"/>
      <c r="FYB9" s="222"/>
      <c r="FYC9" s="222"/>
      <c r="FYD9" s="222"/>
      <c r="FYE9" s="222"/>
      <c r="FYF9" s="222"/>
      <c r="FYG9" s="222"/>
      <c r="FYH9" s="222"/>
      <c r="FYI9" s="222"/>
      <c r="FYJ9" s="222"/>
      <c r="FYK9" s="222"/>
      <c r="FYL9" s="222"/>
      <c r="FYM9" s="222"/>
      <c r="FYN9" s="222"/>
      <c r="FYO9" s="222"/>
      <c r="FYP9" s="222"/>
      <c r="FYQ9" s="222"/>
      <c r="FYR9" s="222"/>
      <c r="FYS9" s="222"/>
      <c r="FYT9" s="222"/>
      <c r="FYU9" s="222"/>
      <c r="FYV9" s="222"/>
      <c r="FYW9" s="222"/>
      <c r="FYX9" s="222"/>
      <c r="FYY9" s="222"/>
      <c r="FYZ9" s="222"/>
      <c r="FZA9" s="222"/>
      <c r="FZB9" s="222"/>
      <c r="FZC9" s="222"/>
      <c r="FZD9" s="222"/>
      <c r="FZE9" s="222"/>
      <c r="FZF9" s="222"/>
      <c r="FZG9" s="222"/>
      <c r="FZH9" s="222"/>
      <c r="FZI9" s="222"/>
      <c r="FZJ9" s="222"/>
      <c r="FZK9" s="222"/>
      <c r="FZL9" s="222"/>
      <c r="FZM9" s="222"/>
      <c r="FZN9" s="222"/>
      <c r="FZO9" s="222"/>
      <c r="FZP9" s="222"/>
      <c r="FZQ9" s="222"/>
      <c r="FZR9" s="222"/>
      <c r="FZS9" s="222"/>
      <c r="FZT9" s="222"/>
      <c r="FZU9" s="222"/>
      <c r="FZV9" s="222"/>
      <c r="FZW9" s="222"/>
      <c r="FZX9" s="222"/>
      <c r="FZY9" s="222"/>
      <c r="FZZ9" s="222"/>
      <c r="GAA9" s="222"/>
      <c r="GAB9" s="222"/>
      <c r="GAC9" s="222"/>
      <c r="GAD9" s="222"/>
      <c r="GAE9" s="222"/>
      <c r="GAF9" s="222"/>
      <c r="GAG9" s="222"/>
      <c r="GAH9" s="222"/>
      <c r="GAI9" s="222"/>
      <c r="GAJ9" s="222"/>
      <c r="GAK9" s="222"/>
      <c r="GAL9" s="222"/>
      <c r="GAM9" s="222"/>
      <c r="GAN9" s="222"/>
      <c r="GAO9" s="222"/>
      <c r="GAP9" s="222"/>
      <c r="GAQ9" s="222"/>
      <c r="GAR9" s="222"/>
      <c r="GAS9" s="222"/>
      <c r="GAT9" s="222"/>
      <c r="GAU9" s="222"/>
      <c r="GAV9" s="222"/>
      <c r="GAW9" s="222"/>
      <c r="GAX9" s="222"/>
      <c r="GAY9" s="222"/>
      <c r="GAZ9" s="222"/>
      <c r="GBA9" s="222"/>
      <c r="GBB9" s="222"/>
      <c r="GBC9" s="222"/>
      <c r="GBD9" s="222"/>
      <c r="GBE9" s="222"/>
      <c r="GBF9" s="222"/>
      <c r="GBG9" s="222"/>
      <c r="GBH9" s="222"/>
      <c r="GBI9" s="222"/>
      <c r="GBJ9" s="222"/>
      <c r="GBK9" s="222"/>
      <c r="GBL9" s="222"/>
      <c r="GBM9" s="222"/>
      <c r="GBN9" s="222"/>
      <c r="GBO9" s="222"/>
      <c r="GBP9" s="222"/>
      <c r="GBQ9" s="222"/>
      <c r="GBR9" s="222"/>
      <c r="GBS9" s="222"/>
      <c r="GBT9" s="222"/>
      <c r="GBU9" s="222"/>
      <c r="GBV9" s="222"/>
      <c r="GBW9" s="222"/>
      <c r="GBX9" s="222"/>
      <c r="GBY9" s="222"/>
      <c r="GBZ9" s="222"/>
      <c r="GCA9" s="222"/>
      <c r="GCB9" s="222"/>
      <c r="GCC9" s="222"/>
      <c r="GCD9" s="222"/>
      <c r="GCE9" s="222"/>
      <c r="GCF9" s="222"/>
      <c r="GCG9" s="222"/>
      <c r="GCH9" s="222"/>
      <c r="GCI9" s="222"/>
      <c r="GCJ9" s="222"/>
      <c r="GCK9" s="222"/>
      <c r="GCL9" s="222"/>
      <c r="GCM9" s="222"/>
      <c r="GCN9" s="222"/>
      <c r="GCO9" s="222"/>
      <c r="GCP9" s="222"/>
      <c r="GCQ9" s="222"/>
      <c r="GCR9" s="222"/>
      <c r="GCS9" s="222"/>
      <c r="GCT9" s="222"/>
      <c r="GCU9" s="222"/>
      <c r="GCV9" s="222"/>
      <c r="GCW9" s="222"/>
      <c r="GCX9" s="222"/>
      <c r="GCY9" s="222"/>
      <c r="GCZ9" s="222"/>
      <c r="GDA9" s="222"/>
      <c r="GDB9" s="222"/>
      <c r="GDC9" s="222"/>
      <c r="GDD9" s="222"/>
      <c r="GDE9" s="222"/>
      <c r="GDF9" s="222"/>
      <c r="GDG9" s="222"/>
      <c r="GDH9" s="222"/>
      <c r="GDI9" s="222"/>
      <c r="GDJ9" s="222"/>
      <c r="GDK9" s="222"/>
      <c r="GDL9" s="222"/>
      <c r="GDM9" s="222"/>
      <c r="GDN9" s="222"/>
      <c r="GDO9" s="222"/>
      <c r="GDP9" s="222"/>
      <c r="GDQ9" s="222"/>
      <c r="GDR9" s="222"/>
      <c r="GDS9" s="222"/>
      <c r="GDT9" s="222"/>
      <c r="GDU9" s="222"/>
      <c r="GDV9" s="222"/>
      <c r="GDW9" s="222"/>
      <c r="GDX9" s="222"/>
      <c r="GDY9" s="222"/>
      <c r="GDZ9" s="222"/>
      <c r="GEA9" s="222"/>
      <c r="GEB9" s="222"/>
      <c r="GEC9" s="222"/>
      <c r="GED9" s="222"/>
      <c r="GEE9" s="222"/>
      <c r="GEF9" s="222"/>
      <c r="GEG9" s="222"/>
      <c r="GEH9" s="222"/>
      <c r="GEI9" s="222"/>
      <c r="GEJ9" s="222"/>
      <c r="GEK9" s="222"/>
      <c r="GEL9" s="222"/>
      <c r="GEM9" s="222"/>
      <c r="GEN9" s="222"/>
      <c r="GEO9" s="222"/>
      <c r="GEP9" s="222"/>
      <c r="GEQ9" s="222"/>
      <c r="GER9" s="222"/>
      <c r="GES9" s="222"/>
      <c r="GET9" s="222"/>
      <c r="GEU9" s="222"/>
      <c r="GEV9" s="222"/>
      <c r="GEW9" s="222"/>
      <c r="GEX9" s="222"/>
      <c r="GEY9" s="222"/>
      <c r="GEZ9" s="222"/>
      <c r="GFA9" s="222"/>
      <c r="GFB9" s="222"/>
      <c r="GFC9" s="222"/>
      <c r="GFD9" s="222"/>
      <c r="GFE9" s="222"/>
      <c r="GFF9" s="222"/>
      <c r="GFG9" s="222"/>
      <c r="GFH9" s="222"/>
      <c r="GFI9" s="222"/>
      <c r="GFJ9" s="222"/>
      <c r="GFK9" s="222"/>
      <c r="GFL9" s="222"/>
      <c r="GFM9" s="222"/>
      <c r="GFN9" s="222"/>
      <c r="GFO9" s="222"/>
      <c r="GFP9" s="222"/>
      <c r="GFQ9" s="222"/>
      <c r="GFR9" s="222"/>
      <c r="GFS9" s="222"/>
      <c r="GFT9" s="222"/>
      <c r="GFU9" s="222"/>
      <c r="GFV9" s="222"/>
      <c r="GFW9" s="222"/>
      <c r="GFX9" s="222"/>
      <c r="GFY9" s="222"/>
      <c r="GFZ9" s="222"/>
      <c r="GGA9" s="222"/>
      <c r="GGB9" s="222"/>
      <c r="GGC9" s="222"/>
      <c r="GGD9" s="222"/>
      <c r="GGE9" s="222"/>
      <c r="GGF9" s="222"/>
      <c r="GGG9" s="222"/>
      <c r="GGH9" s="222"/>
      <c r="GGI9" s="222"/>
      <c r="GGJ9" s="222"/>
      <c r="GGK9" s="222"/>
      <c r="GGL9" s="222"/>
      <c r="GGM9" s="222"/>
      <c r="GGN9" s="222"/>
      <c r="GGO9" s="222"/>
      <c r="GGP9" s="222"/>
      <c r="GGQ9" s="222"/>
      <c r="GGR9" s="222"/>
      <c r="GGS9" s="222"/>
      <c r="GGT9" s="222"/>
      <c r="GGU9" s="222"/>
      <c r="GGV9" s="222"/>
      <c r="GGW9" s="222"/>
      <c r="GGX9" s="222"/>
      <c r="GGY9" s="222"/>
      <c r="GGZ9" s="222"/>
      <c r="GHA9" s="222"/>
      <c r="GHB9" s="222"/>
      <c r="GHC9" s="222"/>
      <c r="GHD9" s="222"/>
      <c r="GHE9" s="222"/>
      <c r="GHF9" s="222"/>
      <c r="GHG9" s="222"/>
      <c r="GHH9" s="222"/>
      <c r="GHI9" s="222"/>
      <c r="GHJ9" s="222"/>
      <c r="GHK9" s="222"/>
      <c r="GHL9" s="222"/>
      <c r="GHM9" s="222"/>
      <c r="GHN9" s="222"/>
      <c r="GHO9" s="222"/>
      <c r="GHP9" s="222"/>
      <c r="GHQ9" s="222"/>
      <c r="GHR9" s="222"/>
      <c r="GHS9" s="222"/>
      <c r="GHT9" s="222"/>
      <c r="GHU9" s="222"/>
      <c r="GHV9" s="222"/>
      <c r="GHW9" s="222"/>
      <c r="GHX9" s="222"/>
      <c r="GHY9" s="222"/>
      <c r="GHZ9" s="222"/>
      <c r="GIA9" s="222"/>
      <c r="GIB9" s="222"/>
      <c r="GIC9" s="222"/>
      <c r="GID9" s="222"/>
      <c r="GIE9" s="222"/>
      <c r="GIF9" s="222"/>
      <c r="GIG9" s="222"/>
      <c r="GIH9" s="222"/>
      <c r="GII9" s="222"/>
      <c r="GIJ9" s="222"/>
      <c r="GIK9" s="222"/>
      <c r="GIL9" s="222"/>
      <c r="GIM9" s="222"/>
      <c r="GIN9" s="222"/>
      <c r="GIO9" s="222"/>
      <c r="GIP9" s="222"/>
      <c r="GIQ9" s="222"/>
      <c r="GIR9" s="222"/>
      <c r="GIS9" s="222"/>
      <c r="GIT9" s="222"/>
      <c r="GIU9" s="222"/>
      <c r="GIV9" s="222"/>
      <c r="GIW9" s="222"/>
      <c r="GIX9" s="222"/>
      <c r="GIY9" s="222"/>
      <c r="GIZ9" s="222"/>
      <c r="GJA9" s="222"/>
      <c r="GJB9" s="222"/>
      <c r="GJC9" s="222"/>
      <c r="GJD9" s="222"/>
      <c r="GJE9" s="222"/>
      <c r="GJF9" s="222"/>
      <c r="GJG9" s="222"/>
      <c r="GJH9" s="222"/>
      <c r="GJI9" s="222"/>
      <c r="GJJ9" s="222"/>
      <c r="GJK9" s="222"/>
      <c r="GJL9" s="222"/>
      <c r="GJM9" s="222"/>
      <c r="GJN9" s="222"/>
      <c r="GJO9" s="222"/>
      <c r="GJP9" s="222"/>
      <c r="GJQ9" s="222"/>
      <c r="GJR9" s="222"/>
      <c r="GJS9" s="222"/>
      <c r="GJT9" s="222"/>
      <c r="GJU9" s="222"/>
      <c r="GJV9" s="222"/>
      <c r="GJW9" s="222"/>
      <c r="GJX9" s="222"/>
      <c r="GJY9" s="222"/>
      <c r="GJZ9" s="222"/>
      <c r="GKA9" s="222"/>
      <c r="GKB9" s="222"/>
      <c r="GKC9" s="222"/>
      <c r="GKD9" s="222"/>
      <c r="GKE9" s="222"/>
      <c r="GKF9" s="222"/>
      <c r="GKG9" s="222"/>
      <c r="GKH9" s="222"/>
      <c r="GKI9" s="222"/>
      <c r="GKJ9" s="222"/>
      <c r="GKK9" s="222"/>
      <c r="GKL9" s="222"/>
      <c r="GKM9" s="222"/>
      <c r="GKN9" s="222"/>
      <c r="GKO9" s="222"/>
      <c r="GKP9" s="222"/>
      <c r="GKQ9" s="222"/>
      <c r="GKR9" s="222"/>
      <c r="GKS9" s="222"/>
      <c r="GKT9" s="222"/>
      <c r="GKU9" s="222"/>
      <c r="GKV9" s="222"/>
      <c r="GKW9" s="222"/>
      <c r="GKX9" s="222"/>
      <c r="GKY9" s="222"/>
      <c r="GKZ9" s="222"/>
      <c r="GLA9" s="222"/>
      <c r="GLB9" s="222"/>
      <c r="GLC9" s="222"/>
      <c r="GLD9" s="222"/>
      <c r="GLE9" s="222"/>
      <c r="GLF9" s="222"/>
      <c r="GLG9" s="222"/>
      <c r="GLH9" s="222"/>
      <c r="GLI9" s="222"/>
      <c r="GLJ9" s="222"/>
      <c r="GLK9" s="222"/>
      <c r="GLL9" s="222"/>
      <c r="GLM9" s="222"/>
      <c r="GLN9" s="222"/>
      <c r="GLO9" s="222"/>
      <c r="GLP9" s="222"/>
      <c r="GLQ9" s="222"/>
      <c r="GLR9" s="222"/>
      <c r="GLS9" s="222"/>
      <c r="GLT9" s="222"/>
      <c r="GLU9" s="222"/>
      <c r="GLV9" s="222"/>
      <c r="GLW9" s="222"/>
      <c r="GLX9" s="222"/>
      <c r="GLY9" s="222"/>
      <c r="GLZ9" s="222"/>
      <c r="GMA9" s="222"/>
      <c r="GMB9" s="222"/>
      <c r="GMC9" s="222"/>
      <c r="GMD9" s="222"/>
      <c r="GME9" s="222"/>
      <c r="GMF9" s="222"/>
      <c r="GMG9" s="222"/>
      <c r="GMH9" s="222"/>
      <c r="GMI9" s="222"/>
      <c r="GMJ9" s="222"/>
      <c r="GMK9" s="222"/>
      <c r="GML9" s="222"/>
      <c r="GMM9" s="222"/>
      <c r="GMN9" s="222"/>
      <c r="GMO9" s="222"/>
      <c r="GMP9" s="222"/>
      <c r="GMQ9" s="222"/>
      <c r="GMR9" s="222"/>
      <c r="GMS9" s="222"/>
      <c r="GMT9" s="222"/>
      <c r="GMU9" s="222"/>
      <c r="GMV9" s="222"/>
      <c r="GMW9" s="222"/>
      <c r="GMX9" s="222"/>
      <c r="GMY9" s="222"/>
      <c r="GMZ9" s="222"/>
      <c r="GNA9" s="222"/>
      <c r="GNB9" s="222"/>
      <c r="GNC9" s="222"/>
      <c r="GND9" s="222"/>
      <c r="GNE9" s="222"/>
      <c r="GNF9" s="222"/>
      <c r="GNG9" s="222"/>
      <c r="GNH9" s="222"/>
      <c r="GNI9" s="222"/>
      <c r="GNJ9" s="222"/>
      <c r="GNK9" s="222"/>
      <c r="GNL9" s="222"/>
      <c r="GNM9" s="222"/>
      <c r="GNN9" s="222"/>
      <c r="GNO9" s="222"/>
      <c r="GNP9" s="222"/>
      <c r="GNQ9" s="222"/>
      <c r="GNR9" s="222"/>
      <c r="GNS9" s="222"/>
      <c r="GNT9" s="222"/>
      <c r="GNU9" s="222"/>
      <c r="GNV9" s="222"/>
      <c r="GNW9" s="222"/>
      <c r="GNX9" s="222"/>
      <c r="GNY9" s="222"/>
      <c r="GNZ9" s="222"/>
      <c r="GOA9" s="222"/>
      <c r="GOB9" s="222"/>
      <c r="GOC9" s="222"/>
      <c r="GOD9" s="222"/>
      <c r="GOE9" s="222"/>
      <c r="GOF9" s="222"/>
      <c r="GOG9" s="222"/>
      <c r="GOH9" s="222"/>
      <c r="GOI9" s="222"/>
      <c r="GOJ9" s="222"/>
      <c r="GOK9" s="222"/>
      <c r="GOL9" s="222"/>
      <c r="GOM9" s="222"/>
      <c r="GON9" s="222"/>
      <c r="GOO9" s="222"/>
      <c r="GOP9" s="222"/>
      <c r="GOQ9" s="222"/>
      <c r="GOR9" s="222"/>
      <c r="GOS9" s="222"/>
      <c r="GOT9" s="222"/>
      <c r="GOU9" s="222"/>
      <c r="GOV9" s="222"/>
      <c r="GOW9" s="222"/>
      <c r="GOX9" s="222"/>
      <c r="GOY9" s="222"/>
      <c r="GOZ9" s="222"/>
      <c r="GPA9" s="222"/>
      <c r="GPB9" s="222"/>
      <c r="GPC9" s="222"/>
      <c r="GPD9" s="222"/>
      <c r="GPE9" s="222"/>
      <c r="GPF9" s="222"/>
      <c r="GPG9" s="222"/>
      <c r="GPH9" s="222"/>
      <c r="GPI9" s="222"/>
      <c r="GPJ9" s="222"/>
      <c r="GPK9" s="222"/>
      <c r="GPL9" s="222"/>
      <c r="GPM9" s="222"/>
      <c r="GPN9" s="222"/>
      <c r="GPO9" s="222"/>
      <c r="GPP9" s="222"/>
      <c r="GPQ9" s="222"/>
      <c r="GPR9" s="222"/>
      <c r="GPS9" s="222"/>
      <c r="GPT9" s="222"/>
      <c r="GPU9" s="222"/>
      <c r="GPV9" s="222"/>
      <c r="GPW9" s="222"/>
      <c r="GPX9" s="222"/>
      <c r="GPY9" s="222"/>
      <c r="GPZ9" s="222"/>
      <c r="GQA9" s="222"/>
      <c r="GQB9" s="222"/>
      <c r="GQC9" s="222"/>
      <c r="GQD9" s="222"/>
      <c r="GQE9" s="222"/>
      <c r="GQF9" s="222"/>
      <c r="GQG9" s="222"/>
      <c r="GQH9" s="222"/>
      <c r="GQI9" s="222"/>
      <c r="GQJ9" s="222"/>
      <c r="GQK9" s="222"/>
      <c r="GQL9" s="222"/>
      <c r="GQM9" s="222"/>
      <c r="GQN9" s="222"/>
      <c r="GQO9" s="222"/>
      <c r="GQP9" s="222"/>
      <c r="GQQ9" s="222"/>
      <c r="GQR9" s="222"/>
      <c r="GQS9" s="222"/>
      <c r="GQT9" s="222"/>
      <c r="GQU9" s="222"/>
      <c r="GQV9" s="222"/>
      <c r="GQW9" s="222"/>
      <c r="GQX9" s="222"/>
      <c r="GQY9" s="222"/>
      <c r="GQZ9" s="222"/>
      <c r="GRA9" s="222"/>
      <c r="GRB9" s="222"/>
      <c r="GRC9" s="222"/>
      <c r="GRD9" s="222"/>
      <c r="GRE9" s="222"/>
      <c r="GRF9" s="222"/>
      <c r="GRG9" s="222"/>
      <c r="GRH9" s="222"/>
      <c r="GRI9" s="222"/>
      <c r="GRJ9" s="222"/>
      <c r="GRK9" s="222"/>
      <c r="GRL9" s="222"/>
      <c r="GRM9" s="222"/>
      <c r="GRN9" s="222"/>
      <c r="GRO9" s="222"/>
      <c r="GRP9" s="222"/>
      <c r="GRQ9" s="222"/>
      <c r="GRR9" s="222"/>
      <c r="GRS9" s="222"/>
      <c r="GRT9" s="222"/>
      <c r="GRU9" s="222"/>
      <c r="GRV9" s="222"/>
      <c r="GRW9" s="222"/>
      <c r="GRX9" s="222"/>
      <c r="GRY9" s="222"/>
      <c r="GRZ9" s="222"/>
      <c r="GSA9" s="222"/>
      <c r="GSB9" s="222"/>
      <c r="GSC9" s="222"/>
      <c r="GSD9" s="222"/>
      <c r="GSE9" s="222"/>
      <c r="GSF9" s="222"/>
      <c r="GSG9" s="222"/>
      <c r="GSH9" s="222"/>
      <c r="GSI9" s="222"/>
      <c r="GSJ9" s="222"/>
      <c r="GSK9" s="222"/>
      <c r="GSL9" s="222"/>
      <c r="GSM9" s="222"/>
      <c r="GSN9" s="222"/>
      <c r="GSO9" s="222"/>
      <c r="GSP9" s="222"/>
      <c r="GSQ9" s="222"/>
      <c r="GSR9" s="222"/>
      <c r="GSS9" s="222"/>
      <c r="GST9" s="222"/>
      <c r="GSU9" s="222"/>
      <c r="GSV9" s="222"/>
      <c r="GSW9" s="222"/>
      <c r="GSX9" s="222"/>
      <c r="GSY9" s="222"/>
      <c r="GSZ9" s="222"/>
      <c r="GTA9" s="222"/>
      <c r="GTB9" s="222"/>
      <c r="GTC9" s="222"/>
      <c r="GTD9" s="222"/>
      <c r="GTE9" s="222"/>
      <c r="GTF9" s="222"/>
      <c r="GTG9" s="222"/>
      <c r="GTH9" s="222"/>
      <c r="GTI9" s="222"/>
      <c r="GTJ9" s="222"/>
      <c r="GTK9" s="222"/>
      <c r="GTL9" s="222"/>
      <c r="GTM9" s="222"/>
      <c r="GTN9" s="222"/>
      <c r="GTO9" s="222"/>
      <c r="GTP9" s="222"/>
      <c r="GTQ9" s="222"/>
      <c r="GTR9" s="222"/>
      <c r="GTS9" s="222"/>
      <c r="GTT9" s="222"/>
      <c r="GTU9" s="222"/>
      <c r="GTV9" s="222"/>
      <c r="GTW9" s="222"/>
      <c r="GTX9" s="222"/>
      <c r="GTY9" s="222"/>
      <c r="GTZ9" s="222"/>
      <c r="GUA9" s="222"/>
      <c r="GUB9" s="222"/>
      <c r="GUC9" s="222"/>
      <c r="GUD9" s="222"/>
      <c r="GUE9" s="222"/>
      <c r="GUF9" s="222"/>
      <c r="GUG9" s="222"/>
      <c r="GUH9" s="222"/>
      <c r="GUI9" s="222"/>
      <c r="GUJ9" s="222"/>
      <c r="GUK9" s="222"/>
      <c r="GUL9" s="222"/>
      <c r="GUM9" s="222"/>
      <c r="GUN9" s="222"/>
      <c r="GUO9" s="222"/>
      <c r="GUP9" s="222"/>
      <c r="GUQ9" s="222"/>
      <c r="GUR9" s="222"/>
      <c r="GUS9" s="222"/>
      <c r="GUT9" s="222"/>
      <c r="GUU9" s="222"/>
      <c r="GUV9" s="222"/>
      <c r="GUW9" s="222"/>
      <c r="GUX9" s="222"/>
      <c r="GUY9" s="222"/>
      <c r="GUZ9" s="222"/>
      <c r="GVA9" s="222"/>
      <c r="GVB9" s="222"/>
      <c r="GVC9" s="222"/>
      <c r="GVD9" s="222"/>
      <c r="GVE9" s="222"/>
      <c r="GVF9" s="222"/>
      <c r="GVG9" s="222"/>
      <c r="GVH9" s="222"/>
      <c r="GVI9" s="222"/>
      <c r="GVJ9" s="222"/>
      <c r="GVK9" s="222"/>
      <c r="GVL9" s="222"/>
      <c r="GVM9" s="222"/>
      <c r="GVN9" s="222"/>
      <c r="GVO9" s="222"/>
      <c r="GVP9" s="222"/>
      <c r="GVQ9" s="222"/>
      <c r="GVR9" s="222"/>
      <c r="GVS9" s="222"/>
      <c r="GVT9" s="222"/>
      <c r="GVU9" s="222"/>
      <c r="GVV9" s="222"/>
      <c r="GVW9" s="222"/>
      <c r="GVX9" s="222"/>
      <c r="GVY9" s="222"/>
      <c r="GVZ9" s="222"/>
      <c r="GWA9" s="222"/>
      <c r="GWB9" s="222"/>
      <c r="GWC9" s="222"/>
      <c r="GWD9" s="222"/>
      <c r="GWE9" s="222"/>
      <c r="GWF9" s="222"/>
      <c r="GWG9" s="222"/>
      <c r="GWH9" s="222"/>
      <c r="GWI9" s="222"/>
      <c r="GWJ9" s="222"/>
      <c r="GWK9" s="222"/>
      <c r="GWL9" s="222"/>
      <c r="GWM9" s="222"/>
      <c r="GWN9" s="222"/>
      <c r="GWO9" s="222"/>
      <c r="GWP9" s="222"/>
      <c r="GWQ9" s="222"/>
      <c r="GWR9" s="222"/>
      <c r="GWS9" s="222"/>
      <c r="GWT9" s="222"/>
      <c r="GWU9" s="222"/>
      <c r="GWV9" s="222"/>
      <c r="GWW9" s="222"/>
      <c r="GWX9" s="222"/>
      <c r="GWY9" s="222"/>
      <c r="GWZ9" s="222"/>
      <c r="GXA9" s="222"/>
      <c r="GXB9" s="222"/>
      <c r="GXC9" s="222"/>
      <c r="GXD9" s="222"/>
      <c r="GXE9" s="222"/>
      <c r="GXF9" s="222"/>
      <c r="GXG9" s="222"/>
      <c r="GXH9" s="222"/>
      <c r="GXI9" s="222"/>
      <c r="GXJ9" s="222"/>
      <c r="GXK9" s="222"/>
      <c r="GXL9" s="222"/>
      <c r="GXM9" s="222"/>
      <c r="GXN9" s="222"/>
      <c r="GXO9" s="222"/>
      <c r="GXP9" s="222"/>
      <c r="GXQ9" s="222"/>
      <c r="GXR9" s="222"/>
      <c r="GXS9" s="222"/>
      <c r="GXT9" s="222"/>
      <c r="GXU9" s="222"/>
      <c r="GXV9" s="222"/>
      <c r="GXW9" s="222"/>
      <c r="GXX9" s="222"/>
      <c r="GXY9" s="222"/>
      <c r="GXZ9" s="222"/>
      <c r="GYA9" s="222"/>
      <c r="GYB9" s="222"/>
      <c r="GYC9" s="222"/>
      <c r="GYD9" s="222"/>
      <c r="GYE9" s="222"/>
      <c r="GYF9" s="222"/>
      <c r="GYG9" s="222"/>
      <c r="GYH9" s="222"/>
      <c r="GYI9" s="222"/>
      <c r="GYJ9" s="222"/>
      <c r="GYK9" s="222"/>
      <c r="GYL9" s="222"/>
      <c r="GYM9" s="222"/>
      <c r="GYN9" s="222"/>
      <c r="GYO9" s="222"/>
      <c r="GYP9" s="222"/>
      <c r="GYQ9" s="222"/>
      <c r="GYR9" s="222"/>
      <c r="GYS9" s="222"/>
      <c r="GYT9" s="222"/>
      <c r="GYU9" s="222"/>
      <c r="GYV9" s="222"/>
      <c r="GYW9" s="222"/>
      <c r="GYX9" s="222"/>
      <c r="GYY9" s="222"/>
      <c r="GYZ9" s="222"/>
      <c r="GZA9" s="222"/>
      <c r="GZB9" s="222"/>
      <c r="GZC9" s="222"/>
      <c r="GZD9" s="222"/>
      <c r="GZE9" s="222"/>
      <c r="GZF9" s="222"/>
      <c r="GZG9" s="222"/>
      <c r="GZH9" s="222"/>
      <c r="GZI9" s="222"/>
      <c r="GZJ9" s="222"/>
      <c r="GZK9" s="222"/>
      <c r="GZL9" s="222"/>
      <c r="GZM9" s="222"/>
      <c r="GZN9" s="222"/>
      <c r="GZO9" s="222"/>
      <c r="GZP9" s="222"/>
      <c r="GZQ9" s="222"/>
      <c r="GZR9" s="222"/>
      <c r="GZS9" s="222"/>
      <c r="GZT9" s="222"/>
      <c r="GZU9" s="222"/>
      <c r="GZV9" s="222"/>
      <c r="GZW9" s="222"/>
      <c r="GZX9" s="222"/>
      <c r="GZY9" s="222"/>
      <c r="GZZ9" s="222"/>
      <c r="HAA9" s="222"/>
      <c r="HAB9" s="222"/>
      <c r="HAC9" s="222"/>
      <c r="HAD9" s="222"/>
      <c r="HAE9" s="222"/>
      <c r="HAF9" s="222"/>
      <c r="HAG9" s="222"/>
      <c r="HAH9" s="222"/>
      <c r="HAI9" s="222"/>
      <c r="HAJ9" s="222"/>
      <c r="HAK9" s="222"/>
      <c r="HAL9" s="222"/>
      <c r="HAM9" s="222"/>
      <c r="HAN9" s="222"/>
      <c r="HAO9" s="222"/>
      <c r="HAP9" s="222"/>
      <c r="HAQ9" s="222"/>
      <c r="HAR9" s="222"/>
      <c r="HAS9" s="222"/>
      <c r="HAT9" s="222"/>
      <c r="HAU9" s="222"/>
      <c r="HAV9" s="222"/>
      <c r="HAW9" s="222"/>
      <c r="HAX9" s="222"/>
      <c r="HAY9" s="222"/>
      <c r="HAZ9" s="222"/>
      <c r="HBA9" s="222"/>
      <c r="HBB9" s="222"/>
      <c r="HBC9" s="222"/>
      <c r="HBD9" s="222"/>
      <c r="HBE9" s="222"/>
      <c r="HBF9" s="222"/>
      <c r="HBG9" s="222"/>
      <c r="HBH9" s="222"/>
      <c r="HBI9" s="222"/>
      <c r="HBJ9" s="222"/>
      <c r="HBK9" s="222"/>
      <c r="HBL9" s="222"/>
      <c r="HBM9" s="222"/>
      <c r="HBN9" s="222"/>
      <c r="HBO9" s="222"/>
      <c r="HBP9" s="222"/>
      <c r="HBQ9" s="222"/>
      <c r="HBR9" s="222"/>
      <c r="HBS9" s="222"/>
      <c r="HBT9" s="222"/>
      <c r="HBU9" s="222"/>
      <c r="HBV9" s="222"/>
      <c r="HBW9" s="222"/>
      <c r="HBX9" s="222"/>
      <c r="HBY9" s="222"/>
      <c r="HBZ9" s="222"/>
      <c r="HCA9" s="222"/>
      <c r="HCB9" s="222"/>
      <c r="HCC9" s="222"/>
      <c r="HCD9" s="222"/>
      <c r="HCE9" s="222"/>
      <c r="HCF9" s="222"/>
      <c r="HCG9" s="222"/>
      <c r="HCH9" s="222"/>
      <c r="HCI9" s="222"/>
      <c r="HCJ9" s="222"/>
      <c r="HCK9" s="222"/>
      <c r="HCL9" s="222"/>
      <c r="HCM9" s="222"/>
      <c r="HCN9" s="222"/>
      <c r="HCO9" s="222"/>
      <c r="HCP9" s="222"/>
      <c r="HCQ9" s="222"/>
      <c r="HCR9" s="222"/>
      <c r="HCS9" s="222"/>
      <c r="HCT9" s="222"/>
      <c r="HCU9" s="222"/>
      <c r="HCV9" s="222"/>
      <c r="HCW9" s="222"/>
      <c r="HCX9" s="222"/>
      <c r="HCY9" s="222"/>
      <c r="HCZ9" s="222"/>
      <c r="HDA9" s="222"/>
      <c r="HDB9" s="222"/>
      <c r="HDC9" s="222"/>
      <c r="HDD9" s="222"/>
      <c r="HDE9" s="222"/>
      <c r="HDF9" s="222"/>
      <c r="HDG9" s="222"/>
      <c r="HDH9" s="222"/>
      <c r="HDI9" s="222"/>
      <c r="HDJ9" s="222"/>
      <c r="HDK9" s="222"/>
      <c r="HDL9" s="222"/>
      <c r="HDM9" s="222"/>
      <c r="HDN9" s="222"/>
      <c r="HDO9" s="222"/>
      <c r="HDP9" s="222"/>
      <c r="HDQ9" s="222"/>
      <c r="HDR9" s="222"/>
      <c r="HDS9" s="222"/>
      <c r="HDT9" s="222"/>
      <c r="HDU9" s="222"/>
      <c r="HDV9" s="222"/>
      <c r="HDW9" s="222"/>
      <c r="HDX9" s="222"/>
      <c r="HDY9" s="222"/>
      <c r="HDZ9" s="222"/>
      <c r="HEA9" s="222"/>
      <c r="HEB9" s="222"/>
      <c r="HEC9" s="222"/>
      <c r="HED9" s="222"/>
      <c r="HEE9" s="222"/>
      <c r="HEF9" s="222"/>
      <c r="HEG9" s="222"/>
      <c r="HEH9" s="222"/>
      <c r="HEI9" s="222"/>
      <c r="HEJ9" s="222"/>
      <c r="HEK9" s="222"/>
      <c r="HEL9" s="222"/>
      <c r="HEM9" s="222"/>
      <c r="HEN9" s="222"/>
      <c r="HEO9" s="222"/>
      <c r="HEP9" s="222"/>
      <c r="HEQ9" s="222"/>
      <c r="HER9" s="222"/>
      <c r="HES9" s="222"/>
      <c r="HET9" s="222"/>
      <c r="HEU9" s="222"/>
      <c r="HEV9" s="222"/>
      <c r="HEW9" s="222"/>
      <c r="HEX9" s="222"/>
      <c r="HEY9" s="222"/>
      <c r="HEZ9" s="222"/>
      <c r="HFA9" s="222"/>
      <c r="HFB9" s="222"/>
      <c r="HFC9" s="222"/>
      <c r="HFD9" s="222"/>
      <c r="HFE9" s="222"/>
      <c r="HFF9" s="222"/>
      <c r="HFG9" s="222"/>
      <c r="HFH9" s="222"/>
      <c r="HFI9" s="222"/>
      <c r="HFJ9" s="222"/>
      <c r="HFK9" s="222"/>
      <c r="HFL9" s="222"/>
      <c r="HFM9" s="222"/>
      <c r="HFN9" s="222"/>
      <c r="HFO9" s="222"/>
      <c r="HFP9" s="222"/>
      <c r="HFQ9" s="222"/>
      <c r="HFR9" s="222"/>
      <c r="HFS9" s="222"/>
      <c r="HFT9" s="222"/>
      <c r="HFU9" s="222"/>
      <c r="HFV9" s="222"/>
      <c r="HFW9" s="222"/>
      <c r="HFX9" s="222"/>
      <c r="HFY9" s="222"/>
      <c r="HFZ9" s="222"/>
      <c r="HGA9" s="222"/>
      <c r="HGB9" s="222"/>
      <c r="HGC9" s="222"/>
      <c r="HGD9" s="222"/>
      <c r="HGE9" s="222"/>
      <c r="HGF9" s="222"/>
      <c r="HGG9" s="222"/>
      <c r="HGH9" s="222"/>
      <c r="HGI9" s="222"/>
      <c r="HGJ9" s="222"/>
      <c r="HGK9" s="222"/>
      <c r="HGL9" s="222"/>
      <c r="HGM9" s="222"/>
      <c r="HGN9" s="222"/>
      <c r="HGO9" s="222"/>
      <c r="HGP9" s="222"/>
      <c r="HGQ9" s="222"/>
      <c r="HGR9" s="222"/>
      <c r="HGS9" s="222"/>
      <c r="HGT9" s="222"/>
      <c r="HGU9" s="222"/>
      <c r="HGV9" s="222"/>
      <c r="HGW9" s="222"/>
      <c r="HGX9" s="222"/>
      <c r="HGY9" s="222"/>
      <c r="HGZ9" s="222"/>
      <c r="HHA9" s="222"/>
      <c r="HHB9" s="222"/>
      <c r="HHC9" s="222"/>
      <c r="HHD9" s="222"/>
      <c r="HHE9" s="222"/>
      <c r="HHF9" s="222"/>
      <c r="HHG9" s="222"/>
      <c r="HHH9" s="222"/>
      <c r="HHI9" s="222"/>
      <c r="HHJ9" s="222"/>
      <c r="HHK9" s="222"/>
      <c r="HHL9" s="222"/>
      <c r="HHM9" s="222"/>
      <c r="HHN9" s="222"/>
      <c r="HHO9" s="222"/>
      <c r="HHP9" s="222"/>
      <c r="HHQ9" s="222"/>
      <c r="HHR9" s="222"/>
      <c r="HHS9" s="222"/>
      <c r="HHT9" s="222"/>
      <c r="HHU9" s="222"/>
      <c r="HHV9" s="222"/>
      <c r="HHW9" s="222"/>
      <c r="HHX9" s="222"/>
      <c r="HHY9" s="222"/>
      <c r="HHZ9" s="222"/>
      <c r="HIA9" s="222"/>
      <c r="HIB9" s="222"/>
      <c r="HIC9" s="222"/>
      <c r="HID9" s="222"/>
      <c r="HIE9" s="222"/>
      <c r="HIF9" s="222"/>
      <c r="HIG9" s="222"/>
      <c r="HIH9" s="222"/>
      <c r="HII9" s="222"/>
      <c r="HIJ9" s="222"/>
      <c r="HIK9" s="222"/>
      <c r="HIL9" s="222"/>
      <c r="HIM9" s="222"/>
      <c r="HIN9" s="222"/>
      <c r="HIO9" s="222"/>
      <c r="HIP9" s="222"/>
      <c r="HIQ9" s="222"/>
      <c r="HIR9" s="222"/>
      <c r="HIS9" s="222"/>
      <c r="HIT9" s="222"/>
      <c r="HIU9" s="222"/>
      <c r="HIV9" s="222"/>
      <c r="HIW9" s="222"/>
      <c r="HIX9" s="222"/>
      <c r="HIY9" s="222"/>
      <c r="HIZ9" s="222"/>
      <c r="HJA9" s="222"/>
      <c r="HJB9" s="222"/>
      <c r="HJC9" s="222"/>
      <c r="HJD9" s="222"/>
      <c r="HJE9" s="222"/>
      <c r="HJF9" s="222"/>
      <c r="HJG9" s="222"/>
      <c r="HJH9" s="222"/>
      <c r="HJI9" s="222"/>
      <c r="HJJ9" s="222"/>
      <c r="HJK9" s="222"/>
      <c r="HJL9" s="222"/>
      <c r="HJM9" s="222"/>
      <c r="HJN9" s="222"/>
      <c r="HJO9" s="222"/>
      <c r="HJP9" s="222"/>
      <c r="HJQ9" s="222"/>
      <c r="HJR9" s="222"/>
      <c r="HJS9" s="222"/>
      <c r="HJT9" s="222"/>
      <c r="HJU9" s="222"/>
      <c r="HJV9" s="222"/>
      <c r="HJW9" s="222"/>
      <c r="HJX9" s="222"/>
      <c r="HJY9" s="222"/>
      <c r="HJZ9" s="222"/>
      <c r="HKA9" s="222"/>
      <c r="HKB9" s="222"/>
      <c r="HKC9" s="222"/>
      <c r="HKD9" s="222"/>
      <c r="HKE9" s="222"/>
      <c r="HKF9" s="222"/>
      <c r="HKG9" s="222"/>
      <c r="HKH9" s="222"/>
      <c r="HKI9" s="222"/>
      <c r="HKJ9" s="222"/>
      <c r="HKK9" s="222"/>
      <c r="HKL9" s="222"/>
      <c r="HKM9" s="222"/>
      <c r="HKN9" s="222"/>
      <c r="HKO9" s="222"/>
      <c r="HKP9" s="222"/>
      <c r="HKQ9" s="222"/>
      <c r="HKR9" s="222"/>
      <c r="HKS9" s="222"/>
      <c r="HKT9" s="222"/>
      <c r="HKU9" s="222"/>
      <c r="HKV9" s="222"/>
      <c r="HKW9" s="222"/>
      <c r="HKX9" s="222"/>
      <c r="HKY9" s="222"/>
      <c r="HKZ9" s="222"/>
      <c r="HLA9" s="222"/>
      <c r="HLB9" s="222"/>
      <c r="HLC9" s="222"/>
      <c r="HLD9" s="222"/>
      <c r="HLE9" s="222"/>
      <c r="HLF9" s="222"/>
      <c r="HLG9" s="222"/>
      <c r="HLH9" s="222"/>
      <c r="HLI9" s="222"/>
      <c r="HLJ9" s="222"/>
      <c r="HLK9" s="222"/>
      <c r="HLL9" s="222"/>
      <c r="HLM9" s="222"/>
      <c r="HLN9" s="222"/>
      <c r="HLO9" s="222"/>
      <c r="HLP9" s="222"/>
      <c r="HLQ9" s="222"/>
      <c r="HLR9" s="222"/>
      <c r="HLS9" s="222"/>
      <c r="HLT9" s="222"/>
      <c r="HLU9" s="222"/>
      <c r="HLV9" s="222"/>
      <c r="HLW9" s="222"/>
      <c r="HLX9" s="222"/>
      <c r="HLY9" s="222"/>
      <c r="HLZ9" s="222"/>
      <c r="HMA9" s="222"/>
      <c r="HMB9" s="222"/>
      <c r="HMC9" s="222"/>
      <c r="HMD9" s="222"/>
      <c r="HME9" s="222"/>
      <c r="HMF9" s="222"/>
      <c r="HMG9" s="222"/>
      <c r="HMH9" s="222"/>
      <c r="HMI9" s="222"/>
      <c r="HMJ9" s="222"/>
      <c r="HMK9" s="222"/>
      <c r="HML9" s="222"/>
      <c r="HMM9" s="222"/>
      <c r="HMN9" s="222"/>
      <c r="HMO9" s="222"/>
      <c r="HMP9" s="222"/>
      <c r="HMQ9" s="222"/>
      <c r="HMR9" s="222"/>
      <c r="HMS9" s="222"/>
      <c r="HMT9" s="222"/>
      <c r="HMU9" s="222"/>
      <c r="HMV9" s="222"/>
      <c r="HMW9" s="222"/>
      <c r="HMX9" s="222"/>
      <c r="HMY9" s="222"/>
      <c r="HMZ9" s="222"/>
      <c r="HNA9" s="222"/>
      <c r="HNB9" s="222"/>
      <c r="HNC9" s="222"/>
      <c r="HND9" s="222"/>
      <c r="HNE9" s="222"/>
      <c r="HNF9" s="222"/>
      <c r="HNG9" s="222"/>
      <c r="HNH9" s="222"/>
      <c r="HNI9" s="222"/>
      <c r="HNJ9" s="222"/>
      <c r="HNK9" s="222"/>
      <c r="HNL9" s="222"/>
      <c r="HNM9" s="222"/>
      <c r="HNN9" s="222"/>
      <c r="HNO9" s="222"/>
      <c r="HNP9" s="222"/>
      <c r="HNQ9" s="222"/>
      <c r="HNR9" s="222"/>
      <c r="HNS9" s="222"/>
      <c r="HNT9" s="222"/>
      <c r="HNU9" s="222"/>
      <c r="HNV9" s="222"/>
      <c r="HNW9" s="222"/>
      <c r="HNX9" s="222"/>
      <c r="HNY9" s="222"/>
      <c r="HNZ9" s="222"/>
      <c r="HOA9" s="222"/>
      <c r="HOB9" s="222"/>
      <c r="HOC9" s="222"/>
      <c r="HOD9" s="222"/>
      <c r="HOE9" s="222"/>
      <c r="HOF9" s="222"/>
      <c r="HOG9" s="222"/>
      <c r="HOH9" s="222"/>
      <c r="HOI9" s="222"/>
      <c r="HOJ9" s="222"/>
      <c r="HOK9" s="222"/>
      <c r="HOL9" s="222"/>
      <c r="HOM9" s="222"/>
      <c r="HON9" s="222"/>
      <c r="HOO9" s="222"/>
      <c r="HOP9" s="222"/>
      <c r="HOQ9" s="222"/>
      <c r="HOR9" s="222"/>
      <c r="HOS9" s="222"/>
      <c r="HOT9" s="222"/>
      <c r="HOU9" s="222"/>
      <c r="HOV9" s="222"/>
      <c r="HOW9" s="222"/>
      <c r="HOX9" s="222"/>
      <c r="HOY9" s="222"/>
      <c r="HOZ9" s="222"/>
      <c r="HPA9" s="222"/>
      <c r="HPB9" s="222"/>
      <c r="HPC9" s="222"/>
      <c r="HPD9" s="222"/>
      <c r="HPE9" s="222"/>
      <c r="HPF9" s="222"/>
      <c r="HPG9" s="222"/>
      <c r="HPH9" s="222"/>
      <c r="HPI9" s="222"/>
      <c r="HPJ9" s="222"/>
      <c r="HPK9" s="222"/>
      <c r="HPL9" s="222"/>
      <c r="HPM9" s="222"/>
      <c r="HPN9" s="222"/>
      <c r="HPO9" s="222"/>
      <c r="HPP9" s="222"/>
      <c r="HPQ9" s="222"/>
      <c r="HPR9" s="222"/>
      <c r="HPS9" s="222"/>
      <c r="HPT9" s="222"/>
      <c r="HPU9" s="222"/>
      <c r="HPV9" s="222"/>
      <c r="HPW9" s="222"/>
      <c r="HPX9" s="222"/>
      <c r="HPY9" s="222"/>
      <c r="HPZ9" s="222"/>
      <c r="HQA9" s="222"/>
      <c r="HQB9" s="222"/>
      <c r="HQC9" s="222"/>
      <c r="HQD9" s="222"/>
      <c r="HQE9" s="222"/>
      <c r="HQF9" s="222"/>
      <c r="HQG9" s="222"/>
      <c r="HQH9" s="222"/>
      <c r="HQI9" s="222"/>
      <c r="HQJ9" s="222"/>
      <c r="HQK9" s="222"/>
      <c r="HQL9" s="222"/>
      <c r="HQM9" s="222"/>
      <c r="HQN9" s="222"/>
      <c r="HQO9" s="222"/>
      <c r="HQP9" s="222"/>
      <c r="HQQ9" s="222"/>
      <c r="HQR9" s="222"/>
      <c r="HQS9" s="222"/>
      <c r="HQT9" s="222"/>
      <c r="HQU9" s="222"/>
      <c r="HQV9" s="222"/>
      <c r="HQW9" s="222"/>
      <c r="HQX9" s="222"/>
      <c r="HQY9" s="222"/>
      <c r="HQZ9" s="222"/>
      <c r="HRA9" s="222"/>
      <c r="HRB9" s="222"/>
      <c r="HRC9" s="222"/>
      <c r="HRD9" s="222"/>
      <c r="HRE9" s="222"/>
      <c r="HRF9" s="222"/>
      <c r="HRG9" s="222"/>
      <c r="HRH9" s="222"/>
      <c r="HRI9" s="222"/>
      <c r="HRJ9" s="222"/>
      <c r="HRK9" s="222"/>
      <c r="HRL9" s="222"/>
      <c r="HRM9" s="222"/>
      <c r="HRN9" s="222"/>
      <c r="HRO9" s="222"/>
      <c r="HRP9" s="222"/>
      <c r="HRQ9" s="222"/>
      <c r="HRR9" s="222"/>
      <c r="HRS9" s="222"/>
      <c r="HRT9" s="222"/>
      <c r="HRU9" s="222"/>
      <c r="HRV9" s="222"/>
      <c r="HRW9" s="222"/>
      <c r="HRX9" s="222"/>
      <c r="HRY9" s="222"/>
      <c r="HRZ9" s="222"/>
      <c r="HSA9" s="222"/>
      <c r="HSB9" s="222"/>
      <c r="HSC9" s="222"/>
      <c r="HSD9" s="222"/>
      <c r="HSE9" s="222"/>
      <c r="HSF9" s="222"/>
      <c r="HSG9" s="222"/>
      <c r="HSH9" s="222"/>
      <c r="HSI9" s="222"/>
      <c r="HSJ9" s="222"/>
      <c r="HSK9" s="222"/>
      <c r="HSL9" s="222"/>
      <c r="HSM9" s="222"/>
      <c r="HSN9" s="222"/>
      <c r="HSO9" s="222"/>
      <c r="HSP9" s="222"/>
      <c r="HSQ9" s="222"/>
      <c r="HSR9" s="222"/>
      <c r="HSS9" s="222"/>
      <c r="HST9" s="222"/>
      <c r="HSU9" s="222"/>
      <c r="HSV9" s="222"/>
      <c r="HSW9" s="222"/>
      <c r="HSX9" s="222"/>
      <c r="HSY9" s="222"/>
      <c r="HSZ9" s="222"/>
      <c r="HTA9" s="222"/>
      <c r="HTB9" s="222"/>
      <c r="HTC9" s="222"/>
      <c r="HTD9" s="222"/>
      <c r="HTE9" s="222"/>
      <c r="HTF9" s="222"/>
      <c r="HTG9" s="222"/>
      <c r="HTH9" s="222"/>
      <c r="HTI9" s="222"/>
      <c r="HTJ9" s="222"/>
      <c r="HTK9" s="222"/>
      <c r="HTL9" s="222"/>
      <c r="HTM9" s="222"/>
      <c r="HTN9" s="222"/>
      <c r="HTO9" s="222"/>
      <c r="HTP9" s="222"/>
      <c r="HTQ9" s="222"/>
      <c r="HTR9" s="222"/>
      <c r="HTS9" s="222"/>
      <c r="HTT9" s="222"/>
      <c r="HTU9" s="222"/>
      <c r="HTV9" s="222"/>
      <c r="HTW9" s="222"/>
      <c r="HTX9" s="222"/>
      <c r="HTY9" s="222"/>
      <c r="HTZ9" s="222"/>
      <c r="HUA9" s="222"/>
      <c r="HUB9" s="222"/>
      <c r="HUC9" s="222"/>
      <c r="HUD9" s="222"/>
      <c r="HUE9" s="222"/>
      <c r="HUF9" s="222"/>
      <c r="HUG9" s="222"/>
      <c r="HUH9" s="222"/>
      <c r="HUI9" s="222"/>
      <c r="HUJ9" s="222"/>
      <c r="HUK9" s="222"/>
      <c r="HUL9" s="222"/>
      <c r="HUM9" s="222"/>
      <c r="HUN9" s="222"/>
      <c r="HUO9" s="222"/>
      <c r="HUP9" s="222"/>
      <c r="HUQ9" s="222"/>
      <c r="HUR9" s="222"/>
      <c r="HUS9" s="222"/>
      <c r="HUT9" s="222"/>
      <c r="HUU9" s="222"/>
      <c r="HUV9" s="222"/>
      <c r="HUW9" s="222"/>
      <c r="HUX9" s="222"/>
      <c r="HUY9" s="222"/>
      <c r="HUZ9" s="222"/>
      <c r="HVA9" s="222"/>
      <c r="HVB9" s="222"/>
      <c r="HVC9" s="222"/>
      <c r="HVD9" s="222"/>
      <c r="HVE9" s="222"/>
      <c r="HVF9" s="222"/>
      <c r="HVG9" s="222"/>
      <c r="HVH9" s="222"/>
      <c r="HVI9" s="222"/>
      <c r="HVJ9" s="222"/>
      <c r="HVK9" s="222"/>
      <c r="HVL9" s="222"/>
      <c r="HVM9" s="222"/>
      <c r="HVN9" s="222"/>
      <c r="HVO9" s="222"/>
      <c r="HVP9" s="222"/>
      <c r="HVQ9" s="222"/>
      <c r="HVR9" s="222"/>
      <c r="HVS9" s="222"/>
      <c r="HVT9" s="222"/>
      <c r="HVU9" s="222"/>
      <c r="HVV9" s="222"/>
      <c r="HVW9" s="222"/>
      <c r="HVX9" s="222"/>
      <c r="HVY9" s="222"/>
      <c r="HVZ9" s="222"/>
      <c r="HWA9" s="222"/>
      <c r="HWB9" s="222"/>
      <c r="HWC9" s="222"/>
      <c r="HWD9" s="222"/>
      <c r="HWE9" s="222"/>
      <c r="HWF9" s="222"/>
      <c r="HWG9" s="222"/>
      <c r="HWH9" s="222"/>
      <c r="HWI9" s="222"/>
      <c r="HWJ9" s="222"/>
      <c r="HWK9" s="222"/>
      <c r="HWL9" s="222"/>
      <c r="HWM9" s="222"/>
      <c r="HWN9" s="222"/>
      <c r="HWO9" s="222"/>
      <c r="HWP9" s="222"/>
      <c r="HWQ9" s="222"/>
      <c r="HWR9" s="222"/>
      <c r="HWS9" s="222"/>
      <c r="HWT9" s="222"/>
      <c r="HWU9" s="222"/>
      <c r="HWV9" s="222"/>
      <c r="HWW9" s="222"/>
      <c r="HWX9" s="222"/>
      <c r="HWY9" s="222"/>
      <c r="HWZ9" s="222"/>
      <c r="HXA9" s="222"/>
      <c r="HXB9" s="222"/>
      <c r="HXC9" s="222"/>
      <c r="HXD9" s="222"/>
      <c r="HXE9" s="222"/>
      <c r="HXF9" s="222"/>
      <c r="HXG9" s="222"/>
      <c r="HXH9" s="222"/>
      <c r="HXI9" s="222"/>
      <c r="HXJ9" s="222"/>
      <c r="HXK9" s="222"/>
      <c r="HXL9" s="222"/>
      <c r="HXM9" s="222"/>
      <c r="HXN9" s="222"/>
      <c r="HXO9" s="222"/>
      <c r="HXP9" s="222"/>
      <c r="HXQ9" s="222"/>
      <c r="HXR9" s="222"/>
      <c r="HXS9" s="222"/>
      <c r="HXT9" s="222"/>
      <c r="HXU9" s="222"/>
      <c r="HXV9" s="222"/>
      <c r="HXW9" s="222"/>
      <c r="HXX9" s="222"/>
      <c r="HXY9" s="222"/>
      <c r="HXZ9" s="222"/>
      <c r="HYA9" s="222"/>
      <c r="HYB9" s="222"/>
      <c r="HYC9" s="222"/>
      <c r="HYD9" s="222"/>
      <c r="HYE9" s="222"/>
      <c r="HYF9" s="222"/>
      <c r="HYG9" s="222"/>
      <c r="HYH9" s="222"/>
      <c r="HYI9" s="222"/>
      <c r="HYJ9" s="222"/>
      <c r="HYK9" s="222"/>
      <c r="HYL9" s="222"/>
      <c r="HYM9" s="222"/>
      <c r="HYN9" s="222"/>
      <c r="HYO9" s="222"/>
      <c r="HYP9" s="222"/>
      <c r="HYQ9" s="222"/>
      <c r="HYR9" s="222"/>
      <c r="HYS9" s="222"/>
      <c r="HYT9" s="222"/>
      <c r="HYU9" s="222"/>
      <c r="HYV9" s="222"/>
      <c r="HYW9" s="222"/>
      <c r="HYX9" s="222"/>
      <c r="HYY9" s="222"/>
      <c r="HYZ9" s="222"/>
      <c r="HZA9" s="222"/>
      <c r="HZB9" s="222"/>
      <c r="HZC9" s="222"/>
      <c r="HZD9" s="222"/>
      <c r="HZE9" s="222"/>
      <c r="HZF9" s="222"/>
      <c r="HZG9" s="222"/>
      <c r="HZH9" s="222"/>
      <c r="HZI9" s="222"/>
      <c r="HZJ9" s="222"/>
      <c r="HZK9" s="222"/>
      <c r="HZL9" s="222"/>
      <c r="HZM9" s="222"/>
      <c r="HZN9" s="222"/>
      <c r="HZO9" s="222"/>
      <c r="HZP9" s="222"/>
      <c r="HZQ9" s="222"/>
      <c r="HZR9" s="222"/>
      <c r="HZS9" s="222"/>
      <c r="HZT9" s="222"/>
      <c r="HZU9" s="222"/>
      <c r="HZV9" s="222"/>
      <c r="HZW9" s="222"/>
      <c r="HZX9" s="222"/>
      <c r="HZY9" s="222"/>
      <c r="HZZ9" s="222"/>
      <c r="IAA9" s="222"/>
      <c r="IAB9" s="222"/>
      <c r="IAC9" s="222"/>
      <c r="IAD9" s="222"/>
      <c r="IAE9" s="222"/>
      <c r="IAF9" s="222"/>
      <c r="IAG9" s="222"/>
      <c r="IAH9" s="222"/>
      <c r="IAI9" s="222"/>
      <c r="IAJ9" s="222"/>
      <c r="IAK9" s="222"/>
      <c r="IAL9" s="222"/>
      <c r="IAM9" s="222"/>
      <c r="IAN9" s="222"/>
      <c r="IAO9" s="222"/>
      <c r="IAP9" s="222"/>
      <c r="IAQ9" s="222"/>
      <c r="IAR9" s="222"/>
      <c r="IAS9" s="222"/>
      <c r="IAT9" s="222"/>
      <c r="IAU9" s="222"/>
      <c r="IAV9" s="222"/>
      <c r="IAW9" s="222"/>
      <c r="IAX9" s="222"/>
      <c r="IAY9" s="222"/>
      <c r="IAZ9" s="222"/>
      <c r="IBA9" s="222"/>
      <c r="IBB9" s="222"/>
      <c r="IBC9" s="222"/>
      <c r="IBD9" s="222"/>
      <c r="IBE9" s="222"/>
      <c r="IBF9" s="222"/>
      <c r="IBG9" s="222"/>
      <c r="IBH9" s="222"/>
      <c r="IBI9" s="222"/>
      <c r="IBJ9" s="222"/>
      <c r="IBK9" s="222"/>
      <c r="IBL9" s="222"/>
      <c r="IBM9" s="222"/>
      <c r="IBN9" s="222"/>
      <c r="IBO9" s="222"/>
      <c r="IBP9" s="222"/>
      <c r="IBQ9" s="222"/>
      <c r="IBR9" s="222"/>
      <c r="IBS9" s="222"/>
      <c r="IBT9" s="222"/>
      <c r="IBU9" s="222"/>
      <c r="IBV9" s="222"/>
      <c r="IBW9" s="222"/>
      <c r="IBX9" s="222"/>
      <c r="IBY9" s="222"/>
      <c r="IBZ9" s="222"/>
      <c r="ICA9" s="222"/>
      <c r="ICB9" s="222"/>
      <c r="ICC9" s="222"/>
      <c r="ICD9" s="222"/>
      <c r="ICE9" s="222"/>
      <c r="ICF9" s="222"/>
      <c r="ICG9" s="222"/>
      <c r="ICH9" s="222"/>
      <c r="ICI9" s="222"/>
      <c r="ICJ9" s="222"/>
      <c r="ICK9" s="222"/>
      <c r="ICL9" s="222"/>
      <c r="ICM9" s="222"/>
      <c r="ICN9" s="222"/>
      <c r="ICO9" s="222"/>
      <c r="ICP9" s="222"/>
      <c r="ICQ9" s="222"/>
      <c r="ICR9" s="222"/>
      <c r="ICS9" s="222"/>
      <c r="ICT9" s="222"/>
      <c r="ICU9" s="222"/>
      <c r="ICV9" s="222"/>
      <c r="ICW9" s="222"/>
      <c r="ICX9" s="222"/>
      <c r="ICY9" s="222"/>
      <c r="ICZ9" s="222"/>
      <c r="IDA9" s="222"/>
      <c r="IDB9" s="222"/>
      <c r="IDC9" s="222"/>
      <c r="IDD9" s="222"/>
      <c r="IDE9" s="222"/>
      <c r="IDF9" s="222"/>
      <c r="IDG9" s="222"/>
      <c r="IDH9" s="222"/>
      <c r="IDI9" s="222"/>
      <c r="IDJ9" s="222"/>
      <c r="IDK9" s="222"/>
      <c r="IDL9" s="222"/>
      <c r="IDM9" s="222"/>
      <c r="IDN9" s="222"/>
      <c r="IDO9" s="222"/>
      <c r="IDP9" s="222"/>
      <c r="IDQ9" s="222"/>
      <c r="IDR9" s="222"/>
      <c r="IDS9" s="222"/>
      <c r="IDT9" s="222"/>
      <c r="IDU9" s="222"/>
      <c r="IDV9" s="222"/>
      <c r="IDW9" s="222"/>
      <c r="IDX9" s="222"/>
      <c r="IDY9" s="222"/>
      <c r="IDZ9" s="222"/>
      <c r="IEA9" s="222"/>
      <c r="IEB9" s="222"/>
      <c r="IEC9" s="222"/>
      <c r="IED9" s="222"/>
      <c r="IEE9" s="222"/>
      <c r="IEF9" s="222"/>
      <c r="IEG9" s="222"/>
      <c r="IEH9" s="222"/>
      <c r="IEI9" s="222"/>
      <c r="IEJ9" s="222"/>
      <c r="IEK9" s="222"/>
      <c r="IEL9" s="222"/>
      <c r="IEM9" s="222"/>
      <c r="IEN9" s="222"/>
      <c r="IEO9" s="222"/>
      <c r="IEP9" s="222"/>
      <c r="IEQ9" s="222"/>
      <c r="IER9" s="222"/>
      <c r="IES9" s="222"/>
      <c r="IET9" s="222"/>
      <c r="IEU9" s="222"/>
      <c r="IEV9" s="222"/>
      <c r="IEW9" s="222"/>
      <c r="IEX9" s="222"/>
      <c r="IEY9" s="222"/>
      <c r="IEZ9" s="222"/>
      <c r="IFA9" s="222"/>
      <c r="IFB9" s="222"/>
      <c r="IFC9" s="222"/>
      <c r="IFD9" s="222"/>
      <c r="IFE9" s="222"/>
      <c r="IFF9" s="222"/>
      <c r="IFG9" s="222"/>
      <c r="IFH9" s="222"/>
      <c r="IFI9" s="222"/>
      <c r="IFJ9" s="222"/>
      <c r="IFK9" s="222"/>
      <c r="IFL9" s="222"/>
      <c r="IFM9" s="222"/>
      <c r="IFN9" s="222"/>
      <c r="IFO9" s="222"/>
      <c r="IFP9" s="222"/>
      <c r="IFQ9" s="222"/>
      <c r="IFR9" s="222"/>
      <c r="IFS9" s="222"/>
      <c r="IFT9" s="222"/>
      <c r="IFU9" s="222"/>
      <c r="IFV9" s="222"/>
      <c r="IFW9" s="222"/>
      <c r="IFX9" s="222"/>
      <c r="IFY9" s="222"/>
      <c r="IFZ9" s="222"/>
      <c r="IGA9" s="222"/>
      <c r="IGB9" s="222"/>
      <c r="IGC9" s="222"/>
      <c r="IGD9" s="222"/>
      <c r="IGE9" s="222"/>
      <c r="IGF9" s="222"/>
      <c r="IGG9" s="222"/>
      <c r="IGH9" s="222"/>
      <c r="IGI9" s="222"/>
      <c r="IGJ9" s="222"/>
      <c r="IGK9" s="222"/>
      <c r="IGL9" s="222"/>
      <c r="IGM9" s="222"/>
      <c r="IGN9" s="222"/>
      <c r="IGO9" s="222"/>
      <c r="IGP9" s="222"/>
      <c r="IGQ9" s="222"/>
      <c r="IGR9" s="222"/>
      <c r="IGS9" s="222"/>
      <c r="IGT9" s="222"/>
      <c r="IGU9" s="222"/>
      <c r="IGV9" s="222"/>
      <c r="IGW9" s="222"/>
      <c r="IGX9" s="222"/>
      <c r="IGY9" s="222"/>
      <c r="IGZ9" s="222"/>
      <c r="IHA9" s="222"/>
      <c r="IHB9" s="222"/>
      <c r="IHC9" s="222"/>
      <c r="IHD9" s="222"/>
      <c r="IHE9" s="222"/>
      <c r="IHF9" s="222"/>
      <c r="IHG9" s="222"/>
      <c r="IHH9" s="222"/>
      <c r="IHI9" s="222"/>
      <c r="IHJ9" s="222"/>
      <c r="IHK9" s="222"/>
      <c r="IHL9" s="222"/>
      <c r="IHM9" s="222"/>
      <c r="IHN9" s="222"/>
      <c r="IHO9" s="222"/>
      <c r="IHP9" s="222"/>
      <c r="IHQ9" s="222"/>
      <c r="IHR9" s="222"/>
      <c r="IHS9" s="222"/>
      <c r="IHT9" s="222"/>
      <c r="IHU9" s="222"/>
      <c r="IHV9" s="222"/>
      <c r="IHW9" s="222"/>
      <c r="IHX9" s="222"/>
      <c r="IHY9" s="222"/>
      <c r="IHZ9" s="222"/>
      <c r="IIA9" s="222"/>
      <c r="IIB9" s="222"/>
      <c r="IIC9" s="222"/>
      <c r="IID9" s="222"/>
      <c r="IIE9" s="222"/>
      <c r="IIF9" s="222"/>
      <c r="IIG9" s="222"/>
      <c r="IIH9" s="222"/>
      <c r="III9" s="222"/>
      <c r="IIJ9" s="222"/>
      <c r="IIK9" s="222"/>
      <c r="IIL9" s="222"/>
      <c r="IIM9" s="222"/>
      <c r="IIN9" s="222"/>
      <c r="IIO9" s="222"/>
      <c r="IIP9" s="222"/>
      <c r="IIQ9" s="222"/>
      <c r="IIR9" s="222"/>
      <c r="IIS9" s="222"/>
      <c r="IIT9" s="222"/>
      <c r="IIU9" s="222"/>
      <c r="IIV9" s="222"/>
      <c r="IIW9" s="222"/>
      <c r="IIX9" s="222"/>
      <c r="IIY9" s="222"/>
      <c r="IIZ9" s="222"/>
      <c r="IJA9" s="222"/>
      <c r="IJB9" s="222"/>
      <c r="IJC9" s="222"/>
      <c r="IJD9" s="222"/>
      <c r="IJE9" s="222"/>
      <c r="IJF9" s="222"/>
      <c r="IJG9" s="222"/>
      <c r="IJH9" s="222"/>
      <c r="IJI9" s="222"/>
      <c r="IJJ9" s="222"/>
      <c r="IJK9" s="222"/>
      <c r="IJL9" s="222"/>
      <c r="IJM9" s="222"/>
      <c r="IJN9" s="222"/>
      <c r="IJO9" s="222"/>
      <c r="IJP9" s="222"/>
      <c r="IJQ9" s="222"/>
      <c r="IJR9" s="222"/>
      <c r="IJS9" s="222"/>
      <c r="IJT9" s="222"/>
      <c r="IJU9" s="222"/>
      <c r="IJV9" s="222"/>
      <c r="IJW9" s="222"/>
      <c r="IJX9" s="222"/>
      <c r="IJY9" s="222"/>
      <c r="IJZ9" s="222"/>
      <c r="IKA9" s="222"/>
      <c r="IKB9" s="222"/>
      <c r="IKC9" s="222"/>
      <c r="IKD9" s="222"/>
      <c r="IKE9" s="222"/>
      <c r="IKF9" s="222"/>
      <c r="IKG9" s="222"/>
      <c r="IKH9" s="222"/>
      <c r="IKI9" s="222"/>
      <c r="IKJ9" s="222"/>
      <c r="IKK9" s="222"/>
      <c r="IKL9" s="222"/>
      <c r="IKM9" s="222"/>
      <c r="IKN9" s="222"/>
      <c r="IKO9" s="222"/>
      <c r="IKP9" s="222"/>
      <c r="IKQ9" s="222"/>
      <c r="IKR9" s="222"/>
      <c r="IKS9" s="222"/>
      <c r="IKT9" s="222"/>
      <c r="IKU9" s="222"/>
      <c r="IKV9" s="222"/>
      <c r="IKW9" s="222"/>
      <c r="IKX9" s="222"/>
      <c r="IKY9" s="222"/>
      <c r="IKZ9" s="222"/>
      <c r="ILA9" s="222"/>
      <c r="ILB9" s="222"/>
      <c r="ILC9" s="222"/>
      <c r="ILD9" s="222"/>
      <c r="ILE9" s="222"/>
      <c r="ILF9" s="222"/>
      <c r="ILG9" s="222"/>
      <c r="ILH9" s="222"/>
      <c r="ILI9" s="222"/>
      <c r="ILJ9" s="222"/>
      <c r="ILK9" s="222"/>
      <c r="ILL9" s="222"/>
      <c r="ILM9" s="222"/>
      <c r="ILN9" s="222"/>
      <c r="ILO9" s="222"/>
      <c r="ILP9" s="222"/>
      <c r="ILQ9" s="222"/>
      <c r="ILR9" s="222"/>
      <c r="ILS9" s="222"/>
      <c r="ILT9" s="222"/>
      <c r="ILU9" s="222"/>
      <c r="ILV9" s="222"/>
      <c r="ILW9" s="222"/>
      <c r="ILX9" s="222"/>
      <c r="ILY9" s="222"/>
      <c r="ILZ9" s="222"/>
      <c r="IMA9" s="222"/>
      <c r="IMB9" s="222"/>
      <c r="IMC9" s="222"/>
      <c r="IMD9" s="222"/>
      <c r="IME9" s="222"/>
      <c r="IMF9" s="222"/>
      <c r="IMG9" s="222"/>
      <c r="IMH9" s="222"/>
      <c r="IMI9" s="222"/>
      <c r="IMJ9" s="222"/>
      <c r="IMK9" s="222"/>
      <c r="IML9" s="222"/>
      <c r="IMM9" s="222"/>
      <c r="IMN9" s="222"/>
      <c r="IMO9" s="222"/>
      <c r="IMP9" s="222"/>
      <c r="IMQ9" s="222"/>
      <c r="IMR9" s="222"/>
      <c r="IMS9" s="222"/>
      <c r="IMT9" s="222"/>
      <c r="IMU9" s="222"/>
      <c r="IMV9" s="222"/>
      <c r="IMW9" s="222"/>
      <c r="IMX9" s="222"/>
      <c r="IMY9" s="222"/>
      <c r="IMZ9" s="222"/>
      <c r="INA9" s="222"/>
      <c r="INB9" s="222"/>
      <c r="INC9" s="222"/>
      <c r="IND9" s="222"/>
      <c r="INE9" s="222"/>
      <c r="INF9" s="222"/>
      <c r="ING9" s="222"/>
      <c r="INH9" s="222"/>
      <c r="INI9" s="222"/>
      <c r="INJ9" s="222"/>
      <c r="INK9" s="222"/>
      <c r="INL9" s="222"/>
      <c r="INM9" s="222"/>
      <c r="INN9" s="222"/>
      <c r="INO9" s="222"/>
      <c r="INP9" s="222"/>
      <c r="INQ9" s="222"/>
      <c r="INR9" s="222"/>
      <c r="INS9" s="222"/>
      <c r="INT9" s="222"/>
      <c r="INU9" s="222"/>
      <c r="INV9" s="222"/>
      <c r="INW9" s="222"/>
      <c r="INX9" s="222"/>
      <c r="INY9" s="222"/>
      <c r="INZ9" s="222"/>
      <c r="IOA9" s="222"/>
      <c r="IOB9" s="222"/>
      <c r="IOC9" s="222"/>
      <c r="IOD9" s="222"/>
      <c r="IOE9" s="222"/>
      <c r="IOF9" s="222"/>
      <c r="IOG9" s="222"/>
      <c r="IOH9" s="222"/>
      <c r="IOI9" s="222"/>
      <c r="IOJ9" s="222"/>
      <c r="IOK9" s="222"/>
      <c r="IOL9" s="222"/>
      <c r="IOM9" s="222"/>
      <c r="ION9" s="222"/>
      <c r="IOO9" s="222"/>
      <c r="IOP9" s="222"/>
      <c r="IOQ9" s="222"/>
      <c r="IOR9" s="222"/>
      <c r="IOS9" s="222"/>
      <c r="IOT9" s="222"/>
      <c r="IOU9" s="222"/>
      <c r="IOV9" s="222"/>
      <c r="IOW9" s="222"/>
      <c r="IOX9" s="222"/>
      <c r="IOY9" s="222"/>
      <c r="IOZ9" s="222"/>
      <c r="IPA9" s="222"/>
      <c r="IPB9" s="222"/>
      <c r="IPC9" s="222"/>
      <c r="IPD9" s="222"/>
      <c r="IPE9" s="222"/>
      <c r="IPF9" s="222"/>
      <c r="IPG9" s="222"/>
      <c r="IPH9" s="222"/>
      <c r="IPI9" s="222"/>
      <c r="IPJ9" s="222"/>
      <c r="IPK9" s="222"/>
      <c r="IPL9" s="222"/>
      <c r="IPM9" s="222"/>
      <c r="IPN9" s="222"/>
      <c r="IPO9" s="222"/>
      <c r="IPP9" s="222"/>
      <c r="IPQ9" s="222"/>
      <c r="IPR9" s="222"/>
      <c r="IPS9" s="222"/>
      <c r="IPT9" s="222"/>
      <c r="IPU9" s="222"/>
      <c r="IPV9" s="222"/>
      <c r="IPW9" s="222"/>
      <c r="IPX9" s="222"/>
      <c r="IPY9" s="222"/>
      <c r="IPZ9" s="222"/>
      <c r="IQA9" s="222"/>
      <c r="IQB9" s="222"/>
      <c r="IQC9" s="222"/>
      <c r="IQD9" s="222"/>
      <c r="IQE9" s="222"/>
      <c r="IQF9" s="222"/>
      <c r="IQG9" s="222"/>
      <c r="IQH9" s="222"/>
      <c r="IQI9" s="222"/>
      <c r="IQJ9" s="222"/>
      <c r="IQK9" s="222"/>
      <c r="IQL9" s="222"/>
      <c r="IQM9" s="222"/>
      <c r="IQN9" s="222"/>
      <c r="IQO9" s="222"/>
      <c r="IQP9" s="222"/>
      <c r="IQQ9" s="222"/>
      <c r="IQR9" s="222"/>
      <c r="IQS9" s="222"/>
      <c r="IQT9" s="222"/>
      <c r="IQU9" s="222"/>
      <c r="IQV9" s="222"/>
      <c r="IQW9" s="222"/>
      <c r="IQX9" s="222"/>
      <c r="IQY9" s="222"/>
      <c r="IQZ9" s="222"/>
      <c r="IRA9" s="222"/>
      <c r="IRB9" s="222"/>
      <c r="IRC9" s="222"/>
      <c r="IRD9" s="222"/>
      <c r="IRE9" s="222"/>
      <c r="IRF9" s="222"/>
      <c r="IRG9" s="222"/>
      <c r="IRH9" s="222"/>
      <c r="IRI9" s="222"/>
      <c r="IRJ9" s="222"/>
      <c r="IRK9" s="222"/>
      <c r="IRL9" s="222"/>
      <c r="IRM9" s="222"/>
      <c r="IRN9" s="222"/>
      <c r="IRO9" s="222"/>
      <c r="IRP9" s="222"/>
      <c r="IRQ9" s="222"/>
      <c r="IRR9" s="222"/>
      <c r="IRS9" s="222"/>
      <c r="IRT9" s="222"/>
      <c r="IRU9" s="222"/>
      <c r="IRV9" s="222"/>
      <c r="IRW9" s="222"/>
      <c r="IRX9" s="222"/>
      <c r="IRY9" s="222"/>
      <c r="IRZ9" s="222"/>
      <c r="ISA9" s="222"/>
      <c r="ISB9" s="222"/>
      <c r="ISC9" s="222"/>
      <c r="ISD9" s="222"/>
      <c r="ISE9" s="222"/>
      <c r="ISF9" s="222"/>
      <c r="ISG9" s="222"/>
      <c r="ISH9" s="222"/>
      <c r="ISI9" s="222"/>
      <c r="ISJ9" s="222"/>
      <c r="ISK9" s="222"/>
      <c r="ISL9" s="222"/>
      <c r="ISM9" s="222"/>
      <c r="ISN9" s="222"/>
      <c r="ISO9" s="222"/>
      <c r="ISP9" s="222"/>
      <c r="ISQ9" s="222"/>
      <c r="ISR9" s="222"/>
      <c r="ISS9" s="222"/>
      <c r="IST9" s="222"/>
      <c r="ISU9" s="222"/>
      <c r="ISV9" s="222"/>
      <c r="ISW9" s="222"/>
      <c r="ISX9" s="222"/>
      <c r="ISY9" s="222"/>
      <c r="ISZ9" s="222"/>
      <c r="ITA9" s="222"/>
      <c r="ITB9" s="222"/>
      <c r="ITC9" s="222"/>
      <c r="ITD9" s="222"/>
      <c r="ITE9" s="222"/>
      <c r="ITF9" s="222"/>
      <c r="ITG9" s="222"/>
      <c r="ITH9" s="222"/>
      <c r="ITI9" s="222"/>
      <c r="ITJ9" s="222"/>
      <c r="ITK9" s="222"/>
      <c r="ITL9" s="222"/>
      <c r="ITM9" s="222"/>
      <c r="ITN9" s="222"/>
      <c r="ITO9" s="222"/>
      <c r="ITP9" s="222"/>
      <c r="ITQ9" s="222"/>
      <c r="ITR9" s="222"/>
      <c r="ITS9" s="222"/>
      <c r="ITT9" s="222"/>
      <c r="ITU9" s="222"/>
      <c r="ITV9" s="222"/>
      <c r="ITW9" s="222"/>
      <c r="ITX9" s="222"/>
      <c r="ITY9" s="222"/>
      <c r="ITZ9" s="222"/>
      <c r="IUA9" s="222"/>
      <c r="IUB9" s="222"/>
      <c r="IUC9" s="222"/>
      <c r="IUD9" s="222"/>
      <c r="IUE9" s="222"/>
      <c r="IUF9" s="222"/>
      <c r="IUG9" s="222"/>
      <c r="IUH9" s="222"/>
      <c r="IUI9" s="222"/>
      <c r="IUJ9" s="222"/>
      <c r="IUK9" s="222"/>
      <c r="IUL9" s="222"/>
      <c r="IUM9" s="222"/>
      <c r="IUN9" s="222"/>
      <c r="IUO9" s="222"/>
      <c r="IUP9" s="222"/>
      <c r="IUQ9" s="222"/>
      <c r="IUR9" s="222"/>
      <c r="IUS9" s="222"/>
      <c r="IUT9" s="222"/>
      <c r="IUU9" s="222"/>
      <c r="IUV9" s="222"/>
      <c r="IUW9" s="222"/>
      <c r="IUX9" s="222"/>
      <c r="IUY9" s="222"/>
      <c r="IUZ9" s="222"/>
      <c r="IVA9" s="222"/>
      <c r="IVB9" s="222"/>
      <c r="IVC9" s="222"/>
      <c r="IVD9" s="222"/>
      <c r="IVE9" s="222"/>
      <c r="IVF9" s="222"/>
      <c r="IVG9" s="222"/>
      <c r="IVH9" s="222"/>
      <c r="IVI9" s="222"/>
      <c r="IVJ9" s="222"/>
      <c r="IVK9" s="222"/>
      <c r="IVL9" s="222"/>
      <c r="IVM9" s="222"/>
      <c r="IVN9" s="222"/>
      <c r="IVO9" s="222"/>
      <c r="IVP9" s="222"/>
      <c r="IVQ9" s="222"/>
      <c r="IVR9" s="222"/>
      <c r="IVS9" s="222"/>
      <c r="IVT9" s="222"/>
      <c r="IVU9" s="222"/>
      <c r="IVV9" s="222"/>
      <c r="IVW9" s="222"/>
      <c r="IVX9" s="222"/>
      <c r="IVY9" s="222"/>
      <c r="IVZ9" s="222"/>
      <c r="IWA9" s="222"/>
      <c r="IWB9" s="222"/>
      <c r="IWC9" s="222"/>
      <c r="IWD9" s="222"/>
      <c r="IWE9" s="222"/>
      <c r="IWF9" s="222"/>
      <c r="IWG9" s="222"/>
      <c r="IWH9" s="222"/>
      <c r="IWI9" s="222"/>
      <c r="IWJ9" s="222"/>
      <c r="IWK9" s="222"/>
      <c r="IWL9" s="222"/>
      <c r="IWM9" s="222"/>
      <c r="IWN9" s="222"/>
      <c r="IWO9" s="222"/>
      <c r="IWP9" s="222"/>
      <c r="IWQ9" s="222"/>
      <c r="IWR9" s="222"/>
      <c r="IWS9" s="222"/>
      <c r="IWT9" s="222"/>
      <c r="IWU9" s="222"/>
      <c r="IWV9" s="222"/>
      <c r="IWW9" s="222"/>
      <c r="IWX9" s="222"/>
      <c r="IWY9" s="222"/>
      <c r="IWZ9" s="222"/>
      <c r="IXA9" s="222"/>
      <c r="IXB9" s="222"/>
      <c r="IXC9" s="222"/>
      <c r="IXD9" s="222"/>
      <c r="IXE9" s="222"/>
      <c r="IXF9" s="222"/>
      <c r="IXG9" s="222"/>
      <c r="IXH9" s="222"/>
      <c r="IXI9" s="222"/>
      <c r="IXJ9" s="222"/>
      <c r="IXK9" s="222"/>
      <c r="IXL9" s="222"/>
      <c r="IXM9" s="222"/>
      <c r="IXN9" s="222"/>
      <c r="IXO9" s="222"/>
      <c r="IXP9" s="222"/>
      <c r="IXQ9" s="222"/>
      <c r="IXR9" s="222"/>
      <c r="IXS9" s="222"/>
      <c r="IXT9" s="222"/>
      <c r="IXU9" s="222"/>
      <c r="IXV9" s="222"/>
      <c r="IXW9" s="222"/>
      <c r="IXX9" s="222"/>
      <c r="IXY9" s="222"/>
      <c r="IXZ9" s="222"/>
      <c r="IYA9" s="222"/>
      <c r="IYB9" s="222"/>
      <c r="IYC9" s="222"/>
      <c r="IYD9" s="222"/>
      <c r="IYE9" s="222"/>
      <c r="IYF9" s="222"/>
      <c r="IYG9" s="222"/>
      <c r="IYH9" s="222"/>
      <c r="IYI9" s="222"/>
      <c r="IYJ9" s="222"/>
      <c r="IYK9" s="222"/>
      <c r="IYL9" s="222"/>
      <c r="IYM9" s="222"/>
      <c r="IYN9" s="222"/>
      <c r="IYO9" s="222"/>
      <c r="IYP9" s="222"/>
      <c r="IYQ9" s="222"/>
      <c r="IYR9" s="222"/>
      <c r="IYS9" s="222"/>
      <c r="IYT9" s="222"/>
      <c r="IYU9" s="222"/>
      <c r="IYV9" s="222"/>
      <c r="IYW9" s="222"/>
      <c r="IYX9" s="222"/>
      <c r="IYY9" s="222"/>
      <c r="IYZ9" s="222"/>
      <c r="IZA9" s="222"/>
      <c r="IZB9" s="222"/>
      <c r="IZC9" s="222"/>
      <c r="IZD9" s="222"/>
      <c r="IZE9" s="222"/>
      <c r="IZF9" s="222"/>
      <c r="IZG9" s="222"/>
      <c r="IZH9" s="222"/>
      <c r="IZI9" s="222"/>
      <c r="IZJ9" s="222"/>
      <c r="IZK9" s="222"/>
      <c r="IZL9" s="222"/>
      <c r="IZM9" s="222"/>
      <c r="IZN9" s="222"/>
      <c r="IZO9" s="222"/>
      <c r="IZP9" s="222"/>
      <c r="IZQ9" s="222"/>
      <c r="IZR9" s="222"/>
      <c r="IZS9" s="222"/>
      <c r="IZT9" s="222"/>
      <c r="IZU9" s="222"/>
      <c r="IZV9" s="222"/>
      <c r="IZW9" s="222"/>
      <c r="IZX9" s="222"/>
      <c r="IZY9" s="222"/>
      <c r="IZZ9" s="222"/>
      <c r="JAA9" s="222"/>
      <c r="JAB9" s="222"/>
      <c r="JAC9" s="222"/>
      <c r="JAD9" s="222"/>
      <c r="JAE9" s="222"/>
      <c r="JAF9" s="222"/>
      <c r="JAG9" s="222"/>
      <c r="JAH9" s="222"/>
      <c r="JAI9" s="222"/>
      <c r="JAJ9" s="222"/>
      <c r="JAK9" s="222"/>
      <c r="JAL9" s="222"/>
      <c r="JAM9" s="222"/>
      <c r="JAN9" s="222"/>
      <c r="JAO9" s="222"/>
      <c r="JAP9" s="222"/>
      <c r="JAQ9" s="222"/>
      <c r="JAR9" s="222"/>
      <c r="JAS9" s="222"/>
      <c r="JAT9" s="222"/>
      <c r="JAU9" s="222"/>
      <c r="JAV9" s="222"/>
      <c r="JAW9" s="222"/>
      <c r="JAX9" s="222"/>
      <c r="JAY9" s="222"/>
      <c r="JAZ9" s="222"/>
      <c r="JBA9" s="222"/>
      <c r="JBB9" s="222"/>
      <c r="JBC9" s="222"/>
      <c r="JBD9" s="222"/>
      <c r="JBE9" s="222"/>
      <c r="JBF9" s="222"/>
      <c r="JBG9" s="222"/>
      <c r="JBH9" s="222"/>
      <c r="JBI9" s="222"/>
      <c r="JBJ9" s="222"/>
      <c r="JBK9" s="222"/>
      <c r="JBL9" s="222"/>
      <c r="JBM9" s="222"/>
      <c r="JBN9" s="222"/>
      <c r="JBO9" s="222"/>
      <c r="JBP9" s="222"/>
      <c r="JBQ9" s="222"/>
      <c r="JBR9" s="222"/>
      <c r="JBS9" s="222"/>
      <c r="JBT9" s="222"/>
      <c r="JBU9" s="222"/>
      <c r="JBV9" s="222"/>
      <c r="JBW9" s="222"/>
      <c r="JBX9" s="222"/>
      <c r="JBY9" s="222"/>
      <c r="JBZ9" s="222"/>
      <c r="JCA9" s="222"/>
      <c r="JCB9" s="222"/>
      <c r="JCC9" s="222"/>
      <c r="JCD9" s="222"/>
      <c r="JCE9" s="222"/>
      <c r="JCF9" s="222"/>
      <c r="JCG9" s="222"/>
      <c r="JCH9" s="222"/>
      <c r="JCI9" s="222"/>
      <c r="JCJ9" s="222"/>
      <c r="JCK9" s="222"/>
      <c r="JCL9" s="222"/>
      <c r="JCM9" s="222"/>
      <c r="JCN9" s="222"/>
      <c r="JCO9" s="222"/>
      <c r="JCP9" s="222"/>
      <c r="JCQ9" s="222"/>
      <c r="JCR9" s="222"/>
      <c r="JCS9" s="222"/>
      <c r="JCT9" s="222"/>
      <c r="JCU9" s="222"/>
      <c r="JCV9" s="222"/>
      <c r="JCW9" s="222"/>
      <c r="JCX9" s="222"/>
      <c r="JCY9" s="222"/>
      <c r="JCZ9" s="222"/>
      <c r="JDA9" s="222"/>
      <c r="JDB9" s="222"/>
      <c r="JDC9" s="222"/>
      <c r="JDD9" s="222"/>
      <c r="JDE9" s="222"/>
      <c r="JDF9" s="222"/>
      <c r="JDG9" s="222"/>
      <c r="JDH9" s="222"/>
      <c r="JDI9" s="222"/>
      <c r="JDJ9" s="222"/>
      <c r="JDK9" s="222"/>
      <c r="JDL9" s="222"/>
      <c r="JDM9" s="222"/>
      <c r="JDN9" s="222"/>
      <c r="JDO9" s="222"/>
      <c r="JDP9" s="222"/>
      <c r="JDQ9" s="222"/>
      <c r="JDR9" s="222"/>
      <c r="JDS9" s="222"/>
      <c r="JDT9" s="222"/>
      <c r="JDU9" s="222"/>
      <c r="JDV9" s="222"/>
      <c r="JDW9" s="222"/>
      <c r="JDX9" s="222"/>
      <c r="JDY9" s="222"/>
      <c r="JDZ9" s="222"/>
      <c r="JEA9" s="222"/>
      <c r="JEB9" s="222"/>
      <c r="JEC9" s="222"/>
      <c r="JED9" s="222"/>
      <c r="JEE9" s="222"/>
      <c r="JEF9" s="222"/>
      <c r="JEG9" s="222"/>
      <c r="JEH9" s="222"/>
      <c r="JEI9" s="222"/>
      <c r="JEJ9" s="222"/>
      <c r="JEK9" s="222"/>
      <c r="JEL9" s="222"/>
      <c r="JEM9" s="222"/>
      <c r="JEN9" s="222"/>
      <c r="JEO9" s="222"/>
      <c r="JEP9" s="222"/>
      <c r="JEQ9" s="222"/>
      <c r="JER9" s="222"/>
      <c r="JES9" s="222"/>
      <c r="JET9" s="222"/>
      <c r="JEU9" s="222"/>
      <c r="JEV9" s="222"/>
      <c r="JEW9" s="222"/>
      <c r="JEX9" s="222"/>
      <c r="JEY9" s="222"/>
      <c r="JEZ9" s="222"/>
      <c r="JFA9" s="222"/>
      <c r="JFB9" s="222"/>
      <c r="JFC9" s="222"/>
      <c r="JFD9" s="222"/>
      <c r="JFE9" s="222"/>
      <c r="JFF9" s="222"/>
      <c r="JFG9" s="222"/>
      <c r="JFH9" s="222"/>
      <c r="JFI9" s="222"/>
      <c r="JFJ9" s="222"/>
      <c r="JFK9" s="222"/>
      <c r="JFL9" s="222"/>
      <c r="JFM9" s="222"/>
      <c r="JFN9" s="222"/>
      <c r="JFO9" s="222"/>
      <c r="JFP9" s="222"/>
      <c r="JFQ9" s="222"/>
      <c r="JFR9" s="222"/>
      <c r="JFS9" s="222"/>
      <c r="JFT9" s="222"/>
      <c r="JFU9" s="222"/>
      <c r="JFV9" s="222"/>
      <c r="JFW9" s="222"/>
      <c r="JFX9" s="222"/>
      <c r="JFY9" s="222"/>
      <c r="JFZ9" s="222"/>
      <c r="JGA9" s="222"/>
      <c r="JGB9" s="222"/>
      <c r="JGC9" s="222"/>
      <c r="JGD9" s="222"/>
      <c r="JGE9" s="222"/>
      <c r="JGF9" s="222"/>
      <c r="JGG9" s="222"/>
      <c r="JGH9" s="222"/>
      <c r="JGI9" s="222"/>
      <c r="JGJ9" s="222"/>
      <c r="JGK9" s="222"/>
      <c r="JGL9" s="222"/>
      <c r="JGM9" s="222"/>
      <c r="JGN9" s="222"/>
      <c r="JGO9" s="222"/>
      <c r="JGP9" s="222"/>
      <c r="JGQ9" s="222"/>
      <c r="JGR9" s="222"/>
      <c r="JGS9" s="222"/>
      <c r="JGT9" s="222"/>
      <c r="JGU9" s="222"/>
      <c r="JGV9" s="222"/>
      <c r="JGW9" s="222"/>
      <c r="JGX9" s="222"/>
      <c r="JGY9" s="222"/>
      <c r="JGZ9" s="222"/>
      <c r="JHA9" s="222"/>
      <c r="JHB9" s="222"/>
      <c r="JHC9" s="222"/>
      <c r="JHD9" s="222"/>
      <c r="JHE9" s="222"/>
      <c r="JHF9" s="222"/>
      <c r="JHG9" s="222"/>
      <c r="JHH9" s="222"/>
      <c r="JHI9" s="222"/>
      <c r="JHJ9" s="222"/>
      <c r="JHK9" s="222"/>
      <c r="JHL9" s="222"/>
      <c r="JHM9" s="222"/>
      <c r="JHN9" s="222"/>
      <c r="JHO9" s="222"/>
      <c r="JHP9" s="222"/>
      <c r="JHQ9" s="222"/>
      <c r="JHR9" s="222"/>
      <c r="JHS9" s="222"/>
      <c r="JHT9" s="222"/>
      <c r="JHU9" s="222"/>
      <c r="JHV9" s="222"/>
      <c r="JHW9" s="222"/>
      <c r="JHX9" s="222"/>
      <c r="JHY9" s="222"/>
      <c r="JHZ9" s="222"/>
      <c r="JIA9" s="222"/>
      <c r="JIB9" s="222"/>
      <c r="JIC9" s="222"/>
      <c r="JID9" s="222"/>
      <c r="JIE9" s="222"/>
      <c r="JIF9" s="222"/>
      <c r="JIG9" s="222"/>
      <c r="JIH9" s="222"/>
      <c r="JII9" s="222"/>
      <c r="JIJ9" s="222"/>
      <c r="JIK9" s="222"/>
      <c r="JIL9" s="222"/>
      <c r="JIM9" s="222"/>
      <c r="JIN9" s="222"/>
      <c r="JIO9" s="222"/>
      <c r="JIP9" s="222"/>
      <c r="JIQ9" s="222"/>
      <c r="JIR9" s="222"/>
      <c r="JIS9" s="222"/>
      <c r="JIT9" s="222"/>
      <c r="JIU9" s="222"/>
      <c r="JIV9" s="222"/>
      <c r="JIW9" s="222"/>
      <c r="JIX9" s="222"/>
      <c r="JIY9" s="222"/>
      <c r="JIZ9" s="222"/>
      <c r="JJA9" s="222"/>
      <c r="JJB9" s="222"/>
      <c r="JJC9" s="222"/>
      <c r="JJD9" s="222"/>
      <c r="JJE9" s="222"/>
      <c r="JJF9" s="222"/>
      <c r="JJG9" s="222"/>
      <c r="JJH9" s="222"/>
      <c r="JJI9" s="222"/>
      <c r="JJJ9" s="222"/>
      <c r="JJK9" s="222"/>
      <c r="JJL9" s="222"/>
      <c r="JJM9" s="222"/>
      <c r="JJN9" s="222"/>
      <c r="JJO9" s="222"/>
      <c r="JJP9" s="222"/>
      <c r="JJQ9" s="222"/>
      <c r="JJR9" s="222"/>
      <c r="JJS9" s="222"/>
      <c r="JJT9" s="222"/>
      <c r="JJU9" s="222"/>
      <c r="JJV9" s="222"/>
      <c r="JJW9" s="222"/>
      <c r="JJX9" s="222"/>
      <c r="JJY9" s="222"/>
      <c r="JJZ9" s="222"/>
      <c r="JKA9" s="222"/>
      <c r="JKB9" s="222"/>
      <c r="JKC9" s="222"/>
      <c r="JKD9" s="222"/>
      <c r="JKE9" s="222"/>
      <c r="JKF9" s="222"/>
      <c r="JKG9" s="222"/>
      <c r="JKH9" s="222"/>
      <c r="JKI9" s="222"/>
      <c r="JKJ9" s="222"/>
      <c r="JKK9" s="222"/>
      <c r="JKL9" s="222"/>
      <c r="JKM9" s="222"/>
      <c r="JKN9" s="222"/>
      <c r="JKO9" s="222"/>
      <c r="JKP9" s="222"/>
      <c r="JKQ9" s="222"/>
      <c r="JKR9" s="222"/>
      <c r="JKS9" s="222"/>
      <c r="JKT9" s="222"/>
      <c r="JKU9" s="222"/>
      <c r="JKV9" s="222"/>
      <c r="JKW9" s="222"/>
      <c r="JKX9" s="222"/>
      <c r="JKY9" s="222"/>
      <c r="JKZ9" s="222"/>
      <c r="JLA9" s="222"/>
      <c r="JLB9" s="222"/>
      <c r="JLC9" s="222"/>
      <c r="JLD9" s="222"/>
      <c r="JLE9" s="222"/>
      <c r="JLF9" s="222"/>
      <c r="JLG9" s="222"/>
      <c r="JLH9" s="222"/>
      <c r="JLI9" s="222"/>
      <c r="JLJ9" s="222"/>
      <c r="JLK9" s="222"/>
      <c r="JLL9" s="222"/>
      <c r="JLM9" s="222"/>
      <c r="JLN9" s="222"/>
      <c r="JLO9" s="222"/>
      <c r="JLP9" s="222"/>
      <c r="JLQ9" s="222"/>
      <c r="JLR9" s="222"/>
      <c r="JLS9" s="222"/>
      <c r="JLT9" s="222"/>
      <c r="JLU9" s="222"/>
      <c r="JLV9" s="222"/>
      <c r="JLW9" s="222"/>
      <c r="JLX9" s="222"/>
      <c r="JLY9" s="222"/>
      <c r="JLZ9" s="222"/>
      <c r="JMA9" s="222"/>
      <c r="JMB9" s="222"/>
      <c r="JMC9" s="222"/>
      <c r="JMD9" s="222"/>
      <c r="JME9" s="222"/>
      <c r="JMF9" s="222"/>
      <c r="JMG9" s="222"/>
      <c r="JMH9" s="222"/>
      <c r="JMI9" s="222"/>
      <c r="JMJ9" s="222"/>
      <c r="JMK9" s="222"/>
      <c r="JML9" s="222"/>
      <c r="JMM9" s="222"/>
      <c r="JMN9" s="222"/>
      <c r="JMO9" s="222"/>
      <c r="JMP9" s="222"/>
      <c r="JMQ9" s="222"/>
      <c r="JMR9" s="222"/>
      <c r="JMS9" s="222"/>
      <c r="JMT9" s="222"/>
      <c r="JMU9" s="222"/>
      <c r="JMV9" s="222"/>
      <c r="JMW9" s="222"/>
      <c r="JMX9" s="222"/>
      <c r="JMY9" s="222"/>
      <c r="JMZ9" s="222"/>
      <c r="JNA9" s="222"/>
      <c r="JNB9" s="222"/>
      <c r="JNC9" s="222"/>
      <c r="JND9" s="222"/>
      <c r="JNE9" s="222"/>
      <c r="JNF9" s="222"/>
      <c r="JNG9" s="222"/>
      <c r="JNH9" s="222"/>
      <c r="JNI9" s="222"/>
      <c r="JNJ9" s="222"/>
      <c r="JNK9" s="222"/>
      <c r="JNL9" s="222"/>
      <c r="JNM9" s="222"/>
      <c r="JNN9" s="222"/>
      <c r="JNO9" s="222"/>
      <c r="JNP9" s="222"/>
      <c r="JNQ9" s="222"/>
      <c r="JNR9" s="222"/>
      <c r="JNS9" s="222"/>
      <c r="JNT9" s="222"/>
      <c r="JNU9" s="222"/>
      <c r="JNV9" s="222"/>
      <c r="JNW9" s="222"/>
      <c r="JNX9" s="222"/>
      <c r="JNY9" s="222"/>
      <c r="JNZ9" s="222"/>
      <c r="JOA9" s="222"/>
      <c r="JOB9" s="222"/>
      <c r="JOC9" s="222"/>
      <c r="JOD9" s="222"/>
      <c r="JOE9" s="222"/>
      <c r="JOF9" s="222"/>
      <c r="JOG9" s="222"/>
      <c r="JOH9" s="222"/>
      <c r="JOI9" s="222"/>
      <c r="JOJ9" s="222"/>
      <c r="JOK9" s="222"/>
      <c r="JOL9" s="222"/>
      <c r="JOM9" s="222"/>
      <c r="JON9" s="222"/>
      <c r="JOO9" s="222"/>
      <c r="JOP9" s="222"/>
      <c r="JOQ9" s="222"/>
      <c r="JOR9" s="222"/>
      <c r="JOS9" s="222"/>
      <c r="JOT9" s="222"/>
      <c r="JOU9" s="222"/>
      <c r="JOV9" s="222"/>
      <c r="JOW9" s="222"/>
      <c r="JOX9" s="222"/>
      <c r="JOY9" s="222"/>
      <c r="JOZ9" s="222"/>
      <c r="JPA9" s="222"/>
      <c r="JPB9" s="222"/>
      <c r="JPC9" s="222"/>
      <c r="JPD9" s="222"/>
      <c r="JPE9" s="222"/>
      <c r="JPF9" s="222"/>
      <c r="JPG9" s="222"/>
      <c r="JPH9" s="222"/>
      <c r="JPI9" s="222"/>
      <c r="JPJ9" s="222"/>
      <c r="JPK9" s="222"/>
      <c r="JPL9" s="222"/>
      <c r="JPM9" s="222"/>
      <c r="JPN9" s="222"/>
      <c r="JPO9" s="222"/>
      <c r="JPP9" s="222"/>
      <c r="JPQ9" s="222"/>
      <c r="JPR9" s="222"/>
      <c r="JPS9" s="222"/>
      <c r="JPT9" s="222"/>
      <c r="JPU9" s="222"/>
      <c r="JPV9" s="222"/>
      <c r="JPW9" s="222"/>
      <c r="JPX9" s="222"/>
      <c r="JPY9" s="222"/>
      <c r="JPZ9" s="222"/>
      <c r="JQA9" s="222"/>
      <c r="JQB9" s="222"/>
      <c r="JQC9" s="222"/>
      <c r="JQD9" s="222"/>
      <c r="JQE9" s="222"/>
      <c r="JQF9" s="222"/>
      <c r="JQG9" s="222"/>
      <c r="JQH9" s="222"/>
      <c r="JQI9" s="222"/>
      <c r="JQJ9" s="222"/>
      <c r="JQK9" s="222"/>
      <c r="JQL9" s="222"/>
      <c r="JQM9" s="222"/>
      <c r="JQN9" s="222"/>
      <c r="JQO9" s="222"/>
      <c r="JQP9" s="222"/>
      <c r="JQQ9" s="222"/>
      <c r="JQR9" s="222"/>
      <c r="JQS9" s="222"/>
      <c r="JQT9" s="222"/>
      <c r="JQU9" s="222"/>
      <c r="JQV9" s="222"/>
      <c r="JQW9" s="222"/>
      <c r="JQX9" s="222"/>
      <c r="JQY9" s="222"/>
      <c r="JQZ9" s="222"/>
      <c r="JRA9" s="222"/>
      <c r="JRB9" s="222"/>
      <c r="JRC9" s="222"/>
      <c r="JRD9" s="222"/>
      <c r="JRE9" s="222"/>
      <c r="JRF9" s="222"/>
      <c r="JRG9" s="222"/>
      <c r="JRH9" s="222"/>
      <c r="JRI9" s="222"/>
      <c r="JRJ9" s="222"/>
      <c r="JRK9" s="222"/>
      <c r="JRL9" s="222"/>
      <c r="JRM9" s="222"/>
      <c r="JRN9" s="222"/>
      <c r="JRO9" s="222"/>
      <c r="JRP9" s="222"/>
      <c r="JRQ9" s="222"/>
      <c r="JRR9" s="222"/>
      <c r="JRS9" s="222"/>
      <c r="JRT9" s="222"/>
      <c r="JRU9" s="222"/>
      <c r="JRV9" s="222"/>
      <c r="JRW9" s="222"/>
      <c r="JRX9" s="222"/>
      <c r="JRY9" s="222"/>
      <c r="JRZ9" s="222"/>
      <c r="JSA9" s="222"/>
      <c r="JSB9" s="222"/>
      <c r="JSC9" s="222"/>
      <c r="JSD9" s="222"/>
      <c r="JSE9" s="222"/>
      <c r="JSF9" s="222"/>
      <c r="JSG9" s="222"/>
      <c r="JSH9" s="222"/>
      <c r="JSI9" s="222"/>
      <c r="JSJ9" s="222"/>
      <c r="JSK9" s="222"/>
      <c r="JSL9" s="222"/>
      <c r="JSM9" s="222"/>
      <c r="JSN9" s="222"/>
      <c r="JSO9" s="222"/>
      <c r="JSP9" s="222"/>
      <c r="JSQ9" s="222"/>
      <c r="JSR9" s="222"/>
      <c r="JSS9" s="222"/>
      <c r="JST9" s="222"/>
      <c r="JSU9" s="222"/>
      <c r="JSV9" s="222"/>
      <c r="JSW9" s="222"/>
      <c r="JSX9" s="222"/>
      <c r="JSY9" s="222"/>
      <c r="JSZ9" s="222"/>
      <c r="JTA9" s="222"/>
      <c r="JTB9" s="222"/>
      <c r="JTC9" s="222"/>
      <c r="JTD9" s="222"/>
      <c r="JTE9" s="222"/>
      <c r="JTF9" s="222"/>
      <c r="JTG9" s="222"/>
      <c r="JTH9" s="222"/>
      <c r="JTI9" s="222"/>
      <c r="JTJ9" s="222"/>
      <c r="JTK9" s="222"/>
      <c r="JTL9" s="222"/>
      <c r="JTM9" s="222"/>
      <c r="JTN9" s="222"/>
      <c r="JTO9" s="222"/>
      <c r="JTP9" s="222"/>
      <c r="JTQ9" s="222"/>
      <c r="JTR9" s="222"/>
      <c r="JTS9" s="222"/>
      <c r="JTT9" s="222"/>
      <c r="JTU9" s="222"/>
      <c r="JTV9" s="222"/>
      <c r="JTW9" s="222"/>
      <c r="JTX9" s="222"/>
      <c r="JTY9" s="222"/>
      <c r="JTZ9" s="222"/>
      <c r="JUA9" s="222"/>
      <c r="JUB9" s="222"/>
      <c r="JUC9" s="222"/>
      <c r="JUD9" s="222"/>
      <c r="JUE9" s="222"/>
      <c r="JUF9" s="222"/>
      <c r="JUG9" s="222"/>
      <c r="JUH9" s="222"/>
      <c r="JUI9" s="222"/>
      <c r="JUJ9" s="222"/>
      <c r="JUK9" s="222"/>
      <c r="JUL9" s="222"/>
      <c r="JUM9" s="222"/>
      <c r="JUN9" s="222"/>
      <c r="JUO9" s="222"/>
      <c r="JUP9" s="222"/>
      <c r="JUQ9" s="222"/>
      <c r="JUR9" s="222"/>
      <c r="JUS9" s="222"/>
      <c r="JUT9" s="222"/>
      <c r="JUU9" s="222"/>
      <c r="JUV9" s="222"/>
      <c r="JUW9" s="222"/>
      <c r="JUX9" s="222"/>
      <c r="JUY9" s="222"/>
      <c r="JUZ9" s="222"/>
      <c r="JVA9" s="222"/>
      <c r="JVB9" s="222"/>
      <c r="JVC9" s="222"/>
      <c r="JVD9" s="222"/>
      <c r="JVE9" s="222"/>
      <c r="JVF9" s="222"/>
      <c r="JVG9" s="222"/>
      <c r="JVH9" s="222"/>
      <c r="JVI9" s="222"/>
      <c r="JVJ9" s="222"/>
      <c r="JVK9" s="222"/>
      <c r="JVL9" s="222"/>
      <c r="JVM9" s="222"/>
      <c r="JVN9" s="222"/>
      <c r="JVO9" s="222"/>
      <c r="JVP9" s="222"/>
      <c r="JVQ9" s="222"/>
      <c r="JVR9" s="222"/>
      <c r="JVS9" s="222"/>
      <c r="JVT9" s="222"/>
      <c r="JVU9" s="222"/>
      <c r="JVV9" s="222"/>
      <c r="JVW9" s="222"/>
      <c r="JVX9" s="222"/>
      <c r="JVY9" s="222"/>
      <c r="JVZ9" s="222"/>
      <c r="JWA9" s="222"/>
      <c r="JWB9" s="222"/>
      <c r="JWC9" s="222"/>
      <c r="JWD9" s="222"/>
      <c r="JWE9" s="222"/>
      <c r="JWF9" s="222"/>
      <c r="JWG9" s="222"/>
      <c r="JWH9" s="222"/>
      <c r="JWI9" s="222"/>
      <c r="JWJ9" s="222"/>
      <c r="JWK9" s="222"/>
      <c r="JWL9" s="222"/>
      <c r="JWM9" s="222"/>
      <c r="JWN9" s="222"/>
      <c r="JWO9" s="222"/>
      <c r="JWP9" s="222"/>
      <c r="JWQ9" s="222"/>
      <c r="JWR9" s="222"/>
      <c r="JWS9" s="222"/>
      <c r="JWT9" s="222"/>
      <c r="JWU9" s="222"/>
      <c r="JWV9" s="222"/>
      <c r="JWW9" s="222"/>
      <c r="JWX9" s="222"/>
      <c r="JWY9" s="222"/>
      <c r="JWZ9" s="222"/>
      <c r="JXA9" s="222"/>
      <c r="JXB9" s="222"/>
      <c r="JXC9" s="222"/>
      <c r="JXD9" s="222"/>
      <c r="JXE9" s="222"/>
      <c r="JXF9" s="222"/>
      <c r="JXG9" s="222"/>
      <c r="JXH9" s="222"/>
      <c r="JXI9" s="222"/>
      <c r="JXJ9" s="222"/>
      <c r="JXK9" s="222"/>
      <c r="JXL9" s="222"/>
      <c r="JXM9" s="222"/>
      <c r="JXN9" s="222"/>
      <c r="JXO9" s="222"/>
      <c r="JXP9" s="222"/>
      <c r="JXQ9" s="222"/>
      <c r="JXR9" s="222"/>
      <c r="JXS9" s="222"/>
      <c r="JXT9" s="222"/>
      <c r="JXU9" s="222"/>
      <c r="JXV9" s="222"/>
      <c r="JXW9" s="222"/>
      <c r="JXX9" s="222"/>
      <c r="JXY9" s="222"/>
      <c r="JXZ9" s="222"/>
      <c r="JYA9" s="222"/>
      <c r="JYB9" s="222"/>
      <c r="JYC9" s="222"/>
      <c r="JYD9" s="222"/>
      <c r="JYE9" s="222"/>
      <c r="JYF9" s="222"/>
      <c r="JYG9" s="222"/>
      <c r="JYH9" s="222"/>
      <c r="JYI9" s="222"/>
      <c r="JYJ9" s="222"/>
      <c r="JYK9" s="222"/>
      <c r="JYL9" s="222"/>
      <c r="JYM9" s="222"/>
      <c r="JYN9" s="222"/>
      <c r="JYO9" s="222"/>
      <c r="JYP9" s="222"/>
      <c r="JYQ9" s="222"/>
      <c r="JYR9" s="222"/>
      <c r="JYS9" s="222"/>
      <c r="JYT9" s="222"/>
      <c r="JYU9" s="222"/>
      <c r="JYV9" s="222"/>
      <c r="JYW9" s="222"/>
      <c r="JYX9" s="222"/>
      <c r="JYY9" s="222"/>
      <c r="JYZ9" s="222"/>
      <c r="JZA9" s="222"/>
      <c r="JZB9" s="222"/>
      <c r="JZC9" s="222"/>
      <c r="JZD9" s="222"/>
      <c r="JZE9" s="222"/>
      <c r="JZF9" s="222"/>
      <c r="JZG9" s="222"/>
      <c r="JZH9" s="222"/>
      <c r="JZI9" s="222"/>
      <c r="JZJ9" s="222"/>
      <c r="JZK9" s="222"/>
      <c r="JZL9" s="222"/>
      <c r="JZM9" s="222"/>
      <c r="JZN9" s="222"/>
      <c r="JZO9" s="222"/>
      <c r="JZP9" s="222"/>
      <c r="JZQ9" s="222"/>
      <c r="JZR9" s="222"/>
      <c r="JZS9" s="222"/>
      <c r="JZT9" s="222"/>
      <c r="JZU9" s="222"/>
      <c r="JZV9" s="222"/>
      <c r="JZW9" s="222"/>
      <c r="JZX9" s="222"/>
      <c r="JZY9" s="222"/>
      <c r="JZZ9" s="222"/>
      <c r="KAA9" s="222"/>
      <c r="KAB9" s="222"/>
      <c r="KAC9" s="222"/>
      <c r="KAD9" s="222"/>
      <c r="KAE9" s="222"/>
      <c r="KAF9" s="222"/>
      <c r="KAG9" s="222"/>
      <c r="KAH9" s="222"/>
      <c r="KAI9" s="222"/>
      <c r="KAJ9" s="222"/>
      <c r="KAK9" s="222"/>
      <c r="KAL9" s="222"/>
      <c r="KAM9" s="222"/>
      <c r="KAN9" s="222"/>
      <c r="KAO9" s="222"/>
      <c r="KAP9" s="222"/>
      <c r="KAQ9" s="222"/>
      <c r="KAR9" s="222"/>
      <c r="KAS9" s="222"/>
      <c r="KAT9" s="222"/>
      <c r="KAU9" s="222"/>
      <c r="KAV9" s="222"/>
      <c r="KAW9" s="222"/>
      <c r="KAX9" s="222"/>
      <c r="KAY9" s="222"/>
      <c r="KAZ9" s="222"/>
      <c r="KBA9" s="222"/>
      <c r="KBB9" s="222"/>
      <c r="KBC9" s="222"/>
      <c r="KBD9" s="222"/>
      <c r="KBE9" s="222"/>
      <c r="KBF9" s="222"/>
      <c r="KBG9" s="222"/>
      <c r="KBH9" s="222"/>
      <c r="KBI9" s="222"/>
      <c r="KBJ9" s="222"/>
      <c r="KBK9" s="222"/>
      <c r="KBL9" s="222"/>
      <c r="KBM9" s="222"/>
      <c r="KBN9" s="222"/>
      <c r="KBO9" s="222"/>
      <c r="KBP9" s="222"/>
      <c r="KBQ9" s="222"/>
      <c r="KBR9" s="222"/>
      <c r="KBS9" s="222"/>
      <c r="KBT9" s="222"/>
      <c r="KBU9" s="222"/>
      <c r="KBV9" s="222"/>
      <c r="KBW9" s="222"/>
      <c r="KBX9" s="222"/>
      <c r="KBY9" s="222"/>
      <c r="KBZ9" s="222"/>
      <c r="KCA9" s="222"/>
      <c r="KCB9" s="222"/>
      <c r="KCC9" s="222"/>
      <c r="KCD9" s="222"/>
      <c r="KCE9" s="222"/>
      <c r="KCF9" s="222"/>
      <c r="KCG9" s="222"/>
      <c r="KCH9" s="222"/>
      <c r="KCI9" s="222"/>
      <c r="KCJ9" s="222"/>
      <c r="KCK9" s="222"/>
      <c r="KCL9" s="222"/>
      <c r="KCM9" s="222"/>
      <c r="KCN9" s="222"/>
      <c r="KCO9" s="222"/>
      <c r="KCP9" s="222"/>
      <c r="KCQ9" s="222"/>
      <c r="KCR9" s="222"/>
      <c r="KCS9" s="222"/>
      <c r="KCT9" s="222"/>
      <c r="KCU9" s="222"/>
      <c r="KCV9" s="222"/>
      <c r="KCW9" s="222"/>
      <c r="KCX9" s="222"/>
      <c r="KCY9" s="222"/>
      <c r="KCZ9" s="222"/>
      <c r="KDA9" s="222"/>
      <c r="KDB9" s="222"/>
      <c r="KDC9" s="222"/>
      <c r="KDD9" s="222"/>
      <c r="KDE9" s="222"/>
      <c r="KDF9" s="222"/>
      <c r="KDG9" s="222"/>
      <c r="KDH9" s="222"/>
      <c r="KDI9" s="222"/>
      <c r="KDJ9" s="222"/>
      <c r="KDK9" s="222"/>
      <c r="KDL9" s="222"/>
      <c r="KDM9" s="222"/>
      <c r="KDN9" s="222"/>
      <c r="KDO9" s="222"/>
      <c r="KDP9" s="222"/>
      <c r="KDQ9" s="222"/>
      <c r="KDR9" s="222"/>
      <c r="KDS9" s="222"/>
      <c r="KDT9" s="222"/>
      <c r="KDU9" s="222"/>
      <c r="KDV9" s="222"/>
      <c r="KDW9" s="222"/>
      <c r="KDX9" s="222"/>
      <c r="KDY9" s="222"/>
      <c r="KDZ9" s="222"/>
      <c r="KEA9" s="222"/>
      <c r="KEB9" s="222"/>
      <c r="KEC9" s="222"/>
      <c r="KED9" s="222"/>
      <c r="KEE9" s="222"/>
      <c r="KEF9" s="222"/>
      <c r="KEG9" s="222"/>
      <c r="KEH9" s="222"/>
      <c r="KEI9" s="222"/>
      <c r="KEJ9" s="222"/>
      <c r="KEK9" s="222"/>
      <c r="KEL9" s="222"/>
      <c r="KEM9" s="222"/>
      <c r="KEN9" s="222"/>
      <c r="KEO9" s="222"/>
      <c r="KEP9" s="222"/>
      <c r="KEQ9" s="222"/>
      <c r="KER9" s="222"/>
      <c r="KES9" s="222"/>
      <c r="KET9" s="222"/>
      <c r="KEU9" s="222"/>
      <c r="KEV9" s="222"/>
      <c r="KEW9" s="222"/>
      <c r="KEX9" s="222"/>
      <c r="KEY9" s="222"/>
      <c r="KEZ9" s="222"/>
      <c r="KFA9" s="222"/>
      <c r="KFB9" s="222"/>
      <c r="KFC9" s="222"/>
      <c r="KFD9" s="222"/>
      <c r="KFE9" s="222"/>
      <c r="KFF9" s="222"/>
      <c r="KFG9" s="222"/>
      <c r="KFH9" s="222"/>
      <c r="KFI9" s="222"/>
      <c r="KFJ9" s="222"/>
      <c r="KFK9" s="222"/>
      <c r="KFL9" s="222"/>
      <c r="KFM9" s="222"/>
      <c r="KFN9" s="222"/>
      <c r="KFO9" s="222"/>
      <c r="KFP9" s="222"/>
      <c r="KFQ9" s="222"/>
      <c r="KFR9" s="222"/>
      <c r="KFS9" s="222"/>
      <c r="KFT9" s="222"/>
      <c r="KFU9" s="222"/>
      <c r="KFV9" s="222"/>
      <c r="KFW9" s="222"/>
      <c r="KFX9" s="222"/>
      <c r="KFY9" s="222"/>
      <c r="KFZ9" s="222"/>
      <c r="KGA9" s="222"/>
      <c r="KGB9" s="222"/>
      <c r="KGC9" s="222"/>
      <c r="KGD9" s="222"/>
      <c r="KGE9" s="222"/>
      <c r="KGF9" s="222"/>
      <c r="KGG9" s="222"/>
      <c r="KGH9" s="222"/>
      <c r="KGI9" s="222"/>
      <c r="KGJ9" s="222"/>
      <c r="KGK9" s="222"/>
      <c r="KGL9" s="222"/>
      <c r="KGM9" s="222"/>
      <c r="KGN9" s="222"/>
      <c r="KGO9" s="222"/>
      <c r="KGP9" s="222"/>
      <c r="KGQ9" s="222"/>
      <c r="KGR9" s="222"/>
      <c r="KGS9" s="222"/>
      <c r="KGT9" s="222"/>
      <c r="KGU9" s="222"/>
      <c r="KGV9" s="222"/>
      <c r="KGW9" s="222"/>
      <c r="KGX9" s="222"/>
      <c r="KGY9" s="222"/>
      <c r="KGZ9" s="222"/>
      <c r="KHA9" s="222"/>
      <c r="KHB9" s="222"/>
      <c r="KHC9" s="222"/>
      <c r="KHD9" s="222"/>
      <c r="KHE9" s="222"/>
      <c r="KHF9" s="222"/>
      <c r="KHG9" s="222"/>
      <c r="KHH9" s="222"/>
      <c r="KHI9" s="222"/>
      <c r="KHJ9" s="222"/>
      <c r="KHK9" s="222"/>
      <c r="KHL9" s="222"/>
      <c r="KHM9" s="222"/>
      <c r="KHN9" s="222"/>
      <c r="KHO9" s="222"/>
      <c r="KHP9" s="222"/>
      <c r="KHQ9" s="222"/>
      <c r="KHR9" s="222"/>
      <c r="KHS9" s="222"/>
      <c r="KHT9" s="222"/>
      <c r="KHU9" s="222"/>
      <c r="KHV9" s="222"/>
      <c r="KHW9" s="222"/>
      <c r="KHX9" s="222"/>
      <c r="KHY9" s="222"/>
      <c r="KHZ9" s="222"/>
      <c r="KIA9" s="222"/>
      <c r="KIB9" s="222"/>
      <c r="KIC9" s="222"/>
      <c r="KID9" s="222"/>
      <c r="KIE9" s="222"/>
      <c r="KIF9" s="222"/>
      <c r="KIG9" s="222"/>
      <c r="KIH9" s="222"/>
      <c r="KII9" s="222"/>
      <c r="KIJ9" s="222"/>
      <c r="KIK9" s="222"/>
      <c r="KIL9" s="222"/>
      <c r="KIM9" s="222"/>
      <c r="KIN9" s="222"/>
      <c r="KIO9" s="222"/>
      <c r="KIP9" s="222"/>
      <c r="KIQ9" s="222"/>
      <c r="KIR9" s="222"/>
      <c r="KIS9" s="222"/>
      <c r="KIT9" s="222"/>
      <c r="KIU9" s="222"/>
      <c r="KIV9" s="222"/>
      <c r="KIW9" s="222"/>
      <c r="KIX9" s="222"/>
      <c r="KIY9" s="222"/>
      <c r="KIZ9" s="222"/>
      <c r="KJA9" s="222"/>
      <c r="KJB9" s="222"/>
      <c r="KJC9" s="222"/>
      <c r="KJD9" s="222"/>
      <c r="KJE9" s="222"/>
      <c r="KJF9" s="222"/>
      <c r="KJG9" s="222"/>
      <c r="KJH9" s="222"/>
      <c r="KJI9" s="222"/>
      <c r="KJJ9" s="222"/>
      <c r="KJK9" s="222"/>
      <c r="KJL9" s="222"/>
      <c r="KJM9" s="222"/>
      <c r="KJN9" s="222"/>
      <c r="KJO9" s="222"/>
      <c r="KJP9" s="222"/>
      <c r="KJQ9" s="222"/>
      <c r="KJR9" s="222"/>
      <c r="KJS9" s="222"/>
      <c r="KJT9" s="222"/>
      <c r="KJU9" s="222"/>
      <c r="KJV9" s="222"/>
      <c r="KJW9" s="222"/>
      <c r="KJX9" s="222"/>
      <c r="KJY9" s="222"/>
      <c r="KJZ9" s="222"/>
      <c r="KKA9" s="222"/>
      <c r="KKB9" s="222"/>
      <c r="KKC9" s="222"/>
      <c r="KKD9" s="222"/>
      <c r="KKE9" s="222"/>
      <c r="KKF9" s="222"/>
      <c r="KKG9" s="222"/>
      <c r="KKH9" s="222"/>
      <c r="KKI9" s="222"/>
      <c r="KKJ9" s="222"/>
      <c r="KKK9" s="222"/>
      <c r="KKL9" s="222"/>
      <c r="KKM9" s="222"/>
      <c r="KKN9" s="222"/>
      <c r="KKO9" s="222"/>
      <c r="KKP9" s="222"/>
      <c r="KKQ9" s="222"/>
      <c r="KKR9" s="222"/>
      <c r="KKS9" s="222"/>
      <c r="KKT9" s="222"/>
      <c r="KKU9" s="222"/>
      <c r="KKV9" s="222"/>
      <c r="KKW9" s="222"/>
      <c r="KKX9" s="222"/>
      <c r="KKY9" s="222"/>
      <c r="KKZ9" s="222"/>
      <c r="KLA9" s="222"/>
      <c r="KLB9" s="222"/>
      <c r="KLC9" s="222"/>
      <c r="KLD9" s="222"/>
      <c r="KLE9" s="222"/>
      <c r="KLF9" s="222"/>
      <c r="KLG9" s="222"/>
      <c r="KLH9" s="222"/>
      <c r="KLI9" s="222"/>
      <c r="KLJ9" s="222"/>
      <c r="KLK9" s="222"/>
      <c r="KLL9" s="222"/>
      <c r="KLM9" s="222"/>
      <c r="KLN9" s="222"/>
      <c r="KLO9" s="222"/>
      <c r="KLP9" s="222"/>
      <c r="KLQ9" s="222"/>
      <c r="KLR9" s="222"/>
      <c r="KLS9" s="222"/>
      <c r="KLT9" s="222"/>
      <c r="KLU9" s="222"/>
      <c r="KLV9" s="222"/>
      <c r="KLW9" s="222"/>
      <c r="KLX9" s="222"/>
      <c r="KLY9" s="222"/>
      <c r="KLZ9" s="222"/>
      <c r="KMA9" s="222"/>
      <c r="KMB9" s="222"/>
      <c r="KMC9" s="222"/>
      <c r="KMD9" s="222"/>
      <c r="KME9" s="222"/>
      <c r="KMF9" s="222"/>
      <c r="KMG9" s="222"/>
      <c r="KMH9" s="222"/>
      <c r="KMI9" s="222"/>
      <c r="KMJ9" s="222"/>
      <c r="KMK9" s="222"/>
      <c r="KML9" s="222"/>
      <c r="KMM9" s="222"/>
      <c r="KMN9" s="222"/>
      <c r="KMO9" s="222"/>
      <c r="KMP9" s="222"/>
      <c r="KMQ9" s="222"/>
      <c r="KMR9" s="222"/>
      <c r="KMS9" s="222"/>
      <c r="KMT9" s="222"/>
      <c r="KMU9" s="222"/>
      <c r="KMV9" s="222"/>
      <c r="KMW9" s="222"/>
      <c r="KMX9" s="222"/>
      <c r="KMY9" s="222"/>
      <c r="KMZ9" s="222"/>
      <c r="KNA9" s="222"/>
      <c r="KNB9" s="222"/>
      <c r="KNC9" s="222"/>
      <c r="KND9" s="222"/>
      <c r="KNE9" s="222"/>
      <c r="KNF9" s="222"/>
      <c r="KNG9" s="222"/>
      <c r="KNH9" s="222"/>
      <c r="KNI9" s="222"/>
      <c r="KNJ9" s="222"/>
      <c r="KNK9" s="222"/>
      <c r="KNL9" s="222"/>
      <c r="KNM9" s="222"/>
      <c r="KNN9" s="222"/>
      <c r="KNO9" s="222"/>
      <c r="KNP9" s="222"/>
      <c r="KNQ9" s="222"/>
      <c r="KNR9" s="222"/>
      <c r="KNS9" s="222"/>
      <c r="KNT9" s="222"/>
      <c r="KNU9" s="222"/>
      <c r="KNV9" s="222"/>
      <c r="KNW9" s="222"/>
      <c r="KNX9" s="222"/>
      <c r="KNY9" s="222"/>
      <c r="KNZ9" s="222"/>
      <c r="KOA9" s="222"/>
      <c r="KOB9" s="222"/>
      <c r="KOC9" s="222"/>
      <c r="KOD9" s="222"/>
      <c r="KOE9" s="222"/>
      <c r="KOF9" s="222"/>
      <c r="KOG9" s="222"/>
      <c r="KOH9" s="222"/>
      <c r="KOI9" s="222"/>
      <c r="KOJ9" s="222"/>
      <c r="KOK9" s="222"/>
      <c r="KOL9" s="222"/>
      <c r="KOM9" s="222"/>
      <c r="KON9" s="222"/>
      <c r="KOO9" s="222"/>
      <c r="KOP9" s="222"/>
      <c r="KOQ9" s="222"/>
      <c r="KOR9" s="222"/>
      <c r="KOS9" s="222"/>
      <c r="KOT9" s="222"/>
      <c r="KOU9" s="222"/>
      <c r="KOV9" s="222"/>
      <c r="KOW9" s="222"/>
      <c r="KOX9" s="222"/>
      <c r="KOY9" s="222"/>
      <c r="KOZ9" s="222"/>
      <c r="KPA9" s="222"/>
      <c r="KPB9" s="222"/>
      <c r="KPC9" s="222"/>
      <c r="KPD9" s="222"/>
      <c r="KPE9" s="222"/>
      <c r="KPF9" s="222"/>
      <c r="KPG9" s="222"/>
      <c r="KPH9" s="222"/>
      <c r="KPI9" s="222"/>
      <c r="KPJ9" s="222"/>
      <c r="KPK9" s="222"/>
      <c r="KPL9" s="222"/>
      <c r="KPM9" s="222"/>
      <c r="KPN9" s="222"/>
      <c r="KPO9" s="222"/>
      <c r="KPP9" s="222"/>
      <c r="KPQ9" s="222"/>
      <c r="KPR9" s="222"/>
      <c r="KPS9" s="222"/>
      <c r="KPT9" s="222"/>
      <c r="KPU9" s="222"/>
      <c r="KPV9" s="222"/>
      <c r="KPW9" s="222"/>
      <c r="KPX9" s="222"/>
      <c r="KPY9" s="222"/>
      <c r="KPZ9" s="222"/>
      <c r="KQA9" s="222"/>
      <c r="KQB9" s="222"/>
      <c r="KQC9" s="222"/>
      <c r="KQD9" s="222"/>
      <c r="KQE9" s="222"/>
      <c r="KQF9" s="222"/>
      <c r="KQG9" s="222"/>
      <c r="KQH9" s="222"/>
      <c r="KQI9" s="222"/>
      <c r="KQJ9" s="222"/>
      <c r="KQK9" s="222"/>
      <c r="KQL9" s="222"/>
      <c r="KQM9" s="222"/>
      <c r="KQN9" s="222"/>
      <c r="KQO9" s="222"/>
      <c r="KQP9" s="222"/>
      <c r="KQQ9" s="222"/>
      <c r="KQR9" s="222"/>
      <c r="KQS9" s="222"/>
      <c r="KQT9" s="222"/>
      <c r="KQU9" s="222"/>
      <c r="KQV9" s="222"/>
      <c r="KQW9" s="222"/>
      <c r="KQX9" s="222"/>
      <c r="KQY9" s="222"/>
      <c r="KQZ9" s="222"/>
      <c r="KRA9" s="222"/>
      <c r="KRB9" s="222"/>
      <c r="KRC9" s="222"/>
      <c r="KRD9" s="222"/>
      <c r="KRE9" s="222"/>
      <c r="KRF9" s="222"/>
      <c r="KRG9" s="222"/>
      <c r="KRH9" s="222"/>
      <c r="KRI9" s="222"/>
      <c r="KRJ9" s="222"/>
      <c r="KRK9" s="222"/>
      <c r="KRL9" s="222"/>
      <c r="KRM9" s="222"/>
      <c r="KRN9" s="222"/>
      <c r="KRO9" s="222"/>
      <c r="KRP9" s="222"/>
      <c r="KRQ9" s="222"/>
      <c r="KRR9" s="222"/>
      <c r="KRS9" s="222"/>
      <c r="KRT9" s="222"/>
      <c r="KRU9" s="222"/>
      <c r="KRV9" s="222"/>
      <c r="KRW9" s="222"/>
      <c r="KRX9" s="222"/>
      <c r="KRY9" s="222"/>
      <c r="KRZ9" s="222"/>
      <c r="KSA9" s="222"/>
      <c r="KSB9" s="222"/>
      <c r="KSC9" s="222"/>
      <c r="KSD9" s="222"/>
      <c r="KSE9" s="222"/>
      <c r="KSF9" s="222"/>
      <c r="KSG9" s="222"/>
      <c r="KSH9" s="222"/>
      <c r="KSI9" s="222"/>
      <c r="KSJ9" s="222"/>
      <c r="KSK9" s="222"/>
      <c r="KSL9" s="222"/>
      <c r="KSM9" s="222"/>
      <c r="KSN9" s="222"/>
      <c r="KSO9" s="222"/>
      <c r="KSP9" s="222"/>
      <c r="KSQ9" s="222"/>
      <c r="KSR9" s="222"/>
      <c r="KSS9" s="222"/>
      <c r="KST9" s="222"/>
      <c r="KSU9" s="222"/>
      <c r="KSV9" s="222"/>
      <c r="KSW9" s="222"/>
      <c r="KSX9" s="222"/>
      <c r="KSY9" s="222"/>
      <c r="KSZ9" s="222"/>
      <c r="KTA9" s="222"/>
      <c r="KTB9" s="222"/>
      <c r="KTC9" s="222"/>
      <c r="KTD9" s="222"/>
      <c r="KTE9" s="222"/>
      <c r="KTF9" s="222"/>
      <c r="KTG9" s="222"/>
      <c r="KTH9" s="222"/>
      <c r="KTI9" s="222"/>
      <c r="KTJ9" s="222"/>
      <c r="KTK9" s="222"/>
      <c r="KTL9" s="222"/>
      <c r="KTM9" s="222"/>
      <c r="KTN9" s="222"/>
      <c r="KTO9" s="222"/>
      <c r="KTP9" s="222"/>
      <c r="KTQ9" s="222"/>
      <c r="KTR9" s="222"/>
      <c r="KTS9" s="222"/>
      <c r="KTT9" s="222"/>
      <c r="KTU9" s="222"/>
      <c r="KTV9" s="222"/>
      <c r="KTW9" s="222"/>
      <c r="KTX9" s="222"/>
      <c r="KTY9" s="222"/>
      <c r="KTZ9" s="222"/>
      <c r="KUA9" s="222"/>
      <c r="KUB9" s="222"/>
      <c r="KUC9" s="222"/>
      <c r="KUD9" s="222"/>
      <c r="KUE9" s="222"/>
      <c r="KUF9" s="222"/>
      <c r="KUG9" s="222"/>
      <c r="KUH9" s="222"/>
      <c r="KUI9" s="222"/>
      <c r="KUJ9" s="222"/>
      <c r="KUK9" s="222"/>
      <c r="KUL9" s="222"/>
      <c r="KUM9" s="222"/>
      <c r="KUN9" s="222"/>
      <c r="KUO9" s="222"/>
      <c r="KUP9" s="222"/>
      <c r="KUQ9" s="222"/>
      <c r="KUR9" s="222"/>
      <c r="KUS9" s="222"/>
      <c r="KUT9" s="222"/>
      <c r="KUU9" s="222"/>
      <c r="KUV9" s="222"/>
      <c r="KUW9" s="222"/>
      <c r="KUX9" s="222"/>
      <c r="KUY9" s="222"/>
      <c r="KUZ9" s="222"/>
      <c r="KVA9" s="222"/>
      <c r="KVB9" s="222"/>
      <c r="KVC9" s="222"/>
      <c r="KVD9" s="222"/>
      <c r="KVE9" s="222"/>
      <c r="KVF9" s="222"/>
      <c r="KVG9" s="222"/>
      <c r="KVH9" s="222"/>
      <c r="KVI9" s="222"/>
      <c r="KVJ9" s="222"/>
      <c r="KVK9" s="222"/>
      <c r="KVL9" s="222"/>
      <c r="KVM9" s="222"/>
      <c r="KVN9" s="222"/>
      <c r="KVO9" s="222"/>
      <c r="KVP9" s="222"/>
      <c r="KVQ9" s="222"/>
      <c r="KVR9" s="222"/>
      <c r="KVS9" s="222"/>
      <c r="KVT9" s="222"/>
      <c r="KVU9" s="222"/>
      <c r="KVV9" s="222"/>
      <c r="KVW9" s="222"/>
      <c r="KVX9" s="222"/>
      <c r="KVY9" s="222"/>
      <c r="KVZ9" s="222"/>
      <c r="KWA9" s="222"/>
      <c r="KWB9" s="222"/>
      <c r="KWC9" s="222"/>
      <c r="KWD9" s="222"/>
      <c r="KWE9" s="222"/>
      <c r="KWF9" s="222"/>
      <c r="KWG9" s="222"/>
      <c r="KWH9" s="222"/>
      <c r="KWI9" s="222"/>
      <c r="KWJ9" s="222"/>
      <c r="KWK9" s="222"/>
      <c r="KWL9" s="222"/>
      <c r="KWM9" s="222"/>
      <c r="KWN9" s="222"/>
      <c r="KWO9" s="222"/>
      <c r="KWP9" s="222"/>
      <c r="KWQ9" s="222"/>
      <c r="KWR9" s="222"/>
      <c r="KWS9" s="222"/>
      <c r="KWT9" s="222"/>
      <c r="KWU9" s="222"/>
      <c r="KWV9" s="222"/>
      <c r="KWW9" s="222"/>
      <c r="KWX9" s="222"/>
      <c r="KWY9" s="222"/>
      <c r="KWZ9" s="222"/>
      <c r="KXA9" s="222"/>
      <c r="KXB9" s="222"/>
      <c r="KXC9" s="222"/>
      <c r="KXD9" s="222"/>
      <c r="KXE9" s="222"/>
      <c r="KXF9" s="222"/>
      <c r="KXG9" s="222"/>
      <c r="KXH9" s="222"/>
      <c r="KXI9" s="222"/>
      <c r="KXJ9" s="222"/>
      <c r="KXK9" s="222"/>
      <c r="KXL9" s="222"/>
      <c r="KXM9" s="222"/>
      <c r="KXN9" s="222"/>
      <c r="KXO9" s="222"/>
      <c r="KXP9" s="222"/>
      <c r="KXQ9" s="222"/>
      <c r="KXR9" s="222"/>
      <c r="KXS9" s="222"/>
      <c r="KXT9" s="222"/>
      <c r="KXU9" s="222"/>
      <c r="KXV9" s="222"/>
      <c r="KXW9" s="222"/>
      <c r="KXX9" s="222"/>
      <c r="KXY9" s="222"/>
      <c r="KXZ9" s="222"/>
      <c r="KYA9" s="222"/>
      <c r="KYB9" s="222"/>
      <c r="KYC9" s="222"/>
      <c r="KYD9" s="222"/>
      <c r="KYE9" s="222"/>
      <c r="KYF9" s="222"/>
      <c r="KYG9" s="222"/>
      <c r="KYH9" s="222"/>
      <c r="KYI9" s="222"/>
      <c r="KYJ9" s="222"/>
      <c r="KYK9" s="222"/>
      <c r="KYL9" s="222"/>
      <c r="KYM9" s="222"/>
      <c r="KYN9" s="222"/>
      <c r="KYO9" s="222"/>
      <c r="KYP9" s="222"/>
      <c r="KYQ9" s="222"/>
      <c r="KYR9" s="222"/>
      <c r="KYS9" s="222"/>
      <c r="KYT9" s="222"/>
      <c r="KYU9" s="222"/>
      <c r="KYV9" s="222"/>
      <c r="KYW9" s="222"/>
      <c r="KYX9" s="222"/>
      <c r="KYY9" s="222"/>
      <c r="KYZ9" s="222"/>
      <c r="KZA9" s="222"/>
      <c r="KZB9" s="222"/>
      <c r="KZC9" s="222"/>
      <c r="KZD9" s="222"/>
      <c r="KZE9" s="222"/>
      <c r="KZF9" s="222"/>
      <c r="KZG9" s="222"/>
      <c r="KZH9" s="222"/>
      <c r="KZI9" s="222"/>
      <c r="KZJ9" s="222"/>
      <c r="KZK9" s="222"/>
      <c r="KZL9" s="222"/>
      <c r="KZM9" s="222"/>
      <c r="KZN9" s="222"/>
      <c r="KZO9" s="222"/>
      <c r="KZP9" s="222"/>
      <c r="KZQ9" s="222"/>
      <c r="KZR9" s="222"/>
      <c r="KZS9" s="222"/>
      <c r="KZT9" s="222"/>
      <c r="KZU9" s="222"/>
      <c r="KZV9" s="222"/>
      <c r="KZW9" s="222"/>
      <c r="KZX9" s="222"/>
      <c r="KZY9" s="222"/>
      <c r="KZZ9" s="222"/>
      <c r="LAA9" s="222"/>
      <c r="LAB9" s="222"/>
      <c r="LAC9" s="222"/>
      <c r="LAD9" s="222"/>
      <c r="LAE9" s="222"/>
      <c r="LAF9" s="222"/>
      <c r="LAG9" s="222"/>
      <c r="LAH9" s="222"/>
      <c r="LAI9" s="222"/>
      <c r="LAJ9" s="222"/>
      <c r="LAK9" s="222"/>
      <c r="LAL9" s="222"/>
      <c r="LAM9" s="222"/>
      <c r="LAN9" s="222"/>
      <c r="LAO9" s="222"/>
      <c r="LAP9" s="222"/>
      <c r="LAQ9" s="222"/>
      <c r="LAR9" s="222"/>
      <c r="LAS9" s="222"/>
      <c r="LAT9" s="222"/>
      <c r="LAU9" s="222"/>
      <c r="LAV9" s="222"/>
      <c r="LAW9" s="222"/>
      <c r="LAX9" s="222"/>
      <c r="LAY9" s="222"/>
      <c r="LAZ9" s="222"/>
      <c r="LBA9" s="222"/>
      <c r="LBB9" s="222"/>
      <c r="LBC9" s="222"/>
      <c r="LBD9" s="222"/>
      <c r="LBE9" s="222"/>
      <c r="LBF9" s="222"/>
      <c r="LBG9" s="222"/>
      <c r="LBH9" s="222"/>
      <c r="LBI9" s="222"/>
      <c r="LBJ9" s="222"/>
      <c r="LBK9" s="222"/>
      <c r="LBL9" s="222"/>
      <c r="LBM9" s="222"/>
      <c r="LBN9" s="222"/>
      <c r="LBO9" s="222"/>
      <c r="LBP9" s="222"/>
      <c r="LBQ9" s="222"/>
      <c r="LBR9" s="222"/>
      <c r="LBS9" s="222"/>
      <c r="LBT9" s="222"/>
      <c r="LBU9" s="222"/>
      <c r="LBV9" s="222"/>
      <c r="LBW9" s="222"/>
      <c r="LBX9" s="222"/>
      <c r="LBY9" s="222"/>
      <c r="LBZ9" s="222"/>
      <c r="LCA9" s="222"/>
      <c r="LCB9" s="222"/>
      <c r="LCC9" s="222"/>
      <c r="LCD9" s="222"/>
      <c r="LCE9" s="222"/>
      <c r="LCF9" s="222"/>
      <c r="LCG9" s="222"/>
      <c r="LCH9" s="222"/>
      <c r="LCI9" s="222"/>
      <c r="LCJ9" s="222"/>
      <c r="LCK9" s="222"/>
      <c r="LCL9" s="222"/>
      <c r="LCM9" s="222"/>
      <c r="LCN9" s="222"/>
      <c r="LCO9" s="222"/>
      <c r="LCP9" s="222"/>
      <c r="LCQ9" s="222"/>
      <c r="LCR9" s="222"/>
      <c r="LCS9" s="222"/>
      <c r="LCT9" s="222"/>
      <c r="LCU9" s="222"/>
      <c r="LCV9" s="222"/>
      <c r="LCW9" s="222"/>
      <c r="LCX9" s="222"/>
      <c r="LCY9" s="222"/>
      <c r="LCZ9" s="222"/>
      <c r="LDA9" s="222"/>
      <c r="LDB9" s="222"/>
      <c r="LDC9" s="222"/>
      <c r="LDD9" s="222"/>
      <c r="LDE9" s="222"/>
      <c r="LDF9" s="222"/>
      <c r="LDG9" s="222"/>
      <c r="LDH9" s="222"/>
      <c r="LDI9" s="222"/>
      <c r="LDJ9" s="222"/>
      <c r="LDK9" s="222"/>
      <c r="LDL9" s="222"/>
      <c r="LDM9" s="222"/>
      <c r="LDN9" s="222"/>
      <c r="LDO9" s="222"/>
      <c r="LDP9" s="222"/>
      <c r="LDQ9" s="222"/>
      <c r="LDR9" s="222"/>
      <c r="LDS9" s="222"/>
      <c r="LDT9" s="222"/>
      <c r="LDU9" s="222"/>
      <c r="LDV9" s="222"/>
      <c r="LDW9" s="222"/>
      <c r="LDX9" s="222"/>
      <c r="LDY9" s="222"/>
      <c r="LDZ9" s="222"/>
      <c r="LEA9" s="222"/>
      <c r="LEB9" s="222"/>
      <c r="LEC9" s="222"/>
      <c r="LED9" s="222"/>
      <c r="LEE9" s="222"/>
      <c r="LEF9" s="222"/>
      <c r="LEG9" s="222"/>
      <c r="LEH9" s="222"/>
      <c r="LEI9" s="222"/>
      <c r="LEJ9" s="222"/>
      <c r="LEK9" s="222"/>
      <c r="LEL9" s="222"/>
      <c r="LEM9" s="222"/>
      <c r="LEN9" s="222"/>
      <c r="LEO9" s="222"/>
      <c r="LEP9" s="222"/>
      <c r="LEQ9" s="222"/>
      <c r="LER9" s="222"/>
      <c r="LES9" s="222"/>
      <c r="LET9" s="222"/>
      <c r="LEU9" s="222"/>
      <c r="LEV9" s="222"/>
      <c r="LEW9" s="222"/>
      <c r="LEX9" s="222"/>
      <c r="LEY9" s="222"/>
      <c r="LEZ9" s="222"/>
      <c r="LFA9" s="222"/>
      <c r="LFB9" s="222"/>
      <c r="LFC9" s="222"/>
      <c r="LFD9" s="222"/>
      <c r="LFE9" s="222"/>
      <c r="LFF9" s="222"/>
      <c r="LFG9" s="222"/>
      <c r="LFH9" s="222"/>
      <c r="LFI9" s="222"/>
      <c r="LFJ9" s="222"/>
      <c r="LFK9" s="222"/>
      <c r="LFL9" s="222"/>
      <c r="LFM9" s="222"/>
      <c r="LFN9" s="222"/>
      <c r="LFO9" s="222"/>
      <c r="LFP9" s="222"/>
      <c r="LFQ9" s="222"/>
      <c r="LFR9" s="222"/>
      <c r="LFS9" s="222"/>
      <c r="LFT9" s="222"/>
      <c r="LFU9" s="222"/>
      <c r="LFV9" s="222"/>
      <c r="LFW9" s="222"/>
      <c r="LFX9" s="222"/>
      <c r="LFY9" s="222"/>
      <c r="LFZ9" s="222"/>
      <c r="LGA9" s="222"/>
      <c r="LGB9" s="222"/>
      <c r="LGC9" s="222"/>
      <c r="LGD9" s="222"/>
      <c r="LGE9" s="222"/>
      <c r="LGF9" s="222"/>
      <c r="LGG9" s="222"/>
      <c r="LGH9" s="222"/>
      <c r="LGI9" s="222"/>
      <c r="LGJ9" s="222"/>
      <c r="LGK9" s="222"/>
      <c r="LGL9" s="222"/>
      <c r="LGM9" s="222"/>
      <c r="LGN9" s="222"/>
      <c r="LGO9" s="222"/>
      <c r="LGP9" s="222"/>
      <c r="LGQ9" s="222"/>
      <c r="LGR9" s="222"/>
      <c r="LGS9" s="222"/>
      <c r="LGT9" s="222"/>
      <c r="LGU9" s="222"/>
      <c r="LGV9" s="222"/>
      <c r="LGW9" s="222"/>
      <c r="LGX9" s="222"/>
      <c r="LGY9" s="222"/>
      <c r="LGZ9" s="222"/>
      <c r="LHA9" s="222"/>
      <c r="LHB9" s="222"/>
      <c r="LHC9" s="222"/>
      <c r="LHD9" s="222"/>
      <c r="LHE9" s="222"/>
      <c r="LHF9" s="222"/>
      <c r="LHG9" s="222"/>
      <c r="LHH9" s="222"/>
      <c r="LHI9" s="222"/>
      <c r="LHJ9" s="222"/>
      <c r="LHK9" s="222"/>
      <c r="LHL9" s="222"/>
      <c r="LHM9" s="222"/>
      <c r="LHN9" s="222"/>
      <c r="LHO9" s="222"/>
      <c r="LHP9" s="222"/>
      <c r="LHQ9" s="222"/>
      <c r="LHR9" s="222"/>
      <c r="LHS9" s="222"/>
      <c r="LHT9" s="222"/>
      <c r="LHU9" s="222"/>
      <c r="LHV9" s="222"/>
      <c r="LHW9" s="222"/>
      <c r="LHX9" s="222"/>
      <c r="LHY9" s="222"/>
      <c r="LHZ9" s="222"/>
      <c r="LIA9" s="222"/>
      <c r="LIB9" s="222"/>
      <c r="LIC9" s="222"/>
      <c r="LID9" s="222"/>
      <c r="LIE9" s="222"/>
      <c r="LIF9" s="222"/>
      <c r="LIG9" s="222"/>
      <c r="LIH9" s="222"/>
      <c r="LII9" s="222"/>
      <c r="LIJ9" s="222"/>
      <c r="LIK9" s="222"/>
      <c r="LIL9" s="222"/>
      <c r="LIM9" s="222"/>
      <c r="LIN9" s="222"/>
      <c r="LIO9" s="222"/>
      <c r="LIP9" s="222"/>
      <c r="LIQ9" s="222"/>
      <c r="LIR9" s="222"/>
      <c r="LIS9" s="222"/>
      <c r="LIT9" s="222"/>
      <c r="LIU9" s="222"/>
      <c r="LIV9" s="222"/>
      <c r="LIW9" s="222"/>
      <c r="LIX9" s="222"/>
      <c r="LIY9" s="222"/>
      <c r="LIZ9" s="222"/>
      <c r="LJA9" s="222"/>
      <c r="LJB9" s="222"/>
      <c r="LJC9" s="222"/>
      <c r="LJD9" s="222"/>
      <c r="LJE9" s="222"/>
      <c r="LJF9" s="222"/>
      <c r="LJG9" s="222"/>
      <c r="LJH9" s="222"/>
      <c r="LJI9" s="222"/>
      <c r="LJJ9" s="222"/>
      <c r="LJK9" s="222"/>
      <c r="LJL9" s="222"/>
      <c r="LJM9" s="222"/>
      <c r="LJN9" s="222"/>
      <c r="LJO9" s="222"/>
      <c r="LJP9" s="222"/>
      <c r="LJQ9" s="222"/>
      <c r="LJR9" s="222"/>
      <c r="LJS9" s="222"/>
      <c r="LJT9" s="222"/>
      <c r="LJU9" s="222"/>
      <c r="LJV9" s="222"/>
      <c r="LJW9" s="222"/>
      <c r="LJX9" s="222"/>
      <c r="LJY9" s="222"/>
      <c r="LJZ9" s="222"/>
      <c r="LKA9" s="222"/>
      <c r="LKB9" s="222"/>
      <c r="LKC9" s="222"/>
      <c r="LKD9" s="222"/>
      <c r="LKE9" s="222"/>
      <c r="LKF9" s="222"/>
      <c r="LKG9" s="222"/>
      <c r="LKH9" s="222"/>
      <c r="LKI9" s="222"/>
      <c r="LKJ9" s="222"/>
      <c r="LKK9" s="222"/>
      <c r="LKL9" s="222"/>
      <c r="LKM9" s="222"/>
      <c r="LKN9" s="222"/>
      <c r="LKO9" s="222"/>
      <c r="LKP9" s="222"/>
      <c r="LKQ9" s="222"/>
      <c r="LKR9" s="222"/>
      <c r="LKS9" s="222"/>
      <c r="LKT9" s="222"/>
      <c r="LKU9" s="222"/>
      <c r="LKV9" s="222"/>
      <c r="LKW9" s="222"/>
      <c r="LKX9" s="222"/>
      <c r="LKY9" s="222"/>
      <c r="LKZ9" s="222"/>
      <c r="LLA9" s="222"/>
      <c r="LLB9" s="222"/>
      <c r="LLC9" s="222"/>
      <c r="LLD9" s="222"/>
      <c r="LLE9" s="222"/>
      <c r="LLF9" s="222"/>
      <c r="LLG9" s="222"/>
      <c r="LLH9" s="222"/>
      <c r="LLI9" s="222"/>
      <c r="LLJ9" s="222"/>
      <c r="LLK9" s="222"/>
      <c r="LLL9" s="222"/>
      <c r="LLM9" s="222"/>
      <c r="LLN9" s="222"/>
      <c r="LLO9" s="222"/>
      <c r="LLP9" s="222"/>
      <c r="LLQ9" s="222"/>
      <c r="LLR9" s="222"/>
      <c r="LLS9" s="222"/>
      <c r="LLT9" s="222"/>
      <c r="LLU9" s="222"/>
      <c r="LLV9" s="222"/>
      <c r="LLW9" s="222"/>
      <c r="LLX9" s="222"/>
      <c r="LLY9" s="222"/>
      <c r="LLZ9" s="222"/>
      <c r="LMA9" s="222"/>
      <c r="LMB9" s="222"/>
      <c r="LMC9" s="222"/>
      <c r="LMD9" s="222"/>
      <c r="LME9" s="222"/>
      <c r="LMF9" s="222"/>
      <c r="LMG9" s="222"/>
      <c r="LMH9" s="222"/>
      <c r="LMI9" s="222"/>
      <c r="LMJ9" s="222"/>
      <c r="LMK9" s="222"/>
      <c r="LML9" s="222"/>
      <c r="LMM9" s="222"/>
      <c r="LMN9" s="222"/>
      <c r="LMO9" s="222"/>
      <c r="LMP9" s="222"/>
      <c r="LMQ9" s="222"/>
      <c r="LMR9" s="222"/>
      <c r="LMS9" s="222"/>
      <c r="LMT9" s="222"/>
      <c r="LMU9" s="222"/>
      <c r="LMV9" s="222"/>
      <c r="LMW9" s="222"/>
      <c r="LMX9" s="222"/>
      <c r="LMY9" s="222"/>
      <c r="LMZ9" s="222"/>
      <c r="LNA9" s="222"/>
      <c r="LNB9" s="222"/>
      <c r="LNC9" s="222"/>
      <c r="LND9" s="222"/>
      <c r="LNE9" s="222"/>
      <c r="LNF9" s="222"/>
      <c r="LNG9" s="222"/>
      <c r="LNH9" s="222"/>
      <c r="LNI9" s="222"/>
      <c r="LNJ9" s="222"/>
      <c r="LNK9" s="222"/>
      <c r="LNL9" s="222"/>
      <c r="LNM9" s="222"/>
      <c r="LNN9" s="222"/>
      <c r="LNO9" s="222"/>
      <c r="LNP9" s="222"/>
      <c r="LNQ9" s="222"/>
      <c r="LNR9" s="222"/>
      <c r="LNS9" s="222"/>
      <c r="LNT9" s="222"/>
      <c r="LNU9" s="222"/>
      <c r="LNV9" s="222"/>
      <c r="LNW9" s="222"/>
      <c r="LNX9" s="222"/>
      <c r="LNY9" s="222"/>
      <c r="LNZ9" s="222"/>
      <c r="LOA9" s="222"/>
      <c r="LOB9" s="222"/>
      <c r="LOC9" s="222"/>
      <c r="LOD9" s="222"/>
      <c r="LOE9" s="222"/>
      <c r="LOF9" s="222"/>
      <c r="LOG9" s="222"/>
      <c r="LOH9" s="222"/>
      <c r="LOI9" s="222"/>
      <c r="LOJ9" s="222"/>
      <c r="LOK9" s="222"/>
      <c r="LOL9" s="222"/>
      <c r="LOM9" s="222"/>
      <c r="LON9" s="222"/>
      <c r="LOO9" s="222"/>
      <c r="LOP9" s="222"/>
      <c r="LOQ9" s="222"/>
      <c r="LOR9" s="222"/>
      <c r="LOS9" s="222"/>
      <c r="LOT9" s="222"/>
      <c r="LOU9" s="222"/>
      <c r="LOV9" s="222"/>
      <c r="LOW9" s="222"/>
      <c r="LOX9" s="222"/>
      <c r="LOY9" s="222"/>
      <c r="LOZ9" s="222"/>
      <c r="LPA9" s="222"/>
      <c r="LPB9" s="222"/>
      <c r="LPC9" s="222"/>
      <c r="LPD9" s="222"/>
      <c r="LPE9" s="222"/>
      <c r="LPF9" s="222"/>
      <c r="LPG9" s="222"/>
      <c r="LPH9" s="222"/>
      <c r="LPI9" s="222"/>
      <c r="LPJ9" s="222"/>
      <c r="LPK9" s="222"/>
      <c r="LPL9" s="222"/>
      <c r="LPM9" s="222"/>
      <c r="LPN9" s="222"/>
      <c r="LPO9" s="222"/>
      <c r="LPP9" s="222"/>
      <c r="LPQ9" s="222"/>
      <c r="LPR9" s="222"/>
      <c r="LPS9" s="222"/>
      <c r="LPT9" s="222"/>
      <c r="LPU9" s="222"/>
      <c r="LPV9" s="222"/>
      <c r="LPW9" s="222"/>
      <c r="LPX9" s="222"/>
      <c r="LPY9" s="222"/>
      <c r="LPZ9" s="222"/>
      <c r="LQA9" s="222"/>
      <c r="LQB9" s="222"/>
      <c r="LQC9" s="222"/>
      <c r="LQD9" s="222"/>
      <c r="LQE9" s="222"/>
      <c r="LQF9" s="222"/>
      <c r="LQG9" s="222"/>
      <c r="LQH9" s="222"/>
      <c r="LQI9" s="222"/>
      <c r="LQJ9" s="222"/>
      <c r="LQK9" s="222"/>
      <c r="LQL9" s="222"/>
      <c r="LQM9" s="222"/>
      <c r="LQN9" s="222"/>
      <c r="LQO9" s="222"/>
      <c r="LQP9" s="222"/>
      <c r="LQQ9" s="222"/>
      <c r="LQR9" s="222"/>
      <c r="LQS9" s="222"/>
      <c r="LQT9" s="222"/>
      <c r="LQU9" s="222"/>
      <c r="LQV9" s="222"/>
      <c r="LQW9" s="222"/>
      <c r="LQX9" s="222"/>
      <c r="LQY9" s="222"/>
      <c r="LQZ9" s="222"/>
      <c r="LRA9" s="222"/>
      <c r="LRB9" s="222"/>
      <c r="LRC9" s="222"/>
      <c r="LRD9" s="222"/>
      <c r="LRE9" s="222"/>
      <c r="LRF9" s="222"/>
      <c r="LRG9" s="222"/>
      <c r="LRH9" s="222"/>
      <c r="LRI9" s="222"/>
      <c r="LRJ9" s="222"/>
      <c r="LRK9" s="222"/>
      <c r="LRL9" s="222"/>
      <c r="LRM9" s="222"/>
      <c r="LRN9" s="222"/>
      <c r="LRO9" s="222"/>
      <c r="LRP9" s="222"/>
      <c r="LRQ9" s="222"/>
      <c r="LRR9" s="222"/>
      <c r="LRS9" s="222"/>
      <c r="LRT9" s="222"/>
      <c r="LRU9" s="222"/>
      <c r="LRV9" s="222"/>
      <c r="LRW9" s="222"/>
      <c r="LRX9" s="222"/>
      <c r="LRY9" s="222"/>
      <c r="LRZ9" s="222"/>
      <c r="LSA9" s="222"/>
      <c r="LSB9" s="222"/>
      <c r="LSC9" s="222"/>
      <c r="LSD9" s="222"/>
      <c r="LSE9" s="222"/>
      <c r="LSF9" s="222"/>
      <c r="LSG9" s="222"/>
      <c r="LSH9" s="222"/>
      <c r="LSI9" s="222"/>
      <c r="LSJ9" s="222"/>
      <c r="LSK9" s="222"/>
      <c r="LSL9" s="222"/>
      <c r="LSM9" s="222"/>
      <c r="LSN9" s="222"/>
      <c r="LSO9" s="222"/>
      <c r="LSP9" s="222"/>
      <c r="LSQ9" s="222"/>
      <c r="LSR9" s="222"/>
      <c r="LSS9" s="222"/>
      <c r="LST9" s="222"/>
      <c r="LSU9" s="222"/>
      <c r="LSV9" s="222"/>
      <c r="LSW9" s="222"/>
      <c r="LSX9" s="222"/>
      <c r="LSY9" s="222"/>
      <c r="LSZ9" s="222"/>
      <c r="LTA9" s="222"/>
      <c r="LTB9" s="222"/>
      <c r="LTC9" s="222"/>
      <c r="LTD9" s="222"/>
      <c r="LTE9" s="222"/>
      <c r="LTF9" s="222"/>
      <c r="LTG9" s="222"/>
      <c r="LTH9" s="222"/>
      <c r="LTI9" s="222"/>
      <c r="LTJ9" s="222"/>
      <c r="LTK9" s="222"/>
      <c r="LTL9" s="222"/>
      <c r="LTM9" s="222"/>
      <c r="LTN9" s="222"/>
      <c r="LTO9" s="222"/>
      <c r="LTP9" s="222"/>
      <c r="LTQ9" s="222"/>
      <c r="LTR9" s="222"/>
      <c r="LTS9" s="222"/>
      <c r="LTT9" s="222"/>
      <c r="LTU9" s="222"/>
      <c r="LTV9" s="222"/>
      <c r="LTW9" s="222"/>
      <c r="LTX9" s="222"/>
      <c r="LTY9" s="222"/>
      <c r="LTZ9" s="222"/>
      <c r="LUA9" s="222"/>
      <c r="LUB9" s="222"/>
      <c r="LUC9" s="222"/>
      <c r="LUD9" s="222"/>
      <c r="LUE9" s="222"/>
      <c r="LUF9" s="222"/>
      <c r="LUG9" s="222"/>
      <c r="LUH9" s="222"/>
      <c r="LUI9" s="222"/>
      <c r="LUJ9" s="222"/>
      <c r="LUK9" s="222"/>
      <c r="LUL9" s="222"/>
      <c r="LUM9" s="222"/>
      <c r="LUN9" s="222"/>
      <c r="LUO9" s="222"/>
      <c r="LUP9" s="222"/>
      <c r="LUQ9" s="222"/>
      <c r="LUR9" s="222"/>
      <c r="LUS9" s="222"/>
      <c r="LUT9" s="222"/>
      <c r="LUU9" s="222"/>
      <c r="LUV9" s="222"/>
      <c r="LUW9" s="222"/>
      <c r="LUX9" s="222"/>
      <c r="LUY9" s="222"/>
      <c r="LUZ9" s="222"/>
      <c r="LVA9" s="222"/>
      <c r="LVB9" s="222"/>
      <c r="LVC9" s="222"/>
      <c r="LVD9" s="222"/>
      <c r="LVE9" s="222"/>
      <c r="LVF9" s="222"/>
      <c r="LVG9" s="222"/>
      <c r="LVH9" s="222"/>
      <c r="LVI9" s="222"/>
      <c r="LVJ9" s="222"/>
      <c r="LVK9" s="222"/>
      <c r="LVL9" s="222"/>
      <c r="LVM9" s="222"/>
      <c r="LVN9" s="222"/>
      <c r="LVO9" s="222"/>
      <c r="LVP9" s="222"/>
      <c r="LVQ9" s="222"/>
      <c r="LVR9" s="222"/>
      <c r="LVS9" s="222"/>
      <c r="LVT9" s="222"/>
      <c r="LVU9" s="222"/>
      <c r="LVV9" s="222"/>
      <c r="LVW9" s="222"/>
      <c r="LVX9" s="222"/>
      <c r="LVY9" s="222"/>
      <c r="LVZ9" s="222"/>
      <c r="LWA9" s="222"/>
      <c r="LWB9" s="222"/>
      <c r="LWC9" s="222"/>
      <c r="LWD9" s="222"/>
      <c r="LWE9" s="222"/>
      <c r="LWF9" s="222"/>
      <c r="LWG9" s="222"/>
      <c r="LWH9" s="222"/>
      <c r="LWI9" s="222"/>
      <c r="LWJ9" s="222"/>
      <c r="LWK9" s="222"/>
      <c r="LWL9" s="222"/>
      <c r="LWM9" s="222"/>
      <c r="LWN9" s="222"/>
      <c r="LWO9" s="222"/>
      <c r="LWP9" s="222"/>
      <c r="LWQ9" s="222"/>
      <c r="LWR9" s="222"/>
      <c r="LWS9" s="222"/>
      <c r="LWT9" s="222"/>
      <c r="LWU9" s="222"/>
      <c r="LWV9" s="222"/>
      <c r="LWW9" s="222"/>
      <c r="LWX9" s="222"/>
      <c r="LWY9" s="222"/>
      <c r="LWZ9" s="222"/>
      <c r="LXA9" s="222"/>
      <c r="LXB9" s="222"/>
      <c r="LXC9" s="222"/>
      <c r="LXD9" s="222"/>
      <c r="LXE9" s="222"/>
      <c r="LXF9" s="222"/>
      <c r="LXG9" s="222"/>
      <c r="LXH9" s="222"/>
      <c r="LXI9" s="222"/>
      <c r="LXJ9" s="222"/>
      <c r="LXK9" s="222"/>
      <c r="LXL9" s="222"/>
      <c r="LXM9" s="222"/>
      <c r="LXN9" s="222"/>
      <c r="LXO9" s="222"/>
      <c r="LXP9" s="222"/>
      <c r="LXQ9" s="222"/>
      <c r="LXR9" s="222"/>
      <c r="LXS9" s="222"/>
      <c r="LXT9" s="222"/>
      <c r="LXU9" s="222"/>
      <c r="LXV9" s="222"/>
      <c r="LXW9" s="222"/>
      <c r="LXX9" s="222"/>
      <c r="LXY9" s="222"/>
      <c r="LXZ9" s="222"/>
      <c r="LYA9" s="222"/>
      <c r="LYB9" s="222"/>
      <c r="LYC9" s="222"/>
      <c r="LYD9" s="222"/>
      <c r="LYE9" s="222"/>
      <c r="LYF9" s="222"/>
      <c r="LYG9" s="222"/>
      <c r="LYH9" s="222"/>
      <c r="LYI9" s="222"/>
      <c r="LYJ9" s="222"/>
      <c r="LYK9" s="222"/>
      <c r="LYL9" s="222"/>
      <c r="LYM9" s="222"/>
      <c r="LYN9" s="222"/>
      <c r="LYO9" s="222"/>
      <c r="LYP9" s="222"/>
      <c r="LYQ9" s="222"/>
      <c r="LYR9" s="222"/>
      <c r="LYS9" s="222"/>
      <c r="LYT9" s="222"/>
      <c r="LYU9" s="222"/>
      <c r="LYV9" s="222"/>
      <c r="LYW9" s="222"/>
      <c r="LYX9" s="222"/>
      <c r="LYY9" s="222"/>
      <c r="LYZ9" s="222"/>
      <c r="LZA9" s="222"/>
      <c r="LZB9" s="222"/>
      <c r="LZC9" s="222"/>
      <c r="LZD9" s="222"/>
      <c r="LZE9" s="222"/>
      <c r="LZF9" s="222"/>
      <c r="LZG9" s="222"/>
      <c r="LZH9" s="222"/>
      <c r="LZI9" s="222"/>
      <c r="LZJ9" s="222"/>
      <c r="LZK9" s="222"/>
      <c r="LZL9" s="222"/>
      <c r="LZM9" s="222"/>
      <c r="LZN9" s="222"/>
      <c r="LZO9" s="222"/>
      <c r="LZP9" s="222"/>
      <c r="LZQ9" s="222"/>
      <c r="LZR9" s="222"/>
      <c r="LZS9" s="222"/>
      <c r="LZT9" s="222"/>
      <c r="LZU9" s="222"/>
      <c r="LZV9" s="222"/>
      <c r="LZW9" s="222"/>
      <c r="LZX9" s="222"/>
      <c r="LZY9" s="222"/>
      <c r="LZZ9" s="222"/>
      <c r="MAA9" s="222"/>
      <c r="MAB9" s="222"/>
      <c r="MAC9" s="222"/>
      <c r="MAD9" s="222"/>
      <c r="MAE9" s="222"/>
      <c r="MAF9" s="222"/>
      <c r="MAG9" s="222"/>
      <c r="MAH9" s="222"/>
      <c r="MAI9" s="222"/>
      <c r="MAJ9" s="222"/>
      <c r="MAK9" s="222"/>
      <c r="MAL9" s="222"/>
      <c r="MAM9" s="222"/>
      <c r="MAN9" s="222"/>
      <c r="MAO9" s="222"/>
      <c r="MAP9" s="222"/>
      <c r="MAQ9" s="222"/>
      <c r="MAR9" s="222"/>
      <c r="MAS9" s="222"/>
      <c r="MAT9" s="222"/>
      <c r="MAU9" s="222"/>
      <c r="MAV9" s="222"/>
      <c r="MAW9" s="222"/>
      <c r="MAX9" s="222"/>
      <c r="MAY9" s="222"/>
      <c r="MAZ9" s="222"/>
      <c r="MBA9" s="222"/>
      <c r="MBB9" s="222"/>
      <c r="MBC9" s="222"/>
      <c r="MBD9" s="222"/>
      <c r="MBE9" s="222"/>
      <c r="MBF9" s="222"/>
      <c r="MBG9" s="222"/>
      <c r="MBH9" s="222"/>
      <c r="MBI9" s="222"/>
      <c r="MBJ9" s="222"/>
      <c r="MBK9" s="222"/>
      <c r="MBL9" s="222"/>
      <c r="MBM9" s="222"/>
      <c r="MBN9" s="222"/>
      <c r="MBO9" s="222"/>
      <c r="MBP9" s="222"/>
      <c r="MBQ9" s="222"/>
      <c r="MBR9" s="222"/>
      <c r="MBS9" s="222"/>
      <c r="MBT9" s="222"/>
      <c r="MBU9" s="222"/>
      <c r="MBV9" s="222"/>
      <c r="MBW9" s="222"/>
      <c r="MBX9" s="222"/>
      <c r="MBY9" s="222"/>
      <c r="MBZ9" s="222"/>
      <c r="MCA9" s="222"/>
      <c r="MCB9" s="222"/>
      <c r="MCC9" s="222"/>
      <c r="MCD9" s="222"/>
      <c r="MCE9" s="222"/>
      <c r="MCF9" s="222"/>
      <c r="MCG9" s="222"/>
      <c r="MCH9" s="222"/>
      <c r="MCI9" s="222"/>
      <c r="MCJ9" s="222"/>
      <c r="MCK9" s="222"/>
      <c r="MCL9" s="222"/>
      <c r="MCM9" s="222"/>
      <c r="MCN9" s="222"/>
      <c r="MCO9" s="222"/>
      <c r="MCP9" s="222"/>
      <c r="MCQ9" s="222"/>
      <c r="MCR9" s="222"/>
      <c r="MCS9" s="222"/>
      <c r="MCT9" s="222"/>
      <c r="MCU9" s="222"/>
      <c r="MCV9" s="222"/>
      <c r="MCW9" s="222"/>
      <c r="MCX9" s="222"/>
      <c r="MCY9" s="222"/>
      <c r="MCZ9" s="222"/>
      <c r="MDA9" s="222"/>
      <c r="MDB9" s="222"/>
      <c r="MDC9" s="222"/>
      <c r="MDD9" s="222"/>
      <c r="MDE9" s="222"/>
      <c r="MDF9" s="222"/>
      <c r="MDG9" s="222"/>
      <c r="MDH9" s="222"/>
      <c r="MDI9" s="222"/>
      <c r="MDJ9" s="222"/>
      <c r="MDK9" s="222"/>
      <c r="MDL9" s="222"/>
      <c r="MDM9" s="222"/>
      <c r="MDN9" s="222"/>
      <c r="MDO9" s="222"/>
      <c r="MDP9" s="222"/>
      <c r="MDQ9" s="222"/>
      <c r="MDR9" s="222"/>
      <c r="MDS9" s="222"/>
      <c r="MDT9" s="222"/>
      <c r="MDU9" s="222"/>
      <c r="MDV9" s="222"/>
      <c r="MDW9" s="222"/>
      <c r="MDX9" s="222"/>
      <c r="MDY9" s="222"/>
      <c r="MDZ9" s="222"/>
      <c r="MEA9" s="222"/>
      <c r="MEB9" s="222"/>
      <c r="MEC9" s="222"/>
      <c r="MED9" s="222"/>
      <c r="MEE9" s="222"/>
      <c r="MEF9" s="222"/>
      <c r="MEG9" s="222"/>
      <c r="MEH9" s="222"/>
      <c r="MEI9" s="222"/>
      <c r="MEJ9" s="222"/>
      <c r="MEK9" s="222"/>
      <c r="MEL9" s="222"/>
      <c r="MEM9" s="222"/>
      <c r="MEN9" s="222"/>
      <c r="MEO9" s="222"/>
      <c r="MEP9" s="222"/>
      <c r="MEQ9" s="222"/>
      <c r="MER9" s="222"/>
      <c r="MES9" s="222"/>
      <c r="MET9" s="222"/>
      <c r="MEU9" s="222"/>
      <c r="MEV9" s="222"/>
      <c r="MEW9" s="222"/>
      <c r="MEX9" s="222"/>
      <c r="MEY9" s="222"/>
      <c r="MEZ9" s="222"/>
      <c r="MFA9" s="222"/>
      <c r="MFB9" s="222"/>
      <c r="MFC9" s="222"/>
      <c r="MFD9" s="222"/>
      <c r="MFE9" s="222"/>
      <c r="MFF9" s="222"/>
      <c r="MFG9" s="222"/>
      <c r="MFH9" s="222"/>
      <c r="MFI9" s="222"/>
      <c r="MFJ9" s="222"/>
      <c r="MFK9" s="222"/>
      <c r="MFL9" s="222"/>
      <c r="MFM9" s="222"/>
      <c r="MFN9" s="222"/>
      <c r="MFO9" s="222"/>
      <c r="MFP9" s="222"/>
      <c r="MFQ9" s="222"/>
      <c r="MFR9" s="222"/>
      <c r="MFS9" s="222"/>
      <c r="MFT9" s="222"/>
      <c r="MFU9" s="222"/>
      <c r="MFV9" s="222"/>
      <c r="MFW9" s="222"/>
      <c r="MFX9" s="222"/>
      <c r="MFY9" s="222"/>
      <c r="MFZ9" s="222"/>
      <c r="MGA9" s="222"/>
      <c r="MGB9" s="222"/>
      <c r="MGC9" s="222"/>
      <c r="MGD9" s="222"/>
      <c r="MGE9" s="222"/>
      <c r="MGF9" s="222"/>
      <c r="MGG9" s="222"/>
      <c r="MGH9" s="222"/>
      <c r="MGI9" s="222"/>
      <c r="MGJ9" s="222"/>
      <c r="MGK9" s="222"/>
      <c r="MGL9" s="222"/>
      <c r="MGM9" s="222"/>
      <c r="MGN9" s="222"/>
      <c r="MGO9" s="222"/>
      <c r="MGP9" s="222"/>
      <c r="MGQ9" s="222"/>
      <c r="MGR9" s="222"/>
      <c r="MGS9" s="222"/>
      <c r="MGT9" s="222"/>
      <c r="MGU9" s="222"/>
      <c r="MGV9" s="222"/>
      <c r="MGW9" s="222"/>
      <c r="MGX9" s="222"/>
      <c r="MGY9" s="222"/>
      <c r="MGZ9" s="222"/>
      <c r="MHA9" s="222"/>
      <c r="MHB9" s="222"/>
      <c r="MHC9" s="222"/>
      <c r="MHD9" s="222"/>
      <c r="MHE9" s="222"/>
      <c r="MHF9" s="222"/>
      <c r="MHG9" s="222"/>
      <c r="MHH9" s="222"/>
      <c r="MHI9" s="222"/>
      <c r="MHJ9" s="222"/>
      <c r="MHK9" s="222"/>
      <c r="MHL9" s="222"/>
      <c r="MHM9" s="222"/>
      <c r="MHN9" s="222"/>
      <c r="MHO9" s="222"/>
      <c r="MHP9" s="222"/>
      <c r="MHQ9" s="222"/>
      <c r="MHR9" s="222"/>
      <c r="MHS9" s="222"/>
      <c r="MHT9" s="222"/>
      <c r="MHU9" s="222"/>
      <c r="MHV9" s="222"/>
      <c r="MHW9" s="222"/>
      <c r="MHX9" s="222"/>
      <c r="MHY9" s="222"/>
      <c r="MHZ9" s="222"/>
      <c r="MIA9" s="222"/>
      <c r="MIB9" s="222"/>
      <c r="MIC9" s="222"/>
      <c r="MID9" s="222"/>
      <c r="MIE9" s="222"/>
      <c r="MIF9" s="222"/>
      <c r="MIG9" s="222"/>
      <c r="MIH9" s="222"/>
      <c r="MII9" s="222"/>
      <c r="MIJ9" s="222"/>
      <c r="MIK9" s="222"/>
      <c r="MIL9" s="222"/>
      <c r="MIM9" s="222"/>
      <c r="MIN9" s="222"/>
      <c r="MIO9" s="222"/>
      <c r="MIP9" s="222"/>
      <c r="MIQ9" s="222"/>
      <c r="MIR9" s="222"/>
      <c r="MIS9" s="222"/>
      <c r="MIT9" s="222"/>
      <c r="MIU9" s="222"/>
      <c r="MIV9" s="222"/>
      <c r="MIW9" s="222"/>
      <c r="MIX9" s="222"/>
      <c r="MIY9" s="222"/>
      <c r="MIZ9" s="222"/>
      <c r="MJA9" s="222"/>
      <c r="MJB9" s="222"/>
      <c r="MJC9" s="222"/>
      <c r="MJD9" s="222"/>
      <c r="MJE9" s="222"/>
      <c r="MJF9" s="222"/>
      <c r="MJG9" s="222"/>
      <c r="MJH9" s="222"/>
      <c r="MJI9" s="222"/>
      <c r="MJJ9" s="222"/>
      <c r="MJK9" s="222"/>
      <c r="MJL9" s="222"/>
      <c r="MJM9" s="222"/>
      <c r="MJN9" s="222"/>
      <c r="MJO9" s="222"/>
      <c r="MJP9" s="222"/>
      <c r="MJQ9" s="222"/>
      <c r="MJR9" s="222"/>
      <c r="MJS9" s="222"/>
      <c r="MJT9" s="222"/>
      <c r="MJU9" s="222"/>
      <c r="MJV9" s="222"/>
      <c r="MJW9" s="222"/>
      <c r="MJX9" s="222"/>
      <c r="MJY9" s="222"/>
      <c r="MJZ9" s="222"/>
      <c r="MKA9" s="222"/>
      <c r="MKB9" s="222"/>
      <c r="MKC9" s="222"/>
      <c r="MKD9" s="222"/>
      <c r="MKE9" s="222"/>
      <c r="MKF9" s="222"/>
      <c r="MKG9" s="222"/>
      <c r="MKH9" s="222"/>
      <c r="MKI9" s="222"/>
      <c r="MKJ9" s="222"/>
      <c r="MKK9" s="222"/>
      <c r="MKL9" s="222"/>
      <c r="MKM9" s="222"/>
      <c r="MKN9" s="222"/>
      <c r="MKO9" s="222"/>
      <c r="MKP9" s="222"/>
      <c r="MKQ9" s="222"/>
      <c r="MKR9" s="222"/>
      <c r="MKS9" s="222"/>
      <c r="MKT9" s="222"/>
      <c r="MKU9" s="222"/>
      <c r="MKV9" s="222"/>
      <c r="MKW9" s="222"/>
      <c r="MKX9" s="222"/>
      <c r="MKY9" s="222"/>
      <c r="MKZ9" s="222"/>
      <c r="MLA9" s="222"/>
      <c r="MLB9" s="222"/>
      <c r="MLC9" s="222"/>
      <c r="MLD9" s="222"/>
      <c r="MLE9" s="222"/>
      <c r="MLF9" s="222"/>
      <c r="MLG9" s="222"/>
      <c r="MLH9" s="222"/>
      <c r="MLI9" s="222"/>
      <c r="MLJ9" s="222"/>
      <c r="MLK9" s="222"/>
      <c r="MLL9" s="222"/>
      <c r="MLM9" s="222"/>
      <c r="MLN9" s="222"/>
      <c r="MLO9" s="222"/>
      <c r="MLP9" s="222"/>
      <c r="MLQ9" s="222"/>
      <c r="MLR9" s="222"/>
      <c r="MLS9" s="222"/>
      <c r="MLT9" s="222"/>
      <c r="MLU9" s="222"/>
      <c r="MLV9" s="222"/>
      <c r="MLW9" s="222"/>
      <c r="MLX9" s="222"/>
      <c r="MLY9" s="222"/>
      <c r="MLZ9" s="222"/>
      <c r="MMA9" s="222"/>
      <c r="MMB9" s="222"/>
      <c r="MMC9" s="222"/>
      <c r="MMD9" s="222"/>
      <c r="MME9" s="222"/>
      <c r="MMF9" s="222"/>
      <c r="MMG9" s="222"/>
      <c r="MMH9" s="222"/>
      <c r="MMI9" s="222"/>
      <c r="MMJ9" s="222"/>
      <c r="MMK9" s="222"/>
      <c r="MML9" s="222"/>
      <c r="MMM9" s="222"/>
      <c r="MMN9" s="222"/>
      <c r="MMO9" s="222"/>
      <c r="MMP9" s="222"/>
      <c r="MMQ9" s="222"/>
      <c r="MMR9" s="222"/>
      <c r="MMS9" s="222"/>
      <c r="MMT9" s="222"/>
      <c r="MMU9" s="222"/>
      <c r="MMV9" s="222"/>
      <c r="MMW9" s="222"/>
      <c r="MMX9" s="222"/>
      <c r="MMY9" s="222"/>
      <c r="MMZ9" s="222"/>
      <c r="MNA9" s="222"/>
      <c r="MNB9" s="222"/>
      <c r="MNC9" s="222"/>
      <c r="MND9" s="222"/>
      <c r="MNE9" s="222"/>
      <c r="MNF9" s="222"/>
      <c r="MNG9" s="222"/>
      <c r="MNH9" s="222"/>
      <c r="MNI9" s="222"/>
      <c r="MNJ9" s="222"/>
      <c r="MNK9" s="222"/>
      <c r="MNL9" s="222"/>
      <c r="MNM9" s="222"/>
      <c r="MNN9" s="222"/>
      <c r="MNO9" s="222"/>
      <c r="MNP9" s="222"/>
      <c r="MNQ9" s="222"/>
      <c r="MNR9" s="222"/>
      <c r="MNS9" s="222"/>
      <c r="MNT9" s="222"/>
      <c r="MNU9" s="222"/>
      <c r="MNV9" s="222"/>
      <c r="MNW9" s="222"/>
      <c r="MNX9" s="222"/>
      <c r="MNY9" s="222"/>
      <c r="MNZ9" s="222"/>
      <c r="MOA9" s="222"/>
      <c r="MOB9" s="222"/>
      <c r="MOC9" s="222"/>
      <c r="MOD9" s="222"/>
      <c r="MOE9" s="222"/>
      <c r="MOF9" s="222"/>
      <c r="MOG9" s="222"/>
      <c r="MOH9" s="222"/>
      <c r="MOI9" s="222"/>
      <c r="MOJ9" s="222"/>
      <c r="MOK9" s="222"/>
      <c r="MOL9" s="222"/>
      <c r="MOM9" s="222"/>
      <c r="MON9" s="222"/>
      <c r="MOO9" s="222"/>
      <c r="MOP9" s="222"/>
      <c r="MOQ9" s="222"/>
      <c r="MOR9" s="222"/>
      <c r="MOS9" s="222"/>
      <c r="MOT9" s="222"/>
      <c r="MOU9" s="222"/>
      <c r="MOV9" s="222"/>
      <c r="MOW9" s="222"/>
      <c r="MOX9" s="222"/>
      <c r="MOY9" s="222"/>
      <c r="MOZ9" s="222"/>
      <c r="MPA9" s="222"/>
      <c r="MPB9" s="222"/>
      <c r="MPC9" s="222"/>
      <c r="MPD9" s="222"/>
      <c r="MPE9" s="222"/>
      <c r="MPF9" s="222"/>
      <c r="MPG9" s="222"/>
      <c r="MPH9" s="222"/>
      <c r="MPI9" s="222"/>
      <c r="MPJ9" s="222"/>
      <c r="MPK9" s="222"/>
      <c r="MPL9" s="222"/>
      <c r="MPM9" s="222"/>
      <c r="MPN9" s="222"/>
      <c r="MPO9" s="222"/>
      <c r="MPP9" s="222"/>
      <c r="MPQ9" s="222"/>
      <c r="MPR9" s="222"/>
      <c r="MPS9" s="222"/>
      <c r="MPT9" s="222"/>
      <c r="MPU9" s="222"/>
      <c r="MPV9" s="222"/>
      <c r="MPW9" s="222"/>
      <c r="MPX9" s="222"/>
      <c r="MPY9" s="222"/>
      <c r="MPZ9" s="222"/>
      <c r="MQA9" s="222"/>
      <c r="MQB9" s="222"/>
      <c r="MQC9" s="222"/>
      <c r="MQD9" s="222"/>
      <c r="MQE9" s="222"/>
      <c r="MQF9" s="222"/>
      <c r="MQG9" s="222"/>
      <c r="MQH9" s="222"/>
      <c r="MQI9" s="222"/>
      <c r="MQJ9" s="222"/>
      <c r="MQK9" s="222"/>
      <c r="MQL9" s="222"/>
      <c r="MQM9" s="222"/>
      <c r="MQN9" s="222"/>
      <c r="MQO9" s="222"/>
      <c r="MQP9" s="222"/>
      <c r="MQQ9" s="222"/>
      <c r="MQR9" s="222"/>
      <c r="MQS9" s="222"/>
      <c r="MQT9" s="222"/>
      <c r="MQU9" s="222"/>
      <c r="MQV9" s="222"/>
      <c r="MQW9" s="222"/>
      <c r="MQX9" s="222"/>
      <c r="MQY9" s="222"/>
      <c r="MQZ9" s="222"/>
      <c r="MRA9" s="222"/>
      <c r="MRB9" s="222"/>
      <c r="MRC9" s="222"/>
      <c r="MRD9" s="222"/>
      <c r="MRE9" s="222"/>
      <c r="MRF9" s="222"/>
      <c r="MRG9" s="222"/>
      <c r="MRH9" s="222"/>
      <c r="MRI9" s="222"/>
      <c r="MRJ9" s="222"/>
      <c r="MRK9" s="222"/>
      <c r="MRL9" s="222"/>
      <c r="MRM9" s="222"/>
      <c r="MRN9" s="222"/>
      <c r="MRO9" s="222"/>
      <c r="MRP9" s="222"/>
      <c r="MRQ9" s="222"/>
      <c r="MRR9" s="222"/>
      <c r="MRS9" s="222"/>
      <c r="MRT9" s="222"/>
      <c r="MRU9" s="222"/>
      <c r="MRV9" s="222"/>
      <c r="MRW9" s="222"/>
      <c r="MRX9" s="222"/>
      <c r="MRY9" s="222"/>
      <c r="MRZ9" s="222"/>
      <c r="MSA9" s="222"/>
      <c r="MSB9" s="222"/>
      <c r="MSC9" s="222"/>
      <c r="MSD9" s="222"/>
      <c r="MSE9" s="222"/>
      <c r="MSF9" s="222"/>
      <c r="MSG9" s="222"/>
      <c r="MSH9" s="222"/>
      <c r="MSI9" s="222"/>
      <c r="MSJ9" s="222"/>
      <c r="MSK9" s="222"/>
      <c r="MSL9" s="222"/>
      <c r="MSM9" s="222"/>
      <c r="MSN9" s="222"/>
      <c r="MSO9" s="222"/>
      <c r="MSP9" s="222"/>
      <c r="MSQ9" s="222"/>
      <c r="MSR9" s="222"/>
      <c r="MSS9" s="222"/>
      <c r="MST9" s="222"/>
      <c r="MSU9" s="222"/>
      <c r="MSV9" s="222"/>
      <c r="MSW9" s="222"/>
      <c r="MSX9" s="222"/>
      <c r="MSY9" s="222"/>
      <c r="MSZ9" s="222"/>
      <c r="MTA9" s="222"/>
      <c r="MTB9" s="222"/>
      <c r="MTC9" s="222"/>
      <c r="MTD9" s="222"/>
      <c r="MTE9" s="222"/>
      <c r="MTF9" s="222"/>
      <c r="MTG9" s="222"/>
      <c r="MTH9" s="222"/>
      <c r="MTI9" s="222"/>
      <c r="MTJ9" s="222"/>
      <c r="MTK9" s="222"/>
      <c r="MTL9" s="222"/>
      <c r="MTM9" s="222"/>
      <c r="MTN9" s="222"/>
      <c r="MTO9" s="222"/>
      <c r="MTP9" s="222"/>
      <c r="MTQ9" s="222"/>
      <c r="MTR9" s="222"/>
      <c r="MTS9" s="222"/>
      <c r="MTT9" s="222"/>
      <c r="MTU9" s="222"/>
      <c r="MTV9" s="222"/>
      <c r="MTW9" s="222"/>
      <c r="MTX9" s="222"/>
      <c r="MTY9" s="222"/>
      <c r="MTZ9" s="222"/>
      <c r="MUA9" s="222"/>
      <c r="MUB9" s="222"/>
      <c r="MUC9" s="222"/>
      <c r="MUD9" s="222"/>
      <c r="MUE9" s="222"/>
      <c r="MUF9" s="222"/>
      <c r="MUG9" s="222"/>
      <c r="MUH9" s="222"/>
      <c r="MUI9" s="222"/>
      <c r="MUJ9" s="222"/>
      <c r="MUK9" s="222"/>
      <c r="MUL9" s="222"/>
      <c r="MUM9" s="222"/>
      <c r="MUN9" s="222"/>
      <c r="MUO9" s="222"/>
      <c r="MUP9" s="222"/>
      <c r="MUQ9" s="222"/>
      <c r="MUR9" s="222"/>
      <c r="MUS9" s="222"/>
      <c r="MUT9" s="222"/>
      <c r="MUU9" s="222"/>
      <c r="MUV9" s="222"/>
      <c r="MUW9" s="222"/>
      <c r="MUX9" s="222"/>
      <c r="MUY9" s="222"/>
      <c r="MUZ9" s="222"/>
      <c r="MVA9" s="222"/>
      <c r="MVB9" s="222"/>
      <c r="MVC9" s="222"/>
      <c r="MVD9" s="222"/>
      <c r="MVE9" s="222"/>
      <c r="MVF9" s="222"/>
      <c r="MVG9" s="222"/>
      <c r="MVH9" s="222"/>
      <c r="MVI9" s="222"/>
      <c r="MVJ9" s="222"/>
      <c r="MVK9" s="222"/>
      <c r="MVL9" s="222"/>
      <c r="MVM9" s="222"/>
      <c r="MVN9" s="222"/>
      <c r="MVO9" s="222"/>
      <c r="MVP9" s="222"/>
      <c r="MVQ9" s="222"/>
      <c r="MVR9" s="222"/>
      <c r="MVS9" s="222"/>
      <c r="MVT9" s="222"/>
      <c r="MVU9" s="222"/>
      <c r="MVV9" s="222"/>
      <c r="MVW9" s="222"/>
      <c r="MVX9" s="222"/>
      <c r="MVY9" s="222"/>
      <c r="MVZ9" s="222"/>
      <c r="MWA9" s="222"/>
      <c r="MWB9" s="222"/>
      <c r="MWC9" s="222"/>
      <c r="MWD9" s="222"/>
      <c r="MWE9" s="222"/>
      <c r="MWF9" s="222"/>
      <c r="MWG9" s="222"/>
      <c r="MWH9" s="222"/>
      <c r="MWI9" s="222"/>
      <c r="MWJ9" s="222"/>
      <c r="MWK9" s="222"/>
      <c r="MWL9" s="222"/>
      <c r="MWM9" s="222"/>
      <c r="MWN9" s="222"/>
      <c r="MWO9" s="222"/>
      <c r="MWP9" s="222"/>
      <c r="MWQ9" s="222"/>
      <c r="MWR9" s="222"/>
      <c r="MWS9" s="222"/>
      <c r="MWT9" s="222"/>
      <c r="MWU9" s="222"/>
      <c r="MWV9" s="222"/>
      <c r="MWW9" s="222"/>
      <c r="MWX9" s="222"/>
      <c r="MWY9" s="222"/>
      <c r="MWZ9" s="222"/>
      <c r="MXA9" s="222"/>
      <c r="MXB9" s="222"/>
      <c r="MXC9" s="222"/>
      <c r="MXD9" s="222"/>
      <c r="MXE9" s="222"/>
      <c r="MXF9" s="222"/>
      <c r="MXG9" s="222"/>
      <c r="MXH9" s="222"/>
      <c r="MXI9" s="222"/>
      <c r="MXJ9" s="222"/>
      <c r="MXK9" s="222"/>
      <c r="MXL9" s="222"/>
      <c r="MXM9" s="222"/>
      <c r="MXN9" s="222"/>
      <c r="MXO9" s="222"/>
      <c r="MXP9" s="222"/>
      <c r="MXQ9" s="222"/>
      <c r="MXR9" s="222"/>
      <c r="MXS9" s="222"/>
      <c r="MXT9" s="222"/>
      <c r="MXU9" s="222"/>
      <c r="MXV9" s="222"/>
      <c r="MXW9" s="222"/>
      <c r="MXX9" s="222"/>
      <c r="MXY9" s="222"/>
      <c r="MXZ9" s="222"/>
      <c r="MYA9" s="222"/>
      <c r="MYB9" s="222"/>
      <c r="MYC9" s="222"/>
      <c r="MYD9" s="222"/>
      <c r="MYE9" s="222"/>
      <c r="MYF9" s="222"/>
      <c r="MYG9" s="222"/>
      <c r="MYH9" s="222"/>
      <c r="MYI9" s="222"/>
      <c r="MYJ9" s="222"/>
      <c r="MYK9" s="222"/>
      <c r="MYL9" s="222"/>
      <c r="MYM9" s="222"/>
      <c r="MYN9" s="222"/>
      <c r="MYO9" s="222"/>
      <c r="MYP9" s="222"/>
      <c r="MYQ9" s="222"/>
      <c r="MYR9" s="222"/>
      <c r="MYS9" s="222"/>
      <c r="MYT9" s="222"/>
      <c r="MYU9" s="222"/>
      <c r="MYV9" s="222"/>
      <c r="MYW9" s="222"/>
      <c r="MYX9" s="222"/>
      <c r="MYY9" s="222"/>
      <c r="MYZ9" s="222"/>
      <c r="MZA9" s="222"/>
      <c r="MZB9" s="222"/>
      <c r="MZC9" s="222"/>
      <c r="MZD9" s="222"/>
      <c r="MZE9" s="222"/>
      <c r="MZF9" s="222"/>
      <c r="MZG9" s="222"/>
      <c r="MZH9" s="222"/>
      <c r="MZI9" s="222"/>
      <c r="MZJ9" s="222"/>
      <c r="MZK9" s="222"/>
      <c r="MZL9" s="222"/>
      <c r="MZM9" s="222"/>
      <c r="MZN9" s="222"/>
      <c r="MZO9" s="222"/>
      <c r="MZP9" s="222"/>
      <c r="MZQ9" s="222"/>
      <c r="MZR9" s="222"/>
      <c r="MZS9" s="222"/>
      <c r="MZT9" s="222"/>
      <c r="MZU9" s="222"/>
      <c r="MZV9" s="222"/>
      <c r="MZW9" s="222"/>
      <c r="MZX9" s="222"/>
      <c r="MZY9" s="222"/>
      <c r="MZZ9" s="222"/>
      <c r="NAA9" s="222"/>
      <c r="NAB9" s="222"/>
      <c r="NAC9" s="222"/>
      <c r="NAD9" s="222"/>
      <c r="NAE9" s="222"/>
      <c r="NAF9" s="222"/>
      <c r="NAG9" s="222"/>
      <c r="NAH9" s="222"/>
      <c r="NAI9" s="222"/>
      <c r="NAJ9" s="222"/>
      <c r="NAK9" s="222"/>
      <c r="NAL9" s="222"/>
      <c r="NAM9" s="222"/>
      <c r="NAN9" s="222"/>
      <c r="NAO9" s="222"/>
      <c r="NAP9" s="222"/>
      <c r="NAQ9" s="222"/>
      <c r="NAR9" s="222"/>
      <c r="NAS9" s="222"/>
      <c r="NAT9" s="222"/>
      <c r="NAU9" s="222"/>
      <c r="NAV9" s="222"/>
      <c r="NAW9" s="222"/>
      <c r="NAX9" s="222"/>
      <c r="NAY9" s="222"/>
      <c r="NAZ9" s="222"/>
      <c r="NBA9" s="222"/>
      <c r="NBB9" s="222"/>
      <c r="NBC9" s="222"/>
      <c r="NBD9" s="222"/>
      <c r="NBE9" s="222"/>
      <c r="NBF9" s="222"/>
      <c r="NBG9" s="222"/>
      <c r="NBH9" s="222"/>
      <c r="NBI9" s="222"/>
      <c r="NBJ9" s="222"/>
      <c r="NBK9" s="222"/>
      <c r="NBL9" s="222"/>
      <c r="NBM9" s="222"/>
      <c r="NBN9" s="222"/>
      <c r="NBO9" s="222"/>
      <c r="NBP9" s="222"/>
      <c r="NBQ9" s="222"/>
      <c r="NBR9" s="222"/>
      <c r="NBS9" s="222"/>
      <c r="NBT9" s="222"/>
      <c r="NBU9" s="222"/>
      <c r="NBV9" s="222"/>
      <c r="NBW9" s="222"/>
      <c r="NBX9" s="222"/>
      <c r="NBY9" s="222"/>
      <c r="NBZ9" s="222"/>
      <c r="NCA9" s="222"/>
      <c r="NCB9" s="222"/>
      <c r="NCC9" s="222"/>
      <c r="NCD9" s="222"/>
      <c r="NCE9" s="222"/>
      <c r="NCF9" s="222"/>
      <c r="NCG9" s="222"/>
      <c r="NCH9" s="222"/>
      <c r="NCI9" s="222"/>
      <c r="NCJ9" s="222"/>
      <c r="NCK9" s="222"/>
      <c r="NCL9" s="222"/>
      <c r="NCM9" s="222"/>
      <c r="NCN9" s="222"/>
      <c r="NCO9" s="222"/>
      <c r="NCP9" s="222"/>
      <c r="NCQ9" s="222"/>
      <c r="NCR9" s="222"/>
      <c r="NCS9" s="222"/>
      <c r="NCT9" s="222"/>
      <c r="NCU9" s="222"/>
      <c r="NCV9" s="222"/>
      <c r="NCW9" s="222"/>
      <c r="NCX9" s="222"/>
      <c r="NCY9" s="222"/>
      <c r="NCZ9" s="222"/>
      <c r="NDA9" s="222"/>
      <c r="NDB9" s="222"/>
      <c r="NDC9" s="222"/>
      <c r="NDD9" s="222"/>
      <c r="NDE9" s="222"/>
      <c r="NDF9" s="222"/>
      <c r="NDG9" s="222"/>
      <c r="NDH9" s="222"/>
      <c r="NDI9" s="222"/>
      <c r="NDJ9" s="222"/>
      <c r="NDK9" s="222"/>
      <c r="NDL9" s="222"/>
      <c r="NDM9" s="222"/>
      <c r="NDN9" s="222"/>
      <c r="NDO9" s="222"/>
      <c r="NDP9" s="222"/>
      <c r="NDQ9" s="222"/>
      <c r="NDR9" s="222"/>
      <c r="NDS9" s="222"/>
      <c r="NDT9" s="222"/>
      <c r="NDU9" s="222"/>
      <c r="NDV9" s="222"/>
      <c r="NDW9" s="222"/>
      <c r="NDX9" s="222"/>
      <c r="NDY9" s="222"/>
      <c r="NDZ9" s="222"/>
      <c r="NEA9" s="222"/>
      <c r="NEB9" s="222"/>
      <c r="NEC9" s="222"/>
      <c r="NED9" s="222"/>
      <c r="NEE9" s="222"/>
      <c r="NEF9" s="222"/>
      <c r="NEG9" s="222"/>
      <c r="NEH9" s="222"/>
      <c r="NEI9" s="222"/>
      <c r="NEJ9" s="222"/>
      <c r="NEK9" s="222"/>
      <c r="NEL9" s="222"/>
      <c r="NEM9" s="222"/>
      <c r="NEN9" s="222"/>
      <c r="NEO9" s="222"/>
      <c r="NEP9" s="222"/>
      <c r="NEQ9" s="222"/>
      <c r="NER9" s="222"/>
      <c r="NES9" s="222"/>
      <c r="NET9" s="222"/>
      <c r="NEU9" s="222"/>
      <c r="NEV9" s="222"/>
      <c r="NEW9" s="222"/>
      <c r="NEX9" s="222"/>
      <c r="NEY9" s="222"/>
      <c r="NEZ9" s="222"/>
      <c r="NFA9" s="222"/>
      <c r="NFB9" s="222"/>
      <c r="NFC9" s="222"/>
      <c r="NFD9" s="222"/>
      <c r="NFE9" s="222"/>
      <c r="NFF9" s="222"/>
      <c r="NFG9" s="222"/>
      <c r="NFH9" s="222"/>
      <c r="NFI9" s="222"/>
      <c r="NFJ9" s="222"/>
      <c r="NFK9" s="222"/>
      <c r="NFL9" s="222"/>
      <c r="NFM9" s="222"/>
      <c r="NFN9" s="222"/>
      <c r="NFO9" s="222"/>
      <c r="NFP9" s="222"/>
      <c r="NFQ9" s="222"/>
      <c r="NFR9" s="222"/>
      <c r="NFS9" s="222"/>
      <c r="NFT9" s="222"/>
      <c r="NFU9" s="222"/>
      <c r="NFV9" s="222"/>
      <c r="NFW9" s="222"/>
      <c r="NFX9" s="222"/>
      <c r="NFY9" s="222"/>
      <c r="NFZ9" s="222"/>
      <c r="NGA9" s="222"/>
      <c r="NGB9" s="222"/>
      <c r="NGC9" s="222"/>
      <c r="NGD9" s="222"/>
      <c r="NGE9" s="222"/>
      <c r="NGF9" s="222"/>
      <c r="NGG9" s="222"/>
      <c r="NGH9" s="222"/>
      <c r="NGI9" s="222"/>
      <c r="NGJ9" s="222"/>
      <c r="NGK9" s="222"/>
      <c r="NGL9" s="222"/>
      <c r="NGM9" s="222"/>
      <c r="NGN9" s="222"/>
      <c r="NGO9" s="222"/>
      <c r="NGP9" s="222"/>
      <c r="NGQ9" s="222"/>
      <c r="NGR9" s="222"/>
      <c r="NGS9" s="222"/>
      <c r="NGT9" s="222"/>
      <c r="NGU9" s="222"/>
      <c r="NGV9" s="222"/>
      <c r="NGW9" s="222"/>
      <c r="NGX9" s="222"/>
      <c r="NGY9" s="222"/>
      <c r="NGZ9" s="222"/>
      <c r="NHA9" s="222"/>
      <c r="NHB9" s="222"/>
      <c r="NHC9" s="222"/>
      <c r="NHD9" s="222"/>
      <c r="NHE9" s="222"/>
      <c r="NHF9" s="222"/>
      <c r="NHG9" s="222"/>
      <c r="NHH9" s="222"/>
      <c r="NHI9" s="222"/>
      <c r="NHJ9" s="222"/>
      <c r="NHK9" s="222"/>
      <c r="NHL9" s="222"/>
      <c r="NHM9" s="222"/>
      <c r="NHN9" s="222"/>
      <c r="NHO9" s="222"/>
      <c r="NHP9" s="222"/>
      <c r="NHQ9" s="222"/>
      <c r="NHR9" s="222"/>
      <c r="NHS9" s="222"/>
      <c r="NHT9" s="222"/>
      <c r="NHU9" s="222"/>
      <c r="NHV9" s="222"/>
      <c r="NHW9" s="222"/>
      <c r="NHX9" s="222"/>
      <c r="NHY9" s="222"/>
      <c r="NHZ9" s="222"/>
      <c r="NIA9" s="222"/>
      <c r="NIB9" s="222"/>
      <c r="NIC9" s="222"/>
      <c r="NID9" s="222"/>
      <c r="NIE9" s="222"/>
      <c r="NIF9" s="222"/>
      <c r="NIG9" s="222"/>
      <c r="NIH9" s="222"/>
      <c r="NII9" s="222"/>
      <c r="NIJ9" s="222"/>
      <c r="NIK9" s="222"/>
      <c r="NIL9" s="222"/>
      <c r="NIM9" s="222"/>
      <c r="NIN9" s="222"/>
      <c r="NIO9" s="222"/>
      <c r="NIP9" s="222"/>
      <c r="NIQ9" s="222"/>
      <c r="NIR9" s="222"/>
      <c r="NIS9" s="222"/>
      <c r="NIT9" s="222"/>
      <c r="NIU9" s="222"/>
      <c r="NIV9" s="222"/>
      <c r="NIW9" s="222"/>
      <c r="NIX9" s="222"/>
      <c r="NIY9" s="222"/>
      <c r="NIZ9" s="222"/>
      <c r="NJA9" s="222"/>
      <c r="NJB9" s="222"/>
      <c r="NJC9" s="222"/>
      <c r="NJD9" s="222"/>
      <c r="NJE9" s="222"/>
      <c r="NJF9" s="222"/>
      <c r="NJG9" s="222"/>
      <c r="NJH9" s="222"/>
      <c r="NJI9" s="222"/>
      <c r="NJJ9" s="222"/>
      <c r="NJK9" s="222"/>
      <c r="NJL9" s="222"/>
      <c r="NJM9" s="222"/>
      <c r="NJN9" s="222"/>
      <c r="NJO9" s="222"/>
      <c r="NJP9" s="222"/>
      <c r="NJQ9" s="222"/>
      <c r="NJR9" s="222"/>
      <c r="NJS9" s="222"/>
      <c r="NJT9" s="222"/>
      <c r="NJU9" s="222"/>
      <c r="NJV9" s="222"/>
      <c r="NJW9" s="222"/>
      <c r="NJX9" s="222"/>
      <c r="NJY9" s="222"/>
      <c r="NJZ9" s="222"/>
      <c r="NKA9" s="222"/>
      <c r="NKB9" s="222"/>
      <c r="NKC9" s="222"/>
      <c r="NKD9" s="222"/>
      <c r="NKE9" s="222"/>
      <c r="NKF9" s="222"/>
      <c r="NKG9" s="222"/>
      <c r="NKH9" s="222"/>
      <c r="NKI9" s="222"/>
      <c r="NKJ9" s="222"/>
      <c r="NKK9" s="222"/>
      <c r="NKL9" s="222"/>
      <c r="NKM9" s="222"/>
      <c r="NKN9" s="222"/>
      <c r="NKO9" s="222"/>
      <c r="NKP9" s="222"/>
      <c r="NKQ9" s="222"/>
      <c r="NKR9" s="222"/>
      <c r="NKS9" s="222"/>
      <c r="NKT9" s="222"/>
      <c r="NKU9" s="222"/>
      <c r="NKV9" s="222"/>
      <c r="NKW9" s="222"/>
      <c r="NKX9" s="222"/>
      <c r="NKY9" s="222"/>
      <c r="NKZ9" s="222"/>
      <c r="NLA9" s="222"/>
      <c r="NLB9" s="222"/>
      <c r="NLC9" s="222"/>
      <c r="NLD9" s="222"/>
      <c r="NLE9" s="222"/>
      <c r="NLF9" s="222"/>
      <c r="NLG9" s="222"/>
      <c r="NLH9" s="222"/>
      <c r="NLI9" s="222"/>
      <c r="NLJ9" s="222"/>
      <c r="NLK9" s="222"/>
      <c r="NLL9" s="222"/>
      <c r="NLM9" s="222"/>
      <c r="NLN9" s="222"/>
      <c r="NLO9" s="222"/>
      <c r="NLP9" s="222"/>
      <c r="NLQ9" s="222"/>
      <c r="NLR9" s="222"/>
      <c r="NLS9" s="222"/>
      <c r="NLT9" s="222"/>
      <c r="NLU9" s="222"/>
      <c r="NLV9" s="222"/>
      <c r="NLW9" s="222"/>
      <c r="NLX9" s="222"/>
      <c r="NLY9" s="222"/>
      <c r="NLZ9" s="222"/>
      <c r="NMA9" s="222"/>
      <c r="NMB9" s="222"/>
      <c r="NMC9" s="222"/>
      <c r="NMD9" s="222"/>
      <c r="NME9" s="222"/>
      <c r="NMF9" s="222"/>
      <c r="NMG9" s="222"/>
      <c r="NMH9" s="222"/>
      <c r="NMI9" s="222"/>
      <c r="NMJ9" s="222"/>
      <c r="NMK9" s="222"/>
      <c r="NML9" s="222"/>
      <c r="NMM9" s="222"/>
      <c r="NMN9" s="222"/>
      <c r="NMO9" s="222"/>
      <c r="NMP9" s="222"/>
      <c r="NMQ9" s="222"/>
      <c r="NMR9" s="222"/>
      <c r="NMS9" s="222"/>
      <c r="NMT9" s="222"/>
      <c r="NMU9" s="222"/>
      <c r="NMV9" s="222"/>
      <c r="NMW9" s="222"/>
      <c r="NMX9" s="222"/>
      <c r="NMY9" s="222"/>
      <c r="NMZ9" s="222"/>
      <c r="NNA9" s="222"/>
      <c r="NNB9" s="222"/>
      <c r="NNC9" s="222"/>
      <c r="NND9" s="222"/>
      <c r="NNE9" s="222"/>
      <c r="NNF9" s="222"/>
      <c r="NNG9" s="222"/>
      <c r="NNH9" s="222"/>
      <c r="NNI9" s="222"/>
      <c r="NNJ9" s="222"/>
      <c r="NNK9" s="222"/>
      <c r="NNL9" s="222"/>
      <c r="NNM9" s="222"/>
      <c r="NNN9" s="222"/>
      <c r="NNO9" s="222"/>
      <c r="NNP9" s="222"/>
      <c r="NNQ9" s="222"/>
      <c r="NNR9" s="222"/>
      <c r="NNS9" s="222"/>
      <c r="NNT9" s="222"/>
      <c r="NNU9" s="222"/>
      <c r="NNV9" s="222"/>
      <c r="NNW9" s="222"/>
      <c r="NNX9" s="222"/>
      <c r="NNY9" s="222"/>
      <c r="NNZ9" s="222"/>
      <c r="NOA9" s="222"/>
      <c r="NOB9" s="222"/>
      <c r="NOC9" s="222"/>
      <c r="NOD9" s="222"/>
      <c r="NOE9" s="222"/>
      <c r="NOF9" s="222"/>
      <c r="NOG9" s="222"/>
      <c r="NOH9" s="222"/>
      <c r="NOI9" s="222"/>
      <c r="NOJ9" s="222"/>
      <c r="NOK9" s="222"/>
      <c r="NOL9" s="222"/>
      <c r="NOM9" s="222"/>
      <c r="NON9" s="222"/>
      <c r="NOO9" s="222"/>
      <c r="NOP9" s="222"/>
      <c r="NOQ9" s="222"/>
      <c r="NOR9" s="222"/>
      <c r="NOS9" s="222"/>
      <c r="NOT9" s="222"/>
      <c r="NOU9" s="222"/>
      <c r="NOV9" s="222"/>
      <c r="NOW9" s="222"/>
      <c r="NOX9" s="222"/>
      <c r="NOY9" s="222"/>
      <c r="NOZ9" s="222"/>
      <c r="NPA9" s="222"/>
      <c r="NPB9" s="222"/>
      <c r="NPC9" s="222"/>
      <c r="NPD9" s="222"/>
      <c r="NPE9" s="222"/>
      <c r="NPF9" s="222"/>
      <c r="NPG9" s="222"/>
      <c r="NPH9" s="222"/>
      <c r="NPI9" s="222"/>
      <c r="NPJ9" s="222"/>
      <c r="NPK9" s="222"/>
      <c r="NPL9" s="222"/>
      <c r="NPM9" s="222"/>
      <c r="NPN9" s="222"/>
      <c r="NPO9" s="222"/>
      <c r="NPP9" s="222"/>
      <c r="NPQ9" s="222"/>
      <c r="NPR9" s="222"/>
      <c r="NPS9" s="222"/>
      <c r="NPT9" s="222"/>
      <c r="NPU9" s="222"/>
      <c r="NPV9" s="222"/>
      <c r="NPW9" s="222"/>
      <c r="NPX9" s="222"/>
      <c r="NPY9" s="222"/>
      <c r="NPZ9" s="222"/>
      <c r="NQA9" s="222"/>
      <c r="NQB9" s="222"/>
      <c r="NQC9" s="222"/>
      <c r="NQD9" s="222"/>
      <c r="NQE9" s="222"/>
      <c r="NQF9" s="222"/>
      <c r="NQG9" s="222"/>
      <c r="NQH9" s="222"/>
      <c r="NQI9" s="222"/>
      <c r="NQJ9" s="222"/>
      <c r="NQK9" s="222"/>
      <c r="NQL9" s="222"/>
      <c r="NQM9" s="222"/>
      <c r="NQN9" s="222"/>
      <c r="NQO9" s="222"/>
      <c r="NQP9" s="222"/>
      <c r="NQQ9" s="222"/>
      <c r="NQR9" s="222"/>
      <c r="NQS9" s="222"/>
      <c r="NQT9" s="222"/>
      <c r="NQU9" s="222"/>
      <c r="NQV9" s="222"/>
      <c r="NQW9" s="222"/>
      <c r="NQX9" s="222"/>
      <c r="NQY9" s="222"/>
      <c r="NQZ9" s="222"/>
      <c r="NRA9" s="222"/>
      <c r="NRB9" s="222"/>
      <c r="NRC9" s="222"/>
      <c r="NRD9" s="222"/>
      <c r="NRE9" s="222"/>
      <c r="NRF9" s="222"/>
      <c r="NRG9" s="222"/>
      <c r="NRH9" s="222"/>
      <c r="NRI9" s="222"/>
      <c r="NRJ9" s="222"/>
      <c r="NRK9" s="222"/>
      <c r="NRL9" s="222"/>
      <c r="NRM9" s="222"/>
      <c r="NRN9" s="222"/>
      <c r="NRO9" s="222"/>
      <c r="NRP9" s="222"/>
      <c r="NRQ9" s="222"/>
      <c r="NRR9" s="222"/>
      <c r="NRS9" s="222"/>
      <c r="NRT9" s="222"/>
      <c r="NRU9" s="222"/>
      <c r="NRV9" s="222"/>
      <c r="NRW9" s="222"/>
      <c r="NRX9" s="222"/>
      <c r="NRY9" s="222"/>
      <c r="NRZ9" s="222"/>
      <c r="NSA9" s="222"/>
      <c r="NSB9" s="222"/>
      <c r="NSC9" s="222"/>
      <c r="NSD9" s="222"/>
      <c r="NSE9" s="222"/>
      <c r="NSF9" s="222"/>
      <c r="NSG9" s="222"/>
      <c r="NSH9" s="222"/>
      <c r="NSI9" s="222"/>
      <c r="NSJ9" s="222"/>
      <c r="NSK9" s="222"/>
      <c r="NSL9" s="222"/>
      <c r="NSM9" s="222"/>
      <c r="NSN9" s="222"/>
      <c r="NSO9" s="222"/>
      <c r="NSP9" s="222"/>
      <c r="NSQ9" s="222"/>
      <c r="NSR9" s="222"/>
      <c r="NSS9" s="222"/>
      <c r="NST9" s="222"/>
      <c r="NSU9" s="222"/>
      <c r="NSV9" s="222"/>
      <c r="NSW9" s="222"/>
      <c r="NSX9" s="222"/>
      <c r="NSY9" s="222"/>
      <c r="NSZ9" s="222"/>
      <c r="NTA9" s="222"/>
      <c r="NTB9" s="222"/>
      <c r="NTC9" s="222"/>
      <c r="NTD9" s="222"/>
      <c r="NTE9" s="222"/>
      <c r="NTF9" s="222"/>
      <c r="NTG9" s="222"/>
      <c r="NTH9" s="222"/>
      <c r="NTI9" s="222"/>
      <c r="NTJ9" s="222"/>
      <c r="NTK9" s="222"/>
      <c r="NTL9" s="222"/>
      <c r="NTM9" s="222"/>
      <c r="NTN9" s="222"/>
      <c r="NTO9" s="222"/>
      <c r="NTP9" s="222"/>
      <c r="NTQ9" s="222"/>
      <c r="NTR9" s="222"/>
      <c r="NTS9" s="222"/>
      <c r="NTT9" s="222"/>
      <c r="NTU9" s="222"/>
      <c r="NTV9" s="222"/>
      <c r="NTW9" s="222"/>
      <c r="NTX9" s="222"/>
      <c r="NTY9" s="222"/>
      <c r="NTZ9" s="222"/>
      <c r="NUA9" s="222"/>
      <c r="NUB9" s="222"/>
      <c r="NUC9" s="222"/>
      <c r="NUD9" s="222"/>
      <c r="NUE9" s="222"/>
      <c r="NUF9" s="222"/>
      <c r="NUG9" s="222"/>
      <c r="NUH9" s="222"/>
      <c r="NUI9" s="222"/>
      <c r="NUJ9" s="222"/>
      <c r="NUK9" s="222"/>
      <c r="NUL9" s="222"/>
      <c r="NUM9" s="222"/>
      <c r="NUN9" s="222"/>
      <c r="NUO9" s="222"/>
      <c r="NUP9" s="222"/>
      <c r="NUQ9" s="222"/>
      <c r="NUR9" s="222"/>
      <c r="NUS9" s="222"/>
      <c r="NUT9" s="222"/>
      <c r="NUU9" s="222"/>
      <c r="NUV9" s="222"/>
      <c r="NUW9" s="222"/>
      <c r="NUX9" s="222"/>
      <c r="NUY9" s="222"/>
      <c r="NUZ9" s="222"/>
      <c r="NVA9" s="222"/>
      <c r="NVB9" s="222"/>
      <c r="NVC9" s="222"/>
      <c r="NVD9" s="222"/>
      <c r="NVE9" s="222"/>
      <c r="NVF9" s="222"/>
      <c r="NVG9" s="222"/>
      <c r="NVH9" s="222"/>
      <c r="NVI9" s="222"/>
      <c r="NVJ9" s="222"/>
      <c r="NVK9" s="222"/>
      <c r="NVL9" s="222"/>
      <c r="NVM9" s="222"/>
      <c r="NVN9" s="222"/>
      <c r="NVO9" s="222"/>
      <c r="NVP9" s="222"/>
      <c r="NVQ9" s="222"/>
      <c r="NVR9" s="222"/>
      <c r="NVS9" s="222"/>
      <c r="NVT9" s="222"/>
      <c r="NVU9" s="222"/>
      <c r="NVV9" s="222"/>
      <c r="NVW9" s="222"/>
      <c r="NVX9" s="222"/>
      <c r="NVY9" s="222"/>
      <c r="NVZ9" s="222"/>
      <c r="NWA9" s="222"/>
      <c r="NWB9" s="222"/>
      <c r="NWC9" s="222"/>
      <c r="NWD9" s="222"/>
      <c r="NWE9" s="222"/>
      <c r="NWF9" s="222"/>
      <c r="NWG9" s="222"/>
      <c r="NWH9" s="222"/>
      <c r="NWI9" s="222"/>
      <c r="NWJ9" s="222"/>
      <c r="NWK9" s="222"/>
      <c r="NWL9" s="222"/>
      <c r="NWM9" s="222"/>
      <c r="NWN9" s="222"/>
      <c r="NWO9" s="222"/>
      <c r="NWP9" s="222"/>
      <c r="NWQ9" s="222"/>
      <c r="NWR9" s="222"/>
      <c r="NWS9" s="222"/>
      <c r="NWT9" s="222"/>
      <c r="NWU9" s="222"/>
      <c r="NWV9" s="222"/>
      <c r="NWW9" s="222"/>
      <c r="NWX9" s="222"/>
      <c r="NWY9" s="222"/>
      <c r="NWZ9" s="222"/>
      <c r="NXA9" s="222"/>
      <c r="NXB9" s="222"/>
      <c r="NXC9" s="222"/>
      <c r="NXD9" s="222"/>
      <c r="NXE9" s="222"/>
      <c r="NXF9" s="222"/>
      <c r="NXG9" s="222"/>
      <c r="NXH9" s="222"/>
      <c r="NXI9" s="222"/>
      <c r="NXJ9" s="222"/>
      <c r="NXK9" s="222"/>
      <c r="NXL9" s="222"/>
      <c r="NXM9" s="222"/>
      <c r="NXN9" s="222"/>
      <c r="NXO9" s="222"/>
      <c r="NXP9" s="222"/>
      <c r="NXQ9" s="222"/>
      <c r="NXR9" s="222"/>
      <c r="NXS9" s="222"/>
      <c r="NXT9" s="222"/>
      <c r="NXU9" s="222"/>
      <c r="NXV9" s="222"/>
      <c r="NXW9" s="222"/>
      <c r="NXX9" s="222"/>
      <c r="NXY9" s="222"/>
      <c r="NXZ9" s="222"/>
      <c r="NYA9" s="222"/>
      <c r="NYB9" s="222"/>
      <c r="NYC9" s="222"/>
      <c r="NYD9" s="222"/>
      <c r="NYE9" s="222"/>
      <c r="NYF9" s="222"/>
      <c r="NYG9" s="222"/>
      <c r="NYH9" s="222"/>
      <c r="NYI9" s="222"/>
      <c r="NYJ9" s="222"/>
      <c r="NYK9" s="222"/>
      <c r="NYL9" s="222"/>
      <c r="NYM9" s="222"/>
      <c r="NYN9" s="222"/>
      <c r="NYO9" s="222"/>
      <c r="NYP9" s="222"/>
      <c r="NYQ9" s="222"/>
      <c r="NYR9" s="222"/>
      <c r="NYS9" s="222"/>
      <c r="NYT9" s="222"/>
      <c r="NYU9" s="222"/>
      <c r="NYV9" s="222"/>
      <c r="NYW9" s="222"/>
      <c r="NYX9" s="222"/>
      <c r="NYY9" s="222"/>
      <c r="NYZ9" s="222"/>
      <c r="NZA9" s="222"/>
      <c r="NZB9" s="222"/>
      <c r="NZC9" s="222"/>
      <c r="NZD9" s="222"/>
      <c r="NZE9" s="222"/>
      <c r="NZF9" s="222"/>
      <c r="NZG9" s="222"/>
      <c r="NZH9" s="222"/>
      <c r="NZI9" s="222"/>
      <c r="NZJ9" s="222"/>
      <c r="NZK9" s="222"/>
      <c r="NZL9" s="222"/>
      <c r="NZM9" s="222"/>
      <c r="NZN9" s="222"/>
      <c r="NZO9" s="222"/>
      <c r="NZP9" s="222"/>
      <c r="NZQ9" s="222"/>
      <c r="NZR9" s="222"/>
      <c r="NZS9" s="222"/>
      <c r="NZT9" s="222"/>
      <c r="NZU9" s="222"/>
      <c r="NZV9" s="222"/>
      <c r="NZW9" s="222"/>
      <c r="NZX9" s="222"/>
      <c r="NZY9" s="222"/>
      <c r="NZZ9" s="222"/>
      <c r="OAA9" s="222"/>
      <c r="OAB9" s="222"/>
      <c r="OAC9" s="222"/>
      <c r="OAD9" s="222"/>
      <c r="OAE9" s="222"/>
      <c r="OAF9" s="222"/>
      <c r="OAG9" s="222"/>
      <c r="OAH9" s="222"/>
      <c r="OAI9" s="222"/>
      <c r="OAJ9" s="222"/>
      <c r="OAK9" s="222"/>
      <c r="OAL9" s="222"/>
      <c r="OAM9" s="222"/>
      <c r="OAN9" s="222"/>
      <c r="OAO9" s="222"/>
      <c r="OAP9" s="222"/>
      <c r="OAQ9" s="222"/>
      <c r="OAR9" s="222"/>
      <c r="OAS9" s="222"/>
      <c r="OAT9" s="222"/>
      <c r="OAU9" s="222"/>
      <c r="OAV9" s="222"/>
      <c r="OAW9" s="222"/>
      <c r="OAX9" s="222"/>
      <c r="OAY9" s="222"/>
      <c r="OAZ9" s="222"/>
      <c r="OBA9" s="222"/>
      <c r="OBB9" s="222"/>
      <c r="OBC9" s="222"/>
      <c r="OBD9" s="222"/>
      <c r="OBE9" s="222"/>
      <c r="OBF9" s="222"/>
      <c r="OBG9" s="222"/>
      <c r="OBH9" s="222"/>
      <c r="OBI9" s="222"/>
      <c r="OBJ9" s="222"/>
      <c r="OBK9" s="222"/>
      <c r="OBL9" s="222"/>
      <c r="OBM9" s="222"/>
      <c r="OBN9" s="222"/>
      <c r="OBO9" s="222"/>
      <c r="OBP9" s="222"/>
      <c r="OBQ9" s="222"/>
      <c r="OBR9" s="222"/>
      <c r="OBS9" s="222"/>
      <c r="OBT9" s="222"/>
      <c r="OBU9" s="222"/>
      <c r="OBV9" s="222"/>
      <c r="OBW9" s="222"/>
      <c r="OBX9" s="222"/>
      <c r="OBY9" s="222"/>
      <c r="OBZ9" s="222"/>
      <c r="OCA9" s="222"/>
      <c r="OCB9" s="222"/>
      <c r="OCC9" s="222"/>
      <c r="OCD9" s="222"/>
      <c r="OCE9" s="222"/>
      <c r="OCF9" s="222"/>
      <c r="OCG9" s="222"/>
      <c r="OCH9" s="222"/>
      <c r="OCI9" s="222"/>
      <c r="OCJ9" s="222"/>
      <c r="OCK9" s="222"/>
      <c r="OCL9" s="222"/>
      <c r="OCM9" s="222"/>
      <c r="OCN9" s="222"/>
      <c r="OCO9" s="222"/>
      <c r="OCP9" s="222"/>
      <c r="OCQ9" s="222"/>
      <c r="OCR9" s="222"/>
      <c r="OCS9" s="222"/>
      <c r="OCT9" s="222"/>
      <c r="OCU9" s="222"/>
      <c r="OCV9" s="222"/>
      <c r="OCW9" s="222"/>
      <c r="OCX9" s="222"/>
      <c r="OCY9" s="222"/>
      <c r="OCZ9" s="222"/>
      <c r="ODA9" s="222"/>
      <c r="ODB9" s="222"/>
      <c r="ODC9" s="222"/>
      <c r="ODD9" s="222"/>
      <c r="ODE9" s="222"/>
      <c r="ODF9" s="222"/>
      <c r="ODG9" s="222"/>
      <c r="ODH9" s="222"/>
      <c r="ODI9" s="222"/>
      <c r="ODJ9" s="222"/>
      <c r="ODK9" s="222"/>
      <c r="ODL9" s="222"/>
      <c r="ODM9" s="222"/>
      <c r="ODN9" s="222"/>
      <c r="ODO9" s="222"/>
      <c r="ODP9" s="222"/>
      <c r="ODQ9" s="222"/>
      <c r="ODR9" s="222"/>
      <c r="ODS9" s="222"/>
      <c r="ODT9" s="222"/>
      <c r="ODU9" s="222"/>
      <c r="ODV9" s="222"/>
      <c r="ODW9" s="222"/>
      <c r="ODX9" s="222"/>
      <c r="ODY9" s="222"/>
      <c r="ODZ9" s="222"/>
      <c r="OEA9" s="222"/>
      <c r="OEB9" s="222"/>
      <c r="OEC9" s="222"/>
      <c r="OED9" s="222"/>
      <c r="OEE9" s="222"/>
      <c r="OEF9" s="222"/>
      <c r="OEG9" s="222"/>
      <c r="OEH9" s="222"/>
      <c r="OEI9" s="222"/>
      <c r="OEJ9" s="222"/>
      <c r="OEK9" s="222"/>
      <c r="OEL9" s="222"/>
      <c r="OEM9" s="222"/>
      <c r="OEN9" s="222"/>
      <c r="OEO9" s="222"/>
      <c r="OEP9" s="222"/>
      <c r="OEQ9" s="222"/>
      <c r="OER9" s="222"/>
      <c r="OES9" s="222"/>
      <c r="OET9" s="222"/>
      <c r="OEU9" s="222"/>
      <c r="OEV9" s="222"/>
      <c r="OEW9" s="222"/>
      <c r="OEX9" s="222"/>
      <c r="OEY9" s="222"/>
      <c r="OEZ9" s="222"/>
      <c r="OFA9" s="222"/>
      <c r="OFB9" s="222"/>
      <c r="OFC9" s="222"/>
      <c r="OFD9" s="222"/>
      <c r="OFE9" s="222"/>
      <c r="OFF9" s="222"/>
      <c r="OFG9" s="222"/>
      <c r="OFH9" s="222"/>
      <c r="OFI9" s="222"/>
      <c r="OFJ9" s="222"/>
      <c r="OFK9" s="222"/>
      <c r="OFL9" s="222"/>
      <c r="OFM9" s="222"/>
      <c r="OFN9" s="222"/>
      <c r="OFO9" s="222"/>
      <c r="OFP9" s="222"/>
      <c r="OFQ9" s="222"/>
      <c r="OFR9" s="222"/>
      <c r="OFS9" s="222"/>
      <c r="OFT9" s="222"/>
      <c r="OFU9" s="222"/>
      <c r="OFV9" s="222"/>
      <c r="OFW9" s="222"/>
      <c r="OFX9" s="222"/>
      <c r="OFY9" s="222"/>
      <c r="OFZ9" s="222"/>
      <c r="OGA9" s="222"/>
      <c r="OGB9" s="222"/>
      <c r="OGC9" s="222"/>
      <c r="OGD9" s="222"/>
      <c r="OGE9" s="222"/>
      <c r="OGF9" s="222"/>
      <c r="OGG9" s="222"/>
      <c r="OGH9" s="222"/>
      <c r="OGI9" s="222"/>
      <c r="OGJ9" s="222"/>
      <c r="OGK9" s="222"/>
      <c r="OGL9" s="222"/>
      <c r="OGM9" s="222"/>
      <c r="OGN9" s="222"/>
      <c r="OGO9" s="222"/>
      <c r="OGP9" s="222"/>
      <c r="OGQ9" s="222"/>
      <c r="OGR9" s="222"/>
      <c r="OGS9" s="222"/>
      <c r="OGT9" s="222"/>
      <c r="OGU9" s="222"/>
      <c r="OGV9" s="222"/>
      <c r="OGW9" s="222"/>
      <c r="OGX9" s="222"/>
      <c r="OGY9" s="222"/>
      <c r="OGZ9" s="222"/>
      <c r="OHA9" s="222"/>
      <c r="OHB9" s="222"/>
      <c r="OHC9" s="222"/>
      <c r="OHD9" s="222"/>
      <c r="OHE9" s="222"/>
      <c r="OHF9" s="222"/>
      <c r="OHG9" s="222"/>
      <c r="OHH9" s="222"/>
      <c r="OHI9" s="222"/>
      <c r="OHJ9" s="222"/>
      <c r="OHK9" s="222"/>
      <c r="OHL9" s="222"/>
      <c r="OHM9" s="222"/>
      <c r="OHN9" s="222"/>
      <c r="OHO9" s="222"/>
      <c r="OHP9" s="222"/>
      <c r="OHQ9" s="222"/>
      <c r="OHR9" s="222"/>
      <c r="OHS9" s="222"/>
      <c r="OHT9" s="222"/>
      <c r="OHU9" s="222"/>
      <c r="OHV9" s="222"/>
      <c r="OHW9" s="222"/>
      <c r="OHX9" s="222"/>
      <c r="OHY9" s="222"/>
      <c r="OHZ9" s="222"/>
      <c r="OIA9" s="222"/>
      <c r="OIB9" s="222"/>
      <c r="OIC9" s="222"/>
      <c r="OID9" s="222"/>
      <c r="OIE9" s="222"/>
      <c r="OIF9" s="222"/>
      <c r="OIG9" s="222"/>
      <c r="OIH9" s="222"/>
      <c r="OII9" s="222"/>
      <c r="OIJ9" s="222"/>
      <c r="OIK9" s="222"/>
      <c r="OIL9" s="222"/>
      <c r="OIM9" s="222"/>
      <c r="OIN9" s="222"/>
      <c r="OIO9" s="222"/>
      <c r="OIP9" s="222"/>
      <c r="OIQ9" s="222"/>
      <c r="OIR9" s="222"/>
      <c r="OIS9" s="222"/>
      <c r="OIT9" s="222"/>
      <c r="OIU9" s="222"/>
      <c r="OIV9" s="222"/>
      <c r="OIW9" s="222"/>
      <c r="OIX9" s="222"/>
      <c r="OIY9" s="222"/>
      <c r="OIZ9" s="222"/>
      <c r="OJA9" s="222"/>
      <c r="OJB9" s="222"/>
      <c r="OJC9" s="222"/>
      <c r="OJD9" s="222"/>
      <c r="OJE9" s="222"/>
      <c r="OJF9" s="222"/>
      <c r="OJG9" s="222"/>
      <c r="OJH9" s="222"/>
      <c r="OJI9" s="222"/>
      <c r="OJJ9" s="222"/>
      <c r="OJK9" s="222"/>
      <c r="OJL9" s="222"/>
      <c r="OJM9" s="222"/>
      <c r="OJN9" s="222"/>
      <c r="OJO9" s="222"/>
      <c r="OJP9" s="222"/>
      <c r="OJQ9" s="222"/>
      <c r="OJR9" s="222"/>
      <c r="OJS9" s="222"/>
      <c r="OJT9" s="222"/>
      <c r="OJU9" s="222"/>
      <c r="OJV9" s="222"/>
      <c r="OJW9" s="222"/>
      <c r="OJX9" s="222"/>
      <c r="OJY9" s="222"/>
      <c r="OJZ9" s="222"/>
      <c r="OKA9" s="222"/>
      <c r="OKB9" s="222"/>
      <c r="OKC9" s="222"/>
      <c r="OKD9" s="222"/>
      <c r="OKE9" s="222"/>
      <c r="OKF9" s="222"/>
      <c r="OKG9" s="222"/>
      <c r="OKH9" s="222"/>
      <c r="OKI9" s="222"/>
      <c r="OKJ9" s="222"/>
      <c r="OKK9" s="222"/>
      <c r="OKL9" s="222"/>
      <c r="OKM9" s="222"/>
      <c r="OKN9" s="222"/>
      <c r="OKO9" s="222"/>
      <c r="OKP9" s="222"/>
      <c r="OKQ9" s="222"/>
      <c r="OKR9" s="222"/>
      <c r="OKS9" s="222"/>
      <c r="OKT9" s="222"/>
      <c r="OKU9" s="222"/>
      <c r="OKV9" s="222"/>
      <c r="OKW9" s="222"/>
      <c r="OKX9" s="222"/>
      <c r="OKY9" s="222"/>
      <c r="OKZ9" s="222"/>
      <c r="OLA9" s="222"/>
      <c r="OLB9" s="222"/>
      <c r="OLC9" s="222"/>
      <c r="OLD9" s="222"/>
      <c r="OLE9" s="222"/>
      <c r="OLF9" s="222"/>
      <c r="OLG9" s="222"/>
      <c r="OLH9" s="222"/>
      <c r="OLI9" s="222"/>
      <c r="OLJ9" s="222"/>
      <c r="OLK9" s="222"/>
      <c r="OLL9" s="222"/>
      <c r="OLM9" s="222"/>
      <c r="OLN9" s="222"/>
      <c r="OLO9" s="222"/>
      <c r="OLP9" s="222"/>
      <c r="OLQ9" s="222"/>
      <c r="OLR9" s="222"/>
      <c r="OLS9" s="222"/>
      <c r="OLT9" s="222"/>
      <c r="OLU9" s="222"/>
      <c r="OLV9" s="222"/>
      <c r="OLW9" s="222"/>
      <c r="OLX9" s="222"/>
      <c r="OLY9" s="222"/>
      <c r="OLZ9" s="222"/>
      <c r="OMA9" s="222"/>
      <c r="OMB9" s="222"/>
      <c r="OMC9" s="222"/>
      <c r="OMD9" s="222"/>
      <c r="OME9" s="222"/>
      <c r="OMF9" s="222"/>
      <c r="OMG9" s="222"/>
      <c r="OMH9" s="222"/>
      <c r="OMI9" s="222"/>
      <c r="OMJ9" s="222"/>
      <c r="OMK9" s="222"/>
      <c r="OML9" s="222"/>
      <c r="OMM9" s="222"/>
      <c r="OMN9" s="222"/>
      <c r="OMO9" s="222"/>
      <c r="OMP9" s="222"/>
      <c r="OMQ9" s="222"/>
      <c r="OMR9" s="222"/>
      <c r="OMS9" s="222"/>
      <c r="OMT9" s="222"/>
      <c r="OMU9" s="222"/>
      <c r="OMV9" s="222"/>
      <c r="OMW9" s="222"/>
      <c r="OMX9" s="222"/>
      <c r="OMY9" s="222"/>
      <c r="OMZ9" s="222"/>
      <c r="ONA9" s="222"/>
      <c r="ONB9" s="222"/>
      <c r="ONC9" s="222"/>
      <c r="OND9" s="222"/>
      <c r="ONE9" s="222"/>
      <c r="ONF9" s="222"/>
      <c r="ONG9" s="222"/>
      <c r="ONH9" s="222"/>
      <c r="ONI9" s="222"/>
      <c r="ONJ9" s="222"/>
      <c r="ONK9" s="222"/>
      <c r="ONL9" s="222"/>
      <c r="ONM9" s="222"/>
      <c r="ONN9" s="222"/>
      <c r="ONO9" s="222"/>
      <c r="ONP9" s="222"/>
      <c r="ONQ9" s="222"/>
      <c r="ONR9" s="222"/>
      <c r="ONS9" s="222"/>
      <c r="ONT9" s="222"/>
      <c r="ONU9" s="222"/>
      <c r="ONV9" s="222"/>
      <c r="ONW9" s="222"/>
      <c r="ONX9" s="222"/>
      <c r="ONY9" s="222"/>
      <c r="ONZ9" s="222"/>
      <c r="OOA9" s="222"/>
      <c r="OOB9" s="222"/>
      <c r="OOC9" s="222"/>
      <c r="OOD9" s="222"/>
      <c r="OOE9" s="222"/>
      <c r="OOF9" s="222"/>
      <c r="OOG9" s="222"/>
      <c r="OOH9" s="222"/>
      <c r="OOI9" s="222"/>
      <c r="OOJ9" s="222"/>
      <c r="OOK9" s="222"/>
      <c r="OOL9" s="222"/>
      <c r="OOM9" s="222"/>
      <c r="OON9" s="222"/>
      <c r="OOO9" s="222"/>
      <c r="OOP9" s="222"/>
      <c r="OOQ9" s="222"/>
      <c r="OOR9" s="222"/>
      <c r="OOS9" s="222"/>
      <c r="OOT9" s="222"/>
      <c r="OOU9" s="222"/>
      <c r="OOV9" s="222"/>
      <c r="OOW9" s="222"/>
      <c r="OOX9" s="222"/>
      <c r="OOY9" s="222"/>
      <c r="OOZ9" s="222"/>
      <c r="OPA9" s="222"/>
      <c r="OPB9" s="222"/>
      <c r="OPC9" s="222"/>
      <c r="OPD9" s="222"/>
      <c r="OPE9" s="222"/>
      <c r="OPF9" s="222"/>
      <c r="OPG9" s="222"/>
      <c r="OPH9" s="222"/>
      <c r="OPI9" s="222"/>
      <c r="OPJ9" s="222"/>
      <c r="OPK9" s="222"/>
      <c r="OPL9" s="222"/>
      <c r="OPM9" s="222"/>
      <c r="OPN9" s="222"/>
      <c r="OPO9" s="222"/>
      <c r="OPP9" s="222"/>
      <c r="OPQ9" s="222"/>
      <c r="OPR9" s="222"/>
      <c r="OPS9" s="222"/>
      <c r="OPT9" s="222"/>
      <c r="OPU9" s="222"/>
      <c r="OPV9" s="222"/>
      <c r="OPW9" s="222"/>
      <c r="OPX9" s="222"/>
      <c r="OPY9" s="222"/>
      <c r="OPZ9" s="222"/>
      <c r="OQA9" s="222"/>
      <c r="OQB9" s="222"/>
      <c r="OQC9" s="222"/>
      <c r="OQD9" s="222"/>
      <c r="OQE9" s="222"/>
      <c r="OQF9" s="222"/>
      <c r="OQG9" s="222"/>
      <c r="OQH9" s="222"/>
      <c r="OQI9" s="222"/>
      <c r="OQJ9" s="222"/>
      <c r="OQK9" s="222"/>
      <c r="OQL9" s="222"/>
      <c r="OQM9" s="222"/>
      <c r="OQN9" s="222"/>
      <c r="OQO9" s="222"/>
      <c r="OQP9" s="222"/>
      <c r="OQQ9" s="222"/>
      <c r="OQR9" s="222"/>
      <c r="OQS9" s="222"/>
      <c r="OQT9" s="222"/>
      <c r="OQU9" s="222"/>
      <c r="OQV9" s="222"/>
      <c r="OQW9" s="222"/>
      <c r="OQX9" s="222"/>
      <c r="OQY9" s="222"/>
      <c r="OQZ9" s="222"/>
      <c r="ORA9" s="222"/>
      <c r="ORB9" s="222"/>
      <c r="ORC9" s="222"/>
      <c r="ORD9" s="222"/>
      <c r="ORE9" s="222"/>
      <c r="ORF9" s="222"/>
      <c r="ORG9" s="222"/>
      <c r="ORH9" s="222"/>
      <c r="ORI9" s="222"/>
      <c r="ORJ9" s="222"/>
      <c r="ORK9" s="222"/>
      <c r="ORL9" s="222"/>
      <c r="ORM9" s="222"/>
      <c r="ORN9" s="222"/>
      <c r="ORO9" s="222"/>
      <c r="ORP9" s="222"/>
      <c r="ORQ9" s="222"/>
      <c r="ORR9" s="222"/>
      <c r="ORS9" s="222"/>
      <c r="ORT9" s="222"/>
      <c r="ORU9" s="222"/>
      <c r="ORV9" s="222"/>
      <c r="ORW9" s="222"/>
      <c r="ORX9" s="222"/>
      <c r="ORY9" s="222"/>
      <c r="ORZ9" s="222"/>
      <c r="OSA9" s="222"/>
      <c r="OSB9" s="222"/>
      <c r="OSC9" s="222"/>
      <c r="OSD9" s="222"/>
      <c r="OSE9" s="222"/>
      <c r="OSF9" s="222"/>
      <c r="OSG9" s="222"/>
      <c r="OSH9" s="222"/>
      <c r="OSI9" s="222"/>
      <c r="OSJ9" s="222"/>
      <c r="OSK9" s="222"/>
      <c r="OSL9" s="222"/>
      <c r="OSM9" s="222"/>
      <c r="OSN9" s="222"/>
      <c r="OSO9" s="222"/>
      <c r="OSP9" s="222"/>
      <c r="OSQ9" s="222"/>
      <c r="OSR9" s="222"/>
      <c r="OSS9" s="222"/>
      <c r="OST9" s="222"/>
      <c r="OSU9" s="222"/>
      <c r="OSV9" s="222"/>
      <c r="OSW9" s="222"/>
      <c r="OSX9" s="222"/>
      <c r="OSY9" s="222"/>
      <c r="OSZ9" s="222"/>
      <c r="OTA9" s="222"/>
      <c r="OTB9" s="222"/>
      <c r="OTC9" s="222"/>
      <c r="OTD9" s="222"/>
      <c r="OTE9" s="222"/>
      <c r="OTF9" s="222"/>
      <c r="OTG9" s="222"/>
      <c r="OTH9" s="222"/>
      <c r="OTI9" s="222"/>
      <c r="OTJ9" s="222"/>
      <c r="OTK9" s="222"/>
      <c r="OTL9" s="222"/>
      <c r="OTM9" s="222"/>
      <c r="OTN9" s="222"/>
      <c r="OTO9" s="222"/>
      <c r="OTP9" s="222"/>
      <c r="OTQ9" s="222"/>
      <c r="OTR9" s="222"/>
      <c r="OTS9" s="222"/>
      <c r="OTT9" s="222"/>
      <c r="OTU9" s="222"/>
      <c r="OTV9" s="222"/>
      <c r="OTW9" s="222"/>
      <c r="OTX9" s="222"/>
      <c r="OTY9" s="222"/>
      <c r="OTZ9" s="222"/>
      <c r="OUA9" s="222"/>
      <c r="OUB9" s="222"/>
      <c r="OUC9" s="222"/>
      <c r="OUD9" s="222"/>
      <c r="OUE9" s="222"/>
      <c r="OUF9" s="222"/>
      <c r="OUG9" s="222"/>
      <c r="OUH9" s="222"/>
      <c r="OUI9" s="222"/>
      <c r="OUJ9" s="222"/>
      <c r="OUK9" s="222"/>
      <c r="OUL9" s="222"/>
      <c r="OUM9" s="222"/>
      <c r="OUN9" s="222"/>
      <c r="OUO9" s="222"/>
      <c r="OUP9" s="222"/>
      <c r="OUQ9" s="222"/>
      <c r="OUR9" s="222"/>
      <c r="OUS9" s="222"/>
      <c r="OUT9" s="222"/>
      <c r="OUU9" s="222"/>
      <c r="OUV9" s="222"/>
      <c r="OUW9" s="222"/>
      <c r="OUX9" s="222"/>
      <c r="OUY9" s="222"/>
      <c r="OUZ9" s="222"/>
      <c r="OVA9" s="222"/>
      <c r="OVB9" s="222"/>
      <c r="OVC9" s="222"/>
      <c r="OVD9" s="222"/>
      <c r="OVE9" s="222"/>
      <c r="OVF9" s="222"/>
      <c r="OVG9" s="222"/>
      <c r="OVH9" s="222"/>
      <c r="OVI9" s="222"/>
      <c r="OVJ9" s="222"/>
      <c r="OVK9" s="222"/>
      <c r="OVL9" s="222"/>
      <c r="OVM9" s="222"/>
      <c r="OVN9" s="222"/>
      <c r="OVO9" s="222"/>
      <c r="OVP9" s="222"/>
      <c r="OVQ9" s="222"/>
      <c r="OVR9" s="222"/>
      <c r="OVS9" s="222"/>
      <c r="OVT9" s="222"/>
      <c r="OVU9" s="222"/>
      <c r="OVV9" s="222"/>
      <c r="OVW9" s="222"/>
      <c r="OVX9" s="222"/>
      <c r="OVY9" s="222"/>
      <c r="OVZ9" s="222"/>
      <c r="OWA9" s="222"/>
      <c r="OWB9" s="222"/>
      <c r="OWC9" s="222"/>
      <c r="OWD9" s="222"/>
      <c r="OWE9" s="222"/>
      <c r="OWF9" s="222"/>
      <c r="OWG9" s="222"/>
      <c r="OWH9" s="222"/>
      <c r="OWI9" s="222"/>
      <c r="OWJ9" s="222"/>
      <c r="OWK9" s="222"/>
      <c r="OWL9" s="222"/>
      <c r="OWM9" s="222"/>
      <c r="OWN9" s="222"/>
      <c r="OWO9" s="222"/>
      <c r="OWP9" s="222"/>
      <c r="OWQ9" s="222"/>
      <c r="OWR9" s="222"/>
      <c r="OWS9" s="222"/>
      <c r="OWT9" s="222"/>
      <c r="OWU9" s="222"/>
      <c r="OWV9" s="222"/>
      <c r="OWW9" s="222"/>
      <c r="OWX9" s="222"/>
      <c r="OWY9" s="222"/>
      <c r="OWZ9" s="222"/>
      <c r="OXA9" s="222"/>
      <c r="OXB9" s="222"/>
      <c r="OXC9" s="222"/>
      <c r="OXD9" s="222"/>
      <c r="OXE9" s="222"/>
      <c r="OXF9" s="222"/>
      <c r="OXG9" s="222"/>
      <c r="OXH9" s="222"/>
      <c r="OXI9" s="222"/>
      <c r="OXJ9" s="222"/>
      <c r="OXK9" s="222"/>
      <c r="OXL9" s="222"/>
      <c r="OXM9" s="222"/>
      <c r="OXN9" s="222"/>
      <c r="OXO9" s="222"/>
      <c r="OXP9" s="222"/>
      <c r="OXQ9" s="222"/>
      <c r="OXR9" s="222"/>
      <c r="OXS9" s="222"/>
      <c r="OXT9" s="222"/>
      <c r="OXU9" s="222"/>
      <c r="OXV9" s="222"/>
      <c r="OXW9" s="222"/>
      <c r="OXX9" s="222"/>
      <c r="OXY9" s="222"/>
      <c r="OXZ9" s="222"/>
      <c r="OYA9" s="222"/>
      <c r="OYB9" s="222"/>
      <c r="OYC9" s="222"/>
      <c r="OYD9" s="222"/>
      <c r="OYE9" s="222"/>
      <c r="OYF9" s="222"/>
      <c r="OYG9" s="222"/>
      <c r="OYH9" s="222"/>
      <c r="OYI9" s="222"/>
      <c r="OYJ9" s="222"/>
      <c r="OYK9" s="222"/>
      <c r="OYL9" s="222"/>
      <c r="OYM9" s="222"/>
      <c r="OYN9" s="222"/>
      <c r="OYO9" s="222"/>
      <c r="OYP9" s="222"/>
      <c r="OYQ9" s="222"/>
      <c r="OYR9" s="222"/>
      <c r="OYS9" s="222"/>
      <c r="OYT9" s="222"/>
      <c r="OYU9" s="222"/>
      <c r="OYV9" s="222"/>
      <c r="OYW9" s="222"/>
      <c r="OYX9" s="222"/>
      <c r="OYY9" s="222"/>
      <c r="OYZ9" s="222"/>
      <c r="OZA9" s="222"/>
      <c r="OZB9" s="222"/>
      <c r="OZC9" s="222"/>
      <c r="OZD9" s="222"/>
      <c r="OZE9" s="222"/>
      <c r="OZF9" s="222"/>
      <c r="OZG9" s="222"/>
      <c r="OZH9" s="222"/>
      <c r="OZI9" s="222"/>
      <c r="OZJ9" s="222"/>
      <c r="OZK9" s="222"/>
      <c r="OZL9" s="222"/>
      <c r="OZM9" s="222"/>
      <c r="OZN9" s="222"/>
      <c r="OZO9" s="222"/>
      <c r="OZP9" s="222"/>
      <c r="OZQ9" s="222"/>
      <c r="OZR9" s="222"/>
      <c r="OZS9" s="222"/>
      <c r="OZT9" s="222"/>
      <c r="OZU9" s="222"/>
      <c r="OZV9" s="222"/>
      <c r="OZW9" s="222"/>
      <c r="OZX9" s="222"/>
      <c r="OZY9" s="222"/>
      <c r="OZZ9" s="222"/>
      <c r="PAA9" s="222"/>
      <c r="PAB9" s="222"/>
      <c r="PAC9" s="222"/>
      <c r="PAD9" s="222"/>
      <c r="PAE9" s="222"/>
      <c r="PAF9" s="222"/>
      <c r="PAG9" s="222"/>
      <c r="PAH9" s="222"/>
      <c r="PAI9" s="222"/>
      <c r="PAJ9" s="222"/>
      <c r="PAK9" s="222"/>
      <c r="PAL9" s="222"/>
      <c r="PAM9" s="222"/>
      <c r="PAN9" s="222"/>
      <c r="PAO9" s="222"/>
      <c r="PAP9" s="222"/>
      <c r="PAQ9" s="222"/>
      <c r="PAR9" s="222"/>
      <c r="PAS9" s="222"/>
      <c r="PAT9" s="222"/>
      <c r="PAU9" s="222"/>
      <c r="PAV9" s="222"/>
      <c r="PAW9" s="222"/>
      <c r="PAX9" s="222"/>
      <c r="PAY9" s="222"/>
      <c r="PAZ9" s="222"/>
      <c r="PBA9" s="222"/>
      <c r="PBB9" s="222"/>
      <c r="PBC9" s="222"/>
      <c r="PBD9" s="222"/>
      <c r="PBE9" s="222"/>
      <c r="PBF9" s="222"/>
      <c r="PBG9" s="222"/>
      <c r="PBH9" s="222"/>
      <c r="PBI9" s="222"/>
      <c r="PBJ9" s="222"/>
      <c r="PBK9" s="222"/>
      <c r="PBL9" s="222"/>
      <c r="PBM9" s="222"/>
      <c r="PBN9" s="222"/>
      <c r="PBO9" s="222"/>
      <c r="PBP9" s="222"/>
      <c r="PBQ9" s="222"/>
      <c r="PBR9" s="222"/>
      <c r="PBS9" s="222"/>
      <c r="PBT9" s="222"/>
      <c r="PBU9" s="222"/>
      <c r="PBV9" s="222"/>
      <c r="PBW9" s="222"/>
      <c r="PBX9" s="222"/>
      <c r="PBY9" s="222"/>
      <c r="PBZ9" s="222"/>
      <c r="PCA9" s="222"/>
      <c r="PCB9" s="222"/>
      <c r="PCC9" s="222"/>
      <c r="PCD9" s="222"/>
      <c r="PCE9" s="222"/>
      <c r="PCF9" s="222"/>
      <c r="PCG9" s="222"/>
      <c r="PCH9" s="222"/>
      <c r="PCI9" s="222"/>
      <c r="PCJ9" s="222"/>
      <c r="PCK9" s="222"/>
      <c r="PCL9" s="222"/>
      <c r="PCM9" s="222"/>
      <c r="PCN9" s="222"/>
      <c r="PCO9" s="222"/>
      <c r="PCP9" s="222"/>
      <c r="PCQ9" s="222"/>
      <c r="PCR9" s="222"/>
      <c r="PCS9" s="222"/>
      <c r="PCT9" s="222"/>
      <c r="PCU9" s="222"/>
      <c r="PCV9" s="222"/>
      <c r="PCW9" s="222"/>
      <c r="PCX9" s="222"/>
      <c r="PCY9" s="222"/>
      <c r="PCZ9" s="222"/>
      <c r="PDA9" s="222"/>
      <c r="PDB9" s="222"/>
      <c r="PDC9" s="222"/>
      <c r="PDD9" s="222"/>
      <c r="PDE9" s="222"/>
      <c r="PDF9" s="222"/>
      <c r="PDG9" s="222"/>
      <c r="PDH9" s="222"/>
      <c r="PDI9" s="222"/>
      <c r="PDJ9" s="222"/>
      <c r="PDK9" s="222"/>
      <c r="PDL9" s="222"/>
      <c r="PDM9" s="222"/>
      <c r="PDN9" s="222"/>
      <c r="PDO9" s="222"/>
      <c r="PDP9" s="222"/>
      <c r="PDQ9" s="222"/>
      <c r="PDR9" s="222"/>
      <c r="PDS9" s="222"/>
      <c r="PDT9" s="222"/>
      <c r="PDU9" s="222"/>
      <c r="PDV9" s="222"/>
      <c r="PDW9" s="222"/>
      <c r="PDX9" s="222"/>
      <c r="PDY9" s="222"/>
      <c r="PDZ9" s="222"/>
      <c r="PEA9" s="222"/>
      <c r="PEB9" s="222"/>
      <c r="PEC9" s="222"/>
      <c r="PED9" s="222"/>
      <c r="PEE9" s="222"/>
      <c r="PEF9" s="222"/>
      <c r="PEG9" s="222"/>
      <c r="PEH9" s="222"/>
      <c r="PEI9" s="222"/>
      <c r="PEJ9" s="222"/>
      <c r="PEK9" s="222"/>
      <c r="PEL9" s="222"/>
      <c r="PEM9" s="222"/>
      <c r="PEN9" s="222"/>
      <c r="PEO9" s="222"/>
      <c r="PEP9" s="222"/>
      <c r="PEQ9" s="222"/>
      <c r="PER9" s="222"/>
      <c r="PES9" s="222"/>
      <c r="PET9" s="222"/>
      <c r="PEU9" s="222"/>
      <c r="PEV9" s="222"/>
      <c r="PEW9" s="222"/>
      <c r="PEX9" s="222"/>
      <c r="PEY9" s="222"/>
      <c r="PEZ9" s="222"/>
      <c r="PFA9" s="222"/>
      <c r="PFB9" s="222"/>
      <c r="PFC9" s="222"/>
      <c r="PFD9" s="222"/>
      <c r="PFE9" s="222"/>
      <c r="PFF9" s="222"/>
      <c r="PFG9" s="222"/>
      <c r="PFH9" s="222"/>
      <c r="PFI9" s="222"/>
      <c r="PFJ9" s="222"/>
      <c r="PFK9" s="222"/>
      <c r="PFL9" s="222"/>
      <c r="PFM9" s="222"/>
      <c r="PFN9" s="222"/>
      <c r="PFO9" s="222"/>
      <c r="PFP9" s="222"/>
      <c r="PFQ9" s="222"/>
      <c r="PFR9" s="222"/>
      <c r="PFS9" s="222"/>
      <c r="PFT9" s="222"/>
      <c r="PFU9" s="222"/>
      <c r="PFV9" s="222"/>
      <c r="PFW9" s="222"/>
      <c r="PFX9" s="222"/>
      <c r="PFY9" s="222"/>
      <c r="PFZ9" s="222"/>
      <c r="PGA9" s="222"/>
      <c r="PGB9" s="222"/>
      <c r="PGC9" s="222"/>
      <c r="PGD9" s="222"/>
      <c r="PGE9" s="222"/>
      <c r="PGF9" s="222"/>
      <c r="PGG9" s="222"/>
      <c r="PGH9" s="222"/>
      <c r="PGI9" s="222"/>
      <c r="PGJ9" s="222"/>
      <c r="PGK9" s="222"/>
      <c r="PGL9" s="222"/>
      <c r="PGM9" s="222"/>
      <c r="PGN9" s="222"/>
      <c r="PGO9" s="222"/>
      <c r="PGP9" s="222"/>
      <c r="PGQ9" s="222"/>
      <c r="PGR9" s="222"/>
      <c r="PGS9" s="222"/>
      <c r="PGT9" s="222"/>
      <c r="PGU9" s="222"/>
      <c r="PGV9" s="222"/>
      <c r="PGW9" s="222"/>
      <c r="PGX9" s="222"/>
      <c r="PGY9" s="222"/>
      <c r="PGZ9" s="222"/>
      <c r="PHA9" s="222"/>
      <c r="PHB9" s="222"/>
      <c r="PHC9" s="222"/>
      <c r="PHD9" s="222"/>
      <c r="PHE9" s="222"/>
      <c r="PHF9" s="222"/>
      <c r="PHG9" s="222"/>
      <c r="PHH9" s="222"/>
      <c r="PHI9" s="222"/>
      <c r="PHJ9" s="222"/>
      <c r="PHK9" s="222"/>
      <c r="PHL9" s="222"/>
      <c r="PHM9" s="222"/>
      <c r="PHN9" s="222"/>
      <c r="PHO9" s="222"/>
      <c r="PHP9" s="222"/>
      <c r="PHQ9" s="222"/>
      <c r="PHR9" s="222"/>
      <c r="PHS9" s="222"/>
      <c r="PHT9" s="222"/>
      <c r="PHU9" s="222"/>
      <c r="PHV9" s="222"/>
      <c r="PHW9" s="222"/>
      <c r="PHX9" s="222"/>
      <c r="PHY9" s="222"/>
      <c r="PHZ9" s="222"/>
      <c r="PIA9" s="222"/>
      <c r="PIB9" s="222"/>
      <c r="PIC9" s="222"/>
      <c r="PID9" s="222"/>
      <c r="PIE9" s="222"/>
      <c r="PIF9" s="222"/>
      <c r="PIG9" s="222"/>
      <c r="PIH9" s="222"/>
      <c r="PII9" s="222"/>
      <c r="PIJ9" s="222"/>
      <c r="PIK9" s="222"/>
      <c r="PIL9" s="222"/>
      <c r="PIM9" s="222"/>
      <c r="PIN9" s="222"/>
      <c r="PIO9" s="222"/>
      <c r="PIP9" s="222"/>
      <c r="PIQ9" s="222"/>
      <c r="PIR9" s="222"/>
      <c r="PIS9" s="222"/>
      <c r="PIT9" s="222"/>
      <c r="PIU9" s="222"/>
      <c r="PIV9" s="222"/>
      <c r="PIW9" s="222"/>
      <c r="PIX9" s="222"/>
      <c r="PIY9" s="222"/>
      <c r="PIZ9" s="222"/>
      <c r="PJA9" s="222"/>
      <c r="PJB9" s="222"/>
      <c r="PJC9" s="222"/>
      <c r="PJD9" s="222"/>
      <c r="PJE9" s="222"/>
      <c r="PJF9" s="222"/>
      <c r="PJG9" s="222"/>
      <c r="PJH9" s="222"/>
      <c r="PJI9" s="222"/>
      <c r="PJJ9" s="222"/>
      <c r="PJK9" s="222"/>
      <c r="PJL9" s="222"/>
      <c r="PJM9" s="222"/>
      <c r="PJN9" s="222"/>
      <c r="PJO9" s="222"/>
      <c r="PJP9" s="222"/>
      <c r="PJQ9" s="222"/>
      <c r="PJR9" s="222"/>
      <c r="PJS9" s="222"/>
      <c r="PJT9" s="222"/>
      <c r="PJU9" s="222"/>
      <c r="PJV9" s="222"/>
      <c r="PJW9" s="222"/>
      <c r="PJX9" s="222"/>
      <c r="PJY9" s="222"/>
      <c r="PJZ9" s="222"/>
      <c r="PKA9" s="222"/>
      <c r="PKB9" s="222"/>
      <c r="PKC9" s="222"/>
      <c r="PKD9" s="222"/>
      <c r="PKE9" s="222"/>
      <c r="PKF9" s="222"/>
      <c r="PKG9" s="222"/>
      <c r="PKH9" s="222"/>
      <c r="PKI9" s="222"/>
      <c r="PKJ9" s="222"/>
      <c r="PKK9" s="222"/>
      <c r="PKL9" s="222"/>
      <c r="PKM9" s="222"/>
      <c r="PKN9" s="222"/>
      <c r="PKO9" s="222"/>
      <c r="PKP9" s="222"/>
      <c r="PKQ9" s="222"/>
      <c r="PKR9" s="222"/>
      <c r="PKS9" s="222"/>
      <c r="PKT9" s="222"/>
      <c r="PKU9" s="222"/>
      <c r="PKV9" s="222"/>
      <c r="PKW9" s="222"/>
      <c r="PKX9" s="222"/>
      <c r="PKY9" s="222"/>
      <c r="PKZ9" s="222"/>
      <c r="PLA9" s="222"/>
      <c r="PLB9" s="222"/>
      <c r="PLC9" s="222"/>
      <c r="PLD9" s="222"/>
      <c r="PLE9" s="222"/>
      <c r="PLF9" s="222"/>
      <c r="PLG9" s="222"/>
      <c r="PLH9" s="222"/>
      <c r="PLI9" s="222"/>
      <c r="PLJ9" s="222"/>
      <c r="PLK9" s="222"/>
      <c r="PLL9" s="222"/>
      <c r="PLM9" s="222"/>
      <c r="PLN9" s="222"/>
      <c r="PLO9" s="222"/>
      <c r="PLP9" s="222"/>
      <c r="PLQ9" s="222"/>
      <c r="PLR9" s="222"/>
      <c r="PLS9" s="222"/>
      <c r="PLT9" s="222"/>
      <c r="PLU9" s="222"/>
      <c r="PLV9" s="222"/>
      <c r="PLW9" s="222"/>
      <c r="PLX9" s="222"/>
      <c r="PLY9" s="222"/>
      <c r="PLZ9" s="222"/>
      <c r="PMA9" s="222"/>
      <c r="PMB9" s="222"/>
      <c r="PMC9" s="222"/>
      <c r="PMD9" s="222"/>
      <c r="PME9" s="222"/>
      <c r="PMF9" s="222"/>
      <c r="PMG9" s="222"/>
      <c r="PMH9" s="222"/>
      <c r="PMI9" s="222"/>
      <c r="PMJ9" s="222"/>
      <c r="PMK9" s="222"/>
      <c r="PML9" s="222"/>
      <c r="PMM9" s="222"/>
      <c r="PMN9" s="222"/>
      <c r="PMO9" s="222"/>
      <c r="PMP9" s="222"/>
      <c r="PMQ9" s="222"/>
      <c r="PMR9" s="222"/>
      <c r="PMS9" s="222"/>
      <c r="PMT9" s="222"/>
      <c r="PMU9" s="222"/>
      <c r="PMV9" s="222"/>
      <c r="PMW9" s="222"/>
      <c r="PMX9" s="222"/>
      <c r="PMY9" s="222"/>
      <c r="PMZ9" s="222"/>
      <c r="PNA9" s="222"/>
      <c r="PNB9" s="222"/>
      <c r="PNC9" s="222"/>
      <c r="PND9" s="222"/>
      <c r="PNE9" s="222"/>
      <c r="PNF9" s="222"/>
      <c r="PNG9" s="222"/>
      <c r="PNH9" s="222"/>
      <c r="PNI9" s="222"/>
      <c r="PNJ9" s="222"/>
      <c r="PNK9" s="222"/>
      <c r="PNL9" s="222"/>
      <c r="PNM9" s="222"/>
      <c r="PNN9" s="222"/>
      <c r="PNO9" s="222"/>
      <c r="PNP9" s="222"/>
      <c r="PNQ9" s="222"/>
      <c r="PNR9" s="222"/>
      <c r="PNS9" s="222"/>
      <c r="PNT9" s="222"/>
      <c r="PNU9" s="222"/>
      <c r="PNV9" s="222"/>
      <c r="PNW9" s="222"/>
      <c r="PNX9" s="222"/>
      <c r="PNY9" s="222"/>
      <c r="PNZ9" s="222"/>
      <c r="POA9" s="222"/>
      <c r="POB9" s="222"/>
      <c r="POC9" s="222"/>
      <c r="POD9" s="222"/>
      <c r="POE9" s="222"/>
      <c r="POF9" s="222"/>
      <c r="POG9" s="222"/>
      <c r="POH9" s="222"/>
      <c r="POI9" s="222"/>
      <c r="POJ9" s="222"/>
      <c r="POK9" s="222"/>
      <c r="POL9" s="222"/>
      <c r="POM9" s="222"/>
      <c r="PON9" s="222"/>
      <c r="POO9" s="222"/>
      <c r="POP9" s="222"/>
      <c r="POQ9" s="222"/>
      <c r="POR9" s="222"/>
      <c r="POS9" s="222"/>
      <c r="POT9" s="222"/>
      <c r="POU9" s="222"/>
      <c r="POV9" s="222"/>
      <c r="POW9" s="222"/>
      <c r="POX9" s="222"/>
      <c r="POY9" s="222"/>
      <c r="POZ9" s="222"/>
      <c r="PPA9" s="222"/>
      <c r="PPB9" s="222"/>
      <c r="PPC9" s="222"/>
      <c r="PPD9" s="222"/>
      <c r="PPE9" s="222"/>
      <c r="PPF9" s="222"/>
      <c r="PPG9" s="222"/>
      <c r="PPH9" s="222"/>
      <c r="PPI9" s="222"/>
      <c r="PPJ9" s="222"/>
      <c r="PPK9" s="222"/>
      <c r="PPL9" s="222"/>
      <c r="PPM9" s="222"/>
      <c r="PPN9" s="222"/>
      <c r="PPO9" s="222"/>
      <c r="PPP9" s="222"/>
      <c r="PPQ9" s="222"/>
      <c r="PPR9" s="222"/>
      <c r="PPS9" s="222"/>
      <c r="PPT9" s="222"/>
      <c r="PPU9" s="222"/>
      <c r="PPV9" s="222"/>
      <c r="PPW9" s="222"/>
      <c r="PPX9" s="222"/>
      <c r="PPY9" s="222"/>
      <c r="PPZ9" s="222"/>
      <c r="PQA9" s="222"/>
      <c r="PQB9" s="222"/>
      <c r="PQC9" s="222"/>
      <c r="PQD9" s="222"/>
      <c r="PQE9" s="222"/>
      <c r="PQF9" s="222"/>
      <c r="PQG9" s="222"/>
      <c r="PQH9" s="222"/>
      <c r="PQI9" s="222"/>
      <c r="PQJ9" s="222"/>
      <c r="PQK9" s="222"/>
      <c r="PQL9" s="222"/>
      <c r="PQM9" s="222"/>
      <c r="PQN9" s="222"/>
      <c r="PQO9" s="222"/>
      <c r="PQP9" s="222"/>
      <c r="PQQ9" s="222"/>
      <c r="PQR9" s="222"/>
      <c r="PQS9" s="222"/>
      <c r="PQT9" s="222"/>
      <c r="PQU9" s="222"/>
      <c r="PQV9" s="222"/>
      <c r="PQW9" s="222"/>
      <c r="PQX9" s="222"/>
      <c r="PQY9" s="222"/>
      <c r="PQZ9" s="222"/>
      <c r="PRA9" s="222"/>
      <c r="PRB9" s="222"/>
      <c r="PRC9" s="222"/>
      <c r="PRD9" s="222"/>
      <c r="PRE9" s="222"/>
      <c r="PRF9" s="222"/>
      <c r="PRG9" s="222"/>
      <c r="PRH9" s="222"/>
      <c r="PRI9" s="222"/>
      <c r="PRJ9" s="222"/>
      <c r="PRK9" s="222"/>
      <c r="PRL9" s="222"/>
      <c r="PRM9" s="222"/>
      <c r="PRN9" s="222"/>
      <c r="PRO9" s="222"/>
      <c r="PRP9" s="222"/>
      <c r="PRQ9" s="222"/>
      <c r="PRR9" s="222"/>
      <c r="PRS9" s="222"/>
      <c r="PRT9" s="222"/>
      <c r="PRU9" s="222"/>
      <c r="PRV9" s="222"/>
      <c r="PRW9" s="222"/>
      <c r="PRX9" s="222"/>
      <c r="PRY9" s="222"/>
      <c r="PRZ9" s="222"/>
      <c r="PSA9" s="222"/>
      <c r="PSB9" s="222"/>
      <c r="PSC9" s="222"/>
      <c r="PSD9" s="222"/>
      <c r="PSE9" s="222"/>
      <c r="PSF9" s="222"/>
      <c r="PSG9" s="222"/>
      <c r="PSH9" s="222"/>
      <c r="PSI9" s="222"/>
      <c r="PSJ9" s="222"/>
      <c r="PSK9" s="222"/>
      <c r="PSL9" s="222"/>
      <c r="PSM9" s="222"/>
      <c r="PSN9" s="222"/>
      <c r="PSO9" s="222"/>
      <c r="PSP9" s="222"/>
      <c r="PSQ9" s="222"/>
      <c r="PSR9" s="222"/>
      <c r="PSS9" s="222"/>
      <c r="PST9" s="222"/>
      <c r="PSU9" s="222"/>
      <c r="PSV9" s="222"/>
      <c r="PSW9" s="222"/>
      <c r="PSX9" s="222"/>
      <c r="PSY9" s="222"/>
      <c r="PSZ9" s="222"/>
      <c r="PTA9" s="222"/>
      <c r="PTB9" s="222"/>
      <c r="PTC9" s="222"/>
      <c r="PTD9" s="222"/>
      <c r="PTE9" s="222"/>
      <c r="PTF9" s="222"/>
      <c r="PTG9" s="222"/>
      <c r="PTH9" s="222"/>
      <c r="PTI9" s="222"/>
      <c r="PTJ9" s="222"/>
      <c r="PTK9" s="222"/>
      <c r="PTL9" s="222"/>
      <c r="PTM9" s="222"/>
      <c r="PTN9" s="222"/>
      <c r="PTO9" s="222"/>
      <c r="PTP9" s="222"/>
      <c r="PTQ9" s="222"/>
      <c r="PTR9" s="222"/>
      <c r="PTS9" s="222"/>
      <c r="PTT9" s="222"/>
      <c r="PTU9" s="222"/>
      <c r="PTV9" s="222"/>
      <c r="PTW9" s="222"/>
      <c r="PTX9" s="222"/>
      <c r="PTY9" s="222"/>
      <c r="PTZ9" s="222"/>
      <c r="PUA9" s="222"/>
      <c r="PUB9" s="222"/>
      <c r="PUC9" s="222"/>
      <c r="PUD9" s="222"/>
      <c r="PUE9" s="222"/>
      <c r="PUF9" s="222"/>
      <c r="PUG9" s="222"/>
      <c r="PUH9" s="222"/>
      <c r="PUI9" s="222"/>
      <c r="PUJ9" s="222"/>
      <c r="PUK9" s="222"/>
      <c r="PUL9" s="222"/>
      <c r="PUM9" s="222"/>
      <c r="PUN9" s="222"/>
      <c r="PUO9" s="222"/>
      <c r="PUP9" s="222"/>
      <c r="PUQ9" s="222"/>
      <c r="PUR9" s="222"/>
      <c r="PUS9" s="222"/>
      <c r="PUT9" s="222"/>
      <c r="PUU9" s="222"/>
      <c r="PUV9" s="222"/>
      <c r="PUW9" s="222"/>
      <c r="PUX9" s="222"/>
      <c r="PUY9" s="222"/>
      <c r="PUZ9" s="222"/>
      <c r="PVA9" s="222"/>
      <c r="PVB9" s="222"/>
      <c r="PVC9" s="222"/>
      <c r="PVD9" s="222"/>
      <c r="PVE9" s="222"/>
      <c r="PVF9" s="222"/>
      <c r="PVG9" s="222"/>
      <c r="PVH9" s="222"/>
      <c r="PVI9" s="222"/>
      <c r="PVJ9" s="222"/>
      <c r="PVK9" s="222"/>
      <c r="PVL9" s="222"/>
      <c r="PVM9" s="222"/>
      <c r="PVN9" s="222"/>
      <c r="PVO9" s="222"/>
      <c r="PVP9" s="222"/>
      <c r="PVQ9" s="222"/>
      <c r="PVR9" s="222"/>
      <c r="PVS9" s="222"/>
      <c r="PVT9" s="222"/>
      <c r="PVU9" s="222"/>
      <c r="PVV9" s="222"/>
      <c r="PVW9" s="222"/>
      <c r="PVX9" s="222"/>
      <c r="PVY9" s="222"/>
      <c r="PVZ9" s="222"/>
      <c r="PWA9" s="222"/>
      <c r="PWB9" s="222"/>
      <c r="PWC9" s="222"/>
      <c r="PWD9" s="222"/>
      <c r="PWE9" s="222"/>
      <c r="PWF9" s="222"/>
      <c r="PWG9" s="222"/>
      <c r="PWH9" s="222"/>
      <c r="PWI9" s="222"/>
      <c r="PWJ9" s="222"/>
      <c r="PWK9" s="222"/>
      <c r="PWL9" s="222"/>
      <c r="PWM9" s="222"/>
      <c r="PWN9" s="222"/>
      <c r="PWO9" s="222"/>
      <c r="PWP9" s="222"/>
      <c r="PWQ9" s="222"/>
      <c r="PWR9" s="222"/>
      <c r="PWS9" s="222"/>
      <c r="PWT9" s="222"/>
      <c r="PWU9" s="222"/>
      <c r="PWV9" s="222"/>
      <c r="PWW9" s="222"/>
      <c r="PWX9" s="222"/>
      <c r="PWY9" s="222"/>
      <c r="PWZ9" s="222"/>
      <c r="PXA9" s="222"/>
      <c r="PXB9" s="222"/>
      <c r="PXC9" s="222"/>
      <c r="PXD9" s="222"/>
      <c r="PXE9" s="222"/>
      <c r="PXF9" s="222"/>
      <c r="PXG9" s="222"/>
      <c r="PXH9" s="222"/>
      <c r="PXI9" s="222"/>
      <c r="PXJ9" s="222"/>
      <c r="PXK9" s="222"/>
      <c r="PXL9" s="222"/>
      <c r="PXM9" s="222"/>
      <c r="PXN9" s="222"/>
      <c r="PXO9" s="222"/>
      <c r="PXP9" s="222"/>
      <c r="PXQ9" s="222"/>
      <c r="PXR9" s="222"/>
      <c r="PXS9" s="222"/>
      <c r="PXT9" s="222"/>
      <c r="PXU9" s="222"/>
      <c r="PXV9" s="222"/>
      <c r="PXW9" s="222"/>
      <c r="PXX9" s="222"/>
      <c r="PXY9" s="222"/>
      <c r="PXZ9" s="222"/>
      <c r="PYA9" s="222"/>
      <c r="PYB9" s="222"/>
      <c r="PYC9" s="222"/>
      <c r="PYD9" s="222"/>
      <c r="PYE9" s="222"/>
      <c r="PYF9" s="222"/>
      <c r="PYG9" s="222"/>
      <c r="PYH9" s="222"/>
      <c r="PYI9" s="222"/>
      <c r="PYJ9" s="222"/>
      <c r="PYK9" s="222"/>
      <c r="PYL9" s="222"/>
      <c r="PYM9" s="222"/>
      <c r="PYN9" s="222"/>
      <c r="PYO9" s="222"/>
      <c r="PYP9" s="222"/>
      <c r="PYQ9" s="222"/>
      <c r="PYR9" s="222"/>
      <c r="PYS9" s="222"/>
      <c r="PYT9" s="222"/>
      <c r="PYU9" s="222"/>
      <c r="PYV9" s="222"/>
      <c r="PYW9" s="222"/>
      <c r="PYX9" s="222"/>
      <c r="PYY9" s="222"/>
      <c r="PYZ9" s="222"/>
      <c r="PZA9" s="222"/>
      <c r="PZB9" s="222"/>
      <c r="PZC9" s="222"/>
      <c r="PZD9" s="222"/>
      <c r="PZE9" s="222"/>
      <c r="PZF9" s="222"/>
      <c r="PZG9" s="222"/>
      <c r="PZH9" s="222"/>
      <c r="PZI9" s="222"/>
      <c r="PZJ9" s="222"/>
      <c r="PZK9" s="222"/>
      <c r="PZL9" s="222"/>
      <c r="PZM9" s="222"/>
      <c r="PZN9" s="222"/>
      <c r="PZO9" s="222"/>
      <c r="PZP9" s="222"/>
      <c r="PZQ9" s="222"/>
      <c r="PZR9" s="222"/>
      <c r="PZS9" s="222"/>
      <c r="PZT9" s="222"/>
      <c r="PZU9" s="222"/>
      <c r="PZV9" s="222"/>
      <c r="PZW9" s="222"/>
      <c r="PZX9" s="222"/>
      <c r="PZY9" s="222"/>
      <c r="PZZ9" s="222"/>
      <c r="QAA9" s="222"/>
      <c r="QAB9" s="222"/>
      <c r="QAC9" s="222"/>
      <c r="QAD9" s="222"/>
      <c r="QAE9" s="222"/>
      <c r="QAF9" s="222"/>
      <c r="QAG9" s="222"/>
      <c r="QAH9" s="222"/>
      <c r="QAI9" s="222"/>
      <c r="QAJ9" s="222"/>
      <c r="QAK9" s="222"/>
      <c r="QAL9" s="222"/>
      <c r="QAM9" s="222"/>
      <c r="QAN9" s="222"/>
      <c r="QAO9" s="222"/>
      <c r="QAP9" s="222"/>
      <c r="QAQ9" s="222"/>
      <c r="QAR9" s="222"/>
      <c r="QAS9" s="222"/>
      <c r="QAT9" s="222"/>
      <c r="QAU9" s="222"/>
      <c r="QAV9" s="222"/>
      <c r="QAW9" s="222"/>
      <c r="QAX9" s="222"/>
      <c r="QAY9" s="222"/>
      <c r="QAZ9" s="222"/>
      <c r="QBA9" s="222"/>
      <c r="QBB9" s="222"/>
      <c r="QBC9" s="222"/>
      <c r="QBD9" s="222"/>
      <c r="QBE9" s="222"/>
      <c r="QBF9" s="222"/>
      <c r="QBG9" s="222"/>
      <c r="QBH9" s="222"/>
      <c r="QBI9" s="222"/>
      <c r="QBJ9" s="222"/>
      <c r="QBK9" s="222"/>
      <c r="QBL9" s="222"/>
      <c r="QBM9" s="222"/>
      <c r="QBN9" s="222"/>
      <c r="QBO9" s="222"/>
      <c r="QBP9" s="222"/>
      <c r="QBQ9" s="222"/>
      <c r="QBR9" s="222"/>
      <c r="QBS9" s="222"/>
      <c r="QBT9" s="222"/>
      <c r="QBU9" s="222"/>
      <c r="QBV9" s="222"/>
      <c r="QBW9" s="222"/>
      <c r="QBX9" s="222"/>
      <c r="QBY9" s="222"/>
      <c r="QBZ9" s="222"/>
      <c r="QCA9" s="222"/>
      <c r="QCB9" s="222"/>
      <c r="QCC9" s="222"/>
      <c r="QCD9" s="222"/>
      <c r="QCE9" s="222"/>
      <c r="QCF9" s="222"/>
      <c r="QCG9" s="222"/>
      <c r="QCH9" s="222"/>
      <c r="QCI9" s="222"/>
      <c r="QCJ9" s="222"/>
      <c r="QCK9" s="222"/>
      <c r="QCL9" s="222"/>
      <c r="QCM9" s="222"/>
      <c r="QCN9" s="222"/>
      <c r="QCO9" s="222"/>
      <c r="QCP9" s="222"/>
      <c r="QCQ9" s="222"/>
      <c r="QCR9" s="222"/>
      <c r="QCS9" s="222"/>
      <c r="QCT9" s="222"/>
      <c r="QCU9" s="222"/>
      <c r="QCV9" s="222"/>
      <c r="QCW9" s="222"/>
      <c r="QCX9" s="222"/>
      <c r="QCY9" s="222"/>
      <c r="QCZ9" s="222"/>
      <c r="QDA9" s="222"/>
      <c r="QDB9" s="222"/>
      <c r="QDC9" s="222"/>
      <c r="QDD9" s="222"/>
      <c r="QDE9" s="222"/>
      <c r="QDF9" s="222"/>
      <c r="QDG9" s="222"/>
      <c r="QDH9" s="222"/>
      <c r="QDI9" s="222"/>
      <c r="QDJ9" s="222"/>
      <c r="QDK9" s="222"/>
      <c r="QDL9" s="222"/>
      <c r="QDM9" s="222"/>
      <c r="QDN9" s="222"/>
      <c r="QDO9" s="222"/>
      <c r="QDP9" s="222"/>
      <c r="QDQ9" s="222"/>
      <c r="QDR9" s="222"/>
      <c r="QDS9" s="222"/>
      <c r="QDT9" s="222"/>
      <c r="QDU9" s="222"/>
      <c r="QDV9" s="222"/>
      <c r="QDW9" s="222"/>
      <c r="QDX9" s="222"/>
      <c r="QDY9" s="222"/>
      <c r="QDZ9" s="222"/>
      <c r="QEA9" s="222"/>
      <c r="QEB9" s="222"/>
      <c r="QEC9" s="222"/>
      <c r="QED9" s="222"/>
      <c r="QEE9" s="222"/>
      <c r="QEF9" s="222"/>
      <c r="QEG9" s="222"/>
      <c r="QEH9" s="222"/>
      <c r="QEI9" s="222"/>
      <c r="QEJ9" s="222"/>
      <c r="QEK9" s="222"/>
      <c r="QEL9" s="222"/>
      <c r="QEM9" s="222"/>
      <c r="QEN9" s="222"/>
      <c r="QEO9" s="222"/>
      <c r="QEP9" s="222"/>
      <c r="QEQ9" s="222"/>
      <c r="QER9" s="222"/>
      <c r="QES9" s="222"/>
      <c r="QET9" s="222"/>
      <c r="QEU9" s="222"/>
      <c r="QEV9" s="222"/>
      <c r="QEW9" s="222"/>
      <c r="QEX9" s="222"/>
      <c r="QEY9" s="222"/>
      <c r="QEZ9" s="222"/>
      <c r="QFA9" s="222"/>
      <c r="QFB9" s="222"/>
      <c r="QFC9" s="222"/>
      <c r="QFD9" s="222"/>
      <c r="QFE9" s="222"/>
      <c r="QFF9" s="222"/>
      <c r="QFG9" s="222"/>
      <c r="QFH9" s="222"/>
      <c r="QFI9" s="222"/>
      <c r="QFJ9" s="222"/>
      <c r="QFK9" s="222"/>
      <c r="QFL9" s="222"/>
      <c r="QFM9" s="222"/>
      <c r="QFN9" s="222"/>
      <c r="QFO9" s="222"/>
      <c r="QFP9" s="222"/>
      <c r="QFQ9" s="222"/>
      <c r="QFR9" s="222"/>
      <c r="QFS9" s="222"/>
      <c r="QFT9" s="222"/>
      <c r="QFU9" s="222"/>
      <c r="QFV9" s="222"/>
      <c r="QFW9" s="222"/>
      <c r="QFX9" s="222"/>
      <c r="QFY9" s="222"/>
      <c r="QFZ9" s="222"/>
      <c r="QGA9" s="222"/>
      <c r="QGB9" s="222"/>
      <c r="QGC9" s="222"/>
      <c r="QGD9" s="222"/>
      <c r="QGE9" s="222"/>
      <c r="QGF9" s="222"/>
      <c r="QGG9" s="222"/>
      <c r="QGH9" s="222"/>
      <c r="QGI9" s="222"/>
      <c r="QGJ9" s="222"/>
      <c r="QGK9" s="222"/>
      <c r="QGL9" s="222"/>
      <c r="QGM9" s="222"/>
      <c r="QGN9" s="222"/>
      <c r="QGO9" s="222"/>
      <c r="QGP9" s="222"/>
      <c r="QGQ9" s="222"/>
      <c r="QGR9" s="222"/>
      <c r="QGS9" s="222"/>
      <c r="QGT9" s="222"/>
      <c r="QGU9" s="222"/>
      <c r="QGV9" s="222"/>
      <c r="QGW9" s="222"/>
      <c r="QGX9" s="222"/>
      <c r="QGY9" s="222"/>
      <c r="QGZ9" s="222"/>
      <c r="QHA9" s="222"/>
      <c r="QHB9" s="222"/>
      <c r="QHC9" s="222"/>
      <c r="QHD9" s="222"/>
      <c r="QHE9" s="222"/>
      <c r="QHF9" s="222"/>
      <c r="QHG9" s="222"/>
      <c r="QHH9" s="222"/>
      <c r="QHI9" s="222"/>
      <c r="QHJ9" s="222"/>
      <c r="QHK9" s="222"/>
      <c r="QHL9" s="222"/>
      <c r="QHM9" s="222"/>
      <c r="QHN9" s="222"/>
      <c r="QHO9" s="222"/>
      <c r="QHP9" s="222"/>
      <c r="QHQ9" s="222"/>
      <c r="QHR9" s="222"/>
      <c r="QHS9" s="222"/>
      <c r="QHT9" s="222"/>
      <c r="QHU9" s="222"/>
      <c r="QHV9" s="222"/>
      <c r="QHW9" s="222"/>
      <c r="QHX9" s="222"/>
      <c r="QHY9" s="222"/>
      <c r="QHZ9" s="222"/>
      <c r="QIA9" s="222"/>
      <c r="QIB9" s="222"/>
      <c r="QIC9" s="222"/>
      <c r="QID9" s="222"/>
      <c r="QIE9" s="222"/>
      <c r="QIF9" s="222"/>
      <c r="QIG9" s="222"/>
      <c r="QIH9" s="222"/>
      <c r="QII9" s="222"/>
      <c r="QIJ9" s="222"/>
      <c r="QIK9" s="222"/>
      <c r="QIL9" s="222"/>
      <c r="QIM9" s="222"/>
      <c r="QIN9" s="222"/>
      <c r="QIO9" s="222"/>
      <c r="QIP9" s="222"/>
      <c r="QIQ9" s="222"/>
      <c r="QIR9" s="222"/>
      <c r="QIS9" s="222"/>
      <c r="QIT9" s="222"/>
      <c r="QIU9" s="222"/>
      <c r="QIV9" s="222"/>
      <c r="QIW9" s="222"/>
      <c r="QIX9" s="222"/>
      <c r="QIY9" s="222"/>
      <c r="QIZ9" s="222"/>
      <c r="QJA9" s="222"/>
      <c r="QJB9" s="222"/>
      <c r="QJC9" s="222"/>
      <c r="QJD9" s="222"/>
      <c r="QJE9" s="222"/>
      <c r="QJF9" s="222"/>
      <c r="QJG9" s="222"/>
      <c r="QJH9" s="222"/>
      <c r="QJI9" s="222"/>
      <c r="QJJ9" s="222"/>
      <c r="QJK9" s="222"/>
      <c r="QJL9" s="222"/>
      <c r="QJM9" s="222"/>
      <c r="QJN9" s="222"/>
      <c r="QJO9" s="222"/>
      <c r="QJP9" s="222"/>
      <c r="QJQ9" s="222"/>
      <c r="QJR9" s="222"/>
      <c r="QJS9" s="222"/>
      <c r="QJT9" s="222"/>
      <c r="QJU9" s="222"/>
      <c r="QJV9" s="222"/>
      <c r="QJW9" s="222"/>
      <c r="QJX9" s="222"/>
      <c r="QJY9" s="222"/>
      <c r="QJZ9" s="222"/>
      <c r="QKA9" s="222"/>
      <c r="QKB9" s="222"/>
      <c r="QKC9" s="222"/>
      <c r="QKD9" s="222"/>
      <c r="QKE9" s="222"/>
      <c r="QKF9" s="222"/>
      <c r="QKG9" s="222"/>
      <c r="QKH9" s="222"/>
      <c r="QKI9" s="222"/>
      <c r="QKJ9" s="222"/>
      <c r="QKK9" s="222"/>
      <c r="QKL9" s="222"/>
      <c r="QKM9" s="222"/>
      <c r="QKN9" s="222"/>
      <c r="QKO9" s="222"/>
      <c r="QKP9" s="222"/>
      <c r="QKQ9" s="222"/>
      <c r="QKR9" s="222"/>
      <c r="QKS9" s="222"/>
      <c r="QKT9" s="222"/>
      <c r="QKU9" s="222"/>
      <c r="QKV9" s="222"/>
      <c r="QKW9" s="222"/>
      <c r="QKX9" s="222"/>
      <c r="QKY9" s="222"/>
      <c r="QKZ9" s="222"/>
      <c r="QLA9" s="222"/>
      <c r="QLB9" s="222"/>
      <c r="QLC9" s="222"/>
      <c r="QLD9" s="222"/>
      <c r="QLE9" s="222"/>
      <c r="QLF9" s="222"/>
      <c r="QLG9" s="222"/>
      <c r="QLH9" s="222"/>
      <c r="QLI9" s="222"/>
      <c r="QLJ9" s="222"/>
      <c r="QLK9" s="222"/>
      <c r="QLL9" s="222"/>
      <c r="QLM9" s="222"/>
      <c r="QLN9" s="222"/>
      <c r="QLO9" s="222"/>
      <c r="QLP9" s="222"/>
      <c r="QLQ9" s="222"/>
      <c r="QLR9" s="222"/>
      <c r="QLS9" s="222"/>
      <c r="QLT9" s="222"/>
      <c r="QLU9" s="222"/>
      <c r="QLV9" s="222"/>
      <c r="QLW9" s="222"/>
      <c r="QLX9" s="222"/>
      <c r="QLY9" s="222"/>
      <c r="QLZ9" s="222"/>
      <c r="QMA9" s="222"/>
      <c r="QMB9" s="222"/>
      <c r="QMC9" s="222"/>
      <c r="QMD9" s="222"/>
      <c r="QME9" s="222"/>
      <c r="QMF9" s="222"/>
      <c r="QMG9" s="222"/>
      <c r="QMH9" s="222"/>
      <c r="QMI9" s="222"/>
      <c r="QMJ9" s="222"/>
      <c r="QMK9" s="222"/>
      <c r="QML9" s="222"/>
      <c r="QMM9" s="222"/>
      <c r="QMN9" s="222"/>
      <c r="QMO9" s="222"/>
      <c r="QMP9" s="222"/>
      <c r="QMQ9" s="222"/>
      <c r="QMR9" s="222"/>
      <c r="QMS9" s="222"/>
      <c r="QMT9" s="222"/>
      <c r="QMU9" s="222"/>
      <c r="QMV9" s="222"/>
      <c r="QMW9" s="222"/>
      <c r="QMX9" s="222"/>
      <c r="QMY9" s="222"/>
      <c r="QMZ9" s="222"/>
      <c r="QNA9" s="222"/>
      <c r="QNB9" s="222"/>
      <c r="QNC9" s="222"/>
      <c r="QND9" s="222"/>
      <c r="QNE9" s="222"/>
      <c r="QNF9" s="222"/>
      <c r="QNG9" s="222"/>
      <c r="QNH9" s="222"/>
      <c r="QNI9" s="222"/>
      <c r="QNJ9" s="222"/>
      <c r="QNK9" s="222"/>
      <c r="QNL9" s="222"/>
      <c r="QNM9" s="222"/>
      <c r="QNN9" s="222"/>
      <c r="QNO9" s="222"/>
      <c r="QNP9" s="222"/>
      <c r="QNQ9" s="222"/>
      <c r="QNR9" s="222"/>
      <c r="QNS9" s="222"/>
      <c r="QNT9" s="222"/>
      <c r="QNU9" s="222"/>
      <c r="QNV9" s="222"/>
      <c r="QNW9" s="222"/>
      <c r="QNX9" s="222"/>
      <c r="QNY9" s="222"/>
      <c r="QNZ9" s="222"/>
      <c r="QOA9" s="222"/>
      <c r="QOB9" s="222"/>
      <c r="QOC9" s="222"/>
      <c r="QOD9" s="222"/>
      <c r="QOE9" s="222"/>
      <c r="QOF9" s="222"/>
      <c r="QOG9" s="222"/>
      <c r="QOH9" s="222"/>
      <c r="QOI9" s="222"/>
      <c r="QOJ9" s="222"/>
      <c r="QOK9" s="222"/>
      <c r="QOL9" s="222"/>
      <c r="QOM9" s="222"/>
      <c r="QON9" s="222"/>
      <c r="QOO9" s="222"/>
      <c r="QOP9" s="222"/>
      <c r="QOQ9" s="222"/>
      <c r="QOR9" s="222"/>
      <c r="QOS9" s="222"/>
      <c r="QOT9" s="222"/>
      <c r="QOU9" s="222"/>
      <c r="QOV9" s="222"/>
      <c r="QOW9" s="222"/>
      <c r="QOX9" s="222"/>
      <c r="QOY9" s="222"/>
      <c r="QOZ9" s="222"/>
      <c r="QPA9" s="222"/>
      <c r="QPB9" s="222"/>
      <c r="QPC9" s="222"/>
      <c r="QPD9" s="222"/>
      <c r="QPE9" s="222"/>
      <c r="QPF9" s="222"/>
      <c r="QPG9" s="222"/>
      <c r="QPH9" s="222"/>
      <c r="QPI9" s="222"/>
      <c r="QPJ9" s="222"/>
      <c r="QPK9" s="222"/>
      <c r="QPL9" s="222"/>
      <c r="QPM9" s="222"/>
      <c r="QPN9" s="222"/>
      <c r="QPO9" s="222"/>
      <c r="QPP9" s="222"/>
      <c r="QPQ9" s="222"/>
      <c r="QPR9" s="222"/>
      <c r="QPS9" s="222"/>
      <c r="QPT9" s="222"/>
      <c r="QPU9" s="222"/>
      <c r="QPV9" s="222"/>
      <c r="QPW9" s="222"/>
      <c r="QPX9" s="222"/>
      <c r="QPY9" s="222"/>
      <c r="QPZ9" s="222"/>
      <c r="QQA9" s="222"/>
      <c r="QQB9" s="222"/>
      <c r="QQC9" s="222"/>
      <c r="QQD9" s="222"/>
      <c r="QQE9" s="222"/>
      <c r="QQF9" s="222"/>
      <c r="QQG9" s="222"/>
      <c r="QQH9" s="222"/>
      <c r="QQI9" s="222"/>
      <c r="QQJ9" s="222"/>
      <c r="QQK9" s="222"/>
      <c r="QQL9" s="222"/>
      <c r="QQM9" s="222"/>
      <c r="QQN9" s="222"/>
      <c r="QQO9" s="222"/>
      <c r="QQP9" s="222"/>
      <c r="QQQ9" s="222"/>
      <c r="QQR9" s="222"/>
      <c r="QQS9" s="222"/>
      <c r="QQT9" s="222"/>
      <c r="QQU9" s="222"/>
      <c r="QQV9" s="222"/>
      <c r="QQW9" s="222"/>
      <c r="QQX9" s="222"/>
      <c r="QQY9" s="222"/>
      <c r="QQZ9" s="222"/>
      <c r="QRA9" s="222"/>
      <c r="QRB9" s="222"/>
      <c r="QRC9" s="222"/>
      <c r="QRD9" s="222"/>
      <c r="QRE9" s="222"/>
      <c r="QRF9" s="222"/>
      <c r="QRG9" s="222"/>
      <c r="QRH9" s="222"/>
      <c r="QRI9" s="222"/>
      <c r="QRJ9" s="222"/>
      <c r="QRK9" s="222"/>
      <c r="QRL9" s="222"/>
      <c r="QRM9" s="222"/>
      <c r="QRN9" s="222"/>
      <c r="QRO9" s="222"/>
      <c r="QRP9" s="222"/>
      <c r="QRQ9" s="222"/>
      <c r="QRR9" s="222"/>
      <c r="QRS9" s="222"/>
      <c r="QRT9" s="222"/>
      <c r="QRU9" s="222"/>
      <c r="QRV9" s="222"/>
      <c r="QRW9" s="222"/>
      <c r="QRX9" s="222"/>
      <c r="QRY9" s="222"/>
      <c r="QRZ9" s="222"/>
      <c r="QSA9" s="222"/>
      <c r="QSB9" s="222"/>
      <c r="QSC9" s="222"/>
      <c r="QSD9" s="222"/>
      <c r="QSE9" s="222"/>
      <c r="QSF9" s="222"/>
      <c r="QSG9" s="222"/>
      <c r="QSH9" s="222"/>
      <c r="QSI9" s="222"/>
      <c r="QSJ9" s="222"/>
      <c r="QSK9" s="222"/>
      <c r="QSL9" s="222"/>
      <c r="QSM9" s="222"/>
      <c r="QSN9" s="222"/>
      <c r="QSO9" s="222"/>
      <c r="QSP9" s="222"/>
      <c r="QSQ9" s="222"/>
      <c r="QSR9" s="222"/>
      <c r="QSS9" s="222"/>
      <c r="QST9" s="222"/>
      <c r="QSU9" s="222"/>
      <c r="QSV9" s="222"/>
      <c r="QSW9" s="222"/>
      <c r="QSX9" s="222"/>
      <c r="QSY9" s="222"/>
      <c r="QSZ9" s="222"/>
      <c r="QTA9" s="222"/>
      <c r="QTB9" s="222"/>
      <c r="QTC9" s="222"/>
      <c r="QTD9" s="222"/>
      <c r="QTE9" s="222"/>
      <c r="QTF9" s="222"/>
      <c r="QTG9" s="222"/>
      <c r="QTH9" s="222"/>
      <c r="QTI9" s="222"/>
      <c r="QTJ9" s="222"/>
      <c r="QTK9" s="222"/>
      <c r="QTL9" s="222"/>
      <c r="QTM9" s="222"/>
      <c r="QTN9" s="222"/>
      <c r="QTO9" s="222"/>
      <c r="QTP9" s="222"/>
      <c r="QTQ9" s="222"/>
      <c r="QTR9" s="222"/>
      <c r="QTS9" s="222"/>
      <c r="QTT9" s="222"/>
      <c r="QTU9" s="222"/>
      <c r="QTV9" s="222"/>
      <c r="QTW9" s="222"/>
      <c r="QTX9" s="222"/>
      <c r="QTY9" s="222"/>
      <c r="QTZ9" s="222"/>
      <c r="QUA9" s="222"/>
      <c r="QUB9" s="222"/>
      <c r="QUC9" s="222"/>
      <c r="QUD9" s="222"/>
      <c r="QUE9" s="222"/>
      <c r="QUF9" s="222"/>
      <c r="QUG9" s="222"/>
      <c r="QUH9" s="222"/>
      <c r="QUI9" s="222"/>
      <c r="QUJ9" s="222"/>
      <c r="QUK9" s="222"/>
      <c r="QUL9" s="222"/>
      <c r="QUM9" s="222"/>
      <c r="QUN9" s="222"/>
      <c r="QUO9" s="222"/>
      <c r="QUP9" s="222"/>
      <c r="QUQ9" s="222"/>
      <c r="QUR9" s="222"/>
      <c r="QUS9" s="222"/>
      <c r="QUT9" s="222"/>
      <c r="QUU9" s="222"/>
      <c r="QUV9" s="222"/>
      <c r="QUW9" s="222"/>
      <c r="QUX9" s="222"/>
      <c r="QUY9" s="222"/>
      <c r="QUZ9" s="222"/>
      <c r="QVA9" s="222"/>
      <c r="QVB9" s="222"/>
      <c r="QVC9" s="222"/>
      <c r="QVD9" s="222"/>
      <c r="QVE9" s="222"/>
      <c r="QVF9" s="222"/>
      <c r="QVG9" s="222"/>
      <c r="QVH9" s="222"/>
      <c r="QVI9" s="222"/>
      <c r="QVJ9" s="222"/>
      <c r="QVK9" s="222"/>
      <c r="QVL9" s="222"/>
      <c r="QVM9" s="222"/>
      <c r="QVN9" s="222"/>
      <c r="QVO9" s="222"/>
      <c r="QVP9" s="222"/>
      <c r="QVQ9" s="222"/>
      <c r="QVR9" s="222"/>
      <c r="QVS9" s="222"/>
      <c r="QVT9" s="222"/>
      <c r="QVU9" s="222"/>
      <c r="QVV9" s="222"/>
      <c r="QVW9" s="222"/>
      <c r="QVX9" s="222"/>
      <c r="QVY9" s="222"/>
      <c r="QVZ9" s="222"/>
      <c r="QWA9" s="222"/>
      <c r="QWB9" s="222"/>
      <c r="QWC9" s="222"/>
      <c r="QWD9" s="222"/>
      <c r="QWE9" s="222"/>
      <c r="QWF9" s="222"/>
      <c r="QWG9" s="222"/>
      <c r="QWH9" s="222"/>
      <c r="QWI9" s="222"/>
      <c r="QWJ9" s="222"/>
      <c r="QWK9" s="222"/>
      <c r="QWL9" s="222"/>
      <c r="QWM9" s="222"/>
      <c r="QWN9" s="222"/>
      <c r="QWO9" s="222"/>
      <c r="QWP9" s="222"/>
      <c r="QWQ9" s="222"/>
      <c r="QWR9" s="222"/>
      <c r="QWS9" s="222"/>
      <c r="QWT9" s="222"/>
      <c r="QWU9" s="222"/>
      <c r="QWV9" s="222"/>
      <c r="QWW9" s="222"/>
      <c r="QWX9" s="222"/>
      <c r="QWY9" s="222"/>
      <c r="QWZ9" s="222"/>
      <c r="QXA9" s="222"/>
      <c r="QXB9" s="222"/>
      <c r="QXC9" s="222"/>
      <c r="QXD9" s="222"/>
      <c r="QXE9" s="222"/>
      <c r="QXF9" s="222"/>
      <c r="QXG9" s="222"/>
      <c r="QXH9" s="222"/>
      <c r="QXI9" s="222"/>
      <c r="QXJ9" s="222"/>
      <c r="QXK9" s="222"/>
      <c r="QXL9" s="222"/>
      <c r="QXM9" s="222"/>
      <c r="QXN9" s="222"/>
      <c r="QXO9" s="222"/>
      <c r="QXP9" s="222"/>
      <c r="QXQ9" s="222"/>
      <c r="QXR9" s="222"/>
      <c r="QXS9" s="222"/>
      <c r="QXT9" s="222"/>
      <c r="QXU9" s="222"/>
      <c r="QXV9" s="222"/>
      <c r="QXW9" s="222"/>
      <c r="QXX9" s="222"/>
      <c r="QXY9" s="222"/>
      <c r="QXZ9" s="222"/>
      <c r="QYA9" s="222"/>
      <c r="QYB9" s="222"/>
      <c r="QYC9" s="222"/>
      <c r="QYD9" s="222"/>
      <c r="QYE9" s="222"/>
      <c r="QYF9" s="222"/>
      <c r="QYG9" s="222"/>
      <c r="QYH9" s="222"/>
      <c r="QYI9" s="222"/>
      <c r="QYJ9" s="222"/>
      <c r="QYK9" s="222"/>
      <c r="QYL9" s="222"/>
      <c r="QYM9" s="222"/>
      <c r="QYN9" s="222"/>
      <c r="QYO9" s="222"/>
      <c r="QYP9" s="222"/>
      <c r="QYQ9" s="222"/>
      <c r="QYR9" s="222"/>
      <c r="QYS9" s="222"/>
      <c r="QYT9" s="222"/>
      <c r="QYU9" s="222"/>
      <c r="QYV9" s="222"/>
      <c r="QYW9" s="222"/>
      <c r="QYX9" s="222"/>
      <c r="QYY9" s="222"/>
      <c r="QYZ9" s="222"/>
      <c r="QZA9" s="222"/>
      <c r="QZB9" s="222"/>
      <c r="QZC9" s="222"/>
      <c r="QZD9" s="222"/>
      <c r="QZE9" s="222"/>
      <c r="QZF9" s="222"/>
      <c r="QZG9" s="222"/>
      <c r="QZH9" s="222"/>
      <c r="QZI9" s="222"/>
      <c r="QZJ9" s="222"/>
      <c r="QZK9" s="222"/>
      <c r="QZL9" s="222"/>
      <c r="QZM9" s="222"/>
      <c r="QZN9" s="222"/>
      <c r="QZO9" s="222"/>
      <c r="QZP9" s="222"/>
      <c r="QZQ9" s="222"/>
      <c r="QZR9" s="222"/>
      <c r="QZS9" s="222"/>
      <c r="QZT9" s="222"/>
      <c r="QZU9" s="222"/>
      <c r="QZV9" s="222"/>
      <c r="QZW9" s="222"/>
      <c r="QZX9" s="222"/>
      <c r="QZY9" s="222"/>
      <c r="QZZ9" s="222"/>
      <c r="RAA9" s="222"/>
      <c r="RAB9" s="222"/>
      <c r="RAC9" s="222"/>
      <c r="RAD9" s="222"/>
      <c r="RAE9" s="222"/>
      <c r="RAF9" s="222"/>
      <c r="RAG9" s="222"/>
      <c r="RAH9" s="222"/>
      <c r="RAI9" s="222"/>
      <c r="RAJ9" s="222"/>
      <c r="RAK9" s="222"/>
      <c r="RAL9" s="222"/>
      <c r="RAM9" s="222"/>
      <c r="RAN9" s="222"/>
      <c r="RAO9" s="222"/>
      <c r="RAP9" s="222"/>
      <c r="RAQ9" s="222"/>
      <c r="RAR9" s="222"/>
      <c r="RAS9" s="222"/>
      <c r="RAT9" s="222"/>
      <c r="RAU9" s="222"/>
      <c r="RAV9" s="222"/>
      <c r="RAW9" s="222"/>
      <c r="RAX9" s="222"/>
      <c r="RAY9" s="222"/>
      <c r="RAZ9" s="222"/>
      <c r="RBA9" s="222"/>
      <c r="RBB9" s="222"/>
      <c r="RBC9" s="222"/>
      <c r="RBD9" s="222"/>
      <c r="RBE9" s="222"/>
      <c r="RBF9" s="222"/>
      <c r="RBG9" s="222"/>
      <c r="RBH9" s="222"/>
      <c r="RBI9" s="222"/>
      <c r="RBJ9" s="222"/>
      <c r="RBK9" s="222"/>
      <c r="RBL9" s="222"/>
      <c r="RBM9" s="222"/>
      <c r="RBN9" s="222"/>
      <c r="RBO9" s="222"/>
      <c r="RBP9" s="222"/>
      <c r="RBQ9" s="222"/>
      <c r="RBR9" s="222"/>
      <c r="RBS9" s="222"/>
      <c r="RBT9" s="222"/>
      <c r="RBU9" s="222"/>
      <c r="RBV9" s="222"/>
      <c r="RBW9" s="222"/>
      <c r="RBX9" s="222"/>
      <c r="RBY9" s="222"/>
      <c r="RBZ9" s="222"/>
      <c r="RCA9" s="222"/>
      <c r="RCB9" s="222"/>
      <c r="RCC9" s="222"/>
      <c r="RCD9" s="222"/>
      <c r="RCE9" s="222"/>
      <c r="RCF9" s="222"/>
      <c r="RCG9" s="222"/>
      <c r="RCH9" s="222"/>
      <c r="RCI9" s="222"/>
      <c r="RCJ9" s="222"/>
      <c r="RCK9" s="222"/>
      <c r="RCL9" s="222"/>
      <c r="RCM9" s="222"/>
      <c r="RCN9" s="222"/>
      <c r="RCO9" s="222"/>
      <c r="RCP9" s="222"/>
      <c r="RCQ9" s="222"/>
      <c r="RCR9" s="222"/>
      <c r="RCS9" s="222"/>
      <c r="RCT9" s="222"/>
      <c r="RCU9" s="222"/>
      <c r="RCV9" s="222"/>
      <c r="RCW9" s="222"/>
      <c r="RCX9" s="222"/>
      <c r="RCY9" s="222"/>
      <c r="RCZ9" s="222"/>
      <c r="RDA9" s="222"/>
      <c r="RDB9" s="222"/>
      <c r="RDC9" s="222"/>
      <c r="RDD9" s="222"/>
      <c r="RDE9" s="222"/>
      <c r="RDF9" s="222"/>
      <c r="RDG9" s="222"/>
      <c r="RDH9" s="222"/>
      <c r="RDI9" s="222"/>
      <c r="RDJ9" s="222"/>
      <c r="RDK9" s="222"/>
      <c r="RDL9" s="222"/>
      <c r="RDM9" s="222"/>
      <c r="RDN9" s="222"/>
      <c r="RDO9" s="222"/>
      <c r="RDP9" s="222"/>
      <c r="RDQ9" s="222"/>
      <c r="RDR9" s="222"/>
      <c r="RDS9" s="222"/>
      <c r="RDT9" s="222"/>
      <c r="RDU9" s="222"/>
      <c r="RDV9" s="222"/>
      <c r="RDW9" s="222"/>
      <c r="RDX9" s="222"/>
      <c r="RDY9" s="222"/>
      <c r="RDZ9" s="222"/>
      <c r="REA9" s="222"/>
      <c r="REB9" s="222"/>
      <c r="REC9" s="222"/>
      <c r="RED9" s="222"/>
      <c r="REE9" s="222"/>
      <c r="REF9" s="222"/>
      <c r="REG9" s="222"/>
      <c r="REH9" s="222"/>
      <c r="REI9" s="222"/>
      <c r="REJ9" s="222"/>
      <c r="REK9" s="222"/>
      <c r="REL9" s="222"/>
      <c r="REM9" s="222"/>
      <c r="REN9" s="222"/>
      <c r="REO9" s="222"/>
      <c r="REP9" s="222"/>
      <c r="REQ9" s="222"/>
      <c r="RER9" s="222"/>
      <c r="RES9" s="222"/>
      <c r="RET9" s="222"/>
      <c r="REU9" s="222"/>
      <c r="REV9" s="222"/>
      <c r="REW9" s="222"/>
      <c r="REX9" s="222"/>
      <c r="REY9" s="222"/>
      <c r="REZ9" s="222"/>
      <c r="RFA9" s="222"/>
      <c r="RFB9" s="222"/>
      <c r="RFC9" s="222"/>
      <c r="RFD9" s="222"/>
      <c r="RFE9" s="222"/>
      <c r="RFF9" s="222"/>
      <c r="RFG9" s="222"/>
      <c r="RFH9" s="222"/>
      <c r="RFI9" s="222"/>
      <c r="RFJ9" s="222"/>
      <c r="RFK9" s="222"/>
      <c r="RFL9" s="222"/>
      <c r="RFM9" s="222"/>
      <c r="RFN9" s="222"/>
      <c r="RFO9" s="222"/>
      <c r="RFP9" s="222"/>
      <c r="RFQ9" s="222"/>
      <c r="RFR9" s="222"/>
      <c r="RFS9" s="222"/>
      <c r="RFT9" s="222"/>
      <c r="RFU9" s="222"/>
      <c r="RFV9" s="222"/>
      <c r="RFW9" s="222"/>
      <c r="RFX9" s="222"/>
      <c r="RFY9" s="222"/>
      <c r="RFZ9" s="222"/>
      <c r="RGA9" s="222"/>
      <c r="RGB9" s="222"/>
      <c r="RGC9" s="222"/>
      <c r="RGD9" s="222"/>
      <c r="RGE9" s="222"/>
      <c r="RGF9" s="222"/>
      <c r="RGG9" s="222"/>
      <c r="RGH9" s="222"/>
      <c r="RGI9" s="222"/>
      <c r="RGJ9" s="222"/>
      <c r="RGK9" s="222"/>
      <c r="RGL9" s="222"/>
      <c r="RGM9" s="222"/>
      <c r="RGN9" s="222"/>
      <c r="RGO9" s="222"/>
      <c r="RGP9" s="222"/>
      <c r="RGQ9" s="222"/>
      <c r="RGR9" s="222"/>
      <c r="RGS9" s="222"/>
      <c r="RGT9" s="222"/>
      <c r="RGU9" s="222"/>
      <c r="RGV9" s="222"/>
      <c r="RGW9" s="222"/>
      <c r="RGX9" s="222"/>
      <c r="RGY9" s="222"/>
      <c r="RGZ9" s="222"/>
      <c r="RHA9" s="222"/>
      <c r="RHB9" s="222"/>
      <c r="RHC9" s="222"/>
      <c r="RHD9" s="222"/>
      <c r="RHE9" s="222"/>
      <c r="RHF9" s="222"/>
      <c r="RHG9" s="222"/>
      <c r="RHH9" s="222"/>
      <c r="RHI9" s="222"/>
      <c r="RHJ9" s="222"/>
      <c r="RHK9" s="222"/>
      <c r="RHL9" s="222"/>
      <c r="RHM9" s="222"/>
      <c r="RHN9" s="222"/>
      <c r="RHO9" s="222"/>
      <c r="RHP9" s="222"/>
      <c r="RHQ9" s="222"/>
      <c r="RHR9" s="222"/>
      <c r="RHS9" s="222"/>
      <c r="RHT9" s="222"/>
      <c r="RHU9" s="222"/>
      <c r="RHV9" s="222"/>
      <c r="RHW9" s="222"/>
      <c r="RHX9" s="222"/>
      <c r="RHY9" s="222"/>
      <c r="RHZ9" s="222"/>
      <c r="RIA9" s="222"/>
      <c r="RIB9" s="222"/>
      <c r="RIC9" s="222"/>
      <c r="RID9" s="222"/>
      <c r="RIE9" s="222"/>
      <c r="RIF9" s="222"/>
      <c r="RIG9" s="222"/>
      <c r="RIH9" s="222"/>
      <c r="RII9" s="222"/>
      <c r="RIJ9" s="222"/>
      <c r="RIK9" s="222"/>
      <c r="RIL9" s="222"/>
      <c r="RIM9" s="222"/>
      <c r="RIN9" s="222"/>
      <c r="RIO9" s="222"/>
      <c r="RIP9" s="222"/>
      <c r="RIQ9" s="222"/>
      <c r="RIR9" s="222"/>
      <c r="RIS9" s="222"/>
      <c r="RIT9" s="222"/>
      <c r="RIU9" s="222"/>
      <c r="RIV9" s="222"/>
      <c r="RIW9" s="222"/>
      <c r="RIX9" s="222"/>
      <c r="RIY9" s="222"/>
      <c r="RIZ9" s="222"/>
      <c r="RJA9" s="222"/>
      <c r="RJB9" s="222"/>
      <c r="RJC9" s="222"/>
      <c r="RJD9" s="222"/>
      <c r="RJE9" s="222"/>
      <c r="RJF9" s="222"/>
      <c r="RJG9" s="222"/>
      <c r="RJH9" s="222"/>
      <c r="RJI9" s="222"/>
      <c r="RJJ9" s="222"/>
      <c r="RJK9" s="222"/>
      <c r="RJL9" s="222"/>
      <c r="RJM9" s="222"/>
      <c r="RJN9" s="222"/>
      <c r="RJO9" s="222"/>
      <c r="RJP9" s="222"/>
      <c r="RJQ9" s="222"/>
      <c r="RJR9" s="222"/>
      <c r="RJS9" s="222"/>
      <c r="RJT9" s="222"/>
      <c r="RJU9" s="222"/>
      <c r="RJV9" s="222"/>
      <c r="RJW9" s="222"/>
      <c r="RJX9" s="222"/>
      <c r="RJY9" s="222"/>
      <c r="RJZ9" s="222"/>
      <c r="RKA9" s="222"/>
      <c r="RKB9" s="222"/>
      <c r="RKC9" s="222"/>
      <c r="RKD9" s="222"/>
      <c r="RKE9" s="222"/>
      <c r="RKF9" s="222"/>
      <c r="RKG9" s="222"/>
      <c r="RKH9" s="222"/>
      <c r="RKI9" s="222"/>
      <c r="RKJ9" s="222"/>
      <c r="RKK9" s="222"/>
      <c r="RKL9" s="222"/>
      <c r="RKM9" s="222"/>
      <c r="RKN9" s="222"/>
      <c r="RKO9" s="222"/>
      <c r="RKP9" s="222"/>
      <c r="RKQ9" s="222"/>
      <c r="RKR9" s="222"/>
      <c r="RKS9" s="222"/>
      <c r="RKT9" s="222"/>
      <c r="RKU9" s="222"/>
      <c r="RKV9" s="222"/>
      <c r="RKW9" s="222"/>
      <c r="RKX9" s="222"/>
      <c r="RKY9" s="222"/>
      <c r="RKZ9" s="222"/>
      <c r="RLA9" s="222"/>
      <c r="RLB9" s="222"/>
      <c r="RLC9" s="222"/>
      <c r="RLD9" s="222"/>
      <c r="RLE9" s="222"/>
      <c r="RLF9" s="222"/>
      <c r="RLG9" s="222"/>
      <c r="RLH9" s="222"/>
      <c r="RLI9" s="222"/>
      <c r="RLJ9" s="222"/>
      <c r="RLK9" s="222"/>
      <c r="RLL9" s="222"/>
      <c r="RLM9" s="222"/>
      <c r="RLN9" s="222"/>
      <c r="RLO9" s="222"/>
      <c r="RLP9" s="222"/>
      <c r="RLQ9" s="222"/>
      <c r="RLR9" s="222"/>
      <c r="RLS9" s="222"/>
      <c r="RLT9" s="222"/>
      <c r="RLU9" s="222"/>
      <c r="RLV9" s="222"/>
      <c r="RLW9" s="222"/>
      <c r="RLX9" s="222"/>
      <c r="RLY9" s="222"/>
      <c r="RLZ9" s="222"/>
      <c r="RMA9" s="222"/>
      <c r="RMB9" s="222"/>
      <c r="RMC9" s="222"/>
      <c r="RMD9" s="222"/>
      <c r="RME9" s="222"/>
      <c r="RMF9" s="222"/>
      <c r="RMG9" s="222"/>
      <c r="RMH9" s="222"/>
      <c r="RMI9" s="222"/>
      <c r="RMJ9" s="222"/>
      <c r="RMK9" s="222"/>
      <c r="RML9" s="222"/>
      <c r="RMM9" s="222"/>
      <c r="RMN9" s="222"/>
      <c r="RMO9" s="222"/>
      <c r="RMP9" s="222"/>
      <c r="RMQ9" s="222"/>
      <c r="RMR9" s="222"/>
      <c r="RMS9" s="222"/>
      <c r="RMT9" s="222"/>
      <c r="RMU9" s="222"/>
      <c r="RMV9" s="222"/>
      <c r="RMW9" s="222"/>
      <c r="RMX9" s="222"/>
      <c r="RMY9" s="222"/>
      <c r="RMZ9" s="222"/>
      <c r="RNA9" s="222"/>
      <c r="RNB9" s="222"/>
      <c r="RNC9" s="222"/>
      <c r="RND9" s="222"/>
      <c r="RNE9" s="222"/>
      <c r="RNF9" s="222"/>
      <c r="RNG9" s="222"/>
      <c r="RNH9" s="222"/>
      <c r="RNI9" s="222"/>
      <c r="RNJ9" s="222"/>
      <c r="RNK9" s="222"/>
      <c r="RNL9" s="222"/>
      <c r="RNM9" s="222"/>
      <c r="RNN9" s="222"/>
      <c r="RNO9" s="222"/>
      <c r="RNP9" s="222"/>
      <c r="RNQ9" s="222"/>
      <c r="RNR9" s="222"/>
      <c r="RNS9" s="222"/>
      <c r="RNT9" s="222"/>
      <c r="RNU9" s="222"/>
      <c r="RNV9" s="222"/>
      <c r="RNW9" s="222"/>
      <c r="RNX9" s="222"/>
      <c r="RNY9" s="222"/>
      <c r="RNZ9" s="222"/>
      <c r="ROA9" s="222"/>
      <c r="ROB9" s="222"/>
      <c r="ROC9" s="222"/>
      <c r="ROD9" s="222"/>
      <c r="ROE9" s="222"/>
      <c r="ROF9" s="222"/>
      <c r="ROG9" s="222"/>
      <c r="ROH9" s="222"/>
      <c r="ROI9" s="222"/>
      <c r="ROJ9" s="222"/>
      <c r="ROK9" s="222"/>
      <c r="ROL9" s="222"/>
      <c r="ROM9" s="222"/>
      <c r="RON9" s="222"/>
      <c r="ROO9" s="222"/>
      <c r="ROP9" s="222"/>
      <c r="ROQ9" s="222"/>
      <c r="ROR9" s="222"/>
      <c r="ROS9" s="222"/>
      <c r="ROT9" s="222"/>
      <c r="ROU9" s="222"/>
      <c r="ROV9" s="222"/>
      <c r="ROW9" s="222"/>
      <c r="ROX9" s="222"/>
      <c r="ROY9" s="222"/>
      <c r="ROZ9" s="222"/>
      <c r="RPA9" s="222"/>
      <c r="RPB9" s="222"/>
      <c r="RPC9" s="222"/>
      <c r="RPD9" s="222"/>
      <c r="RPE9" s="222"/>
      <c r="RPF9" s="222"/>
      <c r="RPG9" s="222"/>
      <c r="RPH9" s="222"/>
      <c r="RPI9" s="222"/>
      <c r="RPJ9" s="222"/>
      <c r="RPK9" s="222"/>
      <c r="RPL9" s="222"/>
      <c r="RPM9" s="222"/>
      <c r="RPN9" s="222"/>
      <c r="RPO9" s="222"/>
      <c r="RPP9" s="222"/>
      <c r="RPQ9" s="222"/>
      <c r="RPR9" s="222"/>
      <c r="RPS9" s="222"/>
      <c r="RPT9" s="222"/>
      <c r="RPU9" s="222"/>
      <c r="RPV9" s="222"/>
      <c r="RPW9" s="222"/>
      <c r="RPX9" s="222"/>
      <c r="RPY9" s="222"/>
      <c r="RPZ9" s="222"/>
      <c r="RQA9" s="222"/>
      <c r="RQB9" s="222"/>
      <c r="RQC9" s="222"/>
      <c r="RQD9" s="222"/>
      <c r="RQE9" s="222"/>
      <c r="RQF9" s="222"/>
      <c r="RQG9" s="222"/>
      <c r="RQH9" s="222"/>
      <c r="RQI9" s="222"/>
      <c r="RQJ9" s="222"/>
      <c r="RQK9" s="222"/>
      <c r="RQL9" s="222"/>
      <c r="RQM9" s="222"/>
      <c r="RQN9" s="222"/>
      <c r="RQO9" s="222"/>
      <c r="RQP9" s="222"/>
      <c r="RQQ9" s="222"/>
      <c r="RQR9" s="222"/>
      <c r="RQS9" s="222"/>
      <c r="RQT9" s="222"/>
      <c r="RQU9" s="222"/>
      <c r="RQV9" s="222"/>
      <c r="RQW9" s="222"/>
      <c r="RQX9" s="222"/>
      <c r="RQY9" s="222"/>
      <c r="RQZ9" s="222"/>
      <c r="RRA9" s="222"/>
      <c r="RRB9" s="222"/>
      <c r="RRC9" s="222"/>
      <c r="RRD9" s="222"/>
      <c r="RRE9" s="222"/>
      <c r="RRF9" s="222"/>
      <c r="RRG9" s="222"/>
      <c r="RRH9" s="222"/>
      <c r="RRI9" s="222"/>
      <c r="RRJ9" s="222"/>
      <c r="RRK9" s="222"/>
      <c r="RRL9" s="222"/>
      <c r="RRM9" s="222"/>
      <c r="RRN9" s="222"/>
      <c r="RRO9" s="222"/>
      <c r="RRP9" s="222"/>
      <c r="RRQ9" s="222"/>
      <c r="RRR9" s="222"/>
      <c r="RRS9" s="222"/>
      <c r="RRT9" s="222"/>
      <c r="RRU9" s="222"/>
      <c r="RRV9" s="222"/>
      <c r="RRW9" s="222"/>
      <c r="RRX9" s="222"/>
      <c r="RRY9" s="222"/>
      <c r="RRZ9" s="222"/>
      <c r="RSA9" s="222"/>
      <c r="RSB9" s="222"/>
      <c r="RSC9" s="222"/>
      <c r="RSD9" s="222"/>
      <c r="RSE9" s="222"/>
      <c r="RSF9" s="222"/>
      <c r="RSG9" s="222"/>
      <c r="RSH9" s="222"/>
      <c r="RSI9" s="222"/>
      <c r="RSJ9" s="222"/>
      <c r="RSK9" s="222"/>
      <c r="RSL9" s="222"/>
      <c r="RSM9" s="222"/>
      <c r="RSN9" s="222"/>
      <c r="RSO9" s="222"/>
      <c r="RSP9" s="222"/>
      <c r="RSQ9" s="222"/>
      <c r="RSR9" s="222"/>
      <c r="RSS9" s="222"/>
      <c r="RST9" s="222"/>
      <c r="RSU9" s="222"/>
      <c r="RSV9" s="222"/>
      <c r="RSW9" s="222"/>
      <c r="RSX9" s="222"/>
      <c r="RSY9" s="222"/>
      <c r="RSZ9" s="222"/>
      <c r="RTA9" s="222"/>
      <c r="RTB9" s="222"/>
      <c r="RTC9" s="222"/>
      <c r="RTD9" s="222"/>
      <c r="RTE9" s="222"/>
      <c r="RTF9" s="222"/>
      <c r="RTG9" s="222"/>
      <c r="RTH9" s="222"/>
      <c r="RTI9" s="222"/>
      <c r="RTJ9" s="222"/>
      <c r="RTK9" s="222"/>
      <c r="RTL9" s="222"/>
      <c r="RTM9" s="222"/>
      <c r="RTN9" s="222"/>
      <c r="RTO9" s="222"/>
      <c r="RTP9" s="222"/>
      <c r="RTQ9" s="222"/>
      <c r="RTR9" s="222"/>
      <c r="RTS9" s="222"/>
      <c r="RTT9" s="222"/>
      <c r="RTU9" s="222"/>
      <c r="RTV9" s="222"/>
      <c r="RTW9" s="222"/>
      <c r="RTX9" s="222"/>
      <c r="RTY9" s="222"/>
      <c r="RTZ9" s="222"/>
      <c r="RUA9" s="222"/>
      <c r="RUB9" s="222"/>
      <c r="RUC9" s="222"/>
      <c r="RUD9" s="222"/>
      <c r="RUE9" s="222"/>
      <c r="RUF9" s="222"/>
      <c r="RUG9" s="222"/>
      <c r="RUH9" s="222"/>
      <c r="RUI9" s="222"/>
      <c r="RUJ9" s="222"/>
      <c r="RUK9" s="222"/>
      <c r="RUL9" s="222"/>
      <c r="RUM9" s="222"/>
      <c r="RUN9" s="222"/>
      <c r="RUO9" s="222"/>
      <c r="RUP9" s="222"/>
      <c r="RUQ9" s="222"/>
      <c r="RUR9" s="222"/>
      <c r="RUS9" s="222"/>
      <c r="RUT9" s="222"/>
      <c r="RUU9" s="222"/>
      <c r="RUV9" s="222"/>
      <c r="RUW9" s="222"/>
      <c r="RUX9" s="222"/>
      <c r="RUY9" s="222"/>
      <c r="RUZ9" s="222"/>
      <c r="RVA9" s="222"/>
      <c r="RVB9" s="222"/>
      <c r="RVC9" s="222"/>
      <c r="RVD9" s="222"/>
      <c r="RVE9" s="222"/>
      <c r="RVF9" s="222"/>
      <c r="RVG9" s="222"/>
      <c r="RVH9" s="222"/>
      <c r="RVI9" s="222"/>
      <c r="RVJ9" s="222"/>
      <c r="RVK9" s="222"/>
      <c r="RVL9" s="222"/>
      <c r="RVM9" s="222"/>
      <c r="RVN9" s="222"/>
      <c r="RVO9" s="222"/>
      <c r="RVP9" s="222"/>
      <c r="RVQ9" s="222"/>
      <c r="RVR9" s="222"/>
      <c r="RVS9" s="222"/>
      <c r="RVT9" s="222"/>
      <c r="RVU9" s="222"/>
      <c r="RVV9" s="222"/>
      <c r="RVW9" s="222"/>
      <c r="RVX9" s="222"/>
      <c r="RVY9" s="222"/>
      <c r="RVZ9" s="222"/>
      <c r="RWA9" s="222"/>
      <c r="RWB9" s="222"/>
      <c r="RWC9" s="222"/>
      <c r="RWD9" s="222"/>
      <c r="RWE9" s="222"/>
      <c r="RWF9" s="222"/>
      <c r="RWG9" s="222"/>
      <c r="RWH9" s="222"/>
      <c r="RWI9" s="222"/>
      <c r="RWJ9" s="222"/>
      <c r="RWK9" s="222"/>
      <c r="RWL9" s="222"/>
      <c r="RWM9" s="222"/>
      <c r="RWN9" s="222"/>
      <c r="RWO9" s="222"/>
      <c r="RWP9" s="222"/>
      <c r="RWQ9" s="222"/>
      <c r="RWR9" s="222"/>
      <c r="RWS9" s="222"/>
      <c r="RWT9" s="222"/>
      <c r="RWU9" s="222"/>
      <c r="RWV9" s="222"/>
      <c r="RWW9" s="222"/>
      <c r="RWX9" s="222"/>
      <c r="RWY9" s="222"/>
      <c r="RWZ9" s="222"/>
      <c r="RXA9" s="222"/>
      <c r="RXB9" s="222"/>
      <c r="RXC9" s="222"/>
      <c r="RXD9" s="222"/>
      <c r="RXE9" s="222"/>
      <c r="RXF9" s="222"/>
      <c r="RXG9" s="222"/>
      <c r="RXH9" s="222"/>
      <c r="RXI9" s="222"/>
      <c r="RXJ9" s="222"/>
      <c r="RXK9" s="222"/>
      <c r="RXL9" s="222"/>
      <c r="RXM9" s="222"/>
      <c r="RXN9" s="222"/>
      <c r="RXO9" s="222"/>
      <c r="RXP9" s="222"/>
      <c r="RXQ9" s="222"/>
      <c r="RXR9" s="222"/>
      <c r="RXS9" s="222"/>
      <c r="RXT9" s="222"/>
      <c r="RXU9" s="222"/>
      <c r="RXV9" s="222"/>
      <c r="RXW9" s="222"/>
      <c r="RXX9" s="222"/>
      <c r="RXY9" s="222"/>
      <c r="RXZ9" s="222"/>
      <c r="RYA9" s="222"/>
      <c r="RYB9" s="222"/>
      <c r="RYC9" s="222"/>
      <c r="RYD9" s="222"/>
      <c r="RYE9" s="222"/>
      <c r="RYF9" s="222"/>
      <c r="RYG9" s="222"/>
      <c r="RYH9" s="222"/>
      <c r="RYI9" s="222"/>
      <c r="RYJ9" s="222"/>
      <c r="RYK9" s="222"/>
      <c r="RYL9" s="222"/>
      <c r="RYM9" s="222"/>
      <c r="RYN9" s="222"/>
      <c r="RYO9" s="222"/>
      <c r="RYP9" s="222"/>
      <c r="RYQ9" s="222"/>
      <c r="RYR9" s="222"/>
      <c r="RYS9" s="222"/>
      <c r="RYT9" s="222"/>
      <c r="RYU9" s="222"/>
      <c r="RYV9" s="222"/>
      <c r="RYW9" s="222"/>
      <c r="RYX9" s="222"/>
      <c r="RYY9" s="222"/>
      <c r="RYZ9" s="222"/>
      <c r="RZA9" s="222"/>
      <c r="RZB9" s="222"/>
      <c r="RZC9" s="222"/>
      <c r="RZD9" s="222"/>
      <c r="RZE9" s="222"/>
      <c r="RZF9" s="222"/>
      <c r="RZG9" s="222"/>
      <c r="RZH9" s="222"/>
      <c r="RZI9" s="222"/>
      <c r="RZJ9" s="222"/>
      <c r="RZK9" s="222"/>
      <c r="RZL9" s="222"/>
      <c r="RZM9" s="222"/>
      <c r="RZN9" s="222"/>
      <c r="RZO9" s="222"/>
      <c r="RZP9" s="222"/>
      <c r="RZQ9" s="222"/>
      <c r="RZR9" s="222"/>
      <c r="RZS9" s="222"/>
      <c r="RZT9" s="222"/>
      <c r="RZU9" s="222"/>
      <c r="RZV9" s="222"/>
      <c r="RZW9" s="222"/>
      <c r="RZX9" s="222"/>
      <c r="RZY9" s="222"/>
      <c r="RZZ9" s="222"/>
      <c r="SAA9" s="222"/>
      <c r="SAB9" s="222"/>
      <c r="SAC9" s="222"/>
      <c r="SAD9" s="222"/>
      <c r="SAE9" s="222"/>
      <c r="SAF9" s="222"/>
      <c r="SAG9" s="222"/>
      <c r="SAH9" s="222"/>
      <c r="SAI9" s="222"/>
      <c r="SAJ9" s="222"/>
      <c r="SAK9" s="222"/>
      <c r="SAL9" s="222"/>
      <c r="SAM9" s="222"/>
      <c r="SAN9" s="222"/>
      <c r="SAO9" s="222"/>
      <c r="SAP9" s="222"/>
      <c r="SAQ9" s="222"/>
      <c r="SAR9" s="222"/>
      <c r="SAS9" s="222"/>
      <c r="SAT9" s="222"/>
      <c r="SAU9" s="222"/>
      <c r="SAV9" s="222"/>
      <c r="SAW9" s="222"/>
      <c r="SAX9" s="222"/>
      <c r="SAY9" s="222"/>
      <c r="SAZ9" s="222"/>
      <c r="SBA9" s="222"/>
      <c r="SBB9" s="222"/>
      <c r="SBC9" s="222"/>
      <c r="SBD9" s="222"/>
      <c r="SBE9" s="222"/>
      <c r="SBF9" s="222"/>
      <c r="SBG9" s="222"/>
      <c r="SBH9" s="222"/>
      <c r="SBI9" s="222"/>
      <c r="SBJ9" s="222"/>
      <c r="SBK9" s="222"/>
      <c r="SBL9" s="222"/>
      <c r="SBM9" s="222"/>
      <c r="SBN9" s="222"/>
      <c r="SBO9" s="222"/>
      <c r="SBP9" s="222"/>
      <c r="SBQ9" s="222"/>
      <c r="SBR9" s="222"/>
      <c r="SBS9" s="222"/>
      <c r="SBT9" s="222"/>
      <c r="SBU9" s="222"/>
      <c r="SBV9" s="222"/>
      <c r="SBW9" s="222"/>
      <c r="SBX9" s="222"/>
      <c r="SBY9" s="222"/>
      <c r="SBZ9" s="222"/>
      <c r="SCA9" s="222"/>
      <c r="SCB9" s="222"/>
      <c r="SCC9" s="222"/>
      <c r="SCD9" s="222"/>
      <c r="SCE9" s="222"/>
      <c r="SCF9" s="222"/>
      <c r="SCG9" s="222"/>
      <c r="SCH9" s="222"/>
      <c r="SCI9" s="222"/>
      <c r="SCJ9" s="222"/>
      <c r="SCK9" s="222"/>
      <c r="SCL9" s="222"/>
      <c r="SCM9" s="222"/>
      <c r="SCN9" s="222"/>
      <c r="SCO9" s="222"/>
      <c r="SCP9" s="222"/>
      <c r="SCQ9" s="222"/>
      <c r="SCR9" s="222"/>
      <c r="SCS9" s="222"/>
      <c r="SCT9" s="222"/>
      <c r="SCU9" s="222"/>
      <c r="SCV9" s="222"/>
      <c r="SCW9" s="222"/>
      <c r="SCX9" s="222"/>
      <c r="SCY9" s="222"/>
      <c r="SCZ9" s="222"/>
      <c r="SDA9" s="222"/>
      <c r="SDB9" s="222"/>
      <c r="SDC9" s="222"/>
      <c r="SDD9" s="222"/>
      <c r="SDE9" s="222"/>
      <c r="SDF9" s="222"/>
      <c r="SDG9" s="222"/>
      <c r="SDH9" s="222"/>
      <c r="SDI9" s="222"/>
      <c r="SDJ9" s="222"/>
      <c r="SDK9" s="222"/>
      <c r="SDL9" s="222"/>
      <c r="SDM9" s="222"/>
      <c r="SDN9" s="222"/>
      <c r="SDO9" s="222"/>
      <c r="SDP9" s="222"/>
      <c r="SDQ9" s="222"/>
      <c r="SDR9" s="222"/>
      <c r="SDS9" s="222"/>
      <c r="SDT9" s="222"/>
      <c r="SDU9" s="222"/>
      <c r="SDV9" s="222"/>
      <c r="SDW9" s="222"/>
      <c r="SDX9" s="222"/>
      <c r="SDY9" s="222"/>
      <c r="SDZ9" s="222"/>
      <c r="SEA9" s="222"/>
      <c r="SEB9" s="222"/>
      <c r="SEC9" s="222"/>
      <c r="SED9" s="222"/>
      <c r="SEE9" s="222"/>
      <c r="SEF9" s="222"/>
      <c r="SEG9" s="222"/>
      <c r="SEH9" s="222"/>
      <c r="SEI9" s="222"/>
      <c r="SEJ9" s="222"/>
      <c r="SEK9" s="222"/>
      <c r="SEL9" s="222"/>
      <c r="SEM9" s="222"/>
      <c r="SEN9" s="222"/>
      <c r="SEO9" s="222"/>
      <c r="SEP9" s="222"/>
      <c r="SEQ9" s="222"/>
      <c r="SER9" s="222"/>
      <c r="SES9" s="222"/>
      <c r="SET9" s="222"/>
      <c r="SEU9" s="222"/>
      <c r="SEV9" s="222"/>
      <c r="SEW9" s="222"/>
      <c r="SEX9" s="222"/>
      <c r="SEY9" s="222"/>
      <c r="SEZ9" s="222"/>
      <c r="SFA9" s="222"/>
      <c r="SFB9" s="222"/>
      <c r="SFC9" s="222"/>
      <c r="SFD9" s="222"/>
      <c r="SFE9" s="222"/>
      <c r="SFF9" s="222"/>
      <c r="SFG9" s="222"/>
      <c r="SFH9" s="222"/>
      <c r="SFI9" s="222"/>
      <c r="SFJ9" s="222"/>
      <c r="SFK9" s="222"/>
      <c r="SFL9" s="222"/>
      <c r="SFM9" s="222"/>
      <c r="SFN9" s="222"/>
      <c r="SFO9" s="222"/>
      <c r="SFP9" s="222"/>
      <c r="SFQ9" s="222"/>
      <c r="SFR9" s="222"/>
      <c r="SFS9" s="222"/>
      <c r="SFT9" s="222"/>
      <c r="SFU9" s="222"/>
      <c r="SFV9" s="222"/>
      <c r="SFW9" s="222"/>
      <c r="SFX9" s="222"/>
      <c r="SFY9" s="222"/>
      <c r="SFZ9" s="222"/>
      <c r="SGA9" s="222"/>
      <c r="SGB9" s="222"/>
      <c r="SGC9" s="222"/>
      <c r="SGD9" s="222"/>
      <c r="SGE9" s="222"/>
      <c r="SGF9" s="222"/>
      <c r="SGG9" s="222"/>
      <c r="SGH9" s="222"/>
      <c r="SGI9" s="222"/>
      <c r="SGJ9" s="222"/>
      <c r="SGK9" s="222"/>
      <c r="SGL9" s="222"/>
      <c r="SGM9" s="222"/>
      <c r="SGN9" s="222"/>
      <c r="SGO9" s="222"/>
      <c r="SGP9" s="222"/>
      <c r="SGQ9" s="222"/>
      <c r="SGR9" s="222"/>
      <c r="SGS9" s="222"/>
      <c r="SGT9" s="222"/>
      <c r="SGU9" s="222"/>
      <c r="SGV9" s="222"/>
      <c r="SGW9" s="222"/>
      <c r="SGX9" s="222"/>
      <c r="SGY9" s="222"/>
      <c r="SGZ9" s="222"/>
      <c r="SHA9" s="222"/>
      <c r="SHB9" s="222"/>
      <c r="SHC9" s="222"/>
      <c r="SHD9" s="222"/>
      <c r="SHE9" s="222"/>
      <c r="SHF9" s="222"/>
      <c r="SHG9" s="222"/>
      <c r="SHH9" s="222"/>
      <c r="SHI9" s="222"/>
      <c r="SHJ9" s="222"/>
      <c r="SHK9" s="222"/>
      <c r="SHL9" s="222"/>
      <c r="SHM9" s="222"/>
      <c r="SHN9" s="222"/>
      <c r="SHO9" s="222"/>
      <c r="SHP9" s="222"/>
      <c r="SHQ9" s="222"/>
      <c r="SHR9" s="222"/>
      <c r="SHS9" s="222"/>
      <c r="SHT9" s="222"/>
      <c r="SHU9" s="222"/>
      <c r="SHV9" s="222"/>
      <c r="SHW9" s="222"/>
      <c r="SHX9" s="222"/>
      <c r="SHY9" s="222"/>
      <c r="SHZ9" s="222"/>
      <c r="SIA9" s="222"/>
      <c r="SIB9" s="222"/>
      <c r="SIC9" s="222"/>
      <c r="SID9" s="222"/>
      <c r="SIE9" s="222"/>
      <c r="SIF9" s="222"/>
      <c r="SIG9" s="222"/>
      <c r="SIH9" s="222"/>
      <c r="SII9" s="222"/>
      <c r="SIJ9" s="222"/>
      <c r="SIK9" s="222"/>
      <c r="SIL9" s="222"/>
      <c r="SIM9" s="222"/>
      <c r="SIN9" s="222"/>
      <c r="SIO9" s="222"/>
      <c r="SIP9" s="222"/>
      <c r="SIQ9" s="222"/>
      <c r="SIR9" s="222"/>
      <c r="SIS9" s="222"/>
      <c r="SIT9" s="222"/>
      <c r="SIU9" s="222"/>
      <c r="SIV9" s="222"/>
      <c r="SIW9" s="222"/>
      <c r="SIX9" s="222"/>
      <c r="SIY9" s="222"/>
      <c r="SIZ9" s="222"/>
      <c r="SJA9" s="222"/>
      <c r="SJB9" s="222"/>
      <c r="SJC9" s="222"/>
      <c r="SJD9" s="222"/>
      <c r="SJE9" s="222"/>
      <c r="SJF9" s="222"/>
      <c r="SJG9" s="222"/>
      <c r="SJH9" s="222"/>
      <c r="SJI9" s="222"/>
      <c r="SJJ9" s="222"/>
      <c r="SJK9" s="222"/>
      <c r="SJL9" s="222"/>
      <c r="SJM9" s="222"/>
      <c r="SJN9" s="222"/>
      <c r="SJO9" s="222"/>
      <c r="SJP9" s="222"/>
      <c r="SJQ9" s="222"/>
      <c r="SJR9" s="222"/>
      <c r="SJS9" s="222"/>
      <c r="SJT9" s="222"/>
      <c r="SJU9" s="222"/>
      <c r="SJV9" s="222"/>
      <c r="SJW9" s="222"/>
      <c r="SJX9" s="222"/>
      <c r="SJY9" s="222"/>
      <c r="SJZ9" s="222"/>
      <c r="SKA9" s="222"/>
      <c r="SKB9" s="222"/>
      <c r="SKC9" s="222"/>
      <c r="SKD9" s="222"/>
      <c r="SKE9" s="222"/>
      <c r="SKF9" s="222"/>
      <c r="SKG9" s="222"/>
      <c r="SKH9" s="222"/>
      <c r="SKI9" s="222"/>
      <c r="SKJ9" s="222"/>
      <c r="SKK9" s="222"/>
      <c r="SKL9" s="222"/>
      <c r="SKM9" s="222"/>
      <c r="SKN9" s="222"/>
      <c r="SKO9" s="222"/>
      <c r="SKP9" s="222"/>
      <c r="SKQ9" s="222"/>
      <c r="SKR9" s="222"/>
      <c r="SKS9" s="222"/>
      <c r="SKT9" s="222"/>
      <c r="SKU9" s="222"/>
      <c r="SKV9" s="222"/>
      <c r="SKW9" s="222"/>
      <c r="SKX9" s="222"/>
      <c r="SKY9" s="222"/>
      <c r="SKZ9" s="222"/>
      <c r="SLA9" s="222"/>
      <c r="SLB9" s="222"/>
      <c r="SLC9" s="222"/>
      <c r="SLD9" s="222"/>
      <c r="SLE9" s="222"/>
      <c r="SLF9" s="222"/>
      <c r="SLG9" s="222"/>
      <c r="SLH9" s="222"/>
      <c r="SLI9" s="222"/>
      <c r="SLJ9" s="222"/>
      <c r="SLK9" s="222"/>
      <c r="SLL9" s="222"/>
      <c r="SLM9" s="222"/>
      <c r="SLN9" s="222"/>
      <c r="SLO9" s="222"/>
      <c r="SLP9" s="222"/>
      <c r="SLQ9" s="222"/>
      <c r="SLR9" s="222"/>
      <c r="SLS9" s="222"/>
      <c r="SLT9" s="222"/>
      <c r="SLU9" s="222"/>
      <c r="SLV9" s="222"/>
      <c r="SLW9" s="222"/>
      <c r="SLX9" s="222"/>
      <c r="SLY9" s="222"/>
      <c r="SLZ9" s="222"/>
      <c r="SMA9" s="222"/>
      <c r="SMB9" s="222"/>
      <c r="SMC9" s="222"/>
      <c r="SMD9" s="222"/>
      <c r="SME9" s="222"/>
      <c r="SMF9" s="222"/>
      <c r="SMG9" s="222"/>
      <c r="SMH9" s="222"/>
      <c r="SMI9" s="222"/>
      <c r="SMJ9" s="222"/>
      <c r="SMK9" s="222"/>
      <c r="SML9" s="222"/>
      <c r="SMM9" s="222"/>
      <c r="SMN9" s="222"/>
      <c r="SMO9" s="222"/>
      <c r="SMP9" s="222"/>
      <c r="SMQ9" s="222"/>
      <c r="SMR9" s="222"/>
      <c r="SMS9" s="222"/>
      <c r="SMT9" s="222"/>
      <c r="SMU9" s="222"/>
      <c r="SMV9" s="222"/>
      <c r="SMW9" s="222"/>
      <c r="SMX9" s="222"/>
      <c r="SMY9" s="222"/>
      <c r="SMZ9" s="222"/>
      <c r="SNA9" s="222"/>
      <c r="SNB9" s="222"/>
      <c r="SNC9" s="222"/>
      <c r="SND9" s="222"/>
      <c r="SNE9" s="222"/>
      <c r="SNF9" s="222"/>
      <c r="SNG9" s="222"/>
      <c r="SNH9" s="222"/>
      <c r="SNI9" s="222"/>
      <c r="SNJ9" s="222"/>
      <c r="SNK9" s="222"/>
      <c r="SNL9" s="222"/>
      <c r="SNM9" s="222"/>
      <c r="SNN9" s="222"/>
      <c r="SNO9" s="222"/>
      <c r="SNP9" s="222"/>
      <c r="SNQ9" s="222"/>
      <c r="SNR9" s="222"/>
      <c r="SNS9" s="222"/>
      <c r="SNT9" s="222"/>
      <c r="SNU9" s="222"/>
      <c r="SNV9" s="222"/>
      <c r="SNW9" s="222"/>
      <c r="SNX9" s="222"/>
      <c r="SNY9" s="222"/>
      <c r="SNZ9" s="222"/>
      <c r="SOA9" s="222"/>
      <c r="SOB9" s="222"/>
      <c r="SOC9" s="222"/>
      <c r="SOD9" s="222"/>
      <c r="SOE9" s="222"/>
      <c r="SOF9" s="222"/>
      <c r="SOG9" s="222"/>
      <c r="SOH9" s="222"/>
      <c r="SOI9" s="222"/>
      <c r="SOJ9" s="222"/>
      <c r="SOK9" s="222"/>
      <c r="SOL9" s="222"/>
      <c r="SOM9" s="222"/>
      <c r="SON9" s="222"/>
      <c r="SOO9" s="222"/>
      <c r="SOP9" s="222"/>
      <c r="SOQ9" s="222"/>
      <c r="SOR9" s="222"/>
      <c r="SOS9" s="222"/>
      <c r="SOT9" s="222"/>
      <c r="SOU9" s="222"/>
      <c r="SOV9" s="222"/>
      <c r="SOW9" s="222"/>
      <c r="SOX9" s="222"/>
      <c r="SOY9" s="222"/>
      <c r="SOZ9" s="222"/>
      <c r="SPA9" s="222"/>
      <c r="SPB9" s="222"/>
      <c r="SPC9" s="222"/>
      <c r="SPD9" s="222"/>
      <c r="SPE9" s="222"/>
      <c r="SPF9" s="222"/>
      <c r="SPG9" s="222"/>
      <c r="SPH9" s="222"/>
      <c r="SPI9" s="222"/>
      <c r="SPJ9" s="222"/>
      <c r="SPK9" s="222"/>
      <c r="SPL9" s="222"/>
      <c r="SPM9" s="222"/>
      <c r="SPN9" s="222"/>
      <c r="SPO9" s="222"/>
      <c r="SPP9" s="222"/>
      <c r="SPQ9" s="222"/>
      <c r="SPR9" s="222"/>
      <c r="SPS9" s="222"/>
      <c r="SPT9" s="222"/>
      <c r="SPU9" s="222"/>
      <c r="SPV9" s="222"/>
      <c r="SPW9" s="222"/>
      <c r="SPX9" s="222"/>
      <c r="SPY9" s="222"/>
      <c r="SPZ9" s="222"/>
      <c r="SQA9" s="222"/>
      <c r="SQB9" s="222"/>
      <c r="SQC9" s="222"/>
      <c r="SQD9" s="222"/>
      <c r="SQE9" s="222"/>
      <c r="SQF9" s="222"/>
      <c r="SQG9" s="222"/>
      <c r="SQH9" s="222"/>
      <c r="SQI9" s="222"/>
      <c r="SQJ9" s="222"/>
      <c r="SQK9" s="222"/>
      <c r="SQL9" s="222"/>
      <c r="SQM9" s="222"/>
      <c r="SQN9" s="222"/>
      <c r="SQO9" s="222"/>
      <c r="SQP9" s="222"/>
      <c r="SQQ9" s="222"/>
      <c r="SQR9" s="222"/>
      <c r="SQS9" s="222"/>
      <c r="SQT9" s="222"/>
      <c r="SQU9" s="222"/>
      <c r="SQV9" s="222"/>
      <c r="SQW9" s="222"/>
      <c r="SQX9" s="222"/>
      <c r="SQY9" s="222"/>
      <c r="SQZ9" s="222"/>
      <c r="SRA9" s="222"/>
      <c r="SRB9" s="222"/>
      <c r="SRC9" s="222"/>
      <c r="SRD9" s="222"/>
      <c r="SRE9" s="222"/>
      <c r="SRF9" s="222"/>
      <c r="SRG9" s="222"/>
      <c r="SRH9" s="222"/>
      <c r="SRI9" s="222"/>
      <c r="SRJ9" s="222"/>
      <c r="SRK9" s="222"/>
      <c r="SRL9" s="222"/>
      <c r="SRM9" s="222"/>
      <c r="SRN9" s="222"/>
      <c r="SRO9" s="222"/>
      <c r="SRP9" s="222"/>
      <c r="SRQ9" s="222"/>
      <c r="SRR9" s="222"/>
      <c r="SRS9" s="222"/>
      <c r="SRT9" s="222"/>
      <c r="SRU9" s="222"/>
      <c r="SRV9" s="222"/>
      <c r="SRW9" s="222"/>
      <c r="SRX9" s="222"/>
      <c r="SRY9" s="222"/>
      <c r="SRZ9" s="222"/>
      <c r="SSA9" s="222"/>
      <c r="SSB9" s="222"/>
      <c r="SSC9" s="222"/>
      <c r="SSD9" s="222"/>
      <c r="SSE9" s="222"/>
      <c r="SSF9" s="222"/>
      <c r="SSG9" s="222"/>
      <c r="SSH9" s="222"/>
      <c r="SSI9" s="222"/>
      <c r="SSJ9" s="222"/>
      <c r="SSK9" s="222"/>
      <c r="SSL9" s="222"/>
      <c r="SSM9" s="222"/>
      <c r="SSN9" s="222"/>
      <c r="SSO9" s="222"/>
      <c r="SSP9" s="222"/>
      <c r="SSQ9" s="222"/>
      <c r="SSR9" s="222"/>
      <c r="SSS9" s="222"/>
      <c r="SST9" s="222"/>
      <c r="SSU9" s="222"/>
      <c r="SSV9" s="222"/>
      <c r="SSW9" s="222"/>
      <c r="SSX9" s="222"/>
      <c r="SSY9" s="222"/>
      <c r="SSZ9" s="222"/>
      <c r="STA9" s="222"/>
      <c r="STB9" s="222"/>
      <c r="STC9" s="222"/>
      <c r="STD9" s="222"/>
      <c r="STE9" s="222"/>
      <c r="STF9" s="222"/>
      <c r="STG9" s="222"/>
      <c r="STH9" s="222"/>
      <c r="STI9" s="222"/>
      <c r="STJ9" s="222"/>
      <c r="STK9" s="222"/>
      <c r="STL9" s="222"/>
      <c r="STM9" s="222"/>
      <c r="STN9" s="222"/>
      <c r="STO9" s="222"/>
      <c r="STP9" s="222"/>
      <c r="STQ9" s="222"/>
      <c r="STR9" s="222"/>
      <c r="STS9" s="222"/>
      <c r="STT9" s="222"/>
      <c r="STU9" s="222"/>
      <c r="STV9" s="222"/>
      <c r="STW9" s="222"/>
      <c r="STX9" s="222"/>
      <c r="STY9" s="222"/>
      <c r="STZ9" s="222"/>
      <c r="SUA9" s="222"/>
      <c r="SUB9" s="222"/>
      <c r="SUC9" s="222"/>
      <c r="SUD9" s="222"/>
      <c r="SUE9" s="222"/>
      <c r="SUF9" s="222"/>
      <c r="SUG9" s="222"/>
      <c r="SUH9" s="222"/>
      <c r="SUI9" s="222"/>
      <c r="SUJ9" s="222"/>
      <c r="SUK9" s="222"/>
      <c r="SUL9" s="222"/>
      <c r="SUM9" s="222"/>
      <c r="SUN9" s="222"/>
      <c r="SUO9" s="222"/>
      <c r="SUP9" s="222"/>
      <c r="SUQ9" s="222"/>
      <c r="SUR9" s="222"/>
      <c r="SUS9" s="222"/>
      <c r="SUT9" s="222"/>
      <c r="SUU9" s="222"/>
      <c r="SUV9" s="222"/>
      <c r="SUW9" s="222"/>
      <c r="SUX9" s="222"/>
      <c r="SUY9" s="222"/>
      <c r="SUZ9" s="222"/>
      <c r="SVA9" s="222"/>
      <c r="SVB9" s="222"/>
      <c r="SVC9" s="222"/>
      <c r="SVD9" s="222"/>
      <c r="SVE9" s="222"/>
      <c r="SVF9" s="222"/>
      <c r="SVG9" s="222"/>
      <c r="SVH9" s="222"/>
      <c r="SVI9" s="222"/>
      <c r="SVJ9" s="222"/>
      <c r="SVK9" s="222"/>
      <c r="SVL9" s="222"/>
      <c r="SVM9" s="222"/>
      <c r="SVN9" s="222"/>
      <c r="SVO9" s="222"/>
      <c r="SVP9" s="222"/>
      <c r="SVQ9" s="222"/>
      <c r="SVR9" s="222"/>
      <c r="SVS9" s="222"/>
      <c r="SVT9" s="222"/>
      <c r="SVU9" s="222"/>
      <c r="SVV9" s="222"/>
      <c r="SVW9" s="222"/>
      <c r="SVX9" s="222"/>
      <c r="SVY9" s="222"/>
      <c r="SVZ9" s="222"/>
      <c r="SWA9" s="222"/>
      <c r="SWB9" s="222"/>
      <c r="SWC9" s="222"/>
      <c r="SWD9" s="222"/>
      <c r="SWE9" s="222"/>
      <c r="SWF9" s="222"/>
      <c r="SWG9" s="222"/>
      <c r="SWH9" s="222"/>
      <c r="SWI9" s="222"/>
      <c r="SWJ9" s="222"/>
      <c r="SWK9" s="222"/>
      <c r="SWL9" s="222"/>
      <c r="SWM9" s="222"/>
      <c r="SWN9" s="222"/>
      <c r="SWO9" s="222"/>
      <c r="SWP9" s="222"/>
      <c r="SWQ9" s="222"/>
      <c r="SWR9" s="222"/>
      <c r="SWS9" s="222"/>
      <c r="SWT9" s="222"/>
      <c r="SWU9" s="222"/>
      <c r="SWV9" s="222"/>
      <c r="SWW9" s="222"/>
      <c r="SWX9" s="222"/>
      <c r="SWY9" s="222"/>
      <c r="SWZ9" s="222"/>
      <c r="SXA9" s="222"/>
      <c r="SXB9" s="222"/>
      <c r="SXC9" s="222"/>
      <c r="SXD9" s="222"/>
      <c r="SXE9" s="222"/>
      <c r="SXF9" s="222"/>
      <c r="SXG9" s="222"/>
      <c r="SXH9" s="222"/>
      <c r="SXI9" s="222"/>
      <c r="SXJ9" s="222"/>
      <c r="SXK9" s="222"/>
      <c r="SXL9" s="222"/>
      <c r="SXM9" s="222"/>
      <c r="SXN9" s="222"/>
      <c r="SXO9" s="222"/>
      <c r="SXP9" s="222"/>
      <c r="SXQ9" s="222"/>
      <c r="SXR9" s="222"/>
      <c r="SXS9" s="222"/>
      <c r="SXT9" s="222"/>
      <c r="SXU9" s="222"/>
      <c r="SXV9" s="222"/>
      <c r="SXW9" s="222"/>
      <c r="SXX9" s="222"/>
      <c r="SXY9" s="222"/>
      <c r="SXZ9" s="222"/>
      <c r="SYA9" s="222"/>
      <c r="SYB9" s="222"/>
      <c r="SYC9" s="222"/>
      <c r="SYD9" s="222"/>
      <c r="SYE9" s="222"/>
      <c r="SYF9" s="222"/>
      <c r="SYG9" s="222"/>
      <c r="SYH9" s="222"/>
      <c r="SYI9" s="222"/>
      <c r="SYJ9" s="222"/>
      <c r="SYK9" s="222"/>
      <c r="SYL9" s="222"/>
      <c r="SYM9" s="222"/>
      <c r="SYN9" s="222"/>
      <c r="SYO9" s="222"/>
      <c r="SYP9" s="222"/>
      <c r="SYQ9" s="222"/>
      <c r="SYR9" s="222"/>
      <c r="SYS9" s="222"/>
      <c r="SYT9" s="222"/>
      <c r="SYU9" s="222"/>
      <c r="SYV9" s="222"/>
      <c r="SYW9" s="222"/>
      <c r="SYX9" s="222"/>
      <c r="SYY9" s="222"/>
      <c r="SYZ9" s="222"/>
      <c r="SZA9" s="222"/>
      <c r="SZB9" s="222"/>
      <c r="SZC9" s="222"/>
      <c r="SZD9" s="222"/>
      <c r="SZE9" s="222"/>
      <c r="SZF9" s="222"/>
      <c r="SZG9" s="222"/>
      <c r="SZH9" s="222"/>
      <c r="SZI9" s="222"/>
      <c r="SZJ9" s="222"/>
      <c r="SZK9" s="222"/>
      <c r="SZL9" s="222"/>
      <c r="SZM9" s="222"/>
      <c r="SZN9" s="222"/>
      <c r="SZO9" s="222"/>
      <c r="SZP9" s="222"/>
      <c r="SZQ9" s="222"/>
      <c r="SZR9" s="222"/>
      <c r="SZS9" s="222"/>
      <c r="SZT9" s="222"/>
      <c r="SZU9" s="222"/>
      <c r="SZV9" s="222"/>
      <c r="SZW9" s="222"/>
      <c r="SZX9" s="222"/>
      <c r="SZY9" s="222"/>
      <c r="SZZ9" s="222"/>
      <c r="TAA9" s="222"/>
      <c r="TAB9" s="222"/>
      <c r="TAC9" s="222"/>
      <c r="TAD9" s="222"/>
      <c r="TAE9" s="222"/>
      <c r="TAF9" s="222"/>
      <c r="TAG9" s="222"/>
      <c r="TAH9" s="222"/>
      <c r="TAI9" s="222"/>
      <c r="TAJ9" s="222"/>
      <c r="TAK9" s="222"/>
      <c r="TAL9" s="222"/>
      <c r="TAM9" s="222"/>
      <c r="TAN9" s="222"/>
      <c r="TAO9" s="222"/>
      <c r="TAP9" s="222"/>
      <c r="TAQ9" s="222"/>
      <c r="TAR9" s="222"/>
      <c r="TAS9" s="222"/>
      <c r="TAT9" s="222"/>
      <c r="TAU9" s="222"/>
      <c r="TAV9" s="222"/>
      <c r="TAW9" s="222"/>
      <c r="TAX9" s="222"/>
      <c r="TAY9" s="222"/>
      <c r="TAZ9" s="222"/>
      <c r="TBA9" s="222"/>
      <c r="TBB9" s="222"/>
      <c r="TBC9" s="222"/>
      <c r="TBD9" s="222"/>
      <c r="TBE9" s="222"/>
      <c r="TBF9" s="222"/>
      <c r="TBG9" s="222"/>
      <c r="TBH9" s="222"/>
      <c r="TBI9" s="222"/>
      <c r="TBJ9" s="222"/>
      <c r="TBK9" s="222"/>
      <c r="TBL9" s="222"/>
      <c r="TBM9" s="222"/>
      <c r="TBN9" s="222"/>
      <c r="TBO9" s="222"/>
      <c r="TBP9" s="222"/>
      <c r="TBQ9" s="222"/>
      <c r="TBR9" s="222"/>
      <c r="TBS9" s="222"/>
      <c r="TBT9" s="222"/>
      <c r="TBU9" s="222"/>
      <c r="TBV9" s="222"/>
      <c r="TBW9" s="222"/>
      <c r="TBX9" s="222"/>
      <c r="TBY9" s="222"/>
      <c r="TBZ9" s="222"/>
      <c r="TCA9" s="222"/>
      <c r="TCB9" s="222"/>
      <c r="TCC9" s="222"/>
      <c r="TCD9" s="222"/>
      <c r="TCE9" s="222"/>
      <c r="TCF9" s="222"/>
      <c r="TCG9" s="222"/>
      <c r="TCH9" s="222"/>
      <c r="TCI9" s="222"/>
      <c r="TCJ9" s="222"/>
      <c r="TCK9" s="222"/>
      <c r="TCL9" s="222"/>
      <c r="TCM9" s="222"/>
      <c r="TCN9" s="222"/>
      <c r="TCO9" s="222"/>
      <c r="TCP9" s="222"/>
      <c r="TCQ9" s="222"/>
      <c r="TCR9" s="222"/>
      <c r="TCS9" s="222"/>
      <c r="TCT9" s="222"/>
      <c r="TCU9" s="222"/>
      <c r="TCV9" s="222"/>
      <c r="TCW9" s="222"/>
      <c r="TCX9" s="222"/>
      <c r="TCY9" s="222"/>
      <c r="TCZ9" s="222"/>
      <c r="TDA9" s="222"/>
      <c r="TDB9" s="222"/>
      <c r="TDC9" s="222"/>
      <c r="TDD9" s="222"/>
      <c r="TDE9" s="222"/>
      <c r="TDF9" s="222"/>
      <c r="TDG9" s="222"/>
      <c r="TDH9" s="222"/>
      <c r="TDI9" s="222"/>
      <c r="TDJ9" s="222"/>
      <c r="TDK9" s="222"/>
      <c r="TDL9" s="222"/>
      <c r="TDM9" s="222"/>
      <c r="TDN9" s="222"/>
      <c r="TDO9" s="222"/>
      <c r="TDP9" s="222"/>
      <c r="TDQ9" s="222"/>
      <c r="TDR9" s="222"/>
      <c r="TDS9" s="222"/>
      <c r="TDT9" s="222"/>
      <c r="TDU9" s="222"/>
      <c r="TDV9" s="222"/>
      <c r="TDW9" s="222"/>
      <c r="TDX9" s="222"/>
      <c r="TDY9" s="222"/>
      <c r="TDZ9" s="222"/>
      <c r="TEA9" s="222"/>
      <c r="TEB9" s="222"/>
      <c r="TEC9" s="222"/>
      <c r="TED9" s="222"/>
      <c r="TEE9" s="222"/>
      <c r="TEF9" s="222"/>
      <c r="TEG9" s="222"/>
      <c r="TEH9" s="222"/>
      <c r="TEI9" s="222"/>
      <c r="TEJ9" s="222"/>
      <c r="TEK9" s="222"/>
      <c r="TEL9" s="222"/>
      <c r="TEM9" s="222"/>
      <c r="TEN9" s="222"/>
      <c r="TEO9" s="222"/>
      <c r="TEP9" s="222"/>
      <c r="TEQ9" s="222"/>
      <c r="TER9" s="222"/>
      <c r="TES9" s="222"/>
      <c r="TET9" s="222"/>
      <c r="TEU9" s="222"/>
      <c r="TEV9" s="222"/>
      <c r="TEW9" s="222"/>
      <c r="TEX9" s="222"/>
      <c r="TEY9" s="222"/>
      <c r="TEZ9" s="222"/>
      <c r="TFA9" s="222"/>
      <c r="TFB9" s="222"/>
      <c r="TFC9" s="222"/>
      <c r="TFD9" s="222"/>
      <c r="TFE9" s="222"/>
      <c r="TFF9" s="222"/>
      <c r="TFG9" s="222"/>
      <c r="TFH9" s="222"/>
      <c r="TFI9" s="222"/>
      <c r="TFJ9" s="222"/>
      <c r="TFK9" s="222"/>
      <c r="TFL9" s="222"/>
      <c r="TFM9" s="222"/>
      <c r="TFN9" s="222"/>
      <c r="TFO9" s="222"/>
      <c r="TFP9" s="222"/>
      <c r="TFQ9" s="222"/>
      <c r="TFR9" s="222"/>
      <c r="TFS9" s="222"/>
      <c r="TFT9" s="222"/>
      <c r="TFU9" s="222"/>
      <c r="TFV9" s="222"/>
      <c r="TFW9" s="222"/>
      <c r="TFX9" s="222"/>
      <c r="TFY9" s="222"/>
      <c r="TFZ9" s="222"/>
      <c r="TGA9" s="222"/>
      <c r="TGB9" s="222"/>
      <c r="TGC9" s="222"/>
      <c r="TGD9" s="222"/>
      <c r="TGE9" s="222"/>
      <c r="TGF9" s="222"/>
      <c r="TGG9" s="222"/>
      <c r="TGH9" s="222"/>
      <c r="TGI9" s="222"/>
      <c r="TGJ9" s="222"/>
      <c r="TGK9" s="222"/>
      <c r="TGL9" s="222"/>
      <c r="TGM9" s="222"/>
      <c r="TGN9" s="222"/>
      <c r="TGO9" s="222"/>
      <c r="TGP9" s="222"/>
      <c r="TGQ9" s="222"/>
      <c r="TGR9" s="222"/>
      <c r="TGS9" s="222"/>
      <c r="TGT9" s="222"/>
      <c r="TGU9" s="222"/>
      <c r="TGV9" s="222"/>
      <c r="TGW9" s="222"/>
      <c r="TGX9" s="222"/>
      <c r="TGY9" s="222"/>
      <c r="TGZ9" s="222"/>
      <c r="THA9" s="222"/>
      <c r="THB9" s="222"/>
      <c r="THC9" s="222"/>
      <c r="THD9" s="222"/>
      <c r="THE9" s="222"/>
      <c r="THF9" s="222"/>
      <c r="THG9" s="222"/>
      <c r="THH9" s="222"/>
      <c r="THI9" s="222"/>
      <c r="THJ9" s="222"/>
      <c r="THK9" s="222"/>
      <c r="THL9" s="222"/>
      <c r="THM9" s="222"/>
      <c r="THN9" s="222"/>
      <c r="THO9" s="222"/>
      <c r="THP9" s="222"/>
      <c r="THQ9" s="222"/>
      <c r="THR9" s="222"/>
      <c r="THS9" s="222"/>
      <c r="THT9" s="222"/>
      <c r="THU9" s="222"/>
      <c r="THV9" s="222"/>
      <c r="THW9" s="222"/>
      <c r="THX9" s="222"/>
      <c r="THY9" s="222"/>
      <c r="THZ9" s="222"/>
      <c r="TIA9" s="222"/>
      <c r="TIB9" s="222"/>
      <c r="TIC9" s="222"/>
      <c r="TID9" s="222"/>
      <c r="TIE9" s="222"/>
      <c r="TIF9" s="222"/>
      <c r="TIG9" s="222"/>
      <c r="TIH9" s="222"/>
      <c r="TII9" s="222"/>
      <c r="TIJ9" s="222"/>
      <c r="TIK9" s="222"/>
      <c r="TIL9" s="222"/>
      <c r="TIM9" s="222"/>
      <c r="TIN9" s="222"/>
      <c r="TIO9" s="222"/>
      <c r="TIP9" s="222"/>
      <c r="TIQ9" s="222"/>
      <c r="TIR9" s="222"/>
      <c r="TIS9" s="222"/>
      <c r="TIT9" s="222"/>
      <c r="TIU9" s="222"/>
      <c r="TIV9" s="222"/>
      <c r="TIW9" s="222"/>
      <c r="TIX9" s="222"/>
      <c r="TIY9" s="222"/>
      <c r="TIZ9" s="222"/>
      <c r="TJA9" s="222"/>
      <c r="TJB9" s="222"/>
      <c r="TJC9" s="222"/>
      <c r="TJD9" s="222"/>
      <c r="TJE9" s="222"/>
      <c r="TJF9" s="222"/>
      <c r="TJG9" s="222"/>
      <c r="TJH9" s="222"/>
      <c r="TJI9" s="222"/>
      <c r="TJJ9" s="222"/>
      <c r="TJK9" s="222"/>
      <c r="TJL9" s="222"/>
      <c r="TJM9" s="222"/>
      <c r="TJN9" s="222"/>
      <c r="TJO9" s="222"/>
      <c r="TJP9" s="222"/>
      <c r="TJQ9" s="222"/>
      <c r="TJR9" s="222"/>
      <c r="TJS9" s="222"/>
      <c r="TJT9" s="222"/>
      <c r="TJU9" s="222"/>
      <c r="TJV9" s="222"/>
      <c r="TJW9" s="222"/>
      <c r="TJX9" s="222"/>
      <c r="TJY9" s="222"/>
      <c r="TJZ9" s="222"/>
      <c r="TKA9" s="222"/>
      <c r="TKB9" s="222"/>
      <c r="TKC9" s="222"/>
      <c r="TKD9" s="222"/>
      <c r="TKE9" s="222"/>
      <c r="TKF9" s="222"/>
      <c r="TKG9" s="222"/>
      <c r="TKH9" s="222"/>
      <c r="TKI9" s="222"/>
      <c r="TKJ9" s="222"/>
      <c r="TKK9" s="222"/>
      <c r="TKL9" s="222"/>
      <c r="TKM9" s="222"/>
      <c r="TKN9" s="222"/>
      <c r="TKO9" s="222"/>
      <c r="TKP9" s="222"/>
      <c r="TKQ9" s="222"/>
      <c r="TKR9" s="222"/>
      <c r="TKS9" s="222"/>
      <c r="TKT9" s="222"/>
      <c r="TKU9" s="222"/>
      <c r="TKV9" s="222"/>
      <c r="TKW9" s="222"/>
      <c r="TKX9" s="222"/>
      <c r="TKY9" s="222"/>
      <c r="TKZ9" s="222"/>
      <c r="TLA9" s="222"/>
      <c r="TLB9" s="222"/>
      <c r="TLC9" s="222"/>
      <c r="TLD9" s="222"/>
      <c r="TLE9" s="222"/>
      <c r="TLF9" s="222"/>
      <c r="TLG9" s="222"/>
      <c r="TLH9" s="222"/>
      <c r="TLI9" s="222"/>
      <c r="TLJ9" s="222"/>
      <c r="TLK9" s="222"/>
      <c r="TLL9" s="222"/>
      <c r="TLM9" s="222"/>
      <c r="TLN9" s="222"/>
      <c r="TLO9" s="222"/>
      <c r="TLP9" s="222"/>
      <c r="TLQ9" s="222"/>
      <c r="TLR9" s="222"/>
      <c r="TLS9" s="222"/>
      <c r="TLT9" s="222"/>
      <c r="TLU9" s="222"/>
      <c r="TLV9" s="222"/>
      <c r="TLW9" s="222"/>
      <c r="TLX9" s="222"/>
      <c r="TLY9" s="222"/>
      <c r="TLZ9" s="222"/>
      <c r="TMA9" s="222"/>
      <c r="TMB9" s="222"/>
      <c r="TMC9" s="222"/>
      <c r="TMD9" s="222"/>
      <c r="TME9" s="222"/>
      <c r="TMF9" s="222"/>
      <c r="TMG9" s="222"/>
      <c r="TMH9" s="222"/>
      <c r="TMI9" s="222"/>
      <c r="TMJ9" s="222"/>
      <c r="TMK9" s="222"/>
      <c r="TML9" s="222"/>
      <c r="TMM9" s="222"/>
      <c r="TMN9" s="222"/>
      <c r="TMO9" s="222"/>
      <c r="TMP9" s="222"/>
      <c r="TMQ9" s="222"/>
      <c r="TMR9" s="222"/>
      <c r="TMS9" s="222"/>
      <c r="TMT9" s="222"/>
      <c r="TMU9" s="222"/>
      <c r="TMV9" s="222"/>
      <c r="TMW9" s="222"/>
      <c r="TMX9" s="222"/>
      <c r="TMY9" s="222"/>
      <c r="TMZ9" s="222"/>
      <c r="TNA9" s="222"/>
      <c r="TNB9" s="222"/>
      <c r="TNC9" s="222"/>
      <c r="TND9" s="222"/>
      <c r="TNE9" s="222"/>
      <c r="TNF9" s="222"/>
      <c r="TNG9" s="222"/>
      <c r="TNH9" s="222"/>
      <c r="TNI9" s="222"/>
      <c r="TNJ9" s="222"/>
      <c r="TNK9" s="222"/>
      <c r="TNL9" s="222"/>
      <c r="TNM9" s="222"/>
      <c r="TNN9" s="222"/>
      <c r="TNO9" s="222"/>
      <c r="TNP9" s="222"/>
      <c r="TNQ9" s="222"/>
      <c r="TNR9" s="222"/>
      <c r="TNS9" s="222"/>
      <c r="TNT9" s="222"/>
      <c r="TNU9" s="222"/>
      <c r="TNV9" s="222"/>
      <c r="TNW9" s="222"/>
      <c r="TNX9" s="222"/>
      <c r="TNY9" s="222"/>
      <c r="TNZ9" s="222"/>
      <c r="TOA9" s="222"/>
      <c r="TOB9" s="222"/>
      <c r="TOC9" s="222"/>
      <c r="TOD9" s="222"/>
      <c r="TOE9" s="222"/>
      <c r="TOF9" s="222"/>
      <c r="TOG9" s="222"/>
      <c r="TOH9" s="222"/>
      <c r="TOI9" s="222"/>
      <c r="TOJ9" s="222"/>
      <c r="TOK9" s="222"/>
      <c r="TOL9" s="222"/>
      <c r="TOM9" s="222"/>
      <c r="TON9" s="222"/>
      <c r="TOO9" s="222"/>
      <c r="TOP9" s="222"/>
      <c r="TOQ9" s="222"/>
      <c r="TOR9" s="222"/>
      <c r="TOS9" s="222"/>
      <c r="TOT9" s="222"/>
      <c r="TOU9" s="222"/>
      <c r="TOV9" s="222"/>
      <c r="TOW9" s="222"/>
      <c r="TOX9" s="222"/>
      <c r="TOY9" s="222"/>
      <c r="TOZ9" s="222"/>
      <c r="TPA9" s="222"/>
      <c r="TPB9" s="222"/>
      <c r="TPC9" s="222"/>
      <c r="TPD9" s="222"/>
      <c r="TPE9" s="222"/>
      <c r="TPF9" s="222"/>
      <c r="TPG9" s="222"/>
      <c r="TPH9" s="222"/>
      <c r="TPI9" s="222"/>
      <c r="TPJ9" s="222"/>
      <c r="TPK9" s="222"/>
      <c r="TPL9" s="222"/>
      <c r="TPM9" s="222"/>
      <c r="TPN9" s="222"/>
      <c r="TPO9" s="222"/>
      <c r="TPP9" s="222"/>
      <c r="TPQ9" s="222"/>
      <c r="TPR9" s="222"/>
      <c r="TPS9" s="222"/>
      <c r="TPT9" s="222"/>
      <c r="TPU9" s="222"/>
      <c r="TPV9" s="222"/>
      <c r="TPW9" s="222"/>
      <c r="TPX9" s="222"/>
      <c r="TPY9" s="222"/>
      <c r="TPZ9" s="222"/>
      <c r="TQA9" s="222"/>
      <c r="TQB9" s="222"/>
      <c r="TQC9" s="222"/>
      <c r="TQD9" s="222"/>
      <c r="TQE9" s="222"/>
      <c r="TQF9" s="222"/>
      <c r="TQG9" s="222"/>
      <c r="TQH9" s="222"/>
      <c r="TQI9" s="222"/>
      <c r="TQJ9" s="222"/>
      <c r="TQK9" s="222"/>
      <c r="TQL9" s="222"/>
      <c r="TQM9" s="222"/>
      <c r="TQN9" s="222"/>
      <c r="TQO9" s="222"/>
      <c r="TQP9" s="222"/>
      <c r="TQQ9" s="222"/>
      <c r="TQR9" s="222"/>
      <c r="TQS9" s="222"/>
      <c r="TQT9" s="222"/>
      <c r="TQU9" s="222"/>
      <c r="TQV9" s="222"/>
      <c r="TQW9" s="222"/>
      <c r="TQX9" s="222"/>
      <c r="TQY9" s="222"/>
      <c r="TQZ9" s="222"/>
      <c r="TRA9" s="222"/>
      <c r="TRB9" s="222"/>
      <c r="TRC9" s="222"/>
      <c r="TRD9" s="222"/>
      <c r="TRE9" s="222"/>
      <c r="TRF9" s="222"/>
      <c r="TRG9" s="222"/>
      <c r="TRH9" s="222"/>
      <c r="TRI9" s="222"/>
      <c r="TRJ9" s="222"/>
      <c r="TRK9" s="222"/>
      <c r="TRL9" s="222"/>
      <c r="TRM9" s="222"/>
      <c r="TRN9" s="222"/>
      <c r="TRO9" s="222"/>
      <c r="TRP9" s="222"/>
      <c r="TRQ9" s="222"/>
      <c r="TRR9" s="222"/>
      <c r="TRS9" s="222"/>
      <c r="TRT9" s="222"/>
      <c r="TRU9" s="222"/>
      <c r="TRV9" s="222"/>
      <c r="TRW9" s="222"/>
      <c r="TRX9" s="222"/>
      <c r="TRY9" s="222"/>
      <c r="TRZ9" s="222"/>
      <c r="TSA9" s="222"/>
      <c r="TSB9" s="222"/>
      <c r="TSC9" s="222"/>
      <c r="TSD9" s="222"/>
      <c r="TSE9" s="222"/>
      <c r="TSF9" s="222"/>
      <c r="TSG9" s="222"/>
      <c r="TSH9" s="222"/>
      <c r="TSI9" s="222"/>
      <c r="TSJ9" s="222"/>
      <c r="TSK9" s="222"/>
      <c r="TSL9" s="222"/>
      <c r="TSM9" s="222"/>
      <c r="TSN9" s="222"/>
      <c r="TSO9" s="222"/>
      <c r="TSP9" s="222"/>
      <c r="TSQ9" s="222"/>
      <c r="TSR9" s="222"/>
      <c r="TSS9" s="222"/>
      <c r="TST9" s="222"/>
      <c r="TSU9" s="222"/>
      <c r="TSV9" s="222"/>
      <c r="TSW9" s="222"/>
      <c r="TSX9" s="222"/>
      <c r="TSY9" s="222"/>
      <c r="TSZ9" s="222"/>
      <c r="TTA9" s="222"/>
      <c r="TTB9" s="222"/>
      <c r="TTC9" s="222"/>
      <c r="TTD9" s="222"/>
      <c r="TTE9" s="222"/>
      <c r="TTF9" s="222"/>
      <c r="TTG9" s="222"/>
      <c r="TTH9" s="222"/>
      <c r="TTI9" s="222"/>
      <c r="TTJ9" s="222"/>
      <c r="TTK9" s="222"/>
      <c r="TTL9" s="222"/>
      <c r="TTM9" s="222"/>
      <c r="TTN9" s="222"/>
      <c r="TTO9" s="222"/>
      <c r="TTP9" s="222"/>
      <c r="TTQ9" s="222"/>
      <c r="TTR9" s="222"/>
      <c r="TTS9" s="222"/>
      <c r="TTT9" s="222"/>
      <c r="TTU9" s="222"/>
      <c r="TTV9" s="222"/>
      <c r="TTW9" s="222"/>
      <c r="TTX9" s="222"/>
      <c r="TTY9" s="222"/>
      <c r="TTZ9" s="222"/>
      <c r="TUA9" s="222"/>
      <c r="TUB9" s="222"/>
      <c r="TUC9" s="222"/>
      <c r="TUD9" s="222"/>
      <c r="TUE9" s="222"/>
      <c r="TUF9" s="222"/>
      <c r="TUG9" s="222"/>
      <c r="TUH9" s="222"/>
      <c r="TUI9" s="222"/>
      <c r="TUJ9" s="222"/>
      <c r="TUK9" s="222"/>
      <c r="TUL9" s="222"/>
      <c r="TUM9" s="222"/>
      <c r="TUN9" s="222"/>
      <c r="TUO9" s="222"/>
      <c r="TUP9" s="222"/>
      <c r="TUQ9" s="222"/>
      <c r="TUR9" s="222"/>
      <c r="TUS9" s="222"/>
      <c r="TUT9" s="222"/>
      <c r="TUU9" s="222"/>
      <c r="TUV9" s="222"/>
      <c r="TUW9" s="222"/>
      <c r="TUX9" s="222"/>
      <c r="TUY9" s="222"/>
      <c r="TUZ9" s="222"/>
      <c r="TVA9" s="222"/>
      <c r="TVB9" s="222"/>
      <c r="TVC9" s="222"/>
      <c r="TVD9" s="222"/>
      <c r="TVE9" s="222"/>
      <c r="TVF9" s="222"/>
      <c r="TVG9" s="222"/>
      <c r="TVH9" s="222"/>
      <c r="TVI9" s="222"/>
      <c r="TVJ9" s="222"/>
      <c r="TVK9" s="222"/>
      <c r="TVL9" s="222"/>
      <c r="TVM9" s="222"/>
      <c r="TVN9" s="222"/>
      <c r="TVO9" s="222"/>
      <c r="TVP9" s="222"/>
      <c r="TVQ9" s="222"/>
      <c r="TVR9" s="222"/>
      <c r="TVS9" s="222"/>
      <c r="TVT9" s="222"/>
      <c r="TVU9" s="222"/>
      <c r="TVV9" s="222"/>
      <c r="TVW9" s="222"/>
      <c r="TVX9" s="222"/>
      <c r="TVY9" s="222"/>
      <c r="TVZ9" s="222"/>
      <c r="TWA9" s="222"/>
      <c r="TWB9" s="222"/>
      <c r="TWC9" s="222"/>
      <c r="TWD9" s="222"/>
      <c r="TWE9" s="222"/>
      <c r="TWF9" s="222"/>
      <c r="TWG9" s="222"/>
      <c r="TWH9" s="222"/>
      <c r="TWI9" s="222"/>
      <c r="TWJ9" s="222"/>
      <c r="TWK9" s="222"/>
      <c r="TWL9" s="222"/>
      <c r="TWM9" s="222"/>
      <c r="TWN9" s="222"/>
      <c r="TWO9" s="222"/>
      <c r="TWP9" s="222"/>
      <c r="TWQ9" s="222"/>
      <c r="TWR9" s="222"/>
      <c r="TWS9" s="222"/>
      <c r="TWT9" s="222"/>
      <c r="TWU9" s="222"/>
      <c r="TWV9" s="222"/>
      <c r="TWW9" s="222"/>
      <c r="TWX9" s="222"/>
      <c r="TWY9" s="222"/>
      <c r="TWZ9" s="222"/>
      <c r="TXA9" s="222"/>
      <c r="TXB9" s="222"/>
      <c r="TXC9" s="222"/>
      <c r="TXD9" s="222"/>
      <c r="TXE9" s="222"/>
      <c r="TXF9" s="222"/>
      <c r="TXG9" s="222"/>
      <c r="TXH9" s="222"/>
      <c r="TXI9" s="222"/>
      <c r="TXJ9" s="222"/>
      <c r="TXK9" s="222"/>
      <c r="TXL9" s="222"/>
      <c r="TXM9" s="222"/>
      <c r="TXN9" s="222"/>
      <c r="TXO9" s="222"/>
      <c r="TXP9" s="222"/>
      <c r="TXQ9" s="222"/>
      <c r="TXR9" s="222"/>
      <c r="TXS9" s="222"/>
      <c r="TXT9" s="222"/>
      <c r="TXU9" s="222"/>
      <c r="TXV9" s="222"/>
      <c r="TXW9" s="222"/>
      <c r="TXX9" s="222"/>
      <c r="TXY9" s="222"/>
      <c r="TXZ9" s="222"/>
      <c r="TYA9" s="222"/>
      <c r="TYB9" s="222"/>
      <c r="TYC9" s="222"/>
      <c r="TYD9" s="222"/>
      <c r="TYE9" s="222"/>
      <c r="TYF9" s="222"/>
      <c r="TYG9" s="222"/>
      <c r="TYH9" s="222"/>
      <c r="TYI9" s="222"/>
      <c r="TYJ9" s="222"/>
      <c r="TYK9" s="222"/>
      <c r="TYL9" s="222"/>
      <c r="TYM9" s="222"/>
      <c r="TYN9" s="222"/>
      <c r="TYO9" s="222"/>
      <c r="TYP9" s="222"/>
      <c r="TYQ9" s="222"/>
      <c r="TYR9" s="222"/>
      <c r="TYS9" s="222"/>
      <c r="TYT9" s="222"/>
      <c r="TYU9" s="222"/>
      <c r="TYV9" s="222"/>
      <c r="TYW9" s="222"/>
      <c r="TYX9" s="222"/>
      <c r="TYY9" s="222"/>
      <c r="TYZ9" s="222"/>
      <c r="TZA9" s="222"/>
      <c r="TZB9" s="222"/>
      <c r="TZC9" s="222"/>
      <c r="TZD9" s="222"/>
      <c r="TZE9" s="222"/>
      <c r="TZF9" s="222"/>
      <c r="TZG9" s="222"/>
      <c r="TZH9" s="222"/>
      <c r="TZI9" s="222"/>
      <c r="TZJ9" s="222"/>
      <c r="TZK9" s="222"/>
      <c r="TZL9" s="222"/>
      <c r="TZM9" s="222"/>
      <c r="TZN9" s="222"/>
      <c r="TZO9" s="222"/>
      <c r="TZP9" s="222"/>
      <c r="TZQ9" s="222"/>
      <c r="TZR9" s="222"/>
      <c r="TZS9" s="222"/>
      <c r="TZT9" s="222"/>
      <c r="TZU9" s="222"/>
      <c r="TZV9" s="222"/>
      <c r="TZW9" s="222"/>
      <c r="TZX9" s="222"/>
      <c r="TZY9" s="222"/>
      <c r="TZZ9" s="222"/>
      <c r="UAA9" s="222"/>
      <c r="UAB9" s="222"/>
      <c r="UAC9" s="222"/>
      <c r="UAD9" s="222"/>
      <c r="UAE9" s="222"/>
      <c r="UAF9" s="222"/>
      <c r="UAG9" s="222"/>
      <c r="UAH9" s="222"/>
      <c r="UAI9" s="222"/>
      <c r="UAJ9" s="222"/>
      <c r="UAK9" s="222"/>
      <c r="UAL9" s="222"/>
      <c r="UAM9" s="222"/>
      <c r="UAN9" s="222"/>
      <c r="UAO9" s="222"/>
      <c r="UAP9" s="222"/>
      <c r="UAQ9" s="222"/>
      <c r="UAR9" s="222"/>
      <c r="UAS9" s="222"/>
      <c r="UAT9" s="222"/>
      <c r="UAU9" s="222"/>
      <c r="UAV9" s="222"/>
      <c r="UAW9" s="222"/>
      <c r="UAX9" s="222"/>
      <c r="UAY9" s="222"/>
      <c r="UAZ9" s="222"/>
      <c r="UBA9" s="222"/>
      <c r="UBB9" s="222"/>
      <c r="UBC9" s="222"/>
      <c r="UBD9" s="222"/>
      <c r="UBE9" s="222"/>
      <c r="UBF9" s="222"/>
      <c r="UBG9" s="222"/>
      <c r="UBH9" s="222"/>
      <c r="UBI9" s="222"/>
      <c r="UBJ9" s="222"/>
      <c r="UBK9" s="222"/>
      <c r="UBL9" s="222"/>
      <c r="UBM9" s="222"/>
      <c r="UBN9" s="222"/>
      <c r="UBO9" s="222"/>
      <c r="UBP9" s="222"/>
      <c r="UBQ9" s="222"/>
      <c r="UBR9" s="222"/>
      <c r="UBS9" s="222"/>
      <c r="UBT9" s="222"/>
      <c r="UBU9" s="222"/>
      <c r="UBV9" s="222"/>
      <c r="UBW9" s="222"/>
      <c r="UBX9" s="222"/>
      <c r="UBY9" s="222"/>
      <c r="UBZ9" s="222"/>
      <c r="UCA9" s="222"/>
      <c r="UCB9" s="222"/>
      <c r="UCC9" s="222"/>
      <c r="UCD9" s="222"/>
      <c r="UCE9" s="222"/>
      <c r="UCF9" s="222"/>
      <c r="UCG9" s="222"/>
      <c r="UCH9" s="222"/>
      <c r="UCI9" s="222"/>
      <c r="UCJ9" s="222"/>
      <c r="UCK9" s="222"/>
      <c r="UCL9" s="222"/>
      <c r="UCM9" s="222"/>
      <c r="UCN9" s="222"/>
      <c r="UCO9" s="222"/>
      <c r="UCP9" s="222"/>
      <c r="UCQ9" s="222"/>
      <c r="UCR9" s="222"/>
      <c r="UCS9" s="222"/>
      <c r="UCT9" s="222"/>
      <c r="UCU9" s="222"/>
      <c r="UCV9" s="222"/>
      <c r="UCW9" s="222"/>
      <c r="UCX9" s="222"/>
      <c r="UCY9" s="222"/>
      <c r="UCZ9" s="222"/>
      <c r="UDA9" s="222"/>
      <c r="UDB9" s="222"/>
      <c r="UDC9" s="222"/>
      <c r="UDD9" s="222"/>
      <c r="UDE9" s="222"/>
      <c r="UDF9" s="222"/>
      <c r="UDG9" s="222"/>
      <c r="UDH9" s="222"/>
      <c r="UDI9" s="222"/>
      <c r="UDJ9" s="222"/>
      <c r="UDK9" s="222"/>
      <c r="UDL9" s="222"/>
      <c r="UDM9" s="222"/>
      <c r="UDN9" s="222"/>
      <c r="UDO9" s="222"/>
      <c r="UDP9" s="222"/>
      <c r="UDQ9" s="222"/>
      <c r="UDR9" s="222"/>
      <c r="UDS9" s="222"/>
      <c r="UDT9" s="222"/>
      <c r="UDU9" s="222"/>
      <c r="UDV9" s="222"/>
      <c r="UDW9" s="222"/>
      <c r="UDX9" s="222"/>
      <c r="UDY9" s="222"/>
      <c r="UDZ9" s="222"/>
      <c r="UEA9" s="222"/>
      <c r="UEB9" s="222"/>
      <c r="UEC9" s="222"/>
      <c r="UED9" s="222"/>
      <c r="UEE9" s="222"/>
      <c r="UEF9" s="222"/>
      <c r="UEG9" s="222"/>
      <c r="UEH9" s="222"/>
      <c r="UEI9" s="222"/>
      <c r="UEJ9" s="222"/>
      <c r="UEK9" s="222"/>
      <c r="UEL9" s="222"/>
      <c r="UEM9" s="222"/>
      <c r="UEN9" s="222"/>
      <c r="UEO9" s="222"/>
      <c r="UEP9" s="222"/>
      <c r="UEQ9" s="222"/>
      <c r="UER9" s="222"/>
      <c r="UES9" s="222"/>
      <c r="UET9" s="222"/>
      <c r="UEU9" s="222"/>
      <c r="UEV9" s="222"/>
      <c r="UEW9" s="222"/>
      <c r="UEX9" s="222"/>
      <c r="UEY9" s="222"/>
      <c r="UEZ9" s="222"/>
      <c r="UFA9" s="222"/>
      <c r="UFB9" s="222"/>
      <c r="UFC9" s="222"/>
      <c r="UFD9" s="222"/>
      <c r="UFE9" s="222"/>
      <c r="UFF9" s="222"/>
      <c r="UFG9" s="222"/>
      <c r="UFH9" s="222"/>
      <c r="UFI9" s="222"/>
      <c r="UFJ9" s="222"/>
      <c r="UFK9" s="222"/>
      <c r="UFL9" s="222"/>
      <c r="UFM9" s="222"/>
      <c r="UFN9" s="222"/>
      <c r="UFO9" s="222"/>
      <c r="UFP9" s="222"/>
      <c r="UFQ9" s="222"/>
      <c r="UFR9" s="222"/>
      <c r="UFS9" s="222"/>
      <c r="UFT9" s="222"/>
      <c r="UFU9" s="222"/>
      <c r="UFV9" s="222"/>
      <c r="UFW9" s="222"/>
      <c r="UFX9" s="222"/>
      <c r="UFY9" s="222"/>
      <c r="UFZ9" s="222"/>
      <c r="UGA9" s="222"/>
      <c r="UGB9" s="222"/>
      <c r="UGC9" s="222"/>
      <c r="UGD9" s="222"/>
      <c r="UGE9" s="222"/>
      <c r="UGF9" s="222"/>
      <c r="UGG9" s="222"/>
      <c r="UGH9" s="222"/>
      <c r="UGI9" s="222"/>
      <c r="UGJ9" s="222"/>
      <c r="UGK9" s="222"/>
      <c r="UGL9" s="222"/>
      <c r="UGM9" s="222"/>
      <c r="UGN9" s="222"/>
      <c r="UGO9" s="222"/>
      <c r="UGP9" s="222"/>
      <c r="UGQ9" s="222"/>
      <c r="UGR9" s="222"/>
      <c r="UGS9" s="222"/>
      <c r="UGT9" s="222"/>
      <c r="UGU9" s="222"/>
      <c r="UGV9" s="222"/>
      <c r="UGW9" s="222"/>
      <c r="UGX9" s="222"/>
      <c r="UGY9" s="222"/>
      <c r="UGZ9" s="222"/>
      <c r="UHA9" s="222"/>
      <c r="UHB9" s="222"/>
      <c r="UHC9" s="222"/>
      <c r="UHD9" s="222"/>
      <c r="UHE9" s="222"/>
      <c r="UHF9" s="222"/>
      <c r="UHG9" s="222"/>
      <c r="UHH9" s="222"/>
      <c r="UHI9" s="222"/>
      <c r="UHJ9" s="222"/>
      <c r="UHK9" s="222"/>
      <c r="UHL9" s="222"/>
      <c r="UHM9" s="222"/>
      <c r="UHN9" s="222"/>
      <c r="UHO9" s="222"/>
      <c r="UHP9" s="222"/>
      <c r="UHQ9" s="222"/>
      <c r="UHR9" s="222"/>
      <c r="UHS9" s="222"/>
      <c r="UHT9" s="222"/>
      <c r="UHU9" s="222"/>
      <c r="UHV9" s="222"/>
      <c r="UHW9" s="222"/>
      <c r="UHX9" s="222"/>
      <c r="UHY9" s="222"/>
      <c r="UHZ9" s="222"/>
      <c r="UIA9" s="222"/>
      <c r="UIB9" s="222"/>
      <c r="UIC9" s="222"/>
      <c r="UID9" s="222"/>
      <c r="UIE9" s="222"/>
      <c r="UIF9" s="222"/>
      <c r="UIG9" s="222"/>
      <c r="UIH9" s="222"/>
      <c r="UII9" s="222"/>
      <c r="UIJ9" s="222"/>
      <c r="UIK9" s="222"/>
      <c r="UIL9" s="222"/>
      <c r="UIM9" s="222"/>
      <c r="UIN9" s="222"/>
      <c r="UIO9" s="222"/>
      <c r="UIP9" s="222"/>
      <c r="UIQ9" s="222"/>
      <c r="UIR9" s="222"/>
      <c r="UIS9" s="222"/>
      <c r="UIT9" s="222"/>
      <c r="UIU9" s="222"/>
      <c r="UIV9" s="222"/>
      <c r="UIW9" s="222"/>
      <c r="UIX9" s="222"/>
      <c r="UIY9" s="222"/>
      <c r="UIZ9" s="222"/>
      <c r="UJA9" s="222"/>
      <c r="UJB9" s="222"/>
      <c r="UJC9" s="222"/>
      <c r="UJD9" s="222"/>
      <c r="UJE9" s="222"/>
      <c r="UJF9" s="222"/>
      <c r="UJG9" s="222"/>
      <c r="UJH9" s="222"/>
      <c r="UJI9" s="222"/>
      <c r="UJJ9" s="222"/>
      <c r="UJK9" s="222"/>
      <c r="UJL9" s="222"/>
      <c r="UJM9" s="222"/>
      <c r="UJN9" s="222"/>
      <c r="UJO9" s="222"/>
      <c r="UJP9" s="222"/>
      <c r="UJQ9" s="222"/>
      <c r="UJR9" s="222"/>
      <c r="UJS9" s="222"/>
      <c r="UJT9" s="222"/>
      <c r="UJU9" s="222"/>
      <c r="UJV9" s="222"/>
      <c r="UJW9" s="222"/>
      <c r="UJX9" s="222"/>
      <c r="UJY9" s="222"/>
      <c r="UJZ9" s="222"/>
      <c r="UKA9" s="222"/>
      <c r="UKB9" s="222"/>
      <c r="UKC9" s="222"/>
      <c r="UKD9" s="222"/>
      <c r="UKE9" s="222"/>
      <c r="UKF9" s="222"/>
      <c r="UKG9" s="222"/>
      <c r="UKH9" s="222"/>
      <c r="UKI9" s="222"/>
      <c r="UKJ9" s="222"/>
      <c r="UKK9" s="222"/>
      <c r="UKL9" s="222"/>
      <c r="UKM9" s="222"/>
      <c r="UKN9" s="222"/>
      <c r="UKO9" s="222"/>
      <c r="UKP9" s="222"/>
      <c r="UKQ9" s="222"/>
      <c r="UKR9" s="222"/>
      <c r="UKS9" s="222"/>
      <c r="UKT9" s="222"/>
      <c r="UKU9" s="222"/>
      <c r="UKV9" s="222"/>
      <c r="UKW9" s="222"/>
      <c r="UKX9" s="222"/>
      <c r="UKY9" s="222"/>
      <c r="UKZ9" s="222"/>
      <c r="ULA9" s="222"/>
      <c r="ULB9" s="222"/>
      <c r="ULC9" s="222"/>
      <c r="ULD9" s="222"/>
      <c r="ULE9" s="222"/>
      <c r="ULF9" s="222"/>
      <c r="ULG9" s="222"/>
      <c r="ULH9" s="222"/>
      <c r="ULI9" s="222"/>
      <c r="ULJ9" s="222"/>
      <c r="ULK9" s="222"/>
      <c r="ULL9" s="222"/>
      <c r="ULM9" s="222"/>
      <c r="ULN9" s="222"/>
      <c r="ULO9" s="222"/>
      <c r="ULP9" s="222"/>
      <c r="ULQ9" s="222"/>
      <c r="ULR9" s="222"/>
      <c r="ULS9" s="222"/>
      <c r="ULT9" s="222"/>
      <c r="ULU9" s="222"/>
      <c r="ULV9" s="222"/>
      <c r="ULW9" s="222"/>
      <c r="ULX9" s="222"/>
      <c r="ULY9" s="222"/>
      <c r="ULZ9" s="222"/>
      <c r="UMA9" s="222"/>
      <c r="UMB9" s="222"/>
      <c r="UMC9" s="222"/>
      <c r="UMD9" s="222"/>
      <c r="UME9" s="222"/>
      <c r="UMF9" s="222"/>
      <c r="UMG9" s="222"/>
      <c r="UMH9" s="222"/>
      <c r="UMI9" s="222"/>
      <c r="UMJ9" s="222"/>
      <c r="UMK9" s="222"/>
      <c r="UML9" s="222"/>
      <c r="UMM9" s="222"/>
      <c r="UMN9" s="222"/>
      <c r="UMO9" s="222"/>
      <c r="UMP9" s="222"/>
      <c r="UMQ9" s="222"/>
      <c r="UMR9" s="222"/>
      <c r="UMS9" s="222"/>
      <c r="UMT9" s="222"/>
      <c r="UMU9" s="222"/>
      <c r="UMV9" s="222"/>
      <c r="UMW9" s="222"/>
      <c r="UMX9" s="222"/>
      <c r="UMY9" s="222"/>
      <c r="UMZ9" s="222"/>
      <c r="UNA9" s="222"/>
      <c r="UNB9" s="222"/>
      <c r="UNC9" s="222"/>
      <c r="UND9" s="222"/>
      <c r="UNE9" s="222"/>
      <c r="UNF9" s="222"/>
      <c r="UNG9" s="222"/>
      <c r="UNH9" s="222"/>
      <c r="UNI9" s="222"/>
      <c r="UNJ9" s="222"/>
      <c r="UNK9" s="222"/>
      <c r="UNL9" s="222"/>
      <c r="UNM9" s="222"/>
      <c r="UNN9" s="222"/>
      <c r="UNO9" s="222"/>
      <c r="UNP9" s="222"/>
      <c r="UNQ9" s="222"/>
      <c r="UNR9" s="222"/>
      <c r="UNS9" s="222"/>
      <c r="UNT9" s="222"/>
      <c r="UNU9" s="222"/>
      <c r="UNV9" s="222"/>
      <c r="UNW9" s="222"/>
      <c r="UNX9" s="222"/>
      <c r="UNY9" s="222"/>
      <c r="UNZ9" s="222"/>
      <c r="UOA9" s="222"/>
      <c r="UOB9" s="222"/>
      <c r="UOC9" s="222"/>
      <c r="UOD9" s="222"/>
      <c r="UOE9" s="222"/>
      <c r="UOF9" s="222"/>
      <c r="UOG9" s="222"/>
      <c r="UOH9" s="222"/>
      <c r="UOI9" s="222"/>
      <c r="UOJ9" s="222"/>
      <c r="UOK9" s="222"/>
      <c r="UOL9" s="222"/>
      <c r="UOM9" s="222"/>
      <c r="UON9" s="222"/>
      <c r="UOO9" s="222"/>
      <c r="UOP9" s="222"/>
      <c r="UOQ9" s="222"/>
      <c r="UOR9" s="222"/>
      <c r="UOS9" s="222"/>
      <c r="UOT9" s="222"/>
      <c r="UOU9" s="222"/>
      <c r="UOV9" s="222"/>
      <c r="UOW9" s="222"/>
      <c r="UOX9" s="222"/>
      <c r="UOY9" s="222"/>
      <c r="UOZ9" s="222"/>
      <c r="UPA9" s="222"/>
      <c r="UPB9" s="222"/>
      <c r="UPC9" s="222"/>
      <c r="UPD9" s="222"/>
      <c r="UPE9" s="222"/>
      <c r="UPF9" s="222"/>
      <c r="UPG9" s="222"/>
      <c r="UPH9" s="222"/>
      <c r="UPI9" s="222"/>
      <c r="UPJ9" s="222"/>
      <c r="UPK9" s="222"/>
      <c r="UPL9" s="222"/>
      <c r="UPM9" s="222"/>
      <c r="UPN9" s="222"/>
      <c r="UPO9" s="222"/>
      <c r="UPP9" s="222"/>
      <c r="UPQ9" s="222"/>
      <c r="UPR9" s="222"/>
      <c r="UPS9" s="222"/>
      <c r="UPT9" s="222"/>
      <c r="UPU9" s="222"/>
      <c r="UPV9" s="222"/>
      <c r="UPW9" s="222"/>
      <c r="UPX9" s="222"/>
      <c r="UPY9" s="222"/>
      <c r="UPZ9" s="222"/>
      <c r="UQA9" s="222"/>
      <c r="UQB9" s="222"/>
      <c r="UQC9" s="222"/>
      <c r="UQD9" s="222"/>
      <c r="UQE9" s="222"/>
      <c r="UQF9" s="222"/>
      <c r="UQG9" s="222"/>
      <c r="UQH9" s="222"/>
      <c r="UQI9" s="222"/>
      <c r="UQJ9" s="222"/>
      <c r="UQK9" s="222"/>
      <c r="UQL9" s="222"/>
      <c r="UQM9" s="222"/>
      <c r="UQN9" s="222"/>
      <c r="UQO9" s="222"/>
      <c r="UQP9" s="222"/>
      <c r="UQQ9" s="222"/>
      <c r="UQR9" s="222"/>
      <c r="UQS9" s="222"/>
      <c r="UQT9" s="222"/>
      <c r="UQU9" s="222"/>
      <c r="UQV9" s="222"/>
      <c r="UQW9" s="222"/>
      <c r="UQX9" s="222"/>
      <c r="UQY9" s="222"/>
      <c r="UQZ9" s="222"/>
      <c r="URA9" s="222"/>
      <c r="URB9" s="222"/>
      <c r="URC9" s="222"/>
      <c r="URD9" s="222"/>
      <c r="URE9" s="222"/>
      <c r="URF9" s="222"/>
      <c r="URG9" s="222"/>
      <c r="URH9" s="222"/>
      <c r="URI9" s="222"/>
      <c r="URJ9" s="222"/>
      <c r="URK9" s="222"/>
      <c r="URL9" s="222"/>
      <c r="URM9" s="222"/>
      <c r="URN9" s="222"/>
      <c r="URO9" s="222"/>
      <c r="URP9" s="222"/>
      <c r="URQ9" s="222"/>
      <c r="URR9" s="222"/>
      <c r="URS9" s="222"/>
      <c r="URT9" s="222"/>
      <c r="URU9" s="222"/>
      <c r="URV9" s="222"/>
      <c r="URW9" s="222"/>
      <c r="URX9" s="222"/>
      <c r="URY9" s="222"/>
      <c r="URZ9" s="222"/>
      <c r="USA9" s="222"/>
      <c r="USB9" s="222"/>
      <c r="USC9" s="222"/>
      <c r="USD9" s="222"/>
      <c r="USE9" s="222"/>
      <c r="USF9" s="222"/>
      <c r="USG9" s="222"/>
      <c r="USH9" s="222"/>
      <c r="USI9" s="222"/>
      <c r="USJ9" s="222"/>
      <c r="USK9" s="222"/>
      <c r="USL9" s="222"/>
      <c r="USM9" s="222"/>
      <c r="USN9" s="222"/>
      <c r="USO9" s="222"/>
      <c r="USP9" s="222"/>
      <c r="USQ9" s="222"/>
      <c r="USR9" s="222"/>
      <c r="USS9" s="222"/>
      <c r="UST9" s="222"/>
      <c r="USU9" s="222"/>
      <c r="USV9" s="222"/>
      <c r="USW9" s="222"/>
      <c r="USX9" s="222"/>
      <c r="USY9" s="222"/>
      <c r="USZ9" s="222"/>
      <c r="UTA9" s="222"/>
      <c r="UTB9" s="222"/>
      <c r="UTC9" s="222"/>
      <c r="UTD9" s="222"/>
      <c r="UTE9" s="222"/>
      <c r="UTF9" s="222"/>
      <c r="UTG9" s="222"/>
      <c r="UTH9" s="222"/>
      <c r="UTI9" s="222"/>
      <c r="UTJ9" s="222"/>
      <c r="UTK9" s="222"/>
      <c r="UTL9" s="222"/>
      <c r="UTM9" s="222"/>
      <c r="UTN9" s="222"/>
      <c r="UTO9" s="222"/>
      <c r="UTP9" s="222"/>
      <c r="UTQ9" s="222"/>
      <c r="UTR9" s="222"/>
      <c r="UTS9" s="222"/>
      <c r="UTT9" s="222"/>
      <c r="UTU9" s="222"/>
      <c r="UTV9" s="222"/>
      <c r="UTW9" s="222"/>
      <c r="UTX9" s="222"/>
      <c r="UTY9" s="222"/>
      <c r="UTZ9" s="222"/>
      <c r="UUA9" s="222"/>
      <c r="UUB9" s="222"/>
      <c r="UUC9" s="222"/>
      <c r="UUD9" s="222"/>
      <c r="UUE9" s="222"/>
      <c r="UUF9" s="222"/>
      <c r="UUG9" s="222"/>
      <c r="UUH9" s="222"/>
      <c r="UUI9" s="222"/>
      <c r="UUJ9" s="222"/>
      <c r="UUK9" s="222"/>
      <c r="UUL9" s="222"/>
      <c r="UUM9" s="222"/>
      <c r="UUN9" s="222"/>
      <c r="UUO9" s="222"/>
      <c r="UUP9" s="222"/>
      <c r="UUQ9" s="222"/>
      <c r="UUR9" s="222"/>
      <c r="UUS9" s="222"/>
      <c r="UUT9" s="222"/>
      <c r="UUU9" s="222"/>
      <c r="UUV9" s="222"/>
      <c r="UUW9" s="222"/>
      <c r="UUX9" s="222"/>
      <c r="UUY9" s="222"/>
      <c r="UUZ9" s="222"/>
      <c r="UVA9" s="222"/>
      <c r="UVB9" s="222"/>
      <c r="UVC9" s="222"/>
      <c r="UVD9" s="222"/>
      <c r="UVE9" s="222"/>
      <c r="UVF9" s="222"/>
      <c r="UVG9" s="222"/>
      <c r="UVH9" s="222"/>
      <c r="UVI9" s="222"/>
      <c r="UVJ9" s="222"/>
      <c r="UVK9" s="222"/>
      <c r="UVL9" s="222"/>
      <c r="UVM9" s="222"/>
      <c r="UVN9" s="222"/>
      <c r="UVO9" s="222"/>
      <c r="UVP9" s="222"/>
      <c r="UVQ9" s="222"/>
      <c r="UVR9" s="222"/>
      <c r="UVS9" s="222"/>
      <c r="UVT9" s="222"/>
      <c r="UVU9" s="222"/>
      <c r="UVV9" s="222"/>
      <c r="UVW9" s="222"/>
      <c r="UVX9" s="222"/>
      <c r="UVY9" s="222"/>
      <c r="UVZ9" s="222"/>
      <c r="UWA9" s="222"/>
      <c r="UWB9" s="222"/>
      <c r="UWC9" s="222"/>
      <c r="UWD9" s="222"/>
      <c r="UWE9" s="222"/>
      <c r="UWF9" s="222"/>
      <c r="UWG9" s="222"/>
      <c r="UWH9" s="222"/>
      <c r="UWI9" s="222"/>
      <c r="UWJ9" s="222"/>
      <c r="UWK9" s="222"/>
      <c r="UWL9" s="222"/>
      <c r="UWM9" s="222"/>
      <c r="UWN9" s="222"/>
      <c r="UWO9" s="222"/>
      <c r="UWP9" s="222"/>
      <c r="UWQ9" s="222"/>
      <c r="UWR9" s="222"/>
      <c r="UWS9" s="222"/>
      <c r="UWT9" s="222"/>
      <c r="UWU9" s="222"/>
      <c r="UWV9" s="222"/>
      <c r="UWW9" s="222"/>
      <c r="UWX9" s="222"/>
      <c r="UWY9" s="222"/>
      <c r="UWZ9" s="222"/>
      <c r="UXA9" s="222"/>
      <c r="UXB9" s="222"/>
      <c r="UXC9" s="222"/>
      <c r="UXD9" s="222"/>
      <c r="UXE9" s="222"/>
      <c r="UXF9" s="222"/>
      <c r="UXG9" s="222"/>
      <c r="UXH9" s="222"/>
      <c r="UXI9" s="222"/>
      <c r="UXJ9" s="222"/>
      <c r="UXK9" s="222"/>
      <c r="UXL9" s="222"/>
      <c r="UXM9" s="222"/>
      <c r="UXN9" s="222"/>
      <c r="UXO9" s="222"/>
      <c r="UXP9" s="222"/>
      <c r="UXQ9" s="222"/>
      <c r="UXR9" s="222"/>
      <c r="UXS9" s="222"/>
      <c r="UXT9" s="222"/>
      <c r="UXU9" s="222"/>
      <c r="UXV9" s="222"/>
      <c r="UXW9" s="222"/>
      <c r="UXX9" s="222"/>
      <c r="UXY9" s="222"/>
      <c r="UXZ9" s="222"/>
      <c r="UYA9" s="222"/>
      <c r="UYB9" s="222"/>
      <c r="UYC9" s="222"/>
      <c r="UYD9" s="222"/>
      <c r="UYE9" s="222"/>
      <c r="UYF9" s="222"/>
      <c r="UYG9" s="222"/>
      <c r="UYH9" s="222"/>
      <c r="UYI9" s="222"/>
      <c r="UYJ9" s="222"/>
      <c r="UYK9" s="222"/>
      <c r="UYL9" s="222"/>
      <c r="UYM9" s="222"/>
      <c r="UYN9" s="222"/>
      <c r="UYO9" s="222"/>
      <c r="UYP9" s="222"/>
      <c r="UYQ9" s="222"/>
      <c r="UYR9" s="222"/>
      <c r="UYS9" s="222"/>
      <c r="UYT9" s="222"/>
      <c r="UYU9" s="222"/>
      <c r="UYV9" s="222"/>
      <c r="UYW9" s="222"/>
      <c r="UYX9" s="222"/>
      <c r="UYY9" s="222"/>
      <c r="UYZ9" s="222"/>
      <c r="UZA9" s="222"/>
      <c r="UZB9" s="222"/>
      <c r="UZC9" s="222"/>
      <c r="UZD9" s="222"/>
      <c r="UZE9" s="222"/>
      <c r="UZF9" s="222"/>
      <c r="UZG9" s="222"/>
      <c r="UZH9" s="222"/>
      <c r="UZI9" s="222"/>
      <c r="UZJ9" s="222"/>
      <c r="UZK9" s="222"/>
      <c r="UZL9" s="222"/>
      <c r="UZM9" s="222"/>
      <c r="UZN9" s="222"/>
      <c r="UZO9" s="222"/>
      <c r="UZP9" s="222"/>
      <c r="UZQ9" s="222"/>
      <c r="UZR9" s="222"/>
      <c r="UZS9" s="222"/>
      <c r="UZT9" s="222"/>
      <c r="UZU9" s="222"/>
      <c r="UZV9" s="222"/>
      <c r="UZW9" s="222"/>
      <c r="UZX9" s="222"/>
      <c r="UZY9" s="222"/>
      <c r="UZZ9" s="222"/>
      <c r="VAA9" s="222"/>
      <c r="VAB9" s="222"/>
      <c r="VAC9" s="222"/>
      <c r="VAD9" s="222"/>
      <c r="VAE9" s="222"/>
      <c r="VAF9" s="222"/>
      <c r="VAG9" s="222"/>
      <c r="VAH9" s="222"/>
      <c r="VAI9" s="222"/>
      <c r="VAJ9" s="222"/>
      <c r="VAK9" s="222"/>
      <c r="VAL9" s="222"/>
      <c r="VAM9" s="222"/>
      <c r="VAN9" s="222"/>
      <c r="VAO9" s="222"/>
      <c r="VAP9" s="222"/>
      <c r="VAQ9" s="222"/>
      <c r="VAR9" s="222"/>
      <c r="VAS9" s="222"/>
      <c r="VAT9" s="222"/>
      <c r="VAU9" s="222"/>
      <c r="VAV9" s="222"/>
      <c r="VAW9" s="222"/>
      <c r="VAX9" s="222"/>
      <c r="VAY9" s="222"/>
      <c r="VAZ9" s="222"/>
      <c r="VBA9" s="222"/>
      <c r="VBB9" s="222"/>
      <c r="VBC9" s="222"/>
      <c r="VBD9" s="222"/>
      <c r="VBE9" s="222"/>
      <c r="VBF9" s="222"/>
      <c r="VBG9" s="222"/>
      <c r="VBH9" s="222"/>
      <c r="VBI9" s="222"/>
      <c r="VBJ9" s="222"/>
      <c r="VBK9" s="222"/>
      <c r="VBL9" s="222"/>
      <c r="VBM9" s="222"/>
      <c r="VBN9" s="222"/>
      <c r="VBO9" s="222"/>
      <c r="VBP9" s="222"/>
      <c r="VBQ9" s="222"/>
      <c r="VBR9" s="222"/>
      <c r="VBS9" s="222"/>
      <c r="VBT9" s="222"/>
      <c r="VBU9" s="222"/>
      <c r="VBV9" s="222"/>
      <c r="VBW9" s="222"/>
      <c r="VBX9" s="222"/>
      <c r="VBY9" s="222"/>
      <c r="VBZ9" s="222"/>
      <c r="VCA9" s="222"/>
      <c r="VCB9" s="222"/>
      <c r="VCC9" s="222"/>
      <c r="VCD9" s="222"/>
      <c r="VCE9" s="222"/>
      <c r="VCF9" s="222"/>
      <c r="VCG9" s="222"/>
      <c r="VCH9" s="222"/>
      <c r="VCI9" s="222"/>
      <c r="VCJ9" s="222"/>
      <c r="VCK9" s="222"/>
      <c r="VCL9" s="222"/>
      <c r="VCM9" s="222"/>
      <c r="VCN9" s="222"/>
      <c r="VCO9" s="222"/>
      <c r="VCP9" s="222"/>
      <c r="VCQ9" s="222"/>
      <c r="VCR9" s="222"/>
      <c r="VCS9" s="222"/>
      <c r="VCT9" s="222"/>
      <c r="VCU9" s="222"/>
      <c r="VCV9" s="222"/>
      <c r="VCW9" s="222"/>
      <c r="VCX9" s="222"/>
      <c r="VCY9" s="222"/>
      <c r="VCZ9" s="222"/>
      <c r="VDA9" s="222"/>
      <c r="VDB9" s="222"/>
      <c r="VDC9" s="222"/>
      <c r="VDD9" s="222"/>
      <c r="VDE9" s="222"/>
      <c r="VDF9" s="222"/>
      <c r="VDG9" s="222"/>
      <c r="VDH9" s="222"/>
      <c r="VDI9" s="222"/>
      <c r="VDJ9" s="222"/>
      <c r="VDK9" s="222"/>
      <c r="VDL9" s="222"/>
      <c r="VDM9" s="222"/>
      <c r="VDN9" s="222"/>
      <c r="VDO9" s="222"/>
      <c r="VDP9" s="222"/>
      <c r="VDQ9" s="222"/>
      <c r="VDR9" s="222"/>
      <c r="VDS9" s="222"/>
      <c r="VDT9" s="222"/>
      <c r="VDU9" s="222"/>
      <c r="VDV9" s="222"/>
      <c r="VDW9" s="222"/>
      <c r="VDX9" s="222"/>
      <c r="VDY9" s="222"/>
      <c r="VDZ9" s="222"/>
      <c r="VEA9" s="222"/>
      <c r="VEB9" s="222"/>
      <c r="VEC9" s="222"/>
      <c r="VED9" s="222"/>
      <c r="VEE9" s="222"/>
      <c r="VEF9" s="222"/>
      <c r="VEG9" s="222"/>
      <c r="VEH9" s="222"/>
      <c r="VEI9" s="222"/>
      <c r="VEJ9" s="222"/>
      <c r="VEK9" s="222"/>
      <c r="VEL9" s="222"/>
      <c r="VEM9" s="222"/>
      <c r="VEN9" s="222"/>
      <c r="VEO9" s="222"/>
      <c r="VEP9" s="222"/>
      <c r="VEQ9" s="222"/>
      <c r="VER9" s="222"/>
      <c r="VES9" s="222"/>
      <c r="VET9" s="222"/>
      <c r="VEU9" s="222"/>
      <c r="VEV9" s="222"/>
      <c r="VEW9" s="222"/>
      <c r="VEX9" s="222"/>
      <c r="VEY9" s="222"/>
      <c r="VEZ9" s="222"/>
      <c r="VFA9" s="222"/>
      <c r="VFB9" s="222"/>
      <c r="VFC9" s="222"/>
      <c r="VFD9" s="222"/>
      <c r="VFE9" s="222"/>
      <c r="VFF9" s="222"/>
      <c r="VFG9" s="222"/>
      <c r="VFH9" s="222"/>
      <c r="VFI9" s="222"/>
      <c r="VFJ9" s="222"/>
      <c r="VFK9" s="222"/>
      <c r="VFL9" s="222"/>
      <c r="VFM9" s="222"/>
      <c r="VFN9" s="222"/>
      <c r="VFO9" s="222"/>
      <c r="VFP9" s="222"/>
      <c r="VFQ9" s="222"/>
      <c r="VFR9" s="222"/>
      <c r="VFS9" s="222"/>
      <c r="VFT9" s="222"/>
      <c r="VFU9" s="222"/>
      <c r="VFV9" s="222"/>
      <c r="VFW9" s="222"/>
      <c r="VFX9" s="222"/>
      <c r="VFY9" s="222"/>
      <c r="VFZ9" s="222"/>
      <c r="VGA9" s="222"/>
      <c r="VGB9" s="222"/>
      <c r="VGC9" s="222"/>
      <c r="VGD9" s="222"/>
      <c r="VGE9" s="222"/>
      <c r="VGF9" s="222"/>
      <c r="VGG9" s="222"/>
      <c r="VGH9" s="222"/>
      <c r="VGI9" s="222"/>
      <c r="VGJ9" s="222"/>
      <c r="VGK9" s="222"/>
      <c r="VGL9" s="222"/>
      <c r="VGM9" s="222"/>
      <c r="VGN9" s="222"/>
      <c r="VGO9" s="222"/>
      <c r="VGP9" s="222"/>
      <c r="VGQ9" s="222"/>
      <c r="VGR9" s="222"/>
      <c r="VGS9" s="222"/>
      <c r="VGT9" s="222"/>
      <c r="VGU9" s="222"/>
      <c r="VGV9" s="222"/>
      <c r="VGW9" s="222"/>
      <c r="VGX9" s="222"/>
      <c r="VGY9" s="222"/>
      <c r="VGZ9" s="222"/>
      <c r="VHA9" s="222"/>
      <c r="VHB9" s="222"/>
      <c r="VHC9" s="222"/>
      <c r="VHD9" s="222"/>
      <c r="VHE9" s="222"/>
      <c r="VHF9" s="222"/>
      <c r="VHG9" s="222"/>
      <c r="VHH9" s="222"/>
      <c r="VHI9" s="222"/>
      <c r="VHJ9" s="222"/>
      <c r="VHK9" s="222"/>
      <c r="VHL9" s="222"/>
      <c r="VHM9" s="222"/>
      <c r="VHN9" s="222"/>
      <c r="VHO9" s="222"/>
      <c r="VHP9" s="222"/>
      <c r="VHQ9" s="222"/>
      <c r="VHR9" s="222"/>
      <c r="VHS9" s="222"/>
      <c r="VHT9" s="222"/>
      <c r="VHU9" s="222"/>
      <c r="VHV9" s="222"/>
      <c r="VHW9" s="222"/>
      <c r="VHX9" s="222"/>
      <c r="VHY9" s="222"/>
      <c r="VHZ9" s="222"/>
      <c r="VIA9" s="222"/>
      <c r="VIB9" s="222"/>
      <c r="VIC9" s="222"/>
      <c r="VID9" s="222"/>
      <c r="VIE9" s="222"/>
      <c r="VIF9" s="222"/>
      <c r="VIG9" s="222"/>
      <c r="VIH9" s="222"/>
      <c r="VII9" s="222"/>
      <c r="VIJ9" s="222"/>
      <c r="VIK9" s="222"/>
      <c r="VIL9" s="222"/>
      <c r="VIM9" s="222"/>
      <c r="VIN9" s="222"/>
      <c r="VIO9" s="222"/>
      <c r="VIP9" s="222"/>
      <c r="VIQ9" s="222"/>
      <c r="VIR9" s="222"/>
      <c r="VIS9" s="222"/>
      <c r="VIT9" s="222"/>
      <c r="VIU9" s="222"/>
      <c r="VIV9" s="222"/>
      <c r="VIW9" s="222"/>
      <c r="VIX9" s="222"/>
      <c r="VIY9" s="222"/>
      <c r="VIZ9" s="222"/>
      <c r="VJA9" s="222"/>
      <c r="VJB9" s="222"/>
      <c r="VJC9" s="222"/>
      <c r="VJD9" s="222"/>
      <c r="VJE9" s="222"/>
      <c r="VJF9" s="222"/>
      <c r="VJG9" s="222"/>
      <c r="VJH9" s="222"/>
      <c r="VJI9" s="222"/>
      <c r="VJJ9" s="222"/>
      <c r="VJK9" s="222"/>
      <c r="VJL9" s="222"/>
      <c r="VJM9" s="222"/>
      <c r="VJN9" s="222"/>
      <c r="VJO9" s="222"/>
      <c r="VJP9" s="222"/>
      <c r="VJQ9" s="222"/>
      <c r="VJR9" s="222"/>
      <c r="VJS9" s="222"/>
      <c r="VJT9" s="222"/>
      <c r="VJU9" s="222"/>
      <c r="VJV9" s="222"/>
      <c r="VJW9" s="222"/>
      <c r="VJX9" s="222"/>
      <c r="VJY9" s="222"/>
      <c r="VJZ9" s="222"/>
      <c r="VKA9" s="222"/>
      <c r="VKB9" s="222"/>
      <c r="VKC9" s="222"/>
      <c r="VKD9" s="222"/>
      <c r="VKE9" s="222"/>
      <c r="VKF9" s="222"/>
      <c r="VKG9" s="222"/>
      <c r="VKH9" s="222"/>
      <c r="VKI9" s="222"/>
      <c r="VKJ9" s="222"/>
      <c r="VKK9" s="222"/>
      <c r="VKL9" s="222"/>
      <c r="VKM9" s="222"/>
      <c r="VKN9" s="222"/>
      <c r="VKO9" s="222"/>
      <c r="VKP9" s="222"/>
      <c r="VKQ9" s="222"/>
      <c r="VKR9" s="222"/>
      <c r="VKS9" s="222"/>
      <c r="VKT9" s="222"/>
      <c r="VKU9" s="222"/>
      <c r="VKV9" s="222"/>
      <c r="VKW9" s="222"/>
      <c r="VKX9" s="222"/>
      <c r="VKY9" s="222"/>
      <c r="VKZ9" s="222"/>
      <c r="VLA9" s="222"/>
      <c r="VLB9" s="222"/>
      <c r="VLC9" s="222"/>
      <c r="VLD9" s="222"/>
      <c r="VLE9" s="222"/>
      <c r="VLF9" s="222"/>
      <c r="VLG9" s="222"/>
      <c r="VLH9" s="222"/>
      <c r="VLI9" s="222"/>
      <c r="VLJ9" s="222"/>
      <c r="VLK9" s="222"/>
      <c r="VLL9" s="222"/>
      <c r="VLM9" s="222"/>
      <c r="VLN9" s="222"/>
      <c r="VLO9" s="222"/>
      <c r="VLP9" s="222"/>
      <c r="VLQ9" s="222"/>
      <c r="VLR9" s="222"/>
      <c r="VLS9" s="222"/>
      <c r="VLT9" s="222"/>
      <c r="VLU9" s="222"/>
      <c r="VLV9" s="222"/>
      <c r="VLW9" s="222"/>
      <c r="VLX9" s="222"/>
      <c r="VLY9" s="222"/>
      <c r="VLZ9" s="222"/>
      <c r="VMA9" s="222"/>
      <c r="VMB9" s="222"/>
      <c r="VMC9" s="222"/>
      <c r="VMD9" s="222"/>
      <c r="VME9" s="222"/>
      <c r="VMF9" s="222"/>
      <c r="VMG9" s="222"/>
      <c r="VMH9" s="222"/>
      <c r="VMI9" s="222"/>
      <c r="VMJ9" s="222"/>
      <c r="VMK9" s="222"/>
      <c r="VML9" s="222"/>
      <c r="VMM9" s="222"/>
      <c r="VMN9" s="222"/>
      <c r="VMO9" s="222"/>
      <c r="VMP9" s="222"/>
      <c r="VMQ9" s="222"/>
      <c r="VMR9" s="222"/>
      <c r="VMS9" s="222"/>
      <c r="VMT9" s="222"/>
      <c r="VMU9" s="222"/>
      <c r="VMV9" s="222"/>
      <c r="VMW9" s="222"/>
      <c r="VMX9" s="222"/>
      <c r="VMY9" s="222"/>
      <c r="VMZ9" s="222"/>
      <c r="VNA9" s="222"/>
      <c r="VNB9" s="222"/>
      <c r="VNC9" s="222"/>
      <c r="VND9" s="222"/>
      <c r="VNE9" s="222"/>
      <c r="VNF9" s="222"/>
      <c r="VNG9" s="222"/>
      <c r="VNH9" s="222"/>
      <c r="VNI9" s="222"/>
      <c r="VNJ9" s="222"/>
      <c r="VNK9" s="222"/>
      <c r="VNL9" s="222"/>
      <c r="VNM9" s="222"/>
      <c r="VNN9" s="222"/>
      <c r="VNO9" s="222"/>
      <c r="VNP9" s="222"/>
      <c r="VNQ9" s="222"/>
      <c r="VNR9" s="222"/>
      <c r="VNS9" s="222"/>
      <c r="VNT9" s="222"/>
      <c r="VNU9" s="222"/>
      <c r="VNV9" s="222"/>
      <c r="VNW9" s="222"/>
      <c r="VNX9" s="222"/>
      <c r="VNY9" s="222"/>
      <c r="VNZ9" s="222"/>
      <c r="VOA9" s="222"/>
      <c r="VOB9" s="222"/>
      <c r="VOC9" s="222"/>
      <c r="VOD9" s="222"/>
      <c r="VOE9" s="222"/>
      <c r="VOF9" s="222"/>
      <c r="VOG9" s="222"/>
      <c r="VOH9" s="222"/>
      <c r="VOI9" s="222"/>
      <c r="VOJ9" s="222"/>
      <c r="VOK9" s="222"/>
      <c r="VOL9" s="222"/>
      <c r="VOM9" s="222"/>
      <c r="VON9" s="222"/>
      <c r="VOO9" s="222"/>
      <c r="VOP9" s="222"/>
      <c r="VOQ9" s="222"/>
      <c r="VOR9" s="222"/>
      <c r="VOS9" s="222"/>
      <c r="VOT9" s="222"/>
      <c r="VOU9" s="222"/>
      <c r="VOV9" s="222"/>
      <c r="VOW9" s="222"/>
      <c r="VOX9" s="222"/>
      <c r="VOY9" s="222"/>
      <c r="VOZ9" s="222"/>
      <c r="VPA9" s="222"/>
      <c r="VPB9" s="222"/>
      <c r="VPC9" s="222"/>
      <c r="VPD9" s="222"/>
      <c r="VPE9" s="222"/>
      <c r="VPF9" s="222"/>
      <c r="VPG9" s="222"/>
      <c r="VPH9" s="222"/>
      <c r="VPI9" s="222"/>
      <c r="VPJ9" s="222"/>
      <c r="VPK9" s="222"/>
      <c r="VPL9" s="222"/>
      <c r="VPM9" s="222"/>
      <c r="VPN9" s="222"/>
      <c r="VPO9" s="222"/>
      <c r="VPP9" s="222"/>
      <c r="VPQ9" s="222"/>
      <c r="VPR9" s="222"/>
      <c r="VPS9" s="222"/>
      <c r="VPT9" s="222"/>
      <c r="VPU9" s="222"/>
      <c r="VPV9" s="222"/>
      <c r="VPW9" s="222"/>
      <c r="VPX9" s="222"/>
      <c r="VPY9" s="222"/>
      <c r="VPZ9" s="222"/>
      <c r="VQA9" s="222"/>
      <c r="VQB9" s="222"/>
      <c r="VQC9" s="222"/>
      <c r="VQD9" s="222"/>
      <c r="VQE9" s="222"/>
      <c r="VQF9" s="222"/>
      <c r="VQG9" s="222"/>
      <c r="VQH9" s="222"/>
      <c r="VQI9" s="222"/>
      <c r="VQJ9" s="222"/>
      <c r="VQK9" s="222"/>
      <c r="VQL9" s="222"/>
      <c r="VQM9" s="222"/>
      <c r="VQN9" s="222"/>
      <c r="VQO9" s="222"/>
      <c r="VQP9" s="222"/>
      <c r="VQQ9" s="222"/>
      <c r="VQR9" s="222"/>
      <c r="VQS9" s="222"/>
      <c r="VQT9" s="222"/>
      <c r="VQU9" s="222"/>
      <c r="VQV9" s="222"/>
      <c r="VQW9" s="222"/>
      <c r="VQX9" s="222"/>
      <c r="VQY9" s="222"/>
      <c r="VQZ9" s="222"/>
      <c r="VRA9" s="222"/>
      <c r="VRB9" s="222"/>
      <c r="VRC9" s="222"/>
      <c r="VRD9" s="222"/>
      <c r="VRE9" s="222"/>
      <c r="VRF9" s="222"/>
      <c r="VRG9" s="222"/>
      <c r="VRH9" s="222"/>
      <c r="VRI9" s="222"/>
      <c r="VRJ9" s="222"/>
      <c r="VRK9" s="222"/>
      <c r="VRL9" s="222"/>
      <c r="VRM9" s="222"/>
      <c r="VRN9" s="222"/>
      <c r="VRO9" s="222"/>
      <c r="VRP9" s="222"/>
      <c r="VRQ9" s="222"/>
      <c r="VRR9" s="222"/>
      <c r="VRS9" s="222"/>
      <c r="VRT9" s="222"/>
      <c r="VRU9" s="222"/>
      <c r="VRV9" s="222"/>
      <c r="VRW9" s="222"/>
      <c r="VRX9" s="222"/>
      <c r="VRY9" s="222"/>
      <c r="VRZ9" s="222"/>
      <c r="VSA9" s="222"/>
      <c r="VSB9" s="222"/>
      <c r="VSC9" s="222"/>
      <c r="VSD9" s="222"/>
      <c r="VSE9" s="222"/>
      <c r="VSF9" s="222"/>
      <c r="VSG9" s="222"/>
      <c r="VSH9" s="222"/>
      <c r="VSI9" s="222"/>
      <c r="VSJ9" s="222"/>
      <c r="VSK9" s="222"/>
      <c r="VSL9" s="222"/>
      <c r="VSM9" s="222"/>
      <c r="VSN9" s="222"/>
      <c r="VSO9" s="222"/>
      <c r="VSP9" s="222"/>
      <c r="VSQ9" s="222"/>
      <c r="VSR9" s="222"/>
      <c r="VSS9" s="222"/>
      <c r="VST9" s="222"/>
      <c r="VSU9" s="222"/>
      <c r="VSV9" s="222"/>
      <c r="VSW9" s="222"/>
      <c r="VSX9" s="222"/>
      <c r="VSY9" s="222"/>
      <c r="VSZ9" s="222"/>
      <c r="VTA9" s="222"/>
      <c r="VTB9" s="222"/>
      <c r="VTC9" s="222"/>
      <c r="VTD9" s="222"/>
      <c r="VTE9" s="222"/>
      <c r="VTF9" s="222"/>
      <c r="VTG9" s="222"/>
      <c r="VTH9" s="222"/>
      <c r="VTI9" s="222"/>
      <c r="VTJ9" s="222"/>
      <c r="VTK9" s="222"/>
      <c r="VTL9" s="222"/>
      <c r="VTM9" s="222"/>
      <c r="VTN9" s="222"/>
      <c r="VTO9" s="222"/>
      <c r="VTP9" s="222"/>
      <c r="VTQ9" s="222"/>
      <c r="VTR9" s="222"/>
      <c r="VTS9" s="222"/>
      <c r="VTT9" s="222"/>
      <c r="VTU9" s="222"/>
      <c r="VTV9" s="222"/>
      <c r="VTW9" s="222"/>
      <c r="VTX9" s="222"/>
      <c r="VTY9" s="222"/>
      <c r="VTZ9" s="222"/>
      <c r="VUA9" s="222"/>
      <c r="VUB9" s="222"/>
      <c r="VUC9" s="222"/>
      <c r="VUD9" s="222"/>
      <c r="VUE9" s="222"/>
      <c r="VUF9" s="222"/>
      <c r="VUG9" s="222"/>
      <c r="VUH9" s="222"/>
      <c r="VUI9" s="222"/>
      <c r="VUJ9" s="222"/>
      <c r="VUK9" s="222"/>
      <c r="VUL9" s="222"/>
      <c r="VUM9" s="222"/>
      <c r="VUN9" s="222"/>
      <c r="VUO9" s="222"/>
      <c r="VUP9" s="222"/>
      <c r="VUQ9" s="222"/>
      <c r="VUR9" s="222"/>
      <c r="VUS9" s="222"/>
      <c r="VUT9" s="222"/>
      <c r="VUU9" s="222"/>
      <c r="VUV9" s="222"/>
      <c r="VUW9" s="222"/>
      <c r="VUX9" s="222"/>
      <c r="VUY9" s="222"/>
      <c r="VUZ9" s="222"/>
      <c r="VVA9" s="222"/>
      <c r="VVB9" s="222"/>
      <c r="VVC9" s="222"/>
      <c r="VVD9" s="222"/>
      <c r="VVE9" s="222"/>
      <c r="VVF9" s="222"/>
      <c r="VVG9" s="222"/>
      <c r="VVH9" s="222"/>
      <c r="VVI9" s="222"/>
      <c r="VVJ9" s="222"/>
      <c r="VVK9" s="222"/>
      <c r="VVL9" s="222"/>
      <c r="VVM9" s="222"/>
      <c r="VVN9" s="222"/>
      <c r="VVO9" s="222"/>
      <c r="VVP9" s="222"/>
      <c r="VVQ9" s="222"/>
      <c r="VVR9" s="222"/>
      <c r="VVS9" s="222"/>
      <c r="VVT9" s="222"/>
      <c r="VVU9" s="222"/>
      <c r="VVV9" s="222"/>
      <c r="VVW9" s="222"/>
      <c r="VVX9" s="222"/>
      <c r="VVY9" s="222"/>
      <c r="VVZ9" s="222"/>
      <c r="VWA9" s="222"/>
      <c r="VWB9" s="222"/>
      <c r="VWC9" s="222"/>
      <c r="VWD9" s="222"/>
      <c r="VWE9" s="222"/>
      <c r="VWF9" s="222"/>
      <c r="VWG9" s="222"/>
      <c r="VWH9" s="222"/>
      <c r="VWI9" s="222"/>
      <c r="VWJ9" s="222"/>
      <c r="VWK9" s="222"/>
      <c r="VWL9" s="222"/>
      <c r="VWM9" s="222"/>
      <c r="VWN9" s="222"/>
      <c r="VWO9" s="222"/>
      <c r="VWP9" s="222"/>
      <c r="VWQ9" s="222"/>
      <c r="VWR9" s="222"/>
      <c r="VWS9" s="222"/>
      <c r="VWT9" s="222"/>
      <c r="VWU9" s="222"/>
      <c r="VWV9" s="222"/>
      <c r="VWW9" s="222"/>
      <c r="VWX9" s="222"/>
      <c r="VWY9" s="222"/>
      <c r="VWZ9" s="222"/>
      <c r="VXA9" s="222"/>
      <c r="VXB9" s="222"/>
      <c r="VXC9" s="222"/>
      <c r="VXD9" s="222"/>
      <c r="VXE9" s="222"/>
      <c r="VXF9" s="222"/>
      <c r="VXG9" s="222"/>
      <c r="VXH9" s="222"/>
      <c r="VXI9" s="222"/>
      <c r="VXJ9" s="222"/>
      <c r="VXK9" s="222"/>
      <c r="VXL9" s="222"/>
      <c r="VXM9" s="222"/>
      <c r="VXN9" s="222"/>
      <c r="VXO9" s="222"/>
      <c r="VXP9" s="222"/>
      <c r="VXQ9" s="222"/>
      <c r="VXR9" s="222"/>
      <c r="VXS9" s="222"/>
      <c r="VXT9" s="222"/>
      <c r="VXU9" s="222"/>
      <c r="VXV9" s="222"/>
      <c r="VXW9" s="222"/>
      <c r="VXX9" s="222"/>
      <c r="VXY9" s="222"/>
      <c r="VXZ9" s="222"/>
      <c r="VYA9" s="222"/>
      <c r="VYB9" s="222"/>
      <c r="VYC9" s="222"/>
      <c r="VYD9" s="222"/>
      <c r="VYE9" s="222"/>
      <c r="VYF9" s="222"/>
      <c r="VYG9" s="222"/>
      <c r="VYH9" s="222"/>
      <c r="VYI9" s="222"/>
      <c r="VYJ9" s="222"/>
      <c r="VYK9" s="222"/>
      <c r="VYL9" s="222"/>
      <c r="VYM9" s="222"/>
      <c r="VYN9" s="222"/>
      <c r="VYO9" s="222"/>
      <c r="VYP9" s="222"/>
      <c r="VYQ9" s="222"/>
      <c r="VYR9" s="222"/>
      <c r="VYS9" s="222"/>
      <c r="VYT9" s="222"/>
      <c r="VYU9" s="222"/>
      <c r="VYV9" s="222"/>
      <c r="VYW9" s="222"/>
      <c r="VYX9" s="222"/>
      <c r="VYY9" s="222"/>
      <c r="VYZ9" s="222"/>
      <c r="VZA9" s="222"/>
      <c r="VZB9" s="222"/>
      <c r="VZC9" s="222"/>
      <c r="VZD9" s="222"/>
      <c r="VZE9" s="222"/>
      <c r="VZF9" s="222"/>
      <c r="VZG9" s="222"/>
      <c r="VZH9" s="222"/>
      <c r="VZI9" s="222"/>
      <c r="VZJ9" s="222"/>
      <c r="VZK9" s="222"/>
      <c r="VZL9" s="222"/>
      <c r="VZM9" s="222"/>
      <c r="VZN9" s="222"/>
      <c r="VZO9" s="222"/>
      <c r="VZP9" s="222"/>
      <c r="VZQ9" s="222"/>
      <c r="VZR9" s="222"/>
      <c r="VZS9" s="222"/>
      <c r="VZT9" s="222"/>
      <c r="VZU9" s="222"/>
      <c r="VZV9" s="222"/>
      <c r="VZW9" s="222"/>
      <c r="VZX9" s="222"/>
      <c r="VZY9" s="222"/>
      <c r="VZZ9" s="222"/>
      <c r="WAA9" s="222"/>
      <c r="WAB9" s="222"/>
      <c r="WAC9" s="222"/>
      <c r="WAD9" s="222"/>
      <c r="WAE9" s="222"/>
      <c r="WAF9" s="222"/>
      <c r="WAG9" s="222"/>
      <c r="WAH9" s="222"/>
      <c r="WAI9" s="222"/>
      <c r="WAJ9" s="222"/>
      <c r="WAK9" s="222"/>
      <c r="WAL9" s="222"/>
      <c r="WAM9" s="222"/>
      <c r="WAN9" s="222"/>
      <c r="WAO9" s="222"/>
      <c r="WAP9" s="222"/>
      <c r="WAQ9" s="222"/>
      <c r="WAR9" s="222"/>
      <c r="WAS9" s="222"/>
      <c r="WAT9" s="222"/>
      <c r="WAU9" s="222"/>
      <c r="WAV9" s="222"/>
      <c r="WAW9" s="222"/>
      <c r="WAX9" s="222"/>
      <c r="WAY9" s="222"/>
      <c r="WAZ9" s="222"/>
      <c r="WBA9" s="222"/>
      <c r="WBB9" s="222"/>
      <c r="WBC9" s="222"/>
      <c r="WBD9" s="222"/>
      <c r="WBE9" s="222"/>
      <c r="WBF9" s="222"/>
      <c r="WBG9" s="222"/>
      <c r="WBH9" s="222"/>
      <c r="WBI9" s="222"/>
      <c r="WBJ9" s="222"/>
      <c r="WBK9" s="222"/>
      <c r="WBL9" s="222"/>
      <c r="WBM9" s="222"/>
      <c r="WBN9" s="222"/>
      <c r="WBO9" s="222"/>
      <c r="WBP9" s="222"/>
      <c r="WBQ9" s="222"/>
      <c r="WBR9" s="222"/>
      <c r="WBS9" s="222"/>
      <c r="WBT9" s="222"/>
      <c r="WBU9" s="222"/>
      <c r="WBV9" s="222"/>
      <c r="WBW9" s="222"/>
      <c r="WBX9" s="222"/>
      <c r="WBY9" s="222"/>
      <c r="WBZ9" s="222"/>
      <c r="WCA9" s="222"/>
      <c r="WCB9" s="222"/>
      <c r="WCC9" s="222"/>
      <c r="WCD9" s="222"/>
      <c r="WCE9" s="222"/>
      <c r="WCF9" s="222"/>
      <c r="WCG9" s="222"/>
      <c r="WCH9" s="222"/>
      <c r="WCI9" s="222"/>
      <c r="WCJ9" s="222"/>
      <c r="WCK9" s="222"/>
      <c r="WCL9" s="222"/>
      <c r="WCM9" s="222"/>
      <c r="WCN9" s="222"/>
      <c r="WCO9" s="222"/>
      <c r="WCP9" s="222"/>
      <c r="WCQ9" s="222"/>
      <c r="WCR9" s="222"/>
      <c r="WCS9" s="222"/>
      <c r="WCT9" s="222"/>
      <c r="WCU9" s="222"/>
      <c r="WCV9" s="222"/>
      <c r="WCW9" s="222"/>
      <c r="WCX9" s="222"/>
      <c r="WCY9" s="222"/>
      <c r="WCZ9" s="222"/>
      <c r="WDA9" s="222"/>
      <c r="WDB9" s="222"/>
      <c r="WDC9" s="222"/>
      <c r="WDD9" s="222"/>
      <c r="WDE9" s="222"/>
      <c r="WDF9" s="222"/>
      <c r="WDG9" s="222"/>
      <c r="WDH9" s="222"/>
      <c r="WDI9" s="222"/>
      <c r="WDJ9" s="222"/>
      <c r="WDK9" s="222"/>
      <c r="WDL9" s="222"/>
      <c r="WDM9" s="222"/>
      <c r="WDN9" s="222"/>
      <c r="WDO9" s="222"/>
      <c r="WDP9" s="222"/>
      <c r="WDQ9" s="222"/>
      <c r="WDR9" s="222"/>
      <c r="WDS9" s="222"/>
      <c r="WDT9" s="222"/>
      <c r="WDU9" s="222"/>
      <c r="WDV9" s="222"/>
      <c r="WDW9" s="222"/>
      <c r="WDX9" s="222"/>
      <c r="WDY9" s="222"/>
      <c r="WDZ9" s="222"/>
      <c r="WEA9" s="222"/>
      <c r="WEB9" s="222"/>
      <c r="WEC9" s="222"/>
      <c r="WED9" s="222"/>
      <c r="WEE9" s="222"/>
      <c r="WEF9" s="222"/>
      <c r="WEG9" s="222"/>
      <c r="WEH9" s="222"/>
      <c r="WEI9" s="222"/>
      <c r="WEJ9" s="222"/>
      <c r="WEK9" s="222"/>
      <c r="WEL9" s="222"/>
      <c r="WEM9" s="222"/>
      <c r="WEN9" s="222"/>
      <c r="WEO9" s="222"/>
      <c r="WEP9" s="222"/>
      <c r="WEQ9" s="222"/>
      <c r="WER9" s="222"/>
      <c r="WES9" s="222"/>
      <c r="WET9" s="222"/>
      <c r="WEU9" s="222"/>
      <c r="WEV9" s="222"/>
      <c r="WEW9" s="222"/>
      <c r="WEX9" s="222"/>
      <c r="WEY9" s="222"/>
      <c r="WEZ9" s="222"/>
      <c r="WFA9" s="222"/>
      <c r="WFB9" s="222"/>
      <c r="WFC9" s="222"/>
      <c r="WFD9" s="222"/>
      <c r="WFE9" s="222"/>
      <c r="WFF9" s="222"/>
      <c r="WFG9" s="222"/>
      <c r="WFH9" s="222"/>
      <c r="WFI9" s="222"/>
      <c r="WFJ9" s="222"/>
      <c r="WFK9" s="222"/>
      <c r="WFL9" s="222"/>
      <c r="WFM9" s="222"/>
      <c r="WFN9" s="222"/>
      <c r="WFO9" s="222"/>
      <c r="WFP9" s="222"/>
      <c r="WFQ9" s="222"/>
      <c r="WFR9" s="222"/>
      <c r="WFS9" s="222"/>
      <c r="WFT9" s="222"/>
      <c r="WFU9" s="222"/>
      <c r="WFV9" s="222"/>
      <c r="WFW9" s="222"/>
      <c r="WFX9" s="222"/>
      <c r="WFY9" s="222"/>
      <c r="WFZ9" s="222"/>
      <c r="WGA9" s="222"/>
      <c r="WGB9" s="222"/>
      <c r="WGC9" s="222"/>
      <c r="WGD9" s="222"/>
      <c r="WGE9" s="222"/>
      <c r="WGF9" s="222"/>
      <c r="WGG9" s="222"/>
      <c r="WGH9" s="222"/>
      <c r="WGI9" s="222"/>
      <c r="WGJ9" s="222"/>
      <c r="WGK9" s="222"/>
      <c r="WGL9" s="222"/>
      <c r="WGM9" s="222"/>
      <c r="WGN9" s="222"/>
      <c r="WGO9" s="222"/>
      <c r="WGP9" s="222"/>
      <c r="WGQ9" s="222"/>
      <c r="WGR9" s="222"/>
      <c r="WGS9" s="222"/>
      <c r="WGT9" s="222"/>
      <c r="WGU9" s="222"/>
      <c r="WGV9" s="222"/>
      <c r="WGW9" s="222"/>
      <c r="WGX9" s="222"/>
      <c r="WGY9" s="222"/>
      <c r="WGZ9" s="222"/>
      <c r="WHA9" s="222"/>
      <c r="WHB9" s="222"/>
      <c r="WHC9" s="222"/>
      <c r="WHD9" s="222"/>
      <c r="WHE9" s="222"/>
      <c r="WHF9" s="222"/>
      <c r="WHG9" s="222"/>
      <c r="WHH9" s="222"/>
      <c r="WHI9" s="222"/>
      <c r="WHJ9" s="222"/>
      <c r="WHK9" s="222"/>
      <c r="WHL9" s="222"/>
      <c r="WHM9" s="222"/>
      <c r="WHN9" s="222"/>
      <c r="WHO9" s="222"/>
      <c r="WHP9" s="222"/>
      <c r="WHQ9" s="222"/>
      <c r="WHR9" s="222"/>
      <c r="WHS9" s="222"/>
      <c r="WHT9" s="222"/>
      <c r="WHU9" s="222"/>
      <c r="WHV9" s="222"/>
      <c r="WHW9" s="222"/>
      <c r="WHX9" s="222"/>
      <c r="WHY9" s="222"/>
      <c r="WHZ9" s="222"/>
      <c r="WIA9" s="222"/>
      <c r="WIB9" s="222"/>
      <c r="WIC9" s="222"/>
      <c r="WID9" s="222"/>
      <c r="WIE9" s="222"/>
      <c r="WIF9" s="222"/>
      <c r="WIG9" s="222"/>
      <c r="WIH9" s="222"/>
      <c r="WII9" s="222"/>
      <c r="WIJ9" s="222"/>
      <c r="WIK9" s="222"/>
      <c r="WIL9" s="222"/>
      <c r="WIM9" s="222"/>
      <c r="WIN9" s="222"/>
      <c r="WIO9" s="222"/>
      <c r="WIP9" s="222"/>
      <c r="WIQ9" s="222"/>
      <c r="WIR9" s="222"/>
      <c r="WIS9" s="222"/>
      <c r="WIT9" s="222"/>
      <c r="WIU9" s="222"/>
      <c r="WIV9" s="222"/>
      <c r="WIW9" s="222"/>
      <c r="WIX9" s="222"/>
      <c r="WIY9" s="222"/>
      <c r="WIZ9" s="222"/>
      <c r="WJA9" s="222"/>
      <c r="WJB9" s="222"/>
      <c r="WJC9" s="222"/>
      <c r="WJD9" s="222"/>
      <c r="WJE9" s="222"/>
      <c r="WJF9" s="222"/>
      <c r="WJG9" s="222"/>
      <c r="WJH9" s="222"/>
      <c r="WJI9" s="222"/>
      <c r="WJJ9" s="222"/>
      <c r="WJK9" s="222"/>
      <c r="WJL9" s="222"/>
      <c r="WJM9" s="222"/>
      <c r="WJN9" s="222"/>
      <c r="WJO9" s="222"/>
      <c r="WJP9" s="222"/>
      <c r="WJQ9" s="222"/>
      <c r="WJR9" s="222"/>
      <c r="WJS9" s="222"/>
      <c r="WJT9" s="222"/>
      <c r="WJU9" s="222"/>
      <c r="WJV9" s="222"/>
      <c r="WJW9" s="222"/>
      <c r="WJX9" s="222"/>
      <c r="WJY9" s="222"/>
      <c r="WJZ9" s="222"/>
      <c r="WKA9" s="222"/>
      <c r="WKB9" s="222"/>
      <c r="WKC9" s="222"/>
      <c r="WKD9" s="222"/>
      <c r="WKE9" s="222"/>
      <c r="WKF9" s="222"/>
      <c r="WKG9" s="222"/>
      <c r="WKH9" s="222"/>
      <c r="WKI9" s="222"/>
      <c r="WKJ9" s="222"/>
      <c r="WKK9" s="222"/>
      <c r="WKL9" s="222"/>
      <c r="WKM9" s="222"/>
      <c r="WKN9" s="222"/>
      <c r="WKO9" s="222"/>
      <c r="WKP9" s="222"/>
      <c r="WKQ9" s="222"/>
      <c r="WKR9" s="222"/>
      <c r="WKS9" s="222"/>
      <c r="WKT9" s="222"/>
      <c r="WKU9" s="222"/>
      <c r="WKV9" s="222"/>
      <c r="WKW9" s="222"/>
      <c r="WKX9" s="222"/>
      <c r="WKY9" s="222"/>
      <c r="WKZ9" s="222"/>
      <c r="WLA9" s="222"/>
      <c r="WLB9" s="222"/>
      <c r="WLC9" s="222"/>
      <c r="WLD9" s="222"/>
      <c r="WLE9" s="222"/>
      <c r="WLF9" s="222"/>
      <c r="WLG9" s="222"/>
      <c r="WLH9" s="222"/>
      <c r="WLI9" s="222"/>
      <c r="WLJ9" s="222"/>
      <c r="WLK9" s="222"/>
      <c r="WLL9" s="222"/>
      <c r="WLM9" s="222"/>
      <c r="WLN9" s="222"/>
      <c r="WLO9" s="222"/>
      <c r="WLP9" s="222"/>
      <c r="WLQ9" s="222"/>
      <c r="WLR9" s="222"/>
      <c r="WLS9" s="222"/>
      <c r="WLT9" s="222"/>
      <c r="WLU9" s="222"/>
      <c r="WLV9" s="222"/>
      <c r="WLW9" s="222"/>
      <c r="WLX9" s="222"/>
      <c r="WLY9" s="222"/>
      <c r="WLZ9" s="222"/>
      <c r="WMA9" s="222"/>
      <c r="WMB9" s="222"/>
      <c r="WMC9" s="222"/>
      <c r="WMD9" s="222"/>
      <c r="WME9" s="222"/>
      <c r="WMF9" s="222"/>
      <c r="WMG9" s="222"/>
      <c r="WMH9" s="222"/>
      <c r="WMI9" s="222"/>
      <c r="WMJ9" s="222"/>
      <c r="WMK9" s="222"/>
      <c r="WML9" s="222"/>
      <c r="WMM9" s="222"/>
      <c r="WMN9" s="222"/>
      <c r="WMO9" s="222"/>
      <c r="WMP9" s="222"/>
      <c r="WMQ9" s="222"/>
      <c r="WMR9" s="222"/>
      <c r="WMS9" s="222"/>
      <c r="WMT9" s="222"/>
      <c r="WMU9" s="222"/>
      <c r="WMV9" s="222"/>
      <c r="WMW9" s="222"/>
      <c r="WMX9" s="222"/>
      <c r="WMY9" s="222"/>
      <c r="WMZ9" s="222"/>
      <c r="WNA9" s="222"/>
      <c r="WNB9" s="222"/>
      <c r="WNC9" s="222"/>
      <c r="WND9" s="222"/>
      <c r="WNE9" s="222"/>
      <c r="WNF9" s="222"/>
      <c r="WNG9" s="222"/>
      <c r="WNH9" s="222"/>
      <c r="WNI9" s="222"/>
      <c r="WNJ9" s="222"/>
      <c r="WNK9" s="222"/>
      <c r="WNL9" s="222"/>
      <c r="WNM9" s="222"/>
      <c r="WNN9" s="222"/>
      <c r="WNO9" s="222"/>
      <c r="WNP9" s="222"/>
      <c r="WNQ9" s="222"/>
      <c r="WNR9" s="222"/>
      <c r="WNS9" s="222"/>
      <c r="WNT9" s="222"/>
      <c r="WNU9" s="222"/>
      <c r="WNV9" s="222"/>
      <c r="WNW9" s="222"/>
      <c r="WNX9" s="222"/>
      <c r="WNY9" s="222"/>
      <c r="WNZ9" s="222"/>
      <c r="WOA9" s="222"/>
      <c r="WOB9" s="222"/>
      <c r="WOC9" s="222"/>
      <c r="WOD9" s="222"/>
      <c r="WOE9" s="222"/>
      <c r="WOF9" s="222"/>
      <c r="WOG9" s="222"/>
      <c r="WOH9" s="222"/>
      <c r="WOI9" s="222"/>
      <c r="WOJ9" s="222"/>
      <c r="WOK9" s="222"/>
      <c r="WOL9" s="222"/>
      <c r="WOM9" s="222"/>
      <c r="WON9" s="222"/>
      <c r="WOO9" s="222"/>
      <c r="WOP9" s="222"/>
      <c r="WOQ9" s="222"/>
      <c r="WOR9" s="222"/>
      <c r="WOS9" s="222"/>
      <c r="WOT9" s="222"/>
      <c r="WOU9" s="222"/>
      <c r="WOV9" s="222"/>
      <c r="WOW9" s="222"/>
      <c r="WOX9" s="222"/>
      <c r="WOY9" s="222"/>
      <c r="WOZ9" s="222"/>
      <c r="WPA9" s="222"/>
      <c r="WPB9" s="222"/>
      <c r="WPC9" s="222"/>
      <c r="WPD9" s="222"/>
      <c r="WPE9" s="222"/>
      <c r="WPF9" s="222"/>
      <c r="WPG9" s="222"/>
      <c r="WPH9" s="222"/>
      <c r="WPI9" s="222"/>
      <c r="WPJ9" s="222"/>
      <c r="WPK9" s="222"/>
      <c r="WPL9" s="222"/>
      <c r="WPM9" s="222"/>
      <c r="WPN9" s="222"/>
      <c r="WPO9" s="222"/>
      <c r="WPP9" s="222"/>
      <c r="WPQ9" s="222"/>
      <c r="WPR9" s="222"/>
      <c r="WPS9" s="222"/>
      <c r="WPT9" s="222"/>
      <c r="WPU9" s="222"/>
      <c r="WPV9" s="222"/>
      <c r="WPW9" s="222"/>
      <c r="WPX9" s="222"/>
      <c r="WPY9" s="222"/>
      <c r="WPZ9" s="222"/>
      <c r="WQA9" s="222"/>
      <c r="WQB9" s="222"/>
      <c r="WQC9" s="222"/>
      <c r="WQD9" s="222"/>
      <c r="WQE9" s="222"/>
      <c r="WQF9" s="222"/>
      <c r="WQG9" s="222"/>
      <c r="WQH9" s="222"/>
      <c r="WQI9" s="222"/>
      <c r="WQJ9" s="222"/>
      <c r="WQK9" s="222"/>
      <c r="WQL9" s="222"/>
      <c r="WQM9" s="222"/>
      <c r="WQN9" s="222"/>
      <c r="WQO9" s="222"/>
      <c r="WQP9" s="222"/>
      <c r="WQQ9" s="222"/>
      <c r="WQR9" s="222"/>
      <c r="WQS9" s="222"/>
      <c r="WQT9" s="222"/>
      <c r="WQU9" s="222"/>
      <c r="WQV9" s="222"/>
      <c r="WQW9" s="222"/>
      <c r="WQX9" s="222"/>
      <c r="WQY9" s="222"/>
      <c r="WQZ9" s="222"/>
      <c r="WRA9" s="222"/>
      <c r="WRB9" s="222"/>
      <c r="WRC9" s="222"/>
      <c r="WRD9" s="222"/>
      <c r="WRE9" s="222"/>
      <c r="WRF9" s="222"/>
      <c r="WRG9" s="222"/>
      <c r="WRH9" s="222"/>
      <c r="WRI9" s="222"/>
      <c r="WRJ9" s="222"/>
      <c r="WRK9" s="222"/>
      <c r="WRL9" s="222"/>
      <c r="WRM9" s="222"/>
      <c r="WRN9" s="222"/>
      <c r="WRO9" s="222"/>
      <c r="WRP9" s="222"/>
      <c r="WRQ9" s="222"/>
      <c r="WRR9" s="222"/>
      <c r="WRS9" s="222"/>
      <c r="WRT9" s="222"/>
      <c r="WRU9" s="222"/>
      <c r="WRV9" s="222"/>
      <c r="WRW9" s="222"/>
      <c r="WRX9" s="222"/>
      <c r="WRY9" s="222"/>
      <c r="WRZ9" s="222"/>
      <c r="WSA9" s="222"/>
      <c r="WSB9" s="222"/>
      <c r="WSC9" s="222"/>
      <c r="WSD9" s="222"/>
      <c r="WSE9" s="222"/>
      <c r="WSF9" s="222"/>
      <c r="WSG9" s="222"/>
      <c r="WSH9" s="222"/>
      <c r="WSI9" s="222"/>
      <c r="WSJ9" s="222"/>
      <c r="WSK9" s="222"/>
      <c r="WSL9" s="222"/>
      <c r="WSM9" s="222"/>
      <c r="WSN9" s="222"/>
      <c r="WSO9" s="222"/>
      <c r="WSP9" s="222"/>
      <c r="WSQ9" s="222"/>
      <c r="WSR9" s="222"/>
      <c r="WSS9" s="222"/>
      <c r="WST9" s="222"/>
      <c r="WSU9" s="222"/>
      <c r="WSV9" s="222"/>
      <c r="WSW9" s="222"/>
      <c r="WSX9" s="222"/>
      <c r="WSY9" s="222"/>
      <c r="WSZ9" s="222"/>
      <c r="WTA9" s="222"/>
      <c r="WTB9" s="222"/>
      <c r="WTC9" s="222"/>
      <c r="WTD9" s="222"/>
      <c r="WTE9" s="222"/>
      <c r="WTF9" s="222"/>
      <c r="WTG9" s="222"/>
      <c r="WTH9" s="222"/>
      <c r="WTI9" s="222"/>
      <c r="WTJ9" s="222"/>
      <c r="WTK9" s="222"/>
      <c r="WTL9" s="222"/>
      <c r="WTM9" s="222"/>
      <c r="WTN9" s="222"/>
      <c r="WTO9" s="222"/>
      <c r="WTP9" s="222"/>
      <c r="WTQ9" s="222"/>
      <c r="WTR9" s="222"/>
      <c r="WTS9" s="222"/>
      <c r="WTT9" s="222"/>
      <c r="WTU9" s="222"/>
      <c r="WTV9" s="222"/>
      <c r="WTW9" s="222"/>
      <c r="WTX9" s="222"/>
      <c r="WTY9" s="222"/>
      <c r="WTZ9" s="222"/>
      <c r="WUA9" s="222"/>
      <c r="WUB9" s="222"/>
      <c r="WUC9" s="222"/>
      <c r="WUD9" s="222"/>
      <c r="WUE9" s="222"/>
      <c r="WUF9" s="222"/>
      <c r="WUG9" s="222"/>
      <c r="WUH9" s="222"/>
      <c r="WUI9" s="222"/>
      <c r="WUJ9" s="222"/>
      <c r="WUK9" s="222"/>
      <c r="WUL9" s="222"/>
      <c r="WUM9" s="222"/>
      <c r="WUN9" s="222"/>
      <c r="WUO9" s="222"/>
      <c r="WUP9" s="222"/>
      <c r="WUQ9" s="222"/>
      <c r="WUR9" s="222"/>
      <c r="WUS9" s="222"/>
      <c r="WUT9" s="222"/>
      <c r="WUU9" s="222"/>
      <c r="WUV9" s="222"/>
      <c r="WUW9" s="222"/>
      <c r="WUX9" s="222"/>
      <c r="WUY9" s="222"/>
      <c r="WUZ9" s="222"/>
      <c r="WVA9" s="222"/>
      <c r="WVB9" s="222"/>
      <c r="WVC9" s="222"/>
      <c r="WVD9" s="222"/>
      <c r="WVE9" s="222"/>
      <c r="WVF9" s="222"/>
      <c r="WVG9" s="222"/>
      <c r="WVH9" s="222"/>
      <c r="WVI9" s="222"/>
      <c r="WVJ9" s="222"/>
      <c r="WVK9" s="222"/>
      <c r="WVL9" s="222"/>
      <c r="WVM9" s="222"/>
      <c r="WVN9" s="222"/>
      <c r="WVO9" s="222"/>
      <c r="WVP9" s="222"/>
      <c r="WVQ9" s="222"/>
      <c r="WVR9" s="222"/>
      <c r="WVS9" s="222"/>
      <c r="WVT9" s="222"/>
      <c r="WVU9" s="222"/>
      <c r="WVV9" s="222"/>
      <c r="WVW9" s="222"/>
      <c r="WVX9" s="222"/>
      <c r="WVY9" s="222"/>
      <c r="WVZ9" s="222"/>
      <c r="WWA9" s="222"/>
      <c r="WWB9" s="222"/>
      <c r="WWC9" s="222"/>
      <c r="WWD9" s="222"/>
      <c r="WWE9" s="222"/>
      <c r="WWF9" s="222"/>
      <c r="WWG9" s="222"/>
      <c r="WWH9" s="222"/>
      <c r="WWI9" s="222"/>
      <c r="WWJ9" s="222"/>
      <c r="WWK9" s="222"/>
      <c r="WWL9" s="222"/>
      <c r="WWM9" s="222"/>
      <c r="WWN9" s="222"/>
      <c r="WWO9" s="222"/>
      <c r="WWP9" s="222"/>
      <c r="WWQ9" s="222"/>
      <c r="WWR9" s="222"/>
      <c r="WWS9" s="222"/>
      <c r="WWT9" s="222"/>
      <c r="WWU9" s="222"/>
      <c r="WWV9" s="222"/>
      <c r="WWW9" s="222"/>
      <c r="WWX9" s="222"/>
      <c r="WWY9" s="222"/>
      <c r="WWZ9" s="222"/>
      <c r="WXA9" s="222"/>
      <c r="WXB9" s="222"/>
      <c r="WXC9" s="222"/>
      <c r="WXD9" s="222"/>
      <c r="WXE9" s="222"/>
      <c r="WXF9" s="222"/>
      <c r="WXG9" s="222"/>
      <c r="WXH9" s="222"/>
      <c r="WXI9" s="222"/>
      <c r="WXJ9" s="222"/>
      <c r="WXK9" s="222"/>
      <c r="WXL9" s="222"/>
      <c r="WXM9" s="222"/>
      <c r="WXN9" s="222"/>
      <c r="WXO9" s="222"/>
      <c r="WXP9" s="222"/>
      <c r="WXQ9" s="222"/>
      <c r="WXR9" s="222"/>
      <c r="WXS9" s="222"/>
      <c r="WXT9" s="222"/>
      <c r="WXU9" s="222"/>
      <c r="WXV9" s="222"/>
      <c r="WXW9" s="222"/>
      <c r="WXX9" s="222"/>
      <c r="WXY9" s="222"/>
      <c r="WXZ9" s="222"/>
      <c r="WYA9" s="222"/>
      <c r="WYB9" s="222"/>
      <c r="WYC9" s="222"/>
      <c r="WYD9" s="222"/>
      <c r="WYE9" s="222"/>
      <c r="WYF9" s="222"/>
      <c r="WYG9" s="222"/>
      <c r="WYH9" s="222"/>
      <c r="WYI9" s="222"/>
      <c r="WYJ9" s="222"/>
      <c r="WYK9" s="222"/>
      <c r="WYL9" s="222"/>
      <c r="WYM9" s="222"/>
      <c r="WYN9" s="222"/>
      <c r="WYO9" s="222"/>
      <c r="WYP9" s="222"/>
      <c r="WYQ9" s="222"/>
      <c r="WYR9" s="222"/>
      <c r="WYS9" s="222"/>
      <c r="WYT9" s="222"/>
      <c r="WYU9" s="222"/>
      <c r="WYV9" s="222"/>
      <c r="WYW9" s="222"/>
      <c r="WYX9" s="222"/>
      <c r="WYY9" s="222"/>
      <c r="WYZ9" s="222"/>
      <c r="WZA9" s="222"/>
      <c r="WZB9" s="222"/>
      <c r="WZC9" s="222"/>
      <c r="WZD9" s="222"/>
      <c r="WZE9" s="222"/>
      <c r="WZF9" s="222"/>
      <c r="WZG9" s="222"/>
      <c r="WZH9" s="222"/>
      <c r="WZI9" s="222"/>
      <c r="WZJ9" s="222"/>
      <c r="WZK9" s="222"/>
      <c r="WZL9" s="222"/>
      <c r="WZM9" s="222"/>
      <c r="WZN9" s="222"/>
      <c r="WZO9" s="222"/>
      <c r="WZP9" s="222"/>
      <c r="WZQ9" s="222"/>
      <c r="WZR9" s="222"/>
      <c r="WZS9" s="222"/>
      <c r="WZT9" s="222"/>
      <c r="WZU9" s="222"/>
      <c r="WZV9" s="222"/>
      <c r="WZW9" s="222"/>
      <c r="WZX9" s="222"/>
      <c r="WZY9" s="222"/>
      <c r="WZZ9" s="222"/>
      <c r="XAA9" s="222"/>
      <c r="XAB9" s="222"/>
      <c r="XAC9" s="222"/>
      <c r="XAD9" s="222"/>
      <c r="XAE9" s="222"/>
      <c r="XAF9" s="222"/>
      <c r="XAG9" s="222"/>
      <c r="XAH9" s="222"/>
      <c r="XAI9" s="222"/>
      <c r="XAJ9" s="222"/>
      <c r="XAK9" s="222"/>
      <c r="XAL9" s="222"/>
      <c r="XAM9" s="222"/>
      <c r="XAN9" s="222"/>
      <c r="XAO9" s="222"/>
      <c r="XAP9" s="222"/>
      <c r="XAQ9" s="222"/>
      <c r="XAR9" s="222"/>
      <c r="XAS9" s="222"/>
      <c r="XAT9" s="222"/>
      <c r="XAU9" s="222"/>
      <c r="XAV9" s="222"/>
      <c r="XAW9" s="222"/>
      <c r="XAX9" s="222"/>
      <c r="XAY9" s="222"/>
      <c r="XAZ9" s="222"/>
      <c r="XBA9" s="222"/>
      <c r="XBB9" s="222"/>
      <c r="XBC9" s="222"/>
      <c r="XBD9" s="222"/>
      <c r="XBE9" s="222"/>
      <c r="XBF9" s="222"/>
      <c r="XBG9" s="222"/>
      <c r="XBH9" s="222"/>
      <c r="XBI9" s="222"/>
      <c r="XBJ9" s="222"/>
      <c r="XBK9" s="222"/>
      <c r="XBL9" s="222"/>
      <c r="XBM9" s="222"/>
      <c r="XBN9" s="222"/>
      <c r="XBO9" s="222"/>
      <c r="XBP9" s="222"/>
      <c r="XBQ9" s="222"/>
      <c r="XBR9" s="222"/>
      <c r="XBS9" s="222"/>
      <c r="XBT9" s="222"/>
      <c r="XBU9" s="222"/>
      <c r="XBV9" s="222"/>
      <c r="XBW9" s="222"/>
      <c r="XBX9" s="222"/>
      <c r="XBY9" s="222"/>
      <c r="XBZ9" s="222"/>
      <c r="XCA9" s="222"/>
      <c r="XCB9" s="222"/>
      <c r="XCC9" s="222"/>
      <c r="XCD9" s="222"/>
      <c r="XCE9" s="222"/>
      <c r="XCF9" s="222"/>
      <c r="XCG9" s="222"/>
      <c r="XCH9" s="222"/>
      <c r="XCI9" s="222"/>
      <c r="XCJ9" s="222"/>
      <c r="XCK9" s="222"/>
      <c r="XCL9" s="222"/>
      <c r="XCM9" s="222"/>
      <c r="XCN9" s="222"/>
      <c r="XCO9" s="222"/>
      <c r="XCP9" s="222"/>
      <c r="XCQ9" s="222"/>
      <c r="XCR9" s="222"/>
      <c r="XCS9" s="222"/>
      <c r="XCT9" s="222"/>
      <c r="XCU9" s="222"/>
      <c r="XCV9" s="222"/>
      <c r="XCW9" s="222"/>
      <c r="XCX9" s="222"/>
      <c r="XCY9" s="222"/>
      <c r="XCZ9" s="222"/>
      <c r="XDA9" s="222"/>
      <c r="XDB9" s="222"/>
      <c r="XDC9" s="222"/>
      <c r="XDD9" s="222"/>
      <c r="XDE9" s="222"/>
      <c r="XDF9" s="222"/>
      <c r="XDG9" s="222"/>
      <c r="XDH9" s="222"/>
      <c r="XDI9" s="222"/>
      <c r="XDJ9" s="222"/>
    </row>
    <row r="10" spans="1:16338" x14ac:dyDescent="0.2">
      <c r="A10" s="223">
        <v>6</v>
      </c>
      <c r="B10" s="224" t="s">
        <v>148</v>
      </c>
      <c r="C10" s="643">
        <v>24.586788558454135</v>
      </c>
      <c r="D10" s="643">
        <v>29.671246541987138</v>
      </c>
      <c r="E10" s="643">
        <v>51.986886725480474</v>
      </c>
      <c r="F10" s="643">
        <v>23.466617666307652</v>
      </c>
      <c r="G10" s="643">
        <v>31.137667730708884</v>
      </c>
      <c r="H10" s="643">
        <v>31.897094013499995</v>
      </c>
      <c r="I10" s="643">
        <v>47.804229037999995</v>
      </c>
      <c r="J10" s="644">
        <v>64.687441606752657</v>
      </c>
      <c r="K10" s="643">
        <v>60.791380466799993</v>
      </c>
      <c r="L10" s="643">
        <v>6.0960007166106518</v>
      </c>
      <c r="M10" s="643">
        <v>6.6383115860752664</v>
      </c>
      <c r="N10" s="643">
        <v>15.151201947525783</v>
      </c>
      <c r="O10" s="643">
        <v>6.3215873874995046</v>
      </c>
      <c r="P10" s="643">
        <v>5.7050336539947457</v>
      </c>
      <c r="Q10" s="643">
        <v>7.7768012090000012</v>
      </c>
      <c r="R10" s="643">
        <v>5.2480907120000007</v>
      </c>
      <c r="S10" s="644">
        <v>5.0177265819937249</v>
      </c>
      <c r="T10" s="643">
        <v>7.4887969740000004</v>
      </c>
      <c r="U10" s="643">
        <v>12.294725524899997</v>
      </c>
      <c r="V10" s="643">
        <v>14.148182259999999</v>
      </c>
      <c r="W10" s="643">
        <v>17.428030666999998</v>
      </c>
      <c r="X10" s="643">
        <v>14.073287635</v>
      </c>
      <c r="Y10" s="643">
        <v>12.62709337888216</v>
      </c>
      <c r="Z10" s="643">
        <v>10.166715431</v>
      </c>
      <c r="AA10" s="643">
        <v>11.04092483</v>
      </c>
      <c r="AB10" s="644">
        <v>11.260493395000001</v>
      </c>
      <c r="AC10" s="643">
        <v>9.4744806829999995</v>
      </c>
      <c r="AD10" s="643">
        <v>1.8509999999999999E-2</v>
      </c>
      <c r="AE10" s="643">
        <v>0.20979985600000003</v>
      </c>
      <c r="AF10" s="643">
        <v>0.36578387800000001</v>
      </c>
      <c r="AG10" s="643">
        <v>0.379050108</v>
      </c>
      <c r="AH10" s="643">
        <v>0.38537504400000006</v>
      </c>
      <c r="AI10" s="643">
        <v>0.23829995799999998</v>
      </c>
      <c r="AJ10" s="643">
        <v>0.30012500000000003</v>
      </c>
      <c r="AK10" s="644">
        <v>0.32112499999999999</v>
      </c>
      <c r="AL10" s="643">
        <v>0.27823540000000002</v>
      </c>
      <c r="AM10" s="643">
        <v>4.4899255130319951</v>
      </c>
      <c r="AN10" s="643">
        <v>4.798732354807024</v>
      </c>
      <c r="AO10" s="643">
        <v>17.716036450558533</v>
      </c>
      <c r="AP10" s="643">
        <v>3.6334874824174768</v>
      </c>
      <c r="AQ10" s="643">
        <v>4.0159076956813458</v>
      </c>
      <c r="AR10" s="643">
        <v>5.8431393434999999</v>
      </c>
      <c r="AS10" s="643">
        <v>5.3479322450000009</v>
      </c>
      <c r="AT10" s="644">
        <v>8.1989542060000016</v>
      </c>
      <c r="AU10" s="643">
        <v>6.2258123800000007</v>
      </c>
      <c r="AV10" s="643">
        <v>108.03212030549267</v>
      </c>
      <c r="AW10" s="643">
        <v>120.1033733592997</v>
      </c>
      <c r="AX10" s="643">
        <v>165.56183262074421</v>
      </c>
      <c r="AY10" s="643">
        <v>133.26428684462252</v>
      </c>
      <c r="AZ10" s="643">
        <v>153.54610878255437</v>
      </c>
      <c r="BA10" s="643">
        <v>165.76139411806815</v>
      </c>
      <c r="BB10" s="643">
        <v>147.49638901781199</v>
      </c>
      <c r="BC10" s="644">
        <v>151.99288333760754</v>
      </c>
      <c r="BD10" s="643">
        <v>139.67960603545313</v>
      </c>
      <c r="BE10" s="643">
        <v>93.398848678590369</v>
      </c>
      <c r="BF10" s="643">
        <v>110.78957306257507</v>
      </c>
      <c r="BG10" s="643">
        <v>181.77760308645077</v>
      </c>
      <c r="BH10" s="643">
        <v>142.98115763222984</v>
      </c>
      <c r="BI10" s="643">
        <v>179.09352012793494</v>
      </c>
      <c r="BJ10" s="643">
        <v>208.00336975433328</v>
      </c>
      <c r="BK10" s="643">
        <v>201.80132631179097</v>
      </c>
      <c r="BL10" s="644">
        <v>206.58311132977266</v>
      </c>
      <c r="BM10" s="643">
        <v>194.55781510813415</v>
      </c>
      <c r="BN10" s="643">
        <v>2.6529283781501847</v>
      </c>
      <c r="BO10" s="643">
        <v>3.0981424169999996</v>
      </c>
      <c r="BP10" s="643">
        <v>10.034424193309015</v>
      </c>
      <c r="BQ10" s="643">
        <v>2.4388909910048455</v>
      </c>
      <c r="BR10" s="643">
        <v>3.5616787149688713</v>
      </c>
      <c r="BS10" s="643">
        <v>5.5836682439999992</v>
      </c>
      <c r="BT10" s="643">
        <v>5.4457015950000001</v>
      </c>
      <c r="BU10" s="644">
        <v>5.991106162305547</v>
      </c>
      <c r="BV10" s="643">
        <v>6.9828577759999977</v>
      </c>
      <c r="BW10" s="643">
        <v>1.84777E-2</v>
      </c>
      <c r="BX10" s="643">
        <v>1.7813200000000001E-2</v>
      </c>
      <c r="BY10" s="643">
        <v>2.8267612000000001E-2</v>
      </c>
      <c r="BZ10" s="643">
        <v>7.5205174E-2</v>
      </c>
      <c r="CA10" s="643">
        <v>14.484299300000002</v>
      </c>
      <c r="CB10" s="643">
        <v>0.7477000840000001</v>
      </c>
      <c r="CC10" s="643">
        <v>4.0400000000000001E-4</v>
      </c>
      <c r="CD10" s="644">
        <v>4.8858080000000002E-3</v>
      </c>
      <c r="CE10" s="643">
        <v>9.0306369999999993E-3</v>
      </c>
      <c r="CF10" s="643">
        <v>6.9099999999999995E-2</v>
      </c>
      <c r="CG10" s="643">
        <v>6.4899999999999999E-2</v>
      </c>
      <c r="CH10" s="643">
        <v>0.19235410000000003</v>
      </c>
      <c r="CI10" s="643">
        <v>0.1517</v>
      </c>
      <c r="CJ10" s="643">
        <v>0.86329999999999996</v>
      </c>
      <c r="CK10" s="643">
        <v>0.92489670000000002</v>
      </c>
      <c r="CL10" s="643">
        <v>1.0335000000000001</v>
      </c>
      <c r="CM10" s="644">
        <v>1.26525</v>
      </c>
      <c r="CN10" s="643">
        <v>0.88280000000000003</v>
      </c>
      <c r="CO10" s="643">
        <v>7.0462078853515386</v>
      </c>
      <c r="CP10" s="643">
        <v>7.2670080913299993</v>
      </c>
      <c r="CQ10" s="643">
        <v>29.401117053755726</v>
      </c>
      <c r="CR10" s="643">
        <v>7.4479709063719186</v>
      </c>
      <c r="CS10" s="643">
        <v>8.4004378513648241</v>
      </c>
      <c r="CT10" s="643">
        <v>155.72494527200141</v>
      </c>
      <c r="CU10" s="643">
        <v>8.662494036</v>
      </c>
      <c r="CV10" s="643">
        <v>7.0607510413012706</v>
      </c>
      <c r="CW10" s="643">
        <v>8.8479167155000003</v>
      </c>
      <c r="CX10" s="643">
        <f t="shared" si="1"/>
        <v>258.70363326058151</v>
      </c>
      <c r="CY10" s="643">
        <f t="shared" si="2"/>
        <v>296.80708272907424</v>
      </c>
      <c r="CZ10" s="643">
        <f t="shared" si="3"/>
        <v>489.64353833482448</v>
      </c>
      <c r="DA10" s="643">
        <f t="shared" si="4"/>
        <v>334.23324182745375</v>
      </c>
      <c r="DB10" s="643">
        <f t="shared" si="5"/>
        <v>413.8204222800901</v>
      </c>
      <c r="DC10" s="643">
        <f t="shared" si="6"/>
        <v>592.66802412740276</v>
      </c>
      <c r="DD10" s="643">
        <f t="shared" si="7"/>
        <v>434.18111678560291</v>
      </c>
      <c r="DE10" s="643">
        <f t="shared" si="8"/>
        <v>462.38372846873335</v>
      </c>
      <c r="DF10" s="643">
        <f t="shared" si="9"/>
        <v>435.21873217588728</v>
      </c>
    </row>
    <row r="11" spans="1:16338" x14ac:dyDescent="0.2">
      <c r="A11" s="223">
        <v>7</v>
      </c>
      <c r="B11" s="224" t="s">
        <v>149</v>
      </c>
      <c r="C11" s="643">
        <v>1001.5861560094531</v>
      </c>
      <c r="D11" s="643">
        <v>1006.9627334791631</v>
      </c>
      <c r="E11" s="643">
        <v>942.32628746712533</v>
      </c>
      <c r="F11" s="643">
        <v>902.75634425798034</v>
      </c>
      <c r="G11" s="643">
        <v>1639.1818714581063</v>
      </c>
      <c r="H11" s="643">
        <v>1674.5932179348249</v>
      </c>
      <c r="I11" s="643">
        <v>2036.9579551276045</v>
      </c>
      <c r="J11" s="644">
        <v>2474.8401073402724</v>
      </c>
      <c r="K11" s="643">
        <v>2857.8236648446159</v>
      </c>
      <c r="L11" s="643">
        <v>179.51357558099792</v>
      </c>
      <c r="M11" s="643">
        <v>178.87453176121562</v>
      </c>
      <c r="N11" s="643">
        <v>173.67338552964364</v>
      </c>
      <c r="O11" s="643">
        <v>161.90605348997019</v>
      </c>
      <c r="P11" s="643">
        <v>205.87669689415222</v>
      </c>
      <c r="Q11" s="643">
        <v>248.46131747069995</v>
      </c>
      <c r="R11" s="643">
        <v>295.37938563259996</v>
      </c>
      <c r="S11" s="644">
        <v>305.69946406725433</v>
      </c>
      <c r="T11" s="643">
        <v>409.75778433289992</v>
      </c>
      <c r="U11" s="643">
        <v>116.34709211800002</v>
      </c>
      <c r="V11" s="643">
        <v>54.175748680000005</v>
      </c>
      <c r="W11" s="643">
        <v>50.740555207</v>
      </c>
      <c r="X11" s="643">
        <v>27.141250976000002</v>
      </c>
      <c r="Y11" s="643">
        <v>72.4991561154892</v>
      </c>
      <c r="Z11" s="643">
        <v>85.905500932999999</v>
      </c>
      <c r="AA11" s="643">
        <v>75.693437356999993</v>
      </c>
      <c r="AB11" s="644">
        <v>106.61736278499998</v>
      </c>
      <c r="AC11" s="643">
        <v>95.645695513250018</v>
      </c>
      <c r="AD11" s="643">
        <v>3.9521474200000011</v>
      </c>
      <c r="AE11" s="643">
        <v>2.0334808470000003</v>
      </c>
      <c r="AF11" s="643">
        <v>4.3096824809999994</v>
      </c>
      <c r="AG11" s="643">
        <v>1.1787183310000049</v>
      </c>
      <c r="AH11" s="643">
        <v>1.4517592529604253</v>
      </c>
      <c r="AI11" s="643">
        <v>1.6712516320000004</v>
      </c>
      <c r="AJ11" s="643">
        <v>2.1909524230000001</v>
      </c>
      <c r="AK11" s="644">
        <v>4.5733580498000004</v>
      </c>
      <c r="AL11" s="643">
        <v>6.4671502427999998</v>
      </c>
      <c r="AM11" s="643">
        <v>137.90405036124676</v>
      </c>
      <c r="AN11" s="643">
        <v>151.29119343264492</v>
      </c>
      <c r="AO11" s="643">
        <v>121.69861159945619</v>
      </c>
      <c r="AP11" s="643">
        <v>123.59795586005781</v>
      </c>
      <c r="AQ11" s="643">
        <v>156.00100523902694</v>
      </c>
      <c r="AR11" s="643">
        <v>189.14019201084</v>
      </c>
      <c r="AS11" s="643">
        <v>175.41931230200001</v>
      </c>
      <c r="AT11" s="644">
        <v>180.14493103333999</v>
      </c>
      <c r="AU11" s="643">
        <v>261.75215583692</v>
      </c>
      <c r="AV11" s="643">
        <v>1424.0169783567028</v>
      </c>
      <c r="AW11" s="643">
        <v>1501.7632546616376</v>
      </c>
      <c r="AX11" s="643">
        <v>1687.6589920658382</v>
      </c>
      <c r="AY11" s="643">
        <v>1963.1619089795502</v>
      </c>
      <c r="AZ11" s="643">
        <v>2213.2505966181861</v>
      </c>
      <c r="BA11" s="643">
        <v>2163.6233727950826</v>
      </c>
      <c r="BB11" s="643">
        <v>2182.1432360475401</v>
      </c>
      <c r="BC11" s="644">
        <v>2170.9466437821593</v>
      </c>
      <c r="BD11" s="643">
        <v>2386.9468596317906</v>
      </c>
      <c r="BE11" s="643">
        <v>1110.1431601488118</v>
      </c>
      <c r="BF11" s="643">
        <v>1321.9937825623078</v>
      </c>
      <c r="BG11" s="643">
        <v>1481.8360783581838</v>
      </c>
      <c r="BH11" s="643">
        <v>1595.4749603740393</v>
      </c>
      <c r="BI11" s="643">
        <v>2292.2703662929803</v>
      </c>
      <c r="BJ11" s="643">
        <v>2608.2671913955987</v>
      </c>
      <c r="BK11" s="643">
        <v>2930.7996016776906</v>
      </c>
      <c r="BL11" s="644">
        <v>2787.577488108845</v>
      </c>
      <c r="BM11" s="643">
        <v>3015.7185193973173</v>
      </c>
      <c r="BN11" s="643">
        <v>93.811826563993563</v>
      </c>
      <c r="BO11" s="643">
        <v>97.096642310393435</v>
      </c>
      <c r="BP11" s="643">
        <v>120.67469649760291</v>
      </c>
      <c r="BQ11" s="643">
        <v>133.90846758820791</v>
      </c>
      <c r="BR11" s="643">
        <v>166.3359297873931</v>
      </c>
      <c r="BS11" s="643">
        <v>191.79644970191998</v>
      </c>
      <c r="BT11" s="643">
        <v>201.61065400377996</v>
      </c>
      <c r="BU11" s="644">
        <v>225.25135513647263</v>
      </c>
      <c r="BV11" s="643">
        <v>253.47897728450008</v>
      </c>
      <c r="BW11" s="643">
        <v>276.215868</v>
      </c>
      <c r="BX11" s="643">
        <v>191.271311</v>
      </c>
      <c r="BY11" s="643">
        <v>217.88673696699999</v>
      </c>
      <c r="BZ11" s="643">
        <v>1572.5271296167002</v>
      </c>
      <c r="CA11" s="643">
        <v>2937.4403711809996</v>
      </c>
      <c r="CB11" s="643">
        <v>3079.892416473625</v>
      </c>
      <c r="CC11" s="643">
        <v>3302.5687008875602</v>
      </c>
      <c r="CD11" s="644">
        <v>123.60383518599998</v>
      </c>
      <c r="CE11" s="643">
        <v>296.28251258200015</v>
      </c>
      <c r="CF11" s="643">
        <v>75.685160304999997</v>
      </c>
      <c r="CG11" s="643">
        <v>89.452208659999997</v>
      </c>
      <c r="CH11" s="643">
        <v>86.110808800000015</v>
      </c>
      <c r="CI11" s="643">
        <v>85.820431900000003</v>
      </c>
      <c r="CJ11" s="643">
        <v>95.457727164999994</v>
      </c>
      <c r="CK11" s="643">
        <v>98.734706657999979</v>
      </c>
      <c r="CL11" s="643">
        <v>104.78863438200004</v>
      </c>
      <c r="CM11" s="644">
        <v>99.790097374000027</v>
      </c>
      <c r="CN11" s="643">
        <v>110.06159046000001</v>
      </c>
      <c r="CO11" s="643">
        <v>231.48887042972743</v>
      </c>
      <c r="CP11" s="643">
        <v>250.10104481069655</v>
      </c>
      <c r="CQ11" s="643">
        <v>246.74648845108223</v>
      </c>
      <c r="CR11" s="643">
        <v>510.19232625724567</v>
      </c>
      <c r="CS11" s="643">
        <v>959.6645231348316</v>
      </c>
      <c r="CT11" s="643">
        <v>321.53346140539969</v>
      </c>
      <c r="CU11" s="643">
        <v>280.29222174929987</v>
      </c>
      <c r="CV11" s="643">
        <v>306.22004189714062</v>
      </c>
      <c r="CW11" s="643">
        <v>364.63126976889498</v>
      </c>
      <c r="CX11" s="643">
        <f t="shared" si="1"/>
        <v>4650.6648852939334</v>
      </c>
      <c r="CY11" s="643">
        <f t="shared" si="2"/>
        <v>4845.0159322050595</v>
      </c>
      <c r="CZ11" s="643">
        <f t="shared" si="3"/>
        <v>5133.6623234239314</v>
      </c>
      <c r="DA11" s="643">
        <f t="shared" si="4"/>
        <v>7077.6655476307506</v>
      </c>
      <c r="DB11" s="643">
        <f t="shared" si="5"/>
        <v>10739.430003139127</v>
      </c>
      <c r="DC11" s="643">
        <f t="shared" si="6"/>
        <v>10663.619078410991</v>
      </c>
      <c r="DD11" s="643">
        <f t="shared" si="7"/>
        <v>11587.844091590074</v>
      </c>
      <c r="DE11" s="643">
        <f t="shared" si="8"/>
        <v>8785.2646847602846</v>
      </c>
      <c r="DF11" s="643">
        <f t="shared" si="9"/>
        <v>10058.566179894988</v>
      </c>
    </row>
    <row r="12" spans="1:16338" x14ac:dyDescent="0.2">
      <c r="A12" s="223">
        <v>8</v>
      </c>
      <c r="B12" s="224" t="s">
        <v>150</v>
      </c>
      <c r="C12" s="643">
        <v>351.70102034892932</v>
      </c>
      <c r="D12" s="643">
        <v>346.95602836519822</v>
      </c>
      <c r="E12" s="643">
        <v>409.54503285513152</v>
      </c>
      <c r="F12" s="643">
        <v>331.85519190054237</v>
      </c>
      <c r="G12" s="643">
        <v>497.12052741274317</v>
      </c>
      <c r="H12" s="643">
        <v>496.51124399718537</v>
      </c>
      <c r="I12" s="643">
        <v>762.70372212360019</v>
      </c>
      <c r="J12" s="644">
        <v>1029.8965417864554</v>
      </c>
      <c r="K12" s="643">
        <v>1076.8765821834609</v>
      </c>
      <c r="L12" s="643">
        <v>130.32351323673799</v>
      </c>
      <c r="M12" s="643">
        <v>140.57069200735788</v>
      </c>
      <c r="N12" s="643">
        <v>123.9900345655406</v>
      </c>
      <c r="O12" s="643">
        <v>108.97744735051234</v>
      </c>
      <c r="P12" s="643">
        <v>128.77601227797462</v>
      </c>
      <c r="Q12" s="643">
        <v>156.76429375698999</v>
      </c>
      <c r="R12" s="643">
        <v>180.73402893539998</v>
      </c>
      <c r="S12" s="644">
        <v>198.3876719553281</v>
      </c>
      <c r="T12" s="643">
        <v>256.27229616750003</v>
      </c>
      <c r="U12" s="643">
        <v>35.493248898799997</v>
      </c>
      <c r="V12" s="643">
        <v>15.0090117</v>
      </c>
      <c r="W12" s="643">
        <v>6.0848101999999997</v>
      </c>
      <c r="X12" s="643">
        <v>3.8364127999999997</v>
      </c>
      <c r="Y12" s="643">
        <v>5.2553641999999998</v>
      </c>
      <c r="Z12" s="643">
        <v>12.514846029999999</v>
      </c>
      <c r="AA12" s="643">
        <v>8.1025883480000012</v>
      </c>
      <c r="AB12" s="644">
        <v>20.142710344500003</v>
      </c>
      <c r="AC12" s="643">
        <v>18.5948718685</v>
      </c>
      <c r="AD12" s="643">
        <v>54.601149799969996</v>
      </c>
      <c r="AE12" s="643">
        <v>48.897874889879994</v>
      </c>
      <c r="AF12" s="643">
        <v>40.043794883650001</v>
      </c>
      <c r="AG12" s="643">
        <v>21.686522381</v>
      </c>
      <c r="AH12" s="643">
        <v>37.147906949083428</v>
      </c>
      <c r="AI12" s="643">
        <v>57.600058493000006</v>
      </c>
      <c r="AJ12" s="643">
        <v>118.24554000000002</v>
      </c>
      <c r="AK12" s="644">
        <v>116.88260100699999</v>
      </c>
      <c r="AL12" s="643">
        <v>150.73409308500001</v>
      </c>
      <c r="AM12" s="643">
        <v>135.91481554422359</v>
      </c>
      <c r="AN12" s="643">
        <v>101.39141826721303</v>
      </c>
      <c r="AO12" s="643">
        <v>102.21206964120054</v>
      </c>
      <c r="AP12" s="643">
        <v>75.253150570955228</v>
      </c>
      <c r="AQ12" s="643">
        <v>98.276652091861635</v>
      </c>
      <c r="AR12" s="643">
        <v>97.547665684099996</v>
      </c>
      <c r="AS12" s="643">
        <v>131.37175773279995</v>
      </c>
      <c r="AT12" s="644">
        <v>134.15875062645</v>
      </c>
      <c r="AU12" s="643">
        <v>142.022069573225</v>
      </c>
      <c r="AV12" s="643">
        <v>666.60148376315624</v>
      </c>
      <c r="AW12" s="643">
        <v>695.31767151428676</v>
      </c>
      <c r="AX12" s="643">
        <v>714.74676516978957</v>
      </c>
      <c r="AY12" s="643">
        <v>866.98669709732462</v>
      </c>
      <c r="AZ12" s="643">
        <v>1106.9584359030914</v>
      </c>
      <c r="BA12" s="643">
        <v>1153.1575562030641</v>
      </c>
      <c r="BB12" s="643">
        <v>1185.5693104199725</v>
      </c>
      <c r="BC12" s="644">
        <v>1224.7751910730603</v>
      </c>
      <c r="BD12" s="643">
        <v>1297.2975075747322</v>
      </c>
      <c r="BE12" s="643">
        <v>483.03026524316692</v>
      </c>
      <c r="BF12" s="643">
        <v>563.14392626390554</v>
      </c>
      <c r="BG12" s="643">
        <v>631.21971697523213</v>
      </c>
      <c r="BH12" s="643">
        <v>715.46090912357351</v>
      </c>
      <c r="BI12" s="643">
        <v>1139.6858229337306</v>
      </c>
      <c r="BJ12" s="643">
        <v>1374.0256156236699</v>
      </c>
      <c r="BK12" s="643">
        <v>1485.4221147388498</v>
      </c>
      <c r="BL12" s="644">
        <v>1664.488432046501</v>
      </c>
      <c r="BM12" s="643">
        <v>1842.9352859402925</v>
      </c>
      <c r="BN12" s="643">
        <v>34.535359193000836</v>
      </c>
      <c r="BO12" s="643">
        <v>41.65588314035567</v>
      </c>
      <c r="BP12" s="643">
        <v>44.350243880976194</v>
      </c>
      <c r="BQ12" s="643">
        <v>55.485287498314037</v>
      </c>
      <c r="BR12" s="643">
        <v>72.491050353133815</v>
      </c>
      <c r="BS12" s="643">
        <v>95.970621995000002</v>
      </c>
      <c r="BT12" s="643">
        <v>103.36318343000001</v>
      </c>
      <c r="BU12" s="644">
        <v>152.92742337745736</v>
      </c>
      <c r="BV12" s="643">
        <v>170.68199827950005</v>
      </c>
      <c r="BW12" s="643">
        <v>59.713927712000007</v>
      </c>
      <c r="BX12" s="643">
        <v>5.5966817669999998</v>
      </c>
      <c r="BY12" s="643">
        <v>0.48994397999999989</v>
      </c>
      <c r="BZ12" s="643">
        <v>82.255949209999997</v>
      </c>
      <c r="CA12" s="643">
        <v>452.83074620000002</v>
      </c>
      <c r="CB12" s="643">
        <v>658.86450675999993</v>
      </c>
      <c r="CC12" s="643">
        <v>1317.9669653372614</v>
      </c>
      <c r="CD12" s="644">
        <v>901.12947875864893</v>
      </c>
      <c r="CE12" s="643">
        <v>1204.8991844192524</v>
      </c>
      <c r="CF12" s="643">
        <v>54.385011601000002</v>
      </c>
      <c r="CG12" s="643">
        <v>58.837180029999999</v>
      </c>
      <c r="CH12" s="643">
        <v>54.970066629000009</v>
      </c>
      <c r="CI12" s="643">
        <v>60.079650799999989</v>
      </c>
      <c r="CJ12" s="643">
        <v>63.760002553000014</v>
      </c>
      <c r="CK12" s="643">
        <v>69.870775915999999</v>
      </c>
      <c r="CL12" s="643">
        <v>68.239965153</v>
      </c>
      <c r="CM12" s="644">
        <v>85.056158707999984</v>
      </c>
      <c r="CN12" s="643">
        <v>97.471028713999999</v>
      </c>
      <c r="CO12" s="643">
        <v>123.05893975694018</v>
      </c>
      <c r="CP12" s="643">
        <v>107.23598564780954</v>
      </c>
      <c r="CQ12" s="643">
        <v>95.990618765605362</v>
      </c>
      <c r="CR12" s="643">
        <v>84.842757003833157</v>
      </c>
      <c r="CS12" s="643">
        <v>129.87456150647643</v>
      </c>
      <c r="CT12" s="643">
        <v>164.9573307123288</v>
      </c>
      <c r="CU12" s="643">
        <v>157.34592976099998</v>
      </c>
      <c r="CV12" s="643">
        <v>270.42208530261371</v>
      </c>
      <c r="CW12" s="643">
        <v>248.47549246737822</v>
      </c>
      <c r="CX12" s="643">
        <f t="shared" si="1"/>
        <v>2129.3587350979251</v>
      </c>
      <c r="CY12" s="643">
        <f t="shared" si="2"/>
        <v>2124.6123535930064</v>
      </c>
      <c r="CZ12" s="643">
        <f t="shared" si="3"/>
        <v>2223.6430975461258</v>
      </c>
      <c r="DA12" s="643">
        <f t="shared" si="4"/>
        <v>2406.7199757360545</v>
      </c>
      <c r="DB12" s="643">
        <f t="shared" si="5"/>
        <v>3732.1770823810948</v>
      </c>
      <c r="DC12" s="643">
        <f t="shared" si="6"/>
        <v>4337.7845151713382</v>
      </c>
      <c r="DD12" s="643">
        <f t="shared" si="7"/>
        <v>5519.0651059798838</v>
      </c>
      <c r="DE12" s="643">
        <f t="shared" si="8"/>
        <v>5798.2670449860143</v>
      </c>
      <c r="DF12" s="643">
        <f t="shared" si="9"/>
        <v>6506.260410272841</v>
      </c>
    </row>
    <row r="13" spans="1:16338" x14ac:dyDescent="0.2">
      <c r="A13" s="223">
        <v>9</v>
      </c>
      <c r="B13" s="224" t="s">
        <v>151</v>
      </c>
      <c r="C13" s="643">
        <v>88.695241381374217</v>
      </c>
      <c r="D13" s="643">
        <v>135.63184491053175</v>
      </c>
      <c r="E13" s="643">
        <v>118.55577079410743</v>
      </c>
      <c r="F13" s="643">
        <v>79.544354038007654</v>
      </c>
      <c r="G13" s="643">
        <v>114.7056279800984</v>
      </c>
      <c r="H13" s="643">
        <v>98.473068687929256</v>
      </c>
      <c r="I13" s="643">
        <v>122.21245333162997</v>
      </c>
      <c r="J13" s="644">
        <v>184.96276191299992</v>
      </c>
      <c r="K13" s="643">
        <v>215.25644839699999</v>
      </c>
      <c r="L13" s="643">
        <v>6.3534752069377465</v>
      </c>
      <c r="M13" s="643">
        <v>7.6881566466743996</v>
      </c>
      <c r="N13" s="643">
        <v>7.874654779400001</v>
      </c>
      <c r="O13" s="643">
        <v>6.2398265377490425</v>
      </c>
      <c r="P13" s="643">
        <v>7.8447084456349492</v>
      </c>
      <c r="Q13" s="643">
        <v>9.1372315370000017</v>
      </c>
      <c r="R13" s="643">
        <v>8.3841454169999992</v>
      </c>
      <c r="S13" s="644">
        <v>7.921245053999999</v>
      </c>
      <c r="T13" s="643">
        <v>10.829991594000001</v>
      </c>
      <c r="U13" s="643">
        <v>6.3768999999999996E-3</v>
      </c>
      <c r="V13" s="643">
        <v>5.8869999999999999E-3</v>
      </c>
      <c r="W13" s="643">
        <v>2.9483000000000005E-3</v>
      </c>
      <c r="X13" s="643">
        <v>5.7474000000000006E-3</v>
      </c>
      <c r="Y13" s="643">
        <v>1.5338300000000001E-2</v>
      </c>
      <c r="Z13" s="643">
        <v>4.8884000000000002E-3</v>
      </c>
      <c r="AA13" s="643">
        <v>1.0295999999999998E-2</v>
      </c>
      <c r="AB13" s="644">
        <v>1.23923E-2</v>
      </c>
      <c r="AC13" s="643">
        <v>1.3760799999999997E-2</v>
      </c>
      <c r="AD13" s="643">
        <v>0</v>
      </c>
      <c r="AE13" s="643">
        <v>9.0862499999999999E-2</v>
      </c>
      <c r="AF13" s="643">
        <v>5.8367099999999998E-2</v>
      </c>
      <c r="AG13" s="643">
        <v>0</v>
      </c>
      <c r="AH13" s="643">
        <v>2.4144887000000002</v>
      </c>
      <c r="AI13" s="643">
        <v>0</v>
      </c>
      <c r="AJ13" s="643">
        <v>1.3599999999999999E-2</v>
      </c>
      <c r="AK13" s="644">
        <v>0</v>
      </c>
      <c r="AL13" s="643">
        <v>4.1999999999999997E-3</v>
      </c>
      <c r="AM13" s="643">
        <v>22.27561969427164</v>
      </c>
      <c r="AN13" s="643">
        <v>22.070469500467315</v>
      </c>
      <c r="AO13" s="643">
        <v>25.623197374631776</v>
      </c>
      <c r="AP13" s="643">
        <v>16.828165696957484</v>
      </c>
      <c r="AQ13" s="643">
        <v>18.407610619795211</v>
      </c>
      <c r="AR13" s="643">
        <v>23.530830263000002</v>
      </c>
      <c r="AS13" s="643">
        <v>20.412158257999998</v>
      </c>
      <c r="AT13" s="644">
        <v>33.207117898</v>
      </c>
      <c r="AU13" s="643">
        <v>40.667977092999998</v>
      </c>
      <c r="AV13" s="643">
        <v>104.39675930838855</v>
      </c>
      <c r="AW13" s="643">
        <v>115.42552628890317</v>
      </c>
      <c r="AX13" s="643">
        <v>110.09157650081566</v>
      </c>
      <c r="AY13" s="643">
        <v>155.4065168877614</v>
      </c>
      <c r="AZ13" s="643">
        <v>203.76878584673213</v>
      </c>
      <c r="BA13" s="643">
        <v>219.69040039711203</v>
      </c>
      <c r="BB13" s="643">
        <v>224.75731520636725</v>
      </c>
      <c r="BC13" s="644">
        <v>272.81654234131952</v>
      </c>
      <c r="BD13" s="643">
        <v>259.49088054751593</v>
      </c>
      <c r="BE13" s="643">
        <v>142.68863098227393</v>
      </c>
      <c r="BF13" s="643">
        <v>176.33657766425901</v>
      </c>
      <c r="BG13" s="643">
        <v>203.70243040432678</v>
      </c>
      <c r="BH13" s="643">
        <v>211.18716846440134</v>
      </c>
      <c r="BI13" s="643">
        <v>301.86074752821003</v>
      </c>
      <c r="BJ13" s="643">
        <v>341.10760598831206</v>
      </c>
      <c r="BK13" s="643">
        <v>384.68569370812008</v>
      </c>
      <c r="BL13" s="644">
        <v>422.71841180458796</v>
      </c>
      <c r="BM13" s="643">
        <v>424.99310067362535</v>
      </c>
      <c r="BN13" s="643">
        <v>2.2904823369156029</v>
      </c>
      <c r="BO13" s="643">
        <v>3.5939413750000004</v>
      </c>
      <c r="BP13" s="643">
        <v>2.7291537780000006</v>
      </c>
      <c r="BQ13" s="643">
        <v>2.6082648970444389</v>
      </c>
      <c r="BR13" s="643">
        <v>3.4230186879748148</v>
      </c>
      <c r="BS13" s="643">
        <v>3.0377834379999999</v>
      </c>
      <c r="BT13" s="643">
        <v>3.5037172590000005</v>
      </c>
      <c r="BU13" s="644">
        <v>3.8386713190000008</v>
      </c>
      <c r="BV13" s="643">
        <v>4.4182746589999997</v>
      </c>
      <c r="BW13" s="643">
        <v>2.3669284629999998</v>
      </c>
      <c r="BX13" s="643">
        <v>49.078837699999994</v>
      </c>
      <c r="BY13" s="643">
        <v>29.083817935000006</v>
      </c>
      <c r="BZ13" s="643">
        <v>43.266281475</v>
      </c>
      <c r="CA13" s="643">
        <v>33.548805247000004</v>
      </c>
      <c r="CB13" s="643">
        <v>85.906363845999991</v>
      </c>
      <c r="CC13" s="643">
        <v>63.156257498625202</v>
      </c>
      <c r="CD13" s="644">
        <v>108.94761059925003</v>
      </c>
      <c r="CE13" s="643">
        <v>102.59278551574913</v>
      </c>
      <c r="CF13" s="643">
        <v>0</v>
      </c>
      <c r="CG13" s="643">
        <v>0</v>
      </c>
      <c r="CH13" s="643">
        <v>0</v>
      </c>
      <c r="CI13" s="643">
        <v>0</v>
      </c>
      <c r="CJ13" s="643">
        <v>5.5E-2</v>
      </c>
      <c r="CK13" s="643">
        <v>0.17524149999999999</v>
      </c>
      <c r="CL13" s="643">
        <v>0.10292849999999999</v>
      </c>
      <c r="CM13" s="644">
        <v>8.8380600000000004E-2</v>
      </c>
      <c r="CN13" s="643">
        <v>7.9002000000000003E-2</v>
      </c>
      <c r="CO13" s="643">
        <v>17.855677672875188</v>
      </c>
      <c r="CP13" s="643">
        <v>29.806575472960006</v>
      </c>
      <c r="CQ13" s="643">
        <v>26.610019452730004</v>
      </c>
      <c r="CR13" s="643">
        <v>15.603048774251812</v>
      </c>
      <c r="CS13" s="643">
        <v>13.050208678072496</v>
      </c>
      <c r="CT13" s="643">
        <v>13.373913297000003</v>
      </c>
      <c r="CU13" s="643">
        <v>17.833972685999996</v>
      </c>
      <c r="CV13" s="643">
        <v>12.547624611000002</v>
      </c>
      <c r="CW13" s="643">
        <v>13.597016436400002</v>
      </c>
      <c r="CX13" s="643">
        <f t="shared" si="1"/>
        <v>386.92919194603689</v>
      </c>
      <c r="CY13" s="643">
        <f t="shared" si="2"/>
        <v>539.72867905879571</v>
      </c>
      <c r="CZ13" s="643">
        <f t="shared" si="3"/>
        <v>524.33193641901175</v>
      </c>
      <c r="DA13" s="643">
        <f t="shared" si="4"/>
        <v>530.68937417117309</v>
      </c>
      <c r="DB13" s="643">
        <f t="shared" si="5"/>
        <v>699.09434003351805</v>
      </c>
      <c r="DC13" s="643">
        <f t="shared" si="6"/>
        <v>794.43732735435344</v>
      </c>
      <c r="DD13" s="643">
        <f t="shared" si="7"/>
        <v>845.07253786474257</v>
      </c>
      <c r="DE13" s="643">
        <f t="shared" si="8"/>
        <v>1047.0607584401573</v>
      </c>
      <c r="DF13" s="643">
        <f t="shared" si="9"/>
        <v>1071.9434377162902</v>
      </c>
    </row>
    <row r="14" spans="1:16338" x14ac:dyDescent="0.2">
      <c r="A14" s="223">
        <v>10</v>
      </c>
      <c r="B14" s="224" t="s">
        <v>152</v>
      </c>
      <c r="C14" s="643">
        <v>54.229690347936497</v>
      </c>
      <c r="D14" s="643">
        <v>67.421270013593187</v>
      </c>
      <c r="E14" s="643">
        <v>86.89363697069922</v>
      </c>
      <c r="F14" s="643">
        <v>100.10436654060051</v>
      </c>
      <c r="G14" s="643">
        <v>118.64544532401229</v>
      </c>
      <c r="H14" s="643">
        <v>123.05977618368523</v>
      </c>
      <c r="I14" s="643">
        <v>113.30118434800006</v>
      </c>
      <c r="J14" s="644">
        <v>133.57419235401275</v>
      </c>
      <c r="K14" s="643">
        <v>183.31426516934997</v>
      </c>
      <c r="L14" s="643">
        <v>5.3088747863100005</v>
      </c>
      <c r="M14" s="643">
        <v>6.1535002763281561</v>
      </c>
      <c r="N14" s="643">
        <v>13.091121229660001</v>
      </c>
      <c r="O14" s="643">
        <v>4.4953204471490311</v>
      </c>
      <c r="P14" s="643">
        <v>5.7058399161293245</v>
      </c>
      <c r="Q14" s="643">
        <v>6.684597825</v>
      </c>
      <c r="R14" s="643">
        <v>5.8229343849999999</v>
      </c>
      <c r="S14" s="644">
        <v>6.2547667123925264</v>
      </c>
      <c r="T14" s="643">
        <v>7.3304986420000002</v>
      </c>
      <c r="U14" s="643">
        <v>3.1785999999999997E-3</v>
      </c>
      <c r="V14" s="643">
        <v>0.21096499999999999</v>
      </c>
      <c r="W14" s="643">
        <v>1.9148826999999999</v>
      </c>
      <c r="X14" s="643">
        <v>0</v>
      </c>
      <c r="Y14" s="643">
        <v>0.03</v>
      </c>
      <c r="Z14" s="643">
        <v>5.31574E-2</v>
      </c>
      <c r="AA14" s="643">
        <v>6.0159903999999997</v>
      </c>
      <c r="AB14" s="644">
        <v>4.2426399999999996E-2</v>
      </c>
      <c r="AC14" s="643">
        <v>0.14375080000000001</v>
      </c>
      <c r="AD14" s="643">
        <v>0.28961999999999999</v>
      </c>
      <c r="AE14" s="643">
        <v>0.19715820000000001</v>
      </c>
      <c r="AF14" s="643">
        <v>0.73465940000000007</v>
      </c>
      <c r="AG14" s="643">
        <v>5.6918999999999997E-2</v>
      </c>
      <c r="AH14" s="643">
        <v>0.31346789999999997</v>
      </c>
      <c r="AI14" s="643">
        <v>0.27593070000000003</v>
      </c>
      <c r="AJ14" s="643">
        <v>0.21790569999999998</v>
      </c>
      <c r="AK14" s="644">
        <v>0.26631389999999999</v>
      </c>
      <c r="AL14" s="643">
        <v>0.43633640000000001</v>
      </c>
      <c r="AM14" s="643">
        <v>31.578206255527157</v>
      </c>
      <c r="AN14" s="643">
        <v>33.414877647125707</v>
      </c>
      <c r="AO14" s="643">
        <v>29.933591852154997</v>
      </c>
      <c r="AP14" s="643">
        <v>20.449561669039063</v>
      </c>
      <c r="AQ14" s="643">
        <v>31.017477769917811</v>
      </c>
      <c r="AR14" s="643">
        <v>37.1013829806</v>
      </c>
      <c r="AS14" s="643">
        <v>51.089811189000002</v>
      </c>
      <c r="AT14" s="644">
        <v>52.878751379500002</v>
      </c>
      <c r="AU14" s="643">
        <v>53.135991331549995</v>
      </c>
      <c r="AV14" s="643">
        <v>218.93157106494724</v>
      </c>
      <c r="AW14" s="643">
        <v>254.99010124213925</v>
      </c>
      <c r="AX14" s="643">
        <v>303.46296098467616</v>
      </c>
      <c r="AY14" s="643">
        <v>299.48060040815483</v>
      </c>
      <c r="AZ14" s="643">
        <v>393.34286239006354</v>
      </c>
      <c r="BA14" s="643">
        <v>409.7891371078336</v>
      </c>
      <c r="BB14" s="643">
        <v>406.62941780002802</v>
      </c>
      <c r="BC14" s="644">
        <v>425.27714964335979</v>
      </c>
      <c r="BD14" s="643">
        <v>443.19409811921128</v>
      </c>
      <c r="BE14" s="643">
        <v>207.47098763654944</v>
      </c>
      <c r="BF14" s="643">
        <v>240.11722062174843</v>
      </c>
      <c r="BG14" s="643">
        <v>349.59676975328739</v>
      </c>
      <c r="BH14" s="643">
        <v>343.03951896146225</v>
      </c>
      <c r="BI14" s="643">
        <v>505.72849750709798</v>
      </c>
      <c r="BJ14" s="643">
        <v>610.315552615</v>
      </c>
      <c r="BK14" s="643">
        <v>673.7297526301204</v>
      </c>
      <c r="BL14" s="644">
        <v>651.60961173077226</v>
      </c>
      <c r="BM14" s="643">
        <v>660.205885511215</v>
      </c>
      <c r="BN14" s="643">
        <v>3.9559629511288108</v>
      </c>
      <c r="BO14" s="643">
        <v>5.4755863663254409</v>
      </c>
      <c r="BP14" s="643">
        <v>11.402498410242224</v>
      </c>
      <c r="BQ14" s="643">
        <v>6.2617862481362998</v>
      </c>
      <c r="BR14" s="643">
        <v>8.4728112205933002</v>
      </c>
      <c r="BS14" s="643">
        <v>9.3476299589999865</v>
      </c>
      <c r="BT14" s="643">
        <v>10.121718063000001</v>
      </c>
      <c r="BU14" s="644">
        <v>11.370139322233511</v>
      </c>
      <c r="BV14" s="643">
        <v>11.879530384000022</v>
      </c>
      <c r="BW14" s="643">
        <v>32.248376710000002</v>
      </c>
      <c r="BX14" s="643">
        <v>11.834316016000001</v>
      </c>
      <c r="BY14" s="643">
        <v>24.671787877</v>
      </c>
      <c r="BZ14" s="643">
        <v>290.884652684</v>
      </c>
      <c r="CA14" s="643">
        <v>206.51509878900004</v>
      </c>
      <c r="CB14" s="643">
        <v>398.65921559800023</v>
      </c>
      <c r="CC14" s="643">
        <v>354.12209154199996</v>
      </c>
      <c r="CD14" s="644">
        <v>7.7888382090078645</v>
      </c>
      <c r="CE14" s="643">
        <v>7.5960891000000003E-2</v>
      </c>
      <c r="CF14" s="643">
        <v>-7.3000000000000001E-3</v>
      </c>
      <c r="CG14" s="643">
        <v>0.04</v>
      </c>
      <c r="CH14" s="643">
        <v>0.04</v>
      </c>
      <c r="CI14" s="643">
        <v>5.1249999999999997E-2</v>
      </c>
      <c r="CJ14" s="643">
        <v>7.9199999999999993E-2</v>
      </c>
      <c r="CK14" s="643">
        <v>0</v>
      </c>
      <c r="CL14" s="643">
        <v>0</v>
      </c>
      <c r="CM14" s="644">
        <v>0</v>
      </c>
      <c r="CN14" s="643">
        <v>0</v>
      </c>
      <c r="CO14" s="643">
        <v>34.635105375196879</v>
      </c>
      <c r="CP14" s="643">
        <v>58.125567918344487</v>
      </c>
      <c r="CQ14" s="643">
        <v>33.125155258549995</v>
      </c>
      <c r="CR14" s="643">
        <v>24.422356660044461</v>
      </c>
      <c r="CS14" s="643">
        <v>23.848282264797859</v>
      </c>
      <c r="CT14" s="643">
        <v>28.005009083000022</v>
      </c>
      <c r="CU14" s="643">
        <v>24.659387531000014</v>
      </c>
      <c r="CV14" s="643">
        <v>20.361817387092191</v>
      </c>
      <c r="CW14" s="643">
        <v>22.866560395500002</v>
      </c>
      <c r="CX14" s="643">
        <f t="shared" si="1"/>
        <v>588.6442737275961</v>
      </c>
      <c r="CY14" s="643">
        <f t="shared" si="2"/>
        <v>677.98056330160455</v>
      </c>
      <c r="CZ14" s="643">
        <f t="shared" si="3"/>
        <v>854.86706443626997</v>
      </c>
      <c r="DA14" s="643">
        <f t="shared" si="4"/>
        <v>1089.2463326185864</v>
      </c>
      <c r="DB14" s="643">
        <f t="shared" si="5"/>
        <v>1293.6989830816121</v>
      </c>
      <c r="DC14" s="643">
        <f t="shared" si="6"/>
        <v>1623.2913894521191</v>
      </c>
      <c r="DD14" s="643">
        <f t="shared" si="7"/>
        <v>1645.7101935881483</v>
      </c>
      <c r="DE14" s="643">
        <f t="shared" si="8"/>
        <v>1309.424007038371</v>
      </c>
      <c r="DF14" s="643">
        <f t="shared" si="9"/>
        <v>1382.5828776438264</v>
      </c>
    </row>
    <row r="15" spans="1:16338" x14ac:dyDescent="0.2">
      <c r="A15" s="223">
        <v>11</v>
      </c>
      <c r="B15" s="224" t="s">
        <v>153</v>
      </c>
      <c r="C15" s="643">
        <v>433.80521005960424</v>
      </c>
      <c r="D15" s="643">
        <v>487.32281953953958</v>
      </c>
      <c r="E15" s="643">
        <v>571.08236366840606</v>
      </c>
      <c r="F15" s="643">
        <v>643.2263393637819</v>
      </c>
      <c r="G15" s="643">
        <v>764.47835399433495</v>
      </c>
      <c r="H15" s="643">
        <v>838.28954683216693</v>
      </c>
      <c r="I15" s="643">
        <v>1084.9154748808596</v>
      </c>
      <c r="J15" s="644">
        <v>1431.9628203329894</v>
      </c>
      <c r="K15" s="643">
        <v>1533.1719037651128</v>
      </c>
      <c r="L15" s="643">
        <v>105.31058576786295</v>
      </c>
      <c r="M15" s="643">
        <v>119.85060522257793</v>
      </c>
      <c r="N15" s="643">
        <v>128.13444858941114</v>
      </c>
      <c r="O15" s="643">
        <v>144.47738894486562</v>
      </c>
      <c r="P15" s="643">
        <v>161.97667288343149</v>
      </c>
      <c r="Q15" s="643">
        <v>174.92195135985</v>
      </c>
      <c r="R15" s="643">
        <v>187.68988610700001</v>
      </c>
      <c r="S15" s="644">
        <v>167.06848747199626</v>
      </c>
      <c r="T15" s="643">
        <v>212.29906726309997</v>
      </c>
      <c r="U15" s="643">
        <v>13.4925405</v>
      </c>
      <c r="V15" s="643">
        <v>12.394094811</v>
      </c>
      <c r="W15" s="643">
        <v>16.406458182000002</v>
      </c>
      <c r="X15" s="643">
        <v>16.273535231</v>
      </c>
      <c r="Y15" s="643">
        <v>24.059198289153596</v>
      </c>
      <c r="Z15" s="643">
        <v>24.080713753000001</v>
      </c>
      <c r="AA15" s="643">
        <v>26.093360413999999</v>
      </c>
      <c r="AB15" s="644">
        <v>18.958858337999999</v>
      </c>
      <c r="AC15" s="643">
        <v>21.884752200000001</v>
      </c>
      <c r="AD15" s="643">
        <v>45.531685400000008</v>
      </c>
      <c r="AE15" s="643">
        <v>19.643732872769998</v>
      </c>
      <c r="AF15" s="643">
        <v>35.7318614</v>
      </c>
      <c r="AG15" s="643">
        <v>6.8579861220000007</v>
      </c>
      <c r="AH15" s="643">
        <v>38.750370343407866</v>
      </c>
      <c r="AI15" s="643">
        <v>72.446216794999998</v>
      </c>
      <c r="AJ15" s="643">
        <v>62.207952299999995</v>
      </c>
      <c r="AK15" s="644">
        <v>73.388278449999987</v>
      </c>
      <c r="AL15" s="643">
        <v>86.190267549999987</v>
      </c>
      <c r="AM15" s="643">
        <v>116.87372768868309</v>
      </c>
      <c r="AN15" s="643">
        <v>119.2319647196361</v>
      </c>
      <c r="AO15" s="643">
        <v>115.86098638497334</v>
      </c>
      <c r="AP15" s="643">
        <v>108.10942070218326</v>
      </c>
      <c r="AQ15" s="643">
        <v>142.50982170592727</v>
      </c>
      <c r="AR15" s="643">
        <v>160.27053670574998</v>
      </c>
      <c r="AS15" s="643">
        <v>157.368006444</v>
      </c>
      <c r="AT15" s="644">
        <v>170.85259562877505</v>
      </c>
      <c r="AU15" s="643">
        <v>188.47655076657881</v>
      </c>
      <c r="AV15" s="643">
        <v>1385.9636419308983</v>
      </c>
      <c r="AW15" s="643">
        <v>1504.6812442286582</v>
      </c>
      <c r="AX15" s="643">
        <v>1735.6253060292822</v>
      </c>
      <c r="AY15" s="643">
        <v>1808.6444751543772</v>
      </c>
      <c r="AZ15" s="643">
        <v>2049.3984799032355</v>
      </c>
      <c r="BA15" s="643">
        <v>2056.0932969705168</v>
      </c>
      <c r="BB15" s="643">
        <v>2048.0987888008422</v>
      </c>
      <c r="BC15" s="644">
        <v>2070.1723181930702</v>
      </c>
      <c r="BD15" s="643">
        <v>2127.9888273407441</v>
      </c>
      <c r="BE15" s="643">
        <v>1201.3164176961241</v>
      </c>
      <c r="BF15" s="643">
        <v>1438.5280254620866</v>
      </c>
      <c r="BG15" s="643">
        <v>1742.086810671422</v>
      </c>
      <c r="BH15" s="643">
        <v>1948.5229845142655</v>
      </c>
      <c r="BI15" s="643">
        <v>2594.6581763688273</v>
      </c>
      <c r="BJ15" s="643">
        <v>3110.4621559640018</v>
      </c>
      <c r="BK15" s="643">
        <v>3532.1422707784491</v>
      </c>
      <c r="BL15" s="644">
        <v>4005.386795790826</v>
      </c>
      <c r="BM15" s="643">
        <v>3954.1734205332737</v>
      </c>
      <c r="BN15" s="643">
        <v>130.39026092398447</v>
      </c>
      <c r="BO15" s="643">
        <v>148.82853594835507</v>
      </c>
      <c r="BP15" s="643">
        <v>168.71144290764644</v>
      </c>
      <c r="BQ15" s="643">
        <v>180.27660222484141</v>
      </c>
      <c r="BR15" s="643">
        <v>203.24725266897624</v>
      </c>
      <c r="BS15" s="643">
        <v>247.45537725399998</v>
      </c>
      <c r="BT15" s="643">
        <v>288.336163978</v>
      </c>
      <c r="BU15" s="644">
        <v>375.22871272369883</v>
      </c>
      <c r="BV15" s="643">
        <v>564.93706989359987</v>
      </c>
      <c r="BW15" s="643">
        <v>124.53051870000002</v>
      </c>
      <c r="BX15" s="643">
        <v>329.59127278599999</v>
      </c>
      <c r="BY15" s="643">
        <v>99.996879389000114</v>
      </c>
      <c r="BZ15" s="643">
        <v>1367.7379004838294</v>
      </c>
      <c r="CA15" s="643">
        <v>1650.5427229387999</v>
      </c>
      <c r="CB15" s="643">
        <v>1744.2075474250696</v>
      </c>
      <c r="CC15" s="643">
        <v>2173.0114771686249</v>
      </c>
      <c r="CD15" s="644">
        <v>1821.4891670609993</v>
      </c>
      <c r="CE15" s="643">
        <v>2233.3687602571827</v>
      </c>
      <c r="CF15" s="643">
        <v>63.24454380000001</v>
      </c>
      <c r="CG15" s="643">
        <v>63.760215800000005</v>
      </c>
      <c r="CH15" s="643">
        <v>69.35097429999999</v>
      </c>
      <c r="CI15" s="643">
        <v>59.670014800000011</v>
      </c>
      <c r="CJ15" s="643">
        <v>67.267116000000001</v>
      </c>
      <c r="CK15" s="643">
        <v>65.106089478999991</v>
      </c>
      <c r="CL15" s="643">
        <v>60.110081744000006</v>
      </c>
      <c r="CM15" s="644">
        <v>87.644118133999996</v>
      </c>
      <c r="CN15" s="643">
        <v>103.42834975799998</v>
      </c>
      <c r="CO15" s="643">
        <v>194.19670847835417</v>
      </c>
      <c r="CP15" s="643">
        <v>201.54935808625061</v>
      </c>
      <c r="CQ15" s="643">
        <v>217.5430722564461</v>
      </c>
      <c r="CR15" s="643">
        <v>200.34891786261412</v>
      </c>
      <c r="CS15" s="643">
        <v>198.66030352410337</v>
      </c>
      <c r="CT15" s="643">
        <v>383.88522008316795</v>
      </c>
      <c r="CU15" s="643">
        <v>318.42713768400017</v>
      </c>
      <c r="CV15" s="643">
        <v>323.04602264372932</v>
      </c>
      <c r="CW15" s="643">
        <v>369.85558479554521</v>
      </c>
      <c r="CX15" s="643">
        <f t="shared" si="1"/>
        <v>3814.655840945511</v>
      </c>
      <c r="CY15" s="643">
        <f t="shared" si="2"/>
        <v>4445.3818694768743</v>
      </c>
      <c r="CZ15" s="643">
        <f t="shared" si="3"/>
        <v>4900.5306037785886</v>
      </c>
      <c r="DA15" s="643">
        <f t="shared" si="4"/>
        <v>6484.1455654037591</v>
      </c>
      <c r="DB15" s="643">
        <f t="shared" si="5"/>
        <v>7895.5484686201971</v>
      </c>
      <c r="DC15" s="643">
        <f t="shared" si="6"/>
        <v>8877.2186526215246</v>
      </c>
      <c r="DD15" s="643">
        <f t="shared" si="7"/>
        <v>9938.4006002997758</v>
      </c>
      <c r="DE15" s="643">
        <f t="shared" si="8"/>
        <v>10545.198174768086</v>
      </c>
      <c r="DF15" s="643">
        <f t="shared" si="9"/>
        <v>11395.774554123138</v>
      </c>
    </row>
    <row r="16" spans="1:16338" x14ac:dyDescent="0.2">
      <c r="A16" s="223">
        <v>12</v>
      </c>
      <c r="B16" s="224" t="s">
        <v>154</v>
      </c>
      <c r="C16" s="643">
        <v>167.01911454552624</v>
      </c>
      <c r="D16" s="643">
        <v>179.24728269986619</v>
      </c>
      <c r="E16" s="643">
        <v>159.94558961500431</v>
      </c>
      <c r="F16" s="643">
        <v>157.16095279075077</v>
      </c>
      <c r="G16" s="643">
        <v>189.84870118850739</v>
      </c>
      <c r="H16" s="643">
        <v>232.22728824462683</v>
      </c>
      <c r="I16" s="643">
        <v>284.40876157960008</v>
      </c>
      <c r="J16" s="644">
        <v>336.40769977955165</v>
      </c>
      <c r="K16" s="643">
        <v>323.0469027040499</v>
      </c>
      <c r="L16" s="643">
        <v>15.331899197062612</v>
      </c>
      <c r="M16" s="643">
        <v>15.868596183504238</v>
      </c>
      <c r="N16" s="643">
        <v>17.226060870607043</v>
      </c>
      <c r="O16" s="643">
        <v>12.657931683497688</v>
      </c>
      <c r="P16" s="643">
        <v>14.831374712666026</v>
      </c>
      <c r="Q16" s="643">
        <v>16.710534044000003</v>
      </c>
      <c r="R16" s="643">
        <v>19.130180406999997</v>
      </c>
      <c r="S16" s="644">
        <v>17.134713078556366</v>
      </c>
      <c r="T16" s="643">
        <v>21.635953790000002</v>
      </c>
      <c r="U16" s="643">
        <v>19.894274144000001</v>
      </c>
      <c r="V16" s="643">
        <v>21.150513532000002</v>
      </c>
      <c r="W16" s="643">
        <v>6.7907743439999999</v>
      </c>
      <c r="X16" s="643">
        <v>5.3832634000000006</v>
      </c>
      <c r="Y16" s="643">
        <v>6.7685372584208814</v>
      </c>
      <c r="Z16" s="643">
        <v>9.1370190759999996</v>
      </c>
      <c r="AA16" s="643">
        <v>13.088501562000001</v>
      </c>
      <c r="AB16" s="644">
        <v>16.898584820499998</v>
      </c>
      <c r="AC16" s="643">
        <v>16.257085660999998</v>
      </c>
      <c r="AD16" s="643">
        <v>0.71651900000000013</v>
      </c>
      <c r="AE16" s="643">
        <v>1.6935661500000001</v>
      </c>
      <c r="AF16" s="643">
        <v>0.97566374600000005</v>
      </c>
      <c r="AG16" s="643">
        <v>1.0645049259999999</v>
      </c>
      <c r="AH16" s="643">
        <v>1.3301902558083709</v>
      </c>
      <c r="AI16" s="643">
        <v>1.8852224999999998</v>
      </c>
      <c r="AJ16" s="643">
        <v>2.3682599999999998</v>
      </c>
      <c r="AK16" s="644">
        <v>3.0007842</v>
      </c>
      <c r="AL16" s="643">
        <v>3.6622608000000003</v>
      </c>
      <c r="AM16" s="643">
        <v>26.73510243454129</v>
      </c>
      <c r="AN16" s="643">
        <v>34.623484991299108</v>
      </c>
      <c r="AO16" s="643">
        <v>28.740671034316229</v>
      </c>
      <c r="AP16" s="643">
        <v>30.298374623795116</v>
      </c>
      <c r="AQ16" s="643">
        <v>29.37065619900573</v>
      </c>
      <c r="AR16" s="643">
        <v>27.953819371000005</v>
      </c>
      <c r="AS16" s="643">
        <v>30.932928992000001</v>
      </c>
      <c r="AT16" s="644">
        <v>29.459519575200002</v>
      </c>
      <c r="AU16" s="643">
        <v>37.521171296400006</v>
      </c>
      <c r="AV16" s="643">
        <v>961.7317018586956</v>
      </c>
      <c r="AW16" s="643">
        <v>980.53954712150949</v>
      </c>
      <c r="AX16" s="643">
        <v>997.40795960235835</v>
      </c>
      <c r="AY16" s="643">
        <v>1145.6383738528939</v>
      </c>
      <c r="AZ16" s="643">
        <v>1488.9344681145487</v>
      </c>
      <c r="BA16" s="643">
        <v>1476.1175955504548</v>
      </c>
      <c r="BB16" s="643">
        <v>1449.0367700184838</v>
      </c>
      <c r="BC16" s="644">
        <v>1409.8393615331649</v>
      </c>
      <c r="BD16" s="643">
        <v>1413.2511158988877</v>
      </c>
      <c r="BE16" s="643">
        <v>1059.1959765513272</v>
      </c>
      <c r="BF16" s="643">
        <v>1296.4608060345593</v>
      </c>
      <c r="BG16" s="643">
        <v>1326.5905000394798</v>
      </c>
      <c r="BH16" s="643">
        <v>1314.1856535594907</v>
      </c>
      <c r="BI16" s="643">
        <v>2193.2736834368102</v>
      </c>
      <c r="BJ16" s="643">
        <v>2453.3325607846623</v>
      </c>
      <c r="BK16" s="643">
        <v>2636.6678581115384</v>
      </c>
      <c r="BL16" s="644">
        <v>2690.6265519282756</v>
      </c>
      <c r="BM16" s="643">
        <v>2829.7115682026588</v>
      </c>
      <c r="BN16" s="643">
        <v>16.513686013546582</v>
      </c>
      <c r="BO16" s="643">
        <v>15.681414140923174</v>
      </c>
      <c r="BP16" s="643">
        <v>17.530574278520287</v>
      </c>
      <c r="BQ16" s="643">
        <v>13.061747541128554</v>
      </c>
      <c r="BR16" s="643">
        <v>20.501788251014808</v>
      </c>
      <c r="BS16" s="643">
        <v>35.007426093000007</v>
      </c>
      <c r="BT16" s="643">
        <v>23.956392754000003</v>
      </c>
      <c r="BU16" s="644">
        <v>31.625862764774347</v>
      </c>
      <c r="BV16" s="643">
        <v>29.596288335999997</v>
      </c>
      <c r="BW16" s="643">
        <v>15.127736300000002</v>
      </c>
      <c r="BX16" s="643">
        <v>15.144477799999999</v>
      </c>
      <c r="BY16" s="643">
        <v>19.546824997999998</v>
      </c>
      <c r="BZ16" s="643">
        <v>31.427463255000003</v>
      </c>
      <c r="CA16" s="643">
        <v>26.183335816</v>
      </c>
      <c r="CB16" s="643">
        <v>122.47803755899993</v>
      </c>
      <c r="CC16" s="643">
        <v>62.656548460374999</v>
      </c>
      <c r="CD16" s="644">
        <v>85.090218867124861</v>
      </c>
      <c r="CE16" s="643">
        <v>98.095908232999875</v>
      </c>
      <c r="CF16" s="643">
        <v>31.691390800000001</v>
      </c>
      <c r="CG16" s="643">
        <v>37.918660000000003</v>
      </c>
      <c r="CH16" s="643">
        <v>40.838169100000002</v>
      </c>
      <c r="CI16" s="643">
        <v>43.106700000000004</v>
      </c>
      <c r="CJ16" s="643">
        <v>47.471199999999996</v>
      </c>
      <c r="CK16" s="643">
        <v>38.133569100000003</v>
      </c>
      <c r="CL16" s="643">
        <v>33.835080400000002</v>
      </c>
      <c r="CM16" s="644">
        <v>31.010732400000002</v>
      </c>
      <c r="CN16" s="643">
        <v>32.203763600000002</v>
      </c>
      <c r="CO16" s="643">
        <v>111.21214427408887</v>
      </c>
      <c r="CP16" s="643">
        <v>125.11794820926563</v>
      </c>
      <c r="CQ16" s="643">
        <v>126.37377062305046</v>
      </c>
      <c r="CR16" s="643">
        <v>107.98139824460006</v>
      </c>
      <c r="CS16" s="643">
        <v>132.94588595920229</v>
      </c>
      <c r="CT16" s="643">
        <v>159.41398584775001</v>
      </c>
      <c r="CU16" s="643">
        <v>136.48685057499998</v>
      </c>
      <c r="CV16" s="643">
        <v>154.63651854197875</v>
      </c>
      <c r="CW16" s="643">
        <v>140.30725487545001</v>
      </c>
      <c r="CX16" s="643">
        <f t="shared" si="1"/>
        <v>2425.1695451187888</v>
      </c>
      <c r="CY16" s="643">
        <f t="shared" si="2"/>
        <v>2723.4462968629268</v>
      </c>
      <c r="CZ16" s="643">
        <f t="shared" si="3"/>
        <v>2741.9665582513362</v>
      </c>
      <c r="DA16" s="643">
        <f t="shared" si="4"/>
        <v>2861.9663638771563</v>
      </c>
      <c r="DB16" s="643">
        <f t="shared" si="5"/>
        <v>4151.4598211919847</v>
      </c>
      <c r="DC16" s="643">
        <f t="shared" si="6"/>
        <v>4572.3970581704943</v>
      </c>
      <c r="DD16" s="643">
        <f t="shared" si="7"/>
        <v>4692.5681328599976</v>
      </c>
      <c r="DE16" s="643">
        <f t="shared" si="8"/>
        <v>4805.7305474891264</v>
      </c>
      <c r="DF16" s="643">
        <f t="shared" si="9"/>
        <v>4945.2892733974459</v>
      </c>
    </row>
    <row r="17" spans="1:16338" x14ac:dyDescent="0.2">
      <c r="A17" s="223">
        <v>13</v>
      </c>
      <c r="B17" s="224" t="s">
        <v>155</v>
      </c>
      <c r="C17" s="643">
        <v>137.99829211982942</v>
      </c>
      <c r="D17" s="643">
        <v>170.23939904414863</v>
      </c>
      <c r="E17" s="643">
        <v>267.09190672051363</v>
      </c>
      <c r="F17" s="643">
        <v>190.94415408805958</v>
      </c>
      <c r="G17" s="643">
        <v>276.98724902200252</v>
      </c>
      <c r="H17" s="643">
        <v>302.3711077797679</v>
      </c>
      <c r="I17" s="643">
        <v>393.68510426759553</v>
      </c>
      <c r="J17" s="644">
        <v>532.76719469042416</v>
      </c>
      <c r="K17" s="643">
        <v>554.45558126283095</v>
      </c>
      <c r="L17" s="643">
        <v>55.06294916968448</v>
      </c>
      <c r="M17" s="643">
        <v>54.928139865802279</v>
      </c>
      <c r="N17" s="643">
        <v>70.373159271521359</v>
      </c>
      <c r="O17" s="643">
        <v>37.354867859772774</v>
      </c>
      <c r="P17" s="643">
        <v>48.405506958104496</v>
      </c>
      <c r="Q17" s="643">
        <v>54.248148350000008</v>
      </c>
      <c r="R17" s="643">
        <v>53.667602815999999</v>
      </c>
      <c r="S17" s="644">
        <v>73.084029398486948</v>
      </c>
      <c r="T17" s="643">
        <v>102.672829686</v>
      </c>
      <c r="U17" s="643">
        <v>0.54720979999999997</v>
      </c>
      <c r="V17" s="643">
        <v>0.44001960000000007</v>
      </c>
      <c r="W17" s="643">
        <v>61.941409214000004</v>
      </c>
      <c r="X17" s="643">
        <v>0.30729489999999998</v>
      </c>
      <c r="Y17" s="643">
        <v>0.37143709999999996</v>
      </c>
      <c r="Z17" s="643">
        <v>1.2819405999999998</v>
      </c>
      <c r="AA17" s="643">
        <v>5.1684606029999998</v>
      </c>
      <c r="AB17" s="644">
        <v>4.6538328199999999</v>
      </c>
      <c r="AC17" s="643">
        <v>4.7513323679999999</v>
      </c>
      <c r="AD17" s="643">
        <v>0.19785949999999999</v>
      </c>
      <c r="AE17" s="643">
        <v>0.16165523999999998</v>
      </c>
      <c r="AF17" s="643">
        <v>42.944656899999998</v>
      </c>
      <c r="AG17" s="643">
        <v>0.14935000000000001</v>
      </c>
      <c r="AH17" s="643">
        <v>0.28804999999999997</v>
      </c>
      <c r="AI17" s="643">
        <v>0.3077358</v>
      </c>
      <c r="AJ17" s="643">
        <v>0.35654910000000001</v>
      </c>
      <c r="AK17" s="644">
        <v>0.15942230000000002</v>
      </c>
      <c r="AL17" s="643">
        <v>24.663930100000002</v>
      </c>
      <c r="AM17" s="643">
        <v>49.209024666918367</v>
      </c>
      <c r="AN17" s="643">
        <v>43.898013111289167</v>
      </c>
      <c r="AO17" s="643">
        <v>71.285114684274504</v>
      </c>
      <c r="AP17" s="643">
        <v>33.697761266150671</v>
      </c>
      <c r="AQ17" s="643">
        <v>53.743758304471513</v>
      </c>
      <c r="AR17" s="643">
        <v>60.260495193000018</v>
      </c>
      <c r="AS17" s="643">
        <v>67.639151001999991</v>
      </c>
      <c r="AT17" s="644">
        <v>73.424268625349981</v>
      </c>
      <c r="AU17" s="643">
        <v>79.867936405400002</v>
      </c>
      <c r="AV17" s="643">
        <v>676.27765575026979</v>
      </c>
      <c r="AW17" s="643">
        <v>673.42860794462536</v>
      </c>
      <c r="AX17" s="643">
        <v>716.03297265317394</v>
      </c>
      <c r="AY17" s="643">
        <v>669.76395944024887</v>
      </c>
      <c r="AZ17" s="643">
        <v>863.98905454430383</v>
      </c>
      <c r="BA17" s="643">
        <v>866.05439205473579</v>
      </c>
      <c r="BB17" s="643">
        <v>858.88803775887357</v>
      </c>
      <c r="BC17" s="644">
        <v>887.40393922369663</v>
      </c>
      <c r="BD17" s="643">
        <v>928.64834202563509</v>
      </c>
      <c r="BE17" s="643">
        <v>692.43047691253935</v>
      </c>
      <c r="BF17" s="643">
        <v>794.61576665880921</v>
      </c>
      <c r="BG17" s="643">
        <v>894.64247702212947</v>
      </c>
      <c r="BH17" s="643">
        <v>935.28295404530843</v>
      </c>
      <c r="BI17" s="643">
        <v>1394.7806604744017</v>
      </c>
      <c r="BJ17" s="643">
        <v>1587.0635321747125</v>
      </c>
      <c r="BK17" s="643">
        <v>1713.887694350555</v>
      </c>
      <c r="BL17" s="644">
        <v>1698.5716094919655</v>
      </c>
      <c r="BM17" s="643">
        <v>1788.725099510875</v>
      </c>
      <c r="BN17" s="643">
        <v>12.899356683002864</v>
      </c>
      <c r="BO17" s="643">
        <v>15.062414103875026</v>
      </c>
      <c r="BP17" s="643">
        <v>31.339994298521436</v>
      </c>
      <c r="BQ17" s="643">
        <v>15.010605430588839</v>
      </c>
      <c r="BR17" s="643">
        <v>20.018630008331819</v>
      </c>
      <c r="BS17" s="643">
        <v>22.349741853999994</v>
      </c>
      <c r="BT17" s="643">
        <v>23.617371136999999</v>
      </c>
      <c r="BU17" s="644">
        <v>27.542079546441659</v>
      </c>
      <c r="BV17" s="643">
        <v>33.564371618000003</v>
      </c>
      <c r="BW17" s="643">
        <v>391.32290370699991</v>
      </c>
      <c r="BX17" s="643">
        <v>477.50314668995992</v>
      </c>
      <c r="BY17" s="643">
        <v>553.57509892999985</v>
      </c>
      <c r="BZ17" s="643">
        <v>3369.4712575378599</v>
      </c>
      <c r="CA17" s="643">
        <v>5318.1483772219981</v>
      </c>
      <c r="CB17" s="643">
        <v>5312.0043602037504</v>
      </c>
      <c r="CC17" s="643">
        <v>3226.4669423234741</v>
      </c>
      <c r="CD17" s="644">
        <v>5104.0260414240902</v>
      </c>
      <c r="CE17" s="643">
        <v>6834.1342620684873</v>
      </c>
      <c r="CF17" s="643">
        <v>18.843989700000002</v>
      </c>
      <c r="CG17" s="643">
        <v>25.471388000000001</v>
      </c>
      <c r="CH17" s="643">
        <v>20.941692999999997</v>
      </c>
      <c r="CI17" s="643">
        <v>17.493041999999999</v>
      </c>
      <c r="CJ17" s="643">
        <v>17.617537499999997</v>
      </c>
      <c r="CK17" s="643">
        <v>15.632487583999998</v>
      </c>
      <c r="CL17" s="643">
        <v>14.801275</v>
      </c>
      <c r="CM17" s="644">
        <v>16.073263699999998</v>
      </c>
      <c r="CN17" s="643">
        <v>12.878000000000002</v>
      </c>
      <c r="CO17" s="643">
        <v>94.658935031016242</v>
      </c>
      <c r="CP17" s="643">
        <v>124.96889583373957</v>
      </c>
      <c r="CQ17" s="643">
        <v>147.40867972877413</v>
      </c>
      <c r="CR17" s="643">
        <v>84.83910647246131</v>
      </c>
      <c r="CS17" s="643">
        <v>79.408530862820555</v>
      </c>
      <c r="CT17" s="643">
        <v>108.32708385312037</v>
      </c>
      <c r="CU17" s="643">
        <v>95.517880134000038</v>
      </c>
      <c r="CV17" s="643">
        <v>987.23182909281502</v>
      </c>
      <c r="CW17" s="643">
        <v>176.57150880109981</v>
      </c>
      <c r="CX17" s="643">
        <f t="shared" si="1"/>
        <v>2129.4486530402605</v>
      </c>
      <c r="CY17" s="643">
        <f t="shared" si="2"/>
        <v>2380.7174460922492</v>
      </c>
      <c r="CZ17" s="643">
        <f t="shared" si="3"/>
        <v>2877.5771624229087</v>
      </c>
      <c r="DA17" s="643">
        <f t="shared" si="4"/>
        <v>5354.3143530404495</v>
      </c>
      <c r="DB17" s="643">
        <f t="shared" si="5"/>
        <v>8073.7587919964344</v>
      </c>
      <c r="DC17" s="643">
        <f t="shared" si="6"/>
        <v>8329.9010254470868</v>
      </c>
      <c r="DD17" s="643">
        <f t="shared" si="7"/>
        <v>6453.6960684924979</v>
      </c>
      <c r="DE17" s="643">
        <f t="shared" si="8"/>
        <v>9404.9375103132697</v>
      </c>
      <c r="DF17" s="643">
        <f t="shared" si="9"/>
        <v>10540.933193846329</v>
      </c>
    </row>
    <row r="18" spans="1:16338" x14ac:dyDescent="0.2">
      <c r="A18" s="223">
        <v>14</v>
      </c>
      <c r="B18" s="224" t="s">
        <v>156</v>
      </c>
      <c r="C18" s="643">
        <v>2006.3625935353211</v>
      </c>
      <c r="D18" s="643">
        <v>2049.0514962628949</v>
      </c>
      <c r="E18" s="643">
        <v>2135.1964677631263</v>
      </c>
      <c r="F18" s="643">
        <v>3373.7218347420212</v>
      </c>
      <c r="G18" s="643">
        <v>2262.6639024299743</v>
      </c>
      <c r="H18" s="643">
        <v>2526.119478717108</v>
      </c>
      <c r="I18" s="643">
        <v>3742.0549105631221</v>
      </c>
      <c r="J18" s="644">
        <v>4667.1207458621302</v>
      </c>
      <c r="K18" s="643">
        <v>5044.5697291278066</v>
      </c>
      <c r="L18" s="643">
        <v>577.86849545070993</v>
      </c>
      <c r="M18" s="643">
        <v>572.8465361877719</v>
      </c>
      <c r="N18" s="643">
        <v>592.32797460081326</v>
      </c>
      <c r="O18" s="643">
        <v>790.17802443472215</v>
      </c>
      <c r="P18" s="643">
        <v>592.60461659919758</v>
      </c>
      <c r="Q18" s="643">
        <v>694.26324361359923</v>
      </c>
      <c r="R18" s="643">
        <v>819.65631548739941</v>
      </c>
      <c r="S18" s="644">
        <v>674.84387731880747</v>
      </c>
      <c r="T18" s="643">
        <v>898.74953503920415</v>
      </c>
      <c r="U18" s="643">
        <v>809.56314160934994</v>
      </c>
      <c r="V18" s="643">
        <v>699.81006678359006</v>
      </c>
      <c r="W18" s="643">
        <v>547.29713489671997</v>
      </c>
      <c r="X18" s="643">
        <v>667.37491013229999</v>
      </c>
      <c r="Y18" s="643">
        <v>419.37109211556947</v>
      </c>
      <c r="Z18" s="643">
        <v>497.31504529074999</v>
      </c>
      <c r="AA18" s="643">
        <v>498.65450850470006</v>
      </c>
      <c r="AB18" s="644">
        <v>676.42422215800002</v>
      </c>
      <c r="AC18" s="643">
        <v>623.01809590999994</v>
      </c>
      <c r="AD18" s="643">
        <v>215.55270350373996</v>
      </c>
      <c r="AE18" s="643">
        <v>235.94459484818998</v>
      </c>
      <c r="AF18" s="643">
        <v>183.85775088700001</v>
      </c>
      <c r="AG18" s="643">
        <v>276.94265139400005</v>
      </c>
      <c r="AH18" s="643">
        <v>211.1770322114246</v>
      </c>
      <c r="AI18" s="643">
        <v>265.73799992199997</v>
      </c>
      <c r="AJ18" s="643">
        <v>290.5946081379999</v>
      </c>
      <c r="AK18" s="644">
        <v>359.65521732799999</v>
      </c>
      <c r="AL18" s="643">
        <v>324.70409616799992</v>
      </c>
      <c r="AM18" s="643">
        <v>563.72010351898768</v>
      </c>
      <c r="AN18" s="643">
        <v>494.18919510218547</v>
      </c>
      <c r="AO18" s="643">
        <v>620.40241252275791</v>
      </c>
      <c r="AP18" s="643">
        <v>849.01156907406414</v>
      </c>
      <c r="AQ18" s="643">
        <v>490.46161845221758</v>
      </c>
      <c r="AR18" s="643">
        <v>578.74370146629985</v>
      </c>
      <c r="AS18" s="643">
        <v>644.19371466096663</v>
      </c>
      <c r="AT18" s="644">
        <v>627.90751379808614</v>
      </c>
      <c r="AU18" s="643">
        <v>674.95974076466416</v>
      </c>
      <c r="AV18" s="643">
        <v>2868.655962101725</v>
      </c>
      <c r="AW18" s="643">
        <v>2158.3506638956314</v>
      </c>
      <c r="AX18" s="643">
        <v>4148.0617330526975</v>
      </c>
      <c r="AY18" s="643">
        <v>5375.4638538420004</v>
      </c>
      <c r="AZ18" s="643">
        <v>3870.8757946240407</v>
      </c>
      <c r="BA18" s="643">
        <v>3713.3218106946688</v>
      </c>
      <c r="BB18" s="643">
        <v>3931.0711813750213</v>
      </c>
      <c r="BC18" s="644">
        <v>3530.4068888985912</v>
      </c>
      <c r="BD18" s="643">
        <v>3780.8602260026905</v>
      </c>
      <c r="BE18" s="643">
        <v>2240.1934905749754</v>
      </c>
      <c r="BF18" s="643">
        <v>3280.7704542551246</v>
      </c>
      <c r="BG18" s="643">
        <v>1804.0501499740089</v>
      </c>
      <c r="BH18" s="643">
        <v>6791.2647154999731</v>
      </c>
      <c r="BI18" s="643">
        <v>4181.5620825176084</v>
      </c>
      <c r="BJ18" s="643">
        <v>4814.5202506634105</v>
      </c>
      <c r="BK18" s="643">
        <v>6188.8896409154568</v>
      </c>
      <c r="BL18" s="644">
        <v>5395.4740803037294</v>
      </c>
      <c r="BM18" s="643">
        <v>5575.8391138862144</v>
      </c>
      <c r="BN18" s="643">
        <v>516.61770235715926</v>
      </c>
      <c r="BO18" s="643">
        <v>547.54796485287045</v>
      </c>
      <c r="BP18" s="643">
        <v>610.53335813790318</v>
      </c>
      <c r="BQ18" s="643">
        <v>946.61519140475025</v>
      </c>
      <c r="BR18" s="643">
        <v>794.27318155512523</v>
      </c>
      <c r="BS18" s="643">
        <v>967.20044723940055</v>
      </c>
      <c r="BT18" s="643">
        <v>1133.8888820633999</v>
      </c>
      <c r="BU18" s="644">
        <v>1264.6294053319077</v>
      </c>
      <c r="BV18" s="643">
        <v>1649.5436832616958</v>
      </c>
      <c r="BW18" s="643">
        <v>226.76557131305887</v>
      </c>
      <c r="BX18" s="643">
        <v>2305.57227716957</v>
      </c>
      <c r="BY18" s="643">
        <v>860.40285261755935</v>
      </c>
      <c r="BZ18" s="643">
        <v>4681.5412386525304</v>
      </c>
      <c r="CA18" s="643">
        <v>4453.39499789398</v>
      </c>
      <c r="CB18" s="643">
        <v>5414.1865478169902</v>
      </c>
      <c r="CC18" s="643">
        <v>5151.3560334634994</v>
      </c>
      <c r="CD18" s="644">
        <v>6631.8598332755992</v>
      </c>
      <c r="CE18" s="643">
        <v>5560.6765130159247</v>
      </c>
      <c r="CF18" s="643">
        <v>518.08107351900003</v>
      </c>
      <c r="CG18" s="643">
        <v>529.29806626899995</v>
      </c>
      <c r="CH18" s="643">
        <v>581.25331731599999</v>
      </c>
      <c r="CI18" s="643">
        <v>569.4630533920124</v>
      </c>
      <c r="CJ18" s="643">
        <v>570.47877159999996</v>
      </c>
      <c r="CK18" s="643">
        <v>543.74366276299986</v>
      </c>
      <c r="CL18" s="643">
        <v>465.73840107800004</v>
      </c>
      <c r="CM18" s="644">
        <v>473.47174824600006</v>
      </c>
      <c r="CN18" s="643">
        <v>481.19849284099996</v>
      </c>
      <c r="CO18" s="643">
        <v>930.27829543112239</v>
      </c>
      <c r="CP18" s="643">
        <v>-782.93107800702671</v>
      </c>
      <c r="CQ18" s="643">
        <v>960.7575465768864</v>
      </c>
      <c r="CR18" s="643">
        <v>2896.8011688530109</v>
      </c>
      <c r="CS18" s="643">
        <v>837.7264138174603</v>
      </c>
      <c r="CT18" s="643">
        <v>978.87947519439638</v>
      </c>
      <c r="CU18" s="643">
        <v>1147.548477249115</v>
      </c>
      <c r="CV18" s="643">
        <v>663.50436283215993</v>
      </c>
      <c r="CW18" s="643">
        <v>1583.1973241237588</v>
      </c>
      <c r="CX18" s="643">
        <f t="shared" si="1"/>
        <v>11473.659132915151</v>
      </c>
      <c r="CY18" s="643">
        <f t="shared" si="2"/>
        <v>12090.450237619802</v>
      </c>
      <c r="CZ18" s="643">
        <f t="shared" si="3"/>
        <v>13044.140698345473</v>
      </c>
      <c r="DA18" s="643">
        <f t="shared" si="4"/>
        <v>27218.378211421386</v>
      </c>
      <c r="DB18" s="643">
        <f t="shared" si="5"/>
        <v>18684.589503816598</v>
      </c>
      <c r="DC18" s="643">
        <f t="shared" si="6"/>
        <v>20994.031663381626</v>
      </c>
      <c r="DD18" s="643">
        <f t="shared" si="7"/>
        <v>24013.646673498683</v>
      </c>
      <c r="DE18" s="643">
        <f t="shared" si="8"/>
        <v>24965.297895353007</v>
      </c>
      <c r="DF18" s="643">
        <f t="shared" si="9"/>
        <v>26197.316550140953</v>
      </c>
    </row>
    <row r="19" spans="1:16338" x14ac:dyDescent="0.2">
      <c r="A19" s="223">
        <v>15</v>
      </c>
      <c r="B19" s="224" t="s">
        <v>157</v>
      </c>
      <c r="C19" s="643">
        <v>1.0937071821201625</v>
      </c>
      <c r="D19" s="643">
        <v>1.3762121018800002</v>
      </c>
      <c r="E19" s="643">
        <v>1.9356366614900002</v>
      </c>
      <c r="F19" s="643">
        <v>3.426572690570842</v>
      </c>
      <c r="G19" s="643">
        <v>2.6256259145849201</v>
      </c>
      <c r="H19" s="643">
        <v>3.4643621649999994</v>
      </c>
      <c r="I19" s="643">
        <v>4.1875737409999951</v>
      </c>
      <c r="J19" s="644">
        <v>4.0468403399999975</v>
      </c>
      <c r="K19" s="643">
        <v>3.1685517299999968</v>
      </c>
      <c r="L19" s="643">
        <v>7.2788000000000005E-2</v>
      </c>
      <c r="M19" s="643">
        <v>8.8329399999999988E-2</v>
      </c>
      <c r="N19" s="643">
        <v>9.8275842000000016E-2</v>
      </c>
      <c r="O19" s="643">
        <v>0.3490456999999999</v>
      </c>
      <c r="P19" s="643">
        <v>0.13577821384959804</v>
      </c>
      <c r="Q19" s="643">
        <v>0.13750860000000001</v>
      </c>
      <c r="R19" s="643">
        <v>0.15335950000000001</v>
      </c>
      <c r="S19" s="644">
        <v>0.107433353</v>
      </c>
      <c r="T19" s="643">
        <v>0.13164112500000003</v>
      </c>
      <c r="U19" s="643">
        <v>1.4734000000000001E-2</v>
      </c>
      <c r="V19" s="643">
        <v>1.7402000000000001E-2</v>
      </c>
      <c r="W19" s="643">
        <v>1.7801899999999999E-2</v>
      </c>
      <c r="X19" s="643">
        <v>0</v>
      </c>
      <c r="Y19" s="643">
        <v>0</v>
      </c>
      <c r="Z19" s="643">
        <v>0</v>
      </c>
      <c r="AA19" s="643">
        <v>0</v>
      </c>
      <c r="AB19" s="644">
        <v>0</v>
      </c>
      <c r="AC19" s="643">
        <v>0</v>
      </c>
      <c r="AD19" s="643">
        <v>0</v>
      </c>
      <c r="AE19" s="643">
        <v>0</v>
      </c>
      <c r="AF19" s="643">
        <v>0</v>
      </c>
      <c r="AG19" s="643">
        <v>0</v>
      </c>
      <c r="AH19" s="643">
        <v>0</v>
      </c>
      <c r="AI19" s="643">
        <v>0</v>
      </c>
      <c r="AJ19" s="643">
        <v>0</v>
      </c>
      <c r="AK19" s="644">
        <v>0</v>
      </c>
      <c r="AL19" s="643">
        <v>0</v>
      </c>
      <c r="AM19" s="643">
        <v>0.94855539940357392</v>
      </c>
      <c r="AN19" s="643">
        <v>0.97942470000000004</v>
      </c>
      <c r="AO19" s="643">
        <v>1.8782897000000003</v>
      </c>
      <c r="AP19" s="643">
        <v>0.2925917680063545</v>
      </c>
      <c r="AQ19" s="643">
        <v>1.5715162945743382</v>
      </c>
      <c r="AR19" s="643">
        <v>2.1474324999999999</v>
      </c>
      <c r="AS19" s="643">
        <v>2.1668859</v>
      </c>
      <c r="AT19" s="644">
        <v>5.3463985920000008</v>
      </c>
      <c r="AU19" s="643">
        <v>10.576685777999998</v>
      </c>
      <c r="AV19" s="643">
        <v>7.9167743779637263</v>
      </c>
      <c r="AW19" s="643">
        <v>6.7479978877518612</v>
      </c>
      <c r="AX19" s="643">
        <v>12.341760343992208</v>
      </c>
      <c r="AY19" s="643">
        <v>10.462291256145054</v>
      </c>
      <c r="AZ19" s="643">
        <v>10.975443915381483</v>
      </c>
      <c r="BA19" s="643">
        <v>12.370532989999999</v>
      </c>
      <c r="BB19" s="643">
        <v>17.440833858190626</v>
      </c>
      <c r="BC19" s="644">
        <v>18.746930382012735</v>
      </c>
      <c r="BD19" s="643">
        <v>19.844253347328078</v>
      </c>
      <c r="BE19" s="643">
        <v>7.6061659327959639</v>
      </c>
      <c r="BF19" s="643">
        <v>6.2013976879456116</v>
      </c>
      <c r="BG19" s="643">
        <v>16.754370835435587</v>
      </c>
      <c r="BH19" s="643">
        <v>8.873211468764314</v>
      </c>
      <c r="BI19" s="643">
        <v>12.400789401038303</v>
      </c>
      <c r="BJ19" s="643">
        <v>15.181009598666664</v>
      </c>
      <c r="BK19" s="643">
        <v>24.088518199839335</v>
      </c>
      <c r="BL19" s="644">
        <v>27.25966961264</v>
      </c>
      <c r="BM19" s="643">
        <v>24.454402880523336</v>
      </c>
      <c r="BN19" s="643">
        <v>0.40753739999999999</v>
      </c>
      <c r="BO19" s="643">
        <v>0.52909430000000002</v>
      </c>
      <c r="BP19" s="643">
        <v>0.70621723900000011</v>
      </c>
      <c r="BQ19" s="643">
        <v>0.49140730000000005</v>
      </c>
      <c r="BR19" s="643">
        <v>0.77540262255036596</v>
      </c>
      <c r="BS19" s="643">
        <v>0.89609328899999985</v>
      </c>
      <c r="BT19" s="643">
        <v>0.91466865500000016</v>
      </c>
      <c r="BU19" s="644">
        <v>1.052444704</v>
      </c>
      <c r="BV19" s="643">
        <v>1.1811781940000001</v>
      </c>
      <c r="BW19" s="643">
        <v>0.52757500000000013</v>
      </c>
      <c r="BX19" s="643">
        <v>0.52046440000000005</v>
      </c>
      <c r="BY19" s="643">
        <v>1.1409064690000001</v>
      </c>
      <c r="BZ19" s="643">
        <v>3.0321603630000005</v>
      </c>
      <c r="CA19" s="643">
        <v>0.6</v>
      </c>
      <c r="CB19" s="643">
        <v>2.3155789299999996</v>
      </c>
      <c r="CC19" s="643">
        <v>1.1085523000000002</v>
      </c>
      <c r="CD19" s="644">
        <v>-3.4643E-3</v>
      </c>
      <c r="CE19" s="643">
        <v>0</v>
      </c>
      <c r="CF19" s="643">
        <v>0</v>
      </c>
      <c r="CG19" s="643">
        <v>0</v>
      </c>
      <c r="CH19" s="643">
        <v>0</v>
      </c>
      <c r="CI19" s="643">
        <v>0</v>
      </c>
      <c r="CJ19" s="643">
        <v>0</v>
      </c>
      <c r="CK19" s="643">
        <v>0</v>
      </c>
      <c r="CL19" s="643">
        <v>0</v>
      </c>
      <c r="CM19" s="644">
        <v>0</v>
      </c>
      <c r="CN19" s="643">
        <v>0</v>
      </c>
      <c r="CO19" s="643">
        <v>0.90559308199999999</v>
      </c>
      <c r="CP19" s="643">
        <v>0.79083021899999995</v>
      </c>
      <c r="CQ19" s="643">
        <v>0.95100895000000008</v>
      </c>
      <c r="CR19" s="643">
        <v>0.73297022300000014</v>
      </c>
      <c r="CS19" s="643">
        <v>0.72140951667581288</v>
      </c>
      <c r="CT19" s="643">
        <v>1.179303266999999</v>
      </c>
      <c r="CU19" s="643">
        <v>2.4619634459999546</v>
      </c>
      <c r="CV19" s="643">
        <v>2.2519700070000424</v>
      </c>
      <c r="CW19" s="643">
        <v>1.151140391</v>
      </c>
      <c r="CX19" s="643">
        <f t="shared" si="1"/>
        <v>19.493430374283424</v>
      </c>
      <c r="CY19" s="643">
        <f t="shared" si="2"/>
        <v>17.251152696577474</v>
      </c>
      <c r="CZ19" s="643">
        <f t="shared" si="3"/>
        <v>35.824267940917792</v>
      </c>
      <c r="DA19" s="643">
        <f t="shared" si="4"/>
        <v>27.660250769486559</v>
      </c>
      <c r="DB19" s="643">
        <f t="shared" si="5"/>
        <v>29.805965878654824</v>
      </c>
      <c r="DC19" s="643">
        <f t="shared" si="6"/>
        <v>37.691821339666667</v>
      </c>
      <c r="DD19" s="643">
        <f t="shared" si="7"/>
        <v>52.522355600029911</v>
      </c>
      <c r="DE19" s="643">
        <f t="shared" si="8"/>
        <v>58.808222690652784</v>
      </c>
      <c r="DF19" s="643">
        <f t="shared" si="9"/>
        <v>60.50785344585141</v>
      </c>
    </row>
    <row r="20" spans="1:16338" s="225" customFormat="1" x14ac:dyDescent="0.2">
      <c r="A20" s="223">
        <v>16</v>
      </c>
      <c r="B20" s="224" t="s">
        <v>158</v>
      </c>
      <c r="C20" s="643">
        <v>8.4265710404862997</v>
      </c>
      <c r="D20" s="643">
        <v>10.49225118434158</v>
      </c>
      <c r="E20" s="643">
        <v>9.9276324394603073</v>
      </c>
      <c r="F20" s="643">
        <v>11.131997190834289</v>
      </c>
      <c r="G20" s="643">
        <v>13.384682943938175</v>
      </c>
      <c r="H20" s="643">
        <v>22.936540334999997</v>
      </c>
      <c r="I20" s="643">
        <v>20.055440518000008</v>
      </c>
      <c r="J20" s="644">
        <v>38.989060133999999</v>
      </c>
      <c r="K20" s="643">
        <v>48.193904843499993</v>
      </c>
      <c r="L20" s="643">
        <v>0.43236272299999995</v>
      </c>
      <c r="M20" s="643">
        <v>0.48853077900000003</v>
      </c>
      <c r="N20" s="643">
        <v>0.81081462715131958</v>
      </c>
      <c r="O20" s="643">
        <v>0.57161129700000002</v>
      </c>
      <c r="P20" s="643">
        <v>0.88866257107601465</v>
      </c>
      <c r="Q20" s="643">
        <v>1.2316592740000001</v>
      </c>
      <c r="R20" s="643">
        <v>1.1986167750000001</v>
      </c>
      <c r="S20" s="644">
        <v>1.0312687819999999</v>
      </c>
      <c r="T20" s="643">
        <v>1.334064543</v>
      </c>
      <c r="U20" s="643">
        <v>0</v>
      </c>
      <c r="V20" s="643">
        <v>0</v>
      </c>
      <c r="W20" s="643">
        <v>0</v>
      </c>
      <c r="X20" s="643">
        <v>2.0000000000000001E-4</v>
      </c>
      <c r="Y20" s="643">
        <v>0</v>
      </c>
      <c r="Z20" s="643">
        <v>0</v>
      </c>
      <c r="AA20" s="643">
        <v>0</v>
      </c>
      <c r="AB20" s="644">
        <v>0</v>
      </c>
      <c r="AC20" s="643">
        <v>0</v>
      </c>
      <c r="AD20" s="643">
        <v>0</v>
      </c>
      <c r="AE20" s="643">
        <v>0</v>
      </c>
      <c r="AF20" s="643">
        <v>0</v>
      </c>
      <c r="AG20" s="643">
        <v>0</v>
      </c>
      <c r="AH20" s="643">
        <v>0</v>
      </c>
      <c r="AI20" s="643">
        <v>0</v>
      </c>
      <c r="AJ20" s="643">
        <v>0</v>
      </c>
      <c r="AK20" s="644">
        <v>0</v>
      </c>
      <c r="AL20" s="643">
        <v>0</v>
      </c>
      <c r="AM20" s="643">
        <v>5.8615139989096825</v>
      </c>
      <c r="AN20" s="643">
        <v>7.1629853933185466</v>
      </c>
      <c r="AO20" s="643">
        <v>3.0960806124328006</v>
      </c>
      <c r="AP20" s="643">
        <v>9.8389952710116813</v>
      </c>
      <c r="AQ20" s="643">
        <v>5.467350236265113</v>
      </c>
      <c r="AR20" s="643">
        <v>7.6123489519999996</v>
      </c>
      <c r="AS20" s="643">
        <v>10.456360703</v>
      </c>
      <c r="AT20" s="644">
        <v>7.7348033179999991</v>
      </c>
      <c r="AU20" s="643">
        <v>3.3786205670000005</v>
      </c>
      <c r="AV20" s="643">
        <v>21.432650997553072</v>
      </c>
      <c r="AW20" s="643">
        <v>19.402327116291211</v>
      </c>
      <c r="AX20" s="643">
        <v>37.725830228805997</v>
      </c>
      <c r="AY20" s="643">
        <v>21.145569188069171</v>
      </c>
      <c r="AZ20" s="643">
        <v>27.804883501516716</v>
      </c>
      <c r="BA20" s="643">
        <v>44.228773999182664</v>
      </c>
      <c r="BB20" s="643">
        <v>35.707203312212286</v>
      </c>
      <c r="BC20" s="644">
        <v>33.189173101813324</v>
      </c>
      <c r="BD20" s="643">
        <v>27.28660749365833</v>
      </c>
      <c r="BE20" s="643">
        <v>25.084372520118801</v>
      </c>
      <c r="BF20" s="643">
        <v>24.694450310194306</v>
      </c>
      <c r="BG20" s="643">
        <v>76.169005020993978</v>
      </c>
      <c r="BH20" s="643">
        <v>28.12467320819631</v>
      </c>
      <c r="BI20" s="643">
        <v>39.363735555245405</v>
      </c>
      <c r="BJ20" s="643">
        <v>56.085414144999994</v>
      </c>
      <c r="BK20" s="643">
        <v>54.803203565666671</v>
      </c>
      <c r="BL20" s="644">
        <v>48.555113217683335</v>
      </c>
      <c r="BM20" s="643">
        <v>42.569167009346664</v>
      </c>
      <c r="BN20" s="643">
        <v>0.39390130000000007</v>
      </c>
      <c r="BO20" s="643">
        <v>0.35926039999999992</v>
      </c>
      <c r="BP20" s="643">
        <v>0.27464070000000002</v>
      </c>
      <c r="BQ20" s="643">
        <v>0.56438565200000002</v>
      </c>
      <c r="BR20" s="643">
        <v>0.39194580000000001</v>
      </c>
      <c r="BS20" s="643">
        <v>0.43206297699999996</v>
      </c>
      <c r="BT20" s="643">
        <v>0.48402470000000003</v>
      </c>
      <c r="BU20" s="644">
        <v>0.55968616699999996</v>
      </c>
      <c r="BV20" s="643">
        <v>0.65143202100000008</v>
      </c>
      <c r="BW20" s="643">
        <v>0.40915849999999998</v>
      </c>
      <c r="BX20" s="643">
        <v>0.32469970000000004</v>
      </c>
      <c r="BY20" s="643">
        <v>0.133058489</v>
      </c>
      <c r="BZ20" s="643">
        <v>0.18675944300000002</v>
      </c>
      <c r="CA20" s="643">
        <v>1.3928973380000003</v>
      </c>
      <c r="CB20" s="643">
        <v>-0.532353937</v>
      </c>
      <c r="CC20" s="643">
        <v>1.1257856999999989E-2</v>
      </c>
      <c r="CD20" s="644">
        <v>3.1602097000000003E-2</v>
      </c>
      <c r="CE20" s="643">
        <v>0</v>
      </c>
      <c r="CF20" s="643">
        <v>0</v>
      </c>
      <c r="CG20" s="643">
        <v>0</v>
      </c>
      <c r="CH20" s="643">
        <v>0</v>
      </c>
      <c r="CI20" s="643">
        <v>0</v>
      </c>
      <c r="CJ20" s="643">
        <v>0</v>
      </c>
      <c r="CK20" s="643">
        <v>0</v>
      </c>
      <c r="CL20" s="643">
        <v>0</v>
      </c>
      <c r="CM20" s="644">
        <v>0</v>
      </c>
      <c r="CN20" s="643">
        <v>0</v>
      </c>
      <c r="CO20" s="643">
        <v>1.8758847383983686</v>
      </c>
      <c r="CP20" s="643">
        <v>1.9779868873999999</v>
      </c>
      <c r="CQ20" s="643">
        <v>1.9063130725799999</v>
      </c>
      <c r="CR20" s="643">
        <v>1.7891264761400003</v>
      </c>
      <c r="CS20" s="643">
        <v>1.973789376295608</v>
      </c>
      <c r="CT20" s="643">
        <v>3.8623958949999997</v>
      </c>
      <c r="CU20" s="643">
        <v>2.4592303970000002</v>
      </c>
      <c r="CV20" s="643">
        <v>2.1007496749999999</v>
      </c>
      <c r="CW20" s="643">
        <v>2.1527731479999983</v>
      </c>
      <c r="CX20" s="643">
        <f t="shared" si="1"/>
        <v>63.91641581846622</v>
      </c>
      <c r="CY20" s="643">
        <f t="shared" si="2"/>
        <v>64.902491770545637</v>
      </c>
      <c r="CZ20" s="643">
        <f t="shared" si="3"/>
        <v>130.0433751904244</v>
      </c>
      <c r="DA20" s="643">
        <f t="shared" si="4"/>
        <v>73.353317726251447</v>
      </c>
      <c r="DB20" s="643">
        <f t="shared" si="5"/>
        <v>90.667947322337028</v>
      </c>
      <c r="DC20" s="643">
        <f t="shared" si="6"/>
        <v>135.85684164018261</v>
      </c>
      <c r="DD20" s="643">
        <f t="shared" si="7"/>
        <v>125.17533782787898</v>
      </c>
      <c r="DE20" s="643">
        <f t="shared" si="8"/>
        <v>132.19145649249663</v>
      </c>
      <c r="DF20" s="643">
        <f t="shared" si="9"/>
        <v>125.566569625505</v>
      </c>
      <c r="DG20" s="222"/>
      <c r="DH20" s="222"/>
      <c r="DI20" s="222"/>
      <c r="DJ20" s="222"/>
      <c r="DK20" s="222"/>
      <c r="DL20" s="222"/>
      <c r="DM20" s="222"/>
      <c r="DN20" s="222"/>
      <c r="DO20" s="222"/>
      <c r="DP20" s="222"/>
      <c r="DQ20" s="222"/>
      <c r="DR20" s="222"/>
      <c r="DS20" s="222"/>
      <c r="DT20" s="222"/>
      <c r="DU20" s="222"/>
      <c r="DV20" s="222"/>
      <c r="DW20" s="222"/>
      <c r="DX20" s="222"/>
      <c r="DY20" s="222"/>
      <c r="DZ20" s="222"/>
      <c r="EA20" s="222"/>
      <c r="EB20" s="222"/>
      <c r="EC20" s="222"/>
      <c r="ED20" s="222"/>
      <c r="EE20" s="222"/>
      <c r="EF20" s="222"/>
      <c r="EG20" s="222"/>
      <c r="EH20" s="222"/>
      <c r="EI20" s="222"/>
      <c r="EJ20" s="222"/>
      <c r="EK20" s="222"/>
      <c r="EL20" s="222"/>
      <c r="EM20" s="222"/>
      <c r="EN20" s="222"/>
      <c r="EO20" s="222"/>
      <c r="EP20" s="222"/>
      <c r="EQ20" s="222"/>
      <c r="ER20" s="222"/>
      <c r="ES20" s="222"/>
      <c r="ET20" s="222"/>
      <c r="EU20" s="222"/>
      <c r="EV20" s="222"/>
      <c r="EW20" s="222"/>
      <c r="EX20" s="222"/>
      <c r="EY20" s="222"/>
      <c r="EZ20" s="222"/>
      <c r="FA20" s="222"/>
      <c r="FB20" s="222"/>
      <c r="FC20" s="222"/>
      <c r="FD20" s="222"/>
      <c r="FE20" s="222"/>
      <c r="FF20" s="222"/>
      <c r="FG20" s="222"/>
      <c r="FH20" s="222"/>
      <c r="FI20" s="222"/>
      <c r="FJ20" s="222"/>
      <c r="FK20" s="222"/>
      <c r="FL20" s="222"/>
      <c r="FM20" s="222"/>
      <c r="FN20" s="222"/>
      <c r="FO20" s="222"/>
      <c r="FP20" s="222"/>
      <c r="FQ20" s="222"/>
      <c r="FR20" s="222"/>
      <c r="FS20" s="222"/>
      <c r="FT20" s="222"/>
      <c r="FU20" s="222"/>
      <c r="FV20" s="222"/>
      <c r="FW20" s="222"/>
      <c r="FX20" s="222"/>
      <c r="FY20" s="222"/>
      <c r="FZ20" s="222"/>
      <c r="GA20" s="222"/>
      <c r="GB20" s="222"/>
      <c r="GC20" s="222"/>
      <c r="GD20" s="222"/>
      <c r="GE20" s="222"/>
      <c r="GF20" s="222"/>
      <c r="GG20" s="222"/>
      <c r="GH20" s="222"/>
      <c r="GI20" s="222"/>
      <c r="GJ20" s="222"/>
      <c r="GK20" s="222"/>
      <c r="GL20" s="222"/>
      <c r="GM20" s="222"/>
      <c r="GN20" s="222"/>
      <c r="GO20" s="222"/>
      <c r="GP20" s="222"/>
      <c r="GQ20" s="222"/>
      <c r="GR20" s="222"/>
      <c r="GS20" s="222"/>
      <c r="GT20" s="222"/>
      <c r="GU20" s="222"/>
      <c r="GV20" s="222"/>
      <c r="GW20" s="222"/>
      <c r="GX20" s="222"/>
      <c r="GY20" s="222"/>
      <c r="GZ20" s="222"/>
      <c r="HA20" s="222"/>
      <c r="HB20" s="222"/>
      <c r="HC20" s="222"/>
      <c r="HD20" s="222"/>
      <c r="HE20" s="222"/>
      <c r="HF20" s="222"/>
      <c r="HG20" s="222"/>
      <c r="HH20" s="222"/>
      <c r="HI20" s="222"/>
      <c r="HJ20" s="222"/>
      <c r="HK20" s="222"/>
      <c r="HL20" s="222"/>
      <c r="HM20" s="222"/>
      <c r="HN20" s="222"/>
      <c r="HO20" s="222"/>
      <c r="HP20" s="222"/>
      <c r="HQ20" s="222"/>
      <c r="HR20" s="222"/>
      <c r="HS20" s="222"/>
      <c r="HT20" s="222"/>
      <c r="HU20" s="222"/>
      <c r="HV20" s="222"/>
      <c r="HW20" s="222"/>
      <c r="HX20" s="222"/>
      <c r="HY20" s="222"/>
      <c r="HZ20" s="222"/>
      <c r="IA20" s="222"/>
      <c r="IB20" s="222"/>
      <c r="IC20" s="222"/>
      <c r="ID20" s="222"/>
      <c r="IE20" s="222"/>
      <c r="IF20" s="222"/>
      <c r="IG20" s="222"/>
      <c r="IH20" s="222"/>
      <c r="II20" s="222"/>
      <c r="IJ20" s="222"/>
      <c r="IK20" s="222"/>
      <c r="IL20" s="222"/>
      <c r="IM20" s="222"/>
      <c r="IN20" s="222"/>
      <c r="IO20" s="222"/>
      <c r="IP20" s="222"/>
      <c r="IQ20" s="222"/>
      <c r="IR20" s="222"/>
      <c r="IS20" s="222"/>
      <c r="IT20" s="222"/>
      <c r="IU20" s="222"/>
      <c r="IV20" s="222"/>
      <c r="IW20" s="222"/>
      <c r="IX20" s="222"/>
      <c r="IY20" s="222"/>
      <c r="IZ20" s="222"/>
      <c r="JA20" s="222"/>
      <c r="JB20" s="222"/>
      <c r="JC20" s="222"/>
      <c r="JD20" s="222"/>
      <c r="JE20" s="222"/>
      <c r="JF20" s="222"/>
      <c r="JG20" s="222"/>
      <c r="JH20" s="222"/>
      <c r="JI20" s="222"/>
      <c r="JJ20" s="222"/>
      <c r="JK20" s="222"/>
      <c r="JL20" s="222"/>
      <c r="JM20" s="222"/>
      <c r="JN20" s="222"/>
      <c r="JO20" s="222"/>
      <c r="JP20" s="222"/>
      <c r="JQ20" s="222"/>
      <c r="JR20" s="222"/>
      <c r="JS20" s="222"/>
      <c r="JT20" s="222"/>
      <c r="JU20" s="222"/>
      <c r="JV20" s="222"/>
      <c r="JW20" s="222"/>
      <c r="JX20" s="222"/>
      <c r="JY20" s="222"/>
      <c r="JZ20" s="222"/>
      <c r="KA20" s="222"/>
      <c r="KB20" s="222"/>
      <c r="KC20" s="222"/>
      <c r="KD20" s="222"/>
      <c r="KE20" s="222"/>
      <c r="KF20" s="222"/>
      <c r="KG20" s="222"/>
      <c r="KH20" s="222"/>
      <c r="KI20" s="222"/>
      <c r="KJ20" s="222"/>
      <c r="KK20" s="222"/>
      <c r="KL20" s="222"/>
      <c r="KM20" s="222"/>
      <c r="KN20" s="222"/>
      <c r="KO20" s="222"/>
      <c r="KP20" s="222"/>
      <c r="KQ20" s="222"/>
      <c r="KR20" s="222"/>
      <c r="KS20" s="222"/>
      <c r="KT20" s="222"/>
      <c r="KU20" s="222"/>
      <c r="KV20" s="222"/>
      <c r="KW20" s="222"/>
      <c r="KX20" s="222"/>
      <c r="KY20" s="222"/>
      <c r="KZ20" s="222"/>
      <c r="LA20" s="222"/>
      <c r="LB20" s="222"/>
      <c r="LC20" s="222"/>
      <c r="LD20" s="222"/>
      <c r="LE20" s="222"/>
      <c r="LF20" s="222"/>
      <c r="LG20" s="222"/>
      <c r="LH20" s="222"/>
      <c r="LI20" s="222"/>
      <c r="LJ20" s="222"/>
      <c r="LK20" s="222"/>
      <c r="LL20" s="222"/>
      <c r="LM20" s="222"/>
      <c r="LN20" s="222"/>
      <c r="LO20" s="222"/>
      <c r="LP20" s="222"/>
      <c r="LQ20" s="222"/>
      <c r="LR20" s="222"/>
      <c r="LS20" s="222"/>
      <c r="LT20" s="222"/>
      <c r="LU20" s="222"/>
      <c r="LV20" s="222"/>
      <c r="LW20" s="222"/>
      <c r="LX20" s="222"/>
      <c r="LY20" s="222"/>
      <c r="LZ20" s="222"/>
      <c r="MA20" s="222"/>
      <c r="MB20" s="222"/>
      <c r="MC20" s="222"/>
      <c r="MD20" s="222"/>
      <c r="ME20" s="222"/>
      <c r="MF20" s="222"/>
      <c r="MG20" s="222"/>
      <c r="MH20" s="222"/>
      <c r="MI20" s="222"/>
      <c r="MJ20" s="222"/>
      <c r="MK20" s="222"/>
      <c r="ML20" s="222"/>
      <c r="MM20" s="222"/>
      <c r="MN20" s="222"/>
      <c r="MO20" s="222"/>
      <c r="MP20" s="222"/>
      <c r="MQ20" s="222"/>
      <c r="MR20" s="222"/>
      <c r="MS20" s="222"/>
      <c r="MT20" s="222"/>
      <c r="MU20" s="222"/>
      <c r="MV20" s="222"/>
      <c r="MW20" s="222"/>
      <c r="MX20" s="222"/>
      <c r="MY20" s="222"/>
      <c r="MZ20" s="222"/>
      <c r="NA20" s="222"/>
      <c r="NB20" s="222"/>
      <c r="NC20" s="222"/>
      <c r="ND20" s="222"/>
      <c r="NE20" s="222"/>
      <c r="NF20" s="222"/>
      <c r="NG20" s="222"/>
      <c r="NH20" s="222"/>
      <c r="NI20" s="222"/>
      <c r="NJ20" s="222"/>
      <c r="NK20" s="222"/>
      <c r="NL20" s="222"/>
      <c r="NM20" s="222"/>
      <c r="NN20" s="222"/>
      <c r="NO20" s="222"/>
      <c r="NP20" s="222"/>
      <c r="NQ20" s="222"/>
      <c r="NR20" s="222"/>
      <c r="NS20" s="222"/>
      <c r="NT20" s="222"/>
      <c r="NU20" s="222"/>
      <c r="NV20" s="222"/>
      <c r="NW20" s="222"/>
      <c r="NX20" s="222"/>
      <c r="NY20" s="222"/>
      <c r="NZ20" s="222"/>
      <c r="OA20" s="222"/>
      <c r="OB20" s="222"/>
      <c r="OC20" s="222"/>
      <c r="OD20" s="222"/>
      <c r="OE20" s="222"/>
      <c r="OF20" s="222"/>
      <c r="OG20" s="222"/>
      <c r="OH20" s="222"/>
      <c r="OI20" s="222"/>
      <c r="OJ20" s="222"/>
      <c r="OK20" s="222"/>
      <c r="OL20" s="222"/>
      <c r="OM20" s="222"/>
      <c r="ON20" s="222"/>
      <c r="OO20" s="222"/>
      <c r="OP20" s="222"/>
      <c r="OQ20" s="222"/>
      <c r="OR20" s="222"/>
      <c r="OS20" s="222"/>
      <c r="OT20" s="222"/>
      <c r="OU20" s="222"/>
      <c r="OV20" s="222"/>
      <c r="OW20" s="222"/>
      <c r="OX20" s="222"/>
      <c r="OY20" s="222"/>
      <c r="OZ20" s="222"/>
      <c r="PA20" s="222"/>
      <c r="PB20" s="222"/>
      <c r="PC20" s="222"/>
      <c r="PD20" s="222"/>
      <c r="PE20" s="222"/>
      <c r="PF20" s="222"/>
      <c r="PG20" s="222"/>
      <c r="PH20" s="222"/>
      <c r="PI20" s="222"/>
      <c r="PJ20" s="222"/>
      <c r="PK20" s="222"/>
      <c r="PL20" s="222"/>
      <c r="PM20" s="222"/>
      <c r="PN20" s="222"/>
      <c r="PO20" s="222"/>
      <c r="PP20" s="222"/>
      <c r="PQ20" s="222"/>
      <c r="PR20" s="222"/>
      <c r="PS20" s="222"/>
      <c r="PT20" s="222"/>
      <c r="PU20" s="222"/>
      <c r="PV20" s="222"/>
      <c r="PW20" s="222"/>
      <c r="PX20" s="222"/>
      <c r="PY20" s="222"/>
      <c r="PZ20" s="222"/>
      <c r="QA20" s="222"/>
      <c r="QB20" s="222"/>
      <c r="QC20" s="222"/>
      <c r="QD20" s="222"/>
      <c r="QE20" s="222"/>
      <c r="QF20" s="222"/>
      <c r="QG20" s="222"/>
      <c r="QH20" s="222"/>
      <c r="QI20" s="222"/>
      <c r="QJ20" s="222"/>
      <c r="QK20" s="222"/>
      <c r="QL20" s="222"/>
      <c r="QM20" s="222"/>
      <c r="QN20" s="222"/>
      <c r="QO20" s="222"/>
      <c r="QP20" s="222"/>
      <c r="QQ20" s="222"/>
      <c r="QR20" s="222"/>
      <c r="QS20" s="222"/>
      <c r="QT20" s="222"/>
      <c r="QU20" s="222"/>
      <c r="QV20" s="222"/>
      <c r="QW20" s="222"/>
      <c r="QX20" s="222"/>
      <c r="QY20" s="222"/>
      <c r="QZ20" s="222"/>
      <c r="RA20" s="222"/>
      <c r="RB20" s="222"/>
      <c r="RC20" s="222"/>
      <c r="RD20" s="222"/>
      <c r="RE20" s="222"/>
      <c r="RF20" s="222"/>
      <c r="RG20" s="222"/>
      <c r="RH20" s="222"/>
      <c r="RI20" s="222"/>
      <c r="RJ20" s="222"/>
      <c r="RK20" s="222"/>
      <c r="RL20" s="222"/>
      <c r="RM20" s="222"/>
      <c r="RN20" s="222"/>
      <c r="RO20" s="222"/>
      <c r="RP20" s="222"/>
      <c r="RQ20" s="222"/>
      <c r="RR20" s="222"/>
      <c r="RS20" s="222"/>
      <c r="RT20" s="222"/>
      <c r="RU20" s="222"/>
      <c r="RV20" s="222"/>
      <c r="RW20" s="222"/>
      <c r="RX20" s="222"/>
      <c r="RY20" s="222"/>
      <c r="RZ20" s="222"/>
      <c r="SA20" s="222"/>
      <c r="SB20" s="222"/>
      <c r="SC20" s="222"/>
      <c r="SD20" s="222"/>
      <c r="SE20" s="222"/>
      <c r="SF20" s="222"/>
      <c r="SG20" s="222"/>
      <c r="SH20" s="222"/>
      <c r="SI20" s="222"/>
      <c r="SJ20" s="222"/>
      <c r="SK20" s="222"/>
      <c r="SL20" s="222"/>
      <c r="SM20" s="222"/>
      <c r="SN20" s="222"/>
      <c r="SO20" s="222"/>
      <c r="SP20" s="222"/>
      <c r="SQ20" s="222"/>
      <c r="SR20" s="222"/>
      <c r="SS20" s="222"/>
      <c r="ST20" s="222"/>
      <c r="SU20" s="222"/>
      <c r="SV20" s="222"/>
      <c r="SW20" s="222"/>
      <c r="SX20" s="222"/>
      <c r="SY20" s="222"/>
      <c r="SZ20" s="222"/>
      <c r="TA20" s="222"/>
      <c r="TB20" s="222"/>
      <c r="TC20" s="222"/>
      <c r="TD20" s="222"/>
      <c r="TE20" s="222"/>
      <c r="TF20" s="222"/>
      <c r="TG20" s="222"/>
      <c r="TH20" s="222"/>
      <c r="TI20" s="222"/>
      <c r="TJ20" s="222"/>
      <c r="TK20" s="222"/>
      <c r="TL20" s="222"/>
      <c r="TM20" s="222"/>
      <c r="TN20" s="222"/>
      <c r="TO20" s="222"/>
      <c r="TP20" s="222"/>
      <c r="TQ20" s="222"/>
      <c r="TR20" s="222"/>
      <c r="TS20" s="222"/>
      <c r="TT20" s="222"/>
      <c r="TU20" s="222"/>
      <c r="TV20" s="222"/>
      <c r="TW20" s="222"/>
      <c r="TX20" s="222"/>
      <c r="TY20" s="222"/>
      <c r="TZ20" s="222"/>
      <c r="UA20" s="222"/>
      <c r="UB20" s="222"/>
      <c r="UC20" s="222"/>
      <c r="UD20" s="222"/>
      <c r="UE20" s="222"/>
      <c r="UF20" s="222"/>
      <c r="UG20" s="222"/>
      <c r="UH20" s="222"/>
      <c r="UI20" s="222"/>
      <c r="UJ20" s="222"/>
      <c r="UK20" s="222"/>
      <c r="UL20" s="222"/>
      <c r="UM20" s="222"/>
      <c r="UN20" s="222"/>
      <c r="UO20" s="222"/>
      <c r="UP20" s="222"/>
      <c r="UQ20" s="222"/>
      <c r="UR20" s="222"/>
      <c r="US20" s="222"/>
      <c r="UT20" s="222"/>
      <c r="UU20" s="222"/>
      <c r="UV20" s="222"/>
      <c r="UW20" s="222"/>
      <c r="UX20" s="222"/>
      <c r="UY20" s="222"/>
      <c r="UZ20" s="222"/>
      <c r="VA20" s="222"/>
      <c r="VB20" s="222"/>
      <c r="VC20" s="222"/>
      <c r="VD20" s="222"/>
      <c r="VE20" s="222"/>
      <c r="VF20" s="222"/>
      <c r="VG20" s="222"/>
      <c r="VH20" s="222"/>
      <c r="VI20" s="222"/>
      <c r="VJ20" s="222"/>
      <c r="VK20" s="222"/>
      <c r="VL20" s="222"/>
      <c r="VM20" s="222"/>
      <c r="VN20" s="222"/>
      <c r="VO20" s="222"/>
      <c r="VP20" s="222"/>
      <c r="VQ20" s="222"/>
      <c r="VR20" s="222"/>
      <c r="VS20" s="222"/>
      <c r="VT20" s="222"/>
      <c r="VU20" s="222"/>
      <c r="VV20" s="222"/>
      <c r="VW20" s="222"/>
      <c r="VX20" s="222"/>
      <c r="VY20" s="222"/>
      <c r="VZ20" s="222"/>
      <c r="WA20" s="222"/>
      <c r="WB20" s="222"/>
      <c r="WC20" s="222"/>
      <c r="WD20" s="222"/>
      <c r="WE20" s="222"/>
      <c r="WF20" s="222"/>
      <c r="WG20" s="222"/>
      <c r="WH20" s="222"/>
      <c r="WI20" s="222"/>
      <c r="WJ20" s="222"/>
      <c r="WK20" s="222"/>
      <c r="WL20" s="222"/>
      <c r="WM20" s="222"/>
      <c r="WN20" s="222"/>
      <c r="WO20" s="222"/>
      <c r="WP20" s="222"/>
      <c r="WQ20" s="222"/>
      <c r="WR20" s="222"/>
      <c r="WS20" s="222"/>
      <c r="WT20" s="222"/>
      <c r="WU20" s="222"/>
      <c r="WV20" s="222"/>
      <c r="WW20" s="222"/>
      <c r="WX20" s="222"/>
      <c r="WY20" s="222"/>
      <c r="WZ20" s="222"/>
      <c r="XA20" s="222"/>
      <c r="XB20" s="222"/>
      <c r="XC20" s="222"/>
      <c r="XD20" s="222"/>
      <c r="XE20" s="222"/>
      <c r="XF20" s="222"/>
      <c r="XG20" s="222"/>
      <c r="XH20" s="222"/>
      <c r="XI20" s="222"/>
      <c r="XJ20" s="222"/>
      <c r="XK20" s="222"/>
      <c r="XL20" s="222"/>
      <c r="XM20" s="222"/>
      <c r="XN20" s="222"/>
      <c r="XO20" s="222"/>
      <c r="XP20" s="222"/>
      <c r="XQ20" s="222"/>
      <c r="XR20" s="222"/>
      <c r="XS20" s="222"/>
      <c r="XT20" s="222"/>
      <c r="XU20" s="222"/>
      <c r="XV20" s="222"/>
      <c r="XW20" s="222"/>
      <c r="XX20" s="222"/>
      <c r="XY20" s="222"/>
      <c r="XZ20" s="222"/>
      <c r="YA20" s="222"/>
      <c r="YB20" s="222"/>
      <c r="YC20" s="222"/>
      <c r="YD20" s="222"/>
      <c r="YE20" s="222"/>
      <c r="YF20" s="222"/>
      <c r="YG20" s="222"/>
      <c r="YH20" s="222"/>
      <c r="YI20" s="222"/>
      <c r="YJ20" s="222"/>
      <c r="YK20" s="222"/>
      <c r="YL20" s="222"/>
      <c r="YM20" s="222"/>
      <c r="YN20" s="222"/>
      <c r="YO20" s="222"/>
      <c r="YP20" s="222"/>
      <c r="YQ20" s="222"/>
      <c r="YR20" s="222"/>
      <c r="YS20" s="222"/>
      <c r="YT20" s="222"/>
      <c r="YU20" s="222"/>
      <c r="YV20" s="222"/>
      <c r="YW20" s="222"/>
      <c r="YX20" s="222"/>
      <c r="YY20" s="222"/>
      <c r="YZ20" s="222"/>
      <c r="ZA20" s="222"/>
      <c r="ZB20" s="222"/>
      <c r="ZC20" s="222"/>
      <c r="ZD20" s="222"/>
      <c r="ZE20" s="222"/>
      <c r="ZF20" s="222"/>
      <c r="ZG20" s="222"/>
      <c r="ZH20" s="222"/>
      <c r="ZI20" s="222"/>
      <c r="ZJ20" s="222"/>
      <c r="ZK20" s="222"/>
      <c r="ZL20" s="222"/>
      <c r="ZM20" s="222"/>
      <c r="ZN20" s="222"/>
      <c r="ZO20" s="222"/>
      <c r="ZP20" s="222"/>
      <c r="ZQ20" s="222"/>
      <c r="ZR20" s="222"/>
      <c r="ZS20" s="222"/>
      <c r="ZT20" s="222"/>
      <c r="ZU20" s="222"/>
      <c r="ZV20" s="222"/>
      <c r="ZW20" s="222"/>
      <c r="ZX20" s="222"/>
      <c r="ZY20" s="222"/>
      <c r="ZZ20" s="222"/>
      <c r="AAA20" s="222"/>
      <c r="AAB20" s="222"/>
      <c r="AAC20" s="222"/>
      <c r="AAD20" s="222"/>
      <c r="AAE20" s="222"/>
      <c r="AAF20" s="222"/>
      <c r="AAG20" s="222"/>
      <c r="AAH20" s="222"/>
      <c r="AAI20" s="222"/>
      <c r="AAJ20" s="222"/>
      <c r="AAK20" s="222"/>
      <c r="AAL20" s="222"/>
      <c r="AAM20" s="222"/>
      <c r="AAN20" s="222"/>
      <c r="AAO20" s="222"/>
      <c r="AAP20" s="222"/>
      <c r="AAQ20" s="222"/>
      <c r="AAR20" s="222"/>
      <c r="AAS20" s="222"/>
      <c r="AAT20" s="222"/>
      <c r="AAU20" s="222"/>
      <c r="AAV20" s="222"/>
      <c r="AAW20" s="222"/>
      <c r="AAX20" s="222"/>
      <c r="AAY20" s="222"/>
      <c r="AAZ20" s="222"/>
      <c r="ABA20" s="222"/>
      <c r="ABB20" s="222"/>
      <c r="ABC20" s="222"/>
      <c r="ABD20" s="222"/>
      <c r="ABE20" s="222"/>
      <c r="ABF20" s="222"/>
      <c r="ABG20" s="222"/>
      <c r="ABH20" s="222"/>
      <c r="ABI20" s="222"/>
      <c r="ABJ20" s="222"/>
      <c r="ABK20" s="222"/>
      <c r="ABL20" s="222"/>
      <c r="ABM20" s="222"/>
      <c r="ABN20" s="222"/>
      <c r="ABO20" s="222"/>
      <c r="ABP20" s="222"/>
      <c r="ABQ20" s="222"/>
      <c r="ABR20" s="222"/>
      <c r="ABS20" s="222"/>
      <c r="ABT20" s="222"/>
      <c r="ABU20" s="222"/>
      <c r="ABV20" s="222"/>
      <c r="ABW20" s="222"/>
      <c r="ABX20" s="222"/>
      <c r="ABY20" s="222"/>
      <c r="ABZ20" s="222"/>
      <c r="ACA20" s="222"/>
      <c r="ACB20" s="222"/>
      <c r="ACC20" s="222"/>
      <c r="ACD20" s="222"/>
      <c r="ACE20" s="222"/>
      <c r="ACF20" s="222"/>
      <c r="ACG20" s="222"/>
      <c r="ACH20" s="222"/>
      <c r="ACI20" s="222"/>
      <c r="ACJ20" s="222"/>
      <c r="ACK20" s="222"/>
      <c r="ACL20" s="222"/>
      <c r="ACM20" s="222"/>
      <c r="ACN20" s="222"/>
      <c r="ACO20" s="222"/>
      <c r="ACP20" s="222"/>
      <c r="ACQ20" s="222"/>
      <c r="ACR20" s="222"/>
      <c r="ACS20" s="222"/>
      <c r="ACT20" s="222"/>
      <c r="ACU20" s="222"/>
      <c r="ACV20" s="222"/>
      <c r="ACW20" s="222"/>
      <c r="ACX20" s="222"/>
      <c r="ACY20" s="222"/>
      <c r="ACZ20" s="222"/>
      <c r="ADA20" s="222"/>
      <c r="ADB20" s="222"/>
      <c r="ADC20" s="222"/>
      <c r="ADD20" s="222"/>
      <c r="ADE20" s="222"/>
      <c r="ADF20" s="222"/>
      <c r="ADG20" s="222"/>
      <c r="ADH20" s="222"/>
      <c r="ADI20" s="222"/>
      <c r="ADJ20" s="222"/>
      <c r="ADK20" s="222"/>
      <c r="ADL20" s="222"/>
      <c r="ADM20" s="222"/>
      <c r="ADN20" s="222"/>
      <c r="ADO20" s="222"/>
      <c r="ADP20" s="222"/>
      <c r="ADQ20" s="222"/>
      <c r="ADR20" s="222"/>
      <c r="ADS20" s="222"/>
      <c r="ADT20" s="222"/>
      <c r="ADU20" s="222"/>
      <c r="ADV20" s="222"/>
      <c r="ADW20" s="222"/>
      <c r="ADX20" s="222"/>
      <c r="ADY20" s="222"/>
      <c r="ADZ20" s="222"/>
      <c r="AEA20" s="222"/>
      <c r="AEB20" s="222"/>
      <c r="AEC20" s="222"/>
      <c r="AED20" s="222"/>
      <c r="AEE20" s="222"/>
      <c r="AEF20" s="222"/>
      <c r="AEG20" s="222"/>
      <c r="AEH20" s="222"/>
      <c r="AEI20" s="222"/>
      <c r="AEJ20" s="222"/>
      <c r="AEK20" s="222"/>
      <c r="AEL20" s="222"/>
      <c r="AEM20" s="222"/>
      <c r="AEN20" s="222"/>
      <c r="AEO20" s="222"/>
      <c r="AEP20" s="222"/>
      <c r="AEQ20" s="222"/>
      <c r="AER20" s="222"/>
      <c r="AES20" s="222"/>
      <c r="AET20" s="222"/>
      <c r="AEU20" s="222"/>
      <c r="AEV20" s="222"/>
      <c r="AEW20" s="222"/>
      <c r="AEX20" s="222"/>
      <c r="AEY20" s="222"/>
      <c r="AEZ20" s="222"/>
      <c r="AFA20" s="222"/>
      <c r="AFB20" s="222"/>
      <c r="AFC20" s="222"/>
      <c r="AFD20" s="222"/>
      <c r="AFE20" s="222"/>
      <c r="AFF20" s="222"/>
      <c r="AFG20" s="222"/>
      <c r="AFH20" s="222"/>
      <c r="AFI20" s="222"/>
      <c r="AFJ20" s="222"/>
      <c r="AFK20" s="222"/>
      <c r="AFL20" s="222"/>
      <c r="AFM20" s="222"/>
      <c r="AFN20" s="222"/>
      <c r="AFO20" s="222"/>
      <c r="AFP20" s="222"/>
      <c r="AFQ20" s="222"/>
      <c r="AFR20" s="222"/>
      <c r="AFS20" s="222"/>
      <c r="AFT20" s="222"/>
      <c r="AFU20" s="222"/>
      <c r="AFV20" s="222"/>
      <c r="AFW20" s="222"/>
      <c r="AFX20" s="222"/>
      <c r="AFY20" s="222"/>
      <c r="AFZ20" s="222"/>
      <c r="AGA20" s="222"/>
      <c r="AGB20" s="222"/>
      <c r="AGC20" s="222"/>
      <c r="AGD20" s="222"/>
      <c r="AGE20" s="222"/>
      <c r="AGF20" s="222"/>
      <c r="AGG20" s="222"/>
      <c r="AGH20" s="222"/>
      <c r="AGI20" s="222"/>
      <c r="AGJ20" s="222"/>
      <c r="AGK20" s="222"/>
      <c r="AGL20" s="222"/>
      <c r="AGM20" s="222"/>
      <c r="AGN20" s="222"/>
      <c r="AGO20" s="222"/>
      <c r="AGP20" s="222"/>
      <c r="AGQ20" s="222"/>
      <c r="AGR20" s="222"/>
      <c r="AGS20" s="222"/>
      <c r="AGT20" s="222"/>
      <c r="AGU20" s="222"/>
      <c r="AGV20" s="222"/>
      <c r="AGW20" s="222"/>
      <c r="AGX20" s="222"/>
      <c r="AGY20" s="222"/>
      <c r="AGZ20" s="222"/>
      <c r="AHA20" s="222"/>
      <c r="AHB20" s="222"/>
      <c r="AHC20" s="222"/>
      <c r="AHD20" s="222"/>
      <c r="AHE20" s="222"/>
      <c r="AHF20" s="222"/>
      <c r="AHG20" s="222"/>
      <c r="AHH20" s="222"/>
      <c r="AHI20" s="222"/>
      <c r="AHJ20" s="222"/>
      <c r="AHK20" s="222"/>
      <c r="AHL20" s="222"/>
      <c r="AHM20" s="222"/>
      <c r="AHN20" s="222"/>
      <c r="AHO20" s="222"/>
      <c r="AHP20" s="222"/>
      <c r="AHQ20" s="222"/>
      <c r="AHR20" s="222"/>
      <c r="AHS20" s="222"/>
      <c r="AHT20" s="222"/>
      <c r="AHU20" s="222"/>
      <c r="AHV20" s="222"/>
      <c r="AHW20" s="222"/>
      <c r="AHX20" s="222"/>
      <c r="AHY20" s="222"/>
      <c r="AHZ20" s="222"/>
      <c r="AIA20" s="222"/>
      <c r="AIB20" s="222"/>
      <c r="AIC20" s="222"/>
      <c r="AID20" s="222"/>
      <c r="AIE20" s="222"/>
      <c r="AIF20" s="222"/>
      <c r="AIG20" s="222"/>
      <c r="AIH20" s="222"/>
      <c r="AII20" s="222"/>
      <c r="AIJ20" s="222"/>
      <c r="AIK20" s="222"/>
      <c r="AIL20" s="222"/>
      <c r="AIM20" s="222"/>
      <c r="AIN20" s="222"/>
      <c r="AIO20" s="222"/>
      <c r="AIP20" s="222"/>
      <c r="AIQ20" s="222"/>
      <c r="AIR20" s="222"/>
      <c r="AIS20" s="222"/>
      <c r="AIT20" s="222"/>
      <c r="AIU20" s="222"/>
      <c r="AIV20" s="222"/>
      <c r="AIW20" s="222"/>
      <c r="AIX20" s="222"/>
      <c r="AIY20" s="222"/>
      <c r="AIZ20" s="222"/>
      <c r="AJA20" s="222"/>
      <c r="AJB20" s="222"/>
      <c r="AJC20" s="222"/>
      <c r="AJD20" s="222"/>
      <c r="AJE20" s="222"/>
      <c r="AJF20" s="222"/>
      <c r="AJG20" s="222"/>
      <c r="AJH20" s="222"/>
      <c r="AJI20" s="222"/>
      <c r="AJJ20" s="222"/>
      <c r="AJK20" s="222"/>
      <c r="AJL20" s="222"/>
      <c r="AJM20" s="222"/>
      <c r="AJN20" s="222"/>
      <c r="AJO20" s="222"/>
      <c r="AJP20" s="222"/>
      <c r="AJQ20" s="222"/>
      <c r="AJR20" s="222"/>
      <c r="AJS20" s="222"/>
      <c r="AJT20" s="222"/>
      <c r="AJU20" s="222"/>
      <c r="AJV20" s="222"/>
      <c r="AJW20" s="222"/>
      <c r="AJX20" s="222"/>
      <c r="AJY20" s="222"/>
      <c r="AJZ20" s="222"/>
      <c r="AKA20" s="222"/>
      <c r="AKB20" s="222"/>
      <c r="AKC20" s="222"/>
      <c r="AKD20" s="222"/>
      <c r="AKE20" s="222"/>
      <c r="AKF20" s="222"/>
      <c r="AKG20" s="222"/>
      <c r="AKH20" s="222"/>
      <c r="AKI20" s="222"/>
      <c r="AKJ20" s="222"/>
      <c r="AKK20" s="222"/>
      <c r="AKL20" s="222"/>
      <c r="AKM20" s="222"/>
      <c r="AKN20" s="222"/>
      <c r="AKO20" s="222"/>
      <c r="AKP20" s="222"/>
      <c r="AKQ20" s="222"/>
      <c r="AKR20" s="222"/>
      <c r="AKS20" s="222"/>
      <c r="AKT20" s="222"/>
      <c r="AKU20" s="222"/>
      <c r="AKV20" s="222"/>
      <c r="AKW20" s="222"/>
      <c r="AKX20" s="222"/>
      <c r="AKY20" s="222"/>
      <c r="AKZ20" s="222"/>
      <c r="ALA20" s="222"/>
      <c r="ALB20" s="222"/>
      <c r="ALC20" s="222"/>
      <c r="ALD20" s="222"/>
      <c r="ALE20" s="222"/>
      <c r="ALF20" s="222"/>
      <c r="ALG20" s="222"/>
      <c r="ALH20" s="222"/>
      <c r="ALI20" s="222"/>
      <c r="ALJ20" s="222"/>
      <c r="ALK20" s="222"/>
      <c r="ALL20" s="222"/>
      <c r="ALM20" s="222"/>
      <c r="ALN20" s="222"/>
      <c r="ALO20" s="222"/>
      <c r="ALP20" s="222"/>
      <c r="ALQ20" s="222"/>
      <c r="ALR20" s="222"/>
      <c r="ALS20" s="222"/>
      <c r="ALT20" s="222"/>
      <c r="ALU20" s="222"/>
      <c r="ALV20" s="222"/>
      <c r="ALW20" s="222"/>
      <c r="ALX20" s="222"/>
      <c r="ALY20" s="222"/>
      <c r="ALZ20" s="222"/>
      <c r="AMA20" s="222"/>
      <c r="AMB20" s="222"/>
      <c r="AMC20" s="222"/>
      <c r="AMD20" s="222"/>
      <c r="AME20" s="222"/>
      <c r="AMF20" s="222"/>
      <c r="AMG20" s="222"/>
      <c r="AMH20" s="222"/>
      <c r="AMI20" s="222"/>
      <c r="AMJ20" s="222"/>
      <c r="AMK20" s="222"/>
      <c r="AML20" s="222"/>
      <c r="AMM20" s="222"/>
      <c r="AMN20" s="222"/>
      <c r="AMO20" s="222"/>
      <c r="AMP20" s="222"/>
      <c r="AMQ20" s="222"/>
      <c r="AMR20" s="222"/>
      <c r="AMS20" s="222"/>
      <c r="AMT20" s="222"/>
      <c r="AMU20" s="222"/>
      <c r="AMV20" s="222"/>
      <c r="AMW20" s="222"/>
      <c r="AMX20" s="222"/>
      <c r="AMY20" s="222"/>
      <c r="AMZ20" s="222"/>
      <c r="ANA20" s="222"/>
      <c r="ANB20" s="222"/>
      <c r="ANC20" s="222"/>
      <c r="AND20" s="222"/>
      <c r="ANE20" s="222"/>
      <c r="ANF20" s="222"/>
      <c r="ANG20" s="222"/>
      <c r="ANH20" s="222"/>
      <c r="ANI20" s="222"/>
      <c r="ANJ20" s="222"/>
      <c r="ANK20" s="222"/>
      <c r="ANL20" s="222"/>
      <c r="ANM20" s="222"/>
      <c r="ANN20" s="222"/>
      <c r="ANO20" s="222"/>
      <c r="ANP20" s="222"/>
      <c r="ANQ20" s="222"/>
      <c r="ANR20" s="222"/>
      <c r="ANS20" s="222"/>
      <c r="ANT20" s="222"/>
      <c r="ANU20" s="222"/>
      <c r="ANV20" s="222"/>
      <c r="ANW20" s="222"/>
      <c r="ANX20" s="222"/>
      <c r="ANY20" s="222"/>
      <c r="ANZ20" s="222"/>
      <c r="AOA20" s="222"/>
      <c r="AOB20" s="222"/>
      <c r="AOC20" s="222"/>
      <c r="AOD20" s="222"/>
      <c r="AOE20" s="222"/>
      <c r="AOF20" s="222"/>
      <c r="AOG20" s="222"/>
      <c r="AOH20" s="222"/>
      <c r="AOI20" s="222"/>
      <c r="AOJ20" s="222"/>
      <c r="AOK20" s="222"/>
      <c r="AOL20" s="222"/>
      <c r="AOM20" s="222"/>
      <c r="AON20" s="222"/>
      <c r="AOO20" s="222"/>
      <c r="AOP20" s="222"/>
      <c r="AOQ20" s="222"/>
      <c r="AOR20" s="222"/>
      <c r="AOS20" s="222"/>
      <c r="AOT20" s="222"/>
      <c r="AOU20" s="222"/>
      <c r="AOV20" s="222"/>
      <c r="AOW20" s="222"/>
      <c r="AOX20" s="222"/>
      <c r="AOY20" s="222"/>
      <c r="AOZ20" s="222"/>
      <c r="APA20" s="222"/>
      <c r="APB20" s="222"/>
      <c r="APC20" s="222"/>
      <c r="APD20" s="222"/>
      <c r="APE20" s="222"/>
      <c r="APF20" s="222"/>
      <c r="APG20" s="222"/>
      <c r="APH20" s="222"/>
      <c r="API20" s="222"/>
      <c r="APJ20" s="222"/>
      <c r="APK20" s="222"/>
      <c r="APL20" s="222"/>
      <c r="APM20" s="222"/>
      <c r="APN20" s="222"/>
      <c r="APO20" s="222"/>
      <c r="APP20" s="222"/>
      <c r="APQ20" s="222"/>
      <c r="APR20" s="222"/>
      <c r="APS20" s="222"/>
      <c r="APT20" s="222"/>
      <c r="APU20" s="222"/>
      <c r="APV20" s="222"/>
      <c r="APW20" s="222"/>
      <c r="APX20" s="222"/>
      <c r="APY20" s="222"/>
      <c r="APZ20" s="222"/>
      <c r="AQA20" s="222"/>
      <c r="AQB20" s="222"/>
      <c r="AQC20" s="222"/>
      <c r="AQD20" s="222"/>
      <c r="AQE20" s="222"/>
      <c r="AQF20" s="222"/>
      <c r="AQG20" s="222"/>
      <c r="AQH20" s="222"/>
      <c r="AQI20" s="222"/>
      <c r="AQJ20" s="222"/>
      <c r="AQK20" s="222"/>
      <c r="AQL20" s="222"/>
      <c r="AQM20" s="222"/>
      <c r="AQN20" s="222"/>
      <c r="AQO20" s="222"/>
      <c r="AQP20" s="222"/>
      <c r="AQQ20" s="222"/>
      <c r="AQR20" s="222"/>
      <c r="AQS20" s="222"/>
      <c r="AQT20" s="222"/>
      <c r="AQU20" s="222"/>
      <c r="AQV20" s="222"/>
      <c r="AQW20" s="222"/>
      <c r="AQX20" s="222"/>
      <c r="AQY20" s="222"/>
      <c r="AQZ20" s="222"/>
      <c r="ARA20" s="222"/>
      <c r="ARB20" s="222"/>
      <c r="ARC20" s="222"/>
      <c r="ARD20" s="222"/>
      <c r="ARE20" s="222"/>
      <c r="ARF20" s="222"/>
      <c r="ARG20" s="222"/>
      <c r="ARH20" s="222"/>
      <c r="ARI20" s="222"/>
      <c r="ARJ20" s="222"/>
      <c r="ARK20" s="222"/>
      <c r="ARL20" s="222"/>
      <c r="ARM20" s="222"/>
      <c r="ARN20" s="222"/>
      <c r="ARO20" s="222"/>
      <c r="ARP20" s="222"/>
      <c r="ARQ20" s="222"/>
      <c r="ARR20" s="222"/>
      <c r="ARS20" s="222"/>
      <c r="ART20" s="222"/>
      <c r="ARU20" s="222"/>
      <c r="ARV20" s="222"/>
      <c r="ARW20" s="222"/>
      <c r="ARX20" s="222"/>
      <c r="ARY20" s="222"/>
      <c r="ARZ20" s="222"/>
      <c r="ASA20" s="222"/>
      <c r="ASB20" s="222"/>
      <c r="ASC20" s="222"/>
      <c r="ASD20" s="222"/>
      <c r="ASE20" s="222"/>
      <c r="ASF20" s="222"/>
      <c r="ASG20" s="222"/>
      <c r="ASH20" s="222"/>
      <c r="ASI20" s="222"/>
      <c r="ASJ20" s="222"/>
      <c r="ASK20" s="222"/>
      <c r="ASL20" s="222"/>
      <c r="ASM20" s="222"/>
      <c r="ASN20" s="222"/>
      <c r="ASO20" s="222"/>
      <c r="ASP20" s="222"/>
      <c r="ASQ20" s="222"/>
      <c r="ASR20" s="222"/>
      <c r="ASS20" s="222"/>
      <c r="AST20" s="222"/>
      <c r="ASU20" s="222"/>
      <c r="ASV20" s="222"/>
      <c r="ASW20" s="222"/>
      <c r="ASX20" s="222"/>
      <c r="ASY20" s="222"/>
      <c r="ASZ20" s="222"/>
      <c r="ATA20" s="222"/>
      <c r="ATB20" s="222"/>
      <c r="ATC20" s="222"/>
      <c r="ATD20" s="222"/>
      <c r="ATE20" s="222"/>
      <c r="ATF20" s="222"/>
      <c r="ATG20" s="222"/>
      <c r="ATH20" s="222"/>
      <c r="ATI20" s="222"/>
      <c r="ATJ20" s="222"/>
      <c r="ATK20" s="222"/>
      <c r="ATL20" s="222"/>
      <c r="ATM20" s="222"/>
      <c r="ATN20" s="222"/>
      <c r="ATO20" s="222"/>
      <c r="ATP20" s="222"/>
      <c r="ATQ20" s="222"/>
      <c r="ATR20" s="222"/>
      <c r="ATS20" s="222"/>
      <c r="ATT20" s="222"/>
      <c r="ATU20" s="222"/>
      <c r="ATV20" s="222"/>
      <c r="ATW20" s="222"/>
      <c r="ATX20" s="222"/>
      <c r="ATY20" s="222"/>
      <c r="ATZ20" s="222"/>
      <c r="AUA20" s="222"/>
      <c r="AUB20" s="222"/>
      <c r="AUC20" s="222"/>
      <c r="AUD20" s="222"/>
      <c r="AUE20" s="222"/>
      <c r="AUF20" s="222"/>
      <c r="AUG20" s="222"/>
      <c r="AUH20" s="222"/>
      <c r="AUI20" s="222"/>
      <c r="AUJ20" s="222"/>
      <c r="AUK20" s="222"/>
      <c r="AUL20" s="222"/>
      <c r="AUM20" s="222"/>
      <c r="AUN20" s="222"/>
      <c r="AUO20" s="222"/>
      <c r="AUP20" s="222"/>
      <c r="AUQ20" s="222"/>
      <c r="AUR20" s="222"/>
      <c r="AUS20" s="222"/>
      <c r="AUT20" s="222"/>
      <c r="AUU20" s="222"/>
      <c r="AUV20" s="222"/>
      <c r="AUW20" s="222"/>
      <c r="AUX20" s="222"/>
      <c r="AUY20" s="222"/>
      <c r="AUZ20" s="222"/>
      <c r="AVA20" s="222"/>
      <c r="AVB20" s="222"/>
      <c r="AVC20" s="222"/>
      <c r="AVD20" s="222"/>
      <c r="AVE20" s="222"/>
      <c r="AVF20" s="222"/>
      <c r="AVG20" s="222"/>
      <c r="AVH20" s="222"/>
      <c r="AVI20" s="222"/>
      <c r="AVJ20" s="222"/>
      <c r="AVK20" s="222"/>
      <c r="AVL20" s="222"/>
      <c r="AVM20" s="222"/>
      <c r="AVN20" s="222"/>
      <c r="AVO20" s="222"/>
      <c r="AVP20" s="222"/>
      <c r="AVQ20" s="222"/>
      <c r="AVR20" s="222"/>
      <c r="AVS20" s="222"/>
      <c r="AVT20" s="222"/>
      <c r="AVU20" s="222"/>
      <c r="AVV20" s="222"/>
      <c r="AVW20" s="222"/>
      <c r="AVX20" s="222"/>
      <c r="AVY20" s="222"/>
      <c r="AVZ20" s="222"/>
      <c r="AWA20" s="222"/>
      <c r="AWB20" s="222"/>
      <c r="AWC20" s="222"/>
      <c r="AWD20" s="222"/>
      <c r="AWE20" s="222"/>
      <c r="AWF20" s="222"/>
      <c r="AWG20" s="222"/>
      <c r="AWH20" s="222"/>
      <c r="AWI20" s="222"/>
      <c r="AWJ20" s="222"/>
      <c r="AWK20" s="222"/>
      <c r="AWL20" s="222"/>
      <c r="AWM20" s="222"/>
      <c r="AWN20" s="222"/>
      <c r="AWO20" s="222"/>
      <c r="AWP20" s="222"/>
      <c r="AWQ20" s="222"/>
      <c r="AWR20" s="222"/>
      <c r="AWS20" s="222"/>
      <c r="AWT20" s="222"/>
      <c r="AWU20" s="222"/>
      <c r="AWV20" s="222"/>
      <c r="AWW20" s="222"/>
      <c r="AWX20" s="222"/>
      <c r="AWY20" s="222"/>
      <c r="AWZ20" s="222"/>
      <c r="AXA20" s="222"/>
      <c r="AXB20" s="222"/>
      <c r="AXC20" s="222"/>
      <c r="AXD20" s="222"/>
      <c r="AXE20" s="222"/>
      <c r="AXF20" s="222"/>
      <c r="AXG20" s="222"/>
      <c r="AXH20" s="222"/>
      <c r="AXI20" s="222"/>
      <c r="AXJ20" s="222"/>
      <c r="AXK20" s="222"/>
      <c r="AXL20" s="222"/>
      <c r="AXM20" s="222"/>
      <c r="AXN20" s="222"/>
      <c r="AXO20" s="222"/>
      <c r="AXP20" s="222"/>
      <c r="AXQ20" s="222"/>
      <c r="AXR20" s="222"/>
      <c r="AXS20" s="222"/>
      <c r="AXT20" s="222"/>
      <c r="AXU20" s="222"/>
      <c r="AXV20" s="222"/>
      <c r="AXW20" s="222"/>
      <c r="AXX20" s="222"/>
      <c r="AXY20" s="222"/>
      <c r="AXZ20" s="222"/>
      <c r="AYA20" s="222"/>
      <c r="AYB20" s="222"/>
      <c r="AYC20" s="222"/>
      <c r="AYD20" s="222"/>
      <c r="AYE20" s="222"/>
      <c r="AYF20" s="222"/>
      <c r="AYG20" s="222"/>
      <c r="AYH20" s="222"/>
      <c r="AYI20" s="222"/>
      <c r="AYJ20" s="222"/>
      <c r="AYK20" s="222"/>
      <c r="AYL20" s="222"/>
      <c r="AYM20" s="222"/>
      <c r="AYN20" s="222"/>
      <c r="AYO20" s="222"/>
      <c r="AYP20" s="222"/>
      <c r="AYQ20" s="222"/>
      <c r="AYR20" s="222"/>
      <c r="AYS20" s="222"/>
      <c r="AYT20" s="222"/>
      <c r="AYU20" s="222"/>
      <c r="AYV20" s="222"/>
      <c r="AYW20" s="222"/>
      <c r="AYX20" s="222"/>
      <c r="AYY20" s="222"/>
      <c r="AYZ20" s="222"/>
      <c r="AZA20" s="222"/>
      <c r="AZB20" s="222"/>
      <c r="AZC20" s="222"/>
      <c r="AZD20" s="222"/>
      <c r="AZE20" s="222"/>
      <c r="AZF20" s="222"/>
      <c r="AZG20" s="222"/>
      <c r="AZH20" s="222"/>
      <c r="AZI20" s="222"/>
      <c r="AZJ20" s="222"/>
      <c r="AZK20" s="222"/>
      <c r="AZL20" s="222"/>
      <c r="AZM20" s="222"/>
      <c r="AZN20" s="222"/>
      <c r="AZO20" s="222"/>
      <c r="AZP20" s="222"/>
      <c r="AZQ20" s="222"/>
      <c r="AZR20" s="222"/>
      <c r="AZS20" s="222"/>
      <c r="AZT20" s="222"/>
      <c r="AZU20" s="222"/>
      <c r="AZV20" s="222"/>
      <c r="AZW20" s="222"/>
      <c r="AZX20" s="222"/>
      <c r="AZY20" s="222"/>
      <c r="AZZ20" s="222"/>
      <c r="BAA20" s="222"/>
      <c r="BAB20" s="222"/>
      <c r="BAC20" s="222"/>
      <c r="BAD20" s="222"/>
      <c r="BAE20" s="222"/>
      <c r="BAF20" s="222"/>
      <c r="BAG20" s="222"/>
      <c r="BAH20" s="222"/>
      <c r="BAI20" s="222"/>
      <c r="BAJ20" s="222"/>
      <c r="BAK20" s="222"/>
      <c r="BAL20" s="222"/>
      <c r="BAM20" s="222"/>
      <c r="BAN20" s="222"/>
      <c r="BAO20" s="222"/>
      <c r="BAP20" s="222"/>
      <c r="BAQ20" s="222"/>
      <c r="BAR20" s="222"/>
      <c r="BAS20" s="222"/>
      <c r="BAT20" s="222"/>
      <c r="BAU20" s="222"/>
      <c r="BAV20" s="222"/>
      <c r="BAW20" s="222"/>
      <c r="BAX20" s="222"/>
      <c r="BAY20" s="222"/>
      <c r="BAZ20" s="222"/>
      <c r="BBA20" s="222"/>
      <c r="BBB20" s="222"/>
      <c r="BBC20" s="222"/>
      <c r="BBD20" s="222"/>
      <c r="BBE20" s="222"/>
      <c r="BBF20" s="222"/>
      <c r="BBG20" s="222"/>
      <c r="BBH20" s="222"/>
      <c r="BBI20" s="222"/>
      <c r="BBJ20" s="222"/>
      <c r="BBK20" s="222"/>
      <c r="BBL20" s="222"/>
      <c r="BBM20" s="222"/>
      <c r="BBN20" s="222"/>
      <c r="BBO20" s="222"/>
      <c r="BBP20" s="222"/>
      <c r="BBQ20" s="222"/>
      <c r="BBR20" s="222"/>
      <c r="BBS20" s="222"/>
      <c r="BBT20" s="222"/>
      <c r="BBU20" s="222"/>
      <c r="BBV20" s="222"/>
      <c r="BBW20" s="222"/>
      <c r="BBX20" s="222"/>
      <c r="BBY20" s="222"/>
      <c r="BBZ20" s="222"/>
      <c r="BCA20" s="222"/>
      <c r="BCB20" s="222"/>
      <c r="BCC20" s="222"/>
      <c r="BCD20" s="222"/>
      <c r="BCE20" s="222"/>
      <c r="BCF20" s="222"/>
      <c r="BCG20" s="222"/>
      <c r="BCH20" s="222"/>
      <c r="BCI20" s="222"/>
      <c r="BCJ20" s="222"/>
      <c r="BCK20" s="222"/>
      <c r="BCL20" s="222"/>
      <c r="BCM20" s="222"/>
      <c r="BCN20" s="222"/>
      <c r="BCO20" s="222"/>
      <c r="BCP20" s="222"/>
      <c r="BCQ20" s="222"/>
      <c r="BCR20" s="222"/>
      <c r="BCS20" s="222"/>
      <c r="BCT20" s="222"/>
      <c r="BCU20" s="222"/>
      <c r="BCV20" s="222"/>
      <c r="BCW20" s="222"/>
      <c r="BCX20" s="222"/>
      <c r="BCY20" s="222"/>
      <c r="BCZ20" s="222"/>
      <c r="BDA20" s="222"/>
      <c r="BDB20" s="222"/>
      <c r="BDC20" s="222"/>
      <c r="BDD20" s="222"/>
      <c r="BDE20" s="222"/>
      <c r="BDF20" s="222"/>
      <c r="BDG20" s="222"/>
      <c r="BDH20" s="222"/>
      <c r="BDI20" s="222"/>
      <c r="BDJ20" s="222"/>
      <c r="BDK20" s="222"/>
      <c r="BDL20" s="222"/>
      <c r="BDM20" s="222"/>
      <c r="BDN20" s="222"/>
      <c r="BDO20" s="222"/>
      <c r="BDP20" s="222"/>
      <c r="BDQ20" s="222"/>
      <c r="BDR20" s="222"/>
      <c r="BDS20" s="222"/>
      <c r="BDT20" s="222"/>
      <c r="BDU20" s="222"/>
      <c r="BDV20" s="222"/>
      <c r="BDW20" s="222"/>
      <c r="BDX20" s="222"/>
      <c r="BDY20" s="222"/>
      <c r="BDZ20" s="222"/>
      <c r="BEA20" s="222"/>
      <c r="BEB20" s="222"/>
      <c r="BEC20" s="222"/>
      <c r="BED20" s="222"/>
      <c r="BEE20" s="222"/>
      <c r="BEF20" s="222"/>
      <c r="BEG20" s="222"/>
      <c r="BEH20" s="222"/>
      <c r="BEI20" s="222"/>
      <c r="BEJ20" s="222"/>
      <c r="BEK20" s="222"/>
      <c r="BEL20" s="222"/>
      <c r="BEM20" s="222"/>
      <c r="BEN20" s="222"/>
      <c r="BEO20" s="222"/>
      <c r="BEP20" s="222"/>
      <c r="BEQ20" s="222"/>
      <c r="BER20" s="222"/>
      <c r="BES20" s="222"/>
      <c r="BET20" s="222"/>
      <c r="BEU20" s="222"/>
      <c r="BEV20" s="222"/>
      <c r="BEW20" s="222"/>
      <c r="BEX20" s="222"/>
      <c r="BEY20" s="222"/>
      <c r="BEZ20" s="222"/>
      <c r="BFA20" s="222"/>
      <c r="BFB20" s="222"/>
      <c r="BFC20" s="222"/>
      <c r="BFD20" s="222"/>
      <c r="BFE20" s="222"/>
      <c r="BFF20" s="222"/>
      <c r="BFG20" s="222"/>
      <c r="BFH20" s="222"/>
      <c r="BFI20" s="222"/>
      <c r="BFJ20" s="222"/>
      <c r="BFK20" s="222"/>
      <c r="BFL20" s="222"/>
      <c r="BFM20" s="222"/>
      <c r="BFN20" s="222"/>
      <c r="BFO20" s="222"/>
      <c r="BFP20" s="222"/>
      <c r="BFQ20" s="222"/>
      <c r="BFR20" s="222"/>
      <c r="BFS20" s="222"/>
      <c r="BFT20" s="222"/>
      <c r="BFU20" s="222"/>
      <c r="BFV20" s="222"/>
      <c r="BFW20" s="222"/>
      <c r="BFX20" s="222"/>
      <c r="BFY20" s="222"/>
      <c r="BFZ20" s="222"/>
      <c r="BGA20" s="222"/>
      <c r="BGB20" s="222"/>
      <c r="BGC20" s="222"/>
      <c r="BGD20" s="222"/>
      <c r="BGE20" s="222"/>
      <c r="BGF20" s="222"/>
      <c r="BGG20" s="222"/>
      <c r="BGH20" s="222"/>
      <c r="BGI20" s="222"/>
      <c r="BGJ20" s="222"/>
      <c r="BGK20" s="222"/>
      <c r="BGL20" s="222"/>
      <c r="BGM20" s="222"/>
      <c r="BGN20" s="222"/>
      <c r="BGO20" s="222"/>
      <c r="BGP20" s="222"/>
      <c r="BGQ20" s="222"/>
      <c r="BGR20" s="222"/>
      <c r="BGS20" s="222"/>
      <c r="BGT20" s="222"/>
      <c r="BGU20" s="222"/>
      <c r="BGV20" s="222"/>
      <c r="BGW20" s="222"/>
      <c r="BGX20" s="222"/>
      <c r="BGY20" s="222"/>
      <c r="BGZ20" s="222"/>
      <c r="BHA20" s="222"/>
      <c r="BHB20" s="222"/>
      <c r="BHC20" s="222"/>
      <c r="BHD20" s="222"/>
      <c r="BHE20" s="222"/>
      <c r="BHF20" s="222"/>
      <c r="BHG20" s="222"/>
      <c r="BHH20" s="222"/>
      <c r="BHI20" s="222"/>
      <c r="BHJ20" s="222"/>
      <c r="BHK20" s="222"/>
      <c r="BHL20" s="222"/>
      <c r="BHM20" s="222"/>
      <c r="BHN20" s="222"/>
      <c r="BHO20" s="222"/>
      <c r="BHP20" s="222"/>
      <c r="BHQ20" s="222"/>
      <c r="BHR20" s="222"/>
      <c r="BHS20" s="222"/>
      <c r="BHT20" s="222"/>
      <c r="BHU20" s="222"/>
      <c r="BHV20" s="222"/>
      <c r="BHW20" s="222"/>
      <c r="BHX20" s="222"/>
      <c r="BHY20" s="222"/>
      <c r="BHZ20" s="222"/>
      <c r="BIA20" s="222"/>
      <c r="BIB20" s="222"/>
      <c r="BIC20" s="222"/>
      <c r="BID20" s="222"/>
      <c r="BIE20" s="222"/>
      <c r="BIF20" s="222"/>
      <c r="BIG20" s="222"/>
      <c r="BIH20" s="222"/>
      <c r="BII20" s="222"/>
      <c r="BIJ20" s="222"/>
      <c r="BIK20" s="222"/>
      <c r="BIL20" s="222"/>
      <c r="BIM20" s="222"/>
      <c r="BIN20" s="222"/>
      <c r="BIO20" s="222"/>
      <c r="BIP20" s="222"/>
      <c r="BIQ20" s="222"/>
      <c r="BIR20" s="222"/>
      <c r="BIS20" s="222"/>
      <c r="BIT20" s="222"/>
      <c r="BIU20" s="222"/>
      <c r="BIV20" s="222"/>
      <c r="BIW20" s="222"/>
      <c r="BIX20" s="222"/>
      <c r="BIY20" s="222"/>
      <c r="BIZ20" s="222"/>
      <c r="BJA20" s="222"/>
      <c r="BJB20" s="222"/>
      <c r="BJC20" s="222"/>
      <c r="BJD20" s="222"/>
      <c r="BJE20" s="222"/>
      <c r="BJF20" s="222"/>
      <c r="BJG20" s="222"/>
      <c r="BJH20" s="222"/>
      <c r="BJI20" s="222"/>
      <c r="BJJ20" s="222"/>
      <c r="BJK20" s="222"/>
      <c r="BJL20" s="222"/>
      <c r="BJM20" s="222"/>
      <c r="BJN20" s="222"/>
      <c r="BJO20" s="222"/>
      <c r="BJP20" s="222"/>
      <c r="BJQ20" s="222"/>
      <c r="BJR20" s="222"/>
      <c r="BJS20" s="222"/>
      <c r="BJT20" s="222"/>
      <c r="BJU20" s="222"/>
      <c r="BJV20" s="222"/>
      <c r="BJW20" s="222"/>
      <c r="BJX20" s="222"/>
      <c r="BJY20" s="222"/>
      <c r="BJZ20" s="222"/>
      <c r="BKA20" s="222"/>
      <c r="BKB20" s="222"/>
      <c r="BKC20" s="222"/>
      <c r="BKD20" s="222"/>
      <c r="BKE20" s="222"/>
      <c r="BKF20" s="222"/>
      <c r="BKG20" s="222"/>
      <c r="BKH20" s="222"/>
      <c r="BKI20" s="222"/>
      <c r="BKJ20" s="222"/>
      <c r="BKK20" s="222"/>
      <c r="BKL20" s="222"/>
      <c r="BKM20" s="222"/>
      <c r="BKN20" s="222"/>
      <c r="BKO20" s="222"/>
      <c r="BKP20" s="222"/>
      <c r="BKQ20" s="222"/>
      <c r="BKR20" s="222"/>
      <c r="BKS20" s="222"/>
      <c r="BKT20" s="222"/>
      <c r="BKU20" s="222"/>
      <c r="BKV20" s="222"/>
      <c r="BKW20" s="222"/>
      <c r="BKX20" s="222"/>
      <c r="BKY20" s="222"/>
      <c r="BKZ20" s="222"/>
      <c r="BLA20" s="222"/>
      <c r="BLB20" s="222"/>
      <c r="BLC20" s="222"/>
      <c r="BLD20" s="222"/>
      <c r="BLE20" s="222"/>
      <c r="BLF20" s="222"/>
      <c r="BLG20" s="222"/>
      <c r="BLH20" s="222"/>
      <c r="BLI20" s="222"/>
      <c r="BLJ20" s="222"/>
      <c r="BLK20" s="222"/>
      <c r="BLL20" s="222"/>
      <c r="BLM20" s="222"/>
      <c r="BLN20" s="222"/>
      <c r="BLO20" s="222"/>
      <c r="BLP20" s="222"/>
      <c r="BLQ20" s="222"/>
      <c r="BLR20" s="222"/>
      <c r="BLS20" s="222"/>
      <c r="BLT20" s="222"/>
      <c r="BLU20" s="222"/>
      <c r="BLV20" s="222"/>
      <c r="BLW20" s="222"/>
      <c r="BLX20" s="222"/>
      <c r="BLY20" s="222"/>
      <c r="BLZ20" s="222"/>
      <c r="BMA20" s="222"/>
      <c r="BMB20" s="222"/>
      <c r="BMC20" s="222"/>
      <c r="BMD20" s="222"/>
      <c r="BME20" s="222"/>
      <c r="BMF20" s="222"/>
      <c r="BMG20" s="222"/>
      <c r="BMH20" s="222"/>
      <c r="BMI20" s="222"/>
      <c r="BMJ20" s="222"/>
      <c r="BMK20" s="222"/>
      <c r="BML20" s="222"/>
      <c r="BMM20" s="222"/>
      <c r="BMN20" s="222"/>
      <c r="BMO20" s="222"/>
      <c r="BMP20" s="222"/>
      <c r="BMQ20" s="222"/>
      <c r="BMR20" s="222"/>
      <c r="BMS20" s="222"/>
      <c r="BMT20" s="222"/>
      <c r="BMU20" s="222"/>
      <c r="BMV20" s="222"/>
      <c r="BMW20" s="222"/>
      <c r="BMX20" s="222"/>
      <c r="BMY20" s="222"/>
      <c r="BMZ20" s="222"/>
      <c r="BNA20" s="222"/>
      <c r="BNB20" s="222"/>
      <c r="BNC20" s="222"/>
      <c r="BND20" s="222"/>
      <c r="BNE20" s="222"/>
      <c r="BNF20" s="222"/>
      <c r="BNG20" s="222"/>
      <c r="BNH20" s="222"/>
      <c r="BNI20" s="222"/>
      <c r="BNJ20" s="222"/>
      <c r="BNK20" s="222"/>
      <c r="BNL20" s="222"/>
      <c r="BNM20" s="222"/>
      <c r="BNN20" s="222"/>
      <c r="BNO20" s="222"/>
      <c r="BNP20" s="222"/>
      <c r="BNQ20" s="222"/>
      <c r="BNR20" s="222"/>
      <c r="BNS20" s="222"/>
      <c r="BNT20" s="222"/>
      <c r="BNU20" s="222"/>
      <c r="BNV20" s="222"/>
      <c r="BNW20" s="222"/>
      <c r="BNX20" s="222"/>
      <c r="BNY20" s="222"/>
      <c r="BNZ20" s="222"/>
      <c r="BOA20" s="222"/>
      <c r="BOB20" s="222"/>
      <c r="BOC20" s="222"/>
      <c r="BOD20" s="222"/>
      <c r="BOE20" s="222"/>
      <c r="BOF20" s="222"/>
      <c r="BOG20" s="222"/>
      <c r="BOH20" s="222"/>
      <c r="BOI20" s="222"/>
      <c r="BOJ20" s="222"/>
      <c r="BOK20" s="222"/>
      <c r="BOL20" s="222"/>
      <c r="BOM20" s="222"/>
      <c r="BON20" s="222"/>
      <c r="BOO20" s="222"/>
      <c r="BOP20" s="222"/>
      <c r="BOQ20" s="222"/>
      <c r="BOR20" s="222"/>
      <c r="BOS20" s="222"/>
      <c r="BOT20" s="222"/>
      <c r="BOU20" s="222"/>
      <c r="BOV20" s="222"/>
      <c r="BOW20" s="222"/>
      <c r="BOX20" s="222"/>
      <c r="BOY20" s="222"/>
      <c r="BOZ20" s="222"/>
      <c r="BPA20" s="222"/>
      <c r="BPB20" s="222"/>
      <c r="BPC20" s="222"/>
      <c r="BPD20" s="222"/>
      <c r="BPE20" s="222"/>
      <c r="BPF20" s="222"/>
      <c r="BPG20" s="222"/>
      <c r="BPH20" s="222"/>
      <c r="BPI20" s="222"/>
      <c r="BPJ20" s="222"/>
      <c r="BPK20" s="222"/>
      <c r="BPL20" s="222"/>
      <c r="BPM20" s="222"/>
      <c r="BPN20" s="222"/>
      <c r="BPO20" s="222"/>
      <c r="BPP20" s="222"/>
      <c r="BPQ20" s="222"/>
      <c r="BPR20" s="222"/>
      <c r="BPS20" s="222"/>
      <c r="BPT20" s="222"/>
      <c r="BPU20" s="222"/>
      <c r="BPV20" s="222"/>
      <c r="BPW20" s="222"/>
      <c r="BPX20" s="222"/>
      <c r="BPY20" s="222"/>
      <c r="BPZ20" s="222"/>
      <c r="BQA20" s="222"/>
      <c r="BQB20" s="222"/>
      <c r="BQC20" s="222"/>
      <c r="BQD20" s="222"/>
      <c r="BQE20" s="222"/>
      <c r="BQF20" s="222"/>
      <c r="BQG20" s="222"/>
      <c r="BQH20" s="222"/>
      <c r="BQI20" s="222"/>
      <c r="BQJ20" s="222"/>
      <c r="BQK20" s="222"/>
      <c r="BQL20" s="222"/>
      <c r="BQM20" s="222"/>
      <c r="BQN20" s="222"/>
      <c r="BQO20" s="222"/>
      <c r="BQP20" s="222"/>
      <c r="BQQ20" s="222"/>
      <c r="BQR20" s="222"/>
      <c r="BQS20" s="222"/>
      <c r="BQT20" s="222"/>
      <c r="BQU20" s="222"/>
      <c r="BQV20" s="222"/>
      <c r="BQW20" s="222"/>
      <c r="BQX20" s="222"/>
      <c r="BQY20" s="222"/>
      <c r="BQZ20" s="222"/>
      <c r="BRA20" s="222"/>
      <c r="BRB20" s="222"/>
      <c r="BRC20" s="222"/>
      <c r="BRD20" s="222"/>
      <c r="BRE20" s="222"/>
      <c r="BRF20" s="222"/>
      <c r="BRG20" s="222"/>
      <c r="BRH20" s="222"/>
      <c r="BRI20" s="222"/>
      <c r="BRJ20" s="222"/>
      <c r="BRK20" s="222"/>
      <c r="BRL20" s="222"/>
      <c r="BRM20" s="222"/>
      <c r="BRN20" s="222"/>
      <c r="BRO20" s="222"/>
      <c r="BRP20" s="222"/>
      <c r="BRQ20" s="222"/>
      <c r="BRR20" s="222"/>
      <c r="BRS20" s="222"/>
      <c r="BRT20" s="222"/>
      <c r="BRU20" s="222"/>
      <c r="BRV20" s="222"/>
      <c r="BRW20" s="222"/>
      <c r="BRX20" s="222"/>
      <c r="BRY20" s="222"/>
      <c r="BRZ20" s="222"/>
      <c r="BSA20" s="222"/>
      <c r="BSB20" s="222"/>
      <c r="BSC20" s="222"/>
      <c r="BSD20" s="222"/>
      <c r="BSE20" s="222"/>
      <c r="BSF20" s="222"/>
      <c r="BSG20" s="222"/>
      <c r="BSH20" s="222"/>
      <c r="BSI20" s="222"/>
      <c r="BSJ20" s="222"/>
      <c r="BSK20" s="222"/>
      <c r="BSL20" s="222"/>
      <c r="BSM20" s="222"/>
      <c r="BSN20" s="222"/>
      <c r="BSO20" s="222"/>
      <c r="BSP20" s="222"/>
      <c r="BSQ20" s="222"/>
      <c r="BSR20" s="222"/>
      <c r="BSS20" s="222"/>
      <c r="BST20" s="222"/>
      <c r="BSU20" s="222"/>
      <c r="BSV20" s="222"/>
      <c r="BSW20" s="222"/>
      <c r="BSX20" s="222"/>
      <c r="BSY20" s="222"/>
      <c r="BSZ20" s="222"/>
      <c r="BTA20" s="222"/>
      <c r="BTB20" s="222"/>
      <c r="BTC20" s="222"/>
      <c r="BTD20" s="222"/>
      <c r="BTE20" s="222"/>
      <c r="BTF20" s="222"/>
      <c r="BTG20" s="222"/>
      <c r="BTH20" s="222"/>
      <c r="BTI20" s="222"/>
      <c r="BTJ20" s="222"/>
      <c r="BTK20" s="222"/>
      <c r="BTL20" s="222"/>
      <c r="BTM20" s="222"/>
      <c r="BTN20" s="222"/>
      <c r="BTO20" s="222"/>
      <c r="BTP20" s="222"/>
      <c r="BTQ20" s="222"/>
      <c r="BTR20" s="222"/>
      <c r="BTS20" s="222"/>
      <c r="BTT20" s="222"/>
      <c r="BTU20" s="222"/>
      <c r="BTV20" s="222"/>
      <c r="BTW20" s="222"/>
      <c r="BTX20" s="222"/>
      <c r="BTY20" s="222"/>
      <c r="BTZ20" s="222"/>
      <c r="BUA20" s="222"/>
      <c r="BUB20" s="222"/>
      <c r="BUC20" s="222"/>
      <c r="BUD20" s="222"/>
      <c r="BUE20" s="222"/>
      <c r="BUF20" s="222"/>
      <c r="BUG20" s="222"/>
      <c r="BUH20" s="222"/>
      <c r="BUI20" s="222"/>
      <c r="BUJ20" s="222"/>
      <c r="BUK20" s="222"/>
      <c r="BUL20" s="222"/>
      <c r="BUM20" s="222"/>
      <c r="BUN20" s="222"/>
      <c r="BUO20" s="222"/>
      <c r="BUP20" s="222"/>
      <c r="BUQ20" s="222"/>
      <c r="BUR20" s="222"/>
      <c r="BUS20" s="222"/>
      <c r="BUT20" s="222"/>
      <c r="BUU20" s="222"/>
      <c r="BUV20" s="222"/>
      <c r="BUW20" s="222"/>
      <c r="BUX20" s="222"/>
      <c r="BUY20" s="222"/>
      <c r="BUZ20" s="222"/>
      <c r="BVA20" s="222"/>
      <c r="BVB20" s="222"/>
      <c r="BVC20" s="222"/>
      <c r="BVD20" s="222"/>
      <c r="BVE20" s="222"/>
      <c r="BVF20" s="222"/>
      <c r="BVG20" s="222"/>
      <c r="BVH20" s="222"/>
      <c r="BVI20" s="222"/>
      <c r="BVJ20" s="222"/>
      <c r="BVK20" s="222"/>
      <c r="BVL20" s="222"/>
      <c r="BVM20" s="222"/>
      <c r="BVN20" s="222"/>
      <c r="BVO20" s="222"/>
      <c r="BVP20" s="222"/>
      <c r="BVQ20" s="222"/>
      <c r="BVR20" s="222"/>
      <c r="BVS20" s="222"/>
      <c r="BVT20" s="222"/>
      <c r="BVU20" s="222"/>
      <c r="BVV20" s="222"/>
      <c r="BVW20" s="222"/>
      <c r="BVX20" s="222"/>
      <c r="BVY20" s="222"/>
      <c r="BVZ20" s="222"/>
      <c r="BWA20" s="222"/>
      <c r="BWB20" s="222"/>
      <c r="BWC20" s="222"/>
      <c r="BWD20" s="222"/>
      <c r="BWE20" s="222"/>
      <c r="BWF20" s="222"/>
      <c r="BWG20" s="222"/>
      <c r="BWH20" s="222"/>
      <c r="BWI20" s="222"/>
      <c r="BWJ20" s="222"/>
      <c r="BWK20" s="222"/>
      <c r="BWL20" s="222"/>
      <c r="BWM20" s="222"/>
      <c r="BWN20" s="222"/>
      <c r="BWO20" s="222"/>
      <c r="BWP20" s="222"/>
      <c r="BWQ20" s="222"/>
      <c r="BWR20" s="222"/>
      <c r="BWS20" s="222"/>
      <c r="BWT20" s="222"/>
      <c r="BWU20" s="222"/>
      <c r="BWV20" s="222"/>
      <c r="BWW20" s="222"/>
      <c r="BWX20" s="222"/>
      <c r="BWY20" s="222"/>
      <c r="BWZ20" s="222"/>
      <c r="BXA20" s="222"/>
      <c r="BXB20" s="222"/>
      <c r="BXC20" s="222"/>
      <c r="BXD20" s="222"/>
      <c r="BXE20" s="222"/>
      <c r="BXF20" s="222"/>
      <c r="BXG20" s="222"/>
      <c r="BXH20" s="222"/>
      <c r="BXI20" s="222"/>
      <c r="BXJ20" s="222"/>
      <c r="BXK20" s="222"/>
      <c r="BXL20" s="222"/>
      <c r="BXM20" s="222"/>
      <c r="BXN20" s="222"/>
      <c r="BXO20" s="222"/>
      <c r="BXP20" s="222"/>
      <c r="BXQ20" s="222"/>
      <c r="BXR20" s="222"/>
      <c r="BXS20" s="222"/>
      <c r="BXT20" s="222"/>
      <c r="BXU20" s="222"/>
      <c r="BXV20" s="222"/>
      <c r="BXW20" s="222"/>
      <c r="BXX20" s="222"/>
      <c r="BXY20" s="222"/>
      <c r="BXZ20" s="222"/>
      <c r="BYA20" s="222"/>
      <c r="BYB20" s="222"/>
      <c r="BYC20" s="222"/>
      <c r="BYD20" s="222"/>
      <c r="BYE20" s="222"/>
      <c r="BYF20" s="222"/>
      <c r="BYG20" s="222"/>
      <c r="BYH20" s="222"/>
      <c r="BYI20" s="222"/>
      <c r="BYJ20" s="222"/>
      <c r="BYK20" s="222"/>
      <c r="BYL20" s="222"/>
      <c r="BYM20" s="222"/>
      <c r="BYN20" s="222"/>
      <c r="BYO20" s="222"/>
      <c r="BYP20" s="222"/>
      <c r="BYQ20" s="222"/>
      <c r="BYR20" s="222"/>
      <c r="BYS20" s="222"/>
      <c r="BYT20" s="222"/>
      <c r="BYU20" s="222"/>
      <c r="BYV20" s="222"/>
      <c r="BYW20" s="222"/>
      <c r="BYX20" s="222"/>
      <c r="BYY20" s="222"/>
      <c r="BYZ20" s="222"/>
      <c r="BZA20" s="222"/>
      <c r="BZB20" s="222"/>
      <c r="BZC20" s="222"/>
      <c r="BZD20" s="222"/>
      <c r="BZE20" s="222"/>
      <c r="BZF20" s="222"/>
      <c r="BZG20" s="222"/>
      <c r="BZH20" s="222"/>
      <c r="BZI20" s="222"/>
      <c r="BZJ20" s="222"/>
      <c r="BZK20" s="222"/>
      <c r="BZL20" s="222"/>
      <c r="BZM20" s="222"/>
      <c r="BZN20" s="222"/>
      <c r="BZO20" s="222"/>
      <c r="BZP20" s="222"/>
      <c r="BZQ20" s="222"/>
      <c r="BZR20" s="222"/>
      <c r="BZS20" s="222"/>
      <c r="BZT20" s="222"/>
      <c r="BZU20" s="222"/>
      <c r="BZV20" s="222"/>
      <c r="BZW20" s="222"/>
      <c r="BZX20" s="222"/>
      <c r="BZY20" s="222"/>
      <c r="BZZ20" s="222"/>
      <c r="CAA20" s="222"/>
      <c r="CAB20" s="222"/>
      <c r="CAC20" s="222"/>
      <c r="CAD20" s="222"/>
      <c r="CAE20" s="222"/>
      <c r="CAF20" s="222"/>
      <c r="CAG20" s="222"/>
      <c r="CAH20" s="222"/>
      <c r="CAI20" s="222"/>
      <c r="CAJ20" s="222"/>
      <c r="CAK20" s="222"/>
      <c r="CAL20" s="222"/>
      <c r="CAM20" s="222"/>
      <c r="CAN20" s="222"/>
      <c r="CAO20" s="222"/>
      <c r="CAP20" s="222"/>
      <c r="CAQ20" s="222"/>
      <c r="CAR20" s="222"/>
      <c r="CAS20" s="222"/>
      <c r="CAT20" s="222"/>
      <c r="CAU20" s="222"/>
      <c r="CAV20" s="222"/>
      <c r="CAW20" s="222"/>
      <c r="CAX20" s="222"/>
      <c r="CAY20" s="222"/>
      <c r="CAZ20" s="222"/>
      <c r="CBA20" s="222"/>
      <c r="CBB20" s="222"/>
      <c r="CBC20" s="222"/>
      <c r="CBD20" s="222"/>
      <c r="CBE20" s="222"/>
      <c r="CBF20" s="222"/>
      <c r="CBG20" s="222"/>
      <c r="CBH20" s="222"/>
      <c r="CBI20" s="222"/>
      <c r="CBJ20" s="222"/>
      <c r="CBK20" s="222"/>
      <c r="CBL20" s="222"/>
      <c r="CBM20" s="222"/>
      <c r="CBN20" s="222"/>
      <c r="CBO20" s="222"/>
      <c r="CBP20" s="222"/>
      <c r="CBQ20" s="222"/>
      <c r="CBR20" s="222"/>
      <c r="CBS20" s="222"/>
      <c r="CBT20" s="222"/>
      <c r="CBU20" s="222"/>
      <c r="CBV20" s="222"/>
      <c r="CBW20" s="222"/>
      <c r="CBX20" s="222"/>
      <c r="CBY20" s="222"/>
      <c r="CBZ20" s="222"/>
      <c r="CCA20" s="222"/>
      <c r="CCB20" s="222"/>
      <c r="CCC20" s="222"/>
      <c r="CCD20" s="222"/>
      <c r="CCE20" s="222"/>
      <c r="CCF20" s="222"/>
      <c r="CCG20" s="222"/>
      <c r="CCH20" s="222"/>
      <c r="CCI20" s="222"/>
      <c r="CCJ20" s="222"/>
      <c r="CCK20" s="222"/>
      <c r="CCL20" s="222"/>
      <c r="CCM20" s="222"/>
      <c r="CCN20" s="222"/>
      <c r="CCO20" s="222"/>
      <c r="CCP20" s="222"/>
      <c r="CCQ20" s="222"/>
      <c r="CCR20" s="222"/>
      <c r="CCS20" s="222"/>
      <c r="CCT20" s="222"/>
      <c r="CCU20" s="222"/>
      <c r="CCV20" s="222"/>
      <c r="CCW20" s="222"/>
      <c r="CCX20" s="222"/>
      <c r="CCY20" s="222"/>
      <c r="CCZ20" s="222"/>
      <c r="CDA20" s="222"/>
      <c r="CDB20" s="222"/>
      <c r="CDC20" s="222"/>
      <c r="CDD20" s="222"/>
      <c r="CDE20" s="222"/>
      <c r="CDF20" s="222"/>
      <c r="CDG20" s="222"/>
      <c r="CDH20" s="222"/>
      <c r="CDI20" s="222"/>
      <c r="CDJ20" s="222"/>
      <c r="CDK20" s="222"/>
      <c r="CDL20" s="222"/>
      <c r="CDM20" s="222"/>
      <c r="CDN20" s="222"/>
      <c r="CDO20" s="222"/>
      <c r="CDP20" s="222"/>
      <c r="CDQ20" s="222"/>
      <c r="CDR20" s="222"/>
      <c r="CDS20" s="222"/>
      <c r="CDT20" s="222"/>
      <c r="CDU20" s="222"/>
      <c r="CDV20" s="222"/>
      <c r="CDW20" s="222"/>
      <c r="CDX20" s="222"/>
      <c r="CDY20" s="222"/>
      <c r="CDZ20" s="222"/>
      <c r="CEA20" s="222"/>
      <c r="CEB20" s="222"/>
      <c r="CEC20" s="222"/>
      <c r="CED20" s="222"/>
      <c r="CEE20" s="222"/>
      <c r="CEF20" s="222"/>
      <c r="CEG20" s="222"/>
      <c r="CEH20" s="222"/>
      <c r="CEI20" s="222"/>
      <c r="CEJ20" s="222"/>
      <c r="CEK20" s="222"/>
      <c r="CEL20" s="222"/>
      <c r="CEM20" s="222"/>
      <c r="CEN20" s="222"/>
      <c r="CEO20" s="222"/>
      <c r="CEP20" s="222"/>
      <c r="CEQ20" s="222"/>
      <c r="CER20" s="222"/>
      <c r="CES20" s="222"/>
      <c r="CET20" s="222"/>
      <c r="CEU20" s="222"/>
      <c r="CEV20" s="222"/>
      <c r="CEW20" s="222"/>
      <c r="CEX20" s="222"/>
      <c r="CEY20" s="222"/>
      <c r="CEZ20" s="222"/>
      <c r="CFA20" s="222"/>
      <c r="CFB20" s="222"/>
      <c r="CFC20" s="222"/>
      <c r="CFD20" s="222"/>
      <c r="CFE20" s="222"/>
      <c r="CFF20" s="222"/>
      <c r="CFG20" s="222"/>
      <c r="CFH20" s="222"/>
      <c r="CFI20" s="222"/>
      <c r="CFJ20" s="222"/>
      <c r="CFK20" s="222"/>
      <c r="CFL20" s="222"/>
      <c r="CFM20" s="222"/>
      <c r="CFN20" s="222"/>
      <c r="CFO20" s="222"/>
      <c r="CFP20" s="222"/>
      <c r="CFQ20" s="222"/>
      <c r="CFR20" s="222"/>
      <c r="CFS20" s="222"/>
      <c r="CFT20" s="222"/>
      <c r="CFU20" s="222"/>
      <c r="CFV20" s="222"/>
      <c r="CFW20" s="222"/>
      <c r="CFX20" s="222"/>
      <c r="CFY20" s="222"/>
      <c r="CFZ20" s="222"/>
      <c r="CGA20" s="222"/>
      <c r="CGB20" s="222"/>
      <c r="CGC20" s="222"/>
      <c r="CGD20" s="222"/>
      <c r="CGE20" s="222"/>
      <c r="CGF20" s="222"/>
      <c r="CGG20" s="222"/>
      <c r="CGH20" s="222"/>
      <c r="CGI20" s="222"/>
      <c r="CGJ20" s="222"/>
      <c r="CGK20" s="222"/>
      <c r="CGL20" s="222"/>
      <c r="CGM20" s="222"/>
      <c r="CGN20" s="222"/>
      <c r="CGO20" s="222"/>
      <c r="CGP20" s="222"/>
      <c r="CGQ20" s="222"/>
      <c r="CGR20" s="222"/>
      <c r="CGS20" s="222"/>
      <c r="CGT20" s="222"/>
      <c r="CGU20" s="222"/>
      <c r="CGV20" s="222"/>
      <c r="CGW20" s="222"/>
      <c r="CGX20" s="222"/>
      <c r="CGY20" s="222"/>
      <c r="CGZ20" s="222"/>
      <c r="CHA20" s="222"/>
      <c r="CHB20" s="222"/>
      <c r="CHC20" s="222"/>
      <c r="CHD20" s="222"/>
      <c r="CHE20" s="222"/>
      <c r="CHF20" s="222"/>
      <c r="CHG20" s="222"/>
      <c r="CHH20" s="222"/>
      <c r="CHI20" s="222"/>
      <c r="CHJ20" s="222"/>
      <c r="CHK20" s="222"/>
      <c r="CHL20" s="222"/>
      <c r="CHM20" s="222"/>
      <c r="CHN20" s="222"/>
      <c r="CHO20" s="222"/>
      <c r="CHP20" s="222"/>
      <c r="CHQ20" s="222"/>
      <c r="CHR20" s="222"/>
      <c r="CHS20" s="222"/>
      <c r="CHT20" s="222"/>
      <c r="CHU20" s="222"/>
      <c r="CHV20" s="222"/>
      <c r="CHW20" s="222"/>
      <c r="CHX20" s="222"/>
      <c r="CHY20" s="222"/>
      <c r="CHZ20" s="222"/>
      <c r="CIA20" s="222"/>
      <c r="CIB20" s="222"/>
      <c r="CIC20" s="222"/>
      <c r="CID20" s="222"/>
      <c r="CIE20" s="222"/>
      <c r="CIF20" s="222"/>
      <c r="CIG20" s="222"/>
      <c r="CIH20" s="222"/>
      <c r="CII20" s="222"/>
      <c r="CIJ20" s="222"/>
      <c r="CIK20" s="222"/>
      <c r="CIL20" s="222"/>
      <c r="CIM20" s="222"/>
      <c r="CIN20" s="222"/>
      <c r="CIO20" s="222"/>
      <c r="CIP20" s="222"/>
      <c r="CIQ20" s="222"/>
      <c r="CIR20" s="222"/>
      <c r="CIS20" s="222"/>
      <c r="CIT20" s="222"/>
      <c r="CIU20" s="222"/>
      <c r="CIV20" s="222"/>
      <c r="CIW20" s="222"/>
      <c r="CIX20" s="222"/>
      <c r="CIY20" s="222"/>
      <c r="CIZ20" s="222"/>
      <c r="CJA20" s="222"/>
      <c r="CJB20" s="222"/>
      <c r="CJC20" s="222"/>
      <c r="CJD20" s="222"/>
      <c r="CJE20" s="222"/>
      <c r="CJF20" s="222"/>
      <c r="CJG20" s="222"/>
      <c r="CJH20" s="222"/>
      <c r="CJI20" s="222"/>
      <c r="CJJ20" s="222"/>
      <c r="CJK20" s="222"/>
      <c r="CJL20" s="222"/>
      <c r="CJM20" s="222"/>
      <c r="CJN20" s="222"/>
      <c r="CJO20" s="222"/>
      <c r="CJP20" s="222"/>
      <c r="CJQ20" s="222"/>
      <c r="CJR20" s="222"/>
      <c r="CJS20" s="222"/>
      <c r="CJT20" s="222"/>
      <c r="CJU20" s="222"/>
      <c r="CJV20" s="222"/>
      <c r="CJW20" s="222"/>
      <c r="CJX20" s="222"/>
      <c r="CJY20" s="222"/>
      <c r="CJZ20" s="222"/>
      <c r="CKA20" s="222"/>
      <c r="CKB20" s="222"/>
      <c r="CKC20" s="222"/>
      <c r="CKD20" s="222"/>
      <c r="CKE20" s="222"/>
      <c r="CKF20" s="222"/>
      <c r="CKG20" s="222"/>
      <c r="CKH20" s="222"/>
      <c r="CKI20" s="222"/>
      <c r="CKJ20" s="222"/>
      <c r="CKK20" s="222"/>
      <c r="CKL20" s="222"/>
      <c r="CKM20" s="222"/>
      <c r="CKN20" s="222"/>
      <c r="CKO20" s="222"/>
      <c r="CKP20" s="222"/>
      <c r="CKQ20" s="222"/>
      <c r="CKR20" s="222"/>
      <c r="CKS20" s="222"/>
      <c r="CKT20" s="222"/>
      <c r="CKU20" s="222"/>
      <c r="CKV20" s="222"/>
      <c r="CKW20" s="222"/>
      <c r="CKX20" s="222"/>
      <c r="CKY20" s="222"/>
      <c r="CKZ20" s="222"/>
      <c r="CLA20" s="222"/>
      <c r="CLB20" s="222"/>
      <c r="CLC20" s="222"/>
      <c r="CLD20" s="222"/>
      <c r="CLE20" s="222"/>
      <c r="CLF20" s="222"/>
      <c r="CLG20" s="222"/>
      <c r="CLH20" s="222"/>
      <c r="CLI20" s="222"/>
      <c r="CLJ20" s="222"/>
      <c r="CLK20" s="222"/>
      <c r="CLL20" s="222"/>
      <c r="CLM20" s="222"/>
      <c r="CLN20" s="222"/>
      <c r="CLO20" s="222"/>
      <c r="CLP20" s="222"/>
      <c r="CLQ20" s="222"/>
      <c r="CLR20" s="222"/>
      <c r="CLS20" s="222"/>
      <c r="CLT20" s="222"/>
      <c r="CLU20" s="222"/>
      <c r="CLV20" s="222"/>
      <c r="CLW20" s="222"/>
      <c r="CLX20" s="222"/>
      <c r="CLY20" s="222"/>
      <c r="CLZ20" s="222"/>
      <c r="CMA20" s="222"/>
      <c r="CMB20" s="222"/>
      <c r="CMC20" s="222"/>
      <c r="CMD20" s="222"/>
      <c r="CME20" s="222"/>
      <c r="CMF20" s="222"/>
      <c r="CMG20" s="222"/>
      <c r="CMH20" s="222"/>
      <c r="CMI20" s="222"/>
      <c r="CMJ20" s="222"/>
      <c r="CMK20" s="222"/>
      <c r="CML20" s="222"/>
      <c r="CMM20" s="222"/>
      <c r="CMN20" s="222"/>
      <c r="CMO20" s="222"/>
      <c r="CMP20" s="222"/>
      <c r="CMQ20" s="222"/>
      <c r="CMR20" s="222"/>
      <c r="CMS20" s="222"/>
      <c r="CMT20" s="222"/>
      <c r="CMU20" s="222"/>
      <c r="CMV20" s="222"/>
      <c r="CMW20" s="222"/>
      <c r="CMX20" s="222"/>
      <c r="CMY20" s="222"/>
      <c r="CMZ20" s="222"/>
      <c r="CNA20" s="222"/>
      <c r="CNB20" s="222"/>
      <c r="CNC20" s="222"/>
      <c r="CND20" s="222"/>
      <c r="CNE20" s="222"/>
      <c r="CNF20" s="222"/>
      <c r="CNG20" s="222"/>
      <c r="CNH20" s="222"/>
      <c r="CNI20" s="222"/>
      <c r="CNJ20" s="222"/>
      <c r="CNK20" s="222"/>
      <c r="CNL20" s="222"/>
      <c r="CNM20" s="222"/>
      <c r="CNN20" s="222"/>
      <c r="CNO20" s="222"/>
      <c r="CNP20" s="222"/>
      <c r="CNQ20" s="222"/>
      <c r="CNR20" s="222"/>
      <c r="CNS20" s="222"/>
      <c r="CNT20" s="222"/>
      <c r="CNU20" s="222"/>
      <c r="CNV20" s="222"/>
      <c r="CNW20" s="222"/>
      <c r="CNX20" s="222"/>
      <c r="CNY20" s="222"/>
      <c r="CNZ20" s="222"/>
      <c r="COA20" s="222"/>
      <c r="COB20" s="222"/>
      <c r="COC20" s="222"/>
      <c r="COD20" s="222"/>
      <c r="COE20" s="222"/>
      <c r="COF20" s="222"/>
      <c r="COG20" s="222"/>
      <c r="COH20" s="222"/>
      <c r="COI20" s="222"/>
      <c r="COJ20" s="222"/>
      <c r="COK20" s="222"/>
      <c r="COL20" s="222"/>
      <c r="COM20" s="222"/>
      <c r="CON20" s="222"/>
      <c r="COO20" s="222"/>
      <c r="COP20" s="222"/>
      <c r="COQ20" s="222"/>
      <c r="COR20" s="222"/>
      <c r="COS20" s="222"/>
      <c r="COT20" s="222"/>
      <c r="COU20" s="222"/>
      <c r="COV20" s="222"/>
      <c r="COW20" s="222"/>
      <c r="COX20" s="222"/>
      <c r="COY20" s="222"/>
      <c r="COZ20" s="222"/>
      <c r="CPA20" s="222"/>
      <c r="CPB20" s="222"/>
      <c r="CPC20" s="222"/>
      <c r="CPD20" s="222"/>
      <c r="CPE20" s="222"/>
      <c r="CPF20" s="222"/>
      <c r="CPG20" s="222"/>
      <c r="CPH20" s="222"/>
      <c r="CPI20" s="222"/>
      <c r="CPJ20" s="222"/>
      <c r="CPK20" s="222"/>
      <c r="CPL20" s="222"/>
      <c r="CPM20" s="222"/>
      <c r="CPN20" s="222"/>
      <c r="CPO20" s="222"/>
      <c r="CPP20" s="222"/>
      <c r="CPQ20" s="222"/>
      <c r="CPR20" s="222"/>
      <c r="CPS20" s="222"/>
      <c r="CPT20" s="222"/>
      <c r="CPU20" s="222"/>
      <c r="CPV20" s="222"/>
      <c r="CPW20" s="222"/>
      <c r="CPX20" s="222"/>
      <c r="CPY20" s="222"/>
      <c r="CPZ20" s="222"/>
      <c r="CQA20" s="222"/>
      <c r="CQB20" s="222"/>
      <c r="CQC20" s="222"/>
      <c r="CQD20" s="222"/>
      <c r="CQE20" s="222"/>
      <c r="CQF20" s="222"/>
      <c r="CQG20" s="222"/>
      <c r="CQH20" s="222"/>
      <c r="CQI20" s="222"/>
      <c r="CQJ20" s="222"/>
      <c r="CQK20" s="222"/>
      <c r="CQL20" s="222"/>
      <c r="CQM20" s="222"/>
      <c r="CQN20" s="222"/>
      <c r="CQO20" s="222"/>
      <c r="CQP20" s="222"/>
      <c r="CQQ20" s="222"/>
      <c r="CQR20" s="222"/>
      <c r="CQS20" s="222"/>
      <c r="CQT20" s="222"/>
      <c r="CQU20" s="222"/>
      <c r="CQV20" s="222"/>
      <c r="CQW20" s="222"/>
      <c r="CQX20" s="222"/>
      <c r="CQY20" s="222"/>
      <c r="CQZ20" s="222"/>
      <c r="CRA20" s="222"/>
      <c r="CRB20" s="222"/>
      <c r="CRC20" s="222"/>
      <c r="CRD20" s="222"/>
      <c r="CRE20" s="222"/>
      <c r="CRF20" s="222"/>
      <c r="CRG20" s="222"/>
      <c r="CRH20" s="222"/>
      <c r="CRI20" s="222"/>
      <c r="CRJ20" s="222"/>
      <c r="CRK20" s="222"/>
      <c r="CRL20" s="222"/>
      <c r="CRM20" s="222"/>
      <c r="CRN20" s="222"/>
      <c r="CRO20" s="222"/>
      <c r="CRP20" s="222"/>
      <c r="CRQ20" s="222"/>
      <c r="CRR20" s="222"/>
      <c r="CRS20" s="222"/>
      <c r="CRT20" s="222"/>
      <c r="CRU20" s="222"/>
      <c r="CRV20" s="222"/>
      <c r="CRW20" s="222"/>
      <c r="CRX20" s="222"/>
      <c r="CRY20" s="222"/>
      <c r="CRZ20" s="222"/>
      <c r="CSA20" s="222"/>
      <c r="CSB20" s="222"/>
      <c r="CSC20" s="222"/>
      <c r="CSD20" s="222"/>
      <c r="CSE20" s="222"/>
      <c r="CSF20" s="222"/>
      <c r="CSG20" s="222"/>
      <c r="CSH20" s="222"/>
      <c r="CSI20" s="222"/>
      <c r="CSJ20" s="222"/>
      <c r="CSK20" s="222"/>
      <c r="CSL20" s="222"/>
      <c r="CSM20" s="222"/>
      <c r="CSN20" s="222"/>
      <c r="CSO20" s="222"/>
      <c r="CSP20" s="222"/>
      <c r="CSQ20" s="222"/>
      <c r="CSR20" s="222"/>
      <c r="CSS20" s="222"/>
      <c r="CST20" s="222"/>
      <c r="CSU20" s="222"/>
      <c r="CSV20" s="222"/>
      <c r="CSW20" s="222"/>
      <c r="CSX20" s="222"/>
      <c r="CSY20" s="222"/>
      <c r="CSZ20" s="222"/>
      <c r="CTA20" s="222"/>
      <c r="CTB20" s="222"/>
      <c r="CTC20" s="222"/>
      <c r="CTD20" s="222"/>
      <c r="CTE20" s="222"/>
      <c r="CTF20" s="222"/>
      <c r="CTG20" s="222"/>
      <c r="CTH20" s="222"/>
      <c r="CTI20" s="222"/>
      <c r="CTJ20" s="222"/>
      <c r="CTK20" s="222"/>
      <c r="CTL20" s="222"/>
      <c r="CTM20" s="222"/>
      <c r="CTN20" s="222"/>
      <c r="CTO20" s="222"/>
      <c r="CTP20" s="222"/>
      <c r="CTQ20" s="222"/>
      <c r="CTR20" s="222"/>
      <c r="CTS20" s="222"/>
      <c r="CTT20" s="222"/>
      <c r="CTU20" s="222"/>
      <c r="CTV20" s="222"/>
      <c r="CTW20" s="222"/>
      <c r="CTX20" s="222"/>
      <c r="CTY20" s="222"/>
      <c r="CTZ20" s="222"/>
      <c r="CUA20" s="222"/>
      <c r="CUB20" s="222"/>
      <c r="CUC20" s="222"/>
      <c r="CUD20" s="222"/>
      <c r="CUE20" s="222"/>
      <c r="CUF20" s="222"/>
      <c r="CUG20" s="222"/>
      <c r="CUH20" s="222"/>
      <c r="CUI20" s="222"/>
      <c r="CUJ20" s="222"/>
      <c r="CUK20" s="222"/>
      <c r="CUL20" s="222"/>
      <c r="CUM20" s="222"/>
      <c r="CUN20" s="222"/>
      <c r="CUO20" s="222"/>
      <c r="CUP20" s="222"/>
      <c r="CUQ20" s="222"/>
      <c r="CUR20" s="222"/>
      <c r="CUS20" s="222"/>
      <c r="CUT20" s="222"/>
      <c r="CUU20" s="222"/>
      <c r="CUV20" s="222"/>
      <c r="CUW20" s="222"/>
      <c r="CUX20" s="222"/>
      <c r="CUY20" s="222"/>
      <c r="CUZ20" s="222"/>
      <c r="CVA20" s="222"/>
      <c r="CVB20" s="222"/>
      <c r="CVC20" s="222"/>
      <c r="CVD20" s="222"/>
      <c r="CVE20" s="222"/>
      <c r="CVF20" s="222"/>
      <c r="CVG20" s="222"/>
      <c r="CVH20" s="222"/>
      <c r="CVI20" s="222"/>
      <c r="CVJ20" s="222"/>
      <c r="CVK20" s="222"/>
      <c r="CVL20" s="222"/>
      <c r="CVM20" s="222"/>
      <c r="CVN20" s="222"/>
      <c r="CVO20" s="222"/>
      <c r="CVP20" s="222"/>
      <c r="CVQ20" s="222"/>
      <c r="CVR20" s="222"/>
      <c r="CVS20" s="222"/>
      <c r="CVT20" s="222"/>
      <c r="CVU20" s="222"/>
      <c r="CVV20" s="222"/>
      <c r="CVW20" s="222"/>
      <c r="CVX20" s="222"/>
      <c r="CVY20" s="222"/>
      <c r="CVZ20" s="222"/>
      <c r="CWA20" s="222"/>
      <c r="CWB20" s="222"/>
      <c r="CWC20" s="222"/>
      <c r="CWD20" s="222"/>
      <c r="CWE20" s="222"/>
      <c r="CWF20" s="222"/>
      <c r="CWG20" s="222"/>
      <c r="CWH20" s="222"/>
      <c r="CWI20" s="222"/>
      <c r="CWJ20" s="222"/>
      <c r="CWK20" s="222"/>
      <c r="CWL20" s="222"/>
      <c r="CWM20" s="222"/>
      <c r="CWN20" s="222"/>
      <c r="CWO20" s="222"/>
      <c r="CWP20" s="222"/>
      <c r="CWQ20" s="222"/>
      <c r="CWR20" s="222"/>
      <c r="CWS20" s="222"/>
      <c r="CWT20" s="222"/>
      <c r="CWU20" s="222"/>
      <c r="CWV20" s="222"/>
      <c r="CWW20" s="222"/>
      <c r="CWX20" s="222"/>
      <c r="CWY20" s="222"/>
      <c r="CWZ20" s="222"/>
      <c r="CXA20" s="222"/>
      <c r="CXB20" s="222"/>
      <c r="CXC20" s="222"/>
      <c r="CXD20" s="222"/>
      <c r="CXE20" s="222"/>
      <c r="CXF20" s="222"/>
      <c r="CXG20" s="222"/>
      <c r="CXH20" s="222"/>
      <c r="CXI20" s="222"/>
      <c r="CXJ20" s="222"/>
      <c r="CXK20" s="222"/>
      <c r="CXL20" s="222"/>
      <c r="CXM20" s="222"/>
      <c r="CXN20" s="222"/>
      <c r="CXO20" s="222"/>
      <c r="CXP20" s="222"/>
      <c r="CXQ20" s="222"/>
      <c r="CXR20" s="222"/>
      <c r="CXS20" s="222"/>
      <c r="CXT20" s="222"/>
      <c r="CXU20" s="222"/>
      <c r="CXV20" s="222"/>
      <c r="CXW20" s="222"/>
      <c r="CXX20" s="222"/>
      <c r="CXY20" s="222"/>
      <c r="CXZ20" s="222"/>
      <c r="CYA20" s="222"/>
      <c r="CYB20" s="222"/>
      <c r="CYC20" s="222"/>
      <c r="CYD20" s="222"/>
      <c r="CYE20" s="222"/>
      <c r="CYF20" s="222"/>
      <c r="CYG20" s="222"/>
      <c r="CYH20" s="222"/>
      <c r="CYI20" s="222"/>
      <c r="CYJ20" s="222"/>
      <c r="CYK20" s="222"/>
      <c r="CYL20" s="222"/>
      <c r="CYM20" s="222"/>
      <c r="CYN20" s="222"/>
      <c r="CYO20" s="222"/>
      <c r="CYP20" s="222"/>
      <c r="CYQ20" s="222"/>
      <c r="CYR20" s="222"/>
      <c r="CYS20" s="222"/>
      <c r="CYT20" s="222"/>
      <c r="CYU20" s="222"/>
      <c r="CYV20" s="222"/>
      <c r="CYW20" s="222"/>
      <c r="CYX20" s="222"/>
      <c r="CYY20" s="222"/>
      <c r="CYZ20" s="222"/>
      <c r="CZA20" s="222"/>
      <c r="CZB20" s="222"/>
      <c r="CZC20" s="222"/>
      <c r="CZD20" s="222"/>
      <c r="CZE20" s="222"/>
      <c r="CZF20" s="222"/>
      <c r="CZG20" s="222"/>
      <c r="CZH20" s="222"/>
      <c r="CZI20" s="222"/>
      <c r="CZJ20" s="222"/>
      <c r="CZK20" s="222"/>
      <c r="CZL20" s="222"/>
      <c r="CZM20" s="222"/>
      <c r="CZN20" s="222"/>
      <c r="CZO20" s="222"/>
      <c r="CZP20" s="222"/>
      <c r="CZQ20" s="222"/>
      <c r="CZR20" s="222"/>
      <c r="CZS20" s="222"/>
      <c r="CZT20" s="222"/>
      <c r="CZU20" s="222"/>
      <c r="CZV20" s="222"/>
      <c r="CZW20" s="222"/>
      <c r="CZX20" s="222"/>
      <c r="CZY20" s="222"/>
      <c r="CZZ20" s="222"/>
      <c r="DAA20" s="222"/>
      <c r="DAB20" s="222"/>
      <c r="DAC20" s="222"/>
      <c r="DAD20" s="222"/>
      <c r="DAE20" s="222"/>
      <c r="DAF20" s="222"/>
      <c r="DAG20" s="222"/>
      <c r="DAH20" s="222"/>
      <c r="DAI20" s="222"/>
      <c r="DAJ20" s="222"/>
      <c r="DAK20" s="222"/>
      <c r="DAL20" s="222"/>
      <c r="DAM20" s="222"/>
      <c r="DAN20" s="222"/>
      <c r="DAO20" s="222"/>
      <c r="DAP20" s="222"/>
      <c r="DAQ20" s="222"/>
      <c r="DAR20" s="222"/>
      <c r="DAS20" s="222"/>
      <c r="DAT20" s="222"/>
      <c r="DAU20" s="222"/>
      <c r="DAV20" s="222"/>
      <c r="DAW20" s="222"/>
      <c r="DAX20" s="222"/>
      <c r="DAY20" s="222"/>
      <c r="DAZ20" s="222"/>
      <c r="DBA20" s="222"/>
      <c r="DBB20" s="222"/>
      <c r="DBC20" s="222"/>
      <c r="DBD20" s="222"/>
      <c r="DBE20" s="222"/>
      <c r="DBF20" s="222"/>
      <c r="DBG20" s="222"/>
      <c r="DBH20" s="222"/>
      <c r="DBI20" s="222"/>
      <c r="DBJ20" s="222"/>
      <c r="DBK20" s="222"/>
      <c r="DBL20" s="222"/>
      <c r="DBM20" s="222"/>
      <c r="DBN20" s="222"/>
      <c r="DBO20" s="222"/>
      <c r="DBP20" s="222"/>
      <c r="DBQ20" s="222"/>
      <c r="DBR20" s="222"/>
      <c r="DBS20" s="222"/>
      <c r="DBT20" s="222"/>
      <c r="DBU20" s="222"/>
      <c r="DBV20" s="222"/>
      <c r="DBW20" s="222"/>
      <c r="DBX20" s="222"/>
      <c r="DBY20" s="222"/>
      <c r="DBZ20" s="222"/>
      <c r="DCA20" s="222"/>
      <c r="DCB20" s="222"/>
      <c r="DCC20" s="222"/>
      <c r="DCD20" s="222"/>
      <c r="DCE20" s="222"/>
      <c r="DCF20" s="222"/>
      <c r="DCG20" s="222"/>
      <c r="DCH20" s="222"/>
      <c r="DCI20" s="222"/>
      <c r="DCJ20" s="222"/>
      <c r="DCK20" s="222"/>
      <c r="DCL20" s="222"/>
      <c r="DCM20" s="222"/>
      <c r="DCN20" s="222"/>
      <c r="DCO20" s="222"/>
      <c r="DCP20" s="222"/>
      <c r="DCQ20" s="222"/>
      <c r="DCR20" s="222"/>
      <c r="DCS20" s="222"/>
      <c r="DCT20" s="222"/>
      <c r="DCU20" s="222"/>
      <c r="DCV20" s="222"/>
      <c r="DCW20" s="222"/>
      <c r="DCX20" s="222"/>
      <c r="DCY20" s="222"/>
      <c r="DCZ20" s="222"/>
      <c r="DDA20" s="222"/>
      <c r="DDB20" s="222"/>
      <c r="DDC20" s="222"/>
      <c r="DDD20" s="222"/>
      <c r="DDE20" s="222"/>
      <c r="DDF20" s="222"/>
      <c r="DDG20" s="222"/>
      <c r="DDH20" s="222"/>
      <c r="DDI20" s="222"/>
      <c r="DDJ20" s="222"/>
      <c r="DDK20" s="222"/>
      <c r="DDL20" s="222"/>
      <c r="DDM20" s="222"/>
      <c r="DDN20" s="222"/>
      <c r="DDO20" s="222"/>
      <c r="DDP20" s="222"/>
      <c r="DDQ20" s="222"/>
      <c r="DDR20" s="222"/>
      <c r="DDS20" s="222"/>
      <c r="DDT20" s="222"/>
      <c r="DDU20" s="222"/>
      <c r="DDV20" s="222"/>
      <c r="DDW20" s="222"/>
      <c r="DDX20" s="222"/>
      <c r="DDY20" s="222"/>
      <c r="DDZ20" s="222"/>
      <c r="DEA20" s="222"/>
      <c r="DEB20" s="222"/>
      <c r="DEC20" s="222"/>
      <c r="DED20" s="222"/>
      <c r="DEE20" s="222"/>
      <c r="DEF20" s="222"/>
      <c r="DEG20" s="222"/>
      <c r="DEH20" s="222"/>
      <c r="DEI20" s="222"/>
      <c r="DEJ20" s="222"/>
      <c r="DEK20" s="222"/>
      <c r="DEL20" s="222"/>
      <c r="DEM20" s="222"/>
      <c r="DEN20" s="222"/>
      <c r="DEO20" s="222"/>
      <c r="DEP20" s="222"/>
      <c r="DEQ20" s="222"/>
      <c r="DER20" s="222"/>
      <c r="DES20" s="222"/>
      <c r="DET20" s="222"/>
      <c r="DEU20" s="222"/>
      <c r="DEV20" s="222"/>
      <c r="DEW20" s="222"/>
      <c r="DEX20" s="222"/>
      <c r="DEY20" s="222"/>
      <c r="DEZ20" s="222"/>
      <c r="DFA20" s="222"/>
      <c r="DFB20" s="222"/>
      <c r="DFC20" s="222"/>
      <c r="DFD20" s="222"/>
      <c r="DFE20" s="222"/>
      <c r="DFF20" s="222"/>
      <c r="DFG20" s="222"/>
      <c r="DFH20" s="222"/>
      <c r="DFI20" s="222"/>
      <c r="DFJ20" s="222"/>
      <c r="DFK20" s="222"/>
      <c r="DFL20" s="222"/>
      <c r="DFM20" s="222"/>
      <c r="DFN20" s="222"/>
      <c r="DFO20" s="222"/>
      <c r="DFP20" s="222"/>
      <c r="DFQ20" s="222"/>
      <c r="DFR20" s="222"/>
      <c r="DFS20" s="222"/>
      <c r="DFT20" s="222"/>
      <c r="DFU20" s="222"/>
      <c r="DFV20" s="222"/>
      <c r="DFW20" s="222"/>
      <c r="DFX20" s="222"/>
      <c r="DFY20" s="222"/>
      <c r="DFZ20" s="222"/>
      <c r="DGA20" s="222"/>
      <c r="DGB20" s="222"/>
      <c r="DGC20" s="222"/>
      <c r="DGD20" s="222"/>
      <c r="DGE20" s="222"/>
      <c r="DGF20" s="222"/>
      <c r="DGG20" s="222"/>
      <c r="DGH20" s="222"/>
      <c r="DGI20" s="222"/>
      <c r="DGJ20" s="222"/>
      <c r="DGK20" s="222"/>
      <c r="DGL20" s="222"/>
      <c r="DGM20" s="222"/>
      <c r="DGN20" s="222"/>
      <c r="DGO20" s="222"/>
      <c r="DGP20" s="222"/>
      <c r="DGQ20" s="222"/>
      <c r="DGR20" s="222"/>
      <c r="DGS20" s="222"/>
      <c r="DGT20" s="222"/>
      <c r="DGU20" s="222"/>
      <c r="DGV20" s="222"/>
      <c r="DGW20" s="222"/>
      <c r="DGX20" s="222"/>
      <c r="DGY20" s="222"/>
      <c r="DGZ20" s="222"/>
      <c r="DHA20" s="222"/>
      <c r="DHB20" s="222"/>
      <c r="DHC20" s="222"/>
      <c r="DHD20" s="222"/>
      <c r="DHE20" s="222"/>
      <c r="DHF20" s="222"/>
      <c r="DHG20" s="222"/>
      <c r="DHH20" s="222"/>
      <c r="DHI20" s="222"/>
      <c r="DHJ20" s="222"/>
      <c r="DHK20" s="222"/>
      <c r="DHL20" s="222"/>
      <c r="DHM20" s="222"/>
      <c r="DHN20" s="222"/>
      <c r="DHO20" s="222"/>
      <c r="DHP20" s="222"/>
      <c r="DHQ20" s="222"/>
      <c r="DHR20" s="222"/>
      <c r="DHS20" s="222"/>
      <c r="DHT20" s="222"/>
      <c r="DHU20" s="222"/>
      <c r="DHV20" s="222"/>
      <c r="DHW20" s="222"/>
      <c r="DHX20" s="222"/>
      <c r="DHY20" s="222"/>
      <c r="DHZ20" s="222"/>
      <c r="DIA20" s="222"/>
      <c r="DIB20" s="222"/>
      <c r="DIC20" s="222"/>
      <c r="DID20" s="222"/>
      <c r="DIE20" s="222"/>
      <c r="DIF20" s="222"/>
      <c r="DIG20" s="222"/>
      <c r="DIH20" s="222"/>
      <c r="DII20" s="222"/>
      <c r="DIJ20" s="222"/>
      <c r="DIK20" s="222"/>
      <c r="DIL20" s="222"/>
      <c r="DIM20" s="222"/>
      <c r="DIN20" s="222"/>
      <c r="DIO20" s="222"/>
      <c r="DIP20" s="222"/>
      <c r="DIQ20" s="222"/>
      <c r="DIR20" s="222"/>
      <c r="DIS20" s="222"/>
      <c r="DIT20" s="222"/>
      <c r="DIU20" s="222"/>
      <c r="DIV20" s="222"/>
      <c r="DIW20" s="222"/>
      <c r="DIX20" s="222"/>
      <c r="DIY20" s="222"/>
      <c r="DIZ20" s="222"/>
      <c r="DJA20" s="222"/>
      <c r="DJB20" s="222"/>
      <c r="DJC20" s="222"/>
      <c r="DJD20" s="222"/>
      <c r="DJE20" s="222"/>
      <c r="DJF20" s="222"/>
      <c r="DJG20" s="222"/>
      <c r="DJH20" s="222"/>
      <c r="DJI20" s="222"/>
      <c r="DJJ20" s="222"/>
      <c r="DJK20" s="222"/>
      <c r="DJL20" s="222"/>
      <c r="DJM20" s="222"/>
      <c r="DJN20" s="222"/>
      <c r="DJO20" s="222"/>
      <c r="DJP20" s="222"/>
      <c r="DJQ20" s="222"/>
      <c r="DJR20" s="222"/>
      <c r="DJS20" s="222"/>
      <c r="DJT20" s="222"/>
      <c r="DJU20" s="222"/>
      <c r="DJV20" s="222"/>
      <c r="DJW20" s="222"/>
      <c r="DJX20" s="222"/>
      <c r="DJY20" s="222"/>
      <c r="DJZ20" s="222"/>
      <c r="DKA20" s="222"/>
      <c r="DKB20" s="222"/>
      <c r="DKC20" s="222"/>
      <c r="DKD20" s="222"/>
      <c r="DKE20" s="222"/>
      <c r="DKF20" s="222"/>
      <c r="DKG20" s="222"/>
      <c r="DKH20" s="222"/>
      <c r="DKI20" s="222"/>
      <c r="DKJ20" s="222"/>
      <c r="DKK20" s="222"/>
      <c r="DKL20" s="222"/>
      <c r="DKM20" s="222"/>
      <c r="DKN20" s="222"/>
      <c r="DKO20" s="222"/>
      <c r="DKP20" s="222"/>
      <c r="DKQ20" s="222"/>
      <c r="DKR20" s="222"/>
      <c r="DKS20" s="222"/>
      <c r="DKT20" s="222"/>
      <c r="DKU20" s="222"/>
      <c r="DKV20" s="222"/>
      <c r="DKW20" s="222"/>
      <c r="DKX20" s="222"/>
      <c r="DKY20" s="222"/>
      <c r="DKZ20" s="222"/>
      <c r="DLA20" s="222"/>
      <c r="DLB20" s="222"/>
      <c r="DLC20" s="222"/>
      <c r="DLD20" s="222"/>
      <c r="DLE20" s="222"/>
      <c r="DLF20" s="222"/>
      <c r="DLG20" s="222"/>
      <c r="DLH20" s="222"/>
      <c r="DLI20" s="222"/>
      <c r="DLJ20" s="222"/>
      <c r="DLK20" s="222"/>
      <c r="DLL20" s="222"/>
      <c r="DLM20" s="222"/>
      <c r="DLN20" s="222"/>
      <c r="DLO20" s="222"/>
      <c r="DLP20" s="222"/>
      <c r="DLQ20" s="222"/>
      <c r="DLR20" s="222"/>
      <c r="DLS20" s="222"/>
      <c r="DLT20" s="222"/>
      <c r="DLU20" s="222"/>
      <c r="DLV20" s="222"/>
      <c r="DLW20" s="222"/>
      <c r="DLX20" s="222"/>
      <c r="DLY20" s="222"/>
      <c r="DLZ20" s="222"/>
      <c r="DMA20" s="222"/>
      <c r="DMB20" s="222"/>
      <c r="DMC20" s="222"/>
      <c r="DMD20" s="222"/>
      <c r="DME20" s="222"/>
      <c r="DMF20" s="222"/>
      <c r="DMG20" s="222"/>
      <c r="DMH20" s="222"/>
      <c r="DMI20" s="222"/>
      <c r="DMJ20" s="222"/>
      <c r="DMK20" s="222"/>
      <c r="DML20" s="222"/>
      <c r="DMM20" s="222"/>
      <c r="DMN20" s="222"/>
      <c r="DMO20" s="222"/>
      <c r="DMP20" s="222"/>
      <c r="DMQ20" s="222"/>
      <c r="DMR20" s="222"/>
      <c r="DMS20" s="222"/>
      <c r="DMT20" s="222"/>
      <c r="DMU20" s="222"/>
      <c r="DMV20" s="222"/>
      <c r="DMW20" s="222"/>
      <c r="DMX20" s="222"/>
      <c r="DMY20" s="222"/>
      <c r="DMZ20" s="222"/>
      <c r="DNA20" s="222"/>
      <c r="DNB20" s="222"/>
      <c r="DNC20" s="222"/>
      <c r="DND20" s="222"/>
      <c r="DNE20" s="222"/>
      <c r="DNF20" s="222"/>
      <c r="DNG20" s="222"/>
      <c r="DNH20" s="222"/>
      <c r="DNI20" s="222"/>
      <c r="DNJ20" s="222"/>
      <c r="DNK20" s="222"/>
      <c r="DNL20" s="222"/>
      <c r="DNM20" s="222"/>
      <c r="DNN20" s="222"/>
      <c r="DNO20" s="222"/>
      <c r="DNP20" s="222"/>
      <c r="DNQ20" s="222"/>
      <c r="DNR20" s="222"/>
      <c r="DNS20" s="222"/>
      <c r="DNT20" s="222"/>
      <c r="DNU20" s="222"/>
      <c r="DNV20" s="222"/>
      <c r="DNW20" s="222"/>
      <c r="DNX20" s="222"/>
      <c r="DNY20" s="222"/>
      <c r="DNZ20" s="222"/>
      <c r="DOA20" s="222"/>
      <c r="DOB20" s="222"/>
      <c r="DOC20" s="222"/>
      <c r="DOD20" s="222"/>
      <c r="DOE20" s="222"/>
      <c r="DOF20" s="222"/>
      <c r="DOG20" s="222"/>
      <c r="DOH20" s="222"/>
      <c r="DOI20" s="222"/>
      <c r="DOJ20" s="222"/>
      <c r="DOK20" s="222"/>
      <c r="DOL20" s="222"/>
      <c r="DOM20" s="222"/>
      <c r="DON20" s="222"/>
      <c r="DOO20" s="222"/>
      <c r="DOP20" s="222"/>
      <c r="DOQ20" s="222"/>
      <c r="DOR20" s="222"/>
      <c r="DOS20" s="222"/>
      <c r="DOT20" s="222"/>
      <c r="DOU20" s="222"/>
      <c r="DOV20" s="222"/>
      <c r="DOW20" s="222"/>
      <c r="DOX20" s="222"/>
      <c r="DOY20" s="222"/>
      <c r="DOZ20" s="222"/>
      <c r="DPA20" s="222"/>
      <c r="DPB20" s="222"/>
      <c r="DPC20" s="222"/>
      <c r="DPD20" s="222"/>
      <c r="DPE20" s="222"/>
      <c r="DPF20" s="222"/>
      <c r="DPG20" s="222"/>
      <c r="DPH20" s="222"/>
      <c r="DPI20" s="222"/>
      <c r="DPJ20" s="222"/>
      <c r="DPK20" s="222"/>
      <c r="DPL20" s="222"/>
      <c r="DPM20" s="222"/>
      <c r="DPN20" s="222"/>
      <c r="DPO20" s="222"/>
      <c r="DPP20" s="222"/>
      <c r="DPQ20" s="222"/>
      <c r="DPR20" s="222"/>
      <c r="DPS20" s="222"/>
      <c r="DPT20" s="222"/>
      <c r="DPU20" s="222"/>
      <c r="DPV20" s="222"/>
      <c r="DPW20" s="222"/>
      <c r="DPX20" s="222"/>
      <c r="DPY20" s="222"/>
      <c r="DPZ20" s="222"/>
      <c r="DQA20" s="222"/>
      <c r="DQB20" s="222"/>
      <c r="DQC20" s="222"/>
      <c r="DQD20" s="222"/>
      <c r="DQE20" s="222"/>
      <c r="DQF20" s="222"/>
      <c r="DQG20" s="222"/>
      <c r="DQH20" s="222"/>
      <c r="DQI20" s="222"/>
      <c r="DQJ20" s="222"/>
      <c r="DQK20" s="222"/>
      <c r="DQL20" s="222"/>
      <c r="DQM20" s="222"/>
      <c r="DQN20" s="222"/>
      <c r="DQO20" s="222"/>
      <c r="DQP20" s="222"/>
      <c r="DQQ20" s="222"/>
      <c r="DQR20" s="222"/>
      <c r="DQS20" s="222"/>
      <c r="DQT20" s="222"/>
      <c r="DQU20" s="222"/>
      <c r="DQV20" s="222"/>
      <c r="DQW20" s="222"/>
      <c r="DQX20" s="222"/>
      <c r="DQY20" s="222"/>
      <c r="DQZ20" s="222"/>
      <c r="DRA20" s="222"/>
      <c r="DRB20" s="222"/>
      <c r="DRC20" s="222"/>
      <c r="DRD20" s="222"/>
      <c r="DRE20" s="222"/>
      <c r="DRF20" s="222"/>
      <c r="DRG20" s="222"/>
      <c r="DRH20" s="222"/>
      <c r="DRI20" s="222"/>
      <c r="DRJ20" s="222"/>
      <c r="DRK20" s="222"/>
      <c r="DRL20" s="222"/>
      <c r="DRM20" s="222"/>
      <c r="DRN20" s="222"/>
      <c r="DRO20" s="222"/>
      <c r="DRP20" s="222"/>
      <c r="DRQ20" s="222"/>
      <c r="DRR20" s="222"/>
      <c r="DRS20" s="222"/>
      <c r="DRT20" s="222"/>
      <c r="DRU20" s="222"/>
      <c r="DRV20" s="222"/>
      <c r="DRW20" s="222"/>
      <c r="DRX20" s="222"/>
      <c r="DRY20" s="222"/>
      <c r="DRZ20" s="222"/>
      <c r="DSA20" s="222"/>
      <c r="DSB20" s="222"/>
      <c r="DSC20" s="222"/>
      <c r="DSD20" s="222"/>
      <c r="DSE20" s="222"/>
      <c r="DSF20" s="222"/>
      <c r="DSG20" s="222"/>
      <c r="DSH20" s="222"/>
      <c r="DSI20" s="222"/>
      <c r="DSJ20" s="222"/>
      <c r="DSK20" s="222"/>
      <c r="DSL20" s="222"/>
      <c r="DSM20" s="222"/>
      <c r="DSN20" s="222"/>
      <c r="DSO20" s="222"/>
      <c r="DSP20" s="222"/>
      <c r="DSQ20" s="222"/>
      <c r="DSR20" s="222"/>
      <c r="DSS20" s="222"/>
      <c r="DST20" s="222"/>
      <c r="DSU20" s="222"/>
      <c r="DSV20" s="222"/>
      <c r="DSW20" s="222"/>
      <c r="DSX20" s="222"/>
      <c r="DSY20" s="222"/>
      <c r="DSZ20" s="222"/>
      <c r="DTA20" s="222"/>
      <c r="DTB20" s="222"/>
      <c r="DTC20" s="222"/>
      <c r="DTD20" s="222"/>
      <c r="DTE20" s="222"/>
      <c r="DTF20" s="222"/>
      <c r="DTG20" s="222"/>
      <c r="DTH20" s="222"/>
      <c r="DTI20" s="222"/>
      <c r="DTJ20" s="222"/>
      <c r="DTK20" s="222"/>
      <c r="DTL20" s="222"/>
      <c r="DTM20" s="222"/>
      <c r="DTN20" s="222"/>
      <c r="DTO20" s="222"/>
      <c r="DTP20" s="222"/>
      <c r="DTQ20" s="222"/>
      <c r="DTR20" s="222"/>
      <c r="DTS20" s="222"/>
      <c r="DTT20" s="222"/>
      <c r="DTU20" s="222"/>
      <c r="DTV20" s="222"/>
      <c r="DTW20" s="222"/>
      <c r="DTX20" s="222"/>
      <c r="DTY20" s="222"/>
      <c r="DTZ20" s="222"/>
      <c r="DUA20" s="222"/>
      <c r="DUB20" s="222"/>
      <c r="DUC20" s="222"/>
      <c r="DUD20" s="222"/>
      <c r="DUE20" s="222"/>
      <c r="DUF20" s="222"/>
      <c r="DUG20" s="222"/>
      <c r="DUH20" s="222"/>
      <c r="DUI20" s="222"/>
      <c r="DUJ20" s="222"/>
      <c r="DUK20" s="222"/>
      <c r="DUL20" s="222"/>
      <c r="DUM20" s="222"/>
      <c r="DUN20" s="222"/>
      <c r="DUO20" s="222"/>
      <c r="DUP20" s="222"/>
      <c r="DUQ20" s="222"/>
      <c r="DUR20" s="222"/>
      <c r="DUS20" s="222"/>
      <c r="DUT20" s="222"/>
      <c r="DUU20" s="222"/>
      <c r="DUV20" s="222"/>
      <c r="DUW20" s="222"/>
      <c r="DUX20" s="222"/>
      <c r="DUY20" s="222"/>
      <c r="DUZ20" s="222"/>
      <c r="DVA20" s="222"/>
      <c r="DVB20" s="222"/>
      <c r="DVC20" s="222"/>
      <c r="DVD20" s="222"/>
      <c r="DVE20" s="222"/>
      <c r="DVF20" s="222"/>
      <c r="DVG20" s="222"/>
      <c r="DVH20" s="222"/>
      <c r="DVI20" s="222"/>
      <c r="DVJ20" s="222"/>
      <c r="DVK20" s="222"/>
      <c r="DVL20" s="222"/>
      <c r="DVM20" s="222"/>
      <c r="DVN20" s="222"/>
      <c r="DVO20" s="222"/>
      <c r="DVP20" s="222"/>
      <c r="DVQ20" s="222"/>
      <c r="DVR20" s="222"/>
      <c r="DVS20" s="222"/>
      <c r="DVT20" s="222"/>
      <c r="DVU20" s="222"/>
      <c r="DVV20" s="222"/>
      <c r="DVW20" s="222"/>
      <c r="DVX20" s="222"/>
      <c r="DVY20" s="222"/>
      <c r="DVZ20" s="222"/>
      <c r="DWA20" s="222"/>
      <c r="DWB20" s="222"/>
      <c r="DWC20" s="222"/>
      <c r="DWD20" s="222"/>
      <c r="DWE20" s="222"/>
      <c r="DWF20" s="222"/>
      <c r="DWG20" s="222"/>
      <c r="DWH20" s="222"/>
      <c r="DWI20" s="222"/>
      <c r="DWJ20" s="222"/>
      <c r="DWK20" s="222"/>
      <c r="DWL20" s="222"/>
      <c r="DWM20" s="222"/>
      <c r="DWN20" s="222"/>
      <c r="DWO20" s="222"/>
      <c r="DWP20" s="222"/>
      <c r="DWQ20" s="222"/>
      <c r="DWR20" s="222"/>
      <c r="DWS20" s="222"/>
      <c r="DWT20" s="222"/>
      <c r="DWU20" s="222"/>
      <c r="DWV20" s="222"/>
      <c r="DWW20" s="222"/>
      <c r="DWX20" s="222"/>
      <c r="DWY20" s="222"/>
      <c r="DWZ20" s="222"/>
      <c r="DXA20" s="222"/>
      <c r="DXB20" s="222"/>
      <c r="DXC20" s="222"/>
      <c r="DXD20" s="222"/>
      <c r="DXE20" s="222"/>
      <c r="DXF20" s="222"/>
      <c r="DXG20" s="222"/>
      <c r="DXH20" s="222"/>
      <c r="DXI20" s="222"/>
      <c r="DXJ20" s="222"/>
      <c r="DXK20" s="222"/>
      <c r="DXL20" s="222"/>
      <c r="DXM20" s="222"/>
      <c r="DXN20" s="222"/>
      <c r="DXO20" s="222"/>
      <c r="DXP20" s="222"/>
      <c r="DXQ20" s="222"/>
      <c r="DXR20" s="222"/>
      <c r="DXS20" s="222"/>
      <c r="DXT20" s="222"/>
      <c r="DXU20" s="222"/>
      <c r="DXV20" s="222"/>
      <c r="DXW20" s="222"/>
      <c r="DXX20" s="222"/>
      <c r="DXY20" s="222"/>
      <c r="DXZ20" s="222"/>
      <c r="DYA20" s="222"/>
      <c r="DYB20" s="222"/>
      <c r="DYC20" s="222"/>
      <c r="DYD20" s="222"/>
      <c r="DYE20" s="222"/>
      <c r="DYF20" s="222"/>
      <c r="DYG20" s="222"/>
      <c r="DYH20" s="222"/>
      <c r="DYI20" s="222"/>
      <c r="DYJ20" s="222"/>
      <c r="DYK20" s="222"/>
      <c r="DYL20" s="222"/>
      <c r="DYM20" s="222"/>
      <c r="DYN20" s="222"/>
      <c r="DYO20" s="222"/>
      <c r="DYP20" s="222"/>
      <c r="DYQ20" s="222"/>
      <c r="DYR20" s="222"/>
      <c r="DYS20" s="222"/>
      <c r="DYT20" s="222"/>
      <c r="DYU20" s="222"/>
      <c r="DYV20" s="222"/>
      <c r="DYW20" s="222"/>
      <c r="DYX20" s="222"/>
      <c r="DYY20" s="222"/>
      <c r="DYZ20" s="222"/>
      <c r="DZA20" s="222"/>
      <c r="DZB20" s="222"/>
      <c r="DZC20" s="222"/>
      <c r="DZD20" s="222"/>
      <c r="DZE20" s="222"/>
      <c r="DZF20" s="222"/>
      <c r="DZG20" s="222"/>
      <c r="DZH20" s="222"/>
      <c r="DZI20" s="222"/>
      <c r="DZJ20" s="222"/>
      <c r="DZK20" s="222"/>
      <c r="DZL20" s="222"/>
      <c r="DZM20" s="222"/>
      <c r="DZN20" s="222"/>
      <c r="DZO20" s="222"/>
      <c r="DZP20" s="222"/>
      <c r="DZQ20" s="222"/>
      <c r="DZR20" s="222"/>
      <c r="DZS20" s="222"/>
      <c r="DZT20" s="222"/>
      <c r="DZU20" s="222"/>
      <c r="DZV20" s="222"/>
      <c r="DZW20" s="222"/>
      <c r="DZX20" s="222"/>
      <c r="DZY20" s="222"/>
      <c r="DZZ20" s="222"/>
      <c r="EAA20" s="222"/>
      <c r="EAB20" s="222"/>
      <c r="EAC20" s="222"/>
      <c r="EAD20" s="222"/>
      <c r="EAE20" s="222"/>
      <c r="EAF20" s="222"/>
      <c r="EAG20" s="222"/>
      <c r="EAH20" s="222"/>
      <c r="EAI20" s="222"/>
      <c r="EAJ20" s="222"/>
      <c r="EAK20" s="222"/>
      <c r="EAL20" s="222"/>
      <c r="EAM20" s="222"/>
      <c r="EAN20" s="222"/>
      <c r="EAO20" s="222"/>
      <c r="EAP20" s="222"/>
      <c r="EAQ20" s="222"/>
      <c r="EAR20" s="222"/>
      <c r="EAS20" s="222"/>
      <c r="EAT20" s="222"/>
      <c r="EAU20" s="222"/>
      <c r="EAV20" s="222"/>
      <c r="EAW20" s="222"/>
      <c r="EAX20" s="222"/>
      <c r="EAY20" s="222"/>
      <c r="EAZ20" s="222"/>
      <c r="EBA20" s="222"/>
      <c r="EBB20" s="222"/>
      <c r="EBC20" s="222"/>
      <c r="EBD20" s="222"/>
      <c r="EBE20" s="222"/>
      <c r="EBF20" s="222"/>
      <c r="EBG20" s="222"/>
      <c r="EBH20" s="222"/>
      <c r="EBI20" s="222"/>
      <c r="EBJ20" s="222"/>
      <c r="EBK20" s="222"/>
      <c r="EBL20" s="222"/>
      <c r="EBM20" s="222"/>
      <c r="EBN20" s="222"/>
      <c r="EBO20" s="222"/>
      <c r="EBP20" s="222"/>
      <c r="EBQ20" s="222"/>
      <c r="EBR20" s="222"/>
      <c r="EBS20" s="222"/>
      <c r="EBT20" s="222"/>
      <c r="EBU20" s="222"/>
      <c r="EBV20" s="222"/>
      <c r="EBW20" s="222"/>
      <c r="EBX20" s="222"/>
      <c r="EBY20" s="222"/>
      <c r="EBZ20" s="222"/>
      <c r="ECA20" s="222"/>
      <c r="ECB20" s="222"/>
      <c r="ECC20" s="222"/>
      <c r="ECD20" s="222"/>
      <c r="ECE20" s="222"/>
      <c r="ECF20" s="222"/>
      <c r="ECG20" s="222"/>
      <c r="ECH20" s="222"/>
      <c r="ECI20" s="222"/>
      <c r="ECJ20" s="222"/>
      <c r="ECK20" s="222"/>
      <c r="ECL20" s="222"/>
      <c r="ECM20" s="222"/>
      <c r="ECN20" s="222"/>
      <c r="ECO20" s="222"/>
      <c r="ECP20" s="222"/>
      <c r="ECQ20" s="222"/>
      <c r="ECR20" s="222"/>
      <c r="ECS20" s="222"/>
      <c r="ECT20" s="222"/>
      <c r="ECU20" s="222"/>
      <c r="ECV20" s="222"/>
      <c r="ECW20" s="222"/>
      <c r="ECX20" s="222"/>
      <c r="ECY20" s="222"/>
      <c r="ECZ20" s="222"/>
      <c r="EDA20" s="222"/>
      <c r="EDB20" s="222"/>
      <c r="EDC20" s="222"/>
      <c r="EDD20" s="222"/>
      <c r="EDE20" s="222"/>
      <c r="EDF20" s="222"/>
      <c r="EDG20" s="222"/>
      <c r="EDH20" s="222"/>
      <c r="EDI20" s="222"/>
      <c r="EDJ20" s="222"/>
      <c r="EDK20" s="222"/>
      <c r="EDL20" s="222"/>
      <c r="EDM20" s="222"/>
      <c r="EDN20" s="222"/>
      <c r="EDO20" s="222"/>
      <c r="EDP20" s="222"/>
      <c r="EDQ20" s="222"/>
      <c r="EDR20" s="222"/>
      <c r="EDS20" s="222"/>
      <c r="EDT20" s="222"/>
      <c r="EDU20" s="222"/>
      <c r="EDV20" s="222"/>
      <c r="EDW20" s="222"/>
      <c r="EDX20" s="222"/>
      <c r="EDY20" s="222"/>
      <c r="EDZ20" s="222"/>
      <c r="EEA20" s="222"/>
      <c r="EEB20" s="222"/>
      <c r="EEC20" s="222"/>
      <c r="EED20" s="222"/>
      <c r="EEE20" s="222"/>
      <c r="EEF20" s="222"/>
      <c r="EEG20" s="222"/>
      <c r="EEH20" s="222"/>
      <c r="EEI20" s="222"/>
      <c r="EEJ20" s="222"/>
      <c r="EEK20" s="222"/>
      <c r="EEL20" s="222"/>
      <c r="EEM20" s="222"/>
      <c r="EEN20" s="222"/>
      <c r="EEO20" s="222"/>
      <c r="EEP20" s="222"/>
      <c r="EEQ20" s="222"/>
      <c r="EER20" s="222"/>
      <c r="EES20" s="222"/>
      <c r="EET20" s="222"/>
      <c r="EEU20" s="222"/>
      <c r="EEV20" s="222"/>
      <c r="EEW20" s="222"/>
      <c r="EEX20" s="222"/>
      <c r="EEY20" s="222"/>
      <c r="EEZ20" s="222"/>
      <c r="EFA20" s="222"/>
      <c r="EFB20" s="222"/>
      <c r="EFC20" s="222"/>
      <c r="EFD20" s="222"/>
      <c r="EFE20" s="222"/>
      <c r="EFF20" s="222"/>
      <c r="EFG20" s="222"/>
      <c r="EFH20" s="222"/>
      <c r="EFI20" s="222"/>
      <c r="EFJ20" s="222"/>
      <c r="EFK20" s="222"/>
      <c r="EFL20" s="222"/>
      <c r="EFM20" s="222"/>
      <c r="EFN20" s="222"/>
      <c r="EFO20" s="222"/>
      <c r="EFP20" s="222"/>
      <c r="EFQ20" s="222"/>
      <c r="EFR20" s="222"/>
      <c r="EFS20" s="222"/>
      <c r="EFT20" s="222"/>
      <c r="EFU20" s="222"/>
      <c r="EFV20" s="222"/>
      <c r="EFW20" s="222"/>
      <c r="EFX20" s="222"/>
      <c r="EFY20" s="222"/>
      <c r="EFZ20" s="222"/>
      <c r="EGA20" s="222"/>
      <c r="EGB20" s="222"/>
      <c r="EGC20" s="222"/>
      <c r="EGD20" s="222"/>
      <c r="EGE20" s="222"/>
      <c r="EGF20" s="222"/>
      <c r="EGG20" s="222"/>
      <c r="EGH20" s="222"/>
      <c r="EGI20" s="222"/>
      <c r="EGJ20" s="222"/>
      <c r="EGK20" s="222"/>
      <c r="EGL20" s="222"/>
      <c r="EGM20" s="222"/>
      <c r="EGN20" s="222"/>
      <c r="EGO20" s="222"/>
      <c r="EGP20" s="222"/>
      <c r="EGQ20" s="222"/>
      <c r="EGR20" s="222"/>
      <c r="EGS20" s="222"/>
      <c r="EGT20" s="222"/>
      <c r="EGU20" s="222"/>
      <c r="EGV20" s="222"/>
      <c r="EGW20" s="222"/>
      <c r="EGX20" s="222"/>
      <c r="EGY20" s="222"/>
      <c r="EGZ20" s="222"/>
      <c r="EHA20" s="222"/>
      <c r="EHB20" s="222"/>
      <c r="EHC20" s="222"/>
      <c r="EHD20" s="222"/>
      <c r="EHE20" s="222"/>
      <c r="EHF20" s="222"/>
      <c r="EHG20" s="222"/>
      <c r="EHH20" s="222"/>
      <c r="EHI20" s="222"/>
      <c r="EHJ20" s="222"/>
      <c r="EHK20" s="222"/>
      <c r="EHL20" s="222"/>
      <c r="EHM20" s="222"/>
      <c r="EHN20" s="222"/>
      <c r="EHO20" s="222"/>
      <c r="EHP20" s="222"/>
      <c r="EHQ20" s="222"/>
      <c r="EHR20" s="222"/>
      <c r="EHS20" s="222"/>
      <c r="EHT20" s="222"/>
      <c r="EHU20" s="222"/>
      <c r="EHV20" s="222"/>
      <c r="EHW20" s="222"/>
      <c r="EHX20" s="222"/>
      <c r="EHY20" s="222"/>
      <c r="EHZ20" s="222"/>
      <c r="EIA20" s="222"/>
      <c r="EIB20" s="222"/>
      <c r="EIC20" s="222"/>
      <c r="EID20" s="222"/>
      <c r="EIE20" s="222"/>
      <c r="EIF20" s="222"/>
      <c r="EIG20" s="222"/>
      <c r="EIH20" s="222"/>
      <c r="EII20" s="222"/>
      <c r="EIJ20" s="222"/>
      <c r="EIK20" s="222"/>
      <c r="EIL20" s="222"/>
      <c r="EIM20" s="222"/>
      <c r="EIN20" s="222"/>
      <c r="EIO20" s="222"/>
      <c r="EIP20" s="222"/>
      <c r="EIQ20" s="222"/>
      <c r="EIR20" s="222"/>
      <c r="EIS20" s="222"/>
      <c r="EIT20" s="222"/>
      <c r="EIU20" s="222"/>
      <c r="EIV20" s="222"/>
      <c r="EIW20" s="222"/>
      <c r="EIX20" s="222"/>
      <c r="EIY20" s="222"/>
      <c r="EIZ20" s="222"/>
      <c r="EJA20" s="222"/>
      <c r="EJB20" s="222"/>
      <c r="EJC20" s="222"/>
      <c r="EJD20" s="222"/>
      <c r="EJE20" s="222"/>
      <c r="EJF20" s="222"/>
      <c r="EJG20" s="222"/>
      <c r="EJH20" s="222"/>
      <c r="EJI20" s="222"/>
      <c r="EJJ20" s="222"/>
      <c r="EJK20" s="222"/>
      <c r="EJL20" s="222"/>
      <c r="EJM20" s="222"/>
      <c r="EJN20" s="222"/>
      <c r="EJO20" s="222"/>
      <c r="EJP20" s="222"/>
      <c r="EJQ20" s="222"/>
      <c r="EJR20" s="222"/>
      <c r="EJS20" s="222"/>
      <c r="EJT20" s="222"/>
      <c r="EJU20" s="222"/>
      <c r="EJV20" s="222"/>
      <c r="EJW20" s="222"/>
      <c r="EJX20" s="222"/>
      <c r="EJY20" s="222"/>
      <c r="EJZ20" s="222"/>
      <c r="EKA20" s="222"/>
      <c r="EKB20" s="222"/>
      <c r="EKC20" s="222"/>
      <c r="EKD20" s="222"/>
      <c r="EKE20" s="222"/>
      <c r="EKF20" s="222"/>
      <c r="EKG20" s="222"/>
      <c r="EKH20" s="222"/>
      <c r="EKI20" s="222"/>
      <c r="EKJ20" s="222"/>
      <c r="EKK20" s="222"/>
      <c r="EKL20" s="222"/>
      <c r="EKM20" s="222"/>
      <c r="EKN20" s="222"/>
      <c r="EKO20" s="222"/>
      <c r="EKP20" s="222"/>
      <c r="EKQ20" s="222"/>
      <c r="EKR20" s="222"/>
      <c r="EKS20" s="222"/>
      <c r="EKT20" s="222"/>
      <c r="EKU20" s="222"/>
      <c r="EKV20" s="222"/>
      <c r="EKW20" s="222"/>
      <c r="EKX20" s="222"/>
      <c r="EKY20" s="222"/>
      <c r="EKZ20" s="222"/>
      <c r="ELA20" s="222"/>
      <c r="ELB20" s="222"/>
      <c r="ELC20" s="222"/>
      <c r="ELD20" s="222"/>
      <c r="ELE20" s="222"/>
      <c r="ELF20" s="222"/>
      <c r="ELG20" s="222"/>
      <c r="ELH20" s="222"/>
      <c r="ELI20" s="222"/>
      <c r="ELJ20" s="222"/>
      <c r="ELK20" s="222"/>
      <c r="ELL20" s="222"/>
      <c r="ELM20" s="222"/>
      <c r="ELN20" s="222"/>
      <c r="ELO20" s="222"/>
      <c r="ELP20" s="222"/>
      <c r="ELQ20" s="222"/>
      <c r="ELR20" s="222"/>
      <c r="ELS20" s="222"/>
      <c r="ELT20" s="222"/>
      <c r="ELU20" s="222"/>
      <c r="ELV20" s="222"/>
      <c r="ELW20" s="222"/>
      <c r="ELX20" s="222"/>
      <c r="ELY20" s="222"/>
      <c r="ELZ20" s="222"/>
      <c r="EMA20" s="222"/>
      <c r="EMB20" s="222"/>
      <c r="EMC20" s="222"/>
      <c r="EMD20" s="222"/>
      <c r="EME20" s="222"/>
      <c r="EMF20" s="222"/>
      <c r="EMG20" s="222"/>
      <c r="EMH20" s="222"/>
      <c r="EMI20" s="222"/>
      <c r="EMJ20" s="222"/>
      <c r="EMK20" s="222"/>
      <c r="EML20" s="222"/>
      <c r="EMM20" s="222"/>
      <c r="EMN20" s="222"/>
      <c r="EMO20" s="222"/>
      <c r="EMP20" s="222"/>
      <c r="EMQ20" s="222"/>
      <c r="EMR20" s="222"/>
      <c r="EMS20" s="222"/>
      <c r="EMT20" s="222"/>
      <c r="EMU20" s="222"/>
      <c r="EMV20" s="222"/>
      <c r="EMW20" s="222"/>
      <c r="EMX20" s="222"/>
      <c r="EMY20" s="222"/>
      <c r="EMZ20" s="222"/>
      <c r="ENA20" s="222"/>
      <c r="ENB20" s="222"/>
      <c r="ENC20" s="222"/>
      <c r="END20" s="222"/>
      <c r="ENE20" s="222"/>
      <c r="ENF20" s="222"/>
      <c r="ENG20" s="222"/>
      <c r="ENH20" s="222"/>
      <c r="ENI20" s="222"/>
      <c r="ENJ20" s="222"/>
      <c r="ENK20" s="222"/>
      <c r="ENL20" s="222"/>
      <c r="ENM20" s="222"/>
      <c r="ENN20" s="222"/>
      <c r="ENO20" s="222"/>
      <c r="ENP20" s="222"/>
      <c r="ENQ20" s="222"/>
      <c r="ENR20" s="222"/>
      <c r="ENS20" s="222"/>
      <c r="ENT20" s="222"/>
      <c r="ENU20" s="222"/>
      <c r="ENV20" s="222"/>
      <c r="ENW20" s="222"/>
      <c r="ENX20" s="222"/>
      <c r="ENY20" s="222"/>
      <c r="ENZ20" s="222"/>
      <c r="EOA20" s="222"/>
      <c r="EOB20" s="222"/>
      <c r="EOC20" s="222"/>
      <c r="EOD20" s="222"/>
      <c r="EOE20" s="222"/>
      <c r="EOF20" s="222"/>
      <c r="EOG20" s="222"/>
      <c r="EOH20" s="222"/>
      <c r="EOI20" s="222"/>
      <c r="EOJ20" s="222"/>
      <c r="EOK20" s="222"/>
      <c r="EOL20" s="222"/>
      <c r="EOM20" s="222"/>
      <c r="EON20" s="222"/>
      <c r="EOO20" s="222"/>
      <c r="EOP20" s="222"/>
      <c r="EOQ20" s="222"/>
      <c r="EOR20" s="222"/>
      <c r="EOS20" s="222"/>
      <c r="EOT20" s="222"/>
      <c r="EOU20" s="222"/>
      <c r="EOV20" s="222"/>
      <c r="EOW20" s="222"/>
      <c r="EOX20" s="222"/>
      <c r="EOY20" s="222"/>
      <c r="EOZ20" s="222"/>
      <c r="EPA20" s="222"/>
      <c r="EPB20" s="222"/>
      <c r="EPC20" s="222"/>
      <c r="EPD20" s="222"/>
      <c r="EPE20" s="222"/>
      <c r="EPF20" s="222"/>
      <c r="EPG20" s="222"/>
      <c r="EPH20" s="222"/>
      <c r="EPI20" s="222"/>
      <c r="EPJ20" s="222"/>
      <c r="EPK20" s="222"/>
      <c r="EPL20" s="222"/>
      <c r="EPM20" s="222"/>
      <c r="EPN20" s="222"/>
      <c r="EPO20" s="222"/>
      <c r="EPP20" s="222"/>
      <c r="EPQ20" s="222"/>
      <c r="EPR20" s="222"/>
      <c r="EPS20" s="222"/>
      <c r="EPT20" s="222"/>
      <c r="EPU20" s="222"/>
      <c r="EPV20" s="222"/>
      <c r="EPW20" s="222"/>
      <c r="EPX20" s="222"/>
      <c r="EPY20" s="222"/>
      <c r="EPZ20" s="222"/>
      <c r="EQA20" s="222"/>
      <c r="EQB20" s="222"/>
      <c r="EQC20" s="222"/>
      <c r="EQD20" s="222"/>
      <c r="EQE20" s="222"/>
      <c r="EQF20" s="222"/>
      <c r="EQG20" s="222"/>
      <c r="EQH20" s="222"/>
      <c r="EQI20" s="222"/>
      <c r="EQJ20" s="222"/>
      <c r="EQK20" s="222"/>
      <c r="EQL20" s="222"/>
      <c r="EQM20" s="222"/>
      <c r="EQN20" s="222"/>
      <c r="EQO20" s="222"/>
      <c r="EQP20" s="222"/>
      <c r="EQQ20" s="222"/>
      <c r="EQR20" s="222"/>
      <c r="EQS20" s="222"/>
      <c r="EQT20" s="222"/>
      <c r="EQU20" s="222"/>
      <c r="EQV20" s="222"/>
      <c r="EQW20" s="222"/>
      <c r="EQX20" s="222"/>
      <c r="EQY20" s="222"/>
      <c r="EQZ20" s="222"/>
      <c r="ERA20" s="222"/>
      <c r="ERB20" s="222"/>
      <c r="ERC20" s="222"/>
      <c r="ERD20" s="222"/>
      <c r="ERE20" s="222"/>
      <c r="ERF20" s="222"/>
      <c r="ERG20" s="222"/>
      <c r="ERH20" s="222"/>
      <c r="ERI20" s="222"/>
      <c r="ERJ20" s="222"/>
      <c r="ERK20" s="222"/>
      <c r="ERL20" s="222"/>
      <c r="ERM20" s="222"/>
      <c r="ERN20" s="222"/>
      <c r="ERO20" s="222"/>
      <c r="ERP20" s="222"/>
      <c r="ERQ20" s="222"/>
      <c r="ERR20" s="222"/>
      <c r="ERS20" s="222"/>
      <c r="ERT20" s="222"/>
      <c r="ERU20" s="222"/>
      <c r="ERV20" s="222"/>
      <c r="ERW20" s="222"/>
      <c r="ERX20" s="222"/>
      <c r="ERY20" s="222"/>
      <c r="ERZ20" s="222"/>
      <c r="ESA20" s="222"/>
      <c r="ESB20" s="222"/>
      <c r="ESC20" s="222"/>
      <c r="ESD20" s="222"/>
      <c r="ESE20" s="222"/>
      <c r="ESF20" s="222"/>
      <c r="ESG20" s="222"/>
      <c r="ESH20" s="222"/>
      <c r="ESI20" s="222"/>
      <c r="ESJ20" s="222"/>
      <c r="ESK20" s="222"/>
      <c r="ESL20" s="222"/>
      <c r="ESM20" s="222"/>
      <c r="ESN20" s="222"/>
      <c r="ESO20" s="222"/>
      <c r="ESP20" s="222"/>
      <c r="ESQ20" s="222"/>
      <c r="ESR20" s="222"/>
      <c r="ESS20" s="222"/>
      <c r="EST20" s="222"/>
      <c r="ESU20" s="222"/>
      <c r="ESV20" s="222"/>
      <c r="ESW20" s="222"/>
      <c r="ESX20" s="222"/>
      <c r="ESY20" s="222"/>
      <c r="ESZ20" s="222"/>
      <c r="ETA20" s="222"/>
      <c r="ETB20" s="222"/>
      <c r="ETC20" s="222"/>
      <c r="ETD20" s="222"/>
      <c r="ETE20" s="222"/>
      <c r="ETF20" s="222"/>
      <c r="ETG20" s="222"/>
      <c r="ETH20" s="222"/>
      <c r="ETI20" s="222"/>
      <c r="ETJ20" s="222"/>
      <c r="ETK20" s="222"/>
      <c r="ETL20" s="222"/>
      <c r="ETM20" s="222"/>
      <c r="ETN20" s="222"/>
      <c r="ETO20" s="222"/>
      <c r="ETP20" s="222"/>
      <c r="ETQ20" s="222"/>
      <c r="ETR20" s="222"/>
      <c r="ETS20" s="222"/>
      <c r="ETT20" s="222"/>
      <c r="ETU20" s="222"/>
      <c r="ETV20" s="222"/>
      <c r="ETW20" s="222"/>
      <c r="ETX20" s="222"/>
      <c r="ETY20" s="222"/>
      <c r="ETZ20" s="222"/>
      <c r="EUA20" s="222"/>
      <c r="EUB20" s="222"/>
      <c r="EUC20" s="222"/>
      <c r="EUD20" s="222"/>
      <c r="EUE20" s="222"/>
      <c r="EUF20" s="222"/>
      <c r="EUG20" s="222"/>
      <c r="EUH20" s="222"/>
      <c r="EUI20" s="222"/>
      <c r="EUJ20" s="222"/>
      <c r="EUK20" s="222"/>
      <c r="EUL20" s="222"/>
      <c r="EUM20" s="222"/>
      <c r="EUN20" s="222"/>
      <c r="EUO20" s="222"/>
      <c r="EUP20" s="222"/>
      <c r="EUQ20" s="222"/>
      <c r="EUR20" s="222"/>
      <c r="EUS20" s="222"/>
      <c r="EUT20" s="222"/>
      <c r="EUU20" s="222"/>
      <c r="EUV20" s="222"/>
      <c r="EUW20" s="222"/>
      <c r="EUX20" s="222"/>
      <c r="EUY20" s="222"/>
      <c r="EUZ20" s="222"/>
      <c r="EVA20" s="222"/>
      <c r="EVB20" s="222"/>
      <c r="EVC20" s="222"/>
      <c r="EVD20" s="222"/>
      <c r="EVE20" s="222"/>
      <c r="EVF20" s="222"/>
      <c r="EVG20" s="222"/>
      <c r="EVH20" s="222"/>
      <c r="EVI20" s="222"/>
      <c r="EVJ20" s="222"/>
      <c r="EVK20" s="222"/>
      <c r="EVL20" s="222"/>
      <c r="EVM20" s="222"/>
      <c r="EVN20" s="222"/>
      <c r="EVO20" s="222"/>
      <c r="EVP20" s="222"/>
      <c r="EVQ20" s="222"/>
      <c r="EVR20" s="222"/>
      <c r="EVS20" s="222"/>
      <c r="EVT20" s="222"/>
      <c r="EVU20" s="222"/>
      <c r="EVV20" s="222"/>
      <c r="EVW20" s="222"/>
      <c r="EVX20" s="222"/>
      <c r="EVY20" s="222"/>
      <c r="EVZ20" s="222"/>
      <c r="EWA20" s="222"/>
      <c r="EWB20" s="222"/>
      <c r="EWC20" s="222"/>
      <c r="EWD20" s="222"/>
      <c r="EWE20" s="222"/>
      <c r="EWF20" s="222"/>
      <c r="EWG20" s="222"/>
      <c r="EWH20" s="222"/>
      <c r="EWI20" s="222"/>
      <c r="EWJ20" s="222"/>
      <c r="EWK20" s="222"/>
      <c r="EWL20" s="222"/>
      <c r="EWM20" s="222"/>
      <c r="EWN20" s="222"/>
      <c r="EWO20" s="222"/>
      <c r="EWP20" s="222"/>
      <c r="EWQ20" s="222"/>
      <c r="EWR20" s="222"/>
      <c r="EWS20" s="222"/>
      <c r="EWT20" s="222"/>
      <c r="EWU20" s="222"/>
      <c r="EWV20" s="222"/>
      <c r="EWW20" s="222"/>
      <c r="EWX20" s="222"/>
      <c r="EWY20" s="222"/>
      <c r="EWZ20" s="222"/>
      <c r="EXA20" s="222"/>
      <c r="EXB20" s="222"/>
      <c r="EXC20" s="222"/>
      <c r="EXD20" s="222"/>
      <c r="EXE20" s="222"/>
      <c r="EXF20" s="222"/>
      <c r="EXG20" s="222"/>
      <c r="EXH20" s="222"/>
      <c r="EXI20" s="222"/>
      <c r="EXJ20" s="222"/>
      <c r="EXK20" s="222"/>
      <c r="EXL20" s="222"/>
      <c r="EXM20" s="222"/>
      <c r="EXN20" s="222"/>
      <c r="EXO20" s="222"/>
      <c r="EXP20" s="222"/>
      <c r="EXQ20" s="222"/>
      <c r="EXR20" s="222"/>
      <c r="EXS20" s="222"/>
      <c r="EXT20" s="222"/>
      <c r="EXU20" s="222"/>
      <c r="EXV20" s="222"/>
      <c r="EXW20" s="222"/>
      <c r="EXX20" s="222"/>
      <c r="EXY20" s="222"/>
      <c r="EXZ20" s="222"/>
      <c r="EYA20" s="222"/>
      <c r="EYB20" s="222"/>
      <c r="EYC20" s="222"/>
      <c r="EYD20" s="222"/>
      <c r="EYE20" s="222"/>
      <c r="EYF20" s="222"/>
      <c r="EYG20" s="222"/>
      <c r="EYH20" s="222"/>
      <c r="EYI20" s="222"/>
      <c r="EYJ20" s="222"/>
      <c r="EYK20" s="222"/>
      <c r="EYL20" s="222"/>
      <c r="EYM20" s="222"/>
      <c r="EYN20" s="222"/>
      <c r="EYO20" s="222"/>
      <c r="EYP20" s="222"/>
      <c r="EYQ20" s="222"/>
      <c r="EYR20" s="222"/>
      <c r="EYS20" s="222"/>
      <c r="EYT20" s="222"/>
      <c r="EYU20" s="222"/>
      <c r="EYV20" s="222"/>
      <c r="EYW20" s="222"/>
      <c r="EYX20" s="222"/>
      <c r="EYY20" s="222"/>
      <c r="EYZ20" s="222"/>
      <c r="EZA20" s="222"/>
      <c r="EZB20" s="222"/>
      <c r="EZC20" s="222"/>
      <c r="EZD20" s="222"/>
      <c r="EZE20" s="222"/>
      <c r="EZF20" s="222"/>
      <c r="EZG20" s="222"/>
      <c r="EZH20" s="222"/>
      <c r="EZI20" s="222"/>
      <c r="EZJ20" s="222"/>
      <c r="EZK20" s="222"/>
      <c r="EZL20" s="222"/>
      <c r="EZM20" s="222"/>
      <c r="EZN20" s="222"/>
      <c r="EZO20" s="222"/>
      <c r="EZP20" s="222"/>
      <c r="EZQ20" s="222"/>
      <c r="EZR20" s="222"/>
      <c r="EZS20" s="222"/>
      <c r="EZT20" s="222"/>
      <c r="EZU20" s="222"/>
      <c r="EZV20" s="222"/>
      <c r="EZW20" s="222"/>
      <c r="EZX20" s="222"/>
      <c r="EZY20" s="222"/>
      <c r="EZZ20" s="222"/>
      <c r="FAA20" s="222"/>
      <c r="FAB20" s="222"/>
      <c r="FAC20" s="222"/>
      <c r="FAD20" s="222"/>
      <c r="FAE20" s="222"/>
      <c r="FAF20" s="222"/>
      <c r="FAG20" s="222"/>
      <c r="FAH20" s="222"/>
      <c r="FAI20" s="222"/>
      <c r="FAJ20" s="222"/>
      <c r="FAK20" s="222"/>
      <c r="FAL20" s="222"/>
      <c r="FAM20" s="222"/>
      <c r="FAN20" s="222"/>
      <c r="FAO20" s="222"/>
      <c r="FAP20" s="222"/>
      <c r="FAQ20" s="222"/>
      <c r="FAR20" s="222"/>
      <c r="FAS20" s="222"/>
      <c r="FAT20" s="222"/>
      <c r="FAU20" s="222"/>
      <c r="FAV20" s="222"/>
      <c r="FAW20" s="222"/>
      <c r="FAX20" s="222"/>
      <c r="FAY20" s="222"/>
      <c r="FAZ20" s="222"/>
      <c r="FBA20" s="222"/>
      <c r="FBB20" s="222"/>
      <c r="FBC20" s="222"/>
      <c r="FBD20" s="222"/>
      <c r="FBE20" s="222"/>
      <c r="FBF20" s="222"/>
      <c r="FBG20" s="222"/>
      <c r="FBH20" s="222"/>
      <c r="FBI20" s="222"/>
      <c r="FBJ20" s="222"/>
      <c r="FBK20" s="222"/>
      <c r="FBL20" s="222"/>
      <c r="FBM20" s="222"/>
      <c r="FBN20" s="222"/>
      <c r="FBO20" s="222"/>
      <c r="FBP20" s="222"/>
      <c r="FBQ20" s="222"/>
      <c r="FBR20" s="222"/>
      <c r="FBS20" s="222"/>
      <c r="FBT20" s="222"/>
      <c r="FBU20" s="222"/>
      <c r="FBV20" s="222"/>
      <c r="FBW20" s="222"/>
      <c r="FBX20" s="222"/>
      <c r="FBY20" s="222"/>
      <c r="FBZ20" s="222"/>
      <c r="FCA20" s="222"/>
      <c r="FCB20" s="222"/>
      <c r="FCC20" s="222"/>
      <c r="FCD20" s="222"/>
      <c r="FCE20" s="222"/>
      <c r="FCF20" s="222"/>
      <c r="FCG20" s="222"/>
      <c r="FCH20" s="222"/>
      <c r="FCI20" s="222"/>
      <c r="FCJ20" s="222"/>
      <c r="FCK20" s="222"/>
      <c r="FCL20" s="222"/>
      <c r="FCM20" s="222"/>
      <c r="FCN20" s="222"/>
      <c r="FCO20" s="222"/>
      <c r="FCP20" s="222"/>
      <c r="FCQ20" s="222"/>
      <c r="FCR20" s="222"/>
      <c r="FCS20" s="222"/>
      <c r="FCT20" s="222"/>
      <c r="FCU20" s="222"/>
      <c r="FCV20" s="222"/>
      <c r="FCW20" s="222"/>
      <c r="FCX20" s="222"/>
      <c r="FCY20" s="222"/>
      <c r="FCZ20" s="222"/>
      <c r="FDA20" s="222"/>
      <c r="FDB20" s="222"/>
      <c r="FDC20" s="222"/>
      <c r="FDD20" s="222"/>
      <c r="FDE20" s="222"/>
      <c r="FDF20" s="222"/>
      <c r="FDG20" s="222"/>
      <c r="FDH20" s="222"/>
      <c r="FDI20" s="222"/>
      <c r="FDJ20" s="222"/>
      <c r="FDK20" s="222"/>
      <c r="FDL20" s="222"/>
      <c r="FDM20" s="222"/>
      <c r="FDN20" s="222"/>
      <c r="FDO20" s="222"/>
      <c r="FDP20" s="222"/>
      <c r="FDQ20" s="222"/>
      <c r="FDR20" s="222"/>
      <c r="FDS20" s="222"/>
      <c r="FDT20" s="222"/>
      <c r="FDU20" s="222"/>
      <c r="FDV20" s="222"/>
      <c r="FDW20" s="222"/>
      <c r="FDX20" s="222"/>
      <c r="FDY20" s="222"/>
      <c r="FDZ20" s="222"/>
      <c r="FEA20" s="222"/>
      <c r="FEB20" s="222"/>
      <c r="FEC20" s="222"/>
      <c r="FED20" s="222"/>
      <c r="FEE20" s="222"/>
      <c r="FEF20" s="222"/>
      <c r="FEG20" s="222"/>
      <c r="FEH20" s="222"/>
      <c r="FEI20" s="222"/>
      <c r="FEJ20" s="222"/>
      <c r="FEK20" s="222"/>
      <c r="FEL20" s="222"/>
      <c r="FEM20" s="222"/>
      <c r="FEN20" s="222"/>
      <c r="FEO20" s="222"/>
      <c r="FEP20" s="222"/>
      <c r="FEQ20" s="222"/>
      <c r="FER20" s="222"/>
      <c r="FES20" s="222"/>
      <c r="FET20" s="222"/>
      <c r="FEU20" s="222"/>
      <c r="FEV20" s="222"/>
      <c r="FEW20" s="222"/>
      <c r="FEX20" s="222"/>
      <c r="FEY20" s="222"/>
      <c r="FEZ20" s="222"/>
      <c r="FFA20" s="222"/>
      <c r="FFB20" s="222"/>
      <c r="FFC20" s="222"/>
      <c r="FFD20" s="222"/>
      <c r="FFE20" s="222"/>
      <c r="FFF20" s="222"/>
      <c r="FFG20" s="222"/>
      <c r="FFH20" s="222"/>
      <c r="FFI20" s="222"/>
      <c r="FFJ20" s="222"/>
      <c r="FFK20" s="222"/>
      <c r="FFL20" s="222"/>
      <c r="FFM20" s="222"/>
      <c r="FFN20" s="222"/>
      <c r="FFO20" s="222"/>
      <c r="FFP20" s="222"/>
      <c r="FFQ20" s="222"/>
      <c r="FFR20" s="222"/>
      <c r="FFS20" s="222"/>
      <c r="FFT20" s="222"/>
      <c r="FFU20" s="222"/>
      <c r="FFV20" s="222"/>
      <c r="FFW20" s="222"/>
      <c r="FFX20" s="222"/>
      <c r="FFY20" s="222"/>
      <c r="FFZ20" s="222"/>
      <c r="FGA20" s="222"/>
      <c r="FGB20" s="222"/>
      <c r="FGC20" s="222"/>
      <c r="FGD20" s="222"/>
      <c r="FGE20" s="222"/>
      <c r="FGF20" s="222"/>
      <c r="FGG20" s="222"/>
      <c r="FGH20" s="222"/>
      <c r="FGI20" s="222"/>
      <c r="FGJ20" s="222"/>
      <c r="FGK20" s="222"/>
      <c r="FGL20" s="222"/>
      <c r="FGM20" s="222"/>
      <c r="FGN20" s="222"/>
      <c r="FGO20" s="222"/>
      <c r="FGP20" s="222"/>
      <c r="FGQ20" s="222"/>
      <c r="FGR20" s="222"/>
      <c r="FGS20" s="222"/>
      <c r="FGT20" s="222"/>
      <c r="FGU20" s="222"/>
      <c r="FGV20" s="222"/>
      <c r="FGW20" s="222"/>
      <c r="FGX20" s="222"/>
      <c r="FGY20" s="222"/>
      <c r="FGZ20" s="222"/>
      <c r="FHA20" s="222"/>
      <c r="FHB20" s="222"/>
      <c r="FHC20" s="222"/>
      <c r="FHD20" s="222"/>
      <c r="FHE20" s="222"/>
      <c r="FHF20" s="222"/>
      <c r="FHG20" s="222"/>
      <c r="FHH20" s="222"/>
      <c r="FHI20" s="222"/>
      <c r="FHJ20" s="222"/>
      <c r="FHK20" s="222"/>
      <c r="FHL20" s="222"/>
      <c r="FHM20" s="222"/>
      <c r="FHN20" s="222"/>
      <c r="FHO20" s="222"/>
      <c r="FHP20" s="222"/>
      <c r="FHQ20" s="222"/>
      <c r="FHR20" s="222"/>
      <c r="FHS20" s="222"/>
      <c r="FHT20" s="222"/>
      <c r="FHU20" s="222"/>
      <c r="FHV20" s="222"/>
      <c r="FHW20" s="222"/>
      <c r="FHX20" s="222"/>
      <c r="FHY20" s="222"/>
      <c r="FHZ20" s="222"/>
      <c r="FIA20" s="222"/>
      <c r="FIB20" s="222"/>
      <c r="FIC20" s="222"/>
      <c r="FID20" s="222"/>
      <c r="FIE20" s="222"/>
      <c r="FIF20" s="222"/>
      <c r="FIG20" s="222"/>
      <c r="FIH20" s="222"/>
      <c r="FII20" s="222"/>
      <c r="FIJ20" s="222"/>
      <c r="FIK20" s="222"/>
      <c r="FIL20" s="222"/>
      <c r="FIM20" s="222"/>
      <c r="FIN20" s="222"/>
      <c r="FIO20" s="222"/>
      <c r="FIP20" s="222"/>
      <c r="FIQ20" s="222"/>
      <c r="FIR20" s="222"/>
      <c r="FIS20" s="222"/>
      <c r="FIT20" s="222"/>
      <c r="FIU20" s="222"/>
      <c r="FIV20" s="222"/>
      <c r="FIW20" s="222"/>
      <c r="FIX20" s="222"/>
      <c r="FIY20" s="222"/>
      <c r="FIZ20" s="222"/>
      <c r="FJA20" s="222"/>
      <c r="FJB20" s="222"/>
      <c r="FJC20" s="222"/>
      <c r="FJD20" s="222"/>
      <c r="FJE20" s="222"/>
      <c r="FJF20" s="222"/>
      <c r="FJG20" s="222"/>
      <c r="FJH20" s="222"/>
      <c r="FJI20" s="222"/>
      <c r="FJJ20" s="222"/>
      <c r="FJK20" s="222"/>
      <c r="FJL20" s="222"/>
      <c r="FJM20" s="222"/>
      <c r="FJN20" s="222"/>
      <c r="FJO20" s="222"/>
      <c r="FJP20" s="222"/>
      <c r="FJQ20" s="222"/>
      <c r="FJR20" s="222"/>
      <c r="FJS20" s="222"/>
      <c r="FJT20" s="222"/>
      <c r="FJU20" s="222"/>
      <c r="FJV20" s="222"/>
      <c r="FJW20" s="222"/>
      <c r="FJX20" s="222"/>
      <c r="FJY20" s="222"/>
      <c r="FJZ20" s="222"/>
      <c r="FKA20" s="222"/>
      <c r="FKB20" s="222"/>
      <c r="FKC20" s="222"/>
      <c r="FKD20" s="222"/>
      <c r="FKE20" s="222"/>
      <c r="FKF20" s="222"/>
      <c r="FKG20" s="222"/>
      <c r="FKH20" s="222"/>
      <c r="FKI20" s="222"/>
      <c r="FKJ20" s="222"/>
      <c r="FKK20" s="222"/>
      <c r="FKL20" s="222"/>
      <c r="FKM20" s="222"/>
      <c r="FKN20" s="222"/>
      <c r="FKO20" s="222"/>
      <c r="FKP20" s="222"/>
      <c r="FKQ20" s="222"/>
      <c r="FKR20" s="222"/>
      <c r="FKS20" s="222"/>
      <c r="FKT20" s="222"/>
      <c r="FKU20" s="222"/>
      <c r="FKV20" s="222"/>
      <c r="FKW20" s="222"/>
      <c r="FKX20" s="222"/>
      <c r="FKY20" s="222"/>
      <c r="FKZ20" s="222"/>
      <c r="FLA20" s="222"/>
      <c r="FLB20" s="222"/>
      <c r="FLC20" s="222"/>
      <c r="FLD20" s="222"/>
      <c r="FLE20" s="222"/>
      <c r="FLF20" s="222"/>
      <c r="FLG20" s="222"/>
      <c r="FLH20" s="222"/>
      <c r="FLI20" s="222"/>
      <c r="FLJ20" s="222"/>
      <c r="FLK20" s="222"/>
      <c r="FLL20" s="222"/>
      <c r="FLM20" s="222"/>
      <c r="FLN20" s="222"/>
      <c r="FLO20" s="222"/>
      <c r="FLP20" s="222"/>
      <c r="FLQ20" s="222"/>
      <c r="FLR20" s="222"/>
      <c r="FLS20" s="222"/>
      <c r="FLT20" s="222"/>
      <c r="FLU20" s="222"/>
      <c r="FLV20" s="222"/>
      <c r="FLW20" s="222"/>
      <c r="FLX20" s="222"/>
      <c r="FLY20" s="222"/>
      <c r="FLZ20" s="222"/>
      <c r="FMA20" s="222"/>
      <c r="FMB20" s="222"/>
      <c r="FMC20" s="222"/>
      <c r="FMD20" s="222"/>
      <c r="FME20" s="222"/>
      <c r="FMF20" s="222"/>
      <c r="FMG20" s="222"/>
      <c r="FMH20" s="222"/>
      <c r="FMI20" s="222"/>
      <c r="FMJ20" s="222"/>
      <c r="FMK20" s="222"/>
      <c r="FML20" s="222"/>
      <c r="FMM20" s="222"/>
      <c r="FMN20" s="222"/>
      <c r="FMO20" s="222"/>
      <c r="FMP20" s="222"/>
      <c r="FMQ20" s="222"/>
      <c r="FMR20" s="222"/>
      <c r="FMS20" s="222"/>
      <c r="FMT20" s="222"/>
      <c r="FMU20" s="222"/>
      <c r="FMV20" s="222"/>
      <c r="FMW20" s="222"/>
      <c r="FMX20" s="222"/>
      <c r="FMY20" s="222"/>
      <c r="FMZ20" s="222"/>
      <c r="FNA20" s="222"/>
      <c r="FNB20" s="222"/>
      <c r="FNC20" s="222"/>
      <c r="FND20" s="222"/>
      <c r="FNE20" s="222"/>
      <c r="FNF20" s="222"/>
      <c r="FNG20" s="222"/>
      <c r="FNH20" s="222"/>
      <c r="FNI20" s="222"/>
      <c r="FNJ20" s="222"/>
      <c r="FNK20" s="222"/>
      <c r="FNL20" s="222"/>
      <c r="FNM20" s="222"/>
      <c r="FNN20" s="222"/>
      <c r="FNO20" s="222"/>
      <c r="FNP20" s="222"/>
      <c r="FNQ20" s="222"/>
      <c r="FNR20" s="222"/>
      <c r="FNS20" s="222"/>
      <c r="FNT20" s="222"/>
      <c r="FNU20" s="222"/>
      <c r="FNV20" s="222"/>
      <c r="FNW20" s="222"/>
      <c r="FNX20" s="222"/>
      <c r="FNY20" s="222"/>
      <c r="FNZ20" s="222"/>
      <c r="FOA20" s="222"/>
      <c r="FOB20" s="222"/>
      <c r="FOC20" s="222"/>
      <c r="FOD20" s="222"/>
      <c r="FOE20" s="222"/>
      <c r="FOF20" s="222"/>
      <c r="FOG20" s="222"/>
      <c r="FOH20" s="222"/>
      <c r="FOI20" s="222"/>
      <c r="FOJ20" s="222"/>
      <c r="FOK20" s="222"/>
      <c r="FOL20" s="222"/>
      <c r="FOM20" s="222"/>
      <c r="FON20" s="222"/>
      <c r="FOO20" s="222"/>
      <c r="FOP20" s="222"/>
      <c r="FOQ20" s="222"/>
      <c r="FOR20" s="222"/>
      <c r="FOS20" s="222"/>
      <c r="FOT20" s="222"/>
      <c r="FOU20" s="222"/>
      <c r="FOV20" s="222"/>
      <c r="FOW20" s="222"/>
      <c r="FOX20" s="222"/>
      <c r="FOY20" s="222"/>
      <c r="FOZ20" s="222"/>
      <c r="FPA20" s="222"/>
      <c r="FPB20" s="222"/>
      <c r="FPC20" s="222"/>
      <c r="FPD20" s="222"/>
      <c r="FPE20" s="222"/>
      <c r="FPF20" s="222"/>
      <c r="FPG20" s="222"/>
      <c r="FPH20" s="222"/>
      <c r="FPI20" s="222"/>
      <c r="FPJ20" s="222"/>
      <c r="FPK20" s="222"/>
      <c r="FPL20" s="222"/>
      <c r="FPM20" s="222"/>
      <c r="FPN20" s="222"/>
      <c r="FPO20" s="222"/>
      <c r="FPP20" s="222"/>
      <c r="FPQ20" s="222"/>
      <c r="FPR20" s="222"/>
      <c r="FPS20" s="222"/>
      <c r="FPT20" s="222"/>
      <c r="FPU20" s="222"/>
      <c r="FPV20" s="222"/>
      <c r="FPW20" s="222"/>
      <c r="FPX20" s="222"/>
      <c r="FPY20" s="222"/>
      <c r="FPZ20" s="222"/>
      <c r="FQA20" s="222"/>
      <c r="FQB20" s="222"/>
      <c r="FQC20" s="222"/>
      <c r="FQD20" s="222"/>
      <c r="FQE20" s="222"/>
      <c r="FQF20" s="222"/>
      <c r="FQG20" s="222"/>
      <c r="FQH20" s="222"/>
      <c r="FQI20" s="222"/>
      <c r="FQJ20" s="222"/>
      <c r="FQK20" s="222"/>
      <c r="FQL20" s="222"/>
      <c r="FQM20" s="222"/>
      <c r="FQN20" s="222"/>
      <c r="FQO20" s="222"/>
      <c r="FQP20" s="222"/>
      <c r="FQQ20" s="222"/>
      <c r="FQR20" s="222"/>
      <c r="FQS20" s="222"/>
      <c r="FQT20" s="222"/>
      <c r="FQU20" s="222"/>
      <c r="FQV20" s="222"/>
      <c r="FQW20" s="222"/>
      <c r="FQX20" s="222"/>
      <c r="FQY20" s="222"/>
      <c r="FQZ20" s="222"/>
      <c r="FRA20" s="222"/>
      <c r="FRB20" s="222"/>
      <c r="FRC20" s="222"/>
      <c r="FRD20" s="222"/>
      <c r="FRE20" s="222"/>
      <c r="FRF20" s="222"/>
      <c r="FRG20" s="222"/>
      <c r="FRH20" s="222"/>
      <c r="FRI20" s="222"/>
      <c r="FRJ20" s="222"/>
      <c r="FRK20" s="222"/>
      <c r="FRL20" s="222"/>
      <c r="FRM20" s="222"/>
      <c r="FRN20" s="222"/>
      <c r="FRO20" s="222"/>
      <c r="FRP20" s="222"/>
      <c r="FRQ20" s="222"/>
      <c r="FRR20" s="222"/>
      <c r="FRS20" s="222"/>
      <c r="FRT20" s="222"/>
      <c r="FRU20" s="222"/>
      <c r="FRV20" s="222"/>
      <c r="FRW20" s="222"/>
      <c r="FRX20" s="222"/>
      <c r="FRY20" s="222"/>
      <c r="FRZ20" s="222"/>
      <c r="FSA20" s="222"/>
      <c r="FSB20" s="222"/>
      <c r="FSC20" s="222"/>
      <c r="FSD20" s="222"/>
      <c r="FSE20" s="222"/>
      <c r="FSF20" s="222"/>
      <c r="FSG20" s="222"/>
      <c r="FSH20" s="222"/>
      <c r="FSI20" s="222"/>
      <c r="FSJ20" s="222"/>
      <c r="FSK20" s="222"/>
      <c r="FSL20" s="222"/>
      <c r="FSM20" s="222"/>
      <c r="FSN20" s="222"/>
      <c r="FSO20" s="222"/>
      <c r="FSP20" s="222"/>
      <c r="FSQ20" s="222"/>
      <c r="FSR20" s="222"/>
      <c r="FSS20" s="222"/>
      <c r="FST20" s="222"/>
      <c r="FSU20" s="222"/>
      <c r="FSV20" s="222"/>
      <c r="FSW20" s="222"/>
      <c r="FSX20" s="222"/>
      <c r="FSY20" s="222"/>
      <c r="FSZ20" s="222"/>
      <c r="FTA20" s="222"/>
      <c r="FTB20" s="222"/>
      <c r="FTC20" s="222"/>
      <c r="FTD20" s="222"/>
      <c r="FTE20" s="222"/>
      <c r="FTF20" s="222"/>
      <c r="FTG20" s="222"/>
      <c r="FTH20" s="222"/>
      <c r="FTI20" s="222"/>
      <c r="FTJ20" s="222"/>
      <c r="FTK20" s="222"/>
      <c r="FTL20" s="222"/>
      <c r="FTM20" s="222"/>
      <c r="FTN20" s="222"/>
      <c r="FTO20" s="222"/>
      <c r="FTP20" s="222"/>
      <c r="FTQ20" s="222"/>
      <c r="FTR20" s="222"/>
      <c r="FTS20" s="222"/>
      <c r="FTT20" s="222"/>
      <c r="FTU20" s="222"/>
      <c r="FTV20" s="222"/>
      <c r="FTW20" s="222"/>
      <c r="FTX20" s="222"/>
      <c r="FTY20" s="222"/>
      <c r="FTZ20" s="222"/>
      <c r="FUA20" s="222"/>
      <c r="FUB20" s="222"/>
      <c r="FUC20" s="222"/>
      <c r="FUD20" s="222"/>
      <c r="FUE20" s="222"/>
      <c r="FUF20" s="222"/>
      <c r="FUG20" s="222"/>
      <c r="FUH20" s="222"/>
      <c r="FUI20" s="222"/>
      <c r="FUJ20" s="222"/>
      <c r="FUK20" s="222"/>
      <c r="FUL20" s="222"/>
      <c r="FUM20" s="222"/>
      <c r="FUN20" s="222"/>
      <c r="FUO20" s="222"/>
      <c r="FUP20" s="222"/>
      <c r="FUQ20" s="222"/>
      <c r="FUR20" s="222"/>
      <c r="FUS20" s="222"/>
      <c r="FUT20" s="222"/>
      <c r="FUU20" s="222"/>
      <c r="FUV20" s="222"/>
      <c r="FUW20" s="222"/>
      <c r="FUX20" s="222"/>
      <c r="FUY20" s="222"/>
      <c r="FUZ20" s="222"/>
      <c r="FVA20" s="222"/>
      <c r="FVB20" s="222"/>
      <c r="FVC20" s="222"/>
      <c r="FVD20" s="222"/>
      <c r="FVE20" s="222"/>
      <c r="FVF20" s="222"/>
      <c r="FVG20" s="222"/>
      <c r="FVH20" s="222"/>
      <c r="FVI20" s="222"/>
      <c r="FVJ20" s="222"/>
      <c r="FVK20" s="222"/>
      <c r="FVL20" s="222"/>
      <c r="FVM20" s="222"/>
      <c r="FVN20" s="222"/>
      <c r="FVO20" s="222"/>
      <c r="FVP20" s="222"/>
      <c r="FVQ20" s="222"/>
      <c r="FVR20" s="222"/>
      <c r="FVS20" s="222"/>
      <c r="FVT20" s="222"/>
      <c r="FVU20" s="222"/>
      <c r="FVV20" s="222"/>
      <c r="FVW20" s="222"/>
      <c r="FVX20" s="222"/>
      <c r="FVY20" s="222"/>
      <c r="FVZ20" s="222"/>
      <c r="FWA20" s="222"/>
      <c r="FWB20" s="222"/>
      <c r="FWC20" s="222"/>
      <c r="FWD20" s="222"/>
      <c r="FWE20" s="222"/>
      <c r="FWF20" s="222"/>
      <c r="FWG20" s="222"/>
      <c r="FWH20" s="222"/>
      <c r="FWI20" s="222"/>
      <c r="FWJ20" s="222"/>
      <c r="FWK20" s="222"/>
      <c r="FWL20" s="222"/>
      <c r="FWM20" s="222"/>
      <c r="FWN20" s="222"/>
      <c r="FWO20" s="222"/>
      <c r="FWP20" s="222"/>
      <c r="FWQ20" s="222"/>
      <c r="FWR20" s="222"/>
      <c r="FWS20" s="222"/>
      <c r="FWT20" s="222"/>
      <c r="FWU20" s="222"/>
      <c r="FWV20" s="222"/>
      <c r="FWW20" s="222"/>
      <c r="FWX20" s="222"/>
      <c r="FWY20" s="222"/>
      <c r="FWZ20" s="222"/>
      <c r="FXA20" s="222"/>
      <c r="FXB20" s="222"/>
      <c r="FXC20" s="222"/>
      <c r="FXD20" s="222"/>
      <c r="FXE20" s="222"/>
      <c r="FXF20" s="222"/>
      <c r="FXG20" s="222"/>
      <c r="FXH20" s="222"/>
      <c r="FXI20" s="222"/>
      <c r="FXJ20" s="222"/>
      <c r="FXK20" s="222"/>
      <c r="FXL20" s="222"/>
      <c r="FXM20" s="222"/>
      <c r="FXN20" s="222"/>
      <c r="FXO20" s="222"/>
      <c r="FXP20" s="222"/>
      <c r="FXQ20" s="222"/>
      <c r="FXR20" s="222"/>
      <c r="FXS20" s="222"/>
      <c r="FXT20" s="222"/>
      <c r="FXU20" s="222"/>
      <c r="FXV20" s="222"/>
      <c r="FXW20" s="222"/>
      <c r="FXX20" s="222"/>
      <c r="FXY20" s="222"/>
      <c r="FXZ20" s="222"/>
      <c r="FYA20" s="222"/>
      <c r="FYB20" s="222"/>
      <c r="FYC20" s="222"/>
      <c r="FYD20" s="222"/>
      <c r="FYE20" s="222"/>
      <c r="FYF20" s="222"/>
      <c r="FYG20" s="222"/>
      <c r="FYH20" s="222"/>
      <c r="FYI20" s="222"/>
      <c r="FYJ20" s="222"/>
      <c r="FYK20" s="222"/>
      <c r="FYL20" s="222"/>
      <c r="FYM20" s="222"/>
      <c r="FYN20" s="222"/>
      <c r="FYO20" s="222"/>
      <c r="FYP20" s="222"/>
      <c r="FYQ20" s="222"/>
      <c r="FYR20" s="222"/>
      <c r="FYS20" s="222"/>
      <c r="FYT20" s="222"/>
      <c r="FYU20" s="222"/>
      <c r="FYV20" s="222"/>
      <c r="FYW20" s="222"/>
      <c r="FYX20" s="222"/>
      <c r="FYY20" s="222"/>
      <c r="FYZ20" s="222"/>
      <c r="FZA20" s="222"/>
      <c r="FZB20" s="222"/>
      <c r="FZC20" s="222"/>
      <c r="FZD20" s="222"/>
      <c r="FZE20" s="222"/>
      <c r="FZF20" s="222"/>
      <c r="FZG20" s="222"/>
      <c r="FZH20" s="222"/>
      <c r="FZI20" s="222"/>
      <c r="FZJ20" s="222"/>
      <c r="FZK20" s="222"/>
      <c r="FZL20" s="222"/>
      <c r="FZM20" s="222"/>
      <c r="FZN20" s="222"/>
      <c r="FZO20" s="222"/>
      <c r="FZP20" s="222"/>
      <c r="FZQ20" s="222"/>
      <c r="FZR20" s="222"/>
      <c r="FZS20" s="222"/>
      <c r="FZT20" s="222"/>
      <c r="FZU20" s="222"/>
      <c r="FZV20" s="222"/>
      <c r="FZW20" s="222"/>
      <c r="FZX20" s="222"/>
      <c r="FZY20" s="222"/>
      <c r="FZZ20" s="222"/>
      <c r="GAA20" s="222"/>
      <c r="GAB20" s="222"/>
      <c r="GAC20" s="222"/>
      <c r="GAD20" s="222"/>
      <c r="GAE20" s="222"/>
      <c r="GAF20" s="222"/>
      <c r="GAG20" s="222"/>
      <c r="GAH20" s="222"/>
      <c r="GAI20" s="222"/>
      <c r="GAJ20" s="222"/>
      <c r="GAK20" s="222"/>
      <c r="GAL20" s="222"/>
      <c r="GAM20" s="222"/>
      <c r="GAN20" s="222"/>
      <c r="GAO20" s="222"/>
      <c r="GAP20" s="222"/>
      <c r="GAQ20" s="222"/>
      <c r="GAR20" s="222"/>
      <c r="GAS20" s="222"/>
      <c r="GAT20" s="222"/>
      <c r="GAU20" s="222"/>
      <c r="GAV20" s="222"/>
      <c r="GAW20" s="222"/>
      <c r="GAX20" s="222"/>
      <c r="GAY20" s="222"/>
      <c r="GAZ20" s="222"/>
      <c r="GBA20" s="222"/>
      <c r="GBB20" s="222"/>
      <c r="GBC20" s="222"/>
      <c r="GBD20" s="222"/>
      <c r="GBE20" s="222"/>
      <c r="GBF20" s="222"/>
      <c r="GBG20" s="222"/>
      <c r="GBH20" s="222"/>
      <c r="GBI20" s="222"/>
      <c r="GBJ20" s="222"/>
      <c r="GBK20" s="222"/>
      <c r="GBL20" s="222"/>
      <c r="GBM20" s="222"/>
      <c r="GBN20" s="222"/>
      <c r="GBO20" s="222"/>
      <c r="GBP20" s="222"/>
      <c r="GBQ20" s="222"/>
      <c r="GBR20" s="222"/>
      <c r="GBS20" s="222"/>
      <c r="GBT20" s="222"/>
      <c r="GBU20" s="222"/>
      <c r="GBV20" s="222"/>
      <c r="GBW20" s="222"/>
      <c r="GBX20" s="222"/>
      <c r="GBY20" s="222"/>
      <c r="GBZ20" s="222"/>
      <c r="GCA20" s="222"/>
      <c r="GCB20" s="222"/>
      <c r="GCC20" s="222"/>
      <c r="GCD20" s="222"/>
      <c r="GCE20" s="222"/>
      <c r="GCF20" s="222"/>
      <c r="GCG20" s="222"/>
      <c r="GCH20" s="222"/>
      <c r="GCI20" s="222"/>
      <c r="GCJ20" s="222"/>
      <c r="GCK20" s="222"/>
      <c r="GCL20" s="222"/>
      <c r="GCM20" s="222"/>
      <c r="GCN20" s="222"/>
      <c r="GCO20" s="222"/>
      <c r="GCP20" s="222"/>
      <c r="GCQ20" s="222"/>
      <c r="GCR20" s="222"/>
      <c r="GCS20" s="222"/>
      <c r="GCT20" s="222"/>
      <c r="GCU20" s="222"/>
      <c r="GCV20" s="222"/>
      <c r="GCW20" s="222"/>
      <c r="GCX20" s="222"/>
      <c r="GCY20" s="222"/>
      <c r="GCZ20" s="222"/>
      <c r="GDA20" s="222"/>
      <c r="GDB20" s="222"/>
      <c r="GDC20" s="222"/>
      <c r="GDD20" s="222"/>
      <c r="GDE20" s="222"/>
      <c r="GDF20" s="222"/>
      <c r="GDG20" s="222"/>
      <c r="GDH20" s="222"/>
      <c r="GDI20" s="222"/>
      <c r="GDJ20" s="222"/>
      <c r="GDK20" s="222"/>
      <c r="GDL20" s="222"/>
      <c r="GDM20" s="222"/>
      <c r="GDN20" s="222"/>
      <c r="GDO20" s="222"/>
      <c r="GDP20" s="222"/>
      <c r="GDQ20" s="222"/>
      <c r="GDR20" s="222"/>
      <c r="GDS20" s="222"/>
      <c r="GDT20" s="222"/>
      <c r="GDU20" s="222"/>
      <c r="GDV20" s="222"/>
      <c r="GDW20" s="222"/>
      <c r="GDX20" s="222"/>
      <c r="GDY20" s="222"/>
      <c r="GDZ20" s="222"/>
      <c r="GEA20" s="222"/>
      <c r="GEB20" s="222"/>
      <c r="GEC20" s="222"/>
      <c r="GED20" s="222"/>
      <c r="GEE20" s="222"/>
      <c r="GEF20" s="222"/>
      <c r="GEG20" s="222"/>
      <c r="GEH20" s="222"/>
      <c r="GEI20" s="222"/>
      <c r="GEJ20" s="222"/>
      <c r="GEK20" s="222"/>
      <c r="GEL20" s="222"/>
      <c r="GEM20" s="222"/>
      <c r="GEN20" s="222"/>
      <c r="GEO20" s="222"/>
      <c r="GEP20" s="222"/>
      <c r="GEQ20" s="222"/>
      <c r="GER20" s="222"/>
      <c r="GES20" s="222"/>
      <c r="GET20" s="222"/>
      <c r="GEU20" s="222"/>
      <c r="GEV20" s="222"/>
      <c r="GEW20" s="222"/>
      <c r="GEX20" s="222"/>
      <c r="GEY20" s="222"/>
      <c r="GEZ20" s="222"/>
      <c r="GFA20" s="222"/>
      <c r="GFB20" s="222"/>
      <c r="GFC20" s="222"/>
      <c r="GFD20" s="222"/>
      <c r="GFE20" s="222"/>
      <c r="GFF20" s="222"/>
      <c r="GFG20" s="222"/>
      <c r="GFH20" s="222"/>
      <c r="GFI20" s="222"/>
      <c r="GFJ20" s="222"/>
      <c r="GFK20" s="222"/>
      <c r="GFL20" s="222"/>
      <c r="GFM20" s="222"/>
      <c r="GFN20" s="222"/>
      <c r="GFO20" s="222"/>
      <c r="GFP20" s="222"/>
      <c r="GFQ20" s="222"/>
      <c r="GFR20" s="222"/>
      <c r="GFS20" s="222"/>
      <c r="GFT20" s="222"/>
      <c r="GFU20" s="222"/>
      <c r="GFV20" s="222"/>
      <c r="GFW20" s="222"/>
      <c r="GFX20" s="222"/>
      <c r="GFY20" s="222"/>
      <c r="GFZ20" s="222"/>
      <c r="GGA20" s="222"/>
      <c r="GGB20" s="222"/>
      <c r="GGC20" s="222"/>
      <c r="GGD20" s="222"/>
      <c r="GGE20" s="222"/>
      <c r="GGF20" s="222"/>
      <c r="GGG20" s="222"/>
      <c r="GGH20" s="222"/>
      <c r="GGI20" s="222"/>
      <c r="GGJ20" s="222"/>
      <c r="GGK20" s="222"/>
      <c r="GGL20" s="222"/>
      <c r="GGM20" s="222"/>
      <c r="GGN20" s="222"/>
      <c r="GGO20" s="222"/>
      <c r="GGP20" s="222"/>
      <c r="GGQ20" s="222"/>
      <c r="GGR20" s="222"/>
      <c r="GGS20" s="222"/>
      <c r="GGT20" s="222"/>
      <c r="GGU20" s="222"/>
      <c r="GGV20" s="222"/>
      <c r="GGW20" s="222"/>
      <c r="GGX20" s="222"/>
      <c r="GGY20" s="222"/>
      <c r="GGZ20" s="222"/>
      <c r="GHA20" s="222"/>
      <c r="GHB20" s="222"/>
      <c r="GHC20" s="222"/>
      <c r="GHD20" s="222"/>
      <c r="GHE20" s="222"/>
      <c r="GHF20" s="222"/>
      <c r="GHG20" s="222"/>
      <c r="GHH20" s="222"/>
      <c r="GHI20" s="222"/>
      <c r="GHJ20" s="222"/>
      <c r="GHK20" s="222"/>
      <c r="GHL20" s="222"/>
      <c r="GHM20" s="222"/>
      <c r="GHN20" s="222"/>
      <c r="GHO20" s="222"/>
      <c r="GHP20" s="222"/>
      <c r="GHQ20" s="222"/>
      <c r="GHR20" s="222"/>
      <c r="GHS20" s="222"/>
      <c r="GHT20" s="222"/>
      <c r="GHU20" s="222"/>
      <c r="GHV20" s="222"/>
      <c r="GHW20" s="222"/>
      <c r="GHX20" s="222"/>
      <c r="GHY20" s="222"/>
      <c r="GHZ20" s="222"/>
      <c r="GIA20" s="222"/>
      <c r="GIB20" s="222"/>
      <c r="GIC20" s="222"/>
      <c r="GID20" s="222"/>
      <c r="GIE20" s="222"/>
      <c r="GIF20" s="222"/>
      <c r="GIG20" s="222"/>
      <c r="GIH20" s="222"/>
      <c r="GII20" s="222"/>
      <c r="GIJ20" s="222"/>
      <c r="GIK20" s="222"/>
      <c r="GIL20" s="222"/>
      <c r="GIM20" s="222"/>
      <c r="GIN20" s="222"/>
      <c r="GIO20" s="222"/>
      <c r="GIP20" s="222"/>
      <c r="GIQ20" s="222"/>
      <c r="GIR20" s="222"/>
      <c r="GIS20" s="222"/>
      <c r="GIT20" s="222"/>
      <c r="GIU20" s="222"/>
      <c r="GIV20" s="222"/>
      <c r="GIW20" s="222"/>
      <c r="GIX20" s="222"/>
      <c r="GIY20" s="222"/>
      <c r="GIZ20" s="222"/>
      <c r="GJA20" s="222"/>
      <c r="GJB20" s="222"/>
      <c r="GJC20" s="222"/>
      <c r="GJD20" s="222"/>
      <c r="GJE20" s="222"/>
      <c r="GJF20" s="222"/>
      <c r="GJG20" s="222"/>
      <c r="GJH20" s="222"/>
      <c r="GJI20" s="222"/>
      <c r="GJJ20" s="222"/>
      <c r="GJK20" s="222"/>
      <c r="GJL20" s="222"/>
      <c r="GJM20" s="222"/>
      <c r="GJN20" s="222"/>
      <c r="GJO20" s="222"/>
      <c r="GJP20" s="222"/>
      <c r="GJQ20" s="222"/>
      <c r="GJR20" s="222"/>
      <c r="GJS20" s="222"/>
      <c r="GJT20" s="222"/>
      <c r="GJU20" s="222"/>
      <c r="GJV20" s="222"/>
      <c r="GJW20" s="222"/>
      <c r="GJX20" s="222"/>
      <c r="GJY20" s="222"/>
      <c r="GJZ20" s="222"/>
      <c r="GKA20" s="222"/>
      <c r="GKB20" s="222"/>
      <c r="GKC20" s="222"/>
      <c r="GKD20" s="222"/>
      <c r="GKE20" s="222"/>
      <c r="GKF20" s="222"/>
      <c r="GKG20" s="222"/>
      <c r="GKH20" s="222"/>
      <c r="GKI20" s="222"/>
      <c r="GKJ20" s="222"/>
      <c r="GKK20" s="222"/>
      <c r="GKL20" s="222"/>
      <c r="GKM20" s="222"/>
      <c r="GKN20" s="222"/>
      <c r="GKO20" s="222"/>
      <c r="GKP20" s="222"/>
      <c r="GKQ20" s="222"/>
      <c r="GKR20" s="222"/>
      <c r="GKS20" s="222"/>
      <c r="GKT20" s="222"/>
      <c r="GKU20" s="222"/>
      <c r="GKV20" s="222"/>
      <c r="GKW20" s="222"/>
      <c r="GKX20" s="222"/>
      <c r="GKY20" s="222"/>
      <c r="GKZ20" s="222"/>
      <c r="GLA20" s="222"/>
      <c r="GLB20" s="222"/>
      <c r="GLC20" s="222"/>
      <c r="GLD20" s="222"/>
      <c r="GLE20" s="222"/>
      <c r="GLF20" s="222"/>
      <c r="GLG20" s="222"/>
      <c r="GLH20" s="222"/>
      <c r="GLI20" s="222"/>
      <c r="GLJ20" s="222"/>
      <c r="GLK20" s="222"/>
      <c r="GLL20" s="222"/>
      <c r="GLM20" s="222"/>
      <c r="GLN20" s="222"/>
      <c r="GLO20" s="222"/>
      <c r="GLP20" s="222"/>
      <c r="GLQ20" s="222"/>
      <c r="GLR20" s="222"/>
      <c r="GLS20" s="222"/>
      <c r="GLT20" s="222"/>
      <c r="GLU20" s="222"/>
      <c r="GLV20" s="222"/>
      <c r="GLW20" s="222"/>
      <c r="GLX20" s="222"/>
      <c r="GLY20" s="222"/>
      <c r="GLZ20" s="222"/>
      <c r="GMA20" s="222"/>
      <c r="GMB20" s="222"/>
      <c r="GMC20" s="222"/>
      <c r="GMD20" s="222"/>
      <c r="GME20" s="222"/>
      <c r="GMF20" s="222"/>
      <c r="GMG20" s="222"/>
      <c r="GMH20" s="222"/>
      <c r="GMI20" s="222"/>
      <c r="GMJ20" s="222"/>
      <c r="GMK20" s="222"/>
      <c r="GML20" s="222"/>
      <c r="GMM20" s="222"/>
      <c r="GMN20" s="222"/>
      <c r="GMO20" s="222"/>
      <c r="GMP20" s="222"/>
      <c r="GMQ20" s="222"/>
      <c r="GMR20" s="222"/>
      <c r="GMS20" s="222"/>
      <c r="GMT20" s="222"/>
      <c r="GMU20" s="222"/>
      <c r="GMV20" s="222"/>
      <c r="GMW20" s="222"/>
      <c r="GMX20" s="222"/>
      <c r="GMY20" s="222"/>
      <c r="GMZ20" s="222"/>
      <c r="GNA20" s="222"/>
      <c r="GNB20" s="222"/>
      <c r="GNC20" s="222"/>
      <c r="GND20" s="222"/>
      <c r="GNE20" s="222"/>
      <c r="GNF20" s="222"/>
      <c r="GNG20" s="222"/>
      <c r="GNH20" s="222"/>
      <c r="GNI20" s="222"/>
      <c r="GNJ20" s="222"/>
      <c r="GNK20" s="222"/>
      <c r="GNL20" s="222"/>
      <c r="GNM20" s="222"/>
      <c r="GNN20" s="222"/>
      <c r="GNO20" s="222"/>
      <c r="GNP20" s="222"/>
      <c r="GNQ20" s="222"/>
      <c r="GNR20" s="222"/>
      <c r="GNS20" s="222"/>
      <c r="GNT20" s="222"/>
      <c r="GNU20" s="222"/>
      <c r="GNV20" s="222"/>
      <c r="GNW20" s="222"/>
      <c r="GNX20" s="222"/>
      <c r="GNY20" s="222"/>
      <c r="GNZ20" s="222"/>
      <c r="GOA20" s="222"/>
      <c r="GOB20" s="222"/>
      <c r="GOC20" s="222"/>
      <c r="GOD20" s="222"/>
      <c r="GOE20" s="222"/>
      <c r="GOF20" s="222"/>
      <c r="GOG20" s="222"/>
      <c r="GOH20" s="222"/>
      <c r="GOI20" s="222"/>
      <c r="GOJ20" s="222"/>
      <c r="GOK20" s="222"/>
      <c r="GOL20" s="222"/>
      <c r="GOM20" s="222"/>
      <c r="GON20" s="222"/>
      <c r="GOO20" s="222"/>
      <c r="GOP20" s="222"/>
      <c r="GOQ20" s="222"/>
      <c r="GOR20" s="222"/>
      <c r="GOS20" s="222"/>
      <c r="GOT20" s="222"/>
      <c r="GOU20" s="222"/>
      <c r="GOV20" s="222"/>
      <c r="GOW20" s="222"/>
      <c r="GOX20" s="222"/>
      <c r="GOY20" s="222"/>
      <c r="GOZ20" s="222"/>
      <c r="GPA20" s="222"/>
      <c r="GPB20" s="222"/>
      <c r="GPC20" s="222"/>
      <c r="GPD20" s="222"/>
      <c r="GPE20" s="222"/>
      <c r="GPF20" s="222"/>
      <c r="GPG20" s="222"/>
      <c r="GPH20" s="222"/>
      <c r="GPI20" s="222"/>
      <c r="GPJ20" s="222"/>
      <c r="GPK20" s="222"/>
      <c r="GPL20" s="222"/>
      <c r="GPM20" s="222"/>
      <c r="GPN20" s="222"/>
      <c r="GPO20" s="222"/>
      <c r="GPP20" s="222"/>
      <c r="GPQ20" s="222"/>
      <c r="GPR20" s="222"/>
      <c r="GPS20" s="222"/>
      <c r="GPT20" s="222"/>
      <c r="GPU20" s="222"/>
      <c r="GPV20" s="222"/>
      <c r="GPW20" s="222"/>
      <c r="GPX20" s="222"/>
      <c r="GPY20" s="222"/>
      <c r="GPZ20" s="222"/>
      <c r="GQA20" s="222"/>
      <c r="GQB20" s="222"/>
      <c r="GQC20" s="222"/>
      <c r="GQD20" s="222"/>
      <c r="GQE20" s="222"/>
      <c r="GQF20" s="222"/>
      <c r="GQG20" s="222"/>
      <c r="GQH20" s="222"/>
      <c r="GQI20" s="222"/>
      <c r="GQJ20" s="222"/>
      <c r="GQK20" s="222"/>
      <c r="GQL20" s="222"/>
      <c r="GQM20" s="222"/>
      <c r="GQN20" s="222"/>
      <c r="GQO20" s="222"/>
      <c r="GQP20" s="222"/>
      <c r="GQQ20" s="222"/>
      <c r="GQR20" s="222"/>
      <c r="GQS20" s="222"/>
      <c r="GQT20" s="222"/>
      <c r="GQU20" s="222"/>
      <c r="GQV20" s="222"/>
      <c r="GQW20" s="222"/>
      <c r="GQX20" s="222"/>
      <c r="GQY20" s="222"/>
      <c r="GQZ20" s="222"/>
      <c r="GRA20" s="222"/>
      <c r="GRB20" s="222"/>
      <c r="GRC20" s="222"/>
      <c r="GRD20" s="222"/>
      <c r="GRE20" s="222"/>
      <c r="GRF20" s="222"/>
      <c r="GRG20" s="222"/>
      <c r="GRH20" s="222"/>
      <c r="GRI20" s="222"/>
      <c r="GRJ20" s="222"/>
      <c r="GRK20" s="222"/>
      <c r="GRL20" s="222"/>
      <c r="GRM20" s="222"/>
      <c r="GRN20" s="222"/>
      <c r="GRO20" s="222"/>
      <c r="GRP20" s="222"/>
      <c r="GRQ20" s="222"/>
      <c r="GRR20" s="222"/>
      <c r="GRS20" s="222"/>
      <c r="GRT20" s="222"/>
      <c r="GRU20" s="222"/>
      <c r="GRV20" s="222"/>
      <c r="GRW20" s="222"/>
      <c r="GRX20" s="222"/>
      <c r="GRY20" s="222"/>
      <c r="GRZ20" s="222"/>
      <c r="GSA20" s="222"/>
      <c r="GSB20" s="222"/>
      <c r="GSC20" s="222"/>
      <c r="GSD20" s="222"/>
      <c r="GSE20" s="222"/>
      <c r="GSF20" s="222"/>
      <c r="GSG20" s="222"/>
      <c r="GSH20" s="222"/>
      <c r="GSI20" s="222"/>
      <c r="GSJ20" s="222"/>
      <c r="GSK20" s="222"/>
      <c r="GSL20" s="222"/>
      <c r="GSM20" s="222"/>
      <c r="GSN20" s="222"/>
      <c r="GSO20" s="222"/>
      <c r="GSP20" s="222"/>
      <c r="GSQ20" s="222"/>
      <c r="GSR20" s="222"/>
      <c r="GSS20" s="222"/>
      <c r="GST20" s="222"/>
      <c r="GSU20" s="222"/>
      <c r="GSV20" s="222"/>
      <c r="GSW20" s="222"/>
      <c r="GSX20" s="222"/>
      <c r="GSY20" s="222"/>
      <c r="GSZ20" s="222"/>
      <c r="GTA20" s="222"/>
      <c r="GTB20" s="222"/>
      <c r="GTC20" s="222"/>
      <c r="GTD20" s="222"/>
      <c r="GTE20" s="222"/>
      <c r="GTF20" s="222"/>
      <c r="GTG20" s="222"/>
      <c r="GTH20" s="222"/>
      <c r="GTI20" s="222"/>
      <c r="GTJ20" s="222"/>
      <c r="GTK20" s="222"/>
      <c r="GTL20" s="222"/>
      <c r="GTM20" s="222"/>
      <c r="GTN20" s="222"/>
      <c r="GTO20" s="222"/>
      <c r="GTP20" s="222"/>
      <c r="GTQ20" s="222"/>
      <c r="GTR20" s="222"/>
      <c r="GTS20" s="222"/>
      <c r="GTT20" s="222"/>
      <c r="GTU20" s="222"/>
      <c r="GTV20" s="222"/>
      <c r="GTW20" s="222"/>
      <c r="GTX20" s="222"/>
      <c r="GTY20" s="222"/>
      <c r="GTZ20" s="222"/>
      <c r="GUA20" s="222"/>
      <c r="GUB20" s="222"/>
      <c r="GUC20" s="222"/>
      <c r="GUD20" s="222"/>
      <c r="GUE20" s="222"/>
      <c r="GUF20" s="222"/>
      <c r="GUG20" s="222"/>
      <c r="GUH20" s="222"/>
      <c r="GUI20" s="222"/>
      <c r="GUJ20" s="222"/>
      <c r="GUK20" s="222"/>
      <c r="GUL20" s="222"/>
      <c r="GUM20" s="222"/>
      <c r="GUN20" s="222"/>
      <c r="GUO20" s="222"/>
      <c r="GUP20" s="222"/>
      <c r="GUQ20" s="222"/>
      <c r="GUR20" s="222"/>
      <c r="GUS20" s="222"/>
      <c r="GUT20" s="222"/>
      <c r="GUU20" s="222"/>
      <c r="GUV20" s="222"/>
      <c r="GUW20" s="222"/>
      <c r="GUX20" s="222"/>
      <c r="GUY20" s="222"/>
      <c r="GUZ20" s="222"/>
      <c r="GVA20" s="222"/>
      <c r="GVB20" s="222"/>
      <c r="GVC20" s="222"/>
      <c r="GVD20" s="222"/>
      <c r="GVE20" s="222"/>
      <c r="GVF20" s="222"/>
      <c r="GVG20" s="222"/>
      <c r="GVH20" s="222"/>
      <c r="GVI20" s="222"/>
      <c r="GVJ20" s="222"/>
      <c r="GVK20" s="222"/>
      <c r="GVL20" s="222"/>
      <c r="GVM20" s="222"/>
      <c r="GVN20" s="222"/>
      <c r="GVO20" s="222"/>
      <c r="GVP20" s="222"/>
      <c r="GVQ20" s="222"/>
      <c r="GVR20" s="222"/>
      <c r="GVS20" s="222"/>
      <c r="GVT20" s="222"/>
      <c r="GVU20" s="222"/>
      <c r="GVV20" s="222"/>
      <c r="GVW20" s="222"/>
      <c r="GVX20" s="222"/>
      <c r="GVY20" s="222"/>
      <c r="GVZ20" s="222"/>
      <c r="GWA20" s="222"/>
      <c r="GWB20" s="222"/>
      <c r="GWC20" s="222"/>
      <c r="GWD20" s="222"/>
      <c r="GWE20" s="222"/>
      <c r="GWF20" s="222"/>
      <c r="GWG20" s="222"/>
      <c r="GWH20" s="222"/>
      <c r="GWI20" s="222"/>
      <c r="GWJ20" s="222"/>
      <c r="GWK20" s="222"/>
      <c r="GWL20" s="222"/>
      <c r="GWM20" s="222"/>
      <c r="GWN20" s="222"/>
      <c r="GWO20" s="222"/>
      <c r="GWP20" s="222"/>
      <c r="GWQ20" s="222"/>
      <c r="GWR20" s="222"/>
      <c r="GWS20" s="222"/>
      <c r="GWT20" s="222"/>
      <c r="GWU20" s="222"/>
      <c r="GWV20" s="222"/>
      <c r="GWW20" s="222"/>
      <c r="GWX20" s="222"/>
      <c r="GWY20" s="222"/>
      <c r="GWZ20" s="222"/>
      <c r="GXA20" s="222"/>
      <c r="GXB20" s="222"/>
      <c r="GXC20" s="222"/>
      <c r="GXD20" s="222"/>
      <c r="GXE20" s="222"/>
      <c r="GXF20" s="222"/>
      <c r="GXG20" s="222"/>
      <c r="GXH20" s="222"/>
      <c r="GXI20" s="222"/>
      <c r="GXJ20" s="222"/>
      <c r="GXK20" s="222"/>
      <c r="GXL20" s="222"/>
      <c r="GXM20" s="222"/>
      <c r="GXN20" s="222"/>
      <c r="GXO20" s="222"/>
      <c r="GXP20" s="222"/>
      <c r="GXQ20" s="222"/>
      <c r="GXR20" s="222"/>
      <c r="GXS20" s="222"/>
      <c r="GXT20" s="222"/>
      <c r="GXU20" s="222"/>
      <c r="GXV20" s="222"/>
      <c r="GXW20" s="222"/>
      <c r="GXX20" s="222"/>
      <c r="GXY20" s="222"/>
      <c r="GXZ20" s="222"/>
      <c r="GYA20" s="222"/>
      <c r="GYB20" s="222"/>
      <c r="GYC20" s="222"/>
      <c r="GYD20" s="222"/>
      <c r="GYE20" s="222"/>
      <c r="GYF20" s="222"/>
      <c r="GYG20" s="222"/>
      <c r="GYH20" s="222"/>
      <c r="GYI20" s="222"/>
      <c r="GYJ20" s="222"/>
      <c r="GYK20" s="222"/>
      <c r="GYL20" s="222"/>
      <c r="GYM20" s="222"/>
      <c r="GYN20" s="222"/>
      <c r="GYO20" s="222"/>
      <c r="GYP20" s="222"/>
      <c r="GYQ20" s="222"/>
      <c r="GYR20" s="222"/>
      <c r="GYS20" s="222"/>
      <c r="GYT20" s="222"/>
      <c r="GYU20" s="222"/>
      <c r="GYV20" s="222"/>
      <c r="GYW20" s="222"/>
      <c r="GYX20" s="222"/>
      <c r="GYY20" s="222"/>
      <c r="GYZ20" s="222"/>
      <c r="GZA20" s="222"/>
      <c r="GZB20" s="222"/>
      <c r="GZC20" s="222"/>
      <c r="GZD20" s="222"/>
      <c r="GZE20" s="222"/>
      <c r="GZF20" s="222"/>
      <c r="GZG20" s="222"/>
      <c r="GZH20" s="222"/>
      <c r="GZI20" s="222"/>
      <c r="GZJ20" s="222"/>
      <c r="GZK20" s="222"/>
      <c r="GZL20" s="222"/>
      <c r="GZM20" s="222"/>
      <c r="GZN20" s="222"/>
      <c r="GZO20" s="222"/>
      <c r="GZP20" s="222"/>
      <c r="GZQ20" s="222"/>
      <c r="GZR20" s="222"/>
      <c r="GZS20" s="222"/>
      <c r="GZT20" s="222"/>
      <c r="GZU20" s="222"/>
      <c r="GZV20" s="222"/>
      <c r="GZW20" s="222"/>
      <c r="GZX20" s="222"/>
      <c r="GZY20" s="222"/>
      <c r="GZZ20" s="222"/>
      <c r="HAA20" s="222"/>
      <c r="HAB20" s="222"/>
      <c r="HAC20" s="222"/>
      <c r="HAD20" s="222"/>
      <c r="HAE20" s="222"/>
      <c r="HAF20" s="222"/>
      <c r="HAG20" s="222"/>
      <c r="HAH20" s="222"/>
      <c r="HAI20" s="222"/>
      <c r="HAJ20" s="222"/>
      <c r="HAK20" s="222"/>
      <c r="HAL20" s="222"/>
      <c r="HAM20" s="222"/>
      <c r="HAN20" s="222"/>
      <c r="HAO20" s="222"/>
      <c r="HAP20" s="222"/>
      <c r="HAQ20" s="222"/>
      <c r="HAR20" s="222"/>
      <c r="HAS20" s="222"/>
      <c r="HAT20" s="222"/>
      <c r="HAU20" s="222"/>
      <c r="HAV20" s="222"/>
      <c r="HAW20" s="222"/>
      <c r="HAX20" s="222"/>
      <c r="HAY20" s="222"/>
      <c r="HAZ20" s="222"/>
      <c r="HBA20" s="222"/>
      <c r="HBB20" s="222"/>
      <c r="HBC20" s="222"/>
      <c r="HBD20" s="222"/>
      <c r="HBE20" s="222"/>
      <c r="HBF20" s="222"/>
      <c r="HBG20" s="222"/>
      <c r="HBH20" s="222"/>
      <c r="HBI20" s="222"/>
      <c r="HBJ20" s="222"/>
      <c r="HBK20" s="222"/>
      <c r="HBL20" s="222"/>
      <c r="HBM20" s="222"/>
      <c r="HBN20" s="222"/>
      <c r="HBO20" s="222"/>
      <c r="HBP20" s="222"/>
      <c r="HBQ20" s="222"/>
      <c r="HBR20" s="222"/>
      <c r="HBS20" s="222"/>
      <c r="HBT20" s="222"/>
      <c r="HBU20" s="222"/>
      <c r="HBV20" s="222"/>
      <c r="HBW20" s="222"/>
      <c r="HBX20" s="222"/>
      <c r="HBY20" s="222"/>
      <c r="HBZ20" s="222"/>
      <c r="HCA20" s="222"/>
      <c r="HCB20" s="222"/>
      <c r="HCC20" s="222"/>
      <c r="HCD20" s="222"/>
      <c r="HCE20" s="222"/>
      <c r="HCF20" s="222"/>
      <c r="HCG20" s="222"/>
      <c r="HCH20" s="222"/>
      <c r="HCI20" s="222"/>
      <c r="HCJ20" s="222"/>
      <c r="HCK20" s="222"/>
      <c r="HCL20" s="222"/>
      <c r="HCM20" s="222"/>
      <c r="HCN20" s="222"/>
      <c r="HCO20" s="222"/>
      <c r="HCP20" s="222"/>
      <c r="HCQ20" s="222"/>
      <c r="HCR20" s="222"/>
      <c r="HCS20" s="222"/>
      <c r="HCT20" s="222"/>
      <c r="HCU20" s="222"/>
      <c r="HCV20" s="222"/>
      <c r="HCW20" s="222"/>
      <c r="HCX20" s="222"/>
      <c r="HCY20" s="222"/>
      <c r="HCZ20" s="222"/>
      <c r="HDA20" s="222"/>
      <c r="HDB20" s="222"/>
      <c r="HDC20" s="222"/>
      <c r="HDD20" s="222"/>
      <c r="HDE20" s="222"/>
      <c r="HDF20" s="222"/>
      <c r="HDG20" s="222"/>
      <c r="HDH20" s="222"/>
      <c r="HDI20" s="222"/>
      <c r="HDJ20" s="222"/>
      <c r="HDK20" s="222"/>
      <c r="HDL20" s="222"/>
      <c r="HDM20" s="222"/>
      <c r="HDN20" s="222"/>
      <c r="HDO20" s="222"/>
      <c r="HDP20" s="222"/>
      <c r="HDQ20" s="222"/>
      <c r="HDR20" s="222"/>
      <c r="HDS20" s="222"/>
      <c r="HDT20" s="222"/>
      <c r="HDU20" s="222"/>
      <c r="HDV20" s="222"/>
      <c r="HDW20" s="222"/>
      <c r="HDX20" s="222"/>
      <c r="HDY20" s="222"/>
      <c r="HDZ20" s="222"/>
      <c r="HEA20" s="222"/>
      <c r="HEB20" s="222"/>
      <c r="HEC20" s="222"/>
      <c r="HED20" s="222"/>
      <c r="HEE20" s="222"/>
      <c r="HEF20" s="222"/>
      <c r="HEG20" s="222"/>
      <c r="HEH20" s="222"/>
      <c r="HEI20" s="222"/>
      <c r="HEJ20" s="222"/>
      <c r="HEK20" s="222"/>
      <c r="HEL20" s="222"/>
      <c r="HEM20" s="222"/>
      <c r="HEN20" s="222"/>
      <c r="HEO20" s="222"/>
      <c r="HEP20" s="222"/>
      <c r="HEQ20" s="222"/>
      <c r="HER20" s="222"/>
      <c r="HES20" s="222"/>
      <c r="HET20" s="222"/>
      <c r="HEU20" s="222"/>
      <c r="HEV20" s="222"/>
      <c r="HEW20" s="222"/>
      <c r="HEX20" s="222"/>
      <c r="HEY20" s="222"/>
      <c r="HEZ20" s="222"/>
      <c r="HFA20" s="222"/>
      <c r="HFB20" s="222"/>
      <c r="HFC20" s="222"/>
      <c r="HFD20" s="222"/>
      <c r="HFE20" s="222"/>
      <c r="HFF20" s="222"/>
      <c r="HFG20" s="222"/>
      <c r="HFH20" s="222"/>
      <c r="HFI20" s="222"/>
      <c r="HFJ20" s="222"/>
      <c r="HFK20" s="222"/>
      <c r="HFL20" s="222"/>
      <c r="HFM20" s="222"/>
      <c r="HFN20" s="222"/>
      <c r="HFO20" s="222"/>
      <c r="HFP20" s="222"/>
      <c r="HFQ20" s="222"/>
      <c r="HFR20" s="222"/>
      <c r="HFS20" s="222"/>
      <c r="HFT20" s="222"/>
      <c r="HFU20" s="222"/>
      <c r="HFV20" s="222"/>
      <c r="HFW20" s="222"/>
      <c r="HFX20" s="222"/>
      <c r="HFY20" s="222"/>
      <c r="HFZ20" s="222"/>
      <c r="HGA20" s="222"/>
      <c r="HGB20" s="222"/>
      <c r="HGC20" s="222"/>
      <c r="HGD20" s="222"/>
      <c r="HGE20" s="222"/>
      <c r="HGF20" s="222"/>
      <c r="HGG20" s="222"/>
      <c r="HGH20" s="222"/>
      <c r="HGI20" s="222"/>
      <c r="HGJ20" s="222"/>
      <c r="HGK20" s="222"/>
      <c r="HGL20" s="222"/>
      <c r="HGM20" s="222"/>
      <c r="HGN20" s="222"/>
      <c r="HGO20" s="222"/>
      <c r="HGP20" s="222"/>
      <c r="HGQ20" s="222"/>
      <c r="HGR20" s="222"/>
      <c r="HGS20" s="222"/>
      <c r="HGT20" s="222"/>
      <c r="HGU20" s="222"/>
      <c r="HGV20" s="222"/>
      <c r="HGW20" s="222"/>
      <c r="HGX20" s="222"/>
      <c r="HGY20" s="222"/>
      <c r="HGZ20" s="222"/>
      <c r="HHA20" s="222"/>
      <c r="HHB20" s="222"/>
      <c r="HHC20" s="222"/>
      <c r="HHD20" s="222"/>
      <c r="HHE20" s="222"/>
      <c r="HHF20" s="222"/>
      <c r="HHG20" s="222"/>
      <c r="HHH20" s="222"/>
      <c r="HHI20" s="222"/>
      <c r="HHJ20" s="222"/>
      <c r="HHK20" s="222"/>
      <c r="HHL20" s="222"/>
      <c r="HHM20" s="222"/>
      <c r="HHN20" s="222"/>
      <c r="HHO20" s="222"/>
      <c r="HHP20" s="222"/>
      <c r="HHQ20" s="222"/>
      <c r="HHR20" s="222"/>
      <c r="HHS20" s="222"/>
      <c r="HHT20" s="222"/>
      <c r="HHU20" s="222"/>
      <c r="HHV20" s="222"/>
      <c r="HHW20" s="222"/>
      <c r="HHX20" s="222"/>
      <c r="HHY20" s="222"/>
      <c r="HHZ20" s="222"/>
      <c r="HIA20" s="222"/>
      <c r="HIB20" s="222"/>
      <c r="HIC20" s="222"/>
      <c r="HID20" s="222"/>
      <c r="HIE20" s="222"/>
      <c r="HIF20" s="222"/>
      <c r="HIG20" s="222"/>
      <c r="HIH20" s="222"/>
      <c r="HII20" s="222"/>
      <c r="HIJ20" s="222"/>
      <c r="HIK20" s="222"/>
      <c r="HIL20" s="222"/>
      <c r="HIM20" s="222"/>
      <c r="HIN20" s="222"/>
      <c r="HIO20" s="222"/>
      <c r="HIP20" s="222"/>
      <c r="HIQ20" s="222"/>
      <c r="HIR20" s="222"/>
      <c r="HIS20" s="222"/>
      <c r="HIT20" s="222"/>
      <c r="HIU20" s="222"/>
      <c r="HIV20" s="222"/>
      <c r="HIW20" s="222"/>
      <c r="HIX20" s="222"/>
      <c r="HIY20" s="222"/>
      <c r="HIZ20" s="222"/>
      <c r="HJA20" s="222"/>
      <c r="HJB20" s="222"/>
      <c r="HJC20" s="222"/>
      <c r="HJD20" s="222"/>
      <c r="HJE20" s="222"/>
      <c r="HJF20" s="222"/>
      <c r="HJG20" s="222"/>
      <c r="HJH20" s="222"/>
      <c r="HJI20" s="222"/>
      <c r="HJJ20" s="222"/>
      <c r="HJK20" s="222"/>
      <c r="HJL20" s="222"/>
      <c r="HJM20" s="222"/>
      <c r="HJN20" s="222"/>
      <c r="HJO20" s="222"/>
      <c r="HJP20" s="222"/>
      <c r="HJQ20" s="222"/>
      <c r="HJR20" s="222"/>
      <c r="HJS20" s="222"/>
      <c r="HJT20" s="222"/>
      <c r="HJU20" s="222"/>
      <c r="HJV20" s="222"/>
      <c r="HJW20" s="222"/>
      <c r="HJX20" s="222"/>
      <c r="HJY20" s="222"/>
      <c r="HJZ20" s="222"/>
      <c r="HKA20" s="222"/>
      <c r="HKB20" s="222"/>
      <c r="HKC20" s="222"/>
      <c r="HKD20" s="222"/>
      <c r="HKE20" s="222"/>
      <c r="HKF20" s="222"/>
      <c r="HKG20" s="222"/>
      <c r="HKH20" s="222"/>
      <c r="HKI20" s="222"/>
      <c r="HKJ20" s="222"/>
      <c r="HKK20" s="222"/>
      <c r="HKL20" s="222"/>
      <c r="HKM20" s="222"/>
      <c r="HKN20" s="222"/>
      <c r="HKO20" s="222"/>
      <c r="HKP20" s="222"/>
      <c r="HKQ20" s="222"/>
      <c r="HKR20" s="222"/>
      <c r="HKS20" s="222"/>
      <c r="HKT20" s="222"/>
      <c r="HKU20" s="222"/>
      <c r="HKV20" s="222"/>
      <c r="HKW20" s="222"/>
      <c r="HKX20" s="222"/>
      <c r="HKY20" s="222"/>
      <c r="HKZ20" s="222"/>
      <c r="HLA20" s="222"/>
      <c r="HLB20" s="222"/>
      <c r="HLC20" s="222"/>
      <c r="HLD20" s="222"/>
      <c r="HLE20" s="222"/>
      <c r="HLF20" s="222"/>
      <c r="HLG20" s="222"/>
      <c r="HLH20" s="222"/>
      <c r="HLI20" s="222"/>
      <c r="HLJ20" s="222"/>
      <c r="HLK20" s="222"/>
      <c r="HLL20" s="222"/>
      <c r="HLM20" s="222"/>
      <c r="HLN20" s="222"/>
      <c r="HLO20" s="222"/>
      <c r="HLP20" s="222"/>
      <c r="HLQ20" s="222"/>
      <c r="HLR20" s="222"/>
      <c r="HLS20" s="222"/>
      <c r="HLT20" s="222"/>
      <c r="HLU20" s="222"/>
      <c r="HLV20" s="222"/>
      <c r="HLW20" s="222"/>
      <c r="HLX20" s="222"/>
      <c r="HLY20" s="222"/>
      <c r="HLZ20" s="222"/>
      <c r="HMA20" s="222"/>
      <c r="HMB20" s="222"/>
      <c r="HMC20" s="222"/>
      <c r="HMD20" s="222"/>
      <c r="HME20" s="222"/>
      <c r="HMF20" s="222"/>
      <c r="HMG20" s="222"/>
      <c r="HMH20" s="222"/>
      <c r="HMI20" s="222"/>
      <c r="HMJ20" s="222"/>
      <c r="HMK20" s="222"/>
      <c r="HML20" s="222"/>
      <c r="HMM20" s="222"/>
      <c r="HMN20" s="222"/>
      <c r="HMO20" s="222"/>
      <c r="HMP20" s="222"/>
      <c r="HMQ20" s="222"/>
      <c r="HMR20" s="222"/>
      <c r="HMS20" s="222"/>
      <c r="HMT20" s="222"/>
      <c r="HMU20" s="222"/>
      <c r="HMV20" s="222"/>
      <c r="HMW20" s="222"/>
      <c r="HMX20" s="222"/>
      <c r="HMY20" s="222"/>
      <c r="HMZ20" s="222"/>
      <c r="HNA20" s="222"/>
      <c r="HNB20" s="222"/>
      <c r="HNC20" s="222"/>
      <c r="HND20" s="222"/>
      <c r="HNE20" s="222"/>
      <c r="HNF20" s="222"/>
      <c r="HNG20" s="222"/>
      <c r="HNH20" s="222"/>
      <c r="HNI20" s="222"/>
      <c r="HNJ20" s="222"/>
      <c r="HNK20" s="222"/>
      <c r="HNL20" s="222"/>
      <c r="HNM20" s="222"/>
      <c r="HNN20" s="222"/>
      <c r="HNO20" s="222"/>
      <c r="HNP20" s="222"/>
      <c r="HNQ20" s="222"/>
      <c r="HNR20" s="222"/>
      <c r="HNS20" s="222"/>
      <c r="HNT20" s="222"/>
      <c r="HNU20" s="222"/>
      <c r="HNV20" s="222"/>
      <c r="HNW20" s="222"/>
      <c r="HNX20" s="222"/>
      <c r="HNY20" s="222"/>
      <c r="HNZ20" s="222"/>
      <c r="HOA20" s="222"/>
      <c r="HOB20" s="222"/>
      <c r="HOC20" s="222"/>
      <c r="HOD20" s="222"/>
      <c r="HOE20" s="222"/>
      <c r="HOF20" s="222"/>
      <c r="HOG20" s="222"/>
      <c r="HOH20" s="222"/>
      <c r="HOI20" s="222"/>
      <c r="HOJ20" s="222"/>
      <c r="HOK20" s="222"/>
      <c r="HOL20" s="222"/>
      <c r="HOM20" s="222"/>
      <c r="HON20" s="222"/>
      <c r="HOO20" s="222"/>
      <c r="HOP20" s="222"/>
      <c r="HOQ20" s="222"/>
      <c r="HOR20" s="222"/>
      <c r="HOS20" s="222"/>
      <c r="HOT20" s="222"/>
      <c r="HOU20" s="222"/>
      <c r="HOV20" s="222"/>
      <c r="HOW20" s="222"/>
      <c r="HOX20" s="222"/>
      <c r="HOY20" s="222"/>
      <c r="HOZ20" s="222"/>
      <c r="HPA20" s="222"/>
      <c r="HPB20" s="222"/>
      <c r="HPC20" s="222"/>
      <c r="HPD20" s="222"/>
      <c r="HPE20" s="222"/>
      <c r="HPF20" s="222"/>
      <c r="HPG20" s="222"/>
      <c r="HPH20" s="222"/>
      <c r="HPI20" s="222"/>
      <c r="HPJ20" s="222"/>
      <c r="HPK20" s="222"/>
      <c r="HPL20" s="222"/>
      <c r="HPM20" s="222"/>
      <c r="HPN20" s="222"/>
      <c r="HPO20" s="222"/>
      <c r="HPP20" s="222"/>
      <c r="HPQ20" s="222"/>
      <c r="HPR20" s="222"/>
      <c r="HPS20" s="222"/>
      <c r="HPT20" s="222"/>
      <c r="HPU20" s="222"/>
      <c r="HPV20" s="222"/>
      <c r="HPW20" s="222"/>
      <c r="HPX20" s="222"/>
      <c r="HPY20" s="222"/>
      <c r="HPZ20" s="222"/>
      <c r="HQA20" s="222"/>
      <c r="HQB20" s="222"/>
      <c r="HQC20" s="222"/>
      <c r="HQD20" s="222"/>
      <c r="HQE20" s="222"/>
      <c r="HQF20" s="222"/>
      <c r="HQG20" s="222"/>
      <c r="HQH20" s="222"/>
      <c r="HQI20" s="222"/>
      <c r="HQJ20" s="222"/>
      <c r="HQK20" s="222"/>
      <c r="HQL20" s="222"/>
      <c r="HQM20" s="222"/>
      <c r="HQN20" s="222"/>
      <c r="HQO20" s="222"/>
      <c r="HQP20" s="222"/>
      <c r="HQQ20" s="222"/>
      <c r="HQR20" s="222"/>
      <c r="HQS20" s="222"/>
      <c r="HQT20" s="222"/>
      <c r="HQU20" s="222"/>
      <c r="HQV20" s="222"/>
      <c r="HQW20" s="222"/>
      <c r="HQX20" s="222"/>
      <c r="HQY20" s="222"/>
      <c r="HQZ20" s="222"/>
      <c r="HRA20" s="222"/>
      <c r="HRB20" s="222"/>
      <c r="HRC20" s="222"/>
      <c r="HRD20" s="222"/>
      <c r="HRE20" s="222"/>
      <c r="HRF20" s="222"/>
      <c r="HRG20" s="222"/>
      <c r="HRH20" s="222"/>
      <c r="HRI20" s="222"/>
      <c r="HRJ20" s="222"/>
      <c r="HRK20" s="222"/>
      <c r="HRL20" s="222"/>
      <c r="HRM20" s="222"/>
      <c r="HRN20" s="222"/>
      <c r="HRO20" s="222"/>
      <c r="HRP20" s="222"/>
      <c r="HRQ20" s="222"/>
      <c r="HRR20" s="222"/>
      <c r="HRS20" s="222"/>
      <c r="HRT20" s="222"/>
      <c r="HRU20" s="222"/>
      <c r="HRV20" s="222"/>
      <c r="HRW20" s="222"/>
      <c r="HRX20" s="222"/>
      <c r="HRY20" s="222"/>
      <c r="HRZ20" s="222"/>
      <c r="HSA20" s="222"/>
      <c r="HSB20" s="222"/>
      <c r="HSC20" s="222"/>
      <c r="HSD20" s="222"/>
      <c r="HSE20" s="222"/>
      <c r="HSF20" s="222"/>
      <c r="HSG20" s="222"/>
      <c r="HSH20" s="222"/>
      <c r="HSI20" s="222"/>
      <c r="HSJ20" s="222"/>
      <c r="HSK20" s="222"/>
      <c r="HSL20" s="222"/>
      <c r="HSM20" s="222"/>
      <c r="HSN20" s="222"/>
      <c r="HSO20" s="222"/>
      <c r="HSP20" s="222"/>
      <c r="HSQ20" s="222"/>
      <c r="HSR20" s="222"/>
      <c r="HSS20" s="222"/>
      <c r="HST20" s="222"/>
      <c r="HSU20" s="222"/>
      <c r="HSV20" s="222"/>
      <c r="HSW20" s="222"/>
      <c r="HSX20" s="222"/>
      <c r="HSY20" s="222"/>
      <c r="HSZ20" s="222"/>
      <c r="HTA20" s="222"/>
      <c r="HTB20" s="222"/>
      <c r="HTC20" s="222"/>
      <c r="HTD20" s="222"/>
      <c r="HTE20" s="222"/>
      <c r="HTF20" s="222"/>
      <c r="HTG20" s="222"/>
      <c r="HTH20" s="222"/>
      <c r="HTI20" s="222"/>
      <c r="HTJ20" s="222"/>
      <c r="HTK20" s="222"/>
      <c r="HTL20" s="222"/>
      <c r="HTM20" s="222"/>
      <c r="HTN20" s="222"/>
      <c r="HTO20" s="222"/>
      <c r="HTP20" s="222"/>
      <c r="HTQ20" s="222"/>
      <c r="HTR20" s="222"/>
      <c r="HTS20" s="222"/>
      <c r="HTT20" s="222"/>
      <c r="HTU20" s="222"/>
      <c r="HTV20" s="222"/>
      <c r="HTW20" s="222"/>
      <c r="HTX20" s="222"/>
      <c r="HTY20" s="222"/>
      <c r="HTZ20" s="222"/>
      <c r="HUA20" s="222"/>
      <c r="HUB20" s="222"/>
      <c r="HUC20" s="222"/>
      <c r="HUD20" s="222"/>
      <c r="HUE20" s="222"/>
      <c r="HUF20" s="222"/>
      <c r="HUG20" s="222"/>
      <c r="HUH20" s="222"/>
      <c r="HUI20" s="222"/>
      <c r="HUJ20" s="222"/>
      <c r="HUK20" s="222"/>
      <c r="HUL20" s="222"/>
      <c r="HUM20" s="222"/>
      <c r="HUN20" s="222"/>
      <c r="HUO20" s="222"/>
      <c r="HUP20" s="222"/>
      <c r="HUQ20" s="222"/>
      <c r="HUR20" s="222"/>
      <c r="HUS20" s="222"/>
      <c r="HUT20" s="222"/>
      <c r="HUU20" s="222"/>
      <c r="HUV20" s="222"/>
      <c r="HUW20" s="222"/>
      <c r="HUX20" s="222"/>
      <c r="HUY20" s="222"/>
      <c r="HUZ20" s="222"/>
      <c r="HVA20" s="222"/>
      <c r="HVB20" s="222"/>
      <c r="HVC20" s="222"/>
      <c r="HVD20" s="222"/>
      <c r="HVE20" s="222"/>
      <c r="HVF20" s="222"/>
      <c r="HVG20" s="222"/>
      <c r="HVH20" s="222"/>
      <c r="HVI20" s="222"/>
      <c r="HVJ20" s="222"/>
      <c r="HVK20" s="222"/>
      <c r="HVL20" s="222"/>
      <c r="HVM20" s="222"/>
      <c r="HVN20" s="222"/>
      <c r="HVO20" s="222"/>
      <c r="HVP20" s="222"/>
      <c r="HVQ20" s="222"/>
      <c r="HVR20" s="222"/>
      <c r="HVS20" s="222"/>
      <c r="HVT20" s="222"/>
      <c r="HVU20" s="222"/>
      <c r="HVV20" s="222"/>
      <c r="HVW20" s="222"/>
      <c r="HVX20" s="222"/>
      <c r="HVY20" s="222"/>
      <c r="HVZ20" s="222"/>
      <c r="HWA20" s="222"/>
      <c r="HWB20" s="222"/>
      <c r="HWC20" s="222"/>
      <c r="HWD20" s="222"/>
      <c r="HWE20" s="222"/>
      <c r="HWF20" s="222"/>
      <c r="HWG20" s="222"/>
      <c r="HWH20" s="222"/>
      <c r="HWI20" s="222"/>
      <c r="HWJ20" s="222"/>
      <c r="HWK20" s="222"/>
      <c r="HWL20" s="222"/>
      <c r="HWM20" s="222"/>
      <c r="HWN20" s="222"/>
      <c r="HWO20" s="222"/>
      <c r="HWP20" s="222"/>
      <c r="HWQ20" s="222"/>
      <c r="HWR20" s="222"/>
      <c r="HWS20" s="222"/>
      <c r="HWT20" s="222"/>
      <c r="HWU20" s="222"/>
      <c r="HWV20" s="222"/>
      <c r="HWW20" s="222"/>
      <c r="HWX20" s="222"/>
      <c r="HWY20" s="222"/>
      <c r="HWZ20" s="222"/>
      <c r="HXA20" s="222"/>
      <c r="HXB20" s="222"/>
      <c r="HXC20" s="222"/>
      <c r="HXD20" s="222"/>
      <c r="HXE20" s="222"/>
      <c r="HXF20" s="222"/>
      <c r="HXG20" s="222"/>
      <c r="HXH20" s="222"/>
      <c r="HXI20" s="222"/>
      <c r="HXJ20" s="222"/>
      <c r="HXK20" s="222"/>
      <c r="HXL20" s="222"/>
      <c r="HXM20" s="222"/>
      <c r="HXN20" s="222"/>
      <c r="HXO20" s="222"/>
      <c r="HXP20" s="222"/>
      <c r="HXQ20" s="222"/>
      <c r="HXR20" s="222"/>
      <c r="HXS20" s="222"/>
      <c r="HXT20" s="222"/>
      <c r="HXU20" s="222"/>
      <c r="HXV20" s="222"/>
      <c r="HXW20" s="222"/>
      <c r="HXX20" s="222"/>
      <c r="HXY20" s="222"/>
      <c r="HXZ20" s="222"/>
      <c r="HYA20" s="222"/>
      <c r="HYB20" s="222"/>
      <c r="HYC20" s="222"/>
      <c r="HYD20" s="222"/>
      <c r="HYE20" s="222"/>
      <c r="HYF20" s="222"/>
      <c r="HYG20" s="222"/>
      <c r="HYH20" s="222"/>
      <c r="HYI20" s="222"/>
      <c r="HYJ20" s="222"/>
      <c r="HYK20" s="222"/>
      <c r="HYL20" s="222"/>
      <c r="HYM20" s="222"/>
      <c r="HYN20" s="222"/>
      <c r="HYO20" s="222"/>
      <c r="HYP20" s="222"/>
      <c r="HYQ20" s="222"/>
      <c r="HYR20" s="222"/>
      <c r="HYS20" s="222"/>
      <c r="HYT20" s="222"/>
      <c r="HYU20" s="222"/>
      <c r="HYV20" s="222"/>
      <c r="HYW20" s="222"/>
      <c r="HYX20" s="222"/>
      <c r="HYY20" s="222"/>
      <c r="HYZ20" s="222"/>
      <c r="HZA20" s="222"/>
      <c r="HZB20" s="222"/>
      <c r="HZC20" s="222"/>
      <c r="HZD20" s="222"/>
      <c r="HZE20" s="222"/>
      <c r="HZF20" s="222"/>
      <c r="HZG20" s="222"/>
      <c r="HZH20" s="222"/>
      <c r="HZI20" s="222"/>
      <c r="HZJ20" s="222"/>
      <c r="HZK20" s="222"/>
      <c r="HZL20" s="222"/>
      <c r="HZM20" s="222"/>
      <c r="HZN20" s="222"/>
      <c r="HZO20" s="222"/>
      <c r="HZP20" s="222"/>
      <c r="HZQ20" s="222"/>
      <c r="HZR20" s="222"/>
      <c r="HZS20" s="222"/>
      <c r="HZT20" s="222"/>
      <c r="HZU20" s="222"/>
      <c r="HZV20" s="222"/>
      <c r="HZW20" s="222"/>
      <c r="HZX20" s="222"/>
      <c r="HZY20" s="222"/>
      <c r="HZZ20" s="222"/>
      <c r="IAA20" s="222"/>
      <c r="IAB20" s="222"/>
      <c r="IAC20" s="222"/>
      <c r="IAD20" s="222"/>
      <c r="IAE20" s="222"/>
      <c r="IAF20" s="222"/>
      <c r="IAG20" s="222"/>
      <c r="IAH20" s="222"/>
      <c r="IAI20" s="222"/>
      <c r="IAJ20" s="222"/>
      <c r="IAK20" s="222"/>
      <c r="IAL20" s="222"/>
      <c r="IAM20" s="222"/>
      <c r="IAN20" s="222"/>
      <c r="IAO20" s="222"/>
      <c r="IAP20" s="222"/>
      <c r="IAQ20" s="222"/>
      <c r="IAR20" s="222"/>
      <c r="IAS20" s="222"/>
      <c r="IAT20" s="222"/>
      <c r="IAU20" s="222"/>
      <c r="IAV20" s="222"/>
      <c r="IAW20" s="222"/>
      <c r="IAX20" s="222"/>
      <c r="IAY20" s="222"/>
      <c r="IAZ20" s="222"/>
      <c r="IBA20" s="222"/>
      <c r="IBB20" s="222"/>
      <c r="IBC20" s="222"/>
      <c r="IBD20" s="222"/>
      <c r="IBE20" s="222"/>
      <c r="IBF20" s="222"/>
      <c r="IBG20" s="222"/>
      <c r="IBH20" s="222"/>
      <c r="IBI20" s="222"/>
      <c r="IBJ20" s="222"/>
      <c r="IBK20" s="222"/>
      <c r="IBL20" s="222"/>
      <c r="IBM20" s="222"/>
      <c r="IBN20" s="222"/>
      <c r="IBO20" s="222"/>
      <c r="IBP20" s="222"/>
      <c r="IBQ20" s="222"/>
      <c r="IBR20" s="222"/>
      <c r="IBS20" s="222"/>
      <c r="IBT20" s="222"/>
      <c r="IBU20" s="222"/>
      <c r="IBV20" s="222"/>
      <c r="IBW20" s="222"/>
      <c r="IBX20" s="222"/>
      <c r="IBY20" s="222"/>
      <c r="IBZ20" s="222"/>
      <c r="ICA20" s="222"/>
      <c r="ICB20" s="222"/>
      <c r="ICC20" s="222"/>
      <c r="ICD20" s="222"/>
      <c r="ICE20" s="222"/>
      <c r="ICF20" s="222"/>
      <c r="ICG20" s="222"/>
      <c r="ICH20" s="222"/>
      <c r="ICI20" s="222"/>
      <c r="ICJ20" s="222"/>
      <c r="ICK20" s="222"/>
      <c r="ICL20" s="222"/>
      <c r="ICM20" s="222"/>
      <c r="ICN20" s="222"/>
      <c r="ICO20" s="222"/>
      <c r="ICP20" s="222"/>
      <c r="ICQ20" s="222"/>
      <c r="ICR20" s="222"/>
      <c r="ICS20" s="222"/>
      <c r="ICT20" s="222"/>
      <c r="ICU20" s="222"/>
      <c r="ICV20" s="222"/>
      <c r="ICW20" s="222"/>
      <c r="ICX20" s="222"/>
      <c r="ICY20" s="222"/>
      <c r="ICZ20" s="222"/>
      <c r="IDA20" s="222"/>
      <c r="IDB20" s="222"/>
      <c r="IDC20" s="222"/>
      <c r="IDD20" s="222"/>
      <c r="IDE20" s="222"/>
      <c r="IDF20" s="222"/>
      <c r="IDG20" s="222"/>
      <c r="IDH20" s="222"/>
      <c r="IDI20" s="222"/>
      <c r="IDJ20" s="222"/>
      <c r="IDK20" s="222"/>
      <c r="IDL20" s="222"/>
      <c r="IDM20" s="222"/>
      <c r="IDN20" s="222"/>
      <c r="IDO20" s="222"/>
      <c r="IDP20" s="222"/>
      <c r="IDQ20" s="222"/>
      <c r="IDR20" s="222"/>
      <c r="IDS20" s="222"/>
      <c r="IDT20" s="222"/>
      <c r="IDU20" s="222"/>
      <c r="IDV20" s="222"/>
      <c r="IDW20" s="222"/>
      <c r="IDX20" s="222"/>
      <c r="IDY20" s="222"/>
      <c r="IDZ20" s="222"/>
      <c r="IEA20" s="222"/>
      <c r="IEB20" s="222"/>
      <c r="IEC20" s="222"/>
      <c r="IED20" s="222"/>
      <c r="IEE20" s="222"/>
      <c r="IEF20" s="222"/>
      <c r="IEG20" s="222"/>
      <c r="IEH20" s="222"/>
      <c r="IEI20" s="222"/>
      <c r="IEJ20" s="222"/>
      <c r="IEK20" s="222"/>
      <c r="IEL20" s="222"/>
      <c r="IEM20" s="222"/>
      <c r="IEN20" s="222"/>
      <c r="IEO20" s="222"/>
      <c r="IEP20" s="222"/>
      <c r="IEQ20" s="222"/>
      <c r="IER20" s="222"/>
      <c r="IES20" s="222"/>
      <c r="IET20" s="222"/>
      <c r="IEU20" s="222"/>
      <c r="IEV20" s="222"/>
      <c r="IEW20" s="222"/>
      <c r="IEX20" s="222"/>
      <c r="IEY20" s="222"/>
      <c r="IEZ20" s="222"/>
      <c r="IFA20" s="222"/>
      <c r="IFB20" s="222"/>
      <c r="IFC20" s="222"/>
      <c r="IFD20" s="222"/>
      <c r="IFE20" s="222"/>
      <c r="IFF20" s="222"/>
      <c r="IFG20" s="222"/>
      <c r="IFH20" s="222"/>
      <c r="IFI20" s="222"/>
      <c r="IFJ20" s="222"/>
      <c r="IFK20" s="222"/>
      <c r="IFL20" s="222"/>
      <c r="IFM20" s="222"/>
      <c r="IFN20" s="222"/>
      <c r="IFO20" s="222"/>
      <c r="IFP20" s="222"/>
      <c r="IFQ20" s="222"/>
      <c r="IFR20" s="222"/>
      <c r="IFS20" s="222"/>
      <c r="IFT20" s="222"/>
      <c r="IFU20" s="222"/>
      <c r="IFV20" s="222"/>
      <c r="IFW20" s="222"/>
      <c r="IFX20" s="222"/>
      <c r="IFY20" s="222"/>
      <c r="IFZ20" s="222"/>
      <c r="IGA20" s="222"/>
      <c r="IGB20" s="222"/>
      <c r="IGC20" s="222"/>
      <c r="IGD20" s="222"/>
      <c r="IGE20" s="222"/>
      <c r="IGF20" s="222"/>
      <c r="IGG20" s="222"/>
      <c r="IGH20" s="222"/>
      <c r="IGI20" s="222"/>
      <c r="IGJ20" s="222"/>
      <c r="IGK20" s="222"/>
      <c r="IGL20" s="222"/>
      <c r="IGM20" s="222"/>
      <c r="IGN20" s="222"/>
      <c r="IGO20" s="222"/>
      <c r="IGP20" s="222"/>
      <c r="IGQ20" s="222"/>
      <c r="IGR20" s="222"/>
      <c r="IGS20" s="222"/>
      <c r="IGT20" s="222"/>
      <c r="IGU20" s="222"/>
      <c r="IGV20" s="222"/>
      <c r="IGW20" s="222"/>
      <c r="IGX20" s="222"/>
      <c r="IGY20" s="222"/>
      <c r="IGZ20" s="222"/>
      <c r="IHA20" s="222"/>
      <c r="IHB20" s="222"/>
      <c r="IHC20" s="222"/>
      <c r="IHD20" s="222"/>
      <c r="IHE20" s="222"/>
      <c r="IHF20" s="222"/>
      <c r="IHG20" s="222"/>
      <c r="IHH20" s="222"/>
      <c r="IHI20" s="222"/>
      <c r="IHJ20" s="222"/>
      <c r="IHK20" s="222"/>
      <c r="IHL20" s="222"/>
      <c r="IHM20" s="222"/>
      <c r="IHN20" s="222"/>
      <c r="IHO20" s="222"/>
      <c r="IHP20" s="222"/>
      <c r="IHQ20" s="222"/>
      <c r="IHR20" s="222"/>
      <c r="IHS20" s="222"/>
      <c r="IHT20" s="222"/>
      <c r="IHU20" s="222"/>
      <c r="IHV20" s="222"/>
      <c r="IHW20" s="222"/>
      <c r="IHX20" s="222"/>
      <c r="IHY20" s="222"/>
      <c r="IHZ20" s="222"/>
      <c r="IIA20" s="222"/>
      <c r="IIB20" s="222"/>
      <c r="IIC20" s="222"/>
      <c r="IID20" s="222"/>
      <c r="IIE20" s="222"/>
      <c r="IIF20" s="222"/>
      <c r="IIG20" s="222"/>
      <c r="IIH20" s="222"/>
      <c r="III20" s="222"/>
      <c r="IIJ20" s="222"/>
      <c r="IIK20" s="222"/>
      <c r="IIL20" s="222"/>
      <c r="IIM20" s="222"/>
      <c r="IIN20" s="222"/>
      <c r="IIO20" s="222"/>
      <c r="IIP20" s="222"/>
      <c r="IIQ20" s="222"/>
      <c r="IIR20" s="222"/>
      <c r="IIS20" s="222"/>
      <c r="IIT20" s="222"/>
      <c r="IIU20" s="222"/>
      <c r="IIV20" s="222"/>
      <c r="IIW20" s="222"/>
      <c r="IIX20" s="222"/>
      <c r="IIY20" s="222"/>
      <c r="IIZ20" s="222"/>
      <c r="IJA20" s="222"/>
      <c r="IJB20" s="222"/>
      <c r="IJC20" s="222"/>
      <c r="IJD20" s="222"/>
      <c r="IJE20" s="222"/>
      <c r="IJF20" s="222"/>
      <c r="IJG20" s="222"/>
      <c r="IJH20" s="222"/>
      <c r="IJI20" s="222"/>
      <c r="IJJ20" s="222"/>
      <c r="IJK20" s="222"/>
      <c r="IJL20" s="222"/>
      <c r="IJM20" s="222"/>
      <c r="IJN20" s="222"/>
      <c r="IJO20" s="222"/>
      <c r="IJP20" s="222"/>
      <c r="IJQ20" s="222"/>
      <c r="IJR20" s="222"/>
      <c r="IJS20" s="222"/>
      <c r="IJT20" s="222"/>
      <c r="IJU20" s="222"/>
      <c r="IJV20" s="222"/>
      <c r="IJW20" s="222"/>
      <c r="IJX20" s="222"/>
      <c r="IJY20" s="222"/>
      <c r="IJZ20" s="222"/>
      <c r="IKA20" s="222"/>
      <c r="IKB20" s="222"/>
      <c r="IKC20" s="222"/>
      <c r="IKD20" s="222"/>
      <c r="IKE20" s="222"/>
      <c r="IKF20" s="222"/>
      <c r="IKG20" s="222"/>
      <c r="IKH20" s="222"/>
      <c r="IKI20" s="222"/>
      <c r="IKJ20" s="222"/>
      <c r="IKK20" s="222"/>
      <c r="IKL20" s="222"/>
      <c r="IKM20" s="222"/>
      <c r="IKN20" s="222"/>
      <c r="IKO20" s="222"/>
      <c r="IKP20" s="222"/>
      <c r="IKQ20" s="222"/>
      <c r="IKR20" s="222"/>
      <c r="IKS20" s="222"/>
      <c r="IKT20" s="222"/>
      <c r="IKU20" s="222"/>
      <c r="IKV20" s="222"/>
      <c r="IKW20" s="222"/>
      <c r="IKX20" s="222"/>
      <c r="IKY20" s="222"/>
      <c r="IKZ20" s="222"/>
      <c r="ILA20" s="222"/>
      <c r="ILB20" s="222"/>
      <c r="ILC20" s="222"/>
      <c r="ILD20" s="222"/>
      <c r="ILE20" s="222"/>
      <c r="ILF20" s="222"/>
      <c r="ILG20" s="222"/>
      <c r="ILH20" s="222"/>
      <c r="ILI20" s="222"/>
      <c r="ILJ20" s="222"/>
      <c r="ILK20" s="222"/>
      <c r="ILL20" s="222"/>
      <c r="ILM20" s="222"/>
      <c r="ILN20" s="222"/>
      <c r="ILO20" s="222"/>
      <c r="ILP20" s="222"/>
      <c r="ILQ20" s="222"/>
      <c r="ILR20" s="222"/>
      <c r="ILS20" s="222"/>
      <c r="ILT20" s="222"/>
      <c r="ILU20" s="222"/>
      <c r="ILV20" s="222"/>
      <c r="ILW20" s="222"/>
      <c r="ILX20" s="222"/>
      <c r="ILY20" s="222"/>
      <c r="ILZ20" s="222"/>
      <c r="IMA20" s="222"/>
      <c r="IMB20" s="222"/>
      <c r="IMC20" s="222"/>
      <c r="IMD20" s="222"/>
      <c r="IME20" s="222"/>
      <c r="IMF20" s="222"/>
      <c r="IMG20" s="222"/>
      <c r="IMH20" s="222"/>
      <c r="IMI20" s="222"/>
      <c r="IMJ20" s="222"/>
      <c r="IMK20" s="222"/>
      <c r="IML20" s="222"/>
      <c r="IMM20" s="222"/>
      <c r="IMN20" s="222"/>
      <c r="IMO20" s="222"/>
      <c r="IMP20" s="222"/>
      <c r="IMQ20" s="222"/>
      <c r="IMR20" s="222"/>
      <c r="IMS20" s="222"/>
      <c r="IMT20" s="222"/>
      <c r="IMU20" s="222"/>
      <c r="IMV20" s="222"/>
      <c r="IMW20" s="222"/>
      <c r="IMX20" s="222"/>
      <c r="IMY20" s="222"/>
      <c r="IMZ20" s="222"/>
      <c r="INA20" s="222"/>
      <c r="INB20" s="222"/>
      <c r="INC20" s="222"/>
      <c r="IND20" s="222"/>
      <c r="INE20" s="222"/>
      <c r="INF20" s="222"/>
      <c r="ING20" s="222"/>
      <c r="INH20" s="222"/>
      <c r="INI20" s="222"/>
      <c r="INJ20" s="222"/>
      <c r="INK20" s="222"/>
      <c r="INL20" s="222"/>
      <c r="INM20" s="222"/>
      <c r="INN20" s="222"/>
      <c r="INO20" s="222"/>
      <c r="INP20" s="222"/>
      <c r="INQ20" s="222"/>
      <c r="INR20" s="222"/>
      <c r="INS20" s="222"/>
      <c r="INT20" s="222"/>
      <c r="INU20" s="222"/>
      <c r="INV20" s="222"/>
      <c r="INW20" s="222"/>
      <c r="INX20" s="222"/>
      <c r="INY20" s="222"/>
      <c r="INZ20" s="222"/>
      <c r="IOA20" s="222"/>
      <c r="IOB20" s="222"/>
      <c r="IOC20" s="222"/>
      <c r="IOD20" s="222"/>
      <c r="IOE20" s="222"/>
      <c r="IOF20" s="222"/>
      <c r="IOG20" s="222"/>
      <c r="IOH20" s="222"/>
      <c r="IOI20" s="222"/>
      <c r="IOJ20" s="222"/>
      <c r="IOK20" s="222"/>
      <c r="IOL20" s="222"/>
      <c r="IOM20" s="222"/>
      <c r="ION20" s="222"/>
      <c r="IOO20" s="222"/>
      <c r="IOP20" s="222"/>
      <c r="IOQ20" s="222"/>
      <c r="IOR20" s="222"/>
      <c r="IOS20" s="222"/>
      <c r="IOT20" s="222"/>
      <c r="IOU20" s="222"/>
      <c r="IOV20" s="222"/>
      <c r="IOW20" s="222"/>
      <c r="IOX20" s="222"/>
      <c r="IOY20" s="222"/>
      <c r="IOZ20" s="222"/>
      <c r="IPA20" s="222"/>
      <c r="IPB20" s="222"/>
      <c r="IPC20" s="222"/>
      <c r="IPD20" s="222"/>
      <c r="IPE20" s="222"/>
      <c r="IPF20" s="222"/>
      <c r="IPG20" s="222"/>
      <c r="IPH20" s="222"/>
      <c r="IPI20" s="222"/>
      <c r="IPJ20" s="222"/>
      <c r="IPK20" s="222"/>
      <c r="IPL20" s="222"/>
      <c r="IPM20" s="222"/>
      <c r="IPN20" s="222"/>
      <c r="IPO20" s="222"/>
      <c r="IPP20" s="222"/>
      <c r="IPQ20" s="222"/>
      <c r="IPR20" s="222"/>
      <c r="IPS20" s="222"/>
      <c r="IPT20" s="222"/>
      <c r="IPU20" s="222"/>
      <c r="IPV20" s="222"/>
      <c r="IPW20" s="222"/>
      <c r="IPX20" s="222"/>
      <c r="IPY20" s="222"/>
      <c r="IPZ20" s="222"/>
      <c r="IQA20" s="222"/>
      <c r="IQB20" s="222"/>
      <c r="IQC20" s="222"/>
      <c r="IQD20" s="222"/>
      <c r="IQE20" s="222"/>
      <c r="IQF20" s="222"/>
      <c r="IQG20" s="222"/>
      <c r="IQH20" s="222"/>
      <c r="IQI20" s="222"/>
      <c r="IQJ20" s="222"/>
      <c r="IQK20" s="222"/>
      <c r="IQL20" s="222"/>
      <c r="IQM20" s="222"/>
      <c r="IQN20" s="222"/>
      <c r="IQO20" s="222"/>
      <c r="IQP20" s="222"/>
      <c r="IQQ20" s="222"/>
      <c r="IQR20" s="222"/>
      <c r="IQS20" s="222"/>
      <c r="IQT20" s="222"/>
      <c r="IQU20" s="222"/>
      <c r="IQV20" s="222"/>
      <c r="IQW20" s="222"/>
      <c r="IQX20" s="222"/>
      <c r="IQY20" s="222"/>
      <c r="IQZ20" s="222"/>
      <c r="IRA20" s="222"/>
      <c r="IRB20" s="222"/>
      <c r="IRC20" s="222"/>
      <c r="IRD20" s="222"/>
      <c r="IRE20" s="222"/>
      <c r="IRF20" s="222"/>
      <c r="IRG20" s="222"/>
      <c r="IRH20" s="222"/>
      <c r="IRI20" s="222"/>
      <c r="IRJ20" s="222"/>
      <c r="IRK20" s="222"/>
      <c r="IRL20" s="222"/>
      <c r="IRM20" s="222"/>
      <c r="IRN20" s="222"/>
      <c r="IRO20" s="222"/>
      <c r="IRP20" s="222"/>
      <c r="IRQ20" s="222"/>
      <c r="IRR20" s="222"/>
      <c r="IRS20" s="222"/>
      <c r="IRT20" s="222"/>
      <c r="IRU20" s="222"/>
      <c r="IRV20" s="222"/>
      <c r="IRW20" s="222"/>
      <c r="IRX20" s="222"/>
      <c r="IRY20" s="222"/>
      <c r="IRZ20" s="222"/>
      <c r="ISA20" s="222"/>
      <c r="ISB20" s="222"/>
      <c r="ISC20" s="222"/>
      <c r="ISD20" s="222"/>
      <c r="ISE20" s="222"/>
      <c r="ISF20" s="222"/>
      <c r="ISG20" s="222"/>
      <c r="ISH20" s="222"/>
      <c r="ISI20" s="222"/>
      <c r="ISJ20" s="222"/>
      <c r="ISK20" s="222"/>
      <c r="ISL20" s="222"/>
      <c r="ISM20" s="222"/>
      <c r="ISN20" s="222"/>
      <c r="ISO20" s="222"/>
      <c r="ISP20" s="222"/>
      <c r="ISQ20" s="222"/>
      <c r="ISR20" s="222"/>
      <c r="ISS20" s="222"/>
      <c r="IST20" s="222"/>
      <c r="ISU20" s="222"/>
      <c r="ISV20" s="222"/>
      <c r="ISW20" s="222"/>
      <c r="ISX20" s="222"/>
      <c r="ISY20" s="222"/>
      <c r="ISZ20" s="222"/>
      <c r="ITA20" s="222"/>
      <c r="ITB20" s="222"/>
      <c r="ITC20" s="222"/>
      <c r="ITD20" s="222"/>
      <c r="ITE20" s="222"/>
      <c r="ITF20" s="222"/>
      <c r="ITG20" s="222"/>
      <c r="ITH20" s="222"/>
      <c r="ITI20" s="222"/>
      <c r="ITJ20" s="222"/>
      <c r="ITK20" s="222"/>
      <c r="ITL20" s="222"/>
      <c r="ITM20" s="222"/>
      <c r="ITN20" s="222"/>
      <c r="ITO20" s="222"/>
      <c r="ITP20" s="222"/>
      <c r="ITQ20" s="222"/>
      <c r="ITR20" s="222"/>
      <c r="ITS20" s="222"/>
      <c r="ITT20" s="222"/>
      <c r="ITU20" s="222"/>
      <c r="ITV20" s="222"/>
      <c r="ITW20" s="222"/>
      <c r="ITX20" s="222"/>
      <c r="ITY20" s="222"/>
      <c r="ITZ20" s="222"/>
      <c r="IUA20" s="222"/>
      <c r="IUB20" s="222"/>
      <c r="IUC20" s="222"/>
      <c r="IUD20" s="222"/>
      <c r="IUE20" s="222"/>
      <c r="IUF20" s="222"/>
      <c r="IUG20" s="222"/>
      <c r="IUH20" s="222"/>
      <c r="IUI20" s="222"/>
      <c r="IUJ20" s="222"/>
      <c r="IUK20" s="222"/>
      <c r="IUL20" s="222"/>
      <c r="IUM20" s="222"/>
      <c r="IUN20" s="222"/>
      <c r="IUO20" s="222"/>
      <c r="IUP20" s="222"/>
      <c r="IUQ20" s="222"/>
      <c r="IUR20" s="222"/>
      <c r="IUS20" s="222"/>
      <c r="IUT20" s="222"/>
      <c r="IUU20" s="222"/>
      <c r="IUV20" s="222"/>
      <c r="IUW20" s="222"/>
      <c r="IUX20" s="222"/>
      <c r="IUY20" s="222"/>
      <c r="IUZ20" s="222"/>
      <c r="IVA20" s="222"/>
      <c r="IVB20" s="222"/>
      <c r="IVC20" s="222"/>
      <c r="IVD20" s="222"/>
      <c r="IVE20" s="222"/>
      <c r="IVF20" s="222"/>
      <c r="IVG20" s="222"/>
      <c r="IVH20" s="222"/>
      <c r="IVI20" s="222"/>
      <c r="IVJ20" s="222"/>
      <c r="IVK20" s="222"/>
      <c r="IVL20" s="222"/>
      <c r="IVM20" s="222"/>
      <c r="IVN20" s="222"/>
      <c r="IVO20" s="222"/>
      <c r="IVP20" s="222"/>
      <c r="IVQ20" s="222"/>
      <c r="IVR20" s="222"/>
      <c r="IVS20" s="222"/>
      <c r="IVT20" s="222"/>
      <c r="IVU20" s="222"/>
      <c r="IVV20" s="222"/>
      <c r="IVW20" s="222"/>
      <c r="IVX20" s="222"/>
      <c r="IVY20" s="222"/>
      <c r="IVZ20" s="222"/>
      <c r="IWA20" s="222"/>
      <c r="IWB20" s="222"/>
      <c r="IWC20" s="222"/>
      <c r="IWD20" s="222"/>
      <c r="IWE20" s="222"/>
      <c r="IWF20" s="222"/>
      <c r="IWG20" s="222"/>
      <c r="IWH20" s="222"/>
      <c r="IWI20" s="222"/>
      <c r="IWJ20" s="222"/>
      <c r="IWK20" s="222"/>
      <c r="IWL20" s="222"/>
      <c r="IWM20" s="222"/>
      <c r="IWN20" s="222"/>
      <c r="IWO20" s="222"/>
      <c r="IWP20" s="222"/>
      <c r="IWQ20" s="222"/>
      <c r="IWR20" s="222"/>
      <c r="IWS20" s="222"/>
      <c r="IWT20" s="222"/>
      <c r="IWU20" s="222"/>
      <c r="IWV20" s="222"/>
      <c r="IWW20" s="222"/>
      <c r="IWX20" s="222"/>
      <c r="IWY20" s="222"/>
      <c r="IWZ20" s="222"/>
      <c r="IXA20" s="222"/>
      <c r="IXB20" s="222"/>
      <c r="IXC20" s="222"/>
      <c r="IXD20" s="222"/>
      <c r="IXE20" s="222"/>
      <c r="IXF20" s="222"/>
      <c r="IXG20" s="222"/>
      <c r="IXH20" s="222"/>
      <c r="IXI20" s="222"/>
      <c r="IXJ20" s="222"/>
      <c r="IXK20" s="222"/>
      <c r="IXL20" s="222"/>
      <c r="IXM20" s="222"/>
      <c r="IXN20" s="222"/>
      <c r="IXO20" s="222"/>
      <c r="IXP20" s="222"/>
      <c r="IXQ20" s="222"/>
      <c r="IXR20" s="222"/>
      <c r="IXS20" s="222"/>
      <c r="IXT20" s="222"/>
      <c r="IXU20" s="222"/>
      <c r="IXV20" s="222"/>
      <c r="IXW20" s="222"/>
      <c r="IXX20" s="222"/>
      <c r="IXY20" s="222"/>
      <c r="IXZ20" s="222"/>
      <c r="IYA20" s="222"/>
      <c r="IYB20" s="222"/>
      <c r="IYC20" s="222"/>
      <c r="IYD20" s="222"/>
      <c r="IYE20" s="222"/>
      <c r="IYF20" s="222"/>
      <c r="IYG20" s="222"/>
      <c r="IYH20" s="222"/>
      <c r="IYI20" s="222"/>
      <c r="IYJ20" s="222"/>
      <c r="IYK20" s="222"/>
      <c r="IYL20" s="222"/>
      <c r="IYM20" s="222"/>
      <c r="IYN20" s="222"/>
      <c r="IYO20" s="222"/>
      <c r="IYP20" s="222"/>
      <c r="IYQ20" s="222"/>
      <c r="IYR20" s="222"/>
      <c r="IYS20" s="222"/>
      <c r="IYT20" s="222"/>
      <c r="IYU20" s="222"/>
      <c r="IYV20" s="222"/>
      <c r="IYW20" s="222"/>
      <c r="IYX20" s="222"/>
      <c r="IYY20" s="222"/>
      <c r="IYZ20" s="222"/>
      <c r="IZA20" s="222"/>
      <c r="IZB20" s="222"/>
      <c r="IZC20" s="222"/>
      <c r="IZD20" s="222"/>
      <c r="IZE20" s="222"/>
      <c r="IZF20" s="222"/>
      <c r="IZG20" s="222"/>
      <c r="IZH20" s="222"/>
      <c r="IZI20" s="222"/>
      <c r="IZJ20" s="222"/>
      <c r="IZK20" s="222"/>
      <c r="IZL20" s="222"/>
      <c r="IZM20" s="222"/>
      <c r="IZN20" s="222"/>
      <c r="IZO20" s="222"/>
      <c r="IZP20" s="222"/>
      <c r="IZQ20" s="222"/>
      <c r="IZR20" s="222"/>
      <c r="IZS20" s="222"/>
      <c r="IZT20" s="222"/>
      <c r="IZU20" s="222"/>
      <c r="IZV20" s="222"/>
      <c r="IZW20" s="222"/>
      <c r="IZX20" s="222"/>
      <c r="IZY20" s="222"/>
      <c r="IZZ20" s="222"/>
      <c r="JAA20" s="222"/>
      <c r="JAB20" s="222"/>
      <c r="JAC20" s="222"/>
      <c r="JAD20" s="222"/>
      <c r="JAE20" s="222"/>
      <c r="JAF20" s="222"/>
      <c r="JAG20" s="222"/>
      <c r="JAH20" s="222"/>
      <c r="JAI20" s="222"/>
      <c r="JAJ20" s="222"/>
      <c r="JAK20" s="222"/>
      <c r="JAL20" s="222"/>
      <c r="JAM20" s="222"/>
      <c r="JAN20" s="222"/>
      <c r="JAO20" s="222"/>
      <c r="JAP20" s="222"/>
      <c r="JAQ20" s="222"/>
      <c r="JAR20" s="222"/>
      <c r="JAS20" s="222"/>
      <c r="JAT20" s="222"/>
      <c r="JAU20" s="222"/>
      <c r="JAV20" s="222"/>
      <c r="JAW20" s="222"/>
      <c r="JAX20" s="222"/>
      <c r="JAY20" s="222"/>
      <c r="JAZ20" s="222"/>
      <c r="JBA20" s="222"/>
      <c r="JBB20" s="222"/>
      <c r="JBC20" s="222"/>
      <c r="JBD20" s="222"/>
      <c r="JBE20" s="222"/>
      <c r="JBF20" s="222"/>
      <c r="JBG20" s="222"/>
      <c r="JBH20" s="222"/>
      <c r="JBI20" s="222"/>
      <c r="JBJ20" s="222"/>
      <c r="JBK20" s="222"/>
      <c r="JBL20" s="222"/>
      <c r="JBM20" s="222"/>
      <c r="JBN20" s="222"/>
      <c r="JBO20" s="222"/>
      <c r="JBP20" s="222"/>
      <c r="JBQ20" s="222"/>
      <c r="JBR20" s="222"/>
      <c r="JBS20" s="222"/>
      <c r="JBT20" s="222"/>
      <c r="JBU20" s="222"/>
      <c r="JBV20" s="222"/>
      <c r="JBW20" s="222"/>
      <c r="JBX20" s="222"/>
      <c r="JBY20" s="222"/>
      <c r="JBZ20" s="222"/>
      <c r="JCA20" s="222"/>
      <c r="JCB20" s="222"/>
      <c r="JCC20" s="222"/>
      <c r="JCD20" s="222"/>
      <c r="JCE20" s="222"/>
      <c r="JCF20" s="222"/>
      <c r="JCG20" s="222"/>
      <c r="JCH20" s="222"/>
      <c r="JCI20" s="222"/>
      <c r="JCJ20" s="222"/>
      <c r="JCK20" s="222"/>
      <c r="JCL20" s="222"/>
      <c r="JCM20" s="222"/>
      <c r="JCN20" s="222"/>
      <c r="JCO20" s="222"/>
      <c r="JCP20" s="222"/>
      <c r="JCQ20" s="222"/>
      <c r="JCR20" s="222"/>
      <c r="JCS20" s="222"/>
      <c r="JCT20" s="222"/>
      <c r="JCU20" s="222"/>
      <c r="JCV20" s="222"/>
      <c r="JCW20" s="222"/>
      <c r="JCX20" s="222"/>
      <c r="JCY20" s="222"/>
      <c r="JCZ20" s="222"/>
      <c r="JDA20" s="222"/>
      <c r="JDB20" s="222"/>
      <c r="JDC20" s="222"/>
      <c r="JDD20" s="222"/>
      <c r="JDE20" s="222"/>
      <c r="JDF20" s="222"/>
      <c r="JDG20" s="222"/>
      <c r="JDH20" s="222"/>
      <c r="JDI20" s="222"/>
      <c r="JDJ20" s="222"/>
      <c r="JDK20" s="222"/>
      <c r="JDL20" s="222"/>
      <c r="JDM20" s="222"/>
      <c r="JDN20" s="222"/>
      <c r="JDO20" s="222"/>
      <c r="JDP20" s="222"/>
      <c r="JDQ20" s="222"/>
      <c r="JDR20" s="222"/>
      <c r="JDS20" s="222"/>
      <c r="JDT20" s="222"/>
      <c r="JDU20" s="222"/>
      <c r="JDV20" s="222"/>
      <c r="JDW20" s="222"/>
      <c r="JDX20" s="222"/>
      <c r="JDY20" s="222"/>
      <c r="JDZ20" s="222"/>
      <c r="JEA20" s="222"/>
      <c r="JEB20" s="222"/>
      <c r="JEC20" s="222"/>
      <c r="JED20" s="222"/>
      <c r="JEE20" s="222"/>
      <c r="JEF20" s="222"/>
      <c r="JEG20" s="222"/>
      <c r="JEH20" s="222"/>
      <c r="JEI20" s="222"/>
      <c r="JEJ20" s="222"/>
      <c r="JEK20" s="222"/>
      <c r="JEL20" s="222"/>
      <c r="JEM20" s="222"/>
      <c r="JEN20" s="222"/>
      <c r="JEO20" s="222"/>
      <c r="JEP20" s="222"/>
      <c r="JEQ20" s="222"/>
      <c r="JER20" s="222"/>
      <c r="JES20" s="222"/>
      <c r="JET20" s="222"/>
      <c r="JEU20" s="222"/>
      <c r="JEV20" s="222"/>
      <c r="JEW20" s="222"/>
      <c r="JEX20" s="222"/>
      <c r="JEY20" s="222"/>
      <c r="JEZ20" s="222"/>
      <c r="JFA20" s="222"/>
      <c r="JFB20" s="222"/>
      <c r="JFC20" s="222"/>
      <c r="JFD20" s="222"/>
      <c r="JFE20" s="222"/>
      <c r="JFF20" s="222"/>
      <c r="JFG20" s="222"/>
      <c r="JFH20" s="222"/>
      <c r="JFI20" s="222"/>
      <c r="JFJ20" s="222"/>
      <c r="JFK20" s="222"/>
      <c r="JFL20" s="222"/>
      <c r="JFM20" s="222"/>
      <c r="JFN20" s="222"/>
      <c r="JFO20" s="222"/>
      <c r="JFP20" s="222"/>
      <c r="JFQ20" s="222"/>
      <c r="JFR20" s="222"/>
      <c r="JFS20" s="222"/>
      <c r="JFT20" s="222"/>
      <c r="JFU20" s="222"/>
      <c r="JFV20" s="222"/>
      <c r="JFW20" s="222"/>
      <c r="JFX20" s="222"/>
      <c r="JFY20" s="222"/>
      <c r="JFZ20" s="222"/>
      <c r="JGA20" s="222"/>
      <c r="JGB20" s="222"/>
      <c r="JGC20" s="222"/>
      <c r="JGD20" s="222"/>
      <c r="JGE20" s="222"/>
      <c r="JGF20" s="222"/>
      <c r="JGG20" s="222"/>
      <c r="JGH20" s="222"/>
      <c r="JGI20" s="222"/>
      <c r="JGJ20" s="222"/>
      <c r="JGK20" s="222"/>
      <c r="JGL20" s="222"/>
      <c r="JGM20" s="222"/>
      <c r="JGN20" s="222"/>
      <c r="JGO20" s="222"/>
      <c r="JGP20" s="222"/>
      <c r="JGQ20" s="222"/>
      <c r="JGR20" s="222"/>
      <c r="JGS20" s="222"/>
      <c r="JGT20" s="222"/>
      <c r="JGU20" s="222"/>
      <c r="JGV20" s="222"/>
      <c r="JGW20" s="222"/>
      <c r="JGX20" s="222"/>
      <c r="JGY20" s="222"/>
      <c r="JGZ20" s="222"/>
      <c r="JHA20" s="222"/>
      <c r="JHB20" s="222"/>
      <c r="JHC20" s="222"/>
      <c r="JHD20" s="222"/>
      <c r="JHE20" s="222"/>
      <c r="JHF20" s="222"/>
      <c r="JHG20" s="222"/>
      <c r="JHH20" s="222"/>
      <c r="JHI20" s="222"/>
      <c r="JHJ20" s="222"/>
      <c r="JHK20" s="222"/>
      <c r="JHL20" s="222"/>
      <c r="JHM20" s="222"/>
      <c r="JHN20" s="222"/>
      <c r="JHO20" s="222"/>
      <c r="JHP20" s="222"/>
      <c r="JHQ20" s="222"/>
      <c r="JHR20" s="222"/>
      <c r="JHS20" s="222"/>
      <c r="JHT20" s="222"/>
      <c r="JHU20" s="222"/>
      <c r="JHV20" s="222"/>
      <c r="JHW20" s="222"/>
      <c r="JHX20" s="222"/>
      <c r="JHY20" s="222"/>
      <c r="JHZ20" s="222"/>
      <c r="JIA20" s="222"/>
      <c r="JIB20" s="222"/>
      <c r="JIC20" s="222"/>
      <c r="JID20" s="222"/>
      <c r="JIE20" s="222"/>
      <c r="JIF20" s="222"/>
      <c r="JIG20" s="222"/>
      <c r="JIH20" s="222"/>
      <c r="JII20" s="222"/>
      <c r="JIJ20" s="222"/>
      <c r="JIK20" s="222"/>
      <c r="JIL20" s="222"/>
      <c r="JIM20" s="222"/>
      <c r="JIN20" s="222"/>
      <c r="JIO20" s="222"/>
      <c r="JIP20" s="222"/>
      <c r="JIQ20" s="222"/>
      <c r="JIR20" s="222"/>
      <c r="JIS20" s="222"/>
      <c r="JIT20" s="222"/>
      <c r="JIU20" s="222"/>
      <c r="JIV20" s="222"/>
      <c r="JIW20" s="222"/>
      <c r="JIX20" s="222"/>
      <c r="JIY20" s="222"/>
      <c r="JIZ20" s="222"/>
      <c r="JJA20" s="222"/>
      <c r="JJB20" s="222"/>
      <c r="JJC20" s="222"/>
      <c r="JJD20" s="222"/>
      <c r="JJE20" s="222"/>
      <c r="JJF20" s="222"/>
      <c r="JJG20" s="222"/>
      <c r="JJH20" s="222"/>
      <c r="JJI20" s="222"/>
      <c r="JJJ20" s="222"/>
      <c r="JJK20" s="222"/>
      <c r="JJL20" s="222"/>
      <c r="JJM20" s="222"/>
      <c r="JJN20" s="222"/>
      <c r="JJO20" s="222"/>
      <c r="JJP20" s="222"/>
      <c r="JJQ20" s="222"/>
      <c r="JJR20" s="222"/>
      <c r="JJS20" s="222"/>
      <c r="JJT20" s="222"/>
      <c r="JJU20" s="222"/>
      <c r="JJV20" s="222"/>
      <c r="JJW20" s="222"/>
      <c r="JJX20" s="222"/>
      <c r="JJY20" s="222"/>
      <c r="JJZ20" s="222"/>
      <c r="JKA20" s="222"/>
      <c r="JKB20" s="222"/>
      <c r="JKC20" s="222"/>
      <c r="JKD20" s="222"/>
      <c r="JKE20" s="222"/>
      <c r="JKF20" s="222"/>
      <c r="JKG20" s="222"/>
      <c r="JKH20" s="222"/>
      <c r="JKI20" s="222"/>
      <c r="JKJ20" s="222"/>
      <c r="JKK20" s="222"/>
      <c r="JKL20" s="222"/>
      <c r="JKM20" s="222"/>
      <c r="JKN20" s="222"/>
      <c r="JKO20" s="222"/>
      <c r="JKP20" s="222"/>
      <c r="JKQ20" s="222"/>
      <c r="JKR20" s="222"/>
      <c r="JKS20" s="222"/>
      <c r="JKT20" s="222"/>
      <c r="JKU20" s="222"/>
      <c r="JKV20" s="222"/>
      <c r="JKW20" s="222"/>
      <c r="JKX20" s="222"/>
      <c r="JKY20" s="222"/>
      <c r="JKZ20" s="222"/>
      <c r="JLA20" s="222"/>
      <c r="JLB20" s="222"/>
      <c r="JLC20" s="222"/>
      <c r="JLD20" s="222"/>
      <c r="JLE20" s="222"/>
      <c r="JLF20" s="222"/>
      <c r="JLG20" s="222"/>
      <c r="JLH20" s="222"/>
      <c r="JLI20" s="222"/>
      <c r="JLJ20" s="222"/>
      <c r="JLK20" s="222"/>
      <c r="JLL20" s="222"/>
      <c r="JLM20" s="222"/>
      <c r="JLN20" s="222"/>
      <c r="JLO20" s="222"/>
      <c r="JLP20" s="222"/>
      <c r="JLQ20" s="222"/>
      <c r="JLR20" s="222"/>
      <c r="JLS20" s="222"/>
      <c r="JLT20" s="222"/>
      <c r="JLU20" s="222"/>
      <c r="JLV20" s="222"/>
      <c r="JLW20" s="222"/>
      <c r="JLX20" s="222"/>
      <c r="JLY20" s="222"/>
      <c r="JLZ20" s="222"/>
      <c r="JMA20" s="222"/>
      <c r="JMB20" s="222"/>
      <c r="JMC20" s="222"/>
      <c r="JMD20" s="222"/>
      <c r="JME20" s="222"/>
      <c r="JMF20" s="222"/>
      <c r="JMG20" s="222"/>
      <c r="JMH20" s="222"/>
      <c r="JMI20" s="222"/>
      <c r="JMJ20" s="222"/>
      <c r="JMK20" s="222"/>
      <c r="JML20" s="222"/>
      <c r="JMM20" s="222"/>
      <c r="JMN20" s="222"/>
      <c r="JMO20" s="222"/>
      <c r="JMP20" s="222"/>
      <c r="JMQ20" s="222"/>
      <c r="JMR20" s="222"/>
      <c r="JMS20" s="222"/>
      <c r="JMT20" s="222"/>
      <c r="JMU20" s="222"/>
      <c r="JMV20" s="222"/>
      <c r="JMW20" s="222"/>
      <c r="JMX20" s="222"/>
      <c r="JMY20" s="222"/>
      <c r="JMZ20" s="222"/>
      <c r="JNA20" s="222"/>
      <c r="JNB20" s="222"/>
      <c r="JNC20" s="222"/>
      <c r="JND20" s="222"/>
      <c r="JNE20" s="222"/>
      <c r="JNF20" s="222"/>
      <c r="JNG20" s="222"/>
      <c r="JNH20" s="222"/>
      <c r="JNI20" s="222"/>
      <c r="JNJ20" s="222"/>
      <c r="JNK20" s="222"/>
      <c r="JNL20" s="222"/>
      <c r="JNM20" s="222"/>
      <c r="JNN20" s="222"/>
      <c r="JNO20" s="222"/>
      <c r="JNP20" s="222"/>
      <c r="JNQ20" s="222"/>
      <c r="JNR20" s="222"/>
      <c r="JNS20" s="222"/>
      <c r="JNT20" s="222"/>
      <c r="JNU20" s="222"/>
      <c r="JNV20" s="222"/>
      <c r="JNW20" s="222"/>
      <c r="JNX20" s="222"/>
      <c r="JNY20" s="222"/>
      <c r="JNZ20" s="222"/>
      <c r="JOA20" s="222"/>
      <c r="JOB20" s="222"/>
      <c r="JOC20" s="222"/>
      <c r="JOD20" s="222"/>
      <c r="JOE20" s="222"/>
      <c r="JOF20" s="222"/>
      <c r="JOG20" s="222"/>
      <c r="JOH20" s="222"/>
      <c r="JOI20" s="222"/>
      <c r="JOJ20" s="222"/>
      <c r="JOK20" s="222"/>
      <c r="JOL20" s="222"/>
      <c r="JOM20" s="222"/>
      <c r="JON20" s="222"/>
      <c r="JOO20" s="222"/>
      <c r="JOP20" s="222"/>
      <c r="JOQ20" s="222"/>
      <c r="JOR20" s="222"/>
      <c r="JOS20" s="222"/>
      <c r="JOT20" s="222"/>
      <c r="JOU20" s="222"/>
      <c r="JOV20" s="222"/>
      <c r="JOW20" s="222"/>
      <c r="JOX20" s="222"/>
      <c r="JOY20" s="222"/>
      <c r="JOZ20" s="222"/>
      <c r="JPA20" s="222"/>
      <c r="JPB20" s="222"/>
      <c r="JPC20" s="222"/>
      <c r="JPD20" s="222"/>
      <c r="JPE20" s="222"/>
      <c r="JPF20" s="222"/>
      <c r="JPG20" s="222"/>
      <c r="JPH20" s="222"/>
      <c r="JPI20" s="222"/>
      <c r="JPJ20" s="222"/>
      <c r="JPK20" s="222"/>
      <c r="JPL20" s="222"/>
      <c r="JPM20" s="222"/>
      <c r="JPN20" s="222"/>
      <c r="JPO20" s="222"/>
      <c r="JPP20" s="222"/>
      <c r="JPQ20" s="222"/>
      <c r="JPR20" s="222"/>
      <c r="JPS20" s="222"/>
      <c r="JPT20" s="222"/>
      <c r="JPU20" s="222"/>
      <c r="JPV20" s="222"/>
      <c r="JPW20" s="222"/>
      <c r="JPX20" s="222"/>
      <c r="JPY20" s="222"/>
      <c r="JPZ20" s="222"/>
      <c r="JQA20" s="222"/>
      <c r="JQB20" s="222"/>
      <c r="JQC20" s="222"/>
      <c r="JQD20" s="222"/>
      <c r="JQE20" s="222"/>
      <c r="JQF20" s="222"/>
      <c r="JQG20" s="222"/>
      <c r="JQH20" s="222"/>
      <c r="JQI20" s="222"/>
      <c r="JQJ20" s="222"/>
      <c r="JQK20" s="222"/>
      <c r="JQL20" s="222"/>
      <c r="JQM20" s="222"/>
      <c r="JQN20" s="222"/>
      <c r="JQO20" s="222"/>
      <c r="JQP20" s="222"/>
      <c r="JQQ20" s="222"/>
      <c r="JQR20" s="222"/>
      <c r="JQS20" s="222"/>
      <c r="JQT20" s="222"/>
      <c r="JQU20" s="222"/>
      <c r="JQV20" s="222"/>
      <c r="JQW20" s="222"/>
      <c r="JQX20" s="222"/>
      <c r="JQY20" s="222"/>
      <c r="JQZ20" s="222"/>
      <c r="JRA20" s="222"/>
      <c r="JRB20" s="222"/>
      <c r="JRC20" s="222"/>
      <c r="JRD20" s="222"/>
      <c r="JRE20" s="222"/>
      <c r="JRF20" s="222"/>
      <c r="JRG20" s="222"/>
      <c r="JRH20" s="222"/>
      <c r="JRI20" s="222"/>
      <c r="JRJ20" s="222"/>
      <c r="JRK20" s="222"/>
      <c r="JRL20" s="222"/>
      <c r="JRM20" s="222"/>
      <c r="JRN20" s="222"/>
      <c r="JRO20" s="222"/>
      <c r="JRP20" s="222"/>
      <c r="JRQ20" s="222"/>
      <c r="JRR20" s="222"/>
      <c r="JRS20" s="222"/>
      <c r="JRT20" s="222"/>
      <c r="JRU20" s="222"/>
      <c r="JRV20" s="222"/>
      <c r="JRW20" s="222"/>
      <c r="JRX20" s="222"/>
      <c r="JRY20" s="222"/>
      <c r="JRZ20" s="222"/>
      <c r="JSA20" s="222"/>
      <c r="JSB20" s="222"/>
      <c r="JSC20" s="222"/>
      <c r="JSD20" s="222"/>
      <c r="JSE20" s="222"/>
      <c r="JSF20" s="222"/>
      <c r="JSG20" s="222"/>
      <c r="JSH20" s="222"/>
      <c r="JSI20" s="222"/>
      <c r="JSJ20" s="222"/>
      <c r="JSK20" s="222"/>
      <c r="JSL20" s="222"/>
      <c r="JSM20" s="222"/>
      <c r="JSN20" s="222"/>
      <c r="JSO20" s="222"/>
      <c r="JSP20" s="222"/>
      <c r="JSQ20" s="222"/>
      <c r="JSR20" s="222"/>
      <c r="JSS20" s="222"/>
      <c r="JST20" s="222"/>
      <c r="JSU20" s="222"/>
      <c r="JSV20" s="222"/>
      <c r="JSW20" s="222"/>
      <c r="JSX20" s="222"/>
      <c r="JSY20" s="222"/>
      <c r="JSZ20" s="222"/>
      <c r="JTA20" s="222"/>
      <c r="JTB20" s="222"/>
      <c r="JTC20" s="222"/>
      <c r="JTD20" s="222"/>
      <c r="JTE20" s="222"/>
      <c r="JTF20" s="222"/>
      <c r="JTG20" s="222"/>
      <c r="JTH20" s="222"/>
      <c r="JTI20" s="222"/>
      <c r="JTJ20" s="222"/>
      <c r="JTK20" s="222"/>
      <c r="JTL20" s="222"/>
      <c r="JTM20" s="222"/>
      <c r="JTN20" s="222"/>
      <c r="JTO20" s="222"/>
      <c r="JTP20" s="222"/>
      <c r="JTQ20" s="222"/>
      <c r="JTR20" s="222"/>
      <c r="JTS20" s="222"/>
      <c r="JTT20" s="222"/>
      <c r="JTU20" s="222"/>
      <c r="JTV20" s="222"/>
      <c r="JTW20" s="222"/>
      <c r="JTX20" s="222"/>
      <c r="JTY20" s="222"/>
      <c r="JTZ20" s="222"/>
      <c r="JUA20" s="222"/>
      <c r="JUB20" s="222"/>
      <c r="JUC20" s="222"/>
      <c r="JUD20" s="222"/>
      <c r="JUE20" s="222"/>
      <c r="JUF20" s="222"/>
      <c r="JUG20" s="222"/>
      <c r="JUH20" s="222"/>
      <c r="JUI20" s="222"/>
      <c r="JUJ20" s="222"/>
      <c r="JUK20" s="222"/>
      <c r="JUL20" s="222"/>
      <c r="JUM20" s="222"/>
      <c r="JUN20" s="222"/>
      <c r="JUO20" s="222"/>
      <c r="JUP20" s="222"/>
      <c r="JUQ20" s="222"/>
      <c r="JUR20" s="222"/>
      <c r="JUS20" s="222"/>
      <c r="JUT20" s="222"/>
      <c r="JUU20" s="222"/>
      <c r="JUV20" s="222"/>
      <c r="JUW20" s="222"/>
      <c r="JUX20" s="222"/>
      <c r="JUY20" s="222"/>
      <c r="JUZ20" s="222"/>
      <c r="JVA20" s="222"/>
      <c r="JVB20" s="222"/>
      <c r="JVC20" s="222"/>
      <c r="JVD20" s="222"/>
      <c r="JVE20" s="222"/>
      <c r="JVF20" s="222"/>
      <c r="JVG20" s="222"/>
      <c r="JVH20" s="222"/>
      <c r="JVI20" s="222"/>
      <c r="JVJ20" s="222"/>
      <c r="JVK20" s="222"/>
      <c r="JVL20" s="222"/>
      <c r="JVM20" s="222"/>
      <c r="JVN20" s="222"/>
      <c r="JVO20" s="222"/>
      <c r="JVP20" s="222"/>
      <c r="JVQ20" s="222"/>
      <c r="JVR20" s="222"/>
      <c r="JVS20" s="222"/>
      <c r="JVT20" s="222"/>
      <c r="JVU20" s="222"/>
      <c r="JVV20" s="222"/>
      <c r="JVW20" s="222"/>
      <c r="JVX20" s="222"/>
      <c r="JVY20" s="222"/>
      <c r="JVZ20" s="222"/>
      <c r="JWA20" s="222"/>
      <c r="JWB20" s="222"/>
      <c r="JWC20" s="222"/>
      <c r="JWD20" s="222"/>
      <c r="JWE20" s="222"/>
      <c r="JWF20" s="222"/>
      <c r="JWG20" s="222"/>
      <c r="JWH20" s="222"/>
      <c r="JWI20" s="222"/>
      <c r="JWJ20" s="222"/>
      <c r="JWK20" s="222"/>
      <c r="JWL20" s="222"/>
      <c r="JWM20" s="222"/>
      <c r="JWN20" s="222"/>
      <c r="JWO20" s="222"/>
      <c r="JWP20" s="222"/>
      <c r="JWQ20" s="222"/>
      <c r="JWR20" s="222"/>
      <c r="JWS20" s="222"/>
      <c r="JWT20" s="222"/>
      <c r="JWU20" s="222"/>
      <c r="JWV20" s="222"/>
      <c r="JWW20" s="222"/>
      <c r="JWX20" s="222"/>
      <c r="JWY20" s="222"/>
      <c r="JWZ20" s="222"/>
      <c r="JXA20" s="222"/>
      <c r="JXB20" s="222"/>
      <c r="JXC20" s="222"/>
      <c r="JXD20" s="222"/>
      <c r="JXE20" s="222"/>
      <c r="JXF20" s="222"/>
      <c r="JXG20" s="222"/>
      <c r="JXH20" s="222"/>
      <c r="JXI20" s="222"/>
      <c r="JXJ20" s="222"/>
      <c r="JXK20" s="222"/>
      <c r="JXL20" s="222"/>
      <c r="JXM20" s="222"/>
      <c r="JXN20" s="222"/>
      <c r="JXO20" s="222"/>
      <c r="JXP20" s="222"/>
      <c r="JXQ20" s="222"/>
      <c r="JXR20" s="222"/>
      <c r="JXS20" s="222"/>
      <c r="JXT20" s="222"/>
      <c r="JXU20" s="222"/>
      <c r="JXV20" s="222"/>
      <c r="JXW20" s="222"/>
      <c r="JXX20" s="222"/>
      <c r="JXY20" s="222"/>
      <c r="JXZ20" s="222"/>
      <c r="JYA20" s="222"/>
      <c r="JYB20" s="222"/>
      <c r="JYC20" s="222"/>
      <c r="JYD20" s="222"/>
      <c r="JYE20" s="222"/>
      <c r="JYF20" s="222"/>
      <c r="JYG20" s="222"/>
      <c r="JYH20" s="222"/>
      <c r="JYI20" s="222"/>
      <c r="JYJ20" s="222"/>
      <c r="JYK20" s="222"/>
      <c r="JYL20" s="222"/>
      <c r="JYM20" s="222"/>
      <c r="JYN20" s="222"/>
      <c r="JYO20" s="222"/>
      <c r="JYP20" s="222"/>
      <c r="JYQ20" s="222"/>
      <c r="JYR20" s="222"/>
      <c r="JYS20" s="222"/>
      <c r="JYT20" s="222"/>
      <c r="JYU20" s="222"/>
      <c r="JYV20" s="222"/>
      <c r="JYW20" s="222"/>
      <c r="JYX20" s="222"/>
      <c r="JYY20" s="222"/>
      <c r="JYZ20" s="222"/>
      <c r="JZA20" s="222"/>
      <c r="JZB20" s="222"/>
      <c r="JZC20" s="222"/>
      <c r="JZD20" s="222"/>
      <c r="JZE20" s="222"/>
      <c r="JZF20" s="222"/>
      <c r="JZG20" s="222"/>
      <c r="JZH20" s="222"/>
      <c r="JZI20" s="222"/>
      <c r="JZJ20" s="222"/>
      <c r="JZK20" s="222"/>
      <c r="JZL20" s="222"/>
      <c r="JZM20" s="222"/>
      <c r="JZN20" s="222"/>
      <c r="JZO20" s="222"/>
      <c r="JZP20" s="222"/>
      <c r="JZQ20" s="222"/>
      <c r="JZR20" s="222"/>
      <c r="JZS20" s="222"/>
      <c r="JZT20" s="222"/>
      <c r="JZU20" s="222"/>
      <c r="JZV20" s="222"/>
      <c r="JZW20" s="222"/>
      <c r="JZX20" s="222"/>
      <c r="JZY20" s="222"/>
      <c r="JZZ20" s="222"/>
      <c r="KAA20" s="222"/>
      <c r="KAB20" s="222"/>
      <c r="KAC20" s="222"/>
      <c r="KAD20" s="222"/>
      <c r="KAE20" s="222"/>
      <c r="KAF20" s="222"/>
      <c r="KAG20" s="222"/>
      <c r="KAH20" s="222"/>
      <c r="KAI20" s="222"/>
      <c r="KAJ20" s="222"/>
      <c r="KAK20" s="222"/>
      <c r="KAL20" s="222"/>
      <c r="KAM20" s="222"/>
      <c r="KAN20" s="222"/>
      <c r="KAO20" s="222"/>
      <c r="KAP20" s="222"/>
      <c r="KAQ20" s="222"/>
      <c r="KAR20" s="222"/>
      <c r="KAS20" s="222"/>
      <c r="KAT20" s="222"/>
      <c r="KAU20" s="222"/>
      <c r="KAV20" s="222"/>
      <c r="KAW20" s="222"/>
      <c r="KAX20" s="222"/>
      <c r="KAY20" s="222"/>
      <c r="KAZ20" s="222"/>
      <c r="KBA20" s="222"/>
      <c r="KBB20" s="222"/>
      <c r="KBC20" s="222"/>
      <c r="KBD20" s="222"/>
      <c r="KBE20" s="222"/>
      <c r="KBF20" s="222"/>
      <c r="KBG20" s="222"/>
      <c r="KBH20" s="222"/>
      <c r="KBI20" s="222"/>
      <c r="KBJ20" s="222"/>
      <c r="KBK20" s="222"/>
      <c r="KBL20" s="222"/>
      <c r="KBM20" s="222"/>
      <c r="KBN20" s="222"/>
      <c r="KBO20" s="222"/>
      <c r="KBP20" s="222"/>
      <c r="KBQ20" s="222"/>
      <c r="KBR20" s="222"/>
      <c r="KBS20" s="222"/>
      <c r="KBT20" s="222"/>
      <c r="KBU20" s="222"/>
      <c r="KBV20" s="222"/>
      <c r="KBW20" s="222"/>
      <c r="KBX20" s="222"/>
      <c r="KBY20" s="222"/>
      <c r="KBZ20" s="222"/>
      <c r="KCA20" s="222"/>
      <c r="KCB20" s="222"/>
      <c r="KCC20" s="222"/>
      <c r="KCD20" s="222"/>
      <c r="KCE20" s="222"/>
      <c r="KCF20" s="222"/>
      <c r="KCG20" s="222"/>
      <c r="KCH20" s="222"/>
      <c r="KCI20" s="222"/>
      <c r="KCJ20" s="222"/>
      <c r="KCK20" s="222"/>
      <c r="KCL20" s="222"/>
      <c r="KCM20" s="222"/>
      <c r="KCN20" s="222"/>
      <c r="KCO20" s="222"/>
      <c r="KCP20" s="222"/>
      <c r="KCQ20" s="222"/>
      <c r="KCR20" s="222"/>
      <c r="KCS20" s="222"/>
      <c r="KCT20" s="222"/>
      <c r="KCU20" s="222"/>
      <c r="KCV20" s="222"/>
      <c r="KCW20" s="222"/>
      <c r="KCX20" s="222"/>
      <c r="KCY20" s="222"/>
      <c r="KCZ20" s="222"/>
      <c r="KDA20" s="222"/>
      <c r="KDB20" s="222"/>
      <c r="KDC20" s="222"/>
      <c r="KDD20" s="222"/>
      <c r="KDE20" s="222"/>
      <c r="KDF20" s="222"/>
      <c r="KDG20" s="222"/>
      <c r="KDH20" s="222"/>
      <c r="KDI20" s="222"/>
      <c r="KDJ20" s="222"/>
      <c r="KDK20" s="222"/>
      <c r="KDL20" s="222"/>
      <c r="KDM20" s="222"/>
      <c r="KDN20" s="222"/>
      <c r="KDO20" s="222"/>
      <c r="KDP20" s="222"/>
      <c r="KDQ20" s="222"/>
      <c r="KDR20" s="222"/>
      <c r="KDS20" s="222"/>
      <c r="KDT20" s="222"/>
      <c r="KDU20" s="222"/>
      <c r="KDV20" s="222"/>
      <c r="KDW20" s="222"/>
      <c r="KDX20" s="222"/>
      <c r="KDY20" s="222"/>
      <c r="KDZ20" s="222"/>
      <c r="KEA20" s="222"/>
      <c r="KEB20" s="222"/>
      <c r="KEC20" s="222"/>
      <c r="KED20" s="222"/>
      <c r="KEE20" s="222"/>
      <c r="KEF20" s="222"/>
      <c r="KEG20" s="222"/>
      <c r="KEH20" s="222"/>
      <c r="KEI20" s="222"/>
      <c r="KEJ20" s="222"/>
      <c r="KEK20" s="222"/>
      <c r="KEL20" s="222"/>
      <c r="KEM20" s="222"/>
      <c r="KEN20" s="222"/>
      <c r="KEO20" s="222"/>
      <c r="KEP20" s="222"/>
      <c r="KEQ20" s="222"/>
      <c r="KER20" s="222"/>
      <c r="KES20" s="222"/>
      <c r="KET20" s="222"/>
      <c r="KEU20" s="222"/>
      <c r="KEV20" s="222"/>
      <c r="KEW20" s="222"/>
      <c r="KEX20" s="222"/>
      <c r="KEY20" s="222"/>
      <c r="KEZ20" s="222"/>
      <c r="KFA20" s="222"/>
      <c r="KFB20" s="222"/>
      <c r="KFC20" s="222"/>
      <c r="KFD20" s="222"/>
      <c r="KFE20" s="222"/>
      <c r="KFF20" s="222"/>
      <c r="KFG20" s="222"/>
      <c r="KFH20" s="222"/>
      <c r="KFI20" s="222"/>
      <c r="KFJ20" s="222"/>
      <c r="KFK20" s="222"/>
      <c r="KFL20" s="222"/>
      <c r="KFM20" s="222"/>
      <c r="KFN20" s="222"/>
      <c r="KFO20" s="222"/>
      <c r="KFP20" s="222"/>
      <c r="KFQ20" s="222"/>
      <c r="KFR20" s="222"/>
      <c r="KFS20" s="222"/>
      <c r="KFT20" s="222"/>
      <c r="KFU20" s="222"/>
      <c r="KFV20" s="222"/>
      <c r="KFW20" s="222"/>
      <c r="KFX20" s="222"/>
      <c r="KFY20" s="222"/>
      <c r="KFZ20" s="222"/>
      <c r="KGA20" s="222"/>
      <c r="KGB20" s="222"/>
      <c r="KGC20" s="222"/>
      <c r="KGD20" s="222"/>
      <c r="KGE20" s="222"/>
      <c r="KGF20" s="222"/>
      <c r="KGG20" s="222"/>
      <c r="KGH20" s="222"/>
      <c r="KGI20" s="222"/>
      <c r="KGJ20" s="222"/>
      <c r="KGK20" s="222"/>
      <c r="KGL20" s="222"/>
      <c r="KGM20" s="222"/>
      <c r="KGN20" s="222"/>
      <c r="KGO20" s="222"/>
      <c r="KGP20" s="222"/>
      <c r="KGQ20" s="222"/>
      <c r="KGR20" s="222"/>
      <c r="KGS20" s="222"/>
      <c r="KGT20" s="222"/>
      <c r="KGU20" s="222"/>
      <c r="KGV20" s="222"/>
      <c r="KGW20" s="222"/>
      <c r="KGX20" s="222"/>
      <c r="KGY20" s="222"/>
      <c r="KGZ20" s="222"/>
      <c r="KHA20" s="222"/>
      <c r="KHB20" s="222"/>
      <c r="KHC20" s="222"/>
      <c r="KHD20" s="222"/>
      <c r="KHE20" s="222"/>
      <c r="KHF20" s="222"/>
      <c r="KHG20" s="222"/>
      <c r="KHH20" s="222"/>
      <c r="KHI20" s="222"/>
      <c r="KHJ20" s="222"/>
      <c r="KHK20" s="222"/>
      <c r="KHL20" s="222"/>
      <c r="KHM20" s="222"/>
      <c r="KHN20" s="222"/>
      <c r="KHO20" s="222"/>
      <c r="KHP20" s="222"/>
      <c r="KHQ20" s="222"/>
      <c r="KHR20" s="222"/>
      <c r="KHS20" s="222"/>
      <c r="KHT20" s="222"/>
      <c r="KHU20" s="222"/>
      <c r="KHV20" s="222"/>
      <c r="KHW20" s="222"/>
      <c r="KHX20" s="222"/>
      <c r="KHY20" s="222"/>
      <c r="KHZ20" s="222"/>
      <c r="KIA20" s="222"/>
      <c r="KIB20" s="222"/>
      <c r="KIC20" s="222"/>
      <c r="KID20" s="222"/>
      <c r="KIE20" s="222"/>
      <c r="KIF20" s="222"/>
      <c r="KIG20" s="222"/>
      <c r="KIH20" s="222"/>
      <c r="KII20" s="222"/>
      <c r="KIJ20" s="222"/>
      <c r="KIK20" s="222"/>
      <c r="KIL20" s="222"/>
      <c r="KIM20" s="222"/>
      <c r="KIN20" s="222"/>
      <c r="KIO20" s="222"/>
      <c r="KIP20" s="222"/>
      <c r="KIQ20" s="222"/>
      <c r="KIR20" s="222"/>
      <c r="KIS20" s="222"/>
      <c r="KIT20" s="222"/>
      <c r="KIU20" s="222"/>
      <c r="KIV20" s="222"/>
      <c r="KIW20" s="222"/>
      <c r="KIX20" s="222"/>
      <c r="KIY20" s="222"/>
      <c r="KIZ20" s="222"/>
      <c r="KJA20" s="222"/>
      <c r="KJB20" s="222"/>
      <c r="KJC20" s="222"/>
      <c r="KJD20" s="222"/>
      <c r="KJE20" s="222"/>
      <c r="KJF20" s="222"/>
      <c r="KJG20" s="222"/>
      <c r="KJH20" s="222"/>
      <c r="KJI20" s="222"/>
      <c r="KJJ20" s="222"/>
      <c r="KJK20" s="222"/>
      <c r="KJL20" s="222"/>
      <c r="KJM20" s="222"/>
      <c r="KJN20" s="222"/>
      <c r="KJO20" s="222"/>
      <c r="KJP20" s="222"/>
      <c r="KJQ20" s="222"/>
      <c r="KJR20" s="222"/>
      <c r="KJS20" s="222"/>
      <c r="KJT20" s="222"/>
      <c r="KJU20" s="222"/>
      <c r="KJV20" s="222"/>
      <c r="KJW20" s="222"/>
      <c r="KJX20" s="222"/>
      <c r="KJY20" s="222"/>
      <c r="KJZ20" s="222"/>
      <c r="KKA20" s="222"/>
      <c r="KKB20" s="222"/>
      <c r="KKC20" s="222"/>
      <c r="KKD20" s="222"/>
      <c r="KKE20" s="222"/>
      <c r="KKF20" s="222"/>
      <c r="KKG20" s="222"/>
      <c r="KKH20" s="222"/>
      <c r="KKI20" s="222"/>
      <c r="KKJ20" s="222"/>
      <c r="KKK20" s="222"/>
      <c r="KKL20" s="222"/>
      <c r="KKM20" s="222"/>
      <c r="KKN20" s="222"/>
      <c r="KKO20" s="222"/>
      <c r="KKP20" s="222"/>
      <c r="KKQ20" s="222"/>
      <c r="KKR20" s="222"/>
      <c r="KKS20" s="222"/>
      <c r="KKT20" s="222"/>
      <c r="KKU20" s="222"/>
      <c r="KKV20" s="222"/>
      <c r="KKW20" s="222"/>
      <c r="KKX20" s="222"/>
      <c r="KKY20" s="222"/>
      <c r="KKZ20" s="222"/>
      <c r="KLA20" s="222"/>
      <c r="KLB20" s="222"/>
      <c r="KLC20" s="222"/>
      <c r="KLD20" s="222"/>
      <c r="KLE20" s="222"/>
      <c r="KLF20" s="222"/>
      <c r="KLG20" s="222"/>
      <c r="KLH20" s="222"/>
      <c r="KLI20" s="222"/>
      <c r="KLJ20" s="222"/>
      <c r="KLK20" s="222"/>
      <c r="KLL20" s="222"/>
      <c r="KLM20" s="222"/>
      <c r="KLN20" s="222"/>
      <c r="KLO20" s="222"/>
      <c r="KLP20" s="222"/>
      <c r="KLQ20" s="222"/>
      <c r="KLR20" s="222"/>
      <c r="KLS20" s="222"/>
      <c r="KLT20" s="222"/>
      <c r="KLU20" s="222"/>
      <c r="KLV20" s="222"/>
      <c r="KLW20" s="222"/>
      <c r="KLX20" s="222"/>
      <c r="KLY20" s="222"/>
      <c r="KLZ20" s="222"/>
      <c r="KMA20" s="222"/>
      <c r="KMB20" s="222"/>
      <c r="KMC20" s="222"/>
      <c r="KMD20" s="222"/>
      <c r="KME20" s="222"/>
      <c r="KMF20" s="222"/>
      <c r="KMG20" s="222"/>
      <c r="KMH20" s="222"/>
      <c r="KMI20" s="222"/>
      <c r="KMJ20" s="222"/>
      <c r="KMK20" s="222"/>
      <c r="KML20" s="222"/>
      <c r="KMM20" s="222"/>
      <c r="KMN20" s="222"/>
      <c r="KMO20" s="222"/>
      <c r="KMP20" s="222"/>
      <c r="KMQ20" s="222"/>
      <c r="KMR20" s="222"/>
      <c r="KMS20" s="222"/>
      <c r="KMT20" s="222"/>
      <c r="KMU20" s="222"/>
      <c r="KMV20" s="222"/>
      <c r="KMW20" s="222"/>
      <c r="KMX20" s="222"/>
      <c r="KMY20" s="222"/>
      <c r="KMZ20" s="222"/>
      <c r="KNA20" s="222"/>
      <c r="KNB20" s="222"/>
      <c r="KNC20" s="222"/>
      <c r="KND20" s="222"/>
      <c r="KNE20" s="222"/>
      <c r="KNF20" s="222"/>
      <c r="KNG20" s="222"/>
      <c r="KNH20" s="222"/>
      <c r="KNI20" s="222"/>
      <c r="KNJ20" s="222"/>
      <c r="KNK20" s="222"/>
      <c r="KNL20" s="222"/>
      <c r="KNM20" s="222"/>
      <c r="KNN20" s="222"/>
      <c r="KNO20" s="222"/>
      <c r="KNP20" s="222"/>
      <c r="KNQ20" s="222"/>
      <c r="KNR20" s="222"/>
      <c r="KNS20" s="222"/>
      <c r="KNT20" s="222"/>
      <c r="KNU20" s="222"/>
      <c r="KNV20" s="222"/>
      <c r="KNW20" s="222"/>
      <c r="KNX20" s="222"/>
      <c r="KNY20" s="222"/>
      <c r="KNZ20" s="222"/>
      <c r="KOA20" s="222"/>
      <c r="KOB20" s="222"/>
      <c r="KOC20" s="222"/>
      <c r="KOD20" s="222"/>
      <c r="KOE20" s="222"/>
      <c r="KOF20" s="222"/>
      <c r="KOG20" s="222"/>
      <c r="KOH20" s="222"/>
      <c r="KOI20" s="222"/>
      <c r="KOJ20" s="222"/>
      <c r="KOK20" s="222"/>
      <c r="KOL20" s="222"/>
      <c r="KOM20" s="222"/>
      <c r="KON20" s="222"/>
      <c r="KOO20" s="222"/>
      <c r="KOP20" s="222"/>
      <c r="KOQ20" s="222"/>
      <c r="KOR20" s="222"/>
      <c r="KOS20" s="222"/>
      <c r="KOT20" s="222"/>
      <c r="KOU20" s="222"/>
      <c r="KOV20" s="222"/>
      <c r="KOW20" s="222"/>
      <c r="KOX20" s="222"/>
      <c r="KOY20" s="222"/>
      <c r="KOZ20" s="222"/>
      <c r="KPA20" s="222"/>
      <c r="KPB20" s="222"/>
      <c r="KPC20" s="222"/>
      <c r="KPD20" s="222"/>
      <c r="KPE20" s="222"/>
      <c r="KPF20" s="222"/>
      <c r="KPG20" s="222"/>
      <c r="KPH20" s="222"/>
      <c r="KPI20" s="222"/>
      <c r="KPJ20" s="222"/>
      <c r="KPK20" s="222"/>
      <c r="KPL20" s="222"/>
      <c r="KPM20" s="222"/>
      <c r="KPN20" s="222"/>
      <c r="KPO20" s="222"/>
      <c r="KPP20" s="222"/>
      <c r="KPQ20" s="222"/>
      <c r="KPR20" s="222"/>
      <c r="KPS20" s="222"/>
      <c r="KPT20" s="222"/>
      <c r="KPU20" s="222"/>
      <c r="KPV20" s="222"/>
      <c r="KPW20" s="222"/>
      <c r="KPX20" s="222"/>
      <c r="KPY20" s="222"/>
      <c r="KPZ20" s="222"/>
      <c r="KQA20" s="222"/>
      <c r="KQB20" s="222"/>
      <c r="KQC20" s="222"/>
      <c r="KQD20" s="222"/>
      <c r="KQE20" s="222"/>
      <c r="KQF20" s="222"/>
      <c r="KQG20" s="222"/>
      <c r="KQH20" s="222"/>
      <c r="KQI20" s="222"/>
      <c r="KQJ20" s="222"/>
      <c r="KQK20" s="222"/>
      <c r="KQL20" s="222"/>
      <c r="KQM20" s="222"/>
      <c r="KQN20" s="222"/>
      <c r="KQO20" s="222"/>
      <c r="KQP20" s="222"/>
      <c r="KQQ20" s="222"/>
      <c r="KQR20" s="222"/>
      <c r="KQS20" s="222"/>
      <c r="KQT20" s="222"/>
      <c r="KQU20" s="222"/>
      <c r="KQV20" s="222"/>
      <c r="KQW20" s="222"/>
      <c r="KQX20" s="222"/>
      <c r="KQY20" s="222"/>
      <c r="KQZ20" s="222"/>
      <c r="KRA20" s="222"/>
      <c r="KRB20" s="222"/>
      <c r="KRC20" s="222"/>
      <c r="KRD20" s="222"/>
      <c r="KRE20" s="222"/>
      <c r="KRF20" s="222"/>
      <c r="KRG20" s="222"/>
      <c r="KRH20" s="222"/>
      <c r="KRI20" s="222"/>
      <c r="KRJ20" s="222"/>
      <c r="KRK20" s="222"/>
      <c r="KRL20" s="222"/>
      <c r="KRM20" s="222"/>
      <c r="KRN20" s="222"/>
      <c r="KRO20" s="222"/>
      <c r="KRP20" s="222"/>
      <c r="KRQ20" s="222"/>
      <c r="KRR20" s="222"/>
      <c r="KRS20" s="222"/>
      <c r="KRT20" s="222"/>
      <c r="KRU20" s="222"/>
      <c r="KRV20" s="222"/>
      <c r="KRW20" s="222"/>
      <c r="KRX20" s="222"/>
      <c r="KRY20" s="222"/>
      <c r="KRZ20" s="222"/>
      <c r="KSA20" s="222"/>
      <c r="KSB20" s="222"/>
      <c r="KSC20" s="222"/>
      <c r="KSD20" s="222"/>
      <c r="KSE20" s="222"/>
      <c r="KSF20" s="222"/>
      <c r="KSG20" s="222"/>
      <c r="KSH20" s="222"/>
      <c r="KSI20" s="222"/>
      <c r="KSJ20" s="222"/>
      <c r="KSK20" s="222"/>
      <c r="KSL20" s="222"/>
      <c r="KSM20" s="222"/>
      <c r="KSN20" s="222"/>
      <c r="KSO20" s="222"/>
      <c r="KSP20" s="222"/>
      <c r="KSQ20" s="222"/>
      <c r="KSR20" s="222"/>
      <c r="KSS20" s="222"/>
      <c r="KST20" s="222"/>
      <c r="KSU20" s="222"/>
      <c r="KSV20" s="222"/>
      <c r="KSW20" s="222"/>
      <c r="KSX20" s="222"/>
      <c r="KSY20" s="222"/>
      <c r="KSZ20" s="222"/>
      <c r="KTA20" s="222"/>
      <c r="KTB20" s="222"/>
      <c r="KTC20" s="222"/>
      <c r="KTD20" s="222"/>
      <c r="KTE20" s="222"/>
      <c r="KTF20" s="222"/>
      <c r="KTG20" s="222"/>
      <c r="KTH20" s="222"/>
      <c r="KTI20" s="222"/>
      <c r="KTJ20" s="222"/>
      <c r="KTK20" s="222"/>
      <c r="KTL20" s="222"/>
      <c r="KTM20" s="222"/>
      <c r="KTN20" s="222"/>
      <c r="KTO20" s="222"/>
      <c r="KTP20" s="222"/>
      <c r="KTQ20" s="222"/>
      <c r="KTR20" s="222"/>
      <c r="KTS20" s="222"/>
      <c r="KTT20" s="222"/>
      <c r="KTU20" s="222"/>
      <c r="KTV20" s="222"/>
      <c r="KTW20" s="222"/>
      <c r="KTX20" s="222"/>
      <c r="KTY20" s="222"/>
      <c r="KTZ20" s="222"/>
      <c r="KUA20" s="222"/>
      <c r="KUB20" s="222"/>
      <c r="KUC20" s="222"/>
      <c r="KUD20" s="222"/>
      <c r="KUE20" s="222"/>
      <c r="KUF20" s="222"/>
      <c r="KUG20" s="222"/>
      <c r="KUH20" s="222"/>
      <c r="KUI20" s="222"/>
      <c r="KUJ20" s="222"/>
      <c r="KUK20" s="222"/>
      <c r="KUL20" s="222"/>
      <c r="KUM20" s="222"/>
      <c r="KUN20" s="222"/>
      <c r="KUO20" s="222"/>
      <c r="KUP20" s="222"/>
      <c r="KUQ20" s="222"/>
      <c r="KUR20" s="222"/>
      <c r="KUS20" s="222"/>
      <c r="KUT20" s="222"/>
      <c r="KUU20" s="222"/>
      <c r="KUV20" s="222"/>
      <c r="KUW20" s="222"/>
      <c r="KUX20" s="222"/>
      <c r="KUY20" s="222"/>
      <c r="KUZ20" s="222"/>
      <c r="KVA20" s="222"/>
      <c r="KVB20" s="222"/>
      <c r="KVC20" s="222"/>
      <c r="KVD20" s="222"/>
      <c r="KVE20" s="222"/>
      <c r="KVF20" s="222"/>
      <c r="KVG20" s="222"/>
      <c r="KVH20" s="222"/>
      <c r="KVI20" s="222"/>
      <c r="KVJ20" s="222"/>
      <c r="KVK20" s="222"/>
      <c r="KVL20" s="222"/>
      <c r="KVM20" s="222"/>
      <c r="KVN20" s="222"/>
      <c r="KVO20" s="222"/>
      <c r="KVP20" s="222"/>
      <c r="KVQ20" s="222"/>
      <c r="KVR20" s="222"/>
      <c r="KVS20" s="222"/>
      <c r="KVT20" s="222"/>
      <c r="KVU20" s="222"/>
      <c r="KVV20" s="222"/>
      <c r="KVW20" s="222"/>
      <c r="KVX20" s="222"/>
      <c r="KVY20" s="222"/>
      <c r="KVZ20" s="222"/>
      <c r="KWA20" s="222"/>
      <c r="KWB20" s="222"/>
      <c r="KWC20" s="222"/>
      <c r="KWD20" s="222"/>
      <c r="KWE20" s="222"/>
      <c r="KWF20" s="222"/>
      <c r="KWG20" s="222"/>
      <c r="KWH20" s="222"/>
      <c r="KWI20" s="222"/>
      <c r="KWJ20" s="222"/>
      <c r="KWK20" s="222"/>
      <c r="KWL20" s="222"/>
      <c r="KWM20" s="222"/>
      <c r="KWN20" s="222"/>
      <c r="KWO20" s="222"/>
      <c r="KWP20" s="222"/>
      <c r="KWQ20" s="222"/>
      <c r="KWR20" s="222"/>
      <c r="KWS20" s="222"/>
      <c r="KWT20" s="222"/>
      <c r="KWU20" s="222"/>
      <c r="KWV20" s="222"/>
      <c r="KWW20" s="222"/>
      <c r="KWX20" s="222"/>
      <c r="KWY20" s="222"/>
      <c r="KWZ20" s="222"/>
      <c r="KXA20" s="222"/>
      <c r="KXB20" s="222"/>
      <c r="KXC20" s="222"/>
      <c r="KXD20" s="222"/>
      <c r="KXE20" s="222"/>
      <c r="KXF20" s="222"/>
      <c r="KXG20" s="222"/>
      <c r="KXH20" s="222"/>
      <c r="KXI20" s="222"/>
      <c r="KXJ20" s="222"/>
      <c r="KXK20" s="222"/>
      <c r="KXL20" s="222"/>
      <c r="KXM20" s="222"/>
      <c r="KXN20" s="222"/>
      <c r="KXO20" s="222"/>
      <c r="KXP20" s="222"/>
      <c r="KXQ20" s="222"/>
      <c r="KXR20" s="222"/>
      <c r="KXS20" s="222"/>
      <c r="KXT20" s="222"/>
      <c r="KXU20" s="222"/>
      <c r="KXV20" s="222"/>
      <c r="KXW20" s="222"/>
      <c r="KXX20" s="222"/>
      <c r="KXY20" s="222"/>
      <c r="KXZ20" s="222"/>
      <c r="KYA20" s="222"/>
      <c r="KYB20" s="222"/>
      <c r="KYC20" s="222"/>
      <c r="KYD20" s="222"/>
      <c r="KYE20" s="222"/>
      <c r="KYF20" s="222"/>
      <c r="KYG20" s="222"/>
      <c r="KYH20" s="222"/>
      <c r="KYI20" s="222"/>
      <c r="KYJ20" s="222"/>
      <c r="KYK20" s="222"/>
      <c r="KYL20" s="222"/>
      <c r="KYM20" s="222"/>
      <c r="KYN20" s="222"/>
      <c r="KYO20" s="222"/>
      <c r="KYP20" s="222"/>
      <c r="KYQ20" s="222"/>
      <c r="KYR20" s="222"/>
      <c r="KYS20" s="222"/>
      <c r="KYT20" s="222"/>
      <c r="KYU20" s="222"/>
      <c r="KYV20" s="222"/>
      <c r="KYW20" s="222"/>
      <c r="KYX20" s="222"/>
      <c r="KYY20" s="222"/>
      <c r="KYZ20" s="222"/>
      <c r="KZA20" s="222"/>
      <c r="KZB20" s="222"/>
      <c r="KZC20" s="222"/>
      <c r="KZD20" s="222"/>
      <c r="KZE20" s="222"/>
      <c r="KZF20" s="222"/>
      <c r="KZG20" s="222"/>
      <c r="KZH20" s="222"/>
      <c r="KZI20" s="222"/>
      <c r="KZJ20" s="222"/>
      <c r="KZK20" s="222"/>
      <c r="KZL20" s="222"/>
      <c r="KZM20" s="222"/>
      <c r="KZN20" s="222"/>
      <c r="KZO20" s="222"/>
      <c r="KZP20" s="222"/>
      <c r="KZQ20" s="222"/>
      <c r="KZR20" s="222"/>
      <c r="KZS20" s="222"/>
      <c r="KZT20" s="222"/>
      <c r="KZU20" s="222"/>
      <c r="KZV20" s="222"/>
      <c r="KZW20" s="222"/>
      <c r="KZX20" s="222"/>
      <c r="KZY20" s="222"/>
      <c r="KZZ20" s="222"/>
      <c r="LAA20" s="222"/>
      <c r="LAB20" s="222"/>
      <c r="LAC20" s="222"/>
      <c r="LAD20" s="222"/>
      <c r="LAE20" s="222"/>
      <c r="LAF20" s="222"/>
      <c r="LAG20" s="222"/>
      <c r="LAH20" s="222"/>
      <c r="LAI20" s="222"/>
      <c r="LAJ20" s="222"/>
      <c r="LAK20" s="222"/>
      <c r="LAL20" s="222"/>
      <c r="LAM20" s="222"/>
      <c r="LAN20" s="222"/>
      <c r="LAO20" s="222"/>
      <c r="LAP20" s="222"/>
      <c r="LAQ20" s="222"/>
      <c r="LAR20" s="222"/>
      <c r="LAS20" s="222"/>
      <c r="LAT20" s="222"/>
      <c r="LAU20" s="222"/>
      <c r="LAV20" s="222"/>
      <c r="LAW20" s="222"/>
      <c r="LAX20" s="222"/>
      <c r="LAY20" s="222"/>
      <c r="LAZ20" s="222"/>
      <c r="LBA20" s="222"/>
      <c r="LBB20" s="222"/>
      <c r="LBC20" s="222"/>
      <c r="LBD20" s="222"/>
      <c r="LBE20" s="222"/>
      <c r="LBF20" s="222"/>
      <c r="LBG20" s="222"/>
      <c r="LBH20" s="222"/>
      <c r="LBI20" s="222"/>
      <c r="LBJ20" s="222"/>
      <c r="LBK20" s="222"/>
      <c r="LBL20" s="222"/>
      <c r="LBM20" s="222"/>
      <c r="LBN20" s="222"/>
      <c r="LBO20" s="222"/>
      <c r="LBP20" s="222"/>
      <c r="LBQ20" s="222"/>
      <c r="LBR20" s="222"/>
      <c r="LBS20" s="222"/>
      <c r="LBT20" s="222"/>
      <c r="LBU20" s="222"/>
      <c r="LBV20" s="222"/>
      <c r="LBW20" s="222"/>
      <c r="LBX20" s="222"/>
      <c r="LBY20" s="222"/>
      <c r="LBZ20" s="222"/>
      <c r="LCA20" s="222"/>
      <c r="LCB20" s="222"/>
      <c r="LCC20" s="222"/>
      <c r="LCD20" s="222"/>
      <c r="LCE20" s="222"/>
      <c r="LCF20" s="222"/>
      <c r="LCG20" s="222"/>
      <c r="LCH20" s="222"/>
      <c r="LCI20" s="222"/>
      <c r="LCJ20" s="222"/>
      <c r="LCK20" s="222"/>
      <c r="LCL20" s="222"/>
      <c r="LCM20" s="222"/>
      <c r="LCN20" s="222"/>
      <c r="LCO20" s="222"/>
      <c r="LCP20" s="222"/>
      <c r="LCQ20" s="222"/>
      <c r="LCR20" s="222"/>
      <c r="LCS20" s="222"/>
      <c r="LCT20" s="222"/>
      <c r="LCU20" s="222"/>
      <c r="LCV20" s="222"/>
      <c r="LCW20" s="222"/>
      <c r="LCX20" s="222"/>
      <c r="LCY20" s="222"/>
      <c r="LCZ20" s="222"/>
      <c r="LDA20" s="222"/>
      <c r="LDB20" s="222"/>
      <c r="LDC20" s="222"/>
      <c r="LDD20" s="222"/>
      <c r="LDE20" s="222"/>
      <c r="LDF20" s="222"/>
      <c r="LDG20" s="222"/>
      <c r="LDH20" s="222"/>
      <c r="LDI20" s="222"/>
      <c r="LDJ20" s="222"/>
      <c r="LDK20" s="222"/>
      <c r="LDL20" s="222"/>
      <c r="LDM20" s="222"/>
      <c r="LDN20" s="222"/>
      <c r="LDO20" s="222"/>
      <c r="LDP20" s="222"/>
      <c r="LDQ20" s="222"/>
      <c r="LDR20" s="222"/>
      <c r="LDS20" s="222"/>
      <c r="LDT20" s="222"/>
      <c r="LDU20" s="222"/>
      <c r="LDV20" s="222"/>
      <c r="LDW20" s="222"/>
      <c r="LDX20" s="222"/>
      <c r="LDY20" s="222"/>
      <c r="LDZ20" s="222"/>
      <c r="LEA20" s="222"/>
      <c r="LEB20" s="222"/>
      <c r="LEC20" s="222"/>
      <c r="LED20" s="222"/>
      <c r="LEE20" s="222"/>
      <c r="LEF20" s="222"/>
      <c r="LEG20" s="222"/>
      <c r="LEH20" s="222"/>
      <c r="LEI20" s="222"/>
      <c r="LEJ20" s="222"/>
      <c r="LEK20" s="222"/>
      <c r="LEL20" s="222"/>
      <c r="LEM20" s="222"/>
      <c r="LEN20" s="222"/>
      <c r="LEO20" s="222"/>
      <c r="LEP20" s="222"/>
      <c r="LEQ20" s="222"/>
      <c r="LER20" s="222"/>
      <c r="LES20" s="222"/>
      <c r="LET20" s="222"/>
      <c r="LEU20" s="222"/>
      <c r="LEV20" s="222"/>
      <c r="LEW20" s="222"/>
      <c r="LEX20" s="222"/>
      <c r="LEY20" s="222"/>
      <c r="LEZ20" s="222"/>
      <c r="LFA20" s="222"/>
      <c r="LFB20" s="222"/>
      <c r="LFC20" s="222"/>
      <c r="LFD20" s="222"/>
      <c r="LFE20" s="222"/>
      <c r="LFF20" s="222"/>
      <c r="LFG20" s="222"/>
      <c r="LFH20" s="222"/>
      <c r="LFI20" s="222"/>
      <c r="LFJ20" s="222"/>
      <c r="LFK20" s="222"/>
      <c r="LFL20" s="222"/>
      <c r="LFM20" s="222"/>
      <c r="LFN20" s="222"/>
      <c r="LFO20" s="222"/>
      <c r="LFP20" s="222"/>
      <c r="LFQ20" s="222"/>
      <c r="LFR20" s="222"/>
      <c r="LFS20" s="222"/>
      <c r="LFT20" s="222"/>
      <c r="LFU20" s="222"/>
      <c r="LFV20" s="222"/>
      <c r="LFW20" s="222"/>
      <c r="LFX20" s="222"/>
      <c r="LFY20" s="222"/>
      <c r="LFZ20" s="222"/>
      <c r="LGA20" s="222"/>
      <c r="LGB20" s="222"/>
      <c r="LGC20" s="222"/>
      <c r="LGD20" s="222"/>
      <c r="LGE20" s="222"/>
      <c r="LGF20" s="222"/>
      <c r="LGG20" s="222"/>
      <c r="LGH20" s="222"/>
      <c r="LGI20" s="222"/>
      <c r="LGJ20" s="222"/>
      <c r="LGK20" s="222"/>
      <c r="LGL20" s="222"/>
      <c r="LGM20" s="222"/>
      <c r="LGN20" s="222"/>
      <c r="LGO20" s="222"/>
      <c r="LGP20" s="222"/>
      <c r="LGQ20" s="222"/>
      <c r="LGR20" s="222"/>
      <c r="LGS20" s="222"/>
      <c r="LGT20" s="222"/>
      <c r="LGU20" s="222"/>
      <c r="LGV20" s="222"/>
      <c r="LGW20" s="222"/>
      <c r="LGX20" s="222"/>
      <c r="LGY20" s="222"/>
      <c r="LGZ20" s="222"/>
      <c r="LHA20" s="222"/>
      <c r="LHB20" s="222"/>
      <c r="LHC20" s="222"/>
      <c r="LHD20" s="222"/>
      <c r="LHE20" s="222"/>
      <c r="LHF20" s="222"/>
      <c r="LHG20" s="222"/>
      <c r="LHH20" s="222"/>
      <c r="LHI20" s="222"/>
      <c r="LHJ20" s="222"/>
      <c r="LHK20" s="222"/>
      <c r="LHL20" s="222"/>
      <c r="LHM20" s="222"/>
      <c r="LHN20" s="222"/>
      <c r="LHO20" s="222"/>
      <c r="LHP20" s="222"/>
      <c r="LHQ20" s="222"/>
      <c r="LHR20" s="222"/>
      <c r="LHS20" s="222"/>
      <c r="LHT20" s="222"/>
      <c r="LHU20" s="222"/>
      <c r="LHV20" s="222"/>
      <c r="LHW20" s="222"/>
      <c r="LHX20" s="222"/>
      <c r="LHY20" s="222"/>
      <c r="LHZ20" s="222"/>
      <c r="LIA20" s="222"/>
      <c r="LIB20" s="222"/>
      <c r="LIC20" s="222"/>
      <c r="LID20" s="222"/>
      <c r="LIE20" s="222"/>
      <c r="LIF20" s="222"/>
      <c r="LIG20" s="222"/>
      <c r="LIH20" s="222"/>
      <c r="LII20" s="222"/>
      <c r="LIJ20" s="222"/>
      <c r="LIK20" s="222"/>
      <c r="LIL20" s="222"/>
      <c r="LIM20" s="222"/>
      <c r="LIN20" s="222"/>
      <c r="LIO20" s="222"/>
      <c r="LIP20" s="222"/>
      <c r="LIQ20" s="222"/>
      <c r="LIR20" s="222"/>
      <c r="LIS20" s="222"/>
      <c r="LIT20" s="222"/>
      <c r="LIU20" s="222"/>
      <c r="LIV20" s="222"/>
      <c r="LIW20" s="222"/>
      <c r="LIX20" s="222"/>
      <c r="LIY20" s="222"/>
      <c r="LIZ20" s="222"/>
      <c r="LJA20" s="222"/>
      <c r="LJB20" s="222"/>
      <c r="LJC20" s="222"/>
      <c r="LJD20" s="222"/>
      <c r="LJE20" s="222"/>
      <c r="LJF20" s="222"/>
      <c r="LJG20" s="222"/>
      <c r="LJH20" s="222"/>
      <c r="LJI20" s="222"/>
      <c r="LJJ20" s="222"/>
      <c r="LJK20" s="222"/>
      <c r="LJL20" s="222"/>
      <c r="LJM20" s="222"/>
      <c r="LJN20" s="222"/>
      <c r="LJO20" s="222"/>
      <c r="LJP20" s="222"/>
      <c r="LJQ20" s="222"/>
      <c r="LJR20" s="222"/>
      <c r="LJS20" s="222"/>
      <c r="LJT20" s="222"/>
      <c r="LJU20" s="222"/>
      <c r="LJV20" s="222"/>
      <c r="LJW20" s="222"/>
      <c r="LJX20" s="222"/>
      <c r="LJY20" s="222"/>
      <c r="LJZ20" s="222"/>
      <c r="LKA20" s="222"/>
      <c r="LKB20" s="222"/>
      <c r="LKC20" s="222"/>
      <c r="LKD20" s="222"/>
      <c r="LKE20" s="222"/>
      <c r="LKF20" s="222"/>
      <c r="LKG20" s="222"/>
      <c r="LKH20" s="222"/>
      <c r="LKI20" s="222"/>
      <c r="LKJ20" s="222"/>
      <c r="LKK20" s="222"/>
      <c r="LKL20" s="222"/>
      <c r="LKM20" s="222"/>
      <c r="LKN20" s="222"/>
      <c r="LKO20" s="222"/>
      <c r="LKP20" s="222"/>
      <c r="LKQ20" s="222"/>
      <c r="LKR20" s="222"/>
      <c r="LKS20" s="222"/>
      <c r="LKT20" s="222"/>
      <c r="LKU20" s="222"/>
      <c r="LKV20" s="222"/>
      <c r="LKW20" s="222"/>
      <c r="LKX20" s="222"/>
      <c r="LKY20" s="222"/>
      <c r="LKZ20" s="222"/>
      <c r="LLA20" s="222"/>
      <c r="LLB20" s="222"/>
      <c r="LLC20" s="222"/>
      <c r="LLD20" s="222"/>
      <c r="LLE20" s="222"/>
      <c r="LLF20" s="222"/>
      <c r="LLG20" s="222"/>
      <c r="LLH20" s="222"/>
      <c r="LLI20" s="222"/>
      <c r="LLJ20" s="222"/>
      <c r="LLK20" s="222"/>
      <c r="LLL20" s="222"/>
      <c r="LLM20" s="222"/>
      <c r="LLN20" s="222"/>
      <c r="LLO20" s="222"/>
      <c r="LLP20" s="222"/>
      <c r="LLQ20" s="222"/>
      <c r="LLR20" s="222"/>
      <c r="LLS20" s="222"/>
      <c r="LLT20" s="222"/>
      <c r="LLU20" s="222"/>
      <c r="LLV20" s="222"/>
      <c r="LLW20" s="222"/>
      <c r="LLX20" s="222"/>
      <c r="LLY20" s="222"/>
      <c r="LLZ20" s="222"/>
      <c r="LMA20" s="222"/>
      <c r="LMB20" s="222"/>
      <c r="LMC20" s="222"/>
      <c r="LMD20" s="222"/>
      <c r="LME20" s="222"/>
      <c r="LMF20" s="222"/>
      <c r="LMG20" s="222"/>
      <c r="LMH20" s="222"/>
      <c r="LMI20" s="222"/>
      <c r="LMJ20" s="222"/>
      <c r="LMK20" s="222"/>
      <c r="LML20" s="222"/>
      <c r="LMM20" s="222"/>
      <c r="LMN20" s="222"/>
      <c r="LMO20" s="222"/>
      <c r="LMP20" s="222"/>
      <c r="LMQ20" s="222"/>
      <c r="LMR20" s="222"/>
      <c r="LMS20" s="222"/>
      <c r="LMT20" s="222"/>
      <c r="LMU20" s="222"/>
      <c r="LMV20" s="222"/>
      <c r="LMW20" s="222"/>
      <c r="LMX20" s="222"/>
      <c r="LMY20" s="222"/>
      <c r="LMZ20" s="222"/>
      <c r="LNA20" s="222"/>
      <c r="LNB20" s="222"/>
      <c r="LNC20" s="222"/>
      <c r="LND20" s="222"/>
      <c r="LNE20" s="222"/>
      <c r="LNF20" s="222"/>
      <c r="LNG20" s="222"/>
      <c r="LNH20" s="222"/>
      <c r="LNI20" s="222"/>
      <c r="LNJ20" s="222"/>
      <c r="LNK20" s="222"/>
      <c r="LNL20" s="222"/>
      <c r="LNM20" s="222"/>
      <c r="LNN20" s="222"/>
      <c r="LNO20" s="222"/>
      <c r="LNP20" s="222"/>
      <c r="LNQ20" s="222"/>
      <c r="LNR20" s="222"/>
      <c r="LNS20" s="222"/>
      <c r="LNT20" s="222"/>
      <c r="LNU20" s="222"/>
      <c r="LNV20" s="222"/>
      <c r="LNW20" s="222"/>
      <c r="LNX20" s="222"/>
      <c r="LNY20" s="222"/>
      <c r="LNZ20" s="222"/>
      <c r="LOA20" s="222"/>
      <c r="LOB20" s="222"/>
      <c r="LOC20" s="222"/>
      <c r="LOD20" s="222"/>
      <c r="LOE20" s="222"/>
      <c r="LOF20" s="222"/>
      <c r="LOG20" s="222"/>
      <c r="LOH20" s="222"/>
      <c r="LOI20" s="222"/>
      <c r="LOJ20" s="222"/>
      <c r="LOK20" s="222"/>
      <c r="LOL20" s="222"/>
      <c r="LOM20" s="222"/>
      <c r="LON20" s="222"/>
      <c r="LOO20" s="222"/>
      <c r="LOP20" s="222"/>
      <c r="LOQ20" s="222"/>
      <c r="LOR20" s="222"/>
      <c r="LOS20" s="222"/>
      <c r="LOT20" s="222"/>
      <c r="LOU20" s="222"/>
      <c r="LOV20" s="222"/>
      <c r="LOW20" s="222"/>
      <c r="LOX20" s="222"/>
      <c r="LOY20" s="222"/>
      <c r="LOZ20" s="222"/>
      <c r="LPA20" s="222"/>
      <c r="LPB20" s="222"/>
      <c r="LPC20" s="222"/>
      <c r="LPD20" s="222"/>
      <c r="LPE20" s="222"/>
      <c r="LPF20" s="222"/>
      <c r="LPG20" s="222"/>
      <c r="LPH20" s="222"/>
      <c r="LPI20" s="222"/>
      <c r="LPJ20" s="222"/>
      <c r="LPK20" s="222"/>
      <c r="LPL20" s="222"/>
      <c r="LPM20" s="222"/>
      <c r="LPN20" s="222"/>
      <c r="LPO20" s="222"/>
      <c r="LPP20" s="222"/>
      <c r="LPQ20" s="222"/>
      <c r="LPR20" s="222"/>
      <c r="LPS20" s="222"/>
      <c r="LPT20" s="222"/>
      <c r="LPU20" s="222"/>
      <c r="LPV20" s="222"/>
      <c r="LPW20" s="222"/>
      <c r="LPX20" s="222"/>
      <c r="LPY20" s="222"/>
      <c r="LPZ20" s="222"/>
      <c r="LQA20" s="222"/>
      <c r="LQB20" s="222"/>
      <c r="LQC20" s="222"/>
      <c r="LQD20" s="222"/>
      <c r="LQE20" s="222"/>
      <c r="LQF20" s="222"/>
      <c r="LQG20" s="222"/>
      <c r="LQH20" s="222"/>
      <c r="LQI20" s="222"/>
      <c r="LQJ20" s="222"/>
      <c r="LQK20" s="222"/>
      <c r="LQL20" s="222"/>
      <c r="LQM20" s="222"/>
      <c r="LQN20" s="222"/>
      <c r="LQO20" s="222"/>
      <c r="LQP20" s="222"/>
      <c r="LQQ20" s="222"/>
      <c r="LQR20" s="222"/>
      <c r="LQS20" s="222"/>
      <c r="LQT20" s="222"/>
      <c r="LQU20" s="222"/>
      <c r="LQV20" s="222"/>
      <c r="LQW20" s="222"/>
      <c r="LQX20" s="222"/>
      <c r="LQY20" s="222"/>
      <c r="LQZ20" s="222"/>
      <c r="LRA20" s="222"/>
      <c r="LRB20" s="222"/>
      <c r="LRC20" s="222"/>
      <c r="LRD20" s="222"/>
      <c r="LRE20" s="222"/>
      <c r="LRF20" s="222"/>
      <c r="LRG20" s="222"/>
      <c r="LRH20" s="222"/>
      <c r="LRI20" s="222"/>
      <c r="LRJ20" s="222"/>
      <c r="LRK20" s="222"/>
      <c r="LRL20" s="222"/>
      <c r="LRM20" s="222"/>
      <c r="LRN20" s="222"/>
      <c r="LRO20" s="222"/>
      <c r="LRP20" s="222"/>
      <c r="LRQ20" s="222"/>
      <c r="LRR20" s="222"/>
      <c r="LRS20" s="222"/>
      <c r="LRT20" s="222"/>
      <c r="LRU20" s="222"/>
      <c r="LRV20" s="222"/>
      <c r="LRW20" s="222"/>
      <c r="LRX20" s="222"/>
      <c r="LRY20" s="222"/>
      <c r="LRZ20" s="222"/>
      <c r="LSA20" s="222"/>
      <c r="LSB20" s="222"/>
      <c r="LSC20" s="222"/>
      <c r="LSD20" s="222"/>
      <c r="LSE20" s="222"/>
      <c r="LSF20" s="222"/>
      <c r="LSG20" s="222"/>
      <c r="LSH20" s="222"/>
      <c r="LSI20" s="222"/>
      <c r="LSJ20" s="222"/>
      <c r="LSK20" s="222"/>
      <c r="LSL20" s="222"/>
      <c r="LSM20" s="222"/>
      <c r="LSN20" s="222"/>
      <c r="LSO20" s="222"/>
      <c r="LSP20" s="222"/>
      <c r="LSQ20" s="222"/>
      <c r="LSR20" s="222"/>
      <c r="LSS20" s="222"/>
      <c r="LST20" s="222"/>
      <c r="LSU20" s="222"/>
      <c r="LSV20" s="222"/>
      <c r="LSW20" s="222"/>
      <c r="LSX20" s="222"/>
      <c r="LSY20" s="222"/>
      <c r="LSZ20" s="222"/>
      <c r="LTA20" s="222"/>
      <c r="LTB20" s="222"/>
      <c r="LTC20" s="222"/>
      <c r="LTD20" s="222"/>
      <c r="LTE20" s="222"/>
      <c r="LTF20" s="222"/>
      <c r="LTG20" s="222"/>
      <c r="LTH20" s="222"/>
      <c r="LTI20" s="222"/>
      <c r="LTJ20" s="222"/>
      <c r="LTK20" s="222"/>
      <c r="LTL20" s="222"/>
      <c r="LTM20" s="222"/>
      <c r="LTN20" s="222"/>
      <c r="LTO20" s="222"/>
      <c r="LTP20" s="222"/>
      <c r="LTQ20" s="222"/>
      <c r="LTR20" s="222"/>
      <c r="LTS20" s="222"/>
      <c r="LTT20" s="222"/>
      <c r="LTU20" s="222"/>
      <c r="LTV20" s="222"/>
      <c r="LTW20" s="222"/>
      <c r="LTX20" s="222"/>
      <c r="LTY20" s="222"/>
      <c r="LTZ20" s="222"/>
      <c r="LUA20" s="222"/>
      <c r="LUB20" s="222"/>
      <c r="LUC20" s="222"/>
      <c r="LUD20" s="222"/>
      <c r="LUE20" s="222"/>
      <c r="LUF20" s="222"/>
      <c r="LUG20" s="222"/>
      <c r="LUH20" s="222"/>
      <c r="LUI20" s="222"/>
      <c r="LUJ20" s="222"/>
      <c r="LUK20" s="222"/>
      <c r="LUL20" s="222"/>
      <c r="LUM20" s="222"/>
      <c r="LUN20" s="222"/>
      <c r="LUO20" s="222"/>
      <c r="LUP20" s="222"/>
      <c r="LUQ20" s="222"/>
      <c r="LUR20" s="222"/>
      <c r="LUS20" s="222"/>
      <c r="LUT20" s="222"/>
      <c r="LUU20" s="222"/>
      <c r="LUV20" s="222"/>
      <c r="LUW20" s="222"/>
      <c r="LUX20" s="222"/>
      <c r="LUY20" s="222"/>
      <c r="LUZ20" s="222"/>
      <c r="LVA20" s="222"/>
      <c r="LVB20" s="222"/>
      <c r="LVC20" s="222"/>
      <c r="LVD20" s="222"/>
      <c r="LVE20" s="222"/>
      <c r="LVF20" s="222"/>
      <c r="LVG20" s="222"/>
      <c r="LVH20" s="222"/>
      <c r="LVI20" s="222"/>
      <c r="LVJ20" s="222"/>
      <c r="LVK20" s="222"/>
      <c r="LVL20" s="222"/>
      <c r="LVM20" s="222"/>
      <c r="LVN20" s="222"/>
      <c r="LVO20" s="222"/>
      <c r="LVP20" s="222"/>
      <c r="LVQ20" s="222"/>
      <c r="LVR20" s="222"/>
      <c r="LVS20" s="222"/>
      <c r="LVT20" s="222"/>
      <c r="LVU20" s="222"/>
      <c r="LVV20" s="222"/>
      <c r="LVW20" s="222"/>
      <c r="LVX20" s="222"/>
      <c r="LVY20" s="222"/>
      <c r="LVZ20" s="222"/>
      <c r="LWA20" s="222"/>
      <c r="LWB20" s="222"/>
      <c r="LWC20" s="222"/>
      <c r="LWD20" s="222"/>
      <c r="LWE20" s="222"/>
      <c r="LWF20" s="222"/>
      <c r="LWG20" s="222"/>
      <c r="LWH20" s="222"/>
      <c r="LWI20" s="222"/>
      <c r="LWJ20" s="222"/>
      <c r="LWK20" s="222"/>
      <c r="LWL20" s="222"/>
      <c r="LWM20" s="222"/>
      <c r="LWN20" s="222"/>
      <c r="LWO20" s="222"/>
      <c r="LWP20" s="222"/>
      <c r="LWQ20" s="222"/>
      <c r="LWR20" s="222"/>
      <c r="LWS20" s="222"/>
      <c r="LWT20" s="222"/>
      <c r="LWU20" s="222"/>
      <c r="LWV20" s="222"/>
      <c r="LWW20" s="222"/>
      <c r="LWX20" s="222"/>
      <c r="LWY20" s="222"/>
      <c r="LWZ20" s="222"/>
      <c r="LXA20" s="222"/>
      <c r="LXB20" s="222"/>
      <c r="LXC20" s="222"/>
      <c r="LXD20" s="222"/>
      <c r="LXE20" s="222"/>
      <c r="LXF20" s="222"/>
      <c r="LXG20" s="222"/>
      <c r="LXH20" s="222"/>
      <c r="LXI20" s="222"/>
      <c r="LXJ20" s="222"/>
      <c r="LXK20" s="222"/>
      <c r="LXL20" s="222"/>
      <c r="LXM20" s="222"/>
      <c r="LXN20" s="222"/>
      <c r="LXO20" s="222"/>
      <c r="LXP20" s="222"/>
      <c r="LXQ20" s="222"/>
      <c r="LXR20" s="222"/>
      <c r="LXS20" s="222"/>
      <c r="LXT20" s="222"/>
      <c r="LXU20" s="222"/>
      <c r="LXV20" s="222"/>
      <c r="LXW20" s="222"/>
      <c r="LXX20" s="222"/>
      <c r="LXY20" s="222"/>
      <c r="LXZ20" s="222"/>
      <c r="LYA20" s="222"/>
      <c r="LYB20" s="222"/>
      <c r="LYC20" s="222"/>
      <c r="LYD20" s="222"/>
      <c r="LYE20" s="222"/>
      <c r="LYF20" s="222"/>
      <c r="LYG20" s="222"/>
      <c r="LYH20" s="222"/>
      <c r="LYI20" s="222"/>
      <c r="LYJ20" s="222"/>
      <c r="LYK20" s="222"/>
      <c r="LYL20" s="222"/>
      <c r="LYM20" s="222"/>
      <c r="LYN20" s="222"/>
      <c r="LYO20" s="222"/>
      <c r="LYP20" s="222"/>
      <c r="LYQ20" s="222"/>
      <c r="LYR20" s="222"/>
      <c r="LYS20" s="222"/>
      <c r="LYT20" s="222"/>
      <c r="LYU20" s="222"/>
      <c r="LYV20" s="222"/>
      <c r="LYW20" s="222"/>
      <c r="LYX20" s="222"/>
      <c r="LYY20" s="222"/>
      <c r="LYZ20" s="222"/>
      <c r="LZA20" s="222"/>
      <c r="LZB20" s="222"/>
      <c r="LZC20" s="222"/>
      <c r="LZD20" s="222"/>
      <c r="LZE20" s="222"/>
      <c r="LZF20" s="222"/>
      <c r="LZG20" s="222"/>
      <c r="LZH20" s="222"/>
      <c r="LZI20" s="222"/>
      <c r="LZJ20" s="222"/>
      <c r="LZK20" s="222"/>
      <c r="LZL20" s="222"/>
      <c r="LZM20" s="222"/>
      <c r="LZN20" s="222"/>
      <c r="LZO20" s="222"/>
      <c r="LZP20" s="222"/>
      <c r="LZQ20" s="222"/>
      <c r="LZR20" s="222"/>
      <c r="LZS20" s="222"/>
      <c r="LZT20" s="222"/>
      <c r="LZU20" s="222"/>
      <c r="LZV20" s="222"/>
      <c r="LZW20" s="222"/>
      <c r="LZX20" s="222"/>
      <c r="LZY20" s="222"/>
      <c r="LZZ20" s="222"/>
      <c r="MAA20" s="222"/>
      <c r="MAB20" s="222"/>
      <c r="MAC20" s="222"/>
      <c r="MAD20" s="222"/>
      <c r="MAE20" s="222"/>
      <c r="MAF20" s="222"/>
      <c r="MAG20" s="222"/>
      <c r="MAH20" s="222"/>
      <c r="MAI20" s="222"/>
      <c r="MAJ20" s="222"/>
      <c r="MAK20" s="222"/>
      <c r="MAL20" s="222"/>
      <c r="MAM20" s="222"/>
      <c r="MAN20" s="222"/>
      <c r="MAO20" s="222"/>
      <c r="MAP20" s="222"/>
      <c r="MAQ20" s="222"/>
      <c r="MAR20" s="222"/>
      <c r="MAS20" s="222"/>
      <c r="MAT20" s="222"/>
      <c r="MAU20" s="222"/>
      <c r="MAV20" s="222"/>
      <c r="MAW20" s="222"/>
      <c r="MAX20" s="222"/>
      <c r="MAY20" s="222"/>
      <c r="MAZ20" s="222"/>
      <c r="MBA20" s="222"/>
      <c r="MBB20" s="222"/>
      <c r="MBC20" s="222"/>
      <c r="MBD20" s="222"/>
      <c r="MBE20" s="222"/>
      <c r="MBF20" s="222"/>
      <c r="MBG20" s="222"/>
      <c r="MBH20" s="222"/>
      <c r="MBI20" s="222"/>
      <c r="MBJ20" s="222"/>
      <c r="MBK20" s="222"/>
      <c r="MBL20" s="222"/>
      <c r="MBM20" s="222"/>
      <c r="MBN20" s="222"/>
      <c r="MBO20" s="222"/>
      <c r="MBP20" s="222"/>
      <c r="MBQ20" s="222"/>
      <c r="MBR20" s="222"/>
      <c r="MBS20" s="222"/>
      <c r="MBT20" s="222"/>
      <c r="MBU20" s="222"/>
      <c r="MBV20" s="222"/>
      <c r="MBW20" s="222"/>
      <c r="MBX20" s="222"/>
      <c r="MBY20" s="222"/>
      <c r="MBZ20" s="222"/>
      <c r="MCA20" s="222"/>
      <c r="MCB20" s="222"/>
      <c r="MCC20" s="222"/>
      <c r="MCD20" s="222"/>
      <c r="MCE20" s="222"/>
      <c r="MCF20" s="222"/>
      <c r="MCG20" s="222"/>
      <c r="MCH20" s="222"/>
      <c r="MCI20" s="222"/>
      <c r="MCJ20" s="222"/>
      <c r="MCK20" s="222"/>
      <c r="MCL20" s="222"/>
      <c r="MCM20" s="222"/>
      <c r="MCN20" s="222"/>
      <c r="MCO20" s="222"/>
      <c r="MCP20" s="222"/>
      <c r="MCQ20" s="222"/>
      <c r="MCR20" s="222"/>
      <c r="MCS20" s="222"/>
      <c r="MCT20" s="222"/>
      <c r="MCU20" s="222"/>
      <c r="MCV20" s="222"/>
      <c r="MCW20" s="222"/>
      <c r="MCX20" s="222"/>
      <c r="MCY20" s="222"/>
      <c r="MCZ20" s="222"/>
      <c r="MDA20" s="222"/>
      <c r="MDB20" s="222"/>
      <c r="MDC20" s="222"/>
      <c r="MDD20" s="222"/>
      <c r="MDE20" s="222"/>
      <c r="MDF20" s="222"/>
      <c r="MDG20" s="222"/>
      <c r="MDH20" s="222"/>
      <c r="MDI20" s="222"/>
      <c r="MDJ20" s="222"/>
      <c r="MDK20" s="222"/>
      <c r="MDL20" s="222"/>
      <c r="MDM20" s="222"/>
      <c r="MDN20" s="222"/>
      <c r="MDO20" s="222"/>
      <c r="MDP20" s="222"/>
      <c r="MDQ20" s="222"/>
      <c r="MDR20" s="222"/>
      <c r="MDS20" s="222"/>
      <c r="MDT20" s="222"/>
      <c r="MDU20" s="222"/>
      <c r="MDV20" s="222"/>
      <c r="MDW20" s="222"/>
      <c r="MDX20" s="222"/>
      <c r="MDY20" s="222"/>
      <c r="MDZ20" s="222"/>
      <c r="MEA20" s="222"/>
      <c r="MEB20" s="222"/>
      <c r="MEC20" s="222"/>
      <c r="MED20" s="222"/>
      <c r="MEE20" s="222"/>
      <c r="MEF20" s="222"/>
      <c r="MEG20" s="222"/>
      <c r="MEH20" s="222"/>
      <c r="MEI20" s="222"/>
      <c r="MEJ20" s="222"/>
      <c r="MEK20" s="222"/>
      <c r="MEL20" s="222"/>
      <c r="MEM20" s="222"/>
      <c r="MEN20" s="222"/>
      <c r="MEO20" s="222"/>
      <c r="MEP20" s="222"/>
      <c r="MEQ20" s="222"/>
      <c r="MER20" s="222"/>
      <c r="MES20" s="222"/>
      <c r="MET20" s="222"/>
      <c r="MEU20" s="222"/>
      <c r="MEV20" s="222"/>
      <c r="MEW20" s="222"/>
      <c r="MEX20" s="222"/>
      <c r="MEY20" s="222"/>
      <c r="MEZ20" s="222"/>
      <c r="MFA20" s="222"/>
      <c r="MFB20" s="222"/>
      <c r="MFC20" s="222"/>
      <c r="MFD20" s="222"/>
      <c r="MFE20" s="222"/>
      <c r="MFF20" s="222"/>
      <c r="MFG20" s="222"/>
      <c r="MFH20" s="222"/>
      <c r="MFI20" s="222"/>
      <c r="MFJ20" s="222"/>
      <c r="MFK20" s="222"/>
      <c r="MFL20" s="222"/>
      <c r="MFM20" s="222"/>
      <c r="MFN20" s="222"/>
      <c r="MFO20" s="222"/>
      <c r="MFP20" s="222"/>
      <c r="MFQ20" s="222"/>
      <c r="MFR20" s="222"/>
      <c r="MFS20" s="222"/>
      <c r="MFT20" s="222"/>
      <c r="MFU20" s="222"/>
      <c r="MFV20" s="222"/>
      <c r="MFW20" s="222"/>
      <c r="MFX20" s="222"/>
      <c r="MFY20" s="222"/>
      <c r="MFZ20" s="222"/>
      <c r="MGA20" s="222"/>
      <c r="MGB20" s="222"/>
      <c r="MGC20" s="222"/>
      <c r="MGD20" s="222"/>
      <c r="MGE20" s="222"/>
      <c r="MGF20" s="222"/>
      <c r="MGG20" s="222"/>
      <c r="MGH20" s="222"/>
      <c r="MGI20" s="222"/>
      <c r="MGJ20" s="222"/>
      <c r="MGK20" s="222"/>
      <c r="MGL20" s="222"/>
      <c r="MGM20" s="222"/>
      <c r="MGN20" s="222"/>
      <c r="MGO20" s="222"/>
      <c r="MGP20" s="222"/>
      <c r="MGQ20" s="222"/>
      <c r="MGR20" s="222"/>
      <c r="MGS20" s="222"/>
      <c r="MGT20" s="222"/>
      <c r="MGU20" s="222"/>
      <c r="MGV20" s="222"/>
      <c r="MGW20" s="222"/>
      <c r="MGX20" s="222"/>
      <c r="MGY20" s="222"/>
      <c r="MGZ20" s="222"/>
      <c r="MHA20" s="222"/>
      <c r="MHB20" s="222"/>
      <c r="MHC20" s="222"/>
      <c r="MHD20" s="222"/>
      <c r="MHE20" s="222"/>
      <c r="MHF20" s="222"/>
      <c r="MHG20" s="222"/>
      <c r="MHH20" s="222"/>
      <c r="MHI20" s="222"/>
      <c r="MHJ20" s="222"/>
      <c r="MHK20" s="222"/>
      <c r="MHL20" s="222"/>
      <c r="MHM20" s="222"/>
      <c r="MHN20" s="222"/>
      <c r="MHO20" s="222"/>
      <c r="MHP20" s="222"/>
      <c r="MHQ20" s="222"/>
      <c r="MHR20" s="222"/>
      <c r="MHS20" s="222"/>
      <c r="MHT20" s="222"/>
      <c r="MHU20" s="222"/>
      <c r="MHV20" s="222"/>
      <c r="MHW20" s="222"/>
      <c r="MHX20" s="222"/>
      <c r="MHY20" s="222"/>
      <c r="MHZ20" s="222"/>
      <c r="MIA20" s="222"/>
      <c r="MIB20" s="222"/>
      <c r="MIC20" s="222"/>
      <c r="MID20" s="222"/>
      <c r="MIE20" s="222"/>
      <c r="MIF20" s="222"/>
      <c r="MIG20" s="222"/>
      <c r="MIH20" s="222"/>
      <c r="MII20" s="222"/>
      <c r="MIJ20" s="222"/>
      <c r="MIK20" s="222"/>
      <c r="MIL20" s="222"/>
      <c r="MIM20" s="222"/>
      <c r="MIN20" s="222"/>
      <c r="MIO20" s="222"/>
      <c r="MIP20" s="222"/>
      <c r="MIQ20" s="222"/>
      <c r="MIR20" s="222"/>
      <c r="MIS20" s="222"/>
      <c r="MIT20" s="222"/>
      <c r="MIU20" s="222"/>
      <c r="MIV20" s="222"/>
      <c r="MIW20" s="222"/>
      <c r="MIX20" s="222"/>
      <c r="MIY20" s="222"/>
      <c r="MIZ20" s="222"/>
      <c r="MJA20" s="222"/>
      <c r="MJB20" s="222"/>
      <c r="MJC20" s="222"/>
      <c r="MJD20" s="222"/>
      <c r="MJE20" s="222"/>
      <c r="MJF20" s="222"/>
      <c r="MJG20" s="222"/>
      <c r="MJH20" s="222"/>
      <c r="MJI20" s="222"/>
      <c r="MJJ20" s="222"/>
      <c r="MJK20" s="222"/>
      <c r="MJL20" s="222"/>
      <c r="MJM20" s="222"/>
      <c r="MJN20" s="222"/>
      <c r="MJO20" s="222"/>
      <c r="MJP20" s="222"/>
      <c r="MJQ20" s="222"/>
      <c r="MJR20" s="222"/>
      <c r="MJS20" s="222"/>
      <c r="MJT20" s="222"/>
      <c r="MJU20" s="222"/>
      <c r="MJV20" s="222"/>
      <c r="MJW20" s="222"/>
      <c r="MJX20" s="222"/>
      <c r="MJY20" s="222"/>
      <c r="MJZ20" s="222"/>
      <c r="MKA20" s="222"/>
      <c r="MKB20" s="222"/>
      <c r="MKC20" s="222"/>
      <c r="MKD20" s="222"/>
      <c r="MKE20" s="222"/>
      <c r="MKF20" s="222"/>
      <c r="MKG20" s="222"/>
      <c r="MKH20" s="222"/>
      <c r="MKI20" s="222"/>
      <c r="MKJ20" s="222"/>
      <c r="MKK20" s="222"/>
      <c r="MKL20" s="222"/>
      <c r="MKM20" s="222"/>
      <c r="MKN20" s="222"/>
      <c r="MKO20" s="222"/>
      <c r="MKP20" s="222"/>
      <c r="MKQ20" s="222"/>
      <c r="MKR20" s="222"/>
      <c r="MKS20" s="222"/>
      <c r="MKT20" s="222"/>
      <c r="MKU20" s="222"/>
      <c r="MKV20" s="222"/>
      <c r="MKW20" s="222"/>
      <c r="MKX20" s="222"/>
      <c r="MKY20" s="222"/>
      <c r="MKZ20" s="222"/>
      <c r="MLA20" s="222"/>
      <c r="MLB20" s="222"/>
      <c r="MLC20" s="222"/>
      <c r="MLD20" s="222"/>
      <c r="MLE20" s="222"/>
      <c r="MLF20" s="222"/>
      <c r="MLG20" s="222"/>
      <c r="MLH20" s="222"/>
      <c r="MLI20" s="222"/>
      <c r="MLJ20" s="222"/>
      <c r="MLK20" s="222"/>
      <c r="MLL20" s="222"/>
      <c r="MLM20" s="222"/>
      <c r="MLN20" s="222"/>
      <c r="MLO20" s="222"/>
      <c r="MLP20" s="222"/>
      <c r="MLQ20" s="222"/>
      <c r="MLR20" s="222"/>
      <c r="MLS20" s="222"/>
      <c r="MLT20" s="222"/>
      <c r="MLU20" s="222"/>
      <c r="MLV20" s="222"/>
      <c r="MLW20" s="222"/>
      <c r="MLX20" s="222"/>
      <c r="MLY20" s="222"/>
      <c r="MLZ20" s="222"/>
      <c r="MMA20" s="222"/>
      <c r="MMB20" s="222"/>
      <c r="MMC20" s="222"/>
      <c r="MMD20" s="222"/>
      <c r="MME20" s="222"/>
      <c r="MMF20" s="222"/>
      <c r="MMG20" s="222"/>
      <c r="MMH20" s="222"/>
      <c r="MMI20" s="222"/>
      <c r="MMJ20" s="222"/>
      <c r="MMK20" s="222"/>
      <c r="MML20" s="222"/>
      <c r="MMM20" s="222"/>
      <c r="MMN20" s="222"/>
      <c r="MMO20" s="222"/>
      <c r="MMP20" s="222"/>
      <c r="MMQ20" s="222"/>
      <c r="MMR20" s="222"/>
      <c r="MMS20" s="222"/>
      <c r="MMT20" s="222"/>
      <c r="MMU20" s="222"/>
      <c r="MMV20" s="222"/>
      <c r="MMW20" s="222"/>
      <c r="MMX20" s="222"/>
      <c r="MMY20" s="222"/>
      <c r="MMZ20" s="222"/>
      <c r="MNA20" s="222"/>
      <c r="MNB20" s="222"/>
      <c r="MNC20" s="222"/>
      <c r="MND20" s="222"/>
      <c r="MNE20" s="222"/>
      <c r="MNF20" s="222"/>
      <c r="MNG20" s="222"/>
      <c r="MNH20" s="222"/>
      <c r="MNI20" s="222"/>
      <c r="MNJ20" s="222"/>
      <c r="MNK20" s="222"/>
      <c r="MNL20" s="222"/>
      <c r="MNM20" s="222"/>
      <c r="MNN20" s="222"/>
      <c r="MNO20" s="222"/>
      <c r="MNP20" s="222"/>
      <c r="MNQ20" s="222"/>
      <c r="MNR20" s="222"/>
      <c r="MNS20" s="222"/>
      <c r="MNT20" s="222"/>
      <c r="MNU20" s="222"/>
      <c r="MNV20" s="222"/>
      <c r="MNW20" s="222"/>
      <c r="MNX20" s="222"/>
      <c r="MNY20" s="222"/>
      <c r="MNZ20" s="222"/>
      <c r="MOA20" s="222"/>
      <c r="MOB20" s="222"/>
      <c r="MOC20" s="222"/>
      <c r="MOD20" s="222"/>
      <c r="MOE20" s="222"/>
      <c r="MOF20" s="222"/>
      <c r="MOG20" s="222"/>
      <c r="MOH20" s="222"/>
      <c r="MOI20" s="222"/>
      <c r="MOJ20" s="222"/>
      <c r="MOK20" s="222"/>
      <c r="MOL20" s="222"/>
      <c r="MOM20" s="222"/>
      <c r="MON20" s="222"/>
      <c r="MOO20" s="222"/>
      <c r="MOP20" s="222"/>
      <c r="MOQ20" s="222"/>
      <c r="MOR20" s="222"/>
      <c r="MOS20" s="222"/>
      <c r="MOT20" s="222"/>
      <c r="MOU20" s="222"/>
      <c r="MOV20" s="222"/>
      <c r="MOW20" s="222"/>
      <c r="MOX20" s="222"/>
      <c r="MOY20" s="222"/>
      <c r="MOZ20" s="222"/>
      <c r="MPA20" s="222"/>
      <c r="MPB20" s="222"/>
      <c r="MPC20" s="222"/>
      <c r="MPD20" s="222"/>
      <c r="MPE20" s="222"/>
      <c r="MPF20" s="222"/>
      <c r="MPG20" s="222"/>
      <c r="MPH20" s="222"/>
      <c r="MPI20" s="222"/>
      <c r="MPJ20" s="222"/>
      <c r="MPK20" s="222"/>
      <c r="MPL20" s="222"/>
      <c r="MPM20" s="222"/>
      <c r="MPN20" s="222"/>
      <c r="MPO20" s="222"/>
      <c r="MPP20" s="222"/>
      <c r="MPQ20" s="222"/>
      <c r="MPR20" s="222"/>
      <c r="MPS20" s="222"/>
      <c r="MPT20" s="222"/>
      <c r="MPU20" s="222"/>
      <c r="MPV20" s="222"/>
      <c r="MPW20" s="222"/>
      <c r="MPX20" s="222"/>
      <c r="MPY20" s="222"/>
      <c r="MPZ20" s="222"/>
      <c r="MQA20" s="222"/>
      <c r="MQB20" s="222"/>
      <c r="MQC20" s="222"/>
      <c r="MQD20" s="222"/>
      <c r="MQE20" s="222"/>
      <c r="MQF20" s="222"/>
      <c r="MQG20" s="222"/>
      <c r="MQH20" s="222"/>
      <c r="MQI20" s="222"/>
      <c r="MQJ20" s="222"/>
      <c r="MQK20" s="222"/>
      <c r="MQL20" s="222"/>
      <c r="MQM20" s="222"/>
      <c r="MQN20" s="222"/>
      <c r="MQO20" s="222"/>
      <c r="MQP20" s="222"/>
      <c r="MQQ20" s="222"/>
      <c r="MQR20" s="222"/>
      <c r="MQS20" s="222"/>
      <c r="MQT20" s="222"/>
      <c r="MQU20" s="222"/>
      <c r="MQV20" s="222"/>
      <c r="MQW20" s="222"/>
      <c r="MQX20" s="222"/>
      <c r="MQY20" s="222"/>
      <c r="MQZ20" s="222"/>
      <c r="MRA20" s="222"/>
      <c r="MRB20" s="222"/>
      <c r="MRC20" s="222"/>
      <c r="MRD20" s="222"/>
      <c r="MRE20" s="222"/>
      <c r="MRF20" s="222"/>
      <c r="MRG20" s="222"/>
      <c r="MRH20" s="222"/>
      <c r="MRI20" s="222"/>
      <c r="MRJ20" s="222"/>
      <c r="MRK20" s="222"/>
      <c r="MRL20" s="222"/>
      <c r="MRM20" s="222"/>
      <c r="MRN20" s="222"/>
      <c r="MRO20" s="222"/>
      <c r="MRP20" s="222"/>
      <c r="MRQ20" s="222"/>
      <c r="MRR20" s="222"/>
      <c r="MRS20" s="222"/>
      <c r="MRT20" s="222"/>
      <c r="MRU20" s="222"/>
      <c r="MRV20" s="222"/>
      <c r="MRW20" s="222"/>
      <c r="MRX20" s="222"/>
      <c r="MRY20" s="222"/>
      <c r="MRZ20" s="222"/>
      <c r="MSA20" s="222"/>
      <c r="MSB20" s="222"/>
      <c r="MSC20" s="222"/>
      <c r="MSD20" s="222"/>
      <c r="MSE20" s="222"/>
      <c r="MSF20" s="222"/>
      <c r="MSG20" s="222"/>
      <c r="MSH20" s="222"/>
      <c r="MSI20" s="222"/>
      <c r="MSJ20" s="222"/>
      <c r="MSK20" s="222"/>
      <c r="MSL20" s="222"/>
      <c r="MSM20" s="222"/>
      <c r="MSN20" s="222"/>
      <c r="MSO20" s="222"/>
      <c r="MSP20" s="222"/>
      <c r="MSQ20" s="222"/>
      <c r="MSR20" s="222"/>
      <c r="MSS20" s="222"/>
      <c r="MST20" s="222"/>
      <c r="MSU20" s="222"/>
      <c r="MSV20" s="222"/>
      <c r="MSW20" s="222"/>
      <c r="MSX20" s="222"/>
      <c r="MSY20" s="222"/>
      <c r="MSZ20" s="222"/>
      <c r="MTA20" s="222"/>
      <c r="MTB20" s="222"/>
      <c r="MTC20" s="222"/>
      <c r="MTD20" s="222"/>
      <c r="MTE20" s="222"/>
      <c r="MTF20" s="222"/>
      <c r="MTG20" s="222"/>
      <c r="MTH20" s="222"/>
      <c r="MTI20" s="222"/>
      <c r="MTJ20" s="222"/>
      <c r="MTK20" s="222"/>
      <c r="MTL20" s="222"/>
      <c r="MTM20" s="222"/>
      <c r="MTN20" s="222"/>
      <c r="MTO20" s="222"/>
      <c r="MTP20" s="222"/>
      <c r="MTQ20" s="222"/>
      <c r="MTR20" s="222"/>
      <c r="MTS20" s="222"/>
      <c r="MTT20" s="222"/>
      <c r="MTU20" s="222"/>
      <c r="MTV20" s="222"/>
      <c r="MTW20" s="222"/>
      <c r="MTX20" s="222"/>
      <c r="MTY20" s="222"/>
      <c r="MTZ20" s="222"/>
      <c r="MUA20" s="222"/>
      <c r="MUB20" s="222"/>
      <c r="MUC20" s="222"/>
      <c r="MUD20" s="222"/>
      <c r="MUE20" s="222"/>
      <c r="MUF20" s="222"/>
      <c r="MUG20" s="222"/>
      <c r="MUH20" s="222"/>
      <c r="MUI20" s="222"/>
      <c r="MUJ20" s="222"/>
      <c r="MUK20" s="222"/>
      <c r="MUL20" s="222"/>
      <c r="MUM20" s="222"/>
      <c r="MUN20" s="222"/>
      <c r="MUO20" s="222"/>
      <c r="MUP20" s="222"/>
      <c r="MUQ20" s="222"/>
      <c r="MUR20" s="222"/>
      <c r="MUS20" s="222"/>
      <c r="MUT20" s="222"/>
      <c r="MUU20" s="222"/>
      <c r="MUV20" s="222"/>
      <c r="MUW20" s="222"/>
      <c r="MUX20" s="222"/>
      <c r="MUY20" s="222"/>
      <c r="MUZ20" s="222"/>
      <c r="MVA20" s="222"/>
      <c r="MVB20" s="222"/>
      <c r="MVC20" s="222"/>
      <c r="MVD20" s="222"/>
      <c r="MVE20" s="222"/>
      <c r="MVF20" s="222"/>
      <c r="MVG20" s="222"/>
      <c r="MVH20" s="222"/>
      <c r="MVI20" s="222"/>
      <c r="MVJ20" s="222"/>
      <c r="MVK20" s="222"/>
      <c r="MVL20" s="222"/>
      <c r="MVM20" s="222"/>
      <c r="MVN20" s="222"/>
      <c r="MVO20" s="222"/>
      <c r="MVP20" s="222"/>
      <c r="MVQ20" s="222"/>
      <c r="MVR20" s="222"/>
      <c r="MVS20" s="222"/>
      <c r="MVT20" s="222"/>
      <c r="MVU20" s="222"/>
      <c r="MVV20" s="222"/>
      <c r="MVW20" s="222"/>
      <c r="MVX20" s="222"/>
      <c r="MVY20" s="222"/>
      <c r="MVZ20" s="222"/>
      <c r="MWA20" s="222"/>
      <c r="MWB20" s="222"/>
      <c r="MWC20" s="222"/>
      <c r="MWD20" s="222"/>
      <c r="MWE20" s="222"/>
      <c r="MWF20" s="222"/>
      <c r="MWG20" s="222"/>
      <c r="MWH20" s="222"/>
      <c r="MWI20" s="222"/>
      <c r="MWJ20" s="222"/>
      <c r="MWK20" s="222"/>
      <c r="MWL20" s="222"/>
      <c r="MWM20" s="222"/>
      <c r="MWN20" s="222"/>
      <c r="MWO20" s="222"/>
      <c r="MWP20" s="222"/>
      <c r="MWQ20" s="222"/>
      <c r="MWR20" s="222"/>
      <c r="MWS20" s="222"/>
      <c r="MWT20" s="222"/>
      <c r="MWU20" s="222"/>
      <c r="MWV20" s="222"/>
      <c r="MWW20" s="222"/>
      <c r="MWX20" s="222"/>
      <c r="MWY20" s="222"/>
      <c r="MWZ20" s="222"/>
      <c r="MXA20" s="222"/>
      <c r="MXB20" s="222"/>
      <c r="MXC20" s="222"/>
      <c r="MXD20" s="222"/>
      <c r="MXE20" s="222"/>
      <c r="MXF20" s="222"/>
      <c r="MXG20" s="222"/>
      <c r="MXH20" s="222"/>
      <c r="MXI20" s="222"/>
      <c r="MXJ20" s="222"/>
      <c r="MXK20" s="222"/>
      <c r="MXL20" s="222"/>
      <c r="MXM20" s="222"/>
      <c r="MXN20" s="222"/>
      <c r="MXO20" s="222"/>
      <c r="MXP20" s="222"/>
      <c r="MXQ20" s="222"/>
      <c r="MXR20" s="222"/>
      <c r="MXS20" s="222"/>
      <c r="MXT20" s="222"/>
      <c r="MXU20" s="222"/>
      <c r="MXV20" s="222"/>
      <c r="MXW20" s="222"/>
      <c r="MXX20" s="222"/>
      <c r="MXY20" s="222"/>
      <c r="MXZ20" s="222"/>
      <c r="MYA20" s="222"/>
      <c r="MYB20" s="222"/>
      <c r="MYC20" s="222"/>
      <c r="MYD20" s="222"/>
      <c r="MYE20" s="222"/>
      <c r="MYF20" s="222"/>
      <c r="MYG20" s="222"/>
      <c r="MYH20" s="222"/>
      <c r="MYI20" s="222"/>
      <c r="MYJ20" s="222"/>
      <c r="MYK20" s="222"/>
      <c r="MYL20" s="222"/>
      <c r="MYM20" s="222"/>
      <c r="MYN20" s="222"/>
      <c r="MYO20" s="222"/>
      <c r="MYP20" s="222"/>
      <c r="MYQ20" s="222"/>
      <c r="MYR20" s="222"/>
      <c r="MYS20" s="222"/>
      <c r="MYT20" s="222"/>
      <c r="MYU20" s="222"/>
      <c r="MYV20" s="222"/>
      <c r="MYW20" s="222"/>
      <c r="MYX20" s="222"/>
      <c r="MYY20" s="222"/>
      <c r="MYZ20" s="222"/>
      <c r="MZA20" s="222"/>
      <c r="MZB20" s="222"/>
      <c r="MZC20" s="222"/>
      <c r="MZD20" s="222"/>
      <c r="MZE20" s="222"/>
      <c r="MZF20" s="222"/>
      <c r="MZG20" s="222"/>
      <c r="MZH20" s="222"/>
      <c r="MZI20" s="222"/>
      <c r="MZJ20" s="222"/>
      <c r="MZK20" s="222"/>
      <c r="MZL20" s="222"/>
      <c r="MZM20" s="222"/>
      <c r="MZN20" s="222"/>
      <c r="MZO20" s="222"/>
      <c r="MZP20" s="222"/>
      <c r="MZQ20" s="222"/>
      <c r="MZR20" s="222"/>
      <c r="MZS20" s="222"/>
      <c r="MZT20" s="222"/>
      <c r="MZU20" s="222"/>
      <c r="MZV20" s="222"/>
      <c r="MZW20" s="222"/>
      <c r="MZX20" s="222"/>
      <c r="MZY20" s="222"/>
      <c r="MZZ20" s="222"/>
      <c r="NAA20" s="222"/>
      <c r="NAB20" s="222"/>
      <c r="NAC20" s="222"/>
      <c r="NAD20" s="222"/>
      <c r="NAE20" s="222"/>
      <c r="NAF20" s="222"/>
      <c r="NAG20" s="222"/>
      <c r="NAH20" s="222"/>
      <c r="NAI20" s="222"/>
      <c r="NAJ20" s="222"/>
      <c r="NAK20" s="222"/>
      <c r="NAL20" s="222"/>
      <c r="NAM20" s="222"/>
      <c r="NAN20" s="222"/>
      <c r="NAO20" s="222"/>
      <c r="NAP20" s="222"/>
      <c r="NAQ20" s="222"/>
      <c r="NAR20" s="222"/>
      <c r="NAS20" s="222"/>
      <c r="NAT20" s="222"/>
      <c r="NAU20" s="222"/>
      <c r="NAV20" s="222"/>
      <c r="NAW20" s="222"/>
      <c r="NAX20" s="222"/>
      <c r="NAY20" s="222"/>
      <c r="NAZ20" s="222"/>
      <c r="NBA20" s="222"/>
      <c r="NBB20" s="222"/>
      <c r="NBC20" s="222"/>
      <c r="NBD20" s="222"/>
      <c r="NBE20" s="222"/>
      <c r="NBF20" s="222"/>
      <c r="NBG20" s="222"/>
      <c r="NBH20" s="222"/>
      <c r="NBI20" s="222"/>
      <c r="NBJ20" s="222"/>
      <c r="NBK20" s="222"/>
      <c r="NBL20" s="222"/>
      <c r="NBM20" s="222"/>
      <c r="NBN20" s="222"/>
      <c r="NBO20" s="222"/>
      <c r="NBP20" s="222"/>
      <c r="NBQ20" s="222"/>
      <c r="NBR20" s="222"/>
      <c r="NBS20" s="222"/>
      <c r="NBT20" s="222"/>
      <c r="NBU20" s="222"/>
      <c r="NBV20" s="222"/>
      <c r="NBW20" s="222"/>
      <c r="NBX20" s="222"/>
      <c r="NBY20" s="222"/>
      <c r="NBZ20" s="222"/>
      <c r="NCA20" s="222"/>
      <c r="NCB20" s="222"/>
      <c r="NCC20" s="222"/>
      <c r="NCD20" s="222"/>
      <c r="NCE20" s="222"/>
      <c r="NCF20" s="222"/>
      <c r="NCG20" s="222"/>
      <c r="NCH20" s="222"/>
      <c r="NCI20" s="222"/>
      <c r="NCJ20" s="222"/>
      <c r="NCK20" s="222"/>
      <c r="NCL20" s="222"/>
      <c r="NCM20" s="222"/>
      <c r="NCN20" s="222"/>
      <c r="NCO20" s="222"/>
      <c r="NCP20" s="222"/>
      <c r="NCQ20" s="222"/>
      <c r="NCR20" s="222"/>
      <c r="NCS20" s="222"/>
      <c r="NCT20" s="222"/>
      <c r="NCU20" s="222"/>
      <c r="NCV20" s="222"/>
      <c r="NCW20" s="222"/>
      <c r="NCX20" s="222"/>
      <c r="NCY20" s="222"/>
      <c r="NCZ20" s="222"/>
      <c r="NDA20" s="222"/>
      <c r="NDB20" s="222"/>
      <c r="NDC20" s="222"/>
      <c r="NDD20" s="222"/>
      <c r="NDE20" s="222"/>
      <c r="NDF20" s="222"/>
      <c r="NDG20" s="222"/>
      <c r="NDH20" s="222"/>
      <c r="NDI20" s="222"/>
      <c r="NDJ20" s="222"/>
      <c r="NDK20" s="222"/>
      <c r="NDL20" s="222"/>
      <c r="NDM20" s="222"/>
      <c r="NDN20" s="222"/>
      <c r="NDO20" s="222"/>
      <c r="NDP20" s="222"/>
      <c r="NDQ20" s="222"/>
      <c r="NDR20" s="222"/>
      <c r="NDS20" s="222"/>
      <c r="NDT20" s="222"/>
      <c r="NDU20" s="222"/>
      <c r="NDV20" s="222"/>
      <c r="NDW20" s="222"/>
      <c r="NDX20" s="222"/>
      <c r="NDY20" s="222"/>
      <c r="NDZ20" s="222"/>
      <c r="NEA20" s="222"/>
      <c r="NEB20" s="222"/>
      <c r="NEC20" s="222"/>
      <c r="NED20" s="222"/>
      <c r="NEE20" s="222"/>
      <c r="NEF20" s="222"/>
      <c r="NEG20" s="222"/>
      <c r="NEH20" s="222"/>
      <c r="NEI20" s="222"/>
      <c r="NEJ20" s="222"/>
      <c r="NEK20" s="222"/>
      <c r="NEL20" s="222"/>
      <c r="NEM20" s="222"/>
      <c r="NEN20" s="222"/>
      <c r="NEO20" s="222"/>
      <c r="NEP20" s="222"/>
      <c r="NEQ20" s="222"/>
      <c r="NER20" s="222"/>
      <c r="NES20" s="222"/>
      <c r="NET20" s="222"/>
      <c r="NEU20" s="222"/>
      <c r="NEV20" s="222"/>
      <c r="NEW20" s="222"/>
      <c r="NEX20" s="222"/>
      <c r="NEY20" s="222"/>
      <c r="NEZ20" s="222"/>
      <c r="NFA20" s="222"/>
      <c r="NFB20" s="222"/>
      <c r="NFC20" s="222"/>
      <c r="NFD20" s="222"/>
      <c r="NFE20" s="222"/>
      <c r="NFF20" s="222"/>
      <c r="NFG20" s="222"/>
      <c r="NFH20" s="222"/>
      <c r="NFI20" s="222"/>
      <c r="NFJ20" s="222"/>
      <c r="NFK20" s="222"/>
      <c r="NFL20" s="222"/>
      <c r="NFM20" s="222"/>
      <c r="NFN20" s="222"/>
      <c r="NFO20" s="222"/>
      <c r="NFP20" s="222"/>
      <c r="NFQ20" s="222"/>
      <c r="NFR20" s="222"/>
      <c r="NFS20" s="222"/>
      <c r="NFT20" s="222"/>
      <c r="NFU20" s="222"/>
      <c r="NFV20" s="222"/>
      <c r="NFW20" s="222"/>
      <c r="NFX20" s="222"/>
      <c r="NFY20" s="222"/>
      <c r="NFZ20" s="222"/>
      <c r="NGA20" s="222"/>
      <c r="NGB20" s="222"/>
      <c r="NGC20" s="222"/>
      <c r="NGD20" s="222"/>
      <c r="NGE20" s="222"/>
      <c r="NGF20" s="222"/>
      <c r="NGG20" s="222"/>
      <c r="NGH20" s="222"/>
      <c r="NGI20" s="222"/>
      <c r="NGJ20" s="222"/>
      <c r="NGK20" s="222"/>
      <c r="NGL20" s="222"/>
      <c r="NGM20" s="222"/>
      <c r="NGN20" s="222"/>
      <c r="NGO20" s="222"/>
      <c r="NGP20" s="222"/>
      <c r="NGQ20" s="222"/>
      <c r="NGR20" s="222"/>
      <c r="NGS20" s="222"/>
      <c r="NGT20" s="222"/>
      <c r="NGU20" s="222"/>
      <c r="NGV20" s="222"/>
      <c r="NGW20" s="222"/>
      <c r="NGX20" s="222"/>
      <c r="NGY20" s="222"/>
      <c r="NGZ20" s="222"/>
      <c r="NHA20" s="222"/>
      <c r="NHB20" s="222"/>
      <c r="NHC20" s="222"/>
      <c r="NHD20" s="222"/>
      <c r="NHE20" s="222"/>
      <c r="NHF20" s="222"/>
      <c r="NHG20" s="222"/>
      <c r="NHH20" s="222"/>
      <c r="NHI20" s="222"/>
      <c r="NHJ20" s="222"/>
      <c r="NHK20" s="222"/>
      <c r="NHL20" s="222"/>
      <c r="NHM20" s="222"/>
      <c r="NHN20" s="222"/>
      <c r="NHO20" s="222"/>
      <c r="NHP20" s="222"/>
      <c r="NHQ20" s="222"/>
      <c r="NHR20" s="222"/>
      <c r="NHS20" s="222"/>
      <c r="NHT20" s="222"/>
      <c r="NHU20" s="222"/>
      <c r="NHV20" s="222"/>
      <c r="NHW20" s="222"/>
      <c r="NHX20" s="222"/>
      <c r="NHY20" s="222"/>
      <c r="NHZ20" s="222"/>
      <c r="NIA20" s="222"/>
      <c r="NIB20" s="222"/>
      <c r="NIC20" s="222"/>
      <c r="NID20" s="222"/>
      <c r="NIE20" s="222"/>
      <c r="NIF20" s="222"/>
      <c r="NIG20" s="222"/>
      <c r="NIH20" s="222"/>
      <c r="NII20" s="222"/>
      <c r="NIJ20" s="222"/>
      <c r="NIK20" s="222"/>
      <c r="NIL20" s="222"/>
      <c r="NIM20" s="222"/>
      <c r="NIN20" s="222"/>
      <c r="NIO20" s="222"/>
      <c r="NIP20" s="222"/>
      <c r="NIQ20" s="222"/>
      <c r="NIR20" s="222"/>
      <c r="NIS20" s="222"/>
      <c r="NIT20" s="222"/>
      <c r="NIU20" s="222"/>
      <c r="NIV20" s="222"/>
      <c r="NIW20" s="222"/>
      <c r="NIX20" s="222"/>
      <c r="NIY20" s="222"/>
      <c r="NIZ20" s="222"/>
      <c r="NJA20" s="222"/>
      <c r="NJB20" s="222"/>
      <c r="NJC20" s="222"/>
      <c r="NJD20" s="222"/>
      <c r="NJE20" s="222"/>
      <c r="NJF20" s="222"/>
      <c r="NJG20" s="222"/>
      <c r="NJH20" s="222"/>
      <c r="NJI20" s="222"/>
      <c r="NJJ20" s="222"/>
      <c r="NJK20" s="222"/>
      <c r="NJL20" s="222"/>
      <c r="NJM20" s="222"/>
      <c r="NJN20" s="222"/>
      <c r="NJO20" s="222"/>
      <c r="NJP20" s="222"/>
      <c r="NJQ20" s="222"/>
      <c r="NJR20" s="222"/>
      <c r="NJS20" s="222"/>
      <c r="NJT20" s="222"/>
      <c r="NJU20" s="222"/>
      <c r="NJV20" s="222"/>
      <c r="NJW20" s="222"/>
      <c r="NJX20" s="222"/>
      <c r="NJY20" s="222"/>
      <c r="NJZ20" s="222"/>
      <c r="NKA20" s="222"/>
      <c r="NKB20" s="222"/>
      <c r="NKC20" s="222"/>
      <c r="NKD20" s="222"/>
      <c r="NKE20" s="222"/>
      <c r="NKF20" s="222"/>
      <c r="NKG20" s="222"/>
      <c r="NKH20" s="222"/>
      <c r="NKI20" s="222"/>
      <c r="NKJ20" s="222"/>
      <c r="NKK20" s="222"/>
      <c r="NKL20" s="222"/>
      <c r="NKM20" s="222"/>
      <c r="NKN20" s="222"/>
      <c r="NKO20" s="222"/>
      <c r="NKP20" s="222"/>
      <c r="NKQ20" s="222"/>
      <c r="NKR20" s="222"/>
      <c r="NKS20" s="222"/>
      <c r="NKT20" s="222"/>
      <c r="NKU20" s="222"/>
      <c r="NKV20" s="222"/>
      <c r="NKW20" s="222"/>
      <c r="NKX20" s="222"/>
      <c r="NKY20" s="222"/>
      <c r="NKZ20" s="222"/>
      <c r="NLA20" s="222"/>
      <c r="NLB20" s="222"/>
      <c r="NLC20" s="222"/>
      <c r="NLD20" s="222"/>
      <c r="NLE20" s="222"/>
      <c r="NLF20" s="222"/>
      <c r="NLG20" s="222"/>
      <c r="NLH20" s="222"/>
      <c r="NLI20" s="222"/>
      <c r="NLJ20" s="222"/>
      <c r="NLK20" s="222"/>
      <c r="NLL20" s="222"/>
      <c r="NLM20" s="222"/>
      <c r="NLN20" s="222"/>
      <c r="NLO20" s="222"/>
      <c r="NLP20" s="222"/>
      <c r="NLQ20" s="222"/>
      <c r="NLR20" s="222"/>
      <c r="NLS20" s="222"/>
      <c r="NLT20" s="222"/>
      <c r="NLU20" s="222"/>
      <c r="NLV20" s="222"/>
      <c r="NLW20" s="222"/>
      <c r="NLX20" s="222"/>
      <c r="NLY20" s="222"/>
      <c r="NLZ20" s="222"/>
      <c r="NMA20" s="222"/>
      <c r="NMB20" s="222"/>
      <c r="NMC20" s="222"/>
      <c r="NMD20" s="222"/>
      <c r="NME20" s="222"/>
      <c r="NMF20" s="222"/>
      <c r="NMG20" s="222"/>
      <c r="NMH20" s="222"/>
      <c r="NMI20" s="222"/>
      <c r="NMJ20" s="222"/>
      <c r="NMK20" s="222"/>
      <c r="NML20" s="222"/>
      <c r="NMM20" s="222"/>
      <c r="NMN20" s="222"/>
      <c r="NMO20" s="222"/>
      <c r="NMP20" s="222"/>
      <c r="NMQ20" s="222"/>
      <c r="NMR20" s="222"/>
      <c r="NMS20" s="222"/>
      <c r="NMT20" s="222"/>
      <c r="NMU20" s="222"/>
      <c r="NMV20" s="222"/>
      <c r="NMW20" s="222"/>
      <c r="NMX20" s="222"/>
      <c r="NMY20" s="222"/>
      <c r="NMZ20" s="222"/>
      <c r="NNA20" s="222"/>
      <c r="NNB20" s="222"/>
      <c r="NNC20" s="222"/>
      <c r="NND20" s="222"/>
      <c r="NNE20" s="222"/>
      <c r="NNF20" s="222"/>
      <c r="NNG20" s="222"/>
      <c r="NNH20" s="222"/>
      <c r="NNI20" s="222"/>
      <c r="NNJ20" s="222"/>
      <c r="NNK20" s="222"/>
      <c r="NNL20" s="222"/>
      <c r="NNM20" s="222"/>
      <c r="NNN20" s="222"/>
      <c r="NNO20" s="222"/>
      <c r="NNP20" s="222"/>
      <c r="NNQ20" s="222"/>
      <c r="NNR20" s="222"/>
      <c r="NNS20" s="222"/>
      <c r="NNT20" s="222"/>
      <c r="NNU20" s="222"/>
      <c r="NNV20" s="222"/>
      <c r="NNW20" s="222"/>
      <c r="NNX20" s="222"/>
      <c r="NNY20" s="222"/>
      <c r="NNZ20" s="222"/>
      <c r="NOA20" s="222"/>
      <c r="NOB20" s="222"/>
      <c r="NOC20" s="222"/>
      <c r="NOD20" s="222"/>
      <c r="NOE20" s="222"/>
      <c r="NOF20" s="222"/>
      <c r="NOG20" s="222"/>
      <c r="NOH20" s="222"/>
      <c r="NOI20" s="222"/>
      <c r="NOJ20" s="222"/>
      <c r="NOK20" s="222"/>
      <c r="NOL20" s="222"/>
      <c r="NOM20" s="222"/>
      <c r="NON20" s="222"/>
      <c r="NOO20" s="222"/>
      <c r="NOP20" s="222"/>
      <c r="NOQ20" s="222"/>
      <c r="NOR20" s="222"/>
      <c r="NOS20" s="222"/>
      <c r="NOT20" s="222"/>
      <c r="NOU20" s="222"/>
      <c r="NOV20" s="222"/>
      <c r="NOW20" s="222"/>
      <c r="NOX20" s="222"/>
      <c r="NOY20" s="222"/>
      <c r="NOZ20" s="222"/>
      <c r="NPA20" s="222"/>
      <c r="NPB20" s="222"/>
      <c r="NPC20" s="222"/>
      <c r="NPD20" s="222"/>
      <c r="NPE20" s="222"/>
      <c r="NPF20" s="222"/>
      <c r="NPG20" s="222"/>
      <c r="NPH20" s="222"/>
      <c r="NPI20" s="222"/>
      <c r="NPJ20" s="222"/>
      <c r="NPK20" s="222"/>
      <c r="NPL20" s="222"/>
      <c r="NPM20" s="222"/>
      <c r="NPN20" s="222"/>
      <c r="NPO20" s="222"/>
      <c r="NPP20" s="222"/>
      <c r="NPQ20" s="222"/>
      <c r="NPR20" s="222"/>
      <c r="NPS20" s="222"/>
      <c r="NPT20" s="222"/>
      <c r="NPU20" s="222"/>
      <c r="NPV20" s="222"/>
      <c r="NPW20" s="222"/>
      <c r="NPX20" s="222"/>
      <c r="NPY20" s="222"/>
      <c r="NPZ20" s="222"/>
      <c r="NQA20" s="222"/>
      <c r="NQB20" s="222"/>
      <c r="NQC20" s="222"/>
      <c r="NQD20" s="222"/>
      <c r="NQE20" s="222"/>
      <c r="NQF20" s="222"/>
      <c r="NQG20" s="222"/>
      <c r="NQH20" s="222"/>
      <c r="NQI20" s="222"/>
      <c r="NQJ20" s="222"/>
      <c r="NQK20" s="222"/>
      <c r="NQL20" s="222"/>
      <c r="NQM20" s="222"/>
      <c r="NQN20" s="222"/>
      <c r="NQO20" s="222"/>
      <c r="NQP20" s="222"/>
      <c r="NQQ20" s="222"/>
      <c r="NQR20" s="222"/>
      <c r="NQS20" s="222"/>
      <c r="NQT20" s="222"/>
      <c r="NQU20" s="222"/>
      <c r="NQV20" s="222"/>
      <c r="NQW20" s="222"/>
      <c r="NQX20" s="222"/>
      <c r="NQY20" s="222"/>
      <c r="NQZ20" s="222"/>
      <c r="NRA20" s="222"/>
      <c r="NRB20" s="222"/>
      <c r="NRC20" s="222"/>
      <c r="NRD20" s="222"/>
      <c r="NRE20" s="222"/>
      <c r="NRF20" s="222"/>
      <c r="NRG20" s="222"/>
      <c r="NRH20" s="222"/>
      <c r="NRI20" s="222"/>
      <c r="NRJ20" s="222"/>
      <c r="NRK20" s="222"/>
      <c r="NRL20" s="222"/>
      <c r="NRM20" s="222"/>
      <c r="NRN20" s="222"/>
      <c r="NRO20" s="222"/>
      <c r="NRP20" s="222"/>
      <c r="NRQ20" s="222"/>
      <c r="NRR20" s="222"/>
      <c r="NRS20" s="222"/>
      <c r="NRT20" s="222"/>
      <c r="NRU20" s="222"/>
      <c r="NRV20" s="222"/>
      <c r="NRW20" s="222"/>
      <c r="NRX20" s="222"/>
      <c r="NRY20" s="222"/>
      <c r="NRZ20" s="222"/>
      <c r="NSA20" s="222"/>
      <c r="NSB20" s="222"/>
      <c r="NSC20" s="222"/>
      <c r="NSD20" s="222"/>
      <c r="NSE20" s="222"/>
      <c r="NSF20" s="222"/>
      <c r="NSG20" s="222"/>
      <c r="NSH20" s="222"/>
      <c r="NSI20" s="222"/>
      <c r="NSJ20" s="222"/>
      <c r="NSK20" s="222"/>
      <c r="NSL20" s="222"/>
      <c r="NSM20" s="222"/>
      <c r="NSN20" s="222"/>
      <c r="NSO20" s="222"/>
      <c r="NSP20" s="222"/>
      <c r="NSQ20" s="222"/>
      <c r="NSR20" s="222"/>
      <c r="NSS20" s="222"/>
      <c r="NST20" s="222"/>
      <c r="NSU20" s="222"/>
      <c r="NSV20" s="222"/>
      <c r="NSW20" s="222"/>
      <c r="NSX20" s="222"/>
      <c r="NSY20" s="222"/>
      <c r="NSZ20" s="222"/>
      <c r="NTA20" s="222"/>
      <c r="NTB20" s="222"/>
      <c r="NTC20" s="222"/>
      <c r="NTD20" s="222"/>
      <c r="NTE20" s="222"/>
      <c r="NTF20" s="222"/>
      <c r="NTG20" s="222"/>
      <c r="NTH20" s="222"/>
      <c r="NTI20" s="222"/>
      <c r="NTJ20" s="222"/>
      <c r="NTK20" s="222"/>
      <c r="NTL20" s="222"/>
      <c r="NTM20" s="222"/>
      <c r="NTN20" s="222"/>
      <c r="NTO20" s="222"/>
      <c r="NTP20" s="222"/>
      <c r="NTQ20" s="222"/>
      <c r="NTR20" s="222"/>
      <c r="NTS20" s="222"/>
      <c r="NTT20" s="222"/>
      <c r="NTU20" s="222"/>
      <c r="NTV20" s="222"/>
      <c r="NTW20" s="222"/>
      <c r="NTX20" s="222"/>
      <c r="NTY20" s="222"/>
      <c r="NTZ20" s="222"/>
      <c r="NUA20" s="222"/>
      <c r="NUB20" s="222"/>
      <c r="NUC20" s="222"/>
      <c r="NUD20" s="222"/>
      <c r="NUE20" s="222"/>
      <c r="NUF20" s="222"/>
      <c r="NUG20" s="222"/>
      <c r="NUH20" s="222"/>
      <c r="NUI20" s="222"/>
      <c r="NUJ20" s="222"/>
      <c r="NUK20" s="222"/>
      <c r="NUL20" s="222"/>
      <c r="NUM20" s="222"/>
      <c r="NUN20" s="222"/>
      <c r="NUO20" s="222"/>
      <c r="NUP20" s="222"/>
      <c r="NUQ20" s="222"/>
      <c r="NUR20" s="222"/>
      <c r="NUS20" s="222"/>
      <c r="NUT20" s="222"/>
      <c r="NUU20" s="222"/>
      <c r="NUV20" s="222"/>
      <c r="NUW20" s="222"/>
      <c r="NUX20" s="222"/>
      <c r="NUY20" s="222"/>
      <c r="NUZ20" s="222"/>
      <c r="NVA20" s="222"/>
      <c r="NVB20" s="222"/>
      <c r="NVC20" s="222"/>
      <c r="NVD20" s="222"/>
      <c r="NVE20" s="222"/>
      <c r="NVF20" s="222"/>
      <c r="NVG20" s="222"/>
      <c r="NVH20" s="222"/>
      <c r="NVI20" s="222"/>
      <c r="NVJ20" s="222"/>
      <c r="NVK20" s="222"/>
      <c r="NVL20" s="222"/>
      <c r="NVM20" s="222"/>
      <c r="NVN20" s="222"/>
      <c r="NVO20" s="222"/>
      <c r="NVP20" s="222"/>
      <c r="NVQ20" s="222"/>
      <c r="NVR20" s="222"/>
      <c r="NVS20" s="222"/>
      <c r="NVT20" s="222"/>
      <c r="NVU20" s="222"/>
      <c r="NVV20" s="222"/>
      <c r="NVW20" s="222"/>
      <c r="NVX20" s="222"/>
      <c r="NVY20" s="222"/>
      <c r="NVZ20" s="222"/>
      <c r="NWA20" s="222"/>
      <c r="NWB20" s="222"/>
      <c r="NWC20" s="222"/>
      <c r="NWD20" s="222"/>
      <c r="NWE20" s="222"/>
      <c r="NWF20" s="222"/>
      <c r="NWG20" s="222"/>
      <c r="NWH20" s="222"/>
      <c r="NWI20" s="222"/>
      <c r="NWJ20" s="222"/>
      <c r="NWK20" s="222"/>
      <c r="NWL20" s="222"/>
      <c r="NWM20" s="222"/>
      <c r="NWN20" s="222"/>
      <c r="NWO20" s="222"/>
      <c r="NWP20" s="222"/>
      <c r="NWQ20" s="222"/>
      <c r="NWR20" s="222"/>
      <c r="NWS20" s="222"/>
      <c r="NWT20" s="222"/>
      <c r="NWU20" s="222"/>
      <c r="NWV20" s="222"/>
      <c r="NWW20" s="222"/>
      <c r="NWX20" s="222"/>
      <c r="NWY20" s="222"/>
      <c r="NWZ20" s="222"/>
      <c r="NXA20" s="222"/>
      <c r="NXB20" s="222"/>
      <c r="NXC20" s="222"/>
      <c r="NXD20" s="222"/>
      <c r="NXE20" s="222"/>
      <c r="NXF20" s="222"/>
      <c r="NXG20" s="222"/>
      <c r="NXH20" s="222"/>
      <c r="NXI20" s="222"/>
      <c r="NXJ20" s="222"/>
      <c r="NXK20" s="222"/>
      <c r="NXL20" s="222"/>
      <c r="NXM20" s="222"/>
      <c r="NXN20" s="222"/>
      <c r="NXO20" s="222"/>
      <c r="NXP20" s="222"/>
      <c r="NXQ20" s="222"/>
      <c r="NXR20" s="222"/>
      <c r="NXS20" s="222"/>
      <c r="NXT20" s="222"/>
      <c r="NXU20" s="222"/>
      <c r="NXV20" s="222"/>
      <c r="NXW20" s="222"/>
      <c r="NXX20" s="222"/>
      <c r="NXY20" s="222"/>
      <c r="NXZ20" s="222"/>
      <c r="NYA20" s="222"/>
      <c r="NYB20" s="222"/>
      <c r="NYC20" s="222"/>
      <c r="NYD20" s="222"/>
      <c r="NYE20" s="222"/>
      <c r="NYF20" s="222"/>
      <c r="NYG20" s="222"/>
      <c r="NYH20" s="222"/>
      <c r="NYI20" s="222"/>
      <c r="NYJ20" s="222"/>
      <c r="NYK20" s="222"/>
      <c r="NYL20" s="222"/>
      <c r="NYM20" s="222"/>
      <c r="NYN20" s="222"/>
      <c r="NYO20" s="222"/>
      <c r="NYP20" s="222"/>
      <c r="NYQ20" s="222"/>
      <c r="NYR20" s="222"/>
      <c r="NYS20" s="222"/>
      <c r="NYT20" s="222"/>
      <c r="NYU20" s="222"/>
      <c r="NYV20" s="222"/>
      <c r="NYW20" s="222"/>
      <c r="NYX20" s="222"/>
      <c r="NYY20" s="222"/>
      <c r="NYZ20" s="222"/>
      <c r="NZA20" s="222"/>
      <c r="NZB20" s="222"/>
      <c r="NZC20" s="222"/>
      <c r="NZD20" s="222"/>
      <c r="NZE20" s="222"/>
      <c r="NZF20" s="222"/>
      <c r="NZG20" s="222"/>
      <c r="NZH20" s="222"/>
      <c r="NZI20" s="222"/>
      <c r="NZJ20" s="222"/>
      <c r="NZK20" s="222"/>
      <c r="NZL20" s="222"/>
      <c r="NZM20" s="222"/>
      <c r="NZN20" s="222"/>
      <c r="NZO20" s="222"/>
      <c r="NZP20" s="222"/>
      <c r="NZQ20" s="222"/>
      <c r="NZR20" s="222"/>
      <c r="NZS20" s="222"/>
      <c r="NZT20" s="222"/>
      <c r="NZU20" s="222"/>
      <c r="NZV20" s="222"/>
      <c r="NZW20" s="222"/>
      <c r="NZX20" s="222"/>
      <c r="NZY20" s="222"/>
      <c r="NZZ20" s="222"/>
      <c r="OAA20" s="222"/>
      <c r="OAB20" s="222"/>
      <c r="OAC20" s="222"/>
      <c r="OAD20" s="222"/>
      <c r="OAE20" s="222"/>
      <c r="OAF20" s="222"/>
      <c r="OAG20" s="222"/>
      <c r="OAH20" s="222"/>
      <c r="OAI20" s="222"/>
      <c r="OAJ20" s="222"/>
      <c r="OAK20" s="222"/>
      <c r="OAL20" s="222"/>
      <c r="OAM20" s="222"/>
      <c r="OAN20" s="222"/>
      <c r="OAO20" s="222"/>
      <c r="OAP20" s="222"/>
      <c r="OAQ20" s="222"/>
      <c r="OAR20" s="222"/>
      <c r="OAS20" s="222"/>
      <c r="OAT20" s="222"/>
      <c r="OAU20" s="222"/>
      <c r="OAV20" s="222"/>
      <c r="OAW20" s="222"/>
      <c r="OAX20" s="222"/>
      <c r="OAY20" s="222"/>
      <c r="OAZ20" s="222"/>
      <c r="OBA20" s="222"/>
      <c r="OBB20" s="222"/>
      <c r="OBC20" s="222"/>
      <c r="OBD20" s="222"/>
      <c r="OBE20" s="222"/>
      <c r="OBF20" s="222"/>
      <c r="OBG20" s="222"/>
      <c r="OBH20" s="222"/>
      <c r="OBI20" s="222"/>
      <c r="OBJ20" s="222"/>
      <c r="OBK20" s="222"/>
      <c r="OBL20" s="222"/>
      <c r="OBM20" s="222"/>
      <c r="OBN20" s="222"/>
      <c r="OBO20" s="222"/>
      <c r="OBP20" s="222"/>
      <c r="OBQ20" s="222"/>
      <c r="OBR20" s="222"/>
      <c r="OBS20" s="222"/>
      <c r="OBT20" s="222"/>
      <c r="OBU20" s="222"/>
      <c r="OBV20" s="222"/>
      <c r="OBW20" s="222"/>
      <c r="OBX20" s="222"/>
      <c r="OBY20" s="222"/>
      <c r="OBZ20" s="222"/>
      <c r="OCA20" s="222"/>
      <c r="OCB20" s="222"/>
      <c r="OCC20" s="222"/>
      <c r="OCD20" s="222"/>
      <c r="OCE20" s="222"/>
      <c r="OCF20" s="222"/>
      <c r="OCG20" s="222"/>
      <c r="OCH20" s="222"/>
      <c r="OCI20" s="222"/>
      <c r="OCJ20" s="222"/>
      <c r="OCK20" s="222"/>
      <c r="OCL20" s="222"/>
      <c r="OCM20" s="222"/>
      <c r="OCN20" s="222"/>
      <c r="OCO20" s="222"/>
      <c r="OCP20" s="222"/>
      <c r="OCQ20" s="222"/>
      <c r="OCR20" s="222"/>
      <c r="OCS20" s="222"/>
      <c r="OCT20" s="222"/>
      <c r="OCU20" s="222"/>
      <c r="OCV20" s="222"/>
      <c r="OCW20" s="222"/>
      <c r="OCX20" s="222"/>
      <c r="OCY20" s="222"/>
      <c r="OCZ20" s="222"/>
      <c r="ODA20" s="222"/>
      <c r="ODB20" s="222"/>
      <c r="ODC20" s="222"/>
      <c r="ODD20" s="222"/>
      <c r="ODE20" s="222"/>
      <c r="ODF20" s="222"/>
      <c r="ODG20" s="222"/>
      <c r="ODH20" s="222"/>
      <c r="ODI20" s="222"/>
      <c r="ODJ20" s="222"/>
      <c r="ODK20" s="222"/>
      <c r="ODL20" s="222"/>
      <c r="ODM20" s="222"/>
      <c r="ODN20" s="222"/>
      <c r="ODO20" s="222"/>
      <c r="ODP20" s="222"/>
      <c r="ODQ20" s="222"/>
      <c r="ODR20" s="222"/>
      <c r="ODS20" s="222"/>
      <c r="ODT20" s="222"/>
      <c r="ODU20" s="222"/>
      <c r="ODV20" s="222"/>
      <c r="ODW20" s="222"/>
      <c r="ODX20" s="222"/>
      <c r="ODY20" s="222"/>
      <c r="ODZ20" s="222"/>
      <c r="OEA20" s="222"/>
      <c r="OEB20" s="222"/>
      <c r="OEC20" s="222"/>
      <c r="OED20" s="222"/>
      <c r="OEE20" s="222"/>
      <c r="OEF20" s="222"/>
      <c r="OEG20" s="222"/>
      <c r="OEH20" s="222"/>
      <c r="OEI20" s="222"/>
      <c r="OEJ20" s="222"/>
      <c r="OEK20" s="222"/>
      <c r="OEL20" s="222"/>
      <c r="OEM20" s="222"/>
      <c r="OEN20" s="222"/>
      <c r="OEO20" s="222"/>
      <c r="OEP20" s="222"/>
      <c r="OEQ20" s="222"/>
      <c r="OER20" s="222"/>
      <c r="OES20" s="222"/>
      <c r="OET20" s="222"/>
      <c r="OEU20" s="222"/>
      <c r="OEV20" s="222"/>
      <c r="OEW20" s="222"/>
      <c r="OEX20" s="222"/>
      <c r="OEY20" s="222"/>
      <c r="OEZ20" s="222"/>
      <c r="OFA20" s="222"/>
      <c r="OFB20" s="222"/>
      <c r="OFC20" s="222"/>
      <c r="OFD20" s="222"/>
      <c r="OFE20" s="222"/>
      <c r="OFF20" s="222"/>
      <c r="OFG20" s="222"/>
      <c r="OFH20" s="222"/>
      <c r="OFI20" s="222"/>
      <c r="OFJ20" s="222"/>
      <c r="OFK20" s="222"/>
      <c r="OFL20" s="222"/>
      <c r="OFM20" s="222"/>
      <c r="OFN20" s="222"/>
      <c r="OFO20" s="222"/>
      <c r="OFP20" s="222"/>
      <c r="OFQ20" s="222"/>
      <c r="OFR20" s="222"/>
      <c r="OFS20" s="222"/>
      <c r="OFT20" s="222"/>
      <c r="OFU20" s="222"/>
      <c r="OFV20" s="222"/>
      <c r="OFW20" s="222"/>
      <c r="OFX20" s="222"/>
      <c r="OFY20" s="222"/>
      <c r="OFZ20" s="222"/>
      <c r="OGA20" s="222"/>
      <c r="OGB20" s="222"/>
      <c r="OGC20" s="222"/>
      <c r="OGD20" s="222"/>
      <c r="OGE20" s="222"/>
      <c r="OGF20" s="222"/>
      <c r="OGG20" s="222"/>
      <c r="OGH20" s="222"/>
      <c r="OGI20" s="222"/>
      <c r="OGJ20" s="222"/>
      <c r="OGK20" s="222"/>
      <c r="OGL20" s="222"/>
      <c r="OGM20" s="222"/>
      <c r="OGN20" s="222"/>
      <c r="OGO20" s="222"/>
      <c r="OGP20" s="222"/>
      <c r="OGQ20" s="222"/>
      <c r="OGR20" s="222"/>
      <c r="OGS20" s="222"/>
      <c r="OGT20" s="222"/>
      <c r="OGU20" s="222"/>
      <c r="OGV20" s="222"/>
      <c r="OGW20" s="222"/>
      <c r="OGX20" s="222"/>
      <c r="OGY20" s="222"/>
      <c r="OGZ20" s="222"/>
      <c r="OHA20" s="222"/>
      <c r="OHB20" s="222"/>
      <c r="OHC20" s="222"/>
      <c r="OHD20" s="222"/>
      <c r="OHE20" s="222"/>
      <c r="OHF20" s="222"/>
      <c r="OHG20" s="222"/>
      <c r="OHH20" s="222"/>
      <c r="OHI20" s="222"/>
      <c r="OHJ20" s="222"/>
      <c r="OHK20" s="222"/>
      <c r="OHL20" s="222"/>
      <c r="OHM20" s="222"/>
      <c r="OHN20" s="222"/>
      <c r="OHO20" s="222"/>
      <c r="OHP20" s="222"/>
      <c r="OHQ20" s="222"/>
      <c r="OHR20" s="222"/>
      <c r="OHS20" s="222"/>
      <c r="OHT20" s="222"/>
      <c r="OHU20" s="222"/>
      <c r="OHV20" s="222"/>
      <c r="OHW20" s="222"/>
      <c r="OHX20" s="222"/>
      <c r="OHY20" s="222"/>
      <c r="OHZ20" s="222"/>
      <c r="OIA20" s="222"/>
      <c r="OIB20" s="222"/>
      <c r="OIC20" s="222"/>
      <c r="OID20" s="222"/>
      <c r="OIE20" s="222"/>
      <c r="OIF20" s="222"/>
      <c r="OIG20" s="222"/>
      <c r="OIH20" s="222"/>
      <c r="OII20" s="222"/>
      <c r="OIJ20" s="222"/>
      <c r="OIK20" s="222"/>
      <c r="OIL20" s="222"/>
      <c r="OIM20" s="222"/>
      <c r="OIN20" s="222"/>
      <c r="OIO20" s="222"/>
      <c r="OIP20" s="222"/>
      <c r="OIQ20" s="222"/>
      <c r="OIR20" s="222"/>
      <c r="OIS20" s="222"/>
      <c r="OIT20" s="222"/>
      <c r="OIU20" s="222"/>
      <c r="OIV20" s="222"/>
      <c r="OIW20" s="222"/>
      <c r="OIX20" s="222"/>
      <c r="OIY20" s="222"/>
      <c r="OIZ20" s="222"/>
      <c r="OJA20" s="222"/>
      <c r="OJB20" s="222"/>
      <c r="OJC20" s="222"/>
      <c r="OJD20" s="222"/>
      <c r="OJE20" s="222"/>
      <c r="OJF20" s="222"/>
      <c r="OJG20" s="222"/>
      <c r="OJH20" s="222"/>
      <c r="OJI20" s="222"/>
      <c r="OJJ20" s="222"/>
      <c r="OJK20" s="222"/>
      <c r="OJL20" s="222"/>
      <c r="OJM20" s="222"/>
      <c r="OJN20" s="222"/>
      <c r="OJO20" s="222"/>
      <c r="OJP20" s="222"/>
      <c r="OJQ20" s="222"/>
      <c r="OJR20" s="222"/>
      <c r="OJS20" s="222"/>
      <c r="OJT20" s="222"/>
      <c r="OJU20" s="222"/>
      <c r="OJV20" s="222"/>
      <c r="OJW20" s="222"/>
      <c r="OJX20" s="222"/>
      <c r="OJY20" s="222"/>
      <c r="OJZ20" s="222"/>
      <c r="OKA20" s="222"/>
      <c r="OKB20" s="222"/>
      <c r="OKC20" s="222"/>
      <c r="OKD20" s="222"/>
      <c r="OKE20" s="222"/>
      <c r="OKF20" s="222"/>
      <c r="OKG20" s="222"/>
      <c r="OKH20" s="222"/>
      <c r="OKI20" s="222"/>
      <c r="OKJ20" s="222"/>
      <c r="OKK20" s="222"/>
      <c r="OKL20" s="222"/>
      <c r="OKM20" s="222"/>
      <c r="OKN20" s="222"/>
      <c r="OKO20" s="222"/>
      <c r="OKP20" s="222"/>
      <c r="OKQ20" s="222"/>
      <c r="OKR20" s="222"/>
      <c r="OKS20" s="222"/>
      <c r="OKT20" s="222"/>
      <c r="OKU20" s="222"/>
      <c r="OKV20" s="222"/>
      <c r="OKW20" s="222"/>
      <c r="OKX20" s="222"/>
      <c r="OKY20" s="222"/>
      <c r="OKZ20" s="222"/>
      <c r="OLA20" s="222"/>
      <c r="OLB20" s="222"/>
      <c r="OLC20" s="222"/>
      <c r="OLD20" s="222"/>
      <c r="OLE20" s="222"/>
      <c r="OLF20" s="222"/>
      <c r="OLG20" s="222"/>
      <c r="OLH20" s="222"/>
      <c r="OLI20" s="222"/>
      <c r="OLJ20" s="222"/>
      <c r="OLK20" s="222"/>
      <c r="OLL20" s="222"/>
      <c r="OLM20" s="222"/>
      <c r="OLN20" s="222"/>
      <c r="OLO20" s="222"/>
      <c r="OLP20" s="222"/>
      <c r="OLQ20" s="222"/>
      <c r="OLR20" s="222"/>
      <c r="OLS20" s="222"/>
      <c r="OLT20" s="222"/>
      <c r="OLU20" s="222"/>
      <c r="OLV20" s="222"/>
      <c r="OLW20" s="222"/>
      <c r="OLX20" s="222"/>
      <c r="OLY20" s="222"/>
      <c r="OLZ20" s="222"/>
      <c r="OMA20" s="222"/>
      <c r="OMB20" s="222"/>
      <c r="OMC20" s="222"/>
      <c r="OMD20" s="222"/>
      <c r="OME20" s="222"/>
      <c r="OMF20" s="222"/>
      <c r="OMG20" s="222"/>
      <c r="OMH20" s="222"/>
      <c r="OMI20" s="222"/>
      <c r="OMJ20" s="222"/>
      <c r="OMK20" s="222"/>
      <c r="OML20" s="222"/>
      <c r="OMM20" s="222"/>
      <c r="OMN20" s="222"/>
      <c r="OMO20" s="222"/>
      <c r="OMP20" s="222"/>
      <c r="OMQ20" s="222"/>
      <c r="OMR20" s="222"/>
      <c r="OMS20" s="222"/>
      <c r="OMT20" s="222"/>
      <c r="OMU20" s="222"/>
      <c r="OMV20" s="222"/>
      <c r="OMW20" s="222"/>
      <c r="OMX20" s="222"/>
      <c r="OMY20" s="222"/>
      <c r="OMZ20" s="222"/>
      <c r="ONA20" s="222"/>
      <c r="ONB20" s="222"/>
      <c r="ONC20" s="222"/>
      <c r="OND20" s="222"/>
      <c r="ONE20" s="222"/>
      <c r="ONF20" s="222"/>
      <c r="ONG20" s="222"/>
      <c r="ONH20" s="222"/>
      <c r="ONI20" s="222"/>
      <c r="ONJ20" s="222"/>
      <c r="ONK20" s="222"/>
      <c r="ONL20" s="222"/>
      <c r="ONM20" s="222"/>
      <c r="ONN20" s="222"/>
      <c r="ONO20" s="222"/>
      <c r="ONP20" s="222"/>
      <c r="ONQ20" s="222"/>
      <c r="ONR20" s="222"/>
      <c r="ONS20" s="222"/>
      <c r="ONT20" s="222"/>
      <c r="ONU20" s="222"/>
      <c r="ONV20" s="222"/>
      <c r="ONW20" s="222"/>
      <c r="ONX20" s="222"/>
      <c r="ONY20" s="222"/>
      <c r="ONZ20" s="222"/>
      <c r="OOA20" s="222"/>
      <c r="OOB20" s="222"/>
      <c r="OOC20" s="222"/>
      <c r="OOD20" s="222"/>
      <c r="OOE20" s="222"/>
      <c r="OOF20" s="222"/>
      <c r="OOG20" s="222"/>
      <c r="OOH20" s="222"/>
      <c r="OOI20" s="222"/>
      <c r="OOJ20" s="222"/>
      <c r="OOK20" s="222"/>
      <c r="OOL20" s="222"/>
      <c r="OOM20" s="222"/>
      <c r="OON20" s="222"/>
      <c r="OOO20" s="222"/>
      <c r="OOP20" s="222"/>
      <c r="OOQ20" s="222"/>
      <c r="OOR20" s="222"/>
      <c r="OOS20" s="222"/>
      <c r="OOT20" s="222"/>
      <c r="OOU20" s="222"/>
      <c r="OOV20" s="222"/>
      <c r="OOW20" s="222"/>
      <c r="OOX20" s="222"/>
      <c r="OOY20" s="222"/>
      <c r="OOZ20" s="222"/>
      <c r="OPA20" s="222"/>
      <c r="OPB20" s="222"/>
      <c r="OPC20" s="222"/>
      <c r="OPD20" s="222"/>
      <c r="OPE20" s="222"/>
      <c r="OPF20" s="222"/>
      <c r="OPG20" s="222"/>
      <c r="OPH20" s="222"/>
      <c r="OPI20" s="222"/>
      <c r="OPJ20" s="222"/>
      <c r="OPK20" s="222"/>
      <c r="OPL20" s="222"/>
      <c r="OPM20" s="222"/>
      <c r="OPN20" s="222"/>
      <c r="OPO20" s="222"/>
      <c r="OPP20" s="222"/>
      <c r="OPQ20" s="222"/>
      <c r="OPR20" s="222"/>
      <c r="OPS20" s="222"/>
      <c r="OPT20" s="222"/>
      <c r="OPU20" s="222"/>
      <c r="OPV20" s="222"/>
      <c r="OPW20" s="222"/>
      <c r="OPX20" s="222"/>
      <c r="OPY20" s="222"/>
      <c r="OPZ20" s="222"/>
      <c r="OQA20" s="222"/>
      <c r="OQB20" s="222"/>
      <c r="OQC20" s="222"/>
      <c r="OQD20" s="222"/>
      <c r="OQE20" s="222"/>
      <c r="OQF20" s="222"/>
      <c r="OQG20" s="222"/>
      <c r="OQH20" s="222"/>
      <c r="OQI20" s="222"/>
      <c r="OQJ20" s="222"/>
      <c r="OQK20" s="222"/>
      <c r="OQL20" s="222"/>
      <c r="OQM20" s="222"/>
      <c r="OQN20" s="222"/>
      <c r="OQO20" s="222"/>
      <c r="OQP20" s="222"/>
      <c r="OQQ20" s="222"/>
      <c r="OQR20" s="222"/>
      <c r="OQS20" s="222"/>
      <c r="OQT20" s="222"/>
      <c r="OQU20" s="222"/>
      <c r="OQV20" s="222"/>
      <c r="OQW20" s="222"/>
      <c r="OQX20" s="222"/>
      <c r="OQY20" s="222"/>
      <c r="OQZ20" s="222"/>
      <c r="ORA20" s="222"/>
      <c r="ORB20" s="222"/>
      <c r="ORC20" s="222"/>
      <c r="ORD20" s="222"/>
      <c r="ORE20" s="222"/>
      <c r="ORF20" s="222"/>
      <c r="ORG20" s="222"/>
      <c r="ORH20" s="222"/>
      <c r="ORI20" s="222"/>
      <c r="ORJ20" s="222"/>
      <c r="ORK20" s="222"/>
      <c r="ORL20" s="222"/>
      <c r="ORM20" s="222"/>
      <c r="ORN20" s="222"/>
      <c r="ORO20" s="222"/>
      <c r="ORP20" s="222"/>
      <c r="ORQ20" s="222"/>
      <c r="ORR20" s="222"/>
      <c r="ORS20" s="222"/>
      <c r="ORT20" s="222"/>
      <c r="ORU20" s="222"/>
      <c r="ORV20" s="222"/>
      <c r="ORW20" s="222"/>
      <c r="ORX20" s="222"/>
      <c r="ORY20" s="222"/>
      <c r="ORZ20" s="222"/>
      <c r="OSA20" s="222"/>
      <c r="OSB20" s="222"/>
      <c r="OSC20" s="222"/>
      <c r="OSD20" s="222"/>
      <c r="OSE20" s="222"/>
      <c r="OSF20" s="222"/>
      <c r="OSG20" s="222"/>
      <c r="OSH20" s="222"/>
      <c r="OSI20" s="222"/>
      <c r="OSJ20" s="222"/>
      <c r="OSK20" s="222"/>
      <c r="OSL20" s="222"/>
      <c r="OSM20" s="222"/>
      <c r="OSN20" s="222"/>
      <c r="OSO20" s="222"/>
      <c r="OSP20" s="222"/>
      <c r="OSQ20" s="222"/>
      <c r="OSR20" s="222"/>
      <c r="OSS20" s="222"/>
      <c r="OST20" s="222"/>
      <c r="OSU20" s="222"/>
      <c r="OSV20" s="222"/>
      <c r="OSW20" s="222"/>
      <c r="OSX20" s="222"/>
      <c r="OSY20" s="222"/>
      <c r="OSZ20" s="222"/>
      <c r="OTA20" s="222"/>
      <c r="OTB20" s="222"/>
      <c r="OTC20" s="222"/>
      <c r="OTD20" s="222"/>
      <c r="OTE20" s="222"/>
      <c r="OTF20" s="222"/>
      <c r="OTG20" s="222"/>
      <c r="OTH20" s="222"/>
      <c r="OTI20" s="222"/>
      <c r="OTJ20" s="222"/>
      <c r="OTK20" s="222"/>
      <c r="OTL20" s="222"/>
      <c r="OTM20" s="222"/>
      <c r="OTN20" s="222"/>
      <c r="OTO20" s="222"/>
      <c r="OTP20" s="222"/>
      <c r="OTQ20" s="222"/>
      <c r="OTR20" s="222"/>
      <c r="OTS20" s="222"/>
      <c r="OTT20" s="222"/>
      <c r="OTU20" s="222"/>
      <c r="OTV20" s="222"/>
      <c r="OTW20" s="222"/>
      <c r="OTX20" s="222"/>
      <c r="OTY20" s="222"/>
      <c r="OTZ20" s="222"/>
      <c r="OUA20" s="222"/>
      <c r="OUB20" s="222"/>
      <c r="OUC20" s="222"/>
      <c r="OUD20" s="222"/>
      <c r="OUE20" s="222"/>
      <c r="OUF20" s="222"/>
      <c r="OUG20" s="222"/>
      <c r="OUH20" s="222"/>
      <c r="OUI20" s="222"/>
      <c r="OUJ20" s="222"/>
      <c r="OUK20" s="222"/>
      <c r="OUL20" s="222"/>
      <c r="OUM20" s="222"/>
      <c r="OUN20" s="222"/>
      <c r="OUO20" s="222"/>
      <c r="OUP20" s="222"/>
      <c r="OUQ20" s="222"/>
      <c r="OUR20" s="222"/>
      <c r="OUS20" s="222"/>
      <c r="OUT20" s="222"/>
      <c r="OUU20" s="222"/>
      <c r="OUV20" s="222"/>
      <c r="OUW20" s="222"/>
      <c r="OUX20" s="222"/>
      <c r="OUY20" s="222"/>
      <c r="OUZ20" s="222"/>
      <c r="OVA20" s="222"/>
      <c r="OVB20" s="222"/>
      <c r="OVC20" s="222"/>
      <c r="OVD20" s="222"/>
      <c r="OVE20" s="222"/>
      <c r="OVF20" s="222"/>
      <c r="OVG20" s="222"/>
      <c r="OVH20" s="222"/>
      <c r="OVI20" s="222"/>
      <c r="OVJ20" s="222"/>
      <c r="OVK20" s="222"/>
      <c r="OVL20" s="222"/>
      <c r="OVM20" s="222"/>
      <c r="OVN20" s="222"/>
      <c r="OVO20" s="222"/>
      <c r="OVP20" s="222"/>
      <c r="OVQ20" s="222"/>
      <c r="OVR20" s="222"/>
      <c r="OVS20" s="222"/>
      <c r="OVT20" s="222"/>
      <c r="OVU20" s="222"/>
      <c r="OVV20" s="222"/>
      <c r="OVW20" s="222"/>
      <c r="OVX20" s="222"/>
      <c r="OVY20" s="222"/>
      <c r="OVZ20" s="222"/>
      <c r="OWA20" s="222"/>
      <c r="OWB20" s="222"/>
      <c r="OWC20" s="222"/>
      <c r="OWD20" s="222"/>
      <c r="OWE20" s="222"/>
      <c r="OWF20" s="222"/>
      <c r="OWG20" s="222"/>
      <c r="OWH20" s="222"/>
      <c r="OWI20" s="222"/>
      <c r="OWJ20" s="222"/>
      <c r="OWK20" s="222"/>
      <c r="OWL20" s="222"/>
      <c r="OWM20" s="222"/>
      <c r="OWN20" s="222"/>
      <c r="OWO20" s="222"/>
      <c r="OWP20" s="222"/>
      <c r="OWQ20" s="222"/>
      <c r="OWR20" s="222"/>
      <c r="OWS20" s="222"/>
      <c r="OWT20" s="222"/>
      <c r="OWU20" s="222"/>
      <c r="OWV20" s="222"/>
      <c r="OWW20" s="222"/>
      <c r="OWX20" s="222"/>
      <c r="OWY20" s="222"/>
      <c r="OWZ20" s="222"/>
      <c r="OXA20" s="222"/>
      <c r="OXB20" s="222"/>
      <c r="OXC20" s="222"/>
      <c r="OXD20" s="222"/>
      <c r="OXE20" s="222"/>
      <c r="OXF20" s="222"/>
      <c r="OXG20" s="222"/>
      <c r="OXH20" s="222"/>
      <c r="OXI20" s="222"/>
      <c r="OXJ20" s="222"/>
      <c r="OXK20" s="222"/>
      <c r="OXL20" s="222"/>
      <c r="OXM20" s="222"/>
      <c r="OXN20" s="222"/>
      <c r="OXO20" s="222"/>
      <c r="OXP20" s="222"/>
      <c r="OXQ20" s="222"/>
      <c r="OXR20" s="222"/>
      <c r="OXS20" s="222"/>
      <c r="OXT20" s="222"/>
      <c r="OXU20" s="222"/>
      <c r="OXV20" s="222"/>
      <c r="OXW20" s="222"/>
      <c r="OXX20" s="222"/>
      <c r="OXY20" s="222"/>
      <c r="OXZ20" s="222"/>
      <c r="OYA20" s="222"/>
      <c r="OYB20" s="222"/>
      <c r="OYC20" s="222"/>
      <c r="OYD20" s="222"/>
      <c r="OYE20" s="222"/>
      <c r="OYF20" s="222"/>
      <c r="OYG20" s="222"/>
      <c r="OYH20" s="222"/>
      <c r="OYI20" s="222"/>
      <c r="OYJ20" s="222"/>
      <c r="OYK20" s="222"/>
      <c r="OYL20" s="222"/>
      <c r="OYM20" s="222"/>
      <c r="OYN20" s="222"/>
      <c r="OYO20" s="222"/>
      <c r="OYP20" s="222"/>
      <c r="OYQ20" s="222"/>
      <c r="OYR20" s="222"/>
      <c r="OYS20" s="222"/>
      <c r="OYT20" s="222"/>
      <c r="OYU20" s="222"/>
      <c r="OYV20" s="222"/>
      <c r="OYW20" s="222"/>
      <c r="OYX20" s="222"/>
      <c r="OYY20" s="222"/>
      <c r="OYZ20" s="222"/>
      <c r="OZA20" s="222"/>
      <c r="OZB20" s="222"/>
      <c r="OZC20" s="222"/>
      <c r="OZD20" s="222"/>
      <c r="OZE20" s="222"/>
      <c r="OZF20" s="222"/>
      <c r="OZG20" s="222"/>
      <c r="OZH20" s="222"/>
      <c r="OZI20" s="222"/>
      <c r="OZJ20" s="222"/>
      <c r="OZK20" s="222"/>
      <c r="OZL20" s="222"/>
      <c r="OZM20" s="222"/>
      <c r="OZN20" s="222"/>
      <c r="OZO20" s="222"/>
      <c r="OZP20" s="222"/>
      <c r="OZQ20" s="222"/>
      <c r="OZR20" s="222"/>
      <c r="OZS20" s="222"/>
      <c r="OZT20" s="222"/>
      <c r="OZU20" s="222"/>
      <c r="OZV20" s="222"/>
      <c r="OZW20" s="222"/>
      <c r="OZX20" s="222"/>
      <c r="OZY20" s="222"/>
      <c r="OZZ20" s="222"/>
      <c r="PAA20" s="222"/>
      <c r="PAB20" s="222"/>
      <c r="PAC20" s="222"/>
      <c r="PAD20" s="222"/>
      <c r="PAE20" s="222"/>
      <c r="PAF20" s="222"/>
      <c r="PAG20" s="222"/>
      <c r="PAH20" s="222"/>
      <c r="PAI20" s="222"/>
      <c r="PAJ20" s="222"/>
      <c r="PAK20" s="222"/>
      <c r="PAL20" s="222"/>
      <c r="PAM20" s="222"/>
      <c r="PAN20" s="222"/>
      <c r="PAO20" s="222"/>
      <c r="PAP20" s="222"/>
      <c r="PAQ20" s="222"/>
      <c r="PAR20" s="222"/>
      <c r="PAS20" s="222"/>
      <c r="PAT20" s="222"/>
      <c r="PAU20" s="222"/>
      <c r="PAV20" s="222"/>
      <c r="PAW20" s="222"/>
      <c r="PAX20" s="222"/>
      <c r="PAY20" s="222"/>
      <c r="PAZ20" s="222"/>
      <c r="PBA20" s="222"/>
      <c r="PBB20" s="222"/>
      <c r="PBC20" s="222"/>
      <c r="PBD20" s="222"/>
      <c r="PBE20" s="222"/>
      <c r="PBF20" s="222"/>
      <c r="PBG20" s="222"/>
      <c r="PBH20" s="222"/>
      <c r="PBI20" s="222"/>
      <c r="PBJ20" s="222"/>
      <c r="PBK20" s="222"/>
      <c r="PBL20" s="222"/>
      <c r="PBM20" s="222"/>
      <c r="PBN20" s="222"/>
      <c r="PBO20" s="222"/>
      <c r="PBP20" s="222"/>
      <c r="PBQ20" s="222"/>
      <c r="PBR20" s="222"/>
      <c r="PBS20" s="222"/>
      <c r="PBT20" s="222"/>
      <c r="PBU20" s="222"/>
      <c r="PBV20" s="222"/>
      <c r="PBW20" s="222"/>
      <c r="PBX20" s="222"/>
      <c r="PBY20" s="222"/>
      <c r="PBZ20" s="222"/>
      <c r="PCA20" s="222"/>
      <c r="PCB20" s="222"/>
      <c r="PCC20" s="222"/>
      <c r="PCD20" s="222"/>
      <c r="PCE20" s="222"/>
      <c r="PCF20" s="222"/>
      <c r="PCG20" s="222"/>
      <c r="PCH20" s="222"/>
      <c r="PCI20" s="222"/>
      <c r="PCJ20" s="222"/>
      <c r="PCK20" s="222"/>
      <c r="PCL20" s="222"/>
      <c r="PCM20" s="222"/>
      <c r="PCN20" s="222"/>
      <c r="PCO20" s="222"/>
      <c r="PCP20" s="222"/>
      <c r="PCQ20" s="222"/>
      <c r="PCR20" s="222"/>
      <c r="PCS20" s="222"/>
      <c r="PCT20" s="222"/>
      <c r="PCU20" s="222"/>
      <c r="PCV20" s="222"/>
      <c r="PCW20" s="222"/>
      <c r="PCX20" s="222"/>
      <c r="PCY20" s="222"/>
      <c r="PCZ20" s="222"/>
      <c r="PDA20" s="222"/>
      <c r="PDB20" s="222"/>
      <c r="PDC20" s="222"/>
      <c r="PDD20" s="222"/>
      <c r="PDE20" s="222"/>
      <c r="PDF20" s="222"/>
      <c r="PDG20" s="222"/>
      <c r="PDH20" s="222"/>
      <c r="PDI20" s="222"/>
      <c r="PDJ20" s="222"/>
      <c r="PDK20" s="222"/>
      <c r="PDL20" s="222"/>
      <c r="PDM20" s="222"/>
      <c r="PDN20" s="222"/>
      <c r="PDO20" s="222"/>
      <c r="PDP20" s="222"/>
      <c r="PDQ20" s="222"/>
      <c r="PDR20" s="222"/>
      <c r="PDS20" s="222"/>
      <c r="PDT20" s="222"/>
      <c r="PDU20" s="222"/>
      <c r="PDV20" s="222"/>
      <c r="PDW20" s="222"/>
      <c r="PDX20" s="222"/>
      <c r="PDY20" s="222"/>
      <c r="PDZ20" s="222"/>
      <c r="PEA20" s="222"/>
      <c r="PEB20" s="222"/>
      <c r="PEC20" s="222"/>
      <c r="PED20" s="222"/>
      <c r="PEE20" s="222"/>
      <c r="PEF20" s="222"/>
      <c r="PEG20" s="222"/>
      <c r="PEH20" s="222"/>
      <c r="PEI20" s="222"/>
      <c r="PEJ20" s="222"/>
      <c r="PEK20" s="222"/>
      <c r="PEL20" s="222"/>
      <c r="PEM20" s="222"/>
      <c r="PEN20" s="222"/>
      <c r="PEO20" s="222"/>
      <c r="PEP20" s="222"/>
      <c r="PEQ20" s="222"/>
      <c r="PER20" s="222"/>
      <c r="PES20" s="222"/>
      <c r="PET20" s="222"/>
      <c r="PEU20" s="222"/>
      <c r="PEV20" s="222"/>
      <c r="PEW20" s="222"/>
      <c r="PEX20" s="222"/>
      <c r="PEY20" s="222"/>
      <c r="PEZ20" s="222"/>
      <c r="PFA20" s="222"/>
      <c r="PFB20" s="222"/>
      <c r="PFC20" s="222"/>
      <c r="PFD20" s="222"/>
      <c r="PFE20" s="222"/>
      <c r="PFF20" s="222"/>
      <c r="PFG20" s="222"/>
      <c r="PFH20" s="222"/>
      <c r="PFI20" s="222"/>
      <c r="PFJ20" s="222"/>
      <c r="PFK20" s="222"/>
      <c r="PFL20" s="222"/>
      <c r="PFM20" s="222"/>
      <c r="PFN20" s="222"/>
      <c r="PFO20" s="222"/>
      <c r="PFP20" s="222"/>
      <c r="PFQ20" s="222"/>
      <c r="PFR20" s="222"/>
      <c r="PFS20" s="222"/>
      <c r="PFT20" s="222"/>
      <c r="PFU20" s="222"/>
      <c r="PFV20" s="222"/>
      <c r="PFW20" s="222"/>
      <c r="PFX20" s="222"/>
      <c r="PFY20" s="222"/>
      <c r="PFZ20" s="222"/>
      <c r="PGA20" s="222"/>
      <c r="PGB20" s="222"/>
      <c r="PGC20" s="222"/>
      <c r="PGD20" s="222"/>
      <c r="PGE20" s="222"/>
      <c r="PGF20" s="222"/>
      <c r="PGG20" s="222"/>
      <c r="PGH20" s="222"/>
      <c r="PGI20" s="222"/>
      <c r="PGJ20" s="222"/>
      <c r="PGK20" s="222"/>
      <c r="PGL20" s="222"/>
      <c r="PGM20" s="222"/>
      <c r="PGN20" s="222"/>
      <c r="PGO20" s="222"/>
      <c r="PGP20" s="222"/>
      <c r="PGQ20" s="222"/>
      <c r="PGR20" s="222"/>
      <c r="PGS20" s="222"/>
      <c r="PGT20" s="222"/>
      <c r="PGU20" s="222"/>
      <c r="PGV20" s="222"/>
      <c r="PGW20" s="222"/>
      <c r="PGX20" s="222"/>
      <c r="PGY20" s="222"/>
      <c r="PGZ20" s="222"/>
      <c r="PHA20" s="222"/>
      <c r="PHB20" s="222"/>
      <c r="PHC20" s="222"/>
      <c r="PHD20" s="222"/>
      <c r="PHE20" s="222"/>
      <c r="PHF20" s="222"/>
      <c r="PHG20" s="222"/>
      <c r="PHH20" s="222"/>
      <c r="PHI20" s="222"/>
      <c r="PHJ20" s="222"/>
      <c r="PHK20" s="222"/>
      <c r="PHL20" s="222"/>
      <c r="PHM20" s="222"/>
      <c r="PHN20" s="222"/>
      <c r="PHO20" s="222"/>
      <c r="PHP20" s="222"/>
      <c r="PHQ20" s="222"/>
      <c r="PHR20" s="222"/>
      <c r="PHS20" s="222"/>
      <c r="PHT20" s="222"/>
      <c r="PHU20" s="222"/>
      <c r="PHV20" s="222"/>
      <c r="PHW20" s="222"/>
      <c r="PHX20" s="222"/>
      <c r="PHY20" s="222"/>
      <c r="PHZ20" s="222"/>
      <c r="PIA20" s="222"/>
      <c r="PIB20" s="222"/>
      <c r="PIC20" s="222"/>
      <c r="PID20" s="222"/>
      <c r="PIE20" s="222"/>
      <c r="PIF20" s="222"/>
      <c r="PIG20" s="222"/>
      <c r="PIH20" s="222"/>
      <c r="PII20" s="222"/>
      <c r="PIJ20" s="222"/>
      <c r="PIK20" s="222"/>
      <c r="PIL20" s="222"/>
      <c r="PIM20" s="222"/>
      <c r="PIN20" s="222"/>
      <c r="PIO20" s="222"/>
      <c r="PIP20" s="222"/>
      <c r="PIQ20" s="222"/>
      <c r="PIR20" s="222"/>
      <c r="PIS20" s="222"/>
      <c r="PIT20" s="222"/>
      <c r="PIU20" s="222"/>
      <c r="PIV20" s="222"/>
      <c r="PIW20" s="222"/>
      <c r="PIX20" s="222"/>
      <c r="PIY20" s="222"/>
      <c r="PIZ20" s="222"/>
      <c r="PJA20" s="222"/>
      <c r="PJB20" s="222"/>
      <c r="PJC20" s="222"/>
      <c r="PJD20" s="222"/>
      <c r="PJE20" s="222"/>
      <c r="PJF20" s="222"/>
      <c r="PJG20" s="222"/>
      <c r="PJH20" s="222"/>
      <c r="PJI20" s="222"/>
      <c r="PJJ20" s="222"/>
      <c r="PJK20" s="222"/>
      <c r="PJL20" s="222"/>
      <c r="PJM20" s="222"/>
      <c r="PJN20" s="222"/>
      <c r="PJO20" s="222"/>
      <c r="PJP20" s="222"/>
      <c r="PJQ20" s="222"/>
      <c r="PJR20" s="222"/>
      <c r="PJS20" s="222"/>
      <c r="PJT20" s="222"/>
      <c r="PJU20" s="222"/>
      <c r="PJV20" s="222"/>
      <c r="PJW20" s="222"/>
      <c r="PJX20" s="222"/>
      <c r="PJY20" s="222"/>
      <c r="PJZ20" s="222"/>
      <c r="PKA20" s="222"/>
      <c r="PKB20" s="222"/>
      <c r="PKC20" s="222"/>
      <c r="PKD20" s="222"/>
      <c r="PKE20" s="222"/>
      <c r="PKF20" s="222"/>
      <c r="PKG20" s="222"/>
      <c r="PKH20" s="222"/>
      <c r="PKI20" s="222"/>
      <c r="PKJ20" s="222"/>
      <c r="PKK20" s="222"/>
      <c r="PKL20" s="222"/>
      <c r="PKM20" s="222"/>
      <c r="PKN20" s="222"/>
      <c r="PKO20" s="222"/>
      <c r="PKP20" s="222"/>
      <c r="PKQ20" s="222"/>
      <c r="PKR20" s="222"/>
      <c r="PKS20" s="222"/>
      <c r="PKT20" s="222"/>
      <c r="PKU20" s="222"/>
      <c r="PKV20" s="222"/>
      <c r="PKW20" s="222"/>
      <c r="PKX20" s="222"/>
      <c r="PKY20" s="222"/>
      <c r="PKZ20" s="222"/>
      <c r="PLA20" s="222"/>
      <c r="PLB20" s="222"/>
      <c r="PLC20" s="222"/>
      <c r="PLD20" s="222"/>
      <c r="PLE20" s="222"/>
      <c r="PLF20" s="222"/>
      <c r="PLG20" s="222"/>
      <c r="PLH20" s="222"/>
      <c r="PLI20" s="222"/>
      <c r="PLJ20" s="222"/>
      <c r="PLK20" s="222"/>
      <c r="PLL20" s="222"/>
      <c r="PLM20" s="222"/>
      <c r="PLN20" s="222"/>
      <c r="PLO20" s="222"/>
      <c r="PLP20" s="222"/>
      <c r="PLQ20" s="222"/>
      <c r="PLR20" s="222"/>
      <c r="PLS20" s="222"/>
      <c r="PLT20" s="222"/>
      <c r="PLU20" s="222"/>
      <c r="PLV20" s="222"/>
      <c r="PLW20" s="222"/>
      <c r="PLX20" s="222"/>
      <c r="PLY20" s="222"/>
      <c r="PLZ20" s="222"/>
      <c r="PMA20" s="222"/>
      <c r="PMB20" s="222"/>
      <c r="PMC20" s="222"/>
      <c r="PMD20" s="222"/>
      <c r="PME20" s="222"/>
      <c r="PMF20" s="222"/>
      <c r="PMG20" s="222"/>
      <c r="PMH20" s="222"/>
      <c r="PMI20" s="222"/>
      <c r="PMJ20" s="222"/>
      <c r="PMK20" s="222"/>
      <c r="PML20" s="222"/>
      <c r="PMM20" s="222"/>
      <c r="PMN20" s="222"/>
      <c r="PMO20" s="222"/>
      <c r="PMP20" s="222"/>
      <c r="PMQ20" s="222"/>
      <c r="PMR20" s="222"/>
      <c r="PMS20" s="222"/>
      <c r="PMT20" s="222"/>
      <c r="PMU20" s="222"/>
      <c r="PMV20" s="222"/>
      <c r="PMW20" s="222"/>
      <c r="PMX20" s="222"/>
      <c r="PMY20" s="222"/>
      <c r="PMZ20" s="222"/>
      <c r="PNA20" s="222"/>
      <c r="PNB20" s="222"/>
      <c r="PNC20" s="222"/>
      <c r="PND20" s="222"/>
      <c r="PNE20" s="222"/>
      <c r="PNF20" s="222"/>
      <c r="PNG20" s="222"/>
      <c r="PNH20" s="222"/>
      <c r="PNI20" s="222"/>
      <c r="PNJ20" s="222"/>
      <c r="PNK20" s="222"/>
      <c r="PNL20" s="222"/>
      <c r="PNM20" s="222"/>
      <c r="PNN20" s="222"/>
      <c r="PNO20" s="222"/>
      <c r="PNP20" s="222"/>
      <c r="PNQ20" s="222"/>
      <c r="PNR20" s="222"/>
      <c r="PNS20" s="222"/>
      <c r="PNT20" s="222"/>
      <c r="PNU20" s="222"/>
      <c r="PNV20" s="222"/>
      <c r="PNW20" s="222"/>
      <c r="PNX20" s="222"/>
      <c r="PNY20" s="222"/>
      <c r="PNZ20" s="222"/>
      <c r="POA20" s="222"/>
      <c r="POB20" s="222"/>
      <c r="POC20" s="222"/>
      <c r="POD20" s="222"/>
      <c r="POE20" s="222"/>
      <c r="POF20" s="222"/>
      <c r="POG20" s="222"/>
      <c r="POH20" s="222"/>
      <c r="POI20" s="222"/>
      <c r="POJ20" s="222"/>
      <c r="POK20" s="222"/>
      <c r="POL20" s="222"/>
      <c r="POM20" s="222"/>
      <c r="PON20" s="222"/>
      <c r="POO20" s="222"/>
      <c r="POP20" s="222"/>
      <c r="POQ20" s="222"/>
      <c r="POR20" s="222"/>
      <c r="POS20" s="222"/>
      <c r="POT20" s="222"/>
      <c r="POU20" s="222"/>
      <c r="POV20" s="222"/>
      <c r="POW20" s="222"/>
      <c r="POX20" s="222"/>
      <c r="POY20" s="222"/>
      <c r="POZ20" s="222"/>
      <c r="PPA20" s="222"/>
      <c r="PPB20" s="222"/>
      <c r="PPC20" s="222"/>
      <c r="PPD20" s="222"/>
      <c r="PPE20" s="222"/>
      <c r="PPF20" s="222"/>
      <c r="PPG20" s="222"/>
      <c r="PPH20" s="222"/>
      <c r="PPI20" s="222"/>
      <c r="PPJ20" s="222"/>
      <c r="PPK20" s="222"/>
      <c r="PPL20" s="222"/>
      <c r="PPM20" s="222"/>
      <c r="PPN20" s="222"/>
      <c r="PPO20" s="222"/>
      <c r="PPP20" s="222"/>
      <c r="PPQ20" s="222"/>
      <c r="PPR20" s="222"/>
      <c r="PPS20" s="222"/>
      <c r="PPT20" s="222"/>
      <c r="PPU20" s="222"/>
      <c r="PPV20" s="222"/>
      <c r="PPW20" s="222"/>
      <c r="PPX20" s="222"/>
      <c r="PPY20" s="222"/>
      <c r="PPZ20" s="222"/>
      <c r="PQA20" s="222"/>
      <c r="PQB20" s="222"/>
      <c r="PQC20" s="222"/>
      <c r="PQD20" s="222"/>
      <c r="PQE20" s="222"/>
      <c r="PQF20" s="222"/>
      <c r="PQG20" s="222"/>
      <c r="PQH20" s="222"/>
      <c r="PQI20" s="222"/>
      <c r="PQJ20" s="222"/>
      <c r="PQK20" s="222"/>
      <c r="PQL20" s="222"/>
      <c r="PQM20" s="222"/>
      <c r="PQN20" s="222"/>
      <c r="PQO20" s="222"/>
      <c r="PQP20" s="222"/>
      <c r="PQQ20" s="222"/>
      <c r="PQR20" s="222"/>
      <c r="PQS20" s="222"/>
      <c r="PQT20" s="222"/>
      <c r="PQU20" s="222"/>
      <c r="PQV20" s="222"/>
      <c r="PQW20" s="222"/>
      <c r="PQX20" s="222"/>
      <c r="PQY20" s="222"/>
      <c r="PQZ20" s="222"/>
      <c r="PRA20" s="222"/>
      <c r="PRB20" s="222"/>
      <c r="PRC20" s="222"/>
      <c r="PRD20" s="222"/>
      <c r="PRE20" s="222"/>
      <c r="PRF20" s="222"/>
      <c r="PRG20" s="222"/>
      <c r="PRH20" s="222"/>
      <c r="PRI20" s="222"/>
      <c r="PRJ20" s="222"/>
      <c r="PRK20" s="222"/>
      <c r="PRL20" s="222"/>
      <c r="PRM20" s="222"/>
      <c r="PRN20" s="222"/>
      <c r="PRO20" s="222"/>
      <c r="PRP20" s="222"/>
      <c r="PRQ20" s="222"/>
      <c r="PRR20" s="222"/>
      <c r="PRS20" s="222"/>
      <c r="PRT20" s="222"/>
      <c r="PRU20" s="222"/>
      <c r="PRV20" s="222"/>
      <c r="PRW20" s="222"/>
      <c r="PRX20" s="222"/>
      <c r="PRY20" s="222"/>
      <c r="PRZ20" s="222"/>
      <c r="PSA20" s="222"/>
      <c r="PSB20" s="222"/>
      <c r="PSC20" s="222"/>
      <c r="PSD20" s="222"/>
      <c r="PSE20" s="222"/>
      <c r="PSF20" s="222"/>
      <c r="PSG20" s="222"/>
      <c r="PSH20" s="222"/>
      <c r="PSI20" s="222"/>
      <c r="PSJ20" s="222"/>
      <c r="PSK20" s="222"/>
      <c r="PSL20" s="222"/>
      <c r="PSM20" s="222"/>
      <c r="PSN20" s="222"/>
      <c r="PSO20" s="222"/>
      <c r="PSP20" s="222"/>
      <c r="PSQ20" s="222"/>
      <c r="PSR20" s="222"/>
      <c r="PSS20" s="222"/>
      <c r="PST20" s="222"/>
      <c r="PSU20" s="222"/>
      <c r="PSV20" s="222"/>
      <c r="PSW20" s="222"/>
      <c r="PSX20" s="222"/>
      <c r="PSY20" s="222"/>
      <c r="PSZ20" s="222"/>
      <c r="PTA20" s="222"/>
      <c r="PTB20" s="222"/>
      <c r="PTC20" s="222"/>
      <c r="PTD20" s="222"/>
      <c r="PTE20" s="222"/>
      <c r="PTF20" s="222"/>
      <c r="PTG20" s="222"/>
      <c r="PTH20" s="222"/>
      <c r="PTI20" s="222"/>
      <c r="PTJ20" s="222"/>
      <c r="PTK20" s="222"/>
      <c r="PTL20" s="222"/>
      <c r="PTM20" s="222"/>
      <c r="PTN20" s="222"/>
      <c r="PTO20" s="222"/>
      <c r="PTP20" s="222"/>
      <c r="PTQ20" s="222"/>
      <c r="PTR20" s="222"/>
      <c r="PTS20" s="222"/>
      <c r="PTT20" s="222"/>
      <c r="PTU20" s="222"/>
      <c r="PTV20" s="222"/>
      <c r="PTW20" s="222"/>
      <c r="PTX20" s="222"/>
      <c r="PTY20" s="222"/>
      <c r="PTZ20" s="222"/>
      <c r="PUA20" s="222"/>
      <c r="PUB20" s="222"/>
      <c r="PUC20" s="222"/>
      <c r="PUD20" s="222"/>
      <c r="PUE20" s="222"/>
      <c r="PUF20" s="222"/>
      <c r="PUG20" s="222"/>
      <c r="PUH20" s="222"/>
      <c r="PUI20" s="222"/>
      <c r="PUJ20" s="222"/>
      <c r="PUK20" s="222"/>
      <c r="PUL20" s="222"/>
      <c r="PUM20" s="222"/>
      <c r="PUN20" s="222"/>
      <c r="PUO20" s="222"/>
      <c r="PUP20" s="222"/>
      <c r="PUQ20" s="222"/>
      <c r="PUR20" s="222"/>
      <c r="PUS20" s="222"/>
      <c r="PUT20" s="222"/>
      <c r="PUU20" s="222"/>
      <c r="PUV20" s="222"/>
      <c r="PUW20" s="222"/>
      <c r="PUX20" s="222"/>
      <c r="PUY20" s="222"/>
      <c r="PUZ20" s="222"/>
      <c r="PVA20" s="222"/>
      <c r="PVB20" s="222"/>
      <c r="PVC20" s="222"/>
      <c r="PVD20" s="222"/>
      <c r="PVE20" s="222"/>
      <c r="PVF20" s="222"/>
      <c r="PVG20" s="222"/>
      <c r="PVH20" s="222"/>
      <c r="PVI20" s="222"/>
      <c r="PVJ20" s="222"/>
      <c r="PVK20" s="222"/>
      <c r="PVL20" s="222"/>
      <c r="PVM20" s="222"/>
      <c r="PVN20" s="222"/>
      <c r="PVO20" s="222"/>
      <c r="PVP20" s="222"/>
      <c r="PVQ20" s="222"/>
      <c r="PVR20" s="222"/>
      <c r="PVS20" s="222"/>
      <c r="PVT20" s="222"/>
      <c r="PVU20" s="222"/>
      <c r="PVV20" s="222"/>
      <c r="PVW20" s="222"/>
      <c r="PVX20" s="222"/>
      <c r="PVY20" s="222"/>
      <c r="PVZ20" s="222"/>
      <c r="PWA20" s="222"/>
      <c r="PWB20" s="222"/>
      <c r="PWC20" s="222"/>
      <c r="PWD20" s="222"/>
      <c r="PWE20" s="222"/>
      <c r="PWF20" s="222"/>
      <c r="PWG20" s="222"/>
      <c r="PWH20" s="222"/>
      <c r="PWI20" s="222"/>
      <c r="PWJ20" s="222"/>
      <c r="PWK20" s="222"/>
      <c r="PWL20" s="222"/>
      <c r="PWM20" s="222"/>
      <c r="PWN20" s="222"/>
      <c r="PWO20" s="222"/>
      <c r="PWP20" s="222"/>
      <c r="PWQ20" s="222"/>
      <c r="PWR20" s="222"/>
      <c r="PWS20" s="222"/>
      <c r="PWT20" s="222"/>
      <c r="PWU20" s="222"/>
      <c r="PWV20" s="222"/>
      <c r="PWW20" s="222"/>
      <c r="PWX20" s="222"/>
      <c r="PWY20" s="222"/>
      <c r="PWZ20" s="222"/>
      <c r="PXA20" s="222"/>
      <c r="PXB20" s="222"/>
      <c r="PXC20" s="222"/>
      <c r="PXD20" s="222"/>
      <c r="PXE20" s="222"/>
      <c r="PXF20" s="222"/>
      <c r="PXG20" s="222"/>
      <c r="PXH20" s="222"/>
      <c r="PXI20" s="222"/>
      <c r="PXJ20" s="222"/>
      <c r="PXK20" s="222"/>
      <c r="PXL20" s="222"/>
      <c r="PXM20" s="222"/>
      <c r="PXN20" s="222"/>
      <c r="PXO20" s="222"/>
      <c r="PXP20" s="222"/>
      <c r="PXQ20" s="222"/>
      <c r="PXR20" s="222"/>
      <c r="PXS20" s="222"/>
      <c r="PXT20" s="222"/>
      <c r="PXU20" s="222"/>
      <c r="PXV20" s="222"/>
      <c r="PXW20" s="222"/>
      <c r="PXX20" s="222"/>
      <c r="PXY20" s="222"/>
      <c r="PXZ20" s="222"/>
      <c r="PYA20" s="222"/>
      <c r="PYB20" s="222"/>
      <c r="PYC20" s="222"/>
      <c r="PYD20" s="222"/>
      <c r="PYE20" s="222"/>
      <c r="PYF20" s="222"/>
      <c r="PYG20" s="222"/>
      <c r="PYH20" s="222"/>
      <c r="PYI20" s="222"/>
      <c r="PYJ20" s="222"/>
      <c r="PYK20" s="222"/>
      <c r="PYL20" s="222"/>
      <c r="PYM20" s="222"/>
      <c r="PYN20" s="222"/>
      <c r="PYO20" s="222"/>
      <c r="PYP20" s="222"/>
      <c r="PYQ20" s="222"/>
      <c r="PYR20" s="222"/>
      <c r="PYS20" s="222"/>
      <c r="PYT20" s="222"/>
      <c r="PYU20" s="222"/>
      <c r="PYV20" s="222"/>
      <c r="PYW20" s="222"/>
      <c r="PYX20" s="222"/>
      <c r="PYY20" s="222"/>
      <c r="PYZ20" s="222"/>
      <c r="PZA20" s="222"/>
      <c r="PZB20" s="222"/>
      <c r="PZC20" s="222"/>
      <c r="PZD20" s="222"/>
      <c r="PZE20" s="222"/>
      <c r="PZF20" s="222"/>
      <c r="PZG20" s="222"/>
      <c r="PZH20" s="222"/>
      <c r="PZI20" s="222"/>
      <c r="PZJ20" s="222"/>
      <c r="PZK20" s="222"/>
      <c r="PZL20" s="222"/>
      <c r="PZM20" s="222"/>
      <c r="PZN20" s="222"/>
      <c r="PZO20" s="222"/>
      <c r="PZP20" s="222"/>
      <c r="PZQ20" s="222"/>
      <c r="PZR20" s="222"/>
      <c r="PZS20" s="222"/>
      <c r="PZT20" s="222"/>
      <c r="PZU20" s="222"/>
      <c r="PZV20" s="222"/>
      <c r="PZW20" s="222"/>
      <c r="PZX20" s="222"/>
      <c r="PZY20" s="222"/>
      <c r="PZZ20" s="222"/>
      <c r="QAA20" s="222"/>
      <c r="QAB20" s="222"/>
      <c r="QAC20" s="222"/>
      <c r="QAD20" s="222"/>
      <c r="QAE20" s="222"/>
      <c r="QAF20" s="222"/>
      <c r="QAG20" s="222"/>
      <c r="QAH20" s="222"/>
      <c r="QAI20" s="222"/>
      <c r="QAJ20" s="222"/>
      <c r="QAK20" s="222"/>
      <c r="QAL20" s="222"/>
      <c r="QAM20" s="222"/>
      <c r="QAN20" s="222"/>
      <c r="QAO20" s="222"/>
      <c r="QAP20" s="222"/>
      <c r="QAQ20" s="222"/>
      <c r="QAR20" s="222"/>
      <c r="QAS20" s="222"/>
      <c r="QAT20" s="222"/>
      <c r="QAU20" s="222"/>
      <c r="QAV20" s="222"/>
      <c r="QAW20" s="222"/>
      <c r="QAX20" s="222"/>
      <c r="QAY20" s="222"/>
      <c r="QAZ20" s="222"/>
      <c r="QBA20" s="222"/>
      <c r="QBB20" s="222"/>
      <c r="QBC20" s="222"/>
      <c r="QBD20" s="222"/>
      <c r="QBE20" s="222"/>
      <c r="QBF20" s="222"/>
      <c r="QBG20" s="222"/>
      <c r="QBH20" s="222"/>
      <c r="QBI20" s="222"/>
      <c r="QBJ20" s="222"/>
      <c r="QBK20" s="222"/>
      <c r="QBL20" s="222"/>
      <c r="QBM20" s="222"/>
      <c r="QBN20" s="222"/>
      <c r="QBO20" s="222"/>
      <c r="QBP20" s="222"/>
      <c r="QBQ20" s="222"/>
      <c r="QBR20" s="222"/>
      <c r="QBS20" s="222"/>
      <c r="QBT20" s="222"/>
      <c r="QBU20" s="222"/>
      <c r="QBV20" s="222"/>
      <c r="QBW20" s="222"/>
      <c r="QBX20" s="222"/>
      <c r="QBY20" s="222"/>
      <c r="QBZ20" s="222"/>
      <c r="QCA20" s="222"/>
      <c r="QCB20" s="222"/>
      <c r="QCC20" s="222"/>
      <c r="QCD20" s="222"/>
      <c r="QCE20" s="222"/>
      <c r="QCF20" s="222"/>
      <c r="QCG20" s="222"/>
      <c r="QCH20" s="222"/>
      <c r="QCI20" s="222"/>
      <c r="QCJ20" s="222"/>
      <c r="QCK20" s="222"/>
      <c r="QCL20" s="222"/>
      <c r="QCM20" s="222"/>
      <c r="QCN20" s="222"/>
      <c r="QCO20" s="222"/>
      <c r="QCP20" s="222"/>
      <c r="QCQ20" s="222"/>
      <c r="QCR20" s="222"/>
      <c r="QCS20" s="222"/>
      <c r="QCT20" s="222"/>
      <c r="QCU20" s="222"/>
      <c r="QCV20" s="222"/>
      <c r="QCW20" s="222"/>
      <c r="QCX20" s="222"/>
      <c r="QCY20" s="222"/>
      <c r="QCZ20" s="222"/>
      <c r="QDA20" s="222"/>
      <c r="QDB20" s="222"/>
      <c r="QDC20" s="222"/>
      <c r="QDD20" s="222"/>
      <c r="QDE20" s="222"/>
      <c r="QDF20" s="222"/>
      <c r="QDG20" s="222"/>
      <c r="QDH20" s="222"/>
      <c r="QDI20" s="222"/>
      <c r="QDJ20" s="222"/>
      <c r="QDK20" s="222"/>
      <c r="QDL20" s="222"/>
      <c r="QDM20" s="222"/>
      <c r="QDN20" s="222"/>
      <c r="QDO20" s="222"/>
      <c r="QDP20" s="222"/>
      <c r="QDQ20" s="222"/>
      <c r="QDR20" s="222"/>
      <c r="QDS20" s="222"/>
      <c r="QDT20" s="222"/>
      <c r="QDU20" s="222"/>
      <c r="QDV20" s="222"/>
      <c r="QDW20" s="222"/>
      <c r="QDX20" s="222"/>
      <c r="QDY20" s="222"/>
      <c r="QDZ20" s="222"/>
      <c r="QEA20" s="222"/>
      <c r="QEB20" s="222"/>
      <c r="QEC20" s="222"/>
      <c r="QED20" s="222"/>
      <c r="QEE20" s="222"/>
      <c r="QEF20" s="222"/>
      <c r="QEG20" s="222"/>
      <c r="QEH20" s="222"/>
      <c r="QEI20" s="222"/>
      <c r="QEJ20" s="222"/>
      <c r="QEK20" s="222"/>
      <c r="QEL20" s="222"/>
      <c r="QEM20" s="222"/>
      <c r="QEN20" s="222"/>
      <c r="QEO20" s="222"/>
      <c r="QEP20" s="222"/>
      <c r="QEQ20" s="222"/>
      <c r="QER20" s="222"/>
      <c r="QES20" s="222"/>
      <c r="QET20" s="222"/>
      <c r="QEU20" s="222"/>
      <c r="QEV20" s="222"/>
      <c r="QEW20" s="222"/>
      <c r="QEX20" s="222"/>
      <c r="QEY20" s="222"/>
      <c r="QEZ20" s="222"/>
      <c r="QFA20" s="222"/>
      <c r="QFB20" s="222"/>
      <c r="QFC20" s="222"/>
      <c r="QFD20" s="222"/>
      <c r="QFE20" s="222"/>
      <c r="QFF20" s="222"/>
      <c r="QFG20" s="222"/>
      <c r="QFH20" s="222"/>
      <c r="QFI20" s="222"/>
      <c r="QFJ20" s="222"/>
      <c r="QFK20" s="222"/>
      <c r="QFL20" s="222"/>
      <c r="QFM20" s="222"/>
      <c r="QFN20" s="222"/>
      <c r="QFO20" s="222"/>
      <c r="QFP20" s="222"/>
      <c r="QFQ20" s="222"/>
      <c r="QFR20" s="222"/>
      <c r="QFS20" s="222"/>
      <c r="QFT20" s="222"/>
      <c r="QFU20" s="222"/>
      <c r="QFV20" s="222"/>
      <c r="QFW20" s="222"/>
      <c r="QFX20" s="222"/>
      <c r="QFY20" s="222"/>
      <c r="QFZ20" s="222"/>
      <c r="QGA20" s="222"/>
      <c r="QGB20" s="222"/>
      <c r="QGC20" s="222"/>
      <c r="QGD20" s="222"/>
      <c r="QGE20" s="222"/>
      <c r="QGF20" s="222"/>
      <c r="QGG20" s="222"/>
      <c r="QGH20" s="222"/>
      <c r="QGI20" s="222"/>
      <c r="QGJ20" s="222"/>
      <c r="QGK20" s="222"/>
      <c r="QGL20" s="222"/>
      <c r="QGM20" s="222"/>
      <c r="QGN20" s="222"/>
      <c r="QGO20" s="222"/>
      <c r="QGP20" s="222"/>
      <c r="QGQ20" s="222"/>
      <c r="QGR20" s="222"/>
      <c r="QGS20" s="222"/>
      <c r="QGT20" s="222"/>
      <c r="QGU20" s="222"/>
      <c r="QGV20" s="222"/>
      <c r="QGW20" s="222"/>
      <c r="QGX20" s="222"/>
      <c r="QGY20" s="222"/>
      <c r="QGZ20" s="222"/>
      <c r="QHA20" s="222"/>
      <c r="QHB20" s="222"/>
      <c r="QHC20" s="222"/>
      <c r="QHD20" s="222"/>
      <c r="QHE20" s="222"/>
      <c r="QHF20" s="222"/>
      <c r="QHG20" s="222"/>
      <c r="QHH20" s="222"/>
      <c r="QHI20" s="222"/>
      <c r="QHJ20" s="222"/>
      <c r="QHK20" s="222"/>
      <c r="QHL20" s="222"/>
      <c r="QHM20" s="222"/>
      <c r="QHN20" s="222"/>
      <c r="QHO20" s="222"/>
      <c r="QHP20" s="222"/>
      <c r="QHQ20" s="222"/>
      <c r="QHR20" s="222"/>
      <c r="QHS20" s="222"/>
      <c r="QHT20" s="222"/>
      <c r="QHU20" s="222"/>
      <c r="QHV20" s="222"/>
      <c r="QHW20" s="222"/>
      <c r="QHX20" s="222"/>
      <c r="QHY20" s="222"/>
      <c r="QHZ20" s="222"/>
      <c r="QIA20" s="222"/>
      <c r="QIB20" s="222"/>
      <c r="QIC20" s="222"/>
      <c r="QID20" s="222"/>
      <c r="QIE20" s="222"/>
      <c r="QIF20" s="222"/>
      <c r="QIG20" s="222"/>
      <c r="QIH20" s="222"/>
      <c r="QII20" s="222"/>
      <c r="QIJ20" s="222"/>
      <c r="QIK20" s="222"/>
      <c r="QIL20" s="222"/>
      <c r="QIM20" s="222"/>
      <c r="QIN20" s="222"/>
      <c r="QIO20" s="222"/>
      <c r="QIP20" s="222"/>
      <c r="QIQ20" s="222"/>
      <c r="QIR20" s="222"/>
      <c r="QIS20" s="222"/>
      <c r="QIT20" s="222"/>
      <c r="QIU20" s="222"/>
      <c r="QIV20" s="222"/>
      <c r="QIW20" s="222"/>
      <c r="QIX20" s="222"/>
      <c r="QIY20" s="222"/>
      <c r="QIZ20" s="222"/>
      <c r="QJA20" s="222"/>
      <c r="QJB20" s="222"/>
      <c r="QJC20" s="222"/>
      <c r="QJD20" s="222"/>
      <c r="QJE20" s="222"/>
      <c r="QJF20" s="222"/>
      <c r="QJG20" s="222"/>
      <c r="QJH20" s="222"/>
      <c r="QJI20" s="222"/>
      <c r="QJJ20" s="222"/>
      <c r="QJK20" s="222"/>
      <c r="QJL20" s="222"/>
      <c r="QJM20" s="222"/>
      <c r="QJN20" s="222"/>
      <c r="QJO20" s="222"/>
      <c r="QJP20" s="222"/>
      <c r="QJQ20" s="222"/>
      <c r="QJR20" s="222"/>
      <c r="QJS20" s="222"/>
      <c r="QJT20" s="222"/>
      <c r="QJU20" s="222"/>
      <c r="QJV20" s="222"/>
      <c r="QJW20" s="222"/>
      <c r="QJX20" s="222"/>
      <c r="QJY20" s="222"/>
      <c r="QJZ20" s="222"/>
      <c r="QKA20" s="222"/>
      <c r="QKB20" s="222"/>
      <c r="QKC20" s="222"/>
      <c r="QKD20" s="222"/>
      <c r="QKE20" s="222"/>
      <c r="QKF20" s="222"/>
      <c r="QKG20" s="222"/>
      <c r="QKH20" s="222"/>
      <c r="QKI20" s="222"/>
      <c r="QKJ20" s="222"/>
      <c r="QKK20" s="222"/>
      <c r="QKL20" s="222"/>
      <c r="QKM20" s="222"/>
      <c r="QKN20" s="222"/>
      <c r="QKO20" s="222"/>
      <c r="QKP20" s="222"/>
      <c r="QKQ20" s="222"/>
      <c r="QKR20" s="222"/>
      <c r="QKS20" s="222"/>
      <c r="QKT20" s="222"/>
      <c r="QKU20" s="222"/>
      <c r="QKV20" s="222"/>
      <c r="QKW20" s="222"/>
      <c r="QKX20" s="222"/>
      <c r="QKY20" s="222"/>
      <c r="QKZ20" s="222"/>
      <c r="QLA20" s="222"/>
      <c r="QLB20" s="222"/>
      <c r="QLC20" s="222"/>
      <c r="QLD20" s="222"/>
      <c r="QLE20" s="222"/>
      <c r="QLF20" s="222"/>
      <c r="QLG20" s="222"/>
      <c r="QLH20" s="222"/>
      <c r="QLI20" s="222"/>
      <c r="QLJ20" s="222"/>
      <c r="QLK20" s="222"/>
      <c r="QLL20" s="222"/>
      <c r="QLM20" s="222"/>
      <c r="QLN20" s="222"/>
      <c r="QLO20" s="222"/>
      <c r="QLP20" s="222"/>
      <c r="QLQ20" s="222"/>
      <c r="QLR20" s="222"/>
      <c r="QLS20" s="222"/>
      <c r="QLT20" s="222"/>
      <c r="QLU20" s="222"/>
      <c r="QLV20" s="222"/>
      <c r="QLW20" s="222"/>
      <c r="QLX20" s="222"/>
      <c r="QLY20" s="222"/>
      <c r="QLZ20" s="222"/>
      <c r="QMA20" s="222"/>
      <c r="QMB20" s="222"/>
      <c r="QMC20" s="222"/>
      <c r="QMD20" s="222"/>
      <c r="QME20" s="222"/>
      <c r="QMF20" s="222"/>
      <c r="QMG20" s="222"/>
      <c r="QMH20" s="222"/>
      <c r="QMI20" s="222"/>
      <c r="QMJ20" s="222"/>
      <c r="QMK20" s="222"/>
      <c r="QML20" s="222"/>
      <c r="QMM20" s="222"/>
      <c r="QMN20" s="222"/>
      <c r="QMO20" s="222"/>
      <c r="QMP20" s="222"/>
      <c r="QMQ20" s="222"/>
      <c r="QMR20" s="222"/>
      <c r="QMS20" s="222"/>
      <c r="QMT20" s="222"/>
      <c r="QMU20" s="222"/>
      <c r="QMV20" s="222"/>
      <c r="QMW20" s="222"/>
      <c r="QMX20" s="222"/>
      <c r="QMY20" s="222"/>
      <c r="QMZ20" s="222"/>
      <c r="QNA20" s="222"/>
      <c r="QNB20" s="222"/>
      <c r="QNC20" s="222"/>
      <c r="QND20" s="222"/>
      <c r="QNE20" s="222"/>
      <c r="QNF20" s="222"/>
      <c r="QNG20" s="222"/>
      <c r="QNH20" s="222"/>
      <c r="QNI20" s="222"/>
      <c r="QNJ20" s="222"/>
      <c r="QNK20" s="222"/>
      <c r="QNL20" s="222"/>
      <c r="QNM20" s="222"/>
      <c r="QNN20" s="222"/>
      <c r="QNO20" s="222"/>
      <c r="QNP20" s="222"/>
      <c r="QNQ20" s="222"/>
      <c r="QNR20" s="222"/>
      <c r="QNS20" s="222"/>
      <c r="QNT20" s="222"/>
      <c r="QNU20" s="222"/>
      <c r="QNV20" s="222"/>
      <c r="QNW20" s="222"/>
      <c r="QNX20" s="222"/>
      <c r="QNY20" s="222"/>
      <c r="QNZ20" s="222"/>
      <c r="QOA20" s="222"/>
      <c r="QOB20" s="222"/>
      <c r="QOC20" s="222"/>
      <c r="QOD20" s="222"/>
      <c r="QOE20" s="222"/>
      <c r="QOF20" s="222"/>
      <c r="QOG20" s="222"/>
      <c r="QOH20" s="222"/>
      <c r="QOI20" s="222"/>
      <c r="QOJ20" s="222"/>
      <c r="QOK20" s="222"/>
      <c r="QOL20" s="222"/>
      <c r="QOM20" s="222"/>
      <c r="QON20" s="222"/>
      <c r="QOO20" s="222"/>
      <c r="QOP20" s="222"/>
      <c r="QOQ20" s="222"/>
      <c r="QOR20" s="222"/>
      <c r="QOS20" s="222"/>
      <c r="QOT20" s="222"/>
      <c r="QOU20" s="222"/>
      <c r="QOV20" s="222"/>
      <c r="QOW20" s="222"/>
      <c r="QOX20" s="222"/>
      <c r="QOY20" s="222"/>
      <c r="QOZ20" s="222"/>
      <c r="QPA20" s="222"/>
      <c r="QPB20" s="222"/>
      <c r="QPC20" s="222"/>
      <c r="QPD20" s="222"/>
      <c r="QPE20" s="222"/>
      <c r="QPF20" s="222"/>
      <c r="QPG20" s="222"/>
      <c r="QPH20" s="222"/>
      <c r="QPI20" s="222"/>
      <c r="QPJ20" s="222"/>
      <c r="QPK20" s="222"/>
      <c r="QPL20" s="222"/>
      <c r="QPM20" s="222"/>
      <c r="QPN20" s="222"/>
      <c r="QPO20" s="222"/>
      <c r="QPP20" s="222"/>
      <c r="QPQ20" s="222"/>
      <c r="QPR20" s="222"/>
      <c r="QPS20" s="222"/>
      <c r="QPT20" s="222"/>
      <c r="QPU20" s="222"/>
      <c r="QPV20" s="222"/>
      <c r="QPW20" s="222"/>
      <c r="QPX20" s="222"/>
      <c r="QPY20" s="222"/>
      <c r="QPZ20" s="222"/>
      <c r="QQA20" s="222"/>
      <c r="QQB20" s="222"/>
      <c r="QQC20" s="222"/>
      <c r="QQD20" s="222"/>
      <c r="QQE20" s="222"/>
      <c r="QQF20" s="222"/>
      <c r="QQG20" s="222"/>
      <c r="QQH20" s="222"/>
      <c r="QQI20" s="222"/>
      <c r="QQJ20" s="222"/>
      <c r="QQK20" s="222"/>
      <c r="QQL20" s="222"/>
      <c r="QQM20" s="222"/>
      <c r="QQN20" s="222"/>
      <c r="QQO20" s="222"/>
      <c r="QQP20" s="222"/>
      <c r="QQQ20" s="222"/>
      <c r="QQR20" s="222"/>
      <c r="QQS20" s="222"/>
      <c r="QQT20" s="222"/>
      <c r="QQU20" s="222"/>
      <c r="QQV20" s="222"/>
      <c r="QQW20" s="222"/>
      <c r="QQX20" s="222"/>
      <c r="QQY20" s="222"/>
      <c r="QQZ20" s="222"/>
      <c r="QRA20" s="222"/>
      <c r="QRB20" s="222"/>
      <c r="QRC20" s="222"/>
      <c r="QRD20" s="222"/>
      <c r="QRE20" s="222"/>
      <c r="QRF20" s="222"/>
      <c r="QRG20" s="222"/>
      <c r="QRH20" s="222"/>
      <c r="QRI20" s="222"/>
      <c r="QRJ20" s="222"/>
      <c r="QRK20" s="222"/>
      <c r="QRL20" s="222"/>
      <c r="QRM20" s="222"/>
      <c r="QRN20" s="222"/>
      <c r="QRO20" s="222"/>
      <c r="QRP20" s="222"/>
      <c r="QRQ20" s="222"/>
      <c r="QRR20" s="222"/>
      <c r="QRS20" s="222"/>
      <c r="QRT20" s="222"/>
      <c r="QRU20" s="222"/>
      <c r="QRV20" s="222"/>
      <c r="QRW20" s="222"/>
      <c r="QRX20" s="222"/>
      <c r="QRY20" s="222"/>
      <c r="QRZ20" s="222"/>
      <c r="QSA20" s="222"/>
      <c r="QSB20" s="222"/>
      <c r="QSC20" s="222"/>
      <c r="QSD20" s="222"/>
      <c r="QSE20" s="222"/>
      <c r="QSF20" s="222"/>
      <c r="QSG20" s="222"/>
      <c r="QSH20" s="222"/>
      <c r="QSI20" s="222"/>
      <c r="QSJ20" s="222"/>
      <c r="QSK20" s="222"/>
      <c r="QSL20" s="222"/>
      <c r="QSM20" s="222"/>
      <c r="QSN20" s="222"/>
      <c r="QSO20" s="222"/>
      <c r="QSP20" s="222"/>
      <c r="QSQ20" s="222"/>
      <c r="QSR20" s="222"/>
      <c r="QSS20" s="222"/>
      <c r="QST20" s="222"/>
      <c r="QSU20" s="222"/>
      <c r="QSV20" s="222"/>
      <c r="QSW20" s="222"/>
      <c r="QSX20" s="222"/>
      <c r="QSY20" s="222"/>
      <c r="QSZ20" s="222"/>
      <c r="QTA20" s="222"/>
      <c r="QTB20" s="222"/>
      <c r="QTC20" s="222"/>
      <c r="QTD20" s="222"/>
      <c r="QTE20" s="222"/>
      <c r="QTF20" s="222"/>
      <c r="QTG20" s="222"/>
      <c r="QTH20" s="222"/>
      <c r="QTI20" s="222"/>
      <c r="QTJ20" s="222"/>
      <c r="QTK20" s="222"/>
      <c r="QTL20" s="222"/>
      <c r="QTM20" s="222"/>
      <c r="QTN20" s="222"/>
      <c r="QTO20" s="222"/>
      <c r="QTP20" s="222"/>
      <c r="QTQ20" s="222"/>
      <c r="QTR20" s="222"/>
      <c r="QTS20" s="222"/>
      <c r="QTT20" s="222"/>
      <c r="QTU20" s="222"/>
      <c r="QTV20" s="222"/>
      <c r="QTW20" s="222"/>
      <c r="QTX20" s="222"/>
      <c r="QTY20" s="222"/>
      <c r="QTZ20" s="222"/>
      <c r="QUA20" s="222"/>
      <c r="QUB20" s="222"/>
      <c r="QUC20" s="222"/>
      <c r="QUD20" s="222"/>
      <c r="QUE20" s="222"/>
      <c r="QUF20" s="222"/>
      <c r="QUG20" s="222"/>
      <c r="QUH20" s="222"/>
      <c r="QUI20" s="222"/>
      <c r="QUJ20" s="222"/>
      <c r="QUK20" s="222"/>
      <c r="QUL20" s="222"/>
      <c r="QUM20" s="222"/>
      <c r="QUN20" s="222"/>
      <c r="QUO20" s="222"/>
      <c r="QUP20" s="222"/>
      <c r="QUQ20" s="222"/>
      <c r="QUR20" s="222"/>
      <c r="QUS20" s="222"/>
      <c r="QUT20" s="222"/>
      <c r="QUU20" s="222"/>
      <c r="QUV20" s="222"/>
      <c r="QUW20" s="222"/>
      <c r="QUX20" s="222"/>
      <c r="QUY20" s="222"/>
      <c r="QUZ20" s="222"/>
      <c r="QVA20" s="222"/>
      <c r="QVB20" s="222"/>
      <c r="QVC20" s="222"/>
      <c r="QVD20" s="222"/>
      <c r="QVE20" s="222"/>
      <c r="QVF20" s="222"/>
      <c r="QVG20" s="222"/>
      <c r="QVH20" s="222"/>
      <c r="QVI20" s="222"/>
      <c r="QVJ20" s="222"/>
      <c r="QVK20" s="222"/>
      <c r="QVL20" s="222"/>
      <c r="QVM20" s="222"/>
      <c r="QVN20" s="222"/>
      <c r="QVO20" s="222"/>
      <c r="QVP20" s="222"/>
      <c r="QVQ20" s="222"/>
      <c r="QVR20" s="222"/>
      <c r="QVS20" s="222"/>
      <c r="QVT20" s="222"/>
      <c r="QVU20" s="222"/>
      <c r="QVV20" s="222"/>
      <c r="QVW20" s="222"/>
      <c r="QVX20" s="222"/>
      <c r="QVY20" s="222"/>
      <c r="QVZ20" s="222"/>
      <c r="QWA20" s="222"/>
      <c r="QWB20" s="222"/>
      <c r="QWC20" s="222"/>
      <c r="QWD20" s="222"/>
      <c r="QWE20" s="222"/>
      <c r="QWF20" s="222"/>
      <c r="QWG20" s="222"/>
      <c r="QWH20" s="222"/>
      <c r="QWI20" s="222"/>
      <c r="QWJ20" s="222"/>
      <c r="QWK20" s="222"/>
      <c r="QWL20" s="222"/>
      <c r="QWM20" s="222"/>
      <c r="QWN20" s="222"/>
      <c r="QWO20" s="222"/>
      <c r="QWP20" s="222"/>
      <c r="QWQ20" s="222"/>
      <c r="QWR20" s="222"/>
      <c r="QWS20" s="222"/>
      <c r="QWT20" s="222"/>
      <c r="QWU20" s="222"/>
      <c r="QWV20" s="222"/>
      <c r="QWW20" s="222"/>
      <c r="QWX20" s="222"/>
      <c r="QWY20" s="222"/>
      <c r="QWZ20" s="222"/>
      <c r="QXA20" s="222"/>
      <c r="QXB20" s="222"/>
      <c r="QXC20" s="222"/>
      <c r="QXD20" s="222"/>
      <c r="QXE20" s="222"/>
      <c r="QXF20" s="222"/>
      <c r="QXG20" s="222"/>
      <c r="QXH20" s="222"/>
      <c r="QXI20" s="222"/>
      <c r="QXJ20" s="222"/>
      <c r="QXK20" s="222"/>
      <c r="QXL20" s="222"/>
      <c r="QXM20" s="222"/>
      <c r="QXN20" s="222"/>
      <c r="QXO20" s="222"/>
      <c r="QXP20" s="222"/>
      <c r="QXQ20" s="222"/>
      <c r="QXR20" s="222"/>
      <c r="QXS20" s="222"/>
      <c r="QXT20" s="222"/>
      <c r="QXU20" s="222"/>
      <c r="QXV20" s="222"/>
      <c r="QXW20" s="222"/>
      <c r="QXX20" s="222"/>
      <c r="QXY20" s="222"/>
      <c r="QXZ20" s="222"/>
      <c r="QYA20" s="222"/>
      <c r="QYB20" s="222"/>
      <c r="QYC20" s="222"/>
      <c r="QYD20" s="222"/>
      <c r="QYE20" s="222"/>
      <c r="QYF20" s="222"/>
      <c r="QYG20" s="222"/>
      <c r="QYH20" s="222"/>
      <c r="QYI20" s="222"/>
      <c r="QYJ20" s="222"/>
      <c r="QYK20" s="222"/>
      <c r="QYL20" s="222"/>
      <c r="QYM20" s="222"/>
      <c r="QYN20" s="222"/>
      <c r="QYO20" s="222"/>
      <c r="QYP20" s="222"/>
      <c r="QYQ20" s="222"/>
      <c r="QYR20" s="222"/>
      <c r="QYS20" s="222"/>
      <c r="QYT20" s="222"/>
      <c r="QYU20" s="222"/>
      <c r="QYV20" s="222"/>
      <c r="QYW20" s="222"/>
      <c r="QYX20" s="222"/>
      <c r="QYY20" s="222"/>
      <c r="QYZ20" s="222"/>
      <c r="QZA20" s="222"/>
      <c r="QZB20" s="222"/>
      <c r="QZC20" s="222"/>
      <c r="QZD20" s="222"/>
      <c r="QZE20" s="222"/>
      <c r="QZF20" s="222"/>
      <c r="QZG20" s="222"/>
      <c r="QZH20" s="222"/>
      <c r="QZI20" s="222"/>
      <c r="QZJ20" s="222"/>
      <c r="QZK20" s="222"/>
      <c r="QZL20" s="222"/>
      <c r="QZM20" s="222"/>
      <c r="QZN20" s="222"/>
      <c r="QZO20" s="222"/>
      <c r="QZP20" s="222"/>
      <c r="QZQ20" s="222"/>
      <c r="QZR20" s="222"/>
      <c r="QZS20" s="222"/>
      <c r="QZT20" s="222"/>
      <c r="QZU20" s="222"/>
      <c r="QZV20" s="222"/>
      <c r="QZW20" s="222"/>
      <c r="QZX20" s="222"/>
      <c r="QZY20" s="222"/>
      <c r="QZZ20" s="222"/>
      <c r="RAA20" s="222"/>
      <c r="RAB20" s="222"/>
      <c r="RAC20" s="222"/>
      <c r="RAD20" s="222"/>
      <c r="RAE20" s="222"/>
      <c r="RAF20" s="222"/>
      <c r="RAG20" s="222"/>
      <c r="RAH20" s="222"/>
      <c r="RAI20" s="222"/>
      <c r="RAJ20" s="222"/>
      <c r="RAK20" s="222"/>
      <c r="RAL20" s="222"/>
      <c r="RAM20" s="222"/>
      <c r="RAN20" s="222"/>
      <c r="RAO20" s="222"/>
      <c r="RAP20" s="222"/>
      <c r="RAQ20" s="222"/>
      <c r="RAR20" s="222"/>
      <c r="RAS20" s="222"/>
      <c r="RAT20" s="222"/>
      <c r="RAU20" s="222"/>
      <c r="RAV20" s="222"/>
      <c r="RAW20" s="222"/>
      <c r="RAX20" s="222"/>
      <c r="RAY20" s="222"/>
      <c r="RAZ20" s="222"/>
      <c r="RBA20" s="222"/>
      <c r="RBB20" s="222"/>
      <c r="RBC20" s="222"/>
      <c r="RBD20" s="222"/>
      <c r="RBE20" s="222"/>
      <c r="RBF20" s="222"/>
      <c r="RBG20" s="222"/>
      <c r="RBH20" s="222"/>
      <c r="RBI20" s="222"/>
      <c r="RBJ20" s="222"/>
      <c r="RBK20" s="222"/>
      <c r="RBL20" s="222"/>
      <c r="RBM20" s="222"/>
      <c r="RBN20" s="222"/>
      <c r="RBO20" s="222"/>
      <c r="RBP20" s="222"/>
      <c r="RBQ20" s="222"/>
      <c r="RBR20" s="222"/>
      <c r="RBS20" s="222"/>
      <c r="RBT20" s="222"/>
      <c r="RBU20" s="222"/>
      <c r="RBV20" s="222"/>
      <c r="RBW20" s="222"/>
      <c r="RBX20" s="222"/>
      <c r="RBY20" s="222"/>
      <c r="RBZ20" s="222"/>
      <c r="RCA20" s="222"/>
      <c r="RCB20" s="222"/>
      <c r="RCC20" s="222"/>
      <c r="RCD20" s="222"/>
      <c r="RCE20" s="222"/>
      <c r="RCF20" s="222"/>
      <c r="RCG20" s="222"/>
      <c r="RCH20" s="222"/>
      <c r="RCI20" s="222"/>
      <c r="RCJ20" s="222"/>
      <c r="RCK20" s="222"/>
      <c r="RCL20" s="222"/>
      <c r="RCM20" s="222"/>
      <c r="RCN20" s="222"/>
      <c r="RCO20" s="222"/>
      <c r="RCP20" s="222"/>
      <c r="RCQ20" s="222"/>
      <c r="RCR20" s="222"/>
      <c r="RCS20" s="222"/>
      <c r="RCT20" s="222"/>
      <c r="RCU20" s="222"/>
      <c r="RCV20" s="222"/>
      <c r="RCW20" s="222"/>
      <c r="RCX20" s="222"/>
      <c r="RCY20" s="222"/>
      <c r="RCZ20" s="222"/>
      <c r="RDA20" s="222"/>
      <c r="RDB20" s="222"/>
      <c r="RDC20" s="222"/>
      <c r="RDD20" s="222"/>
      <c r="RDE20" s="222"/>
      <c r="RDF20" s="222"/>
      <c r="RDG20" s="222"/>
      <c r="RDH20" s="222"/>
      <c r="RDI20" s="222"/>
      <c r="RDJ20" s="222"/>
      <c r="RDK20" s="222"/>
      <c r="RDL20" s="222"/>
      <c r="RDM20" s="222"/>
      <c r="RDN20" s="222"/>
      <c r="RDO20" s="222"/>
      <c r="RDP20" s="222"/>
      <c r="RDQ20" s="222"/>
      <c r="RDR20" s="222"/>
      <c r="RDS20" s="222"/>
      <c r="RDT20" s="222"/>
      <c r="RDU20" s="222"/>
      <c r="RDV20" s="222"/>
      <c r="RDW20" s="222"/>
      <c r="RDX20" s="222"/>
      <c r="RDY20" s="222"/>
      <c r="RDZ20" s="222"/>
      <c r="REA20" s="222"/>
      <c r="REB20" s="222"/>
      <c r="REC20" s="222"/>
      <c r="RED20" s="222"/>
      <c r="REE20" s="222"/>
      <c r="REF20" s="222"/>
      <c r="REG20" s="222"/>
      <c r="REH20" s="222"/>
      <c r="REI20" s="222"/>
      <c r="REJ20" s="222"/>
      <c r="REK20" s="222"/>
      <c r="REL20" s="222"/>
      <c r="REM20" s="222"/>
      <c r="REN20" s="222"/>
      <c r="REO20" s="222"/>
      <c r="REP20" s="222"/>
      <c r="REQ20" s="222"/>
      <c r="RER20" s="222"/>
      <c r="RES20" s="222"/>
      <c r="RET20" s="222"/>
      <c r="REU20" s="222"/>
      <c r="REV20" s="222"/>
      <c r="REW20" s="222"/>
      <c r="REX20" s="222"/>
      <c r="REY20" s="222"/>
      <c r="REZ20" s="222"/>
      <c r="RFA20" s="222"/>
      <c r="RFB20" s="222"/>
      <c r="RFC20" s="222"/>
      <c r="RFD20" s="222"/>
      <c r="RFE20" s="222"/>
      <c r="RFF20" s="222"/>
      <c r="RFG20" s="222"/>
      <c r="RFH20" s="222"/>
      <c r="RFI20" s="222"/>
      <c r="RFJ20" s="222"/>
      <c r="RFK20" s="222"/>
      <c r="RFL20" s="222"/>
      <c r="RFM20" s="222"/>
      <c r="RFN20" s="222"/>
      <c r="RFO20" s="222"/>
      <c r="RFP20" s="222"/>
      <c r="RFQ20" s="222"/>
      <c r="RFR20" s="222"/>
      <c r="RFS20" s="222"/>
      <c r="RFT20" s="222"/>
      <c r="RFU20" s="222"/>
      <c r="RFV20" s="222"/>
      <c r="RFW20" s="222"/>
      <c r="RFX20" s="222"/>
      <c r="RFY20" s="222"/>
      <c r="RFZ20" s="222"/>
      <c r="RGA20" s="222"/>
      <c r="RGB20" s="222"/>
      <c r="RGC20" s="222"/>
      <c r="RGD20" s="222"/>
      <c r="RGE20" s="222"/>
      <c r="RGF20" s="222"/>
      <c r="RGG20" s="222"/>
      <c r="RGH20" s="222"/>
      <c r="RGI20" s="222"/>
      <c r="RGJ20" s="222"/>
      <c r="RGK20" s="222"/>
      <c r="RGL20" s="222"/>
      <c r="RGM20" s="222"/>
      <c r="RGN20" s="222"/>
      <c r="RGO20" s="222"/>
      <c r="RGP20" s="222"/>
      <c r="RGQ20" s="222"/>
      <c r="RGR20" s="222"/>
      <c r="RGS20" s="222"/>
      <c r="RGT20" s="222"/>
      <c r="RGU20" s="222"/>
      <c r="RGV20" s="222"/>
      <c r="RGW20" s="222"/>
      <c r="RGX20" s="222"/>
      <c r="RGY20" s="222"/>
      <c r="RGZ20" s="222"/>
      <c r="RHA20" s="222"/>
      <c r="RHB20" s="222"/>
      <c r="RHC20" s="222"/>
      <c r="RHD20" s="222"/>
      <c r="RHE20" s="222"/>
      <c r="RHF20" s="222"/>
      <c r="RHG20" s="222"/>
      <c r="RHH20" s="222"/>
      <c r="RHI20" s="222"/>
      <c r="RHJ20" s="222"/>
      <c r="RHK20" s="222"/>
      <c r="RHL20" s="222"/>
      <c r="RHM20" s="222"/>
      <c r="RHN20" s="222"/>
      <c r="RHO20" s="222"/>
      <c r="RHP20" s="222"/>
      <c r="RHQ20" s="222"/>
      <c r="RHR20" s="222"/>
      <c r="RHS20" s="222"/>
      <c r="RHT20" s="222"/>
      <c r="RHU20" s="222"/>
      <c r="RHV20" s="222"/>
      <c r="RHW20" s="222"/>
      <c r="RHX20" s="222"/>
      <c r="RHY20" s="222"/>
      <c r="RHZ20" s="222"/>
      <c r="RIA20" s="222"/>
      <c r="RIB20" s="222"/>
      <c r="RIC20" s="222"/>
      <c r="RID20" s="222"/>
      <c r="RIE20" s="222"/>
      <c r="RIF20" s="222"/>
      <c r="RIG20" s="222"/>
      <c r="RIH20" s="222"/>
      <c r="RII20" s="222"/>
      <c r="RIJ20" s="222"/>
      <c r="RIK20" s="222"/>
      <c r="RIL20" s="222"/>
      <c r="RIM20" s="222"/>
      <c r="RIN20" s="222"/>
      <c r="RIO20" s="222"/>
      <c r="RIP20" s="222"/>
      <c r="RIQ20" s="222"/>
      <c r="RIR20" s="222"/>
      <c r="RIS20" s="222"/>
      <c r="RIT20" s="222"/>
      <c r="RIU20" s="222"/>
      <c r="RIV20" s="222"/>
      <c r="RIW20" s="222"/>
      <c r="RIX20" s="222"/>
      <c r="RIY20" s="222"/>
      <c r="RIZ20" s="222"/>
      <c r="RJA20" s="222"/>
      <c r="RJB20" s="222"/>
      <c r="RJC20" s="222"/>
      <c r="RJD20" s="222"/>
      <c r="RJE20" s="222"/>
      <c r="RJF20" s="222"/>
      <c r="RJG20" s="222"/>
      <c r="RJH20" s="222"/>
      <c r="RJI20" s="222"/>
      <c r="RJJ20" s="222"/>
      <c r="RJK20" s="222"/>
      <c r="RJL20" s="222"/>
      <c r="RJM20" s="222"/>
      <c r="RJN20" s="222"/>
      <c r="RJO20" s="222"/>
      <c r="RJP20" s="222"/>
      <c r="RJQ20" s="222"/>
      <c r="RJR20" s="222"/>
      <c r="RJS20" s="222"/>
      <c r="RJT20" s="222"/>
      <c r="RJU20" s="222"/>
      <c r="RJV20" s="222"/>
      <c r="RJW20" s="222"/>
      <c r="RJX20" s="222"/>
      <c r="RJY20" s="222"/>
      <c r="RJZ20" s="222"/>
      <c r="RKA20" s="222"/>
      <c r="RKB20" s="222"/>
      <c r="RKC20" s="222"/>
      <c r="RKD20" s="222"/>
      <c r="RKE20" s="222"/>
      <c r="RKF20" s="222"/>
      <c r="RKG20" s="222"/>
      <c r="RKH20" s="222"/>
      <c r="RKI20" s="222"/>
      <c r="RKJ20" s="222"/>
      <c r="RKK20" s="222"/>
      <c r="RKL20" s="222"/>
      <c r="RKM20" s="222"/>
      <c r="RKN20" s="222"/>
      <c r="RKO20" s="222"/>
      <c r="RKP20" s="222"/>
      <c r="RKQ20" s="222"/>
      <c r="RKR20" s="222"/>
      <c r="RKS20" s="222"/>
      <c r="RKT20" s="222"/>
      <c r="RKU20" s="222"/>
      <c r="RKV20" s="222"/>
      <c r="RKW20" s="222"/>
      <c r="RKX20" s="222"/>
      <c r="RKY20" s="222"/>
      <c r="RKZ20" s="222"/>
      <c r="RLA20" s="222"/>
      <c r="RLB20" s="222"/>
      <c r="RLC20" s="222"/>
      <c r="RLD20" s="222"/>
      <c r="RLE20" s="222"/>
      <c r="RLF20" s="222"/>
      <c r="RLG20" s="222"/>
      <c r="RLH20" s="222"/>
      <c r="RLI20" s="222"/>
      <c r="RLJ20" s="222"/>
      <c r="RLK20" s="222"/>
      <c r="RLL20" s="222"/>
      <c r="RLM20" s="222"/>
      <c r="RLN20" s="222"/>
      <c r="RLO20" s="222"/>
      <c r="RLP20" s="222"/>
      <c r="RLQ20" s="222"/>
      <c r="RLR20" s="222"/>
      <c r="RLS20" s="222"/>
      <c r="RLT20" s="222"/>
      <c r="RLU20" s="222"/>
      <c r="RLV20" s="222"/>
      <c r="RLW20" s="222"/>
      <c r="RLX20" s="222"/>
      <c r="RLY20" s="222"/>
      <c r="RLZ20" s="222"/>
      <c r="RMA20" s="222"/>
      <c r="RMB20" s="222"/>
      <c r="RMC20" s="222"/>
      <c r="RMD20" s="222"/>
      <c r="RME20" s="222"/>
      <c r="RMF20" s="222"/>
      <c r="RMG20" s="222"/>
      <c r="RMH20" s="222"/>
      <c r="RMI20" s="222"/>
      <c r="RMJ20" s="222"/>
      <c r="RMK20" s="222"/>
      <c r="RML20" s="222"/>
      <c r="RMM20" s="222"/>
      <c r="RMN20" s="222"/>
      <c r="RMO20" s="222"/>
      <c r="RMP20" s="222"/>
      <c r="RMQ20" s="222"/>
      <c r="RMR20" s="222"/>
      <c r="RMS20" s="222"/>
      <c r="RMT20" s="222"/>
      <c r="RMU20" s="222"/>
      <c r="RMV20" s="222"/>
      <c r="RMW20" s="222"/>
      <c r="RMX20" s="222"/>
      <c r="RMY20" s="222"/>
      <c r="RMZ20" s="222"/>
      <c r="RNA20" s="222"/>
      <c r="RNB20" s="222"/>
      <c r="RNC20" s="222"/>
      <c r="RND20" s="222"/>
      <c r="RNE20" s="222"/>
      <c r="RNF20" s="222"/>
      <c r="RNG20" s="222"/>
      <c r="RNH20" s="222"/>
      <c r="RNI20" s="222"/>
      <c r="RNJ20" s="222"/>
      <c r="RNK20" s="222"/>
      <c r="RNL20" s="222"/>
      <c r="RNM20" s="222"/>
      <c r="RNN20" s="222"/>
      <c r="RNO20" s="222"/>
      <c r="RNP20" s="222"/>
      <c r="RNQ20" s="222"/>
      <c r="RNR20" s="222"/>
      <c r="RNS20" s="222"/>
      <c r="RNT20" s="222"/>
      <c r="RNU20" s="222"/>
      <c r="RNV20" s="222"/>
      <c r="RNW20" s="222"/>
      <c r="RNX20" s="222"/>
      <c r="RNY20" s="222"/>
      <c r="RNZ20" s="222"/>
      <c r="ROA20" s="222"/>
      <c r="ROB20" s="222"/>
      <c r="ROC20" s="222"/>
      <c r="ROD20" s="222"/>
      <c r="ROE20" s="222"/>
      <c r="ROF20" s="222"/>
      <c r="ROG20" s="222"/>
      <c r="ROH20" s="222"/>
      <c r="ROI20" s="222"/>
      <c r="ROJ20" s="222"/>
      <c r="ROK20" s="222"/>
      <c r="ROL20" s="222"/>
      <c r="ROM20" s="222"/>
      <c r="RON20" s="222"/>
      <c r="ROO20" s="222"/>
      <c r="ROP20" s="222"/>
      <c r="ROQ20" s="222"/>
      <c r="ROR20" s="222"/>
      <c r="ROS20" s="222"/>
      <c r="ROT20" s="222"/>
      <c r="ROU20" s="222"/>
      <c r="ROV20" s="222"/>
      <c r="ROW20" s="222"/>
      <c r="ROX20" s="222"/>
      <c r="ROY20" s="222"/>
      <c r="ROZ20" s="222"/>
      <c r="RPA20" s="222"/>
      <c r="RPB20" s="222"/>
      <c r="RPC20" s="222"/>
      <c r="RPD20" s="222"/>
      <c r="RPE20" s="222"/>
      <c r="RPF20" s="222"/>
      <c r="RPG20" s="222"/>
      <c r="RPH20" s="222"/>
      <c r="RPI20" s="222"/>
      <c r="RPJ20" s="222"/>
      <c r="RPK20" s="222"/>
      <c r="RPL20" s="222"/>
      <c r="RPM20" s="222"/>
      <c r="RPN20" s="222"/>
      <c r="RPO20" s="222"/>
      <c r="RPP20" s="222"/>
      <c r="RPQ20" s="222"/>
      <c r="RPR20" s="222"/>
      <c r="RPS20" s="222"/>
      <c r="RPT20" s="222"/>
      <c r="RPU20" s="222"/>
      <c r="RPV20" s="222"/>
      <c r="RPW20" s="222"/>
      <c r="RPX20" s="222"/>
      <c r="RPY20" s="222"/>
      <c r="RPZ20" s="222"/>
      <c r="RQA20" s="222"/>
      <c r="RQB20" s="222"/>
      <c r="RQC20" s="222"/>
      <c r="RQD20" s="222"/>
      <c r="RQE20" s="222"/>
      <c r="RQF20" s="222"/>
      <c r="RQG20" s="222"/>
      <c r="RQH20" s="222"/>
      <c r="RQI20" s="222"/>
      <c r="RQJ20" s="222"/>
      <c r="RQK20" s="222"/>
      <c r="RQL20" s="222"/>
      <c r="RQM20" s="222"/>
      <c r="RQN20" s="222"/>
      <c r="RQO20" s="222"/>
      <c r="RQP20" s="222"/>
      <c r="RQQ20" s="222"/>
      <c r="RQR20" s="222"/>
      <c r="RQS20" s="222"/>
      <c r="RQT20" s="222"/>
      <c r="RQU20" s="222"/>
      <c r="RQV20" s="222"/>
      <c r="RQW20" s="222"/>
      <c r="RQX20" s="222"/>
      <c r="RQY20" s="222"/>
      <c r="RQZ20" s="222"/>
      <c r="RRA20" s="222"/>
      <c r="RRB20" s="222"/>
      <c r="RRC20" s="222"/>
      <c r="RRD20" s="222"/>
      <c r="RRE20" s="222"/>
      <c r="RRF20" s="222"/>
      <c r="RRG20" s="222"/>
      <c r="RRH20" s="222"/>
      <c r="RRI20" s="222"/>
      <c r="RRJ20" s="222"/>
      <c r="RRK20" s="222"/>
      <c r="RRL20" s="222"/>
      <c r="RRM20" s="222"/>
      <c r="RRN20" s="222"/>
      <c r="RRO20" s="222"/>
      <c r="RRP20" s="222"/>
      <c r="RRQ20" s="222"/>
      <c r="RRR20" s="222"/>
      <c r="RRS20" s="222"/>
      <c r="RRT20" s="222"/>
      <c r="RRU20" s="222"/>
      <c r="RRV20" s="222"/>
      <c r="RRW20" s="222"/>
      <c r="RRX20" s="222"/>
      <c r="RRY20" s="222"/>
      <c r="RRZ20" s="222"/>
      <c r="RSA20" s="222"/>
      <c r="RSB20" s="222"/>
      <c r="RSC20" s="222"/>
      <c r="RSD20" s="222"/>
      <c r="RSE20" s="222"/>
      <c r="RSF20" s="222"/>
      <c r="RSG20" s="222"/>
      <c r="RSH20" s="222"/>
      <c r="RSI20" s="222"/>
      <c r="RSJ20" s="222"/>
      <c r="RSK20" s="222"/>
      <c r="RSL20" s="222"/>
      <c r="RSM20" s="222"/>
      <c r="RSN20" s="222"/>
      <c r="RSO20" s="222"/>
      <c r="RSP20" s="222"/>
      <c r="RSQ20" s="222"/>
      <c r="RSR20" s="222"/>
      <c r="RSS20" s="222"/>
      <c r="RST20" s="222"/>
      <c r="RSU20" s="222"/>
      <c r="RSV20" s="222"/>
      <c r="RSW20" s="222"/>
      <c r="RSX20" s="222"/>
      <c r="RSY20" s="222"/>
      <c r="RSZ20" s="222"/>
      <c r="RTA20" s="222"/>
      <c r="RTB20" s="222"/>
      <c r="RTC20" s="222"/>
      <c r="RTD20" s="222"/>
      <c r="RTE20" s="222"/>
      <c r="RTF20" s="222"/>
      <c r="RTG20" s="222"/>
      <c r="RTH20" s="222"/>
      <c r="RTI20" s="222"/>
      <c r="RTJ20" s="222"/>
      <c r="RTK20" s="222"/>
      <c r="RTL20" s="222"/>
      <c r="RTM20" s="222"/>
      <c r="RTN20" s="222"/>
      <c r="RTO20" s="222"/>
      <c r="RTP20" s="222"/>
      <c r="RTQ20" s="222"/>
      <c r="RTR20" s="222"/>
      <c r="RTS20" s="222"/>
      <c r="RTT20" s="222"/>
      <c r="RTU20" s="222"/>
      <c r="RTV20" s="222"/>
      <c r="RTW20" s="222"/>
      <c r="RTX20" s="222"/>
      <c r="RTY20" s="222"/>
      <c r="RTZ20" s="222"/>
      <c r="RUA20" s="222"/>
      <c r="RUB20" s="222"/>
      <c r="RUC20" s="222"/>
      <c r="RUD20" s="222"/>
      <c r="RUE20" s="222"/>
      <c r="RUF20" s="222"/>
      <c r="RUG20" s="222"/>
      <c r="RUH20" s="222"/>
      <c r="RUI20" s="222"/>
      <c r="RUJ20" s="222"/>
      <c r="RUK20" s="222"/>
      <c r="RUL20" s="222"/>
      <c r="RUM20" s="222"/>
      <c r="RUN20" s="222"/>
      <c r="RUO20" s="222"/>
      <c r="RUP20" s="222"/>
      <c r="RUQ20" s="222"/>
      <c r="RUR20" s="222"/>
      <c r="RUS20" s="222"/>
      <c r="RUT20" s="222"/>
      <c r="RUU20" s="222"/>
      <c r="RUV20" s="222"/>
      <c r="RUW20" s="222"/>
      <c r="RUX20" s="222"/>
      <c r="RUY20" s="222"/>
      <c r="RUZ20" s="222"/>
      <c r="RVA20" s="222"/>
      <c r="RVB20" s="222"/>
      <c r="RVC20" s="222"/>
      <c r="RVD20" s="222"/>
      <c r="RVE20" s="222"/>
      <c r="RVF20" s="222"/>
      <c r="RVG20" s="222"/>
      <c r="RVH20" s="222"/>
      <c r="RVI20" s="222"/>
      <c r="RVJ20" s="222"/>
      <c r="RVK20" s="222"/>
      <c r="RVL20" s="222"/>
      <c r="RVM20" s="222"/>
      <c r="RVN20" s="222"/>
      <c r="RVO20" s="222"/>
      <c r="RVP20" s="222"/>
      <c r="RVQ20" s="222"/>
      <c r="RVR20" s="222"/>
      <c r="RVS20" s="222"/>
      <c r="RVT20" s="222"/>
      <c r="RVU20" s="222"/>
      <c r="RVV20" s="222"/>
      <c r="RVW20" s="222"/>
      <c r="RVX20" s="222"/>
      <c r="RVY20" s="222"/>
      <c r="RVZ20" s="222"/>
      <c r="RWA20" s="222"/>
      <c r="RWB20" s="222"/>
      <c r="RWC20" s="222"/>
      <c r="RWD20" s="222"/>
      <c r="RWE20" s="222"/>
      <c r="RWF20" s="222"/>
      <c r="RWG20" s="222"/>
      <c r="RWH20" s="222"/>
      <c r="RWI20" s="222"/>
      <c r="RWJ20" s="222"/>
      <c r="RWK20" s="222"/>
      <c r="RWL20" s="222"/>
      <c r="RWM20" s="222"/>
      <c r="RWN20" s="222"/>
      <c r="RWO20" s="222"/>
      <c r="RWP20" s="222"/>
      <c r="RWQ20" s="222"/>
      <c r="RWR20" s="222"/>
      <c r="RWS20" s="222"/>
      <c r="RWT20" s="222"/>
      <c r="RWU20" s="222"/>
      <c r="RWV20" s="222"/>
      <c r="RWW20" s="222"/>
      <c r="RWX20" s="222"/>
      <c r="RWY20" s="222"/>
      <c r="RWZ20" s="222"/>
      <c r="RXA20" s="222"/>
      <c r="RXB20" s="222"/>
      <c r="RXC20" s="222"/>
      <c r="RXD20" s="222"/>
      <c r="RXE20" s="222"/>
      <c r="RXF20" s="222"/>
      <c r="RXG20" s="222"/>
      <c r="RXH20" s="222"/>
      <c r="RXI20" s="222"/>
      <c r="RXJ20" s="222"/>
      <c r="RXK20" s="222"/>
      <c r="RXL20" s="222"/>
      <c r="RXM20" s="222"/>
      <c r="RXN20" s="222"/>
      <c r="RXO20" s="222"/>
      <c r="RXP20" s="222"/>
      <c r="RXQ20" s="222"/>
      <c r="RXR20" s="222"/>
      <c r="RXS20" s="222"/>
      <c r="RXT20" s="222"/>
      <c r="RXU20" s="222"/>
      <c r="RXV20" s="222"/>
      <c r="RXW20" s="222"/>
      <c r="RXX20" s="222"/>
      <c r="RXY20" s="222"/>
      <c r="RXZ20" s="222"/>
      <c r="RYA20" s="222"/>
      <c r="RYB20" s="222"/>
      <c r="RYC20" s="222"/>
      <c r="RYD20" s="222"/>
      <c r="RYE20" s="222"/>
      <c r="RYF20" s="222"/>
      <c r="RYG20" s="222"/>
      <c r="RYH20" s="222"/>
      <c r="RYI20" s="222"/>
      <c r="RYJ20" s="222"/>
      <c r="RYK20" s="222"/>
      <c r="RYL20" s="222"/>
      <c r="RYM20" s="222"/>
      <c r="RYN20" s="222"/>
      <c r="RYO20" s="222"/>
      <c r="RYP20" s="222"/>
      <c r="RYQ20" s="222"/>
      <c r="RYR20" s="222"/>
      <c r="RYS20" s="222"/>
      <c r="RYT20" s="222"/>
      <c r="RYU20" s="222"/>
      <c r="RYV20" s="222"/>
      <c r="RYW20" s="222"/>
      <c r="RYX20" s="222"/>
      <c r="RYY20" s="222"/>
      <c r="RYZ20" s="222"/>
      <c r="RZA20" s="222"/>
      <c r="RZB20" s="222"/>
      <c r="RZC20" s="222"/>
      <c r="RZD20" s="222"/>
      <c r="RZE20" s="222"/>
      <c r="RZF20" s="222"/>
      <c r="RZG20" s="222"/>
      <c r="RZH20" s="222"/>
      <c r="RZI20" s="222"/>
      <c r="RZJ20" s="222"/>
      <c r="RZK20" s="222"/>
      <c r="RZL20" s="222"/>
      <c r="RZM20" s="222"/>
      <c r="RZN20" s="222"/>
      <c r="RZO20" s="222"/>
      <c r="RZP20" s="222"/>
      <c r="RZQ20" s="222"/>
      <c r="RZR20" s="222"/>
      <c r="RZS20" s="222"/>
      <c r="RZT20" s="222"/>
      <c r="RZU20" s="222"/>
      <c r="RZV20" s="222"/>
      <c r="RZW20" s="222"/>
      <c r="RZX20" s="222"/>
      <c r="RZY20" s="222"/>
      <c r="RZZ20" s="222"/>
      <c r="SAA20" s="222"/>
      <c r="SAB20" s="222"/>
      <c r="SAC20" s="222"/>
      <c r="SAD20" s="222"/>
      <c r="SAE20" s="222"/>
      <c r="SAF20" s="222"/>
      <c r="SAG20" s="222"/>
      <c r="SAH20" s="222"/>
      <c r="SAI20" s="222"/>
      <c r="SAJ20" s="222"/>
      <c r="SAK20" s="222"/>
      <c r="SAL20" s="222"/>
      <c r="SAM20" s="222"/>
      <c r="SAN20" s="222"/>
      <c r="SAO20" s="222"/>
      <c r="SAP20" s="222"/>
      <c r="SAQ20" s="222"/>
      <c r="SAR20" s="222"/>
      <c r="SAS20" s="222"/>
      <c r="SAT20" s="222"/>
      <c r="SAU20" s="222"/>
      <c r="SAV20" s="222"/>
      <c r="SAW20" s="222"/>
      <c r="SAX20" s="222"/>
      <c r="SAY20" s="222"/>
      <c r="SAZ20" s="222"/>
      <c r="SBA20" s="222"/>
      <c r="SBB20" s="222"/>
      <c r="SBC20" s="222"/>
      <c r="SBD20" s="222"/>
      <c r="SBE20" s="222"/>
      <c r="SBF20" s="222"/>
      <c r="SBG20" s="222"/>
      <c r="SBH20" s="222"/>
      <c r="SBI20" s="222"/>
      <c r="SBJ20" s="222"/>
      <c r="SBK20" s="222"/>
      <c r="SBL20" s="222"/>
      <c r="SBM20" s="222"/>
      <c r="SBN20" s="222"/>
      <c r="SBO20" s="222"/>
      <c r="SBP20" s="222"/>
      <c r="SBQ20" s="222"/>
      <c r="SBR20" s="222"/>
      <c r="SBS20" s="222"/>
      <c r="SBT20" s="222"/>
      <c r="SBU20" s="222"/>
      <c r="SBV20" s="222"/>
      <c r="SBW20" s="222"/>
      <c r="SBX20" s="222"/>
      <c r="SBY20" s="222"/>
      <c r="SBZ20" s="222"/>
      <c r="SCA20" s="222"/>
      <c r="SCB20" s="222"/>
      <c r="SCC20" s="222"/>
      <c r="SCD20" s="222"/>
      <c r="SCE20" s="222"/>
      <c r="SCF20" s="222"/>
      <c r="SCG20" s="222"/>
      <c r="SCH20" s="222"/>
      <c r="SCI20" s="222"/>
      <c r="SCJ20" s="222"/>
      <c r="SCK20" s="222"/>
      <c r="SCL20" s="222"/>
      <c r="SCM20" s="222"/>
      <c r="SCN20" s="222"/>
      <c r="SCO20" s="222"/>
      <c r="SCP20" s="222"/>
      <c r="SCQ20" s="222"/>
      <c r="SCR20" s="222"/>
      <c r="SCS20" s="222"/>
      <c r="SCT20" s="222"/>
      <c r="SCU20" s="222"/>
      <c r="SCV20" s="222"/>
      <c r="SCW20" s="222"/>
      <c r="SCX20" s="222"/>
      <c r="SCY20" s="222"/>
      <c r="SCZ20" s="222"/>
      <c r="SDA20" s="222"/>
      <c r="SDB20" s="222"/>
      <c r="SDC20" s="222"/>
      <c r="SDD20" s="222"/>
      <c r="SDE20" s="222"/>
      <c r="SDF20" s="222"/>
      <c r="SDG20" s="222"/>
      <c r="SDH20" s="222"/>
      <c r="SDI20" s="222"/>
      <c r="SDJ20" s="222"/>
      <c r="SDK20" s="222"/>
      <c r="SDL20" s="222"/>
      <c r="SDM20" s="222"/>
      <c r="SDN20" s="222"/>
      <c r="SDO20" s="222"/>
      <c r="SDP20" s="222"/>
      <c r="SDQ20" s="222"/>
      <c r="SDR20" s="222"/>
      <c r="SDS20" s="222"/>
      <c r="SDT20" s="222"/>
      <c r="SDU20" s="222"/>
      <c r="SDV20" s="222"/>
      <c r="SDW20" s="222"/>
      <c r="SDX20" s="222"/>
      <c r="SDY20" s="222"/>
      <c r="SDZ20" s="222"/>
      <c r="SEA20" s="222"/>
      <c r="SEB20" s="222"/>
      <c r="SEC20" s="222"/>
      <c r="SED20" s="222"/>
      <c r="SEE20" s="222"/>
      <c r="SEF20" s="222"/>
      <c r="SEG20" s="222"/>
      <c r="SEH20" s="222"/>
      <c r="SEI20" s="222"/>
      <c r="SEJ20" s="222"/>
      <c r="SEK20" s="222"/>
      <c r="SEL20" s="222"/>
      <c r="SEM20" s="222"/>
      <c r="SEN20" s="222"/>
      <c r="SEO20" s="222"/>
      <c r="SEP20" s="222"/>
      <c r="SEQ20" s="222"/>
      <c r="SER20" s="222"/>
      <c r="SES20" s="222"/>
      <c r="SET20" s="222"/>
      <c r="SEU20" s="222"/>
      <c r="SEV20" s="222"/>
      <c r="SEW20" s="222"/>
      <c r="SEX20" s="222"/>
      <c r="SEY20" s="222"/>
      <c r="SEZ20" s="222"/>
      <c r="SFA20" s="222"/>
      <c r="SFB20" s="222"/>
      <c r="SFC20" s="222"/>
      <c r="SFD20" s="222"/>
      <c r="SFE20" s="222"/>
      <c r="SFF20" s="222"/>
      <c r="SFG20" s="222"/>
      <c r="SFH20" s="222"/>
      <c r="SFI20" s="222"/>
      <c r="SFJ20" s="222"/>
      <c r="SFK20" s="222"/>
      <c r="SFL20" s="222"/>
      <c r="SFM20" s="222"/>
      <c r="SFN20" s="222"/>
      <c r="SFO20" s="222"/>
      <c r="SFP20" s="222"/>
      <c r="SFQ20" s="222"/>
      <c r="SFR20" s="222"/>
      <c r="SFS20" s="222"/>
      <c r="SFT20" s="222"/>
      <c r="SFU20" s="222"/>
      <c r="SFV20" s="222"/>
      <c r="SFW20" s="222"/>
      <c r="SFX20" s="222"/>
      <c r="SFY20" s="222"/>
      <c r="SFZ20" s="222"/>
      <c r="SGA20" s="222"/>
      <c r="SGB20" s="222"/>
      <c r="SGC20" s="222"/>
      <c r="SGD20" s="222"/>
      <c r="SGE20" s="222"/>
      <c r="SGF20" s="222"/>
      <c r="SGG20" s="222"/>
      <c r="SGH20" s="222"/>
      <c r="SGI20" s="222"/>
      <c r="SGJ20" s="222"/>
      <c r="SGK20" s="222"/>
      <c r="SGL20" s="222"/>
      <c r="SGM20" s="222"/>
      <c r="SGN20" s="222"/>
      <c r="SGO20" s="222"/>
      <c r="SGP20" s="222"/>
      <c r="SGQ20" s="222"/>
      <c r="SGR20" s="222"/>
      <c r="SGS20" s="222"/>
      <c r="SGT20" s="222"/>
      <c r="SGU20" s="222"/>
      <c r="SGV20" s="222"/>
      <c r="SGW20" s="222"/>
      <c r="SGX20" s="222"/>
      <c r="SGY20" s="222"/>
      <c r="SGZ20" s="222"/>
      <c r="SHA20" s="222"/>
      <c r="SHB20" s="222"/>
      <c r="SHC20" s="222"/>
      <c r="SHD20" s="222"/>
      <c r="SHE20" s="222"/>
      <c r="SHF20" s="222"/>
      <c r="SHG20" s="222"/>
      <c r="SHH20" s="222"/>
      <c r="SHI20" s="222"/>
      <c r="SHJ20" s="222"/>
      <c r="SHK20" s="222"/>
      <c r="SHL20" s="222"/>
      <c r="SHM20" s="222"/>
      <c r="SHN20" s="222"/>
      <c r="SHO20" s="222"/>
      <c r="SHP20" s="222"/>
      <c r="SHQ20" s="222"/>
      <c r="SHR20" s="222"/>
      <c r="SHS20" s="222"/>
      <c r="SHT20" s="222"/>
      <c r="SHU20" s="222"/>
      <c r="SHV20" s="222"/>
      <c r="SHW20" s="222"/>
      <c r="SHX20" s="222"/>
      <c r="SHY20" s="222"/>
      <c r="SHZ20" s="222"/>
      <c r="SIA20" s="222"/>
      <c r="SIB20" s="222"/>
      <c r="SIC20" s="222"/>
      <c r="SID20" s="222"/>
      <c r="SIE20" s="222"/>
      <c r="SIF20" s="222"/>
      <c r="SIG20" s="222"/>
      <c r="SIH20" s="222"/>
      <c r="SII20" s="222"/>
      <c r="SIJ20" s="222"/>
      <c r="SIK20" s="222"/>
      <c r="SIL20" s="222"/>
      <c r="SIM20" s="222"/>
      <c r="SIN20" s="222"/>
      <c r="SIO20" s="222"/>
      <c r="SIP20" s="222"/>
      <c r="SIQ20" s="222"/>
      <c r="SIR20" s="222"/>
      <c r="SIS20" s="222"/>
      <c r="SIT20" s="222"/>
      <c r="SIU20" s="222"/>
      <c r="SIV20" s="222"/>
      <c r="SIW20" s="222"/>
      <c r="SIX20" s="222"/>
      <c r="SIY20" s="222"/>
      <c r="SIZ20" s="222"/>
      <c r="SJA20" s="222"/>
      <c r="SJB20" s="222"/>
      <c r="SJC20" s="222"/>
      <c r="SJD20" s="222"/>
      <c r="SJE20" s="222"/>
      <c r="SJF20" s="222"/>
      <c r="SJG20" s="222"/>
      <c r="SJH20" s="222"/>
      <c r="SJI20" s="222"/>
      <c r="SJJ20" s="222"/>
      <c r="SJK20" s="222"/>
      <c r="SJL20" s="222"/>
      <c r="SJM20" s="222"/>
      <c r="SJN20" s="222"/>
      <c r="SJO20" s="222"/>
      <c r="SJP20" s="222"/>
      <c r="SJQ20" s="222"/>
      <c r="SJR20" s="222"/>
      <c r="SJS20" s="222"/>
      <c r="SJT20" s="222"/>
      <c r="SJU20" s="222"/>
      <c r="SJV20" s="222"/>
      <c r="SJW20" s="222"/>
      <c r="SJX20" s="222"/>
      <c r="SJY20" s="222"/>
      <c r="SJZ20" s="222"/>
      <c r="SKA20" s="222"/>
      <c r="SKB20" s="222"/>
      <c r="SKC20" s="222"/>
      <c r="SKD20" s="222"/>
      <c r="SKE20" s="222"/>
      <c r="SKF20" s="222"/>
      <c r="SKG20" s="222"/>
      <c r="SKH20" s="222"/>
      <c r="SKI20" s="222"/>
      <c r="SKJ20" s="222"/>
      <c r="SKK20" s="222"/>
      <c r="SKL20" s="222"/>
      <c r="SKM20" s="222"/>
      <c r="SKN20" s="222"/>
      <c r="SKO20" s="222"/>
      <c r="SKP20" s="222"/>
      <c r="SKQ20" s="222"/>
      <c r="SKR20" s="222"/>
      <c r="SKS20" s="222"/>
      <c r="SKT20" s="222"/>
      <c r="SKU20" s="222"/>
      <c r="SKV20" s="222"/>
      <c r="SKW20" s="222"/>
      <c r="SKX20" s="222"/>
      <c r="SKY20" s="222"/>
      <c r="SKZ20" s="222"/>
      <c r="SLA20" s="222"/>
      <c r="SLB20" s="222"/>
      <c r="SLC20" s="222"/>
      <c r="SLD20" s="222"/>
      <c r="SLE20" s="222"/>
      <c r="SLF20" s="222"/>
      <c r="SLG20" s="222"/>
      <c r="SLH20" s="222"/>
      <c r="SLI20" s="222"/>
      <c r="SLJ20" s="222"/>
      <c r="SLK20" s="222"/>
      <c r="SLL20" s="222"/>
      <c r="SLM20" s="222"/>
      <c r="SLN20" s="222"/>
      <c r="SLO20" s="222"/>
      <c r="SLP20" s="222"/>
      <c r="SLQ20" s="222"/>
      <c r="SLR20" s="222"/>
      <c r="SLS20" s="222"/>
      <c r="SLT20" s="222"/>
      <c r="SLU20" s="222"/>
      <c r="SLV20" s="222"/>
      <c r="SLW20" s="222"/>
      <c r="SLX20" s="222"/>
      <c r="SLY20" s="222"/>
      <c r="SLZ20" s="222"/>
      <c r="SMA20" s="222"/>
      <c r="SMB20" s="222"/>
      <c r="SMC20" s="222"/>
      <c r="SMD20" s="222"/>
      <c r="SME20" s="222"/>
      <c r="SMF20" s="222"/>
      <c r="SMG20" s="222"/>
      <c r="SMH20" s="222"/>
      <c r="SMI20" s="222"/>
      <c r="SMJ20" s="222"/>
      <c r="SMK20" s="222"/>
      <c r="SML20" s="222"/>
      <c r="SMM20" s="222"/>
      <c r="SMN20" s="222"/>
      <c r="SMO20" s="222"/>
      <c r="SMP20" s="222"/>
      <c r="SMQ20" s="222"/>
      <c r="SMR20" s="222"/>
      <c r="SMS20" s="222"/>
      <c r="SMT20" s="222"/>
      <c r="SMU20" s="222"/>
      <c r="SMV20" s="222"/>
      <c r="SMW20" s="222"/>
      <c r="SMX20" s="222"/>
      <c r="SMY20" s="222"/>
      <c r="SMZ20" s="222"/>
      <c r="SNA20" s="222"/>
      <c r="SNB20" s="222"/>
      <c r="SNC20" s="222"/>
      <c r="SND20" s="222"/>
      <c r="SNE20" s="222"/>
      <c r="SNF20" s="222"/>
      <c r="SNG20" s="222"/>
      <c r="SNH20" s="222"/>
      <c r="SNI20" s="222"/>
      <c r="SNJ20" s="222"/>
      <c r="SNK20" s="222"/>
      <c r="SNL20" s="222"/>
      <c r="SNM20" s="222"/>
      <c r="SNN20" s="222"/>
      <c r="SNO20" s="222"/>
      <c r="SNP20" s="222"/>
      <c r="SNQ20" s="222"/>
      <c r="SNR20" s="222"/>
      <c r="SNS20" s="222"/>
      <c r="SNT20" s="222"/>
      <c r="SNU20" s="222"/>
      <c r="SNV20" s="222"/>
      <c r="SNW20" s="222"/>
      <c r="SNX20" s="222"/>
      <c r="SNY20" s="222"/>
      <c r="SNZ20" s="222"/>
      <c r="SOA20" s="222"/>
      <c r="SOB20" s="222"/>
      <c r="SOC20" s="222"/>
      <c r="SOD20" s="222"/>
      <c r="SOE20" s="222"/>
      <c r="SOF20" s="222"/>
      <c r="SOG20" s="222"/>
      <c r="SOH20" s="222"/>
      <c r="SOI20" s="222"/>
      <c r="SOJ20" s="222"/>
      <c r="SOK20" s="222"/>
      <c r="SOL20" s="222"/>
      <c r="SOM20" s="222"/>
      <c r="SON20" s="222"/>
      <c r="SOO20" s="222"/>
      <c r="SOP20" s="222"/>
      <c r="SOQ20" s="222"/>
      <c r="SOR20" s="222"/>
      <c r="SOS20" s="222"/>
      <c r="SOT20" s="222"/>
      <c r="SOU20" s="222"/>
      <c r="SOV20" s="222"/>
      <c r="SOW20" s="222"/>
      <c r="SOX20" s="222"/>
      <c r="SOY20" s="222"/>
      <c r="SOZ20" s="222"/>
      <c r="SPA20" s="222"/>
      <c r="SPB20" s="222"/>
      <c r="SPC20" s="222"/>
      <c r="SPD20" s="222"/>
      <c r="SPE20" s="222"/>
      <c r="SPF20" s="222"/>
      <c r="SPG20" s="222"/>
      <c r="SPH20" s="222"/>
      <c r="SPI20" s="222"/>
      <c r="SPJ20" s="222"/>
      <c r="SPK20" s="222"/>
      <c r="SPL20" s="222"/>
      <c r="SPM20" s="222"/>
      <c r="SPN20" s="222"/>
      <c r="SPO20" s="222"/>
      <c r="SPP20" s="222"/>
      <c r="SPQ20" s="222"/>
      <c r="SPR20" s="222"/>
      <c r="SPS20" s="222"/>
      <c r="SPT20" s="222"/>
      <c r="SPU20" s="222"/>
      <c r="SPV20" s="222"/>
      <c r="SPW20" s="222"/>
      <c r="SPX20" s="222"/>
      <c r="SPY20" s="222"/>
      <c r="SPZ20" s="222"/>
      <c r="SQA20" s="222"/>
      <c r="SQB20" s="222"/>
      <c r="SQC20" s="222"/>
      <c r="SQD20" s="222"/>
      <c r="SQE20" s="222"/>
      <c r="SQF20" s="222"/>
      <c r="SQG20" s="222"/>
      <c r="SQH20" s="222"/>
      <c r="SQI20" s="222"/>
      <c r="SQJ20" s="222"/>
      <c r="SQK20" s="222"/>
      <c r="SQL20" s="222"/>
      <c r="SQM20" s="222"/>
      <c r="SQN20" s="222"/>
      <c r="SQO20" s="222"/>
      <c r="SQP20" s="222"/>
      <c r="SQQ20" s="222"/>
      <c r="SQR20" s="222"/>
      <c r="SQS20" s="222"/>
      <c r="SQT20" s="222"/>
      <c r="SQU20" s="222"/>
      <c r="SQV20" s="222"/>
      <c r="SQW20" s="222"/>
      <c r="SQX20" s="222"/>
      <c r="SQY20" s="222"/>
      <c r="SQZ20" s="222"/>
      <c r="SRA20" s="222"/>
      <c r="SRB20" s="222"/>
      <c r="SRC20" s="222"/>
      <c r="SRD20" s="222"/>
      <c r="SRE20" s="222"/>
      <c r="SRF20" s="222"/>
      <c r="SRG20" s="222"/>
      <c r="SRH20" s="222"/>
      <c r="SRI20" s="222"/>
      <c r="SRJ20" s="222"/>
      <c r="SRK20" s="222"/>
      <c r="SRL20" s="222"/>
      <c r="SRM20" s="222"/>
      <c r="SRN20" s="222"/>
      <c r="SRO20" s="222"/>
      <c r="SRP20" s="222"/>
      <c r="SRQ20" s="222"/>
      <c r="SRR20" s="222"/>
      <c r="SRS20" s="222"/>
      <c r="SRT20" s="222"/>
      <c r="SRU20" s="222"/>
      <c r="SRV20" s="222"/>
      <c r="SRW20" s="222"/>
      <c r="SRX20" s="222"/>
      <c r="SRY20" s="222"/>
      <c r="SRZ20" s="222"/>
      <c r="SSA20" s="222"/>
      <c r="SSB20" s="222"/>
      <c r="SSC20" s="222"/>
      <c r="SSD20" s="222"/>
      <c r="SSE20" s="222"/>
      <c r="SSF20" s="222"/>
      <c r="SSG20" s="222"/>
      <c r="SSH20" s="222"/>
      <c r="SSI20" s="222"/>
      <c r="SSJ20" s="222"/>
      <c r="SSK20" s="222"/>
      <c r="SSL20" s="222"/>
      <c r="SSM20" s="222"/>
      <c r="SSN20" s="222"/>
      <c r="SSO20" s="222"/>
      <c r="SSP20" s="222"/>
      <c r="SSQ20" s="222"/>
      <c r="SSR20" s="222"/>
      <c r="SSS20" s="222"/>
      <c r="SST20" s="222"/>
      <c r="SSU20" s="222"/>
      <c r="SSV20" s="222"/>
      <c r="SSW20" s="222"/>
      <c r="SSX20" s="222"/>
      <c r="SSY20" s="222"/>
      <c r="SSZ20" s="222"/>
      <c r="STA20" s="222"/>
      <c r="STB20" s="222"/>
      <c r="STC20" s="222"/>
      <c r="STD20" s="222"/>
      <c r="STE20" s="222"/>
      <c r="STF20" s="222"/>
      <c r="STG20" s="222"/>
      <c r="STH20" s="222"/>
      <c r="STI20" s="222"/>
      <c r="STJ20" s="222"/>
      <c r="STK20" s="222"/>
      <c r="STL20" s="222"/>
      <c r="STM20" s="222"/>
      <c r="STN20" s="222"/>
      <c r="STO20" s="222"/>
      <c r="STP20" s="222"/>
      <c r="STQ20" s="222"/>
      <c r="STR20" s="222"/>
      <c r="STS20" s="222"/>
      <c r="STT20" s="222"/>
      <c r="STU20" s="222"/>
      <c r="STV20" s="222"/>
      <c r="STW20" s="222"/>
      <c r="STX20" s="222"/>
      <c r="STY20" s="222"/>
      <c r="STZ20" s="222"/>
      <c r="SUA20" s="222"/>
      <c r="SUB20" s="222"/>
      <c r="SUC20" s="222"/>
      <c r="SUD20" s="222"/>
      <c r="SUE20" s="222"/>
      <c r="SUF20" s="222"/>
      <c r="SUG20" s="222"/>
      <c r="SUH20" s="222"/>
      <c r="SUI20" s="222"/>
      <c r="SUJ20" s="222"/>
      <c r="SUK20" s="222"/>
      <c r="SUL20" s="222"/>
      <c r="SUM20" s="222"/>
      <c r="SUN20" s="222"/>
      <c r="SUO20" s="222"/>
      <c r="SUP20" s="222"/>
      <c r="SUQ20" s="222"/>
      <c r="SUR20" s="222"/>
      <c r="SUS20" s="222"/>
      <c r="SUT20" s="222"/>
      <c r="SUU20" s="222"/>
      <c r="SUV20" s="222"/>
      <c r="SUW20" s="222"/>
      <c r="SUX20" s="222"/>
      <c r="SUY20" s="222"/>
      <c r="SUZ20" s="222"/>
      <c r="SVA20" s="222"/>
      <c r="SVB20" s="222"/>
      <c r="SVC20" s="222"/>
      <c r="SVD20" s="222"/>
      <c r="SVE20" s="222"/>
      <c r="SVF20" s="222"/>
      <c r="SVG20" s="222"/>
      <c r="SVH20" s="222"/>
      <c r="SVI20" s="222"/>
      <c r="SVJ20" s="222"/>
      <c r="SVK20" s="222"/>
      <c r="SVL20" s="222"/>
      <c r="SVM20" s="222"/>
      <c r="SVN20" s="222"/>
      <c r="SVO20" s="222"/>
      <c r="SVP20" s="222"/>
      <c r="SVQ20" s="222"/>
      <c r="SVR20" s="222"/>
      <c r="SVS20" s="222"/>
      <c r="SVT20" s="222"/>
      <c r="SVU20" s="222"/>
      <c r="SVV20" s="222"/>
      <c r="SVW20" s="222"/>
      <c r="SVX20" s="222"/>
      <c r="SVY20" s="222"/>
      <c r="SVZ20" s="222"/>
      <c r="SWA20" s="222"/>
      <c r="SWB20" s="222"/>
      <c r="SWC20" s="222"/>
      <c r="SWD20" s="222"/>
      <c r="SWE20" s="222"/>
      <c r="SWF20" s="222"/>
      <c r="SWG20" s="222"/>
      <c r="SWH20" s="222"/>
      <c r="SWI20" s="222"/>
      <c r="SWJ20" s="222"/>
      <c r="SWK20" s="222"/>
      <c r="SWL20" s="222"/>
      <c r="SWM20" s="222"/>
      <c r="SWN20" s="222"/>
      <c r="SWO20" s="222"/>
      <c r="SWP20" s="222"/>
      <c r="SWQ20" s="222"/>
      <c r="SWR20" s="222"/>
      <c r="SWS20" s="222"/>
      <c r="SWT20" s="222"/>
      <c r="SWU20" s="222"/>
      <c r="SWV20" s="222"/>
      <c r="SWW20" s="222"/>
      <c r="SWX20" s="222"/>
      <c r="SWY20" s="222"/>
      <c r="SWZ20" s="222"/>
      <c r="SXA20" s="222"/>
      <c r="SXB20" s="222"/>
      <c r="SXC20" s="222"/>
      <c r="SXD20" s="222"/>
      <c r="SXE20" s="222"/>
      <c r="SXF20" s="222"/>
      <c r="SXG20" s="222"/>
      <c r="SXH20" s="222"/>
      <c r="SXI20" s="222"/>
      <c r="SXJ20" s="222"/>
      <c r="SXK20" s="222"/>
      <c r="SXL20" s="222"/>
      <c r="SXM20" s="222"/>
      <c r="SXN20" s="222"/>
      <c r="SXO20" s="222"/>
      <c r="SXP20" s="222"/>
      <c r="SXQ20" s="222"/>
      <c r="SXR20" s="222"/>
      <c r="SXS20" s="222"/>
      <c r="SXT20" s="222"/>
      <c r="SXU20" s="222"/>
      <c r="SXV20" s="222"/>
      <c r="SXW20" s="222"/>
      <c r="SXX20" s="222"/>
      <c r="SXY20" s="222"/>
      <c r="SXZ20" s="222"/>
      <c r="SYA20" s="222"/>
      <c r="SYB20" s="222"/>
      <c r="SYC20" s="222"/>
      <c r="SYD20" s="222"/>
      <c r="SYE20" s="222"/>
      <c r="SYF20" s="222"/>
      <c r="SYG20" s="222"/>
      <c r="SYH20" s="222"/>
      <c r="SYI20" s="222"/>
      <c r="SYJ20" s="222"/>
      <c r="SYK20" s="222"/>
      <c r="SYL20" s="222"/>
      <c r="SYM20" s="222"/>
      <c r="SYN20" s="222"/>
      <c r="SYO20" s="222"/>
      <c r="SYP20" s="222"/>
      <c r="SYQ20" s="222"/>
      <c r="SYR20" s="222"/>
      <c r="SYS20" s="222"/>
      <c r="SYT20" s="222"/>
      <c r="SYU20" s="222"/>
      <c r="SYV20" s="222"/>
      <c r="SYW20" s="222"/>
      <c r="SYX20" s="222"/>
      <c r="SYY20" s="222"/>
      <c r="SYZ20" s="222"/>
      <c r="SZA20" s="222"/>
      <c r="SZB20" s="222"/>
      <c r="SZC20" s="222"/>
      <c r="SZD20" s="222"/>
      <c r="SZE20" s="222"/>
      <c r="SZF20" s="222"/>
      <c r="SZG20" s="222"/>
      <c r="SZH20" s="222"/>
      <c r="SZI20" s="222"/>
      <c r="SZJ20" s="222"/>
      <c r="SZK20" s="222"/>
      <c r="SZL20" s="222"/>
      <c r="SZM20" s="222"/>
      <c r="SZN20" s="222"/>
      <c r="SZO20" s="222"/>
      <c r="SZP20" s="222"/>
      <c r="SZQ20" s="222"/>
      <c r="SZR20" s="222"/>
      <c r="SZS20" s="222"/>
      <c r="SZT20" s="222"/>
      <c r="SZU20" s="222"/>
      <c r="SZV20" s="222"/>
      <c r="SZW20" s="222"/>
      <c r="SZX20" s="222"/>
      <c r="SZY20" s="222"/>
      <c r="SZZ20" s="222"/>
      <c r="TAA20" s="222"/>
      <c r="TAB20" s="222"/>
      <c r="TAC20" s="222"/>
      <c r="TAD20" s="222"/>
      <c r="TAE20" s="222"/>
      <c r="TAF20" s="222"/>
      <c r="TAG20" s="222"/>
      <c r="TAH20" s="222"/>
      <c r="TAI20" s="222"/>
      <c r="TAJ20" s="222"/>
      <c r="TAK20" s="222"/>
      <c r="TAL20" s="222"/>
      <c r="TAM20" s="222"/>
      <c r="TAN20" s="222"/>
      <c r="TAO20" s="222"/>
      <c r="TAP20" s="222"/>
      <c r="TAQ20" s="222"/>
      <c r="TAR20" s="222"/>
      <c r="TAS20" s="222"/>
      <c r="TAT20" s="222"/>
      <c r="TAU20" s="222"/>
      <c r="TAV20" s="222"/>
      <c r="TAW20" s="222"/>
      <c r="TAX20" s="222"/>
      <c r="TAY20" s="222"/>
      <c r="TAZ20" s="222"/>
      <c r="TBA20" s="222"/>
      <c r="TBB20" s="222"/>
      <c r="TBC20" s="222"/>
      <c r="TBD20" s="222"/>
      <c r="TBE20" s="222"/>
      <c r="TBF20" s="222"/>
      <c r="TBG20" s="222"/>
      <c r="TBH20" s="222"/>
      <c r="TBI20" s="222"/>
      <c r="TBJ20" s="222"/>
      <c r="TBK20" s="222"/>
      <c r="TBL20" s="222"/>
      <c r="TBM20" s="222"/>
      <c r="TBN20" s="222"/>
      <c r="TBO20" s="222"/>
      <c r="TBP20" s="222"/>
      <c r="TBQ20" s="222"/>
      <c r="TBR20" s="222"/>
      <c r="TBS20" s="222"/>
      <c r="TBT20" s="222"/>
      <c r="TBU20" s="222"/>
      <c r="TBV20" s="222"/>
      <c r="TBW20" s="222"/>
      <c r="TBX20" s="222"/>
      <c r="TBY20" s="222"/>
      <c r="TBZ20" s="222"/>
      <c r="TCA20" s="222"/>
      <c r="TCB20" s="222"/>
      <c r="TCC20" s="222"/>
      <c r="TCD20" s="222"/>
      <c r="TCE20" s="222"/>
      <c r="TCF20" s="222"/>
      <c r="TCG20" s="222"/>
      <c r="TCH20" s="222"/>
      <c r="TCI20" s="222"/>
      <c r="TCJ20" s="222"/>
      <c r="TCK20" s="222"/>
      <c r="TCL20" s="222"/>
      <c r="TCM20" s="222"/>
      <c r="TCN20" s="222"/>
      <c r="TCO20" s="222"/>
      <c r="TCP20" s="222"/>
      <c r="TCQ20" s="222"/>
      <c r="TCR20" s="222"/>
      <c r="TCS20" s="222"/>
      <c r="TCT20" s="222"/>
      <c r="TCU20" s="222"/>
      <c r="TCV20" s="222"/>
      <c r="TCW20" s="222"/>
      <c r="TCX20" s="222"/>
      <c r="TCY20" s="222"/>
      <c r="TCZ20" s="222"/>
      <c r="TDA20" s="222"/>
      <c r="TDB20" s="222"/>
      <c r="TDC20" s="222"/>
      <c r="TDD20" s="222"/>
      <c r="TDE20" s="222"/>
      <c r="TDF20" s="222"/>
      <c r="TDG20" s="222"/>
      <c r="TDH20" s="222"/>
      <c r="TDI20" s="222"/>
      <c r="TDJ20" s="222"/>
      <c r="TDK20" s="222"/>
      <c r="TDL20" s="222"/>
      <c r="TDM20" s="222"/>
      <c r="TDN20" s="222"/>
      <c r="TDO20" s="222"/>
      <c r="TDP20" s="222"/>
      <c r="TDQ20" s="222"/>
      <c r="TDR20" s="222"/>
      <c r="TDS20" s="222"/>
      <c r="TDT20" s="222"/>
      <c r="TDU20" s="222"/>
      <c r="TDV20" s="222"/>
      <c r="TDW20" s="222"/>
      <c r="TDX20" s="222"/>
      <c r="TDY20" s="222"/>
      <c r="TDZ20" s="222"/>
      <c r="TEA20" s="222"/>
      <c r="TEB20" s="222"/>
      <c r="TEC20" s="222"/>
      <c r="TED20" s="222"/>
      <c r="TEE20" s="222"/>
      <c r="TEF20" s="222"/>
      <c r="TEG20" s="222"/>
      <c r="TEH20" s="222"/>
      <c r="TEI20" s="222"/>
      <c r="TEJ20" s="222"/>
      <c r="TEK20" s="222"/>
      <c r="TEL20" s="222"/>
      <c r="TEM20" s="222"/>
      <c r="TEN20" s="222"/>
      <c r="TEO20" s="222"/>
      <c r="TEP20" s="222"/>
      <c r="TEQ20" s="222"/>
      <c r="TER20" s="222"/>
      <c r="TES20" s="222"/>
      <c r="TET20" s="222"/>
      <c r="TEU20" s="222"/>
      <c r="TEV20" s="222"/>
      <c r="TEW20" s="222"/>
      <c r="TEX20" s="222"/>
      <c r="TEY20" s="222"/>
      <c r="TEZ20" s="222"/>
      <c r="TFA20" s="222"/>
      <c r="TFB20" s="222"/>
      <c r="TFC20" s="222"/>
      <c r="TFD20" s="222"/>
      <c r="TFE20" s="222"/>
      <c r="TFF20" s="222"/>
      <c r="TFG20" s="222"/>
      <c r="TFH20" s="222"/>
      <c r="TFI20" s="222"/>
      <c r="TFJ20" s="222"/>
      <c r="TFK20" s="222"/>
      <c r="TFL20" s="222"/>
      <c r="TFM20" s="222"/>
      <c r="TFN20" s="222"/>
      <c r="TFO20" s="222"/>
      <c r="TFP20" s="222"/>
      <c r="TFQ20" s="222"/>
      <c r="TFR20" s="222"/>
      <c r="TFS20" s="222"/>
      <c r="TFT20" s="222"/>
      <c r="TFU20" s="222"/>
      <c r="TFV20" s="222"/>
      <c r="TFW20" s="222"/>
      <c r="TFX20" s="222"/>
      <c r="TFY20" s="222"/>
      <c r="TFZ20" s="222"/>
      <c r="TGA20" s="222"/>
      <c r="TGB20" s="222"/>
      <c r="TGC20" s="222"/>
      <c r="TGD20" s="222"/>
      <c r="TGE20" s="222"/>
      <c r="TGF20" s="222"/>
      <c r="TGG20" s="222"/>
      <c r="TGH20" s="222"/>
      <c r="TGI20" s="222"/>
      <c r="TGJ20" s="222"/>
      <c r="TGK20" s="222"/>
      <c r="TGL20" s="222"/>
      <c r="TGM20" s="222"/>
      <c r="TGN20" s="222"/>
      <c r="TGO20" s="222"/>
      <c r="TGP20" s="222"/>
      <c r="TGQ20" s="222"/>
      <c r="TGR20" s="222"/>
      <c r="TGS20" s="222"/>
      <c r="TGT20" s="222"/>
      <c r="TGU20" s="222"/>
      <c r="TGV20" s="222"/>
      <c r="TGW20" s="222"/>
      <c r="TGX20" s="222"/>
      <c r="TGY20" s="222"/>
      <c r="TGZ20" s="222"/>
      <c r="THA20" s="222"/>
      <c r="THB20" s="222"/>
      <c r="THC20" s="222"/>
      <c r="THD20" s="222"/>
      <c r="THE20" s="222"/>
      <c r="THF20" s="222"/>
      <c r="THG20" s="222"/>
      <c r="THH20" s="222"/>
      <c r="THI20" s="222"/>
      <c r="THJ20" s="222"/>
      <c r="THK20" s="222"/>
      <c r="THL20" s="222"/>
      <c r="THM20" s="222"/>
      <c r="THN20" s="222"/>
      <c r="THO20" s="222"/>
      <c r="THP20" s="222"/>
      <c r="THQ20" s="222"/>
      <c r="THR20" s="222"/>
      <c r="THS20" s="222"/>
      <c r="THT20" s="222"/>
      <c r="THU20" s="222"/>
      <c r="THV20" s="222"/>
      <c r="THW20" s="222"/>
      <c r="THX20" s="222"/>
      <c r="THY20" s="222"/>
      <c r="THZ20" s="222"/>
      <c r="TIA20" s="222"/>
      <c r="TIB20" s="222"/>
      <c r="TIC20" s="222"/>
      <c r="TID20" s="222"/>
      <c r="TIE20" s="222"/>
      <c r="TIF20" s="222"/>
      <c r="TIG20" s="222"/>
      <c r="TIH20" s="222"/>
      <c r="TII20" s="222"/>
      <c r="TIJ20" s="222"/>
      <c r="TIK20" s="222"/>
      <c r="TIL20" s="222"/>
      <c r="TIM20" s="222"/>
      <c r="TIN20" s="222"/>
      <c r="TIO20" s="222"/>
      <c r="TIP20" s="222"/>
      <c r="TIQ20" s="222"/>
      <c r="TIR20" s="222"/>
      <c r="TIS20" s="222"/>
      <c r="TIT20" s="222"/>
      <c r="TIU20" s="222"/>
      <c r="TIV20" s="222"/>
      <c r="TIW20" s="222"/>
      <c r="TIX20" s="222"/>
      <c r="TIY20" s="222"/>
      <c r="TIZ20" s="222"/>
      <c r="TJA20" s="222"/>
      <c r="TJB20" s="222"/>
      <c r="TJC20" s="222"/>
      <c r="TJD20" s="222"/>
      <c r="TJE20" s="222"/>
      <c r="TJF20" s="222"/>
      <c r="TJG20" s="222"/>
      <c r="TJH20" s="222"/>
      <c r="TJI20" s="222"/>
      <c r="TJJ20" s="222"/>
      <c r="TJK20" s="222"/>
      <c r="TJL20" s="222"/>
      <c r="TJM20" s="222"/>
      <c r="TJN20" s="222"/>
      <c r="TJO20" s="222"/>
      <c r="TJP20" s="222"/>
      <c r="TJQ20" s="222"/>
      <c r="TJR20" s="222"/>
      <c r="TJS20" s="222"/>
      <c r="TJT20" s="222"/>
      <c r="TJU20" s="222"/>
      <c r="TJV20" s="222"/>
      <c r="TJW20" s="222"/>
      <c r="TJX20" s="222"/>
      <c r="TJY20" s="222"/>
      <c r="TJZ20" s="222"/>
      <c r="TKA20" s="222"/>
      <c r="TKB20" s="222"/>
      <c r="TKC20" s="222"/>
      <c r="TKD20" s="222"/>
      <c r="TKE20" s="222"/>
      <c r="TKF20" s="222"/>
      <c r="TKG20" s="222"/>
      <c r="TKH20" s="222"/>
      <c r="TKI20" s="222"/>
      <c r="TKJ20" s="222"/>
      <c r="TKK20" s="222"/>
      <c r="TKL20" s="222"/>
      <c r="TKM20" s="222"/>
      <c r="TKN20" s="222"/>
      <c r="TKO20" s="222"/>
      <c r="TKP20" s="222"/>
      <c r="TKQ20" s="222"/>
      <c r="TKR20" s="222"/>
      <c r="TKS20" s="222"/>
      <c r="TKT20" s="222"/>
      <c r="TKU20" s="222"/>
      <c r="TKV20" s="222"/>
      <c r="TKW20" s="222"/>
      <c r="TKX20" s="222"/>
      <c r="TKY20" s="222"/>
      <c r="TKZ20" s="222"/>
      <c r="TLA20" s="222"/>
      <c r="TLB20" s="222"/>
      <c r="TLC20" s="222"/>
      <c r="TLD20" s="222"/>
      <c r="TLE20" s="222"/>
      <c r="TLF20" s="222"/>
      <c r="TLG20" s="222"/>
      <c r="TLH20" s="222"/>
      <c r="TLI20" s="222"/>
      <c r="TLJ20" s="222"/>
      <c r="TLK20" s="222"/>
      <c r="TLL20" s="222"/>
      <c r="TLM20" s="222"/>
      <c r="TLN20" s="222"/>
      <c r="TLO20" s="222"/>
      <c r="TLP20" s="222"/>
      <c r="TLQ20" s="222"/>
      <c r="TLR20" s="222"/>
      <c r="TLS20" s="222"/>
      <c r="TLT20" s="222"/>
      <c r="TLU20" s="222"/>
      <c r="TLV20" s="222"/>
      <c r="TLW20" s="222"/>
      <c r="TLX20" s="222"/>
      <c r="TLY20" s="222"/>
      <c r="TLZ20" s="222"/>
      <c r="TMA20" s="222"/>
      <c r="TMB20" s="222"/>
      <c r="TMC20" s="222"/>
      <c r="TMD20" s="222"/>
      <c r="TME20" s="222"/>
      <c r="TMF20" s="222"/>
      <c r="TMG20" s="222"/>
      <c r="TMH20" s="222"/>
      <c r="TMI20" s="222"/>
      <c r="TMJ20" s="222"/>
      <c r="TMK20" s="222"/>
      <c r="TML20" s="222"/>
      <c r="TMM20" s="222"/>
      <c r="TMN20" s="222"/>
      <c r="TMO20" s="222"/>
      <c r="TMP20" s="222"/>
      <c r="TMQ20" s="222"/>
      <c r="TMR20" s="222"/>
      <c r="TMS20" s="222"/>
      <c r="TMT20" s="222"/>
      <c r="TMU20" s="222"/>
      <c r="TMV20" s="222"/>
      <c r="TMW20" s="222"/>
      <c r="TMX20" s="222"/>
      <c r="TMY20" s="222"/>
      <c r="TMZ20" s="222"/>
      <c r="TNA20" s="222"/>
      <c r="TNB20" s="222"/>
      <c r="TNC20" s="222"/>
      <c r="TND20" s="222"/>
      <c r="TNE20" s="222"/>
      <c r="TNF20" s="222"/>
      <c r="TNG20" s="222"/>
      <c r="TNH20" s="222"/>
      <c r="TNI20" s="222"/>
      <c r="TNJ20" s="222"/>
      <c r="TNK20" s="222"/>
      <c r="TNL20" s="222"/>
      <c r="TNM20" s="222"/>
      <c r="TNN20" s="222"/>
      <c r="TNO20" s="222"/>
      <c r="TNP20" s="222"/>
      <c r="TNQ20" s="222"/>
      <c r="TNR20" s="222"/>
      <c r="TNS20" s="222"/>
      <c r="TNT20" s="222"/>
      <c r="TNU20" s="222"/>
      <c r="TNV20" s="222"/>
      <c r="TNW20" s="222"/>
      <c r="TNX20" s="222"/>
      <c r="TNY20" s="222"/>
      <c r="TNZ20" s="222"/>
      <c r="TOA20" s="222"/>
      <c r="TOB20" s="222"/>
      <c r="TOC20" s="222"/>
      <c r="TOD20" s="222"/>
      <c r="TOE20" s="222"/>
      <c r="TOF20" s="222"/>
      <c r="TOG20" s="222"/>
      <c r="TOH20" s="222"/>
      <c r="TOI20" s="222"/>
      <c r="TOJ20" s="222"/>
      <c r="TOK20" s="222"/>
      <c r="TOL20" s="222"/>
      <c r="TOM20" s="222"/>
      <c r="TON20" s="222"/>
      <c r="TOO20" s="222"/>
      <c r="TOP20" s="222"/>
      <c r="TOQ20" s="222"/>
      <c r="TOR20" s="222"/>
      <c r="TOS20" s="222"/>
      <c r="TOT20" s="222"/>
      <c r="TOU20" s="222"/>
      <c r="TOV20" s="222"/>
      <c r="TOW20" s="222"/>
      <c r="TOX20" s="222"/>
      <c r="TOY20" s="222"/>
      <c r="TOZ20" s="222"/>
      <c r="TPA20" s="222"/>
      <c r="TPB20" s="222"/>
      <c r="TPC20" s="222"/>
      <c r="TPD20" s="222"/>
      <c r="TPE20" s="222"/>
      <c r="TPF20" s="222"/>
      <c r="TPG20" s="222"/>
      <c r="TPH20" s="222"/>
      <c r="TPI20" s="222"/>
      <c r="TPJ20" s="222"/>
      <c r="TPK20" s="222"/>
      <c r="TPL20" s="222"/>
      <c r="TPM20" s="222"/>
      <c r="TPN20" s="222"/>
      <c r="TPO20" s="222"/>
      <c r="TPP20" s="222"/>
      <c r="TPQ20" s="222"/>
      <c r="TPR20" s="222"/>
      <c r="TPS20" s="222"/>
      <c r="TPT20" s="222"/>
      <c r="TPU20" s="222"/>
      <c r="TPV20" s="222"/>
      <c r="TPW20" s="222"/>
      <c r="TPX20" s="222"/>
      <c r="TPY20" s="222"/>
      <c r="TPZ20" s="222"/>
      <c r="TQA20" s="222"/>
      <c r="TQB20" s="222"/>
      <c r="TQC20" s="222"/>
      <c r="TQD20" s="222"/>
      <c r="TQE20" s="222"/>
      <c r="TQF20" s="222"/>
      <c r="TQG20" s="222"/>
      <c r="TQH20" s="222"/>
      <c r="TQI20" s="222"/>
      <c r="TQJ20" s="222"/>
      <c r="TQK20" s="222"/>
      <c r="TQL20" s="222"/>
      <c r="TQM20" s="222"/>
      <c r="TQN20" s="222"/>
      <c r="TQO20" s="222"/>
      <c r="TQP20" s="222"/>
      <c r="TQQ20" s="222"/>
      <c r="TQR20" s="222"/>
      <c r="TQS20" s="222"/>
      <c r="TQT20" s="222"/>
      <c r="TQU20" s="222"/>
      <c r="TQV20" s="222"/>
      <c r="TQW20" s="222"/>
      <c r="TQX20" s="222"/>
      <c r="TQY20" s="222"/>
      <c r="TQZ20" s="222"/>
      <c r="TRA20" s="222"/>
      <c r="TRB20" s="222"/>
      <c r="TRC20" s="222"/>
      <c r="TRD20" s="222"/>
      <c r="TRE20" s="222"/>
      <c r="TRF20" s="222"/>
      <c r="TRG20" s="222"/>
      <c r="TRH20" s="222"/>
      <c r="TRI20" s="222"/>
      <c r="TRJ20" s="222"/>
      <c r="TRK20" s="222"/>
      <c r="TRL20" s="222"/>
      <c r="TRM20" s="222"/>
      <c r="TRN20" s="222"/>
      <c r="TRO20" s="222"/>
      <c r="TRP20" s="222"/>
      <c r="TRQ20" s="222"/>
      <c r="TRR20" s="222"/>
      <c r="TRS20" s="222"/>
      <c r="TRT20" s="222"/>
      <c r="TRU20" s="222"/>
      <c r="TRV20" s="222"/>
      <c r="TRW20" s="222"/>
      <c r="TRX20" s="222"/>
      <c r="TRY20" s="222"/>
      <c r="TRZ20" s="222"/>
      <c r="TSA20" s="222"/>
      <c r="TSB20" s="222"/>
      <c r="TSC20" s="222"/>
      <c r="TSD20" s="222"/>
      <c r="TSE20" s="222"/>
      <c r="TSF20" s="222"/>
      <c r="TSG20" s="222"/>
      <c r="TSH20" s="222"/>
      <c r="TSI20" s="222"/>
      <c r="TSJ20" s="222"/>
      <c r="TSK20" s="222"/>
      <c r="TSL20" s="222"/>
      <c r="TSM20" s="222"/>
      <c r="TSN20" s="222"/>
      <c r="TSO20" s="222"/>
      <c r="TSP20" s="222"/>
      <c r="TSQ20" s="222"/>
      <c r="TSR20" s="222"/>
      <c r="TSS20" s="222"/>
      <c r="TST20" s="222"/>
      <c r="TSU20" s="222"/>
      <c r="TSV20" s="222"/>
      <c r="TSW20" s="222"/>
      <c r="TSX20" s="222"/>
      <c r="TSY20" s="222"/>
      <c r="TSZ20" s="222"/>
      <c r="TTA20" s="222"/>
      <c r="TTB20" s="222"/>
      <c r="TTC20" s="222"/>
      <c r="TTD20" s="222"/>
      <c r="TTE20" s="222"/>
      <c r="TTF20" s="222"/>
      <c r="TTG20" s="222"/>
      <c r="TTH20" s="222"/>
      <c r="TTI20" s="222"/>
      <c r="TTJ20" s="222"/>
      <c r="TTK20" s="222"/>
      <c r="TTL20" s="222"/>
      <c r="TTM20" s="222"/>
      <c r="TTN20" s="222"/>
      <c r="TTO20" s="222"/>
      <c r="TTP20" s="222"/>
      <c r="TTQ20" s="222"/>
      <c r="TTR20" s="222"/>
      <c r="TTS20" s="222"/>
      <c r="TTT20" s="222"/>
      <c r="TTU20" s="222"/>
      <c r="TTV20" s="222"/>
      <c r="TTW20" s="222"/>
      <c r="TTX20" s="222"/>
      <c r="TTY20" s="222"/>
      <c r="TTZ20" s="222"/>
      <c r="TUA20" s="222"/>
      <c r="TUB20" s="222"/>
      <c r="TUC20" s="222"/>
      <c r="TUD20" s="222"/>
      <c r="TUE20" s="222"/>
      <c r="TUF20" s="222"/>
      <c r="TUG20" s="222"/>
      <c r="TUH20" s="222"/>
      <c r="TUI20" s="222"/>
      <c r="TUJ20" s="222"/>
      <c r="TUK20" s="222"/>
      <c r="TUL20" s="222"/>
      <c r="TUM20" s="222"/>
      <c r="TUN20" s="222"/>
      <c r="TUO20" s="222"/>
      <c r="TUP20" s="222"/>
      <c r="TUQ20" s="222"/>
      <c r="TUR20" s="222"/>
      <c r="TUS20" s="222"/>
      <c r="TUT20" s="222"/>
      <c r="TUU20" s="222"/>
      <c r="TUV20" s="222"/>
      <c r="TUW20" s="222"/>
      <c r="TUX20" s="222"/>
      <c r="TUY20" s="222"/>
      <c r="TUZ20" s="222"/>
      <c r="TVA20" s="222"/>
      <c r="TVB20" s="222"/>
      <c r="TVC20" s="222"/>
      <c r="TVD20" s="222"/>
      <c r="TVE20" s="222"/>
      <c r="TVF20" s="222"/>
      <c r="TVG20" s="222"/>
      <c r="TVH20" s="222"/>
      <c r="TVI20" s="222"/>
      <c r="TVJ20" s="222"/>
      <c r="TVK20" s="222"/>
      <c r="TVL20" s="222"/>
      <c r="TVM20" s="222"/>
      <c r="TVN20" s="222"/>
      <c r="TVO20" s="222"/>
      <c r="TVP20" s="222"/>
      <c r="TVQ20" s="222"/>
      <c r="TVR20" s="222"/>
      <c r="TVS20" s="222"/>
      <c r="TVT20" s="222"/>
      <c r="TVU20" s="222"/>
      <c r="TVV20" s="222"/>
      <c r="TVW20" s="222"/>
      <c r="TVX20" s="222"/>
      <c r="TVY20" s="222"/>
      <c r="TVZ20" s="222"/>
      <c r="TWA20" s="222"/>
      <c r="TWB20" s="222"/>
      <c r="TWC20" s="222"/>
      <c r="TWD20" s="222"/>
      <c r="TWE20" s="222"/>
      <c r="TWF20" s="222"/>
      <c r="TWG20" s="222"/>
      <c r="TWH20" s="222"/>
      <c r="TWI20" s="222"/>
      <c r="TWJ20" s="222"/>
      <c r="TWK20" s="222"/>
      <c r="TWL20" s="222"/>
      <c r="TWM20" s="222"/>
      <c r="TWN20" s="222"/>
      <c r="TWO20" s="222"/>
      <c r="TWP20" s="222"/>
      <c r="TWQ20" s="222"/>
      <c r="TWR20" s="222"/>
      <c r="TWS20" s="222"/>
      <c r="TWT20" s="222"/>
      <c r="TWU20" s="222"/>
      <c r="TWV20" s="222"/>
      <c r="TWW20" s="222"/>
      <c r="TWX20" s="222"/>
      <c r="TWY20" s="222"/>
      <c r="TWZ20" s="222"/>
      <c r="TXA20" s="222"/>
      <c r="TXB20" s="222"/>
      <c r="TXC20" s="222"/>
      <c r="TXD20" s="222"/>
      <c r="TXE20" s="222"/>
      <c r="TXF20" s="222"/>
      <c r="TXG20" s="222"/>
      <c r="TXH20" s="222"/>
      <c r="TXI20" s="222"/>
      <c r="TXJ20" s="222"/>
      <c r="TXK20" s="222"/>
      <c r="TXL20" s="222"/>
      <c r="TXM20" s="222"/>
      <c r="TXN20" s="222"/>
      <c r="TXO20" s="222"/>
      <c r="TXP20" s="222"/>
      <c r="TXQ20" s="222"/>
      <c r="TXR20" s="222"/>
      <c r="TXS20" s="222"/>
      <c r="TXT20" s="222"/>
      <c r="TXU20" s="222"/>
      <c r="TXV20" s="222"/>
      <c r="TXW20" s="222"/>
      <c r="TXX20" s="222"/>
      <c r="TXY20" s="222"/>
      <c r="TXZ20" s="222"/>
      <c r="TYA20" s="222"/>
      <c r="TYB20" s="222"/>
      <c r="TYC20" s="222"/>
      <c r="TYD20" s="222"/>
      <c r="TYE20" s="222"/>
      <c r="TYF20" s="222"/>
      <c r="TYG20" s="222"/>
      <c r="TYH20" s="222"/>
      <c r="TYI20" s="222"/>
      <c r="TYJ20" s="222"/>
      <c r="TYK20" s="222"/>
      <c r="TYL20" s="222"/>
      <c r="TYM20" s="222"/>
      <c r="TYN20" s="222"/>
      <c r="TYO20" s="222"/>
      <c r="TYP20" s="222"/>
      <c r="TYQ20" s="222"/>
      <c r="TYR20" s="222"/>
      <c r="TYS20" s="222"/>
      <c r="TYT20" s="222"/>
      <c r="TYU20" s="222"/>
      <c r="TYV20" s="222"/>
      <c r="TYW20" s="222"/>
      <c r="TYX20" s="222"/>
      <c r="TYY20" s="222"/>
      <c r="TYZ20" s="222"/>
      <c r="TZA20" s="222"/>
      <c r="TZB20" s="222"/>
      <c r="TZC20" s="222"/>
      <c r="TZD20" s="222"/>
      <c r="TZE20" s="222"/>
      <c r="TZF20" s="222"/>
      <c r="TZG20" s="222"/>
      <c r="TZH20" s="222"/>
      <c r="TZI20" s="222"/>
      <c r="TZJ20" s="222"/>
      <c r="TZK20" s="222"/>
      <c r="TZL20" s="222"/>
      <c r="TZM20" s="222"/>
      <c r="TZN20" s="222"/>
      <c r="TZO20" s="222"/>
      <c r="TZP20" s="222"/>
      <c r="TZQ20" s="222"/>
      <c r="TZR20" s="222"/>
      <c r="TZS20" s="222"/>
      <c r="TZT20" s="222"/>
      <c r="TZU20" s="222"/>
      <c r="TZV20" s="222"/>
      <c r="TZW20" s="222"/>
      <c r="TZX20" s="222"/>
      <c r="TZY20" s="222"/>
      <c r="TZZ20" s="222"/>
      <c r="UAA20" s="222"/>
      <c r="UAB20" s="222"/>
      <c r="UAC20" s="222"/>
      <c r="UAD20" s="222"/>
      <c r="UAE20" s="222"/>
      <c r="UAF20" s="222"/>
      <c r="UAG20" s="222"/>
      <c r="UAH20" s="222"/>
      <c r="UAI20" s="222"/>
      <c r="UAJ20" s="222"/>
      <c r="UAK20" s="222"/>
      <c r="UAL20" s="222"/>
      <c r="UAM20" s="222"/>
      <c r="UAN20" s="222"/>
      <c r="UAO20" s="222"/>
      <c r="UAP20" s="222"/>
      <c r="UAQ20" s="222"/>
      <c r="UAR20" s="222"/>
      <c r="UAS20" s="222"/>
      <c r="UAT20" s="222"/>
      <c r="UAU20" s="222"/>
      <c r="UAV20" s="222"/>
      <c r="UAW20" s="222"/>
      <c r="UAX20" s="222"/>
      <c r="UAY20" s="222"/>
      <c r="UAZ20" s="222"/>
      <c r="UBA20" s="222"/>
      <c r="UBB20" s="222"/>
      <c r="UBC20" s="222"/>
      <c r="UBD20" s="222"/>
      <c r="UBE20" s="222"/>
      <c r="UBF20" s="222"/>
      <c r="UBG20" s="222"/>
      <c r="UBH20" s="222"/>
      <c r="UBI20" s="222"/>
      <c r="UBJ20" s="222"/>
      <c r="UBK20" s="222"/>
      <c r="UBL20" s="222"/>
      <c r="UBM20" s="222"/>
      <c r="UBN20" s="222"/>
      <c r="UBO20" s="222"/>
      <c r="UBP20" s="222"/>
      <c r="UBQ20" s="222"/>
      <c r="UBR20" s="222"/>
      <c r="UBS20" s="222"/>
      <c r="UBT20" s="222"/>
      <c r="UBU20" s="222"/>
      <c r="UBV20" s="222"/>
      <c r="UBW20" s="222"/>
      <c r="UBX20" s="222"/>
      <c r="UBY20" s="222"/>
      <c r="UBZ20" s="222"/>
      <c r="UCA20" s="222"/>
      <c r="UCB20" s="222"/>
      <c r="UCC20" s="222"/>
      <c r="UCD20" s="222"/>
      <c r="UCE20" s="222"/>
      <c r="UCF20" s="222"/>
      <c r="UCG20" s="222"/>
      <c r="UCH20" s="222"/>
      <c r="UCI20" s="222"/>
      <c r="UCJ20" s="222"/>
      <c r="UCK20" s="222"/>
      <c r="UCL20" s="222"/>
      <c r="UCM20" s="222"/>
      <c r="UCN20" s="222"/>
      <c r="UCO20" s="222"/>
      <c r="UCP20" s="222"/>
      <c r="UCQ20" s="222"/>
      <c r="UCR20" s="222"/>
      <c r="UCS20" s="222"/>
      <c r="UCT20" s="222"/>
      <c r="UCU20" s="222"/>
      <c r="UCV20" s="222"/>
      <c r="UCW20" s="222"/>
      <c r="UCX20" s="222"/>
      <c r="UCY20" s="222"/>
      <c r="UCZ20" s="222"/>
      <c r="UDA20" s="222"/>
      <c r="UDB20" s="222"/>
      <c r="UDC20" s="222"/>
      <c r="UDD20" s="222"/>
      <c r="UDE20" s="222"/>
      <c r="UDF20" s="222"/>
      <c r="UDG20" s="222"/>
      <c r="UDH20" s="222"/>
      <c r="UDI20" s="222"/>
      <c r="UDJ20" s="222"/>
      <c r="UDK20" s="222"/>
      <c r="UDL20" s="222"/>
      <c r="UDM20" s="222"/>
      <c r="UDN20" s="222"/>
      <c r="UDO20" s="222"/>
      <c r="UDP20" s="222"/>
      <c r="UDQ20" s="222"/>
      <c r="UDR20" s="222"/>
      <c r="UDS20" s="222"/>
      <c r="UDT20" s="222"/>
      <c r="UDU20" s="222"/>
      <c r="UDV20" s="222"/>
      <c r="UDW20" s="222"/>
      <c r="UDX20" s="222"/>
      <c r="UDY20" s="222"/>
      <c r="UDZ20" s="222"/>
      <c r="UEA20" s="222"/>
      <c r="UEB20" s="222"/>
      <c r="UEC20" s="222"/>
      <c r="UED20" s="222"/>
      <c r="UEE20" s="222"/>
      <c r="UEF20" s="222"/>
      <c r="UEG20" s="222"/>
      <c r="UEH20" s="222"/>
      <c r="UEI20" s="222"/>
      <c r="UEJ20" s="222"/>
      <c r="UEK20" s="222"/>
      <c r="UEL20" s="222"/>
      <c r="UEM20" s="222"/>
      <c r="UEN20" s="222"/>
      <c r="UEO20" s="222"/>
      <c r="UEP20" s="222"/>
      <c r="UEQ20" s="222"/>
      <c r="UER20" s="222"/>
      <c r="UES20" s="222"/>
      <c r="UET20" s="222"/>
      <c r="UEU20" s="222"/>
      <c r="UEV20" s="222"/>
      <c r="UEW20" s="222"/>
      <c r="UEX20" s="222"/>
      <c r="UEY20" s="222"/>
      <c r="UEZ20" s="222"/>
      <c r="UFA20" s="222"/>
      <c r="UFB20" s="222"/>
      <c r="UFC20" s="222"/>
      <c r="UFD20" s="222"/>
      <c r="UFE20" s="222"/>
      <c r="UFF20" s="222"/>
      <c r="UFG20" s="222"/>
      <c r="UFH20" s="222"/>
      <c r="UFI20" s="222"/>
      <c r="UFJ20" s="222"/>
      <c r="UFK20" s="222"/>
      <c r="UFL20" s="222"/>
      <c r="UFM20" s="222"/>
      <c r="UFN20" s="222"/>
      <c r="UFO20" s="222"/>
      <c r="UFP20" s="222"/>
      <c r="UFQ20" s="222"/>
      <c r="UFR20" s="222"/>
      <c r="UFS20" s="222"/>
      <c r="UFT20" s="222"/>
      <c r="UFU20" s="222"/>
      <c r="UFV20" s="222"/>
      <c r="UFW20" s="222"/>
      <c r="UFX20" s="222"/>
      <c r="UFY20" s="222"/>
      <c r="UFZ20" s="222"/>
      <c r="UGA20" s="222"/>
      <c r="UGB20" s="222"/>
      <c r="UGC20" s="222"/>
      <c r="UGD20" s="222"/>
      <c r="UGE20" s="222"/>
      <c r="UGF20" s="222"/>
      <c r="UGG20" s="222"/>
      <c r="UGH20" s="222"/>
      <c r="UGI20" s="222"/>
      <c r="UGJ20" s="222"/>
      <c r="UGK20" s="222"/>
      <c r="UGL20" s="222"/>
      <c r="UGM20" s="222"/>
      <c r="UGN20" s="222"/>
      <c r="UGO20" s="222"/>
      <c r="UGP20" s="222"/>
      <c r="UGQ20" s="222"/>
      <c r="UGR20" s="222"/>
      <c r="UGS20" s="222"/>
      <c r="UGT20" s="222"/>
      <c r="UGU20" s="222"/>
      <c r="UGV20" s="222"/>
      <c r="UGW20" s="222"/>
      <c r="UGX20" s="222"/>
      <c r="UGY20" s="222"/>
      <c r="UGZ20" s="222"/>
      <c r="UHA20" s="222"/>
      <c r="UHB20" s="222"/>
      <c r="UHC20" s="222"/>
      <c r="UHD20" s="222"/>
      <c r="UHE20" s="222"/>
      <c r="UHF20" s="222"/>
      <c r="UHG20" s="222"/>
      <c r="UHH20" s="222"/>
      <c r="UHI20" s="222"/>
      <c r="UHJ20" s="222"/>
      <c r="UHK20" s="222"/>
      <c r="UHL20" s="222"/>
      <c r="UHM20" s="222"/>
      <c r="UHN20" s="222"/>
      <c r="UHO20" s="222"/>
      <c r="UHP20" s="222"/>
      <c r="UHQ20" s="222"/>
      <c r="UHR20" s="222"/>
      <c r="UHS20" s="222"/>
      <c r="UHT20" s="222"/>
      <c r="UHU20" s="222"/>
      <c r="UHV20" s="222"/>
      <c r="UHW20" s="222"/>
      <c r="UHX20" s="222"/>
      <c r="UHY20" s="222"/>
      <c r="UHZ20" s="222"/>
      <c r="UIA20" s="222"/>
      <c r="UIB20" s="222"/>
      <c r="UIC20" s="222"/>
      <c r="UID20" s="222"/>
      <c r="UIE20" s="222"/>
      <c r="UIF20" s="222"/>
      <c r="UIG20" s="222"/>
      <c r="UIH20" s="222"/>
      <c r="UII20" s="222"/>
      <c r="UIJ20" s="222"/>
      <c r="UIK20" s="222"/>
      <c r="UIL20" s="222"/>
      <c r="UIM20" s="222"/>
      <c r="UIN20" s="222"/>
      <c r="UIO20" s="222"/>
      <c r="UIP20" s="222"/>
      <c r="UIQ20" s="222"/>
      <c r="UIR20" s="222"/>
      <c r="UIS20" s="222"/>
      <c r="UIT20" s="222"/>
      <c r="UIU20" s="222"/>
      <c r="UIV20" s="222"/>
      <c r="UIW20" s="222"/>
      <c r="UIX20" s="222"/>
      <c r="UIY20" s="222"/>
      <c r="UIZ20" s="222"/>
      <c r="UJA20" s="222"/>
      <c r="UJB20" s="222"/>
      <c r="UJC20" s="222"/>
      <c r="UJD20" s="222"/>
      <c r="UJE20" s="222"/>
      <c r="UJF20" s="222"/>
      <c r="UJG20" s="222"/>
      <c r="UJH20" s="222"/>
      <c r="UJI20" s="222"/>
      <c r="UJJ20" s="222"/>
      <c r="UJK20" s="222"/>
      <c r="UJL20" s="222"/>
      <c r="UJM20" s="222"/>
      <c r="UJN20" s="222"/>
      <c r="UJO20" s="222"/>
      <c r="UJP20" s="222"/>
      <c r="UJQ20" s="222"/>
      <c r="UJR20" s="222"/>
      <c r="UJS20" s="222"/>
      <c r="UJT20" s="222"/>
      <c r="UJU20" s="222"/>
      <c r="UJV20" s="222"/>
      <c r="UJW20" s="222"/>
      <c r="UJX20" s="222"/>
      <c r="UJY20" s="222"/>
      <c r="UJZ20" s="222"/>
      <c r="UKA20" s="222"/>
      <c r="UKB20" s="222"/>
      <c r="UKC20" s="222"/>
      <c r="UKD20" s="222"/>
      <c r="UKE20" s="222"/>
      <c r="UKF20" s="222"/>
      <c r="UKG20" s="222"/>
      <c r="UKH20" s="222"/>
      <c r="UKI20" s="222"/>
      <c r="UKJ20" s="222"/>
      <c r="UKK20" s="222"/>
      <c r="UKL20" s="222"/>
      <c r="UKM20" s="222"/>
      <c r="UKN20" s="222"/>
      <c r="UKO20" s="222"/>
      <c r="UKP20" s="222"/>
      <c r="UKQ20" s="222"/>
      <c r="UKR20" s="222"/>
      <c r="UKS20" s="222"/>
      <c r="UKT20" s="222"/>
      <c r="UKU20" s="222"/>
      <c r="UKV20" s="222"/>
      <c r="UKW20" s="222"/>
      <c r="UKX20" s="222"/>
      <c r="UKY20" s="222"/>
      <c r="UKZ20" s="222"/>
      <c r="ULA20" s="222"/>
      <c r="ULB20" s="222"/>
      <c r="ULC20" s="222"/>
      <c r="ULD20" s="222"/>
      <c r="ULE20" s="222"/>
      <c r="ULF20" s="222"/>
      <c r="ULG20" s="222"/>
      <c r="ULH20" s="222"/>
      <c r="ULI20" s="222"/>
      <c r="ULJ20" s="222"/>
      <c r="ULK20" s="222"/>
      <c r="ULL20" s="222"/>
      <c r="ULM20" s="222"/>
      <c r="ULN20" s="222"/>
      <c r="ULO20" s="222"/>
      <c r="ULP20" s="222"/>
      <c r="ULQ20" s="222"/>
      <c r="ULR20" s="222"/>
      <c r="ULS20" s="222"/>
      <c r="ULT20" s="222"/>
      <c r="ULU20" s="222"/>
      <c r="ULV20" s="222"/>
      <c r="ULW20" s="222"/>
      <c r="ULX20" s="222"/>
      <c r="ULY20" s="222"/>
      <c r="ULZ20" s="222"/>
      <c r="UMA20" s="222"/>
      <c r="UMB20" s="222"/>
      <c r="UMC20" s="222"/>
      <c r="UMD20" s="222"/>
      <c r="UME20" s="222"/>
      <c r="UMF20" s="222"/>
      <c r="UMG20" s="222"/>
      <c r="UMH20" s="222"/>
      <c r="UMI20" s="222"/>
      <c r="UMJ20" s="222"/>
      <c r="UMK20" s="222"/>
      <c r="UML20" s="222"/>
      <c r="UMM20" s="222"/>
      <c r="UMN20" s="222"/>
      <c r="UMO20" s="222"/>
      <c r="UMP20" s="222"/>
      <c r="UMQ20" s="222"/>
      <c r="UMR20" s="222"/>
      <c r="UMS20" s="222"/>
      <c r="UMT20" s="222"/>
      <c r="UMU20" s="222"/>
      <c r="UMV20" s="222"/>
      <c r="UMW20" s="222"/>
      <c r="UMX20" s="222"/>
      <c r="UMY20" s="222"/>
      <c r="UMZ20" s="222"/>
      <c r="UNA20" s="222"/>
      <c r="UNB20" s="222"/>
      <c r="UNC20" s="222"/>
      <c r="UND20" s="222"/>
      <c r="UNE20" s="222"/>
      <c r="UNF20" s="222"/>
      <c r="UNG20" s="222"/>
      <c r="UNH20" s="222"/>
      <c r="UNI20" s="222"/>
      <c r="UNJ20" s="222"/>
      <c r="UNK20" s="222"/>
      <c r="UNL20" s="222"/>
      <c r="UNM20" s="222"/>
      <c r="UNN20" s="222"/>
      <c r="UNO20" s="222"/>
      <c r="UNP20" s="222"/>
      <c r="UNQ20" s="222"/>
      <c r="UNR20" s="222"/>
      <c r="UNS20" s="222"/>
      <c r="UNT20" s="222"/>
      <c r="UNU20" s="222"/>
      <c r="UNV20" s="222"/>
      <c r="UNW20" s="222"/>
      <c r="UNX20" s="222"/>
      <c r="UNY20" s="222"/>
      <c r="UNZ20" s="222"/>
      <c r="UOA20" s="222"/>
      <c r="UOB20" s="222"/>
      <c r="UOC20" s="222"/>
      <c r="UOD20" s="222"/>
      <c r="UOE20" s="222"/>
      <c r="UOF20" s="222"/>
      <c r="UOG20" s="222"/>
      <c r="UOH20" s="222"/>
      <c r="UOI20" s="222"/>
      <c r="UOJ20" s="222"/>
      <c r="UOK20" s="222"/>
      <c r="UOL20" s="222"/>
      <c r="UOM20" s="222"/>
      <c r="UON20" s="222"/>
      <c r="UOO20" s="222"/>
      <c r="UOP20" s="222"/>
      <c r="UOQ20" s="222"/>
      <c r="UOR20" s="222"/>
      <c r="UOS20" s="222"/>
      <c r="UOT20" s="222"/>
      <c r="UOU20" s="222"/>
      <c r="UOV20" s="222"/>
      <c r="UOW20" s="222"/>
      <c r="UOX20" s="222"/>
      <c r="UOY20" s="222"/>
      <c r="UOZ20" s="222"/>
      <c r="UPA20" s="222"/>
      <c r="UPB20" s="222"/>
      <c r="UPC20" s="222"/>
      <c r="UPD20" s="222"/>
      <c r="UPE20" s="222"/>
      <c r="UPF20" s="222"/>
      <c r="UPG20" s="222"/>
      <c r="UPH20" s="222"/>
      <c r="UPI20" s="222"/>
      <c r="UPJ20" s="222"/>
      <c r="UPK20" s="222"/>
      <c r="UPL20" s="222"/>
      <c r="UPM20" s="222"/>
      <c r="UPN20" s="222"/>
      <c r="UPO20" s="222"/>
      <c r="UPP20" s="222"/>
      <c r="UPQ20" s="222"/>
      <c r="UPR20" s="222"/>
      <c r="UPS20" s="222"/>
      <c r="UPT20" s="222"/>
      <c r="UPU20" s="222"/>
      <c r="UPV20" s="222"/>
      <c r="UPW20" s="222"/>
      <c r="UPX20" s="222"/>
      <c r="UPY20" s="222"/>
      <c r="UPZ20" s="222"/>
      <c r="UQA20" s="222"/>
      <c r="UQB20" s="222"/>
      <c r="UQC20" s="222"/>
      <c r="UQD20" s="222"/>
      <c r="UQE20" s="222"/>
      <c r="UQF20" s="222"/>
      <c r="UQG20" s="222"/>
      <c r="UQH20" s="222"/>
      <c r="UQI20" s="222"/>
      <c r="UQJ20" s="222"/>
      <c r="UQK20" s="222"/>
      <c r="UQL20" s="222"/>
      <c r="UQM20" s="222"/>
      <c r="UQN20" s="222"/>
      <c r="UQO20" s="222"/>
      <c r="UQP20" s="222"/>
      <c r="UQQ20" s="222"/>
      <c r="UQR20" s="222"/>
      <c r="UQS20" s="222"/>
      <c r="UQT20" s="222"/>
      <c r="UQU20" s="222"/>
      <c r="UQV20" s="222"/>
      <c r="UQW20" s="222"/>
      <c r="UQX20" s="222"/>
      <c r="UQY20" s="222"/>
      <c r="UQZ20" s="222"/>
      <c r="URA20" s="222"/>
      <c r="URB20" s="222"/>
      <c r="URC20" s="222"/>
      <c r="URD20" s="222"/>
      <c r="URE20" s="222"/>
      <c r="URF20" s="222"/>
      <c r="URG20" s="222"/>
      <c r="URH20" s="222"/>
      <c r="URI20" s="222"/>
      <c r="URJ20" s="222"/>
      <c r="URK20" s="222"/>
      <c r="URL20" s="222"/>
      <c r="URM20" s="222"/>
      <c r="URN20" s="222"/>
      <c r="URO20" s="222"/>
      <c r="URP20" s="222"/>
      <c r="URQ20" s="222"/>
      <c r="URR20" s="222"/>
      <c r="URS20" s="222"/>
      <c r="URT20" s="222"/>
      <c r="URU20" s="222"/>
      <c r="URV20" s="222"/>
      <c r="URW20" s="222"/>
      <c r="URX20" s="222"/>
      <c r="URY20" s="222"/>
      <c r="URZ20" s="222"/>
      <c r="USA20" s="222"/>
      <c r="USB20" s="222"/>
      <c r="USC20" s="222"/>
      <c r="USD20" s="222"/>
      <c r="USE20" s="222"/>
      <c r="USF20" s="222"/>
      <c r="USG20" s="222"/>
      <c r="USH20" s="222"/>
      <c r="USI20" s="222"/>
      <c r="USJ20" s="222"/>
      <c r="USK20" s="222"/>
      <c r="USL20" s="222"/>
      <c r="USM20" s="222"/>
      <c r="USN20" s="222"/>
      <c r="USO20" s="222"/>
      <c r="USP20" s="222"/>
      <c r="USQ20" s="222"/>
      <c r="USR20" s="222"/>
      <c r="USS20" s="222"/>
      <c r="UST20" s="222"/>
      <c r="USU20" s="222"/>
      <c r="USV20" s="222"/>
      <c r="USW20" s="222"/>
      <c r="USX20" s="222"/>
      <c r="USY20" s="222"/>
      <c r="USZ20" s="222"/>
      <c r="UTA20" s="222"/>
      <c r="UTB20" s="222"/>
      <c r="UTC20" s="222"/>
      <c r="UTD20" s="222"/>
      <c r="UTE20" s="222"/>
      <c r="UTF20" s="222"/>
      <c r="UTG20" s="222"/>
      <c r="UTH20" s="222"/>
      <c r="UTI20" s="222"/>
      <c r="UTJ20" s="222"/>
      <c r="UTK20" s="222"/>
      <c r="UTL20" s="222"/>
      <c r="UTM20" s="222"/>
      <c r="UTN20" s="222"/>
      <c r="UTO20" s="222"/>
      <c r="UTP20" s="222"/>
      <c r="UTQ20" s="222"/>
      <c r="UTR20" s="222"/>
      <c r="UTS20" s="222"/>
      <c r="UTT20" s="222"/>
      <c r="UTU20" s="222"/>
      <c r="UTV20" s="222"/>
      <c r="UTW20" s="222"/>
      <c r="UTX20" s="222"/>
      <c r="UTY20" s="222"/>
      <c r="UTZ20" s="222"/>
      <c r="UUA20" s="222"/>
      <c r="UUB20" s="222"/>
      <c r="UUC20" s="222"/>
      <c r="UUD20" s="222"/>
      <c r="UUE20" s="222"/>
      <c r="UUF20" s="222"/>
      <c r="UUG20" s="222"/>
      <c r="UUH20" s="222"/>
      <c r="UUI20" s="222"/>
      <c r="UUJ20" s="222"/>
      <c r="UUK20" s="222"/>
      <c r="UUL20" s="222"/>
      <c r="UUM20" s="222"/>
      <c r="UUN20" s="222"/>
      <c r="UUO20" s="222"/>
      <c r="UUP20" s="222"/>
      <c r="UUQ20" s="222"/>
      <c r="UUR20" s="222"/>
      <c r="UUS20" s="222"/>
      <c r="UUT20" s="222"/>
      <c r="UUU20" s="222"/>
      <c r="UUV20" s="222"/>
      <c r="UUW20" s="222"/>
      <c r="UUX20" s="222"/>
      <c r="UUY20" s="222"/>
      <c r="UUZ20" s="222"/>
      <c r="UVA20" s="222"/>
      <c r="UVB20" s="222"/>
      <c r="UVC20" s="222"/>
      <c r="UVD20" s="222"/>
      <c r="UVE20" s="222"/>
      <c r="UVF20" s="222"/>
      <c r="UVG20" s="222"/>
      <c r="UVH20" s="222"/>
      <c r="UVI20" s="222"/>
      <c r="UVJ20" s="222"/>
      <c r="UVK20" s="222"/>
      <c r="UVL20" s="222"/>
      <c r="UVM20" s="222"/>
      <c r="UVN20" s="222"/>
      <c r="UVO20" s="222"/>
      <c r="UVP20" s="222"/>
      <c r="UVQ20" s="222"/>
      <c r="UVR20" s="222"/>
      <c r="UVS20" s="222"/>
      <c r="UVT20" s="222"/>
      <c r="UVU20" s="222"/>
      <c r="UVV20" s="222"/>
      <c r="UVW20" s="222"/>
      <c r="UVX20" s="222"/>
      <c r="UVY20" s="222"/>
      <c r="UVZ20" s="222"/>
      <c r="UWA20" s="222"/>
      <c r="UWB20" s="222"/>
      <c r="UWC20" s="222"/>
      <c r="UWD20" s="222"/>
      <c r="UWE20" s="222"/>
      <c r="UWF20" s="222"/>
      <c r="UWG20" s="222"/>
      <c r="UWH20" s="222"/>
      <c r="UWI20" s="222"/>
      <c r="UWJ20" s="222"/>
      <c r="UWK20" s="222"/>
      <c r="UWL20" s="222"/>
      <c r="UWM20" s="222"/>
      <c r="UWN20" s="222"/>
      <c r="UWO20" s="222"/>
      <c r="UWP20" s="222"/>
      <c r="UWQ20" s="222"/>
      <c r="UWR20" s="222"/>
      <c r="UWS20" s="222"/>
      <c r="UWT20" s="222"/>
      <c r="UWU20" s="222"/>
      <c r="UWV20" s="222"/>
      <c r="UWW20" s="222"/>
      <c r="UWX20" s="222"/>
      <c r="UWY20" s="222"/>
      <c r="UWZ20" s="222"/>
      <c r="UXA20" s="222"/>
      <c r="UXB20" s="222"/>
      <c r="UXC20" s="222"/>
      <c r="UXD20" s="222"/>
      <c r="UXE20" s="222"/>
      <c r="UXF20" s="222"/>
      <c r="UXG20" s="222"/>
      <c r="UXH20" s="222"/>
      <c r="UXI20" s="222"/>
      <c r="UXJ20" s="222"/>
      <c r="UXK20" s="222"/>
      <c r="UXL20" s="222"/>
      <c r="UXM20" s="222"/>
      <c r="UXN20" s="222"/>
      <c r="UXO20" s="222"/>
      <c r="UXP20" s="222"/>
      <c r="UXQ20" s="222"/>
      <c r="UXR20" s="222"/>
      <c r="UXS20" s="222"/>
      <c r="UXT20" s="222"/>
      <c r="UXU20" s="222"/>
      <c r="UXV20" s="222"/>
      <c r="UXW20" s="222"/>
      <c r="UXX20" s="222"/>
      <c r="UXY20" s="222"/>
      <c r="UXZ20" s="222"/>
      <c r="UYA20" s="222"/>
      <c r="UYB20" s="222"/>
      <c r="UYC20" s="222"/>
      <c r="UYD20" s="222"/>
      <c r="UYE20" s="222"/>
      <c r="UYF20" s="222"/>
      <c r="UYG20" s="222"/>
      <c r="UYH20" s="222"/>
      <c r="UYI20" s="222"/>
      <c r="UYJ20" s="222"/>
      <c r="UYK20" s="222"/>
      <c r="UYL20" s="222"/>
      <c r="UYM20" s="222"/>
      <c r="UYN20" s="222"/>
      <c r="UYO20" s="222"/>
      <c r="UYP20" s="222"/>
      <c r="UYQ20" s="222"/>
      <c r="UYR20" s="222"/>
      <c r="UYS20" s="222"/>
      <c r="UYT20" s="222"/>
      <c r="UYU20" s="222"/>
      <c r="UYV20" s="222"/>
      <c r="UYW20" s="222"/>
      <c r="UYX20" s="222"/>
      <c r="UYY20" s="222"/>
      <c r="UYZ20" s="222"/>
      <c r="UZA20" s="222"/>
      <c r="UZB20" s="222"/>
      <c r="UZC20" s="222"/>
      <c r="UZD20" s="222"/>
      <c r="UZE20" s="222"/>
      <c r="UZF20" s="222"/>
      <c r="UZG20" s="222"/>
      <c r="UZH20" s="222"/>
      <c r="UZI20" s="222"/>
      <c r="UZJ20" s="222"/>
      <c r="UZK20" s="222"/>
      <c r="UZL20" s="222"/>
      <c r="UZM20" s="222"/>
      <c r="UZN20" s="222"/>
      <c r="UZO20" s="222"/>
      <c r="UZP20" s="222"/>
      <c r="UZQ20" s="222"/>
      <c r="UZR20" s="222"/>
      <c r="UZS20" s="222"/>
      <c r="UZT20" s="222"/>
      <c r="UZU20" s="222"/>
      <c r="UZV20" s="222"/>
      <c r="UZW20" s="222"/>
      <c r="UZX20" s="222"/>
      <c r="UZY20" s="222"/>
      <c r="UZZ20" s="222"/>
      <c r="VAA20" s="222"/>
      <c r="VAB20" s="222"/>
      <c r="VAC20" s="222"/>
      <c r="VAD20" s="222"/>
      <c r="VAE20" s="222"/>
      <c r="VAF20" s="222"/>
      <c r="VAG20" s="222"/>
      <c r="VAH20" s="222"/>
      <c r="VAI20" s="222"/>
      <c r="VAJ20" s="222"/>
      <c r="VAK20" s="222"/>
      <c r="VAL20" s="222"/>
      <c r="VAM20" s="222"/>
      <c r="VAN20" s="222"/>
      <c r="VAO20" s="222"/>
      <c r="VAP20" s="222"/>
      <c r="VAQ20" s="222"/>
      <c r="VAR20" s="222"/>
      <c r="VAS20" s="222"/>
      <c r="VAT20" s="222"/>
      <c r="VAU20" s="222"/>
      <c r="VAV20" s="222"/>
      <c r="VAW20" s="222"/>
      <c r="VAX20" s="222"/>
      <c r="VAY20" s="222"/>
      <c r="VAZ20" s="222"/>
      <c r="VBA20" s="222"/>
      <c r="VBB20" s="222"/>
      <c r="VBC20" s="222"/>
      <c r="VBD20" s="222"/>
      <c r="VBE20" s="222"/>
      <c r="VBF20" s="222"/>
      <c r="VBG20" s="222"/>
      <c r="VBH20" s="222"/>
      <c r="VBI20" s="222"/>
      <c r="VBJ20" s="222"/>
      <c r="VBK20" s="222"/>
      <c r="VBL20" s="222"/>
      <c r="VBM20" s="222"/>
      <c r="VBN20" s="222"/>
      <c r="VBO20" s="222"/>
      <c r="VBP20" s="222"/>
      <c r="VBQ20" s="222"/>
      <c r="VBR20" s="222"/>
      <c r="VBS20" s="222"/>
      <c r="VBT20" s="222"/>
      <c r="VBU20" s="222"/>
      <c r="VBV20" s="222"/>
      <c r="VBW20" s="222"/>
      <c r="VBX20" s="222"/>
      <c r="VBY20" s="222"/>
      <c r="VBZ20" s="222"/>
      <c r="VCA20" s="222"/>
      <c r="VCB20" s="222"/>
      <c r="VCC20" s="222"/>
      <c r="VCD20" s="222"/>
      <c r="VCE20" s="222"/>
      <c r="VCF20" s="222"/>
      <c r="VCG20" s="222"/>
      <c r="VCH20" s="222"/>
      <c r="VCI20" s="222"/>
      <c r="VCJ20" s="222"/>
      <c r="VCK20" s="222"/>
      <c r="VCL20" s="222"/>
      <c r="VCM20" s="222"/>
      <c r="VCN20" s="222"/>
      <c r="VCO20" s="222"/>
      <c r="VCP20" s="222"/>
      <c r="VCQ20" s="222"/>
      <c r="VCR20" s="222"/>
      <c r="VCS20" s="222"/>
      <c r="VCT20" s="222"/>
      <c r="VCU20" s="222"/>
      <c r="VCV20" s="222"/>
      <c r="VCW20" s="222"/>
      <c r="VCX20" s="222"/>
      <c r="VCY20" s="222"/>
      <c r="VCZ20" s="222"/>
      <c r="VDA20" s="222"/>
      <c r="VDB20" s="222"/>
      <c r="VDC20" s="222"/>
      <c r="VDD20" s="222"/>
      <c r="VDE20" s="222"/>
      <c r="VDF20" s="222"/>
      <c r="VDG20" s="222"/>
      <c r="VDH20" s="222"/>
      <c r="VDI20" s="222"/>
      <c r="VDJ20" s="222"/>
      <c r="VDK20" s="222"/>
      <c r="VDL20" s="222"/>
      <c r="VDM20" s="222"/>
      <c r="VDN20" s="222"/>
      <c r="VDO20" s="222"/>
      <c r="VDP20" s="222"/>
      <c r="VDQ20" s="222"/>
      <c r="VDR20" s="222"/>
      <c r="VDS20" s="222"/>
      <c r="VDT20" s="222"/>
      <c r="VDU20" s="222"/>
      <c r="VDV20" s="222"/>
      <c r="VDW20" s="222"/>
      <c r="VDX20" s="222"/>
      <c r="VDY20" s="222"/>
      <c r="VDZ20" s="222"/>
      <c r="VEA20" s="222"/>
      <c r="VEB20" s="222"/>
      <c r="VEC20" s="222"/>
      <c r="VED20" s="222"/>
      <c r="VEE20" s="222"/>
      <c r="VEF20" s="222"/>
      <c r="VEG20" s="222"/>
      <c r="VEH20" s="222"/>
      <c r="VEI20" s="222"/>
      <c r="VEJ20" s="222"/>
      <c r="VEK20" s="222"/>
      <c r="VEL20" s="222"/>
      <c r="VEM20" s="222"/>
      <c r="VEN20" s="222"/>
      <c r="VEO20" s="222"/>
      <c r="VEP20" s="222"/>
      <c r="VEQ20" s="222"/>
      <c r="VER20" s="222"/>
      <c r="VES20" s="222"/>
      <c r="VET20" s="222"/>
      <c r="VEU20" s="222"/>
      <c r="VEV20" s="222"/>
      <c r="VEW20" s="222"/>
      <c r="VEX20" s="222"/>
      <c r="VEY20" s="222"/>
      <c r="VEZ20" s="222"/>
      <c r="VFA20" s="222"/>
      <c r="VFB20" s="222"/>
      <c r="VFC20" s="222"/>
      <c r="VFD20" s="222"/>
      <c r="VFE20" s="222"/>
      <c r="VFF20" s="222"/>
      <c r="VFG20" s="222"/>
      <c r="VFH20" s="222"/>
      <c r="VFI20" s="222"/>
      <c r="VFJ20" s="222"/>
      <c r="VFK20" s="222"/>
      <c r="VFL20" s="222"/>
      <c r="VFM20" s="222"/>
      <c r="VFN20" s="222"/>
      <c r="VFO20" s="222"/>
      <c r="VFP20" s="222"/>
      <c r="VFQ20" s="222"/>
      <c r="VFR20" s="222"/>
      <c r="VFS20" s="222"/>
      <c r="VFT20" s="222"/>
      <c r="VFU20" s="222"/>
      <c r="VFV20" s="222"/>
      <c r="VFW20" s="222"/>
      <c r="VFX20" s="222"/>
      <c r="VFY20" s="222"/>
      <c r="VFZ20" s="222"/>
      <c r="VGA20" s="222"/>
      <c r="VGB20" s="222"/>
      <c r="VGC20" s="222"/>
      <c r="VGD20" s="222"/>
      <c r="VGE20" s="222"/>
      <c r="VGF20" s="222"/>
      <c r="VGG20" s="222"/>
      <c r="VGH20" s="222"/>
      <c r="VGI20" s="222"/>
      <c r="VGJ20" s="222"/>
      <c r="VGK20" s="222"/>
      <c r="VGL20" s="222"/>
      <c r="VGM20" s="222"/>
      <c r="VGN20" s="222"/>
      <c r="VGO20" s="222"/>
      <c r="VGP20" s="222"/>
      <c r="VGQ20" s="222"/>
      <c r="VGR20" s="222"/>
      <c r="VGS20" s="222"/>
      <c r="VGT20" s="222"/>
      <c r="VGU20" s="222"/>
      <c r="VGV20" s="222"/>
      <c r="VGW20" s="222"/>
      <c r="VGX20" s="222"/>
      <c r="VGY20" s="222"/>
      <c r="VGZ20" s="222"/>
      <c r="VHA20" s="222"/>
      <c r="VHB20" s="222"/>
      <c r="VHC20" s="222"/>
      <c r="VHD20" s="222"/>
      <c r="VHE20" s="222"/>
      <c r="VHF20" s="222"/>
      <c r="VHG20" s="222"/>
      <c r="VHH20" s="222"/>
      <c r="VHI20" s="222"/>
      <c r="VHJ20" s="222"/>
      <c r="VHK20" s="222"/>
      <c r="VHL20" s="222"/>
      <c r="VHM20" s="222"/>
      <c r="VHN20" s="222"/>
      <c r="VHO20" s="222"/>
      <c r="VHP20" s="222"/>
      <c r="VHQ20" s="222"/>
      <c r="VHR20" s="222"/>
      <c r="VHS20" s="222"/>
      <c r="VHT20" s="222"/>
      <c r="VHU20" s="222"/>
      <c r="VHV20" s="222"/>
      <c r="VHW20" s="222"/>
      <c r="VHX20" s="222"/>
      <c r="VHY20" s="222"/>
      <c r="VHZ20" s="222"/>
      <c r="VIA20" s="222"/>
      <c r="VIB20" s="222"/>
      <c r="VIC20" s="222"/>
      <c r="VID20" s="222"/>
      <c r="VIE20" s="222"/>
      <c r="VIF20" s="222"/>
      <c r="VIG20" s="222"/>
      <c r="VIH20" s="222"/>
      <c r="VII20" s="222"/>
      <c r="VIJ20" s="222"/>
      <c r="VIK20" s="222"/>
      <c r="VIL20" s="222"/>
      <c r="VIM20" s="222"/>
      <c r="VIN20" s="222"/>
      <c r="VIO20" s="222"/>
      <c r="VIP20" s="222"/>
      <c r="VIQ20" s="222"/>
      <c r="VIR20" s="222"/>
      <c r="VIS20" s="222"/>
      <c r="VIT20" s="222"/>
      <c r="VIU20" s="222"/>
      <c r="VIV20" s="222"/>
      <c r="VIW20" s="222"/>
      <c r="VIX20" s="222"/>
      <c r="VIY20" s="222"/>
      <c r="VIZ20" s="222"/>
      <c r="VJA20" s="222"/>
      <c r="VJB20" s="222"/>
      <c r="VJC20" s="222"/>
      <c r="VJD20" s="222"/>
      <c r="VJE20" s="222"/>
      <c r="VJF20" s="222"/>
      <c r="VJG20" s="222"/>
      <c r="VJH20" s="222"/>
      <c r="VJI20" s="222"/>
      <c r="VJJ20" s="222"/>
      <c r="VJK20" s="222"/>
      <c r="VJL20" s="222"/>
      <c r="VJM20" s="222"/>
      <c r="VJN20" s="222"/>
      <c r="VJO20" s="222"/>
      <c r="VJP20" s="222"/>
      <c r="VJQ20" s="222"/>
      <c r="VJR20" s="222"/>
      <c r="VJS20" s="222"/>
      <c r="VJT20" s="222"/>
      <c r="VJU20" s="222"/>
      <c r="VJV20" s="222"/>
      <c r="VJW20" s="222"/>
      <c r="VJX20" s="222"/>
      <c r="VJY20" s="222"/>
      <c r="VJZ20" s="222"/>
      <c r="VKA20" s="222"/>
      <c r="VKB20" s="222"/>
      <c r="VKC20" s="222"/>
      <c r="VKD20" s="222"/>
      <c r="VKE20" s="222"/>
      <c r="VKF20" s="222"/>
      <c r="VKG20" s="222"/>
      <c r="VKH20" s="222"/>
      <c r="VKI20" s="222"/>
      <c r="VKJ20" s="222"/>
      <c r="VKK20" s="222"/>
      <c r="VKL20" s="222"/>
      <c r="VKM20" s="222"/>
      <c r="VKN20" s="222"/>
      <c r="VKO20" s="222"/>
      <c r="VKP20" s="222"/>
      <c r="VKQ20" s="222"/>
      <c r="VKR20" s="222"/>
      <c r="VKS20" s="222"/>
      <c r="VKT20" s="222"/>
      <c r="VKU20" s="222"/>
      <c r="VKV20" s="222"/>
      <c r="VKW20" s="222"/>
      <c r="VKX20" s="222"/>
      <c r="VKY20" s="222"/>
      <c r="VKZ20" s="222"/>
      <c r="VLA20" s="222"/>
      <c r="VLB20" s="222"/>
      <c r="VLC20" s="222"/>
      <c r="VLD20" s="222"/>
      <c r="VLE20" s="222"/>
      <c r="VLF20" s="222"/>
      <c r="VLG20" s="222"/>
      <c r="VLH20" s="222"/>
      <c r="VLI20" s="222"/>
      <c r="VLJ20" s="222"/>
      <c r="VLK20" s="222"/>
      <c r="VLL20" s="222"/>
      <c r="VLM20" s="222"/>
      <c r="VLN20" s="222"/>
      <c r="VLO20" s="222"/>
      <c r="VLP20" s="222"/>
      <c r="VLQ20" s="222"/>
      <c r="VLR20" s="222"/>
      <c r="VLS20" s="222"/>
      <c r="VLT20" s="222"/>
      <c r="VLU20" s="222"/>
      <c r="VLV20" s="222"/>
      <c r="VLW20" s="222"/>
      <c r="VLX20" s="222"/>
      <c r="VLY20" s="222"/>
      <c r="VLZ20" s="222"/>
      <c r="VMA20" s="222"/>
      <c r="VMB20" s="222"/>
      <c r="VMC20" s="222"/>
      <c r="VMD20" s="222"/>
      <c r="VME20" s="222"/>
      <c r="VMF20" s="222"/>
      <c r="VMG20" s="222"/>
      <c r="VMH20" s="222"/>
      <c r="VMI20" s="222"/>
      <c r="VMJ20" s="222"/>
      <c r="VMK20" s="222"/>
      <c r="VML20" s="222"/>
      <c r="VMM20" s="222"/>
      <c r="VMN20" s="222"/>
      <c r="VMO20" s="222"/>
      <c r="VMP20" s="222"/>
      <c r="VMQ20" s="222"/>
      <c r="VMR20" s="222"/>
      <c r="VMS20" s="222"/>
      <c r="VMT20" s="222"/>
      <c r="VMU20" s="222"/>
      <c r="VMV20" s="222"/>
      <c r="VMW20" s="222"/>
      <c r="VMX20" s="222"/>
      <c r="VMY20" s="222"/>
      <c r="VMZ20" s="222"/>
      <c r="VNA20" s="222"/>
      <c r="VNB20" s="222"/>
      <c r="VNC20" s="222"/>
      <c r="VND20" s="222"/>
      <c r="VNE20" s="222"/>
      <c r="VNF20" s="222"/>
      <c r="VNG20" s="222"/>
      <c r="VNH20" s="222"/>
      <c r="VNI20" s="222"/>
      <c r="VNJ20" s="222"/>
      <c r="VNK20" s="222"/>
      <c r="VNL20" s="222"/>
      <c r="VNM20" s="222"/>
      <c r="VNN20" s="222"/>
      <c r="VNO20" s="222"/>
      <c r="VNP20" s="222"/>
      <c r="VNQ20" s="222"/>
      <c r="VNR20" s="222"/>
      <c r="VNS20" s="222"/>
      <c r="VNT20" s="222"/>
      <c r="VNU20" s="222"/>
      <c r="VNV20" s="222"/>
      <c r="VNW20" s="222"/>
      <c r="VNX20" s="222"/>
      <c r="VNY20" s="222"/>
      <c r="VNZ20" s="222"/>
      <c r="VOA20" s="222"/>
      <c r="VOB20" s="222"/>
      <c r="VOC20" s="222"/>
      <c r="VOD20" s="222"/>
      <c r="VOE20" s="222"/>
      <c r="VOF20" s="222"/>
      <c r="VOG20" s="222"/>
      <c r="VOH20" s="222"/>
      <c r="VOI20" s="222"/>
      <c r="VOJ20" s="222"/>
      <c r="VOK20" s="222"/>
      <c r="VOL20" s="222"/>
      <c r="VOM20" s="222"/>
      <c r="VON20" s="222"/>
      <c r="VOO20" s="222"/>
      <c r="VOP20" s="222"/>
      <c r="VOQ20" s="222"/>
      <c r="VOR20" s="222"/>
      <c r="VOS20" s="222"/>
      <c r="VOT20" s="222"/>
      <c r="VOU20" s="222"/>
      <c r="VOV20" s="222"/>
      <c r="VOW20" s="222"/>
      <c r="VOX20" s="222"/>
      <c r="VOY20" s="222"/>
      <c r="VOZ20" s="222"/>
      <c r="VPA20" s="222"/>
      <c r="VPB20" s="222"/>
      <c r="VPC20" s="222"/>
      <c r="VPD20" s="222"/>
      <c r="VPE20" s="222"/>
      <c r="VPF20" s="222"/>
      <c r="VPG20" s="222"/>
      <c r="VPH20" s="222"/>
      <c r="VPI20" s="222"/>
      <c r="VPJ20" s="222"/>
      <c r="VPK20" s="222"/>
      <c r="VPL20" s="222"/>
      <c r="VPM20" s="222"/>
      <c r="VPN20" s="222"/>
      <c r="VPO20" s="222"/>
      <c r="VPP20" s="222"/>
      <c r="VPQ20" s="222"/>
      <c r="VPR20" s="222"/>
      <c r="VPS20" s="222"/>
      <c r="VPT20" s="222"/>
      <c r="VPU20" s="222"/>
      <c r="VPV20" s="222"/>
      <c r="VPW20" s="222"/>
      <c r="VPX20" s="222"/>
      <c r="VPY20" s="222"/>
      <c r="VPZ20" s="222"/>
      <c r="VQA20" s="222"/>
      <c r="VQB20" s="222"/>
      <c r="VQC20" s="222"/>
      <c r="VQD20" s="222"/>
      <c r="VQE20" s="222"/>
      <c r="VQF20" s="222"/>
      <c r="VQG20" s="222"/>
      <c r="VQH20" s="222"/>
      <c r="VQI20" s="222"/>
      <c r="VQJ20" s="222"/>
      <c r="VQK20" s="222"/>
      <c r="VQL20" s="222"/>
      <c r="VQM20" s="222"/>
      <c r="VQN20" s="222"/>
      <c r="VQO20" s="222"/>
      <c r="VQP20" s="222"/>
      <c r="VQQ20" s="222"/>
      <c r="VQR20" s="222"/>
      <c r="VQS20" s="222"/>
      <c r="VQT20" s="222"/>
      <c r="VQU20" s="222"/>
      <c r="VQV20" s="222"/>
      <c r="VQW20" s="222"/>
      <c r="VQX20" s="222"/>
      <c r="VQY20" s="222"/>
      <c r="VQZ20" s="222"/>
      <c r="VRA20" s="222"/>
      <c r="VRB20" s="222"/>
      <c r="VRC20" s="222"/>
      <c r="VRD20" s="222"/>
      <c r="VRE20" s="222"/>
      <c r="VRF20" s="222"/>
      <c r="VRG20" s="222"/>
      <c r="VRH20" s="222"/>
      <c r="VRI20" s="222"/>
      <c r="VRJ20" s="222"/>
      <c r="VRK20" s="222"/>
      <c r="VRL20" s="222"/>
      <c r="VRM20" s="222"/>
      <c r="VRN20" s="222"/>
      <c r="VRO20" s="222"/>
      <c r="VRP20" s="222"/>
      <c r="VRQ20" s="222"/>
      <c r="VRR20" s="222"/>
      <c r="VRS20" s="222"/>
      <c r="VRT20" s="222"/>
      <c r="VRU20" s="222"/>
      <c r="VRV20" s="222"/>
      <c r="VRW20" s="222"/>
      <c r="VRX20" s="222"/>
      <c r="VRY20" s="222"/>
      <c r="VRZ20" s="222"/>
      <c r="VSA20" s="222"/>
      <c r="VSB20" s="222"/>
      <c r="VSC20" s="222"/>
      <c r="VSD20" s="222"/>
      <c r="VSE20" s="222"/>
      <c r="VSF20" s="222"/>
      <c r="VSG20" s="222"/>
      <c r="VSH20" s="222"/>
      <c r="VSI20" s="222"/>
      <c r="VSJ20" s="222"/>
      <c r="VSK20" s="222"/>
      <c r="VSL20" s="222"/>
      <c r="VSM20" s="222"/>
      <c r="VSN20" s="222"/>
      <c r="VSO20" s="222"/>
      <c r="VSP20" s="222"/>
      <c r="VSQ20" s="222"/>
      <c r="VSR20" s="222"/>
      <c r="VSS20" s="222"/>
      <c r="VST20" s="222"/>
      <c r="VSU20" s="222"/>
      <c r="VSV20" s="222"/>
      <c r="VSW20" s="222"/>
      <c r="VSX20" s="222"/>
      <c r="VSY20" s="222"/>
      <c r="VSZ20" s="222"/>
      <c r="VTA20" s="222"/>
      <c r="VTB20" s="222"/>
      <c r="VTC20" s="222"/>
      <c r="VTD20" s="222"/>
      <c r="VTE20" s="222"/>
      <c r="VTF20" s="222"/>
      <c r="VTG20" s="222"/>
      <c r="VTH20" s="222"/>
      <c r="VTI20" s="222"/>
      <c r="VTJ20" s="222"/>
      <c r="VTK20" s="222"/>
      <c r="VTL20" s="222"/>
      <c r="VTM20" s="222"/>
      <c r="VTN20" s="222"/>
      <c r="VTO20" s="222"/>
      <c r="VTP20" s="222"/>
      <c r="VTQ20" s="222"/>
      <c r="VTR20" s="222"/>
      <c r="VTS20" s="222"/>
      <c r="VTT20" s="222"/>
      <c r="VTU20" s="222"/>
      <c r="VTV20" s="222"/>
      <c r="VTW20" s="222"/>
      <c r="VTX20" s="222"/>
      <c r="VTY20" s="222"/>
      <c r="VTZ20" s="222"/>
      <c r="VUA20" s="222"/>
      <c r="VUB20" s="222"/>
      <c r="VUC20" s="222"/>
      <c r="VUD20" s="222"/>
      <c r="VUE20" s="222"/>
      <c r="VUF20" s="222"/>
      <c r="VUG20" s="222"/>
      <c r="VUH20" s="222"/>
      <c r="VUI20" s="222"/>
      <c r="VUJ20" s="222"/>
      <c r="VUK20" s="222"/>
      <c r="VUL20" s="222"/>
      <c r="VUM20" s="222"/>
      <c r="VUN20" s="222"/>
      <c r="VUO20" s="222"/>
      <c r="VUP20" s="222"/>
      <c r="VUQ20" s="222"/>
      <c r="VUR20" s="222"/>
      <c r="VUS20" s="222"/>
      <c r="VUT20" s="222"/>
      <c r="VUU20" s="222"/>
      <c r="VUV20" s="222"/>
      <c r="VUW20" s="222"/>
      <c r="VUX20" s="222"/>
      <c r="VUY20" s="222"/>
      <c r="VUZ20" s="222"/>
      <c r="VVA20" s="222"/>
      <c r="VVB20" s="222"/>
      <c r="VVC20" s="222"/>
      <c r="VVD20" s="222"/>
      <c r="VVE20" s="222"/>
      <c r="VVF20" s="222"/>
      <c r="VVG20" s="222"/>
      <c r="VVH20" s="222"/>
      <c r="VVI20" s="222"/>
      <c r="VVJ20" s="222"/>
      <c r="VVK20" s="222"/>
      <c r="VVL20" s="222"/>
      <c r="VVM20" s="222"/>
      <c r="VVN20" s="222"/>
      <c r="VVO20" s="222"/>
      <c r="VVP20" s="222"/>
      <c r="VVQ20" s="222"/>
      <c r="VVR20" s="222"/>
      <c r="VVS20" s="222"/>
      <c r="VVT20" s="222"/>
      <c r="VVU20" s="222"/>
      <c r="VVV20" s="222"/>
      <c r="VVW20" s="222"/>
      <c r="VVX20" s="222"/>
      <c r="VVY20" s="222"/>
      <c r="VVZ20" s="222"/>
      <c r="VWA20" s="222"/>
      <c r="VWB20" s="222"/>
      <c r="VWC20" s="222"/>
      <c r="VWD20" s="222"/>
      <c r="VWE20" s="222"/>
      <c r="VWF20" s="222"/>
      <c r="VWG20" s="222"/>
      <c r="VWH20" s="222"/>
      <c r="VWI20" s="222"/>
      <c r="VWJ20" s="222"/>
      <c r="VWK20" s="222"/>
      <c r="VWL20" s="222"/>
      <c r="VWM20" s="222"/>
      <c r="VWN20" s="222"/>
      <c r="VWO20" s="222"/>
      <c r="VWP20" s="222"/>
      <c r="VWQ20" s="222"/>
      <c r="VWR20" s="222"/>
      <c r="VWS20" s="222"/>
      <c r="VWT20" s="222"/>
      <c r="VWU20" s="222"/>
      <c r="VWV20" s="222"/>
      <c r="VWW20" s="222"/>
      <c r="VWX20" s="222"/>
      <c r="VWY20" s="222"/>
      <c r="VWZ20" s="222"/>
      <c r="VXA20" s="222"/>
      <c r="VXB20" s="222"/>
      <c r="VXC20" s="222"/>
      <c r="VXD20" s="222"/>
      <c r="VXE20" s="222"/>
      <c r="VXF20" s="222"/>
      <c r="VXG20" s="222"/>
      <c r="VXH20" s="222"/>
      <c r="VXI20" s="222"/>
      <c r="VXJ20" s="222"/>
      <c r="VXK20" s="222"/>
      <c r="VXL20" s="222"/>
      <c r="VXM20" s="222"/>
      <c r="VXN20" s="222"/>
      <c r="VXO20" s="222"/>
      <c r="VXP20" s="222"/>
      <c r="VXQ20" s="222"/>
      <c r="VXR20" s="222"/>
      <c r="VXS20" s="222"/>
      <c r="VXT20" s="222"/>
      <c r="VXU20" s="222"/>
      <c r="VXV20" s="222"/>
      <c r="VXW20" s="222"/>
      <c r="VXX20" s="222"/>
      <c r="VXY20" s="222"/>
      <c r="VXZ20" s="222"/>
      <c r="VYA20" s="222"/>
      <c r="VYB20" s="222"/>
      <c r="VYC20" s="222"/>
      <c r="VYD20" s="222"/>
      <c r="VYE20" s="222"/>
      <c r="VYF20" s="222"/>
      <c r="VYG20" s="222"/>
      <c r="VYH20" s="222"/>
      <c r="VYI20" s="222"/>
      <c r="VYJ20" s="222"/>
      <c r="VYK20" s="222"/>
      <c r="VYL20" s="222"/>
      <c r="VYM20" s="222"/>
      <c r="VYN20" s="222"/>
      <c r="VYO20" s="222"/>
      <c r="VYP20" s="222"/>
      <c r="VYQ20" s="222"/>
      <c r="VYR20" s="222"/>
      <c r="VYS20" s="222"/>
      <c r="VYT20" s="222"/>
      <c r="VYU20" s="222"/>
      <c r="VYV20" s="222"/>
      <c r="VYW20" s="222"/>
      <c r="VYX20" s="222"/>
      <c r="VYY20" s="222"/>
      <c r="VYZ20" s="222"/>
      <c r="VZA20" s="222"/>
      <c r="VZB20" s="222"/>
      <c r="VZC20" s="222"/>
      <c r="VZD20" s="222"/>
      <c r="VZE20" s="222"/>
      <c r="VZF20" s="222"/>
      <c r="VZG20" s="222"/>
      <c r="VZH20" s="222"/>
      <c r="VZI20" s="222"/>
      <c r="VZJ20" s="222"/>
      <c r="VZK20" s="222"/>
      <c r="VZL20" s="222"/>
      <c r="VZM20" s="222"/>
      <c r="VZN20" s="222"/>
      <c r="VZO20" s="222"/>
      <c r="VZP20" s="222"/>
      <c r="VZQ20" s="222"/>
      <c r="VZR20" s="222"/>
      <c r="VZS20" s="222"/>
      <c r="VZT20" s="222"/>
      <c r="VZU20" s="222"/>
      <c r="VZV20" s="222"/>
      <c r="VZW20" s="222"/>
      <c r="VZX20" s="222"/>
      <c r="VZY20" s="222"/>
      <c r="VZZ20" s="222"/>
      <c r="WAA20" s="222"/>
      <c r="WAB20" s="222"/>
      <c r="WAC20" s="222"/>
      <c r="WAD20" s="222"/>
      <c r="WAE20" s="222"/>
      <c r="WAF20" s="222"/>
      <c r="WAG20" s="222"/>
      <c r="WAH20" s="222"/>
      <c r="WAI20" s="222"/>
      <c r="WAJ20" s="222"/>
      <c r="WAK20" s="222"/>
      <c r="WAL20" s="222"/>
      <c r="WAM20" s="222"/>
      <c r="WAN20" s="222"/>
      <c r="WAO20" s="222"/>
      <c r="WAP20" s="222"/>
      <c r="WAQ20" s="222"/>
      <c r="WAR20" s="222"/>
      <c r="WAS20" s="222"/>
      <c r="WAT20" s="222"/>
      <c r="WAU20" s="222"/>
      <c r="WAV20" s="222"/>
      <c r="WAW20" s="222"/>
      <c r="WAX20" s="222"/>
      <c r="WAY20" s="222"/>
      <c r="WAZ20" s="222"/>
      <c r="WBA20" s="222"/>
      <c r="WBB20" s="222"/>
      <c r="WBC20" s="222"/>
      <c r="WBD20" s="222"/>
      <c r="WBE20" s="222"/>
      <c r="WBF20" s="222"/>
      <c r="WBG20" s="222"/>
      <c r="WBH20" s="222"/>
      <c r="WBI20" s="222"/>
      <c r="WBJ20" s="222"/>
      <c r="WBK20" s="222"/>
      <c r="WBL20" s="222"/>
      <c r="WBM20" s="222"/>
      <c r="WBN20" s="222"/>
      <c r="WBO20" s="222"/>
      <c r="WBP20" s="222"/>
      <c r="WBQ20" s="222"/>
      <c r="WBR20" s="222"/>
      <c r="WBS20" s="222"/>
      <c r="WBT20" s="222"/>
      <c r="WBU20" s="222"/>
      <c r="WBV20" s="222"/>
      <c r="WBW20" s="222"/>
      <c r="WBX20" s="222"/>
      <c r="WBY20" s="222"/>
      <c r="WBZ20" s="222"/>
      <c r="WCA20" s="222"/>
      <c r="WCB20" s="222"/>
      <c r="WCC20" s="222"/>
      <c r="WCD20" s="222"/>
      <c r="WCE20" s="222"/>
      <c r="WCF20" s="222"/>
      <c r="WCG20" s="222"/>
      <c r="WCH20" s="222"/>
      <c r="WCI20" s="222"/>
      <c r="WCJ20" s="222"/>
      <c r="WCK20" s="222"/>
      <c r="WCL20" s="222"/>
      <c r="WCM20" s="222"/>
      <c r="WCN20" s="222"/>
      <c r="WCO20" s="222"/>
      <c r="WCP20" s="222"/>
      <c r="WCQ20" s="222"/>
      <c r="WCR20" s="222"/>
      <c r="WCS20" s="222"/>
      <c r="WCT20" s="222"/>
      <c r="WCU20" s="222"/>
      <c r="WCV20" s="222"/>
      <c r="WCW20" s="222"/>
      <c r="WCX20" s="222"/>
      <c r="WCY20" s="222"/>
      <c r="WCZ20" s="222"/>
      <c r="WDA20" s="222"/>
      <c r="WDB20" s="222"/>
      <c r="WDC20" s="222"/>
      <c r="WDD20" s="222"/>
      <c r="WDE20" s="222"/>
      <c r="WDF20" s="222"/>
      <c r="WDG20" s="222"/>
      <c r="WDH20" s="222"/>
      <c r="WDI20" s="222"/>
      <c r="WDJ20" s="222"/>
      <c r="WDK20" s="222"/>
      <c r="WDL20" s="222"/>
      <c r="WDM20" s="222"/>
      <c r="WDN20" s="222"/>
      <c r="WDO20" s="222"/>
      <c r="WDP20" s="222"/>
      <c r="WDQ20" s="222"/>
      <c r="WDR20" s="222"/>
      <c r="WDS20" s="222"/>
      <c r="WDT20" s="222"/>
      <c r="WDU20" s="222"/>
      <c r="WDV20" s="222"/>
      <c r="WDW20" s="222"/>
      <c r="WDX20" s="222"/>
      <c r="WDY20" s="222"/>
      <c r="WDZ20" s="222"/>
      <c r="WEA20" s="222"/>
      <c r="WEB20" s="222"/>
      <c r="WEC20" s="222"/>
      <c r="WED20" s="222"/>
      <c r="WEE20" s="222"/>
      <c r="WEF20" s="222"/>
      <c r="WEG20" s="222"/>
      <c r="WEH20" s="222"/>
      <c r="WEI20" s="222"/>
      <c r="WEJ20" s="222"/>
      <c r="WEK20" s="222"/>
      <c r="WEL20" s="222"/>
      <c r="WEM20" s="222"/>
      <c r="WEN20" s="222"/>
      <c r="WEO20" s="222"/>
      <c r="WEP20" s="222"/>
      <c r="WEQ20" s="222"/>
      <c r="WER20" s="222"/>
      <c r="WES20" s="222"/>
      <c r="WET20" s="222"/>
      <c r="WEU20" s="222"/>
      <c r="WEV20" s="222"/>
      <c r="WEW20" s="222"/>
      <c r="WEX20" s="222"/>
      <c r="WEY20" s="222"/>
      <c r="WEZ20" s="222"/>
      <c r="WFA20" s="222"/>
      <c r="WFB20" s="222"/>
      <c r="WFC20" s="222"/>
      <c r="WFD20" s="222"/>
      <c r="WFE20" s="222"/>
      <c r="WFF20" s="222"/>
      <c r="WFG20" s="222"/>
      <c r="WFH20" s="222"/>
      <c r="WFI20" s="222"/>
      <c r="WFJ20" s="222"/>
      <c r="WFK20" s="222"/>
      <c r="WFL20" s="222"/>
      <c r="WFM20" s="222"/>
      <c r="WFN20" s="222"/>
      <c r="WFO20" s="222"/>
      <c r="WFP20" s="222"/>
      <c r="WFQ20" s="222"/>
      <c r="WFR20" s="222"/>
      <c r="WFS20" s="222"/>
      <c r="WFT20" s="222"/>
      <c r="WFU20" s="222"/>
      <c r="WFV20" s="222"/>
      <c r="WFW20" s="222"/>
      <c r="WFX20" s="222"/>
      <c r="WFY20" s="222"/>
      <c r="WFZ20" s="222"/>
      <c r="WGA20" s="222"/>
      <c r="WGB20" s="222"/>
      <c r="WGC20" s="222"/>
      <c r="WGD20" s="222"/>
      <c r="WGE20" s="222"/>
      <c r="WGF20" s="222"/>
      <c r="WGG20" s="222"/>
      <c r="WGH20" s="222"/>
      <c r="WGI20" s="222"/>
      <c r="WGJ20" s="222"/>
      <c r="WGK20" s="222"/>
      <c r="WGL20" s="222"/>
      <c r="WGM20" s="222"/>
      <c r="WGN20" s="222"/>
      <c r="WGO20" s="222"/>
      <c r="WGP20" s="222"/>
      <c r="WGQ20" s="222"/>
      <c r="WGR20" s="222"/>
      <c r="WGS20" s="222"/>
      <c r="WGT20" s="222"/>
      <c r="WGU20" s="222"/>
      <c r="WGV20" s="222"/>
      <c r="WGW20" s="222"/>
      <c r="WGX20" s="222"/>
      <c r="WGY20" s="222"/>
      <c r="WGZ20" s="222"/>
      <c r="WHA20" s="222"/>
      <c r="WHB20" s="222"/>
      <c r="WHC20" s="222"/>
      <c r="WHD20" s="222"/>
      <c r="WHE20" s="222"/>
      <c r="WHF20" s="222"/>
      <c r="WHG20" s="222"/>
      <c r="WHH20" s="222"/>
      <c r="WHI20" s="222"/>
      <c r="WHJ20" s="222"/>
      <c r="WHK20" s="222"/>
      <c r="WHL20" s="222"/>
      <c r="WHM20" s="222"/>
      <c r="WHN20" s="222"/>
      <c r="WHO20" s="222"/>
      <c r="WHP20" s="222"/>
      <c r="WHQ20" s="222"/>
      <c r="WHR20" s="222"/>
      <c r="WHS20" s="222"/>
      <c r="WHT20" s="222"/>
      <c r="WHU20" s="222"/>
      <c r="WHV20" s="222"/>
      <c r="WHW20" s="222"/>
      <c r="WHX20" s="222"/>
      <c r="WHY20" s="222"/>
      <c r="WHZ20" s="222"/>
      <c r="WIA20" s="222"/>
      <c r="WIB20" s="222"/>
      <c r="WIC20" s="222"/>
      <c r="WID20" s="222"/>
      <c r="WIE20" s="222"/>
      <c r="WIF20" s="222"/>
      <c r="WIG20" s="222"/>
      <c r="WIH20" s="222"/>
      <c r="WII20" s="222"/>
      <c r="WIJ20" s="222"/>
      <c r="WIK20" s="222"/>
      <c r="WIL20" s="222"/>
      <c r="WIM20" s="222"/>
      <c r="WIN20" s="222"/>
      <c r="WIO20" s="222"/>
      <c r="WIP20" s="222"/>
      <c r="WIQ20" s="222"/>
      <c r="WIR20" s="222"/>
      <c r="WIS20" s="222"/>
      <c r="WIT20" s="222"/>
      <c r="WIU20" s="222"/>
      <c r="WIV20" s="222"/>
      <c r="WIW20" s="222"/>
      <c r="WIX20" s="222"/>
      <c r="WIY20" s="222"/>
      <c r="WIZ20" s="222"/>
      <c r="WJA20" s="222"/>
      <c r="WJB20" s="222"/>
      <c r="WJC20" s="222"/>
      <c r="WJD20" s="222"/>
      <c r="WJE20" s="222"/>
      <c r="WJF20" s="222"/>
      <c r="WJG20" s="222"/>
      <c r="WJH20" s="222"/>
      <c r="WJI20" s="222"/>
      <c r="WJJ20" s="222"/>
      <c r="WJK20" s="222"/>
      <c r="WJL20" s="222"/>
      <c r="WJM20" s="222"/>
      <c r="WJN20" s="222"/>
      <c r="WJO20" s="222"/>
      <c r="WJP20" s="222"/>
      <c r="WJQ20" s="222"/>
      <c r="WJR20" s="222"/>
      <c r="WJS20" s="222"/>
      <c r="WJT20" s="222"/>
      <c r="WJU20" s="222"/>
      <c r="WJV20" s="222"/>
      <c r="WJW20" s="222"/>
      <c r="WJX20" s="222"/>
      <c r="WJY20" s="222"/>
      <c r="WJZ20" s="222"/>
      <c r="WKA20" s="222"/>
      <c r="WKB20" s="222"/>
      <c r="WKC20" s="222"/>
      <c r="WKD20" s="222"/>
      <c r="WKE20" s="222"/>
      <c r="WKF20" s="222"/>
      <c r="WKG20" s="222"/>
      <c r="WKH20" s="222"/>
      <c r="WKI20" s="222"/>
      <c r="WKJ20" s="222"/>
      <c r="WKK20" s="222"/>
      <c r="WKL20" s="222"/>
      <c r="WKM20" s="222"/>
      <c r="WKN20" s="222"/>
      <c r="WKO20" s="222"/>
      <c r="WKP20" s="222"/>
      <c r="WKQ20" s="222"/>
      <c r="WKR20" s="222"/>
      <c r="WKS20" s="222"/>
      <c r="WKT20" s="222"/>
      <c r="WKU20" s="222"/>
      <c r="WKV20" s="222"/>
      <c r="WKW20" s="222"/>
      <c r="WKX20" s="222"/>
      <c r="WKY20" s="222"/>
      <c r="WKZ20" s="222"/>
      <c r="WLA20" s="222"/>
      <c r="WLB20" s="222"/>
      <c r="WLC20" s="222"/>
      <c r="WLD20" s="222"/>
      <c r="WLE20" s="222"/>
      <c r="WLF20" s="222"/>
      <c r="WLG20" s="222"/>
      <c r="WLH20" s="222"/>
      <c r="WLI20" s="222"/>
      <c r="WLJ20" s="222"/>
      <c r="WLK20" s="222"/>
      <c r="WLL20" s="222"/>
      <c r="WLM20" s="222"/>
      <c r="WLN20" s="222"/>
      <c r="WLO20" s="222"/>
      <c r="WLP20" s="222"/>
      <c r="WLQ20" s="222"/>
      <c r="WLR20" s="222"/>
      <c r="WLS20" s="222"/>
      <c r="WLT20" s="222"/>
      <c r="WLU20" s="222"/>
      <c r="WLV20" s="222"/>
      <c r="WLW20" s="222"/>
      <c r="WLX20" s="222"/>
      <c r="WLY20" s="222"/>
      <c r="WLZ20" s="222"/>
      <c r="WMA20" s="222"/>
      <c r="WMB20" s="222"/>
      <c r="WMC20" s="222"/>
      <c r="WMD20" s="222"/>
      <c r="WME20" s="222"/>
      <c r="WMF20" s="222"/>
      <c r="WMG20" s="222"/>
      <c r="WMH20" s="222"/>
      <c r="WMI20" s="222"/>
      <c r="WMJ20" s="222"/>
      <c r="WMK20" s="222"/>
      <c r="WML20" s="222"/>
      <c r="WMM20" s="222"/>
      <c r="WMN20" s="222"/>
      <c r="WMO20" s="222"/>
      <c r="WMP20" s="222"/>
      <c r="WMQ20" s="222"/>
      <c r="WMR20" s="222"/>
      <c r="WMS20" s="222"/>
      <c r="WMT20" s="222"/>
      <c r="WMU20" s="222"/>
      <c r="WMV20" s="222"/>
      <c r="WMW20" s="222"/>
      <c r="WMX20" s="222"/>
      <c r="WMY20" s="222"/>
      <c r="WMZ20" s="222"/>
      <c r="WNA20" s="222"/>
      <c r="WNB20" s="222"/>
      <c r="WNC20" s="222"/>
      <c r="WND20" s="222"/>
      <c r="WNE20" s="222"/>
      <c r="WNF20" s="222"/>
      <c r="WNG20" s="222"/>
      <c r="WNH20" s="222"/>
      <c r="WNI20" s="222"/>
      <c r="WNJ20" s="222"/>
      <c r="WNK20" s="222"/>
      <c r="WNL20" s="222"/>
      <c r="WNM20" s="222"/>
      <c r="WNN20" s="222"/>
      <c r="WNO20" s="222"/>
      <c r="WNP20" s="222"/>
      <c r="WNQ20" s="222"/>
      <c r="WNR20" s="222"/>
      <c r="WNS20" s="222"/>
      <c r="WNT20" s="222"/>
      <c r="WNU20" s="222"/>
      <c r="WNV20" s="222"/>
      <c r="WNW20" s="222"/>
      <c r="WNX20" s="222"/>
      <c r="WNY20" s="222"/>
      <c r="WNZ20" s="222"/>
      <c r="WOA20" s="222"/>
      <c r="WOB20" s="222"/>
      <c r="WOC20" s="222"/>
      <c r="WOD20" s="222"/>
      <c r="WOE20" s="222"/>
      <c r="WOF20" s="222"/>
      <c r="WOG20" s="222"/>
      <c r="WOH20" s="222"/>
      <c r="WOI20" s="222"/>
      <c r="WOJ20" s="222"/>
      <c r="WOK20" s="222"/>
      <c r="WOL20" s="222"/>
      <c r="WOM20" s="222"/>
      <c r="WON20" s="222"/>
      <c r="WOO20" s="222"/>
      <c r="WOP20" s="222"/>
      <c r="WOQ20" s="222"/>
      <c r="WOR20" s="222"/>
      <c r="WOS20" s="222"/>
      <c r="WOT20" s="222"/>
      <c r="WOU20" s="222"/>
      <c r="WOV20" s="222"/>
      <c r="WOW20" s="222"/>
      <c r="WOX20" s="222"/>
      <c r="WOY20" s="222"/>
      <c r="WOZ20" s="222"/>
      <c r="WPA20" s="222"/>
      <c r="WPB20" s="222"/>
      <c r="WPC20" s="222"/>
      <c r="WPD20" s="222"/>
      <c r="WPE20" s="222"/>
      <c r="WPF20" s="222"/>
      <c r="WPG20" s="222"/>
      <c r="WPH20" s="222"/>
      <c r="WPI20" s="222"/>
      <c r="WPJ20" s="222"/>
      <c r="WPK20" s="222"/>
      <c r="WPL20" s="222"/>
      <c r="WPM20" s="222"/>
      <c r="WPN20" s="222"/>
      <c r="WPO20" s="222"/>
      <c r="WPP20" s="222"/>
      <c r="WPQ20" s="222"/>
      <c r="WPR20" s="222"/>
      <c r="WPS20" s="222"/>
      <c r="WPT20" s="222"/>
      <c r="WPU20" s="222"/>
      <c r="WPV20" s="222"/>
      <c r="WPW20" s="222"/>
      <c r="WPX20" s="222"/>
      <c r="WPY20" s="222"/>
      <c r="WPZ20" s="222"/>
      <c r="WQA20" s="222"/>
      <c r="WQB20" s="222"/>
      <c r="WQC20" s="222"/>
      <c r="WQD20" s="222"/>
      <c r="WQE20" s="222"/>
      <c r="WQF20" s="222"/>
      <c r="WQG20" s="222"/>
      <c r="WQH20" s="222"/>
      <c r="WQI20" s="222"/>
      <c r="WQJ20" s="222"/>
      <c r="WQK20" s="222"/>
      <c r="WQL20" s="222"/>
      <c r="WQM20" s="222"/>
      <c r="WQN20" s="222"/>
      <c r="WQO20" s="222"/>
      <c r="WQP20" s="222"/>
      <c r="WQQ20" s="222"/>
      <c r="WQR20" s="222"/>
      <c r="WQS20" s="222"/>
      <c r="WQT20" s="222"/>
      <c r="WQU20" s="222"/>
      <c r="WQV20" s="222"/>
      <c r="WQW20" s="222"/>
      <c r="WQX20" s="222"/>
      <c r="WQY20" s="222"/>
      <c r="WQZ20" s="222"/>
      <c r="WRA20" s="222"/>
      <c r="WRB20" s="222"/>
      <c r="WRC20" s="222"/>
      <c r="WRD20" s="222"/>
      <c r="WRE20" s="222"/>
      <c r="WRF20" s="222"/>
      <c r="WRG20" s="222"/>
      <c r="WRH20" s="222"/>
      <c r="WRI20" s="222"/>
      <c r="WRJ20" s="222"/>
      <c r="WRK20" s="222"/>
      <c r="WRL20" s="222"/>
      <c r="WRM20" s="222"/>
      <c r="WRN20" s="222"/>
      <c r="WRO20" s="222"/>
      <c r="WRP20" s="222"/>
      <c r="WRQ20" s="222"/>
      <c r="WRR20" s="222"/>
      <c r="WRS20" s="222"/>
      <c r="WRT20" s="222"/>
      <c r="WRU20" s="222"/>
      <c r="WRV20" s="222"/>
      <c r="WRW20" s="222"/>
      <c r="WRX20" s="222"/>
      <c r="WRY20" s="222"/>
      <c r="WRZ20" s="222"/>
      <c r="WSA20" s="222"/>
      <c r="WSB20" s="222"/>
      <c r="WSC20" s="222"/>
      <c r="WSD20" s="222"/>
      <c r="WSE20" s="222"/>
      <c r="WSF20" s="222"/>
      <c r="WSG20" s="222"/>
      <c r="WSH20" s="222"/>
      <c r="WSI20" s="222"/>
      <c r="WSJ20" s="222"/>
      <c r="WSK20" s="222"/>
      <c r="WSL20" s="222"/>
      <c r="WSM20" s="222"/>
      <c r="WSN20" s="222"/>
      <c r="WSO20" s="222"/>
      <c r="WSP20" s="222"/>
      <c r="WSQ20" s="222"/>
      <c r="WSR20" s="222"/>
      <c r="WSS20" s="222"/>
      <c r="WST20" s="222"/>
      <c r="WSU20" s="222"/>
      <c r="WSV20" s="222"/>
      <c r="WSW20" s="222"/>
      <c r="WSX20" s="222"/>
      <c r="WSY20" s="222"/>
      <c r="WSZ20" s="222"/>
      <c r="WTA20" s="222"/>
      <c r="WTB20" s="222"/>
      <c r="WTC20" s="222"/>
      <c r="WTD20" s="222"/>
      <c r="WTE20" s="222"/>
      <c r="WTF20" s="222"/>
      <c r="WTG20" s="222"/>
      <c r="WTH20" s="222"/>
      <c r="WTI20" s="222"/>
      <c r="WTJ20" s="222"/>
      <c r="WTK20" s="222"/>
      <c r="WTL20" s="222"/>
      <c r="WTM20" s="222"/>
      <c r="WTN20" s="222"/>
      <c r="WTO20" s="222"/>
      <c r="WTP20" s="222"/>
      <c r="WTQ20" s="222"/>
      <c r="WTR20" s="222"/>
      <c r="WTS20" s="222"/>
      <c r="WTT20" s="222"/>
      <c r="WTU20" s="222"/>
      <c r="WTV20" s="222"/>
      <c r="WTW20" s="222"/>
      <c r="WTX20" s="222"/>
      <c r="WTY20" s="222"/>
      <c r="WTZ20" s="222"/>
      <c r="WUA20" s="222"/>
      <c r="WUB20" s="222"/>
      <c r="WUC20" s="222"/>
      <c r="WUD20" s="222"/>
      <c r="WUE20" s="222"/>
      <c r="WUF20" s="222"/>
      <c r="WUG20" s="222"/>
      <c r="WUH20" s="222"/>
      <c r="WUI20" s="222"/>
      <c r="WUJ20" s="222"/>
      <c r="WUK20" s="222"/>
      <c r="WUL20" s="222"/>
      <c r="WUM20" s="222"/>
      <c r="WUN20" s="222"/>
      <c r="WUO20" s="222"/>
      <c r="WUP20" s="222"/>
      <c r="WUQ20" s="222"/>
      <c r="WUR20" s="222"/>
      <c r="WUS20" s="222"/>
      <c r="WUT20" s="222"/>
      <c r="WUU20" s="222"/>
      <c r="WUV20" s="222"/>
      <c r="WUW20" s="222"/>
      <c r="WUX20" s="222"/>
      <c r="WUY20" s="222"/>
      <c r="WUZ20" s="222"/>
      <c r="WVA20" s="222"/>
      <c r="WVB20" s="222"/>
      <c r="WVC20" s="222"/>
      <c r="WVD20" s="222"/>
      <c r="WVE20" s="222"/>
      <c r="WVF20" s="222"/>
      <c r="WVG20" s="222"/>
      <c r="WVH20" s="222"/>
      <c r="WVI20" s="222"/>
      <c r="WVJ20" s="222"/>
      <c r="WVK20" s="222"/>
      <c r="WVL20" s="222"/>
      <c r="WVM20" s="222"/>
      <c r="WVN20" s="222"/>
      <c r="WVO20" s="222"/>
      <c r="WVP20" s="222"/>
      <c r="WVQ20" s="222"/>
      <c r="WVR20" s="222"/>
      <c r="WVS20" s="222"/>
      <c r="WVT20" s="222"/>
      <c r="WVU20" s="222"/>
      <c r="WVV20" s="222"/>
      <c r="WVW20" s="222"/>
      <c r="WVX20" s="222"/>
      <c r="WVY20" s="222"/>
      <c r="WVZ20" s="222"/>
      <c r="WWA20" s="222"/>
      <c r="WWB20" s="222"/>
      <c r="WWC20" s="222"/>
      <c r="WWD20" s="222"/>
      <c r="WWE20" s="222"/>
      <c r="WWF20" s="222"/>
      <c r="WWG20" s="222"/>
      <c r="WWH20" s="222"/>
      <c r="WWI20" s="222"/>
      <c r="WWJ20" s="222"/>
      <c r="WWK20" s="222"/>
      <c r="WWL20" s="222"/>
      <c r="WWM20" s="222"/>
      <c r="WWN20" s="222"/>
      <c r="WWO20" s="222"/>
      <c r="WWP20" s="222"/>
      <c r="WWQ20" s="222"/>
      <c r="WWR20" s="222"/>
      <c r="WWS20" s="222"/>
      <c r="WWT20" s="222"/>
      <c r="WWU20" s="222"/>
      <c r="WWV20" s="222"/>
      <c r="WWW20" s="222"/>
      <c r="WWX20" s="222"/>
      <c r="WWY20" s="222"/>
      <c r="WWZ20" s="222"/>
      <c r="WXA20" s="222"/>
      <c r="WXB20" s="222"/>
      <c r="WXC20" s="222"/>
      <c r="WXD20" s="222"/>
      <c r="WXE20" s="222"/>
      <c r="WXF20" s="222"/>
      <c r="WXG20" s="222"/>
      <c r="WXH20" s="222"/>
      <c r="WXI20" s="222"/>
      <c r="WXJ20" s="222"/>
      <c r="WXK20" s="222"/>
      <c r="WXL20" s="222"/>
      <c r="WXM20" s="222"/>
      <c r="WXN20" s="222"/>
      <c r="WXO20" s="222"/>
      <c r="WXP20" s="222"/>
      <c r="WXQ20" s="222"/>
      <c r="WXR20" s="222"/>
      <c r="WXS20" s="222"/>
      <c r="WXT20" s="222"/>
      <c r="WXU20" s="222"/>
      <c r="WXV20" s="222"/>
      <c r="WXW20" s="222"/>
      <c r="WXX20" s="222"/>
      <c r="WXY20" s="222"/>
      <c r="WXZ20" s="222"/>
      <c r="WYA20" s="222"/>
      <c r="WYB20" s="222"/>
      <c r="WYC20" s="222"/>
      <c r="WYD20" s="222"/>
      <c r="WYE20" s="222"/>
      <c r="WYF20" s="222"/>
      <c r="WYG20" s="222"/>
      <c r="WYH20" s="222"/>
      <c r="WYI20" s="222"/>
      <c r="WYJ20" s="222"/>
      <c r="WYK20" s="222"/>
      <c r="WYL20" s="222"/>
      <c r="WYM20" s="222"/>
      <c r="WYN20" s="222"/>
      <c r="WYO20" s="222"/>
      <c r="WYP20" s="222"/>
      <c r="WYQ20" s="222"/>
      <c r="WYR20" s="222"/>
      <c r="WYS20" s="222"/>
      <c r="WYT20" s="222"/>
      <c r="WYU20" s="222"/>
      <c r="WYV20" s="222"/>
      <c r="WYW20" s="222"/>
      <c r="WYX20" s="222"/>
      <c r="WYY20" s="222"/>
      <c r="WYZ20" s="222"/>
      <c r="WZA20" s="222"/>
      <c r="WZB20" s="222"/>
      <c r="WZC20" s="222"/>
      <c r="WZD20" s="222"/>
      <c r="WZE20" s="222"/>
      <c r="WZF20" s="222"/>
      <c r="WZG20" s="222"/>
      <c r="WZH20" s="222"/>
      <c r="WZI20" s="222"/>
      <c r="WZJ20" s="222"/>
      <c r="WZK20" s="222"/>
      <c r="WZL20" s="222"/>
      <c r="WZM20" s="222"/>
      <c r="WZN20" s="222"/>
      <c r="WZO20" s="222"/>
      <c r="WZP20" s="222"/>
      <c r="WZQ20" s="222"/>
      <c r="WZR20" s="222"/>
      <c r="WZS20" s="222"/>
      <c r="WZT20" s="222"/>
      <c r="WZU20" s="222"/>
      <c r="WZV20" s="222"/>
      <c r="WZW20" s="222"/>
      <c r="WZX20" s="222"/>
      <c r="WZY20" s="222"/>
      <c r="WZZ20" s="222"/>
      <c r="XAA20" s="222"/>
      <c r="XAB20" s="222"/>
      <c r="XAC20" s="222"/>
      <c r="XAD20" s="222"/>
      <c r="XAE20" s="222"/>
      <c r="XAF20" s="222"/>
      <c r="XAG20" s="222"/>
      <c r="XAH20" s="222"/>
      <c r="XAI20" s="222"/>
      <c r="XAJ20" s="222"/>
      <c r="XAK20" s="222"/>
      <c r="XAL20" s="222"/>
      <c r="XAM20" s="222"/>
      <c r="XAN20" s="222"/>
      <c r="XAO20" s="222"/>
      <c r="XAP20" s="222"/>
      <c r="XAQ20" s="222"/>
      <c r="XAR20" s="222"/>
      <c r="XAS20" s="222"/>
      <c r="XAT20" s="222"/>
      <c r="XAU20" s="222"/>
      <c r="XAV20" s="222"/>
      <c r="XAW20" s="222"/>
      <c r="XAX20" s="222"/>
      <c r="XAY20" s="222"/>
      <c r="XAZ20" s="222"/>
      <c r="XBA20" s="222"/>
      <c r="XBB20" s="222"/>
      <c r="XBC20" s="222"/>
      <c r="XBD20" s="222"/>
      <c r="XBE20" s="222"/>
      <c r="XBF20" s="222"/>
      <c r="XBG20" s="222"/>
      <c r="XBH20" s="222"/>
      <c r="XBI20" s="222"/>
      <c r="XBJ20" s="222"/>
      <c r="XBK20" s="222"/>
      <c r="XBL20" s="222"/>
      <c r="XBM20" s="222"/>
      <c r="XBN20" s="222"/>
      <c r="XBO20" s="222"/>
      <c r="XBP20" s="222"/>
      <c r="XBQ20" s="222"/>
      <c r="XBR20" s="222"/>
      <c r="XBS20" s="222"/>
      <c r="XBT20" s="222"/>
      <c r="XBU20" s="222"/>
      <c r="XBV20" s="222"/>
      <c r="XBW20" s="222"/>
      <c r="XBX20" s="222"/>
      <c r="XBY20" s="222"/>
      <c r="XBZ20" s="222"/>
      <c r="XCA20" s="222"/>
      <c r="XCB20" s="222"/>
      <c r="XCC20" s="222"/>
      <c r="XCD20" s="222"/>
      <c r="XCE20" s="222"/>
      <c r="XCF20" s="222"/>
      <c r="XCG20" s="222"/>
      <c r="XCH20" s="222"/>
      <c r="XCI20" s="222"/>
      <c r="XCJ20" s="222"/>
      <c r="XCK20" s="222"/>
      <c r="XCL20" s="222"/>
      <c r="XCM20" s="222"/>
      <c r="XCN20" s="222"/>
      <c r="XCO20" s="222"/>
      <c r="XCP20" s="222"/>
      <c r="XCQ20" s="222"/>
      <c r="XCR20" s="222"/>
      <c r="XCS20" s="222"/>
      <c r="XCT20" s="222"/>
      <c r="XCU20" s="222"/>
      <c r="XCV20" s="222"/>
      <c r="XCW20" s="222"/>
      <c r="XCX20" s="222"/>
      <c r="XCY20" s="222"/>
      <c r="XCZ20" s="222"/>
      <c r="XDA20" s="222"/>
      <c r="XDB20" s="222"/>
      <c r="XDC20" s="222"/>
      <c r="XDD20" s="222"/>
      <c r="XDE20" s="222"/>
      <c r="XDF20" s="222"/>
      <c r="XDG20" s="222"/>
      <c r="XDH20" s="222"/>
      <c r="XDI20" s="222"/>
      <c r="XDJ20" s="222"/>
    </row>
    <row r="21" spans="1:16338" x14ac:dyDescent="0.2">
      <c r="A21" s="223">
        <v>17</v>
      </c>
      <c r="B21" s="224" t="s">
        <v>159</v>
      </c>
      <c r="C21" s="643">
        <v>1.9618300384461886</v>
      </c>
      <c r="D21" s="643">
        <v>4.3695353777700001</v>
      </c>
      <c r="E21" s="643">
        <v>3.1987529786799964</v>
      </c>
      <c r="F21" s="643">
        <v>4.2144140767340925</v>
      </c>
      <c r="G21" s="643">
        <v>5.3128695720311399</v>
      </c>
      <c r="H21" s="643">
        <v>5.5310094110000021</v>
      </c>
      <c r="I21" s="643">
        <v>8.5678395259999949</v>
      </c>
      <c r="J21" s="644">
        <v>9.0422747379999819</v>
      </c>
      <c r="K21" s="643">
        <v>5.4282608339999969</v>
      </c>
      <c r="L21" s="643">
        <v>3.5134400000000003E-2</v>
      </c>
      <c r="M21" s="643">
        <v>0.86890730000000005</v>
      </c>
      <c r="N21" s="643">
        <v>4.0039582999999997E-2</v>
      </c>
      <c r="O21" s="643">
        <v>3.1935700000000004E-2</v>
      </c>
      <c r="P21" s="643">
        <v>5.3522462735967412E-2</v>
      </c>
      <c r="Q21" s="643">
        <v>4.9802800000000008E-2</v>
      </c>
      <c r="R21" s="643">
        <v>5.8236700000000002E-2</v>
      </c>
      <c r="S21" s="644">
        <v>6.7934781999999985E-2</v>
      </c>
      <c r="T21" s="643">
        <v>4.7928737999999999E-2</v>
      </c>
      <c r="U21" s="643">
        <v>0</v>
      </c>
      <c r="V21" s="643">
        <v>0.21281669999999997</v>
      </c>
      <c r="W21" s="643">
        <v>0</v>
      </c>
      <c r="X21" s="643">
        <v>0</v>
      </c>
      <c r="Y21" s="643">
        <v>0</v>
      </c>
      <c r="Z21" s="643">
        <v>0</v>
      </c>
      <c r="AA21" s="643">
        <v>0.88601880000000011</v>
      </c>
      <c r="AB21" s="644">
        <v>0.89800800000000014</v>
      </c>
      <c r="AC21" s="643">
        <v>0</v>
      </c>
      <c r="AD21" s="643">
        <v>0</v>
      </c>
      <c r="AE21" s="643">
        <v>0</v>
      </c>
      <c r="AF21" s="643">
        <v>0</v>
      </c>
      <c r="AG21" s="643">
        <v>0</v>
      </c>
      <c r="AH21" s="643">
        <v>0</v>
      </c>
      <c r="AI21" s="643">
        <v>0</v>
      </c>
      <c r="AJ21" s="643">
        <v>0</v>
      </c>
      <c r="AK21" s="644">
        <v>0</v>
      </c>
      <c r="AL21" s="643">
        <v>0</v>
      </c>
      <c r="AM21" s="643">
        <v>0.50892700081990572</v>
      </c>
      <c r="AN21" s="643">
        <v>0.34924659999999996</v>
      </c>
      <c r="AO21" s="643">
        <v>0.52032979999999984</v>
      </c>
      <c r="AP21" s="643">
        <v>0.27408189068911226</v>
      </c>
      <c r="AQ21" s="643">
        <v>0.50448449350918001</v>
      </c>
      <c r="AR21" s="643">
        <v>1.1482074</v>
      </c>
      <c r="AS21" s="643">
        <v>1.4464912800000003</v>
      </c>
      <c r="AT21" s="644">
        <v>6.1253818569999989</v>
      </c>
      <c r="AU21" s="643">
        <v>9.7197460409999987</v>
      </c>
      <c r="AV21" s="643">
        <v>6.9201993706216731</v>
      </c>
      <c r="AW21" s="643">
        <v>5.542435734973794</v>
      </c>
      <c r="AX21" s="643">
        <v>41.952074563673833</v>
      </c>
      <c r="AY21" s="643">
        <v>5.8527784084313712</v>
      </c>
      <c r="AZ21" s="643">
        <v>7.6913717215566626</v>
      </c>
      <c r="BA21" s="643">
        <v>47.667543248000001</v>
      </c>
      <c r="BB21" s="643">
        <v>33.659388301547594</v>
      </c>
      <c r="BC21" s="644">
        <v>27.268759314765948</v>
      </c>
      <c r="BD21" s="643">
        <v>18.469167229686455</v>
      </c>
      <c r="BE21" s="643">
        <v>12.178538443182855</v>
      </c>
      <c r="BF21" s="643">
        <v>10.433070276334867</v>
      </c>
      <c r="BG21" s="643">
        <v>129.93737519033573</v>
      </c>
      <c r="BH21" s="643">
        <v>8.1859816272269299</v>
      </c>
      <c r="BI21" s="643">
        <v>14.199546088312072</v>
      </c>
      <c r="BJ21" s="643">
        <v>36.049460880333335</v>
      </c>
      <c r="BK21" s="643">
        <v>34.620714356000001</v>
      </c>
      <c r="BL21" s="644">
        <v>33.42334851493333</v>
      </c>
      <c r="BM21" s="643">
        <v>39.049816369903326</v>
      </c>
      <c r="BN21" s="643">
        <v>0.16359219999999999</v>
      </c>
      <c r="BO21" s="643">
        <v>0.14733149999999998</v>
      </c>
      <c r="BP21" s="643">
        <v>0.13278299999999998</v>
      </c>
      <c r="BQ21" s="643">
        <v>3.2722600000000004E-2</v>
      </c>
      <c r="BR21" s="643">
        <v>0.1468893</v>
      </c>
      <c r="BS21" s="643">
        <v>0.18116360000000001</v>
      </c>
      <c r="BT21" s="643">
        <v>0.1990653</v>
      </c>
      <c r="BU21" s="644">
        <v>0.37612283999999996</v>
      </c>
      <c r="BV21" s="643">
        <v>0.59162605499999998</v>
      </c>
      <c r="BW21" s="643">
        <v>1.8909100000000002E-2</v>
      </c>
      <c r="BX21" s="643">
        <v>0.21791040000000003</v>
      </c>
      <c r="BY21" s="643">
        <v>0</v>
      </c>
      <c r="BZ21" s="643">
        <v>0</v>
      </c>
      <c r="CA21" s="643">
        <v>0</v>
      </c>
      <c r="CB21" s="643">
        <v>0</v>
      </c>
      <c r="CC21" s="643">
        <v>0</v>
      </c>
      <c r="CD21" s="644">
        <v>0</v>
      </c>
      <c r="CE21" s="643">
        <v>0</v>
      </c>
      <c r="CF21" s="643">
        <v>0</v>
      </c>
      <c r="CG21" s="643">
        <v>0</v>
      </c>
      <c r="CH21" s="643">
        <v>0</v>
      </c>
      <c r="CI21" s="643">
        <v>0</v>
      </c>
      <c r="CJ21" s="643">
        <v>0</v>
      </c>
      <c r="CK21" s="643">
        <v>0</v>
      </c>
      <c r="CL21" s="643">
        <v>0</v>
      </c>
      <c r="CM21" s="644">
        <v>0</v>
      </c>
      <c r="CN21" s="643">
        <v>0</v>
      </c>
      <c r="CO21" s="643">
        <v>1.4555697519999997</v>
      </c>
      <c r="CP21" s="643">
        <v>1.0507625550200002</v>
      </c>
      <c r="CQ21" s="643">
        <v>1.131397271</v>
      </c>
      <c r="CR21" s="643">
        <v>1.0891814367000001</v>
      </c>
      <c r="CS21" s="643">
        <v>0.8789825884585849</v>
      </c>
      <c r="CT21" s="643">
        <v>1.2538649720000035</v>
      </c>
      <c r="CU21" s="643">
        <v>1.0118599219999997</v>
      </c>
      <c r="CV21" s="643">
        <v>1.4407395029999972</v>
      </c>
      <c r="CW21" s="643">
        <v>1.7430139090000005</v>
      </c>
      <c r="CX21" s="643">
        <f t="shared" si="1"/>
        <v>23.24270030507062</v>
      </c>
      <c r="CY21" s="643">
        <f t="shared" si="2"/>
        <v>23.192016444098662</v>
      </c>
      <c r="CZ21" s="643">
        <f t="shared" si="3"/>
        <v>176.91275238668953</v>
      </c>
      <c r="DA21" s="643">
        <f t="shared" si="4"/>
        <v>19.681095739781505</v>
      </c>
      <c r="DB21" s="643">
        <f t="shared" si="5"/>
        <v>28.787666226603609</v>
      </c>
      <c r="DC21" s="643">
        <f t="shared" si="6"/>
        <v>91.881052311333335</v>
      </c>
      <c r="DD21" s="643">
        <f t="shared" si="7"/>
        <v>80.449614185547588</v>
      </c>
      <c r="DE21" s="643">
        <f t="shared" si="8"/>
        <v>78.64256954969926</v>
      </c>
      <c r="DF21" s="643">
        <f t="shared" si="9"/>
        <v>75.049559176589781</v>
      </c>
    </row>
    <row r="22" spans="1:16338" s="226" customFormat="1" x14ac:dyDescent="0.2">
      <c r="A22" s="223">
        <v>18</v>
      </c>
      <c r="B22" s="224" t="s">
        <v>160</v>
      </c>
      <c r="C22" s="643">
        <v>1.4930743824183403</v>
      </c>
      <c r="D22" s="643">
        <v>3.0002375618230839</v>
      </c>
      <c r="E22" s="643">
        <v>6.2465992767520433</v>
      </c>
      <c r="F22" s="643">
        <v>1.3719752753967192</v>
      </c>
      <c r="G22" s="643">
        <v>2.0025032349716456</v>
      </c>
      <c r="H22" s="643">
        <v>2.1503869650000014</v>
      </c>
      <c r="I22" s="643">
        <v>2.7072651770000022</v>
      </c>
      <c r="J22" s="644">
        <v>3.9997435280000002</v>
      </c>
      <c r="K22" s="643">
        <v>3.5775952689999997</v>
      </c>
      <c r="L22" s="643">
        <v>0.25209930000000003</v>
      </c>
      <c r="M22" s="643">
        <v>0.14473339799999999</v>
      </c>
      <c r="N22" s="643">
        <v>0.81195151099999985</v>
      </c>
      <c r="O22" s="643">
        <v>5.1455198000000008E-2</v>
      </c>
      <c r="P22" s="643">
        <v>9.5116313812540432E-2</v>
      </c>
      <c r="Q22" s="643">
        <v>0.12275525299999999</v>
      </c>
      <c r="R22" s="643">
        <v>0.11661511400000001</v>
      </c>
      <c r="S22" s="644">
        <v>0.108803413</v>
      </c>
      <c r="T22" s="643">
        <v>0.59509042999999995</v>
      </c>
      <c r="U22" s="643">
        <v>0</v>
      </c>
      <c r="V22" s="643">
        <v>0</v>
      </c>
      <c r="W22" s="643">
        <v>7.0762000000000004E-3</v>
      </c>
      <c r="X22" s="643">
        <v>0</v>
      </c>
      <c r="Y22" s="643">
        <v>0</v>
      </c>
      <c r="Z22" s="643">
        <v>0</v>
      </c>
      <c r="AA22" s="643">
        <v>0.46</v>
      </c>
      <c r="AB22" s="644">
        <v>0</v>
      </c>
      <c r="AC22" s="643">
        <v>0</v>
      </c>
      <c r="AD22" s="643">
        <v>0</v>
      </c>
      <c r="AE22" s="643">
        <v>0</v>
      </c>
      <c r="AF22" s="643">
        <v>0</v>
      </c>
      <c r="AG22" s="643">
        <v>0</v>
      </c>
      <c r="AH22" s="643">
        <v>0</v>
      </c>
      <c r="AI22" s="643">
        <v>0</v>
      </c>
      <c r="AJ22" s="643">
        <v>0</v>
      </c>
      <c r="AK22" s="644">
        <v>0</v>
      </c>
      <c r="AL22" s="643">
        <v>0</v>
      </c>
      <c r="AM22" s="643">
        <v>0.20152032671897099</v>
      </c>
      <c r="AN22" s="643">
        <v>0.29124903899999999</v>
      </c>
      <c r="AO22" s="643">
        <v>7.8177633239999986</v>
      </c>
      <c r="AP22" s="643">
        <v>0.88844337769439119</v>
      </c>
      <c r="AQ22" s="643">
        <v>0.39423065230337256</v>
      </c>
      <c r="AR22" s="643">
        <v>2.6237921999999996</v>
      </c>
      <c r="AS22" s="643">
        <v>4.7614320000000001</v>
      </c>
      <c r="AT22" s="644">
        <v>4.6005027439999999</v>
      </c>
      <c r="AU22" s="643">
        <v>6.2089834550000003</v>
      </c>
      <c r="AV22" s="643">
        <v>9.8544150891175466</v>
      </c>
      <c r="AW22" s="643">
        <v>13.027367640535983</v>
      </c>
      <c r="AX22" s="643">
        <v>36.223671990685133</v>
      </c>
      <c r="AY22" s="643">
        <v>13.052256749265972</v>
      </c>
      <c r="AZ22" s="643">
        <v>17.987123302477201</v>
      </c>
      <c r="BA22" s="643">
        <v>20.105838311999999</v>
      </c>
      <c r="BB22" s="643">
        <v>18.420117626313516</v>
      </c>
      <c r="BC22" s="644">
        <v>20.312823420971437</v>
      </c>
      <c r="BD22" s="643">
        <v>20.405306476064993</v>
      </c>
      <c r="BE22" s="643">
        <v>13.359152927506047</v>
      </c>
      <c r="BF22" s="643">
        <v>14.643658204933594</v>
      </c>
      <c r="BG22" s="643">
        <v>72.847838036728106</v>
      </c>
      <c r="BH22" s="643">
        <v>17.155340481581977</v>
      </c>
      <c r="BI22" s="643">
        <v>28.218559871364988</v>
      </c>
      <c r="BJ22" s="643">
        <v>48.788110580666668</v>
      </c>
      <c r="BK22" s="643">
        <v>37.279597164666669</v>
      </c>
      <c r="BL22" s="644">
        <v>39.680585523833336</v>
      </c>
      <c r="BM22" s="643">
        <v>42.947035466016672</v>
      </c>
      <c r="BN22" s="643">
        <v>0.16418579999999999</v>
      </c>
      <c r="BO22" s="643">
        <v>0.22770360000000001</v>
      </c>
      <c r="BP22" s="643">
        <v>1.0368605</v>
      </c>
      <c r="BQ22" s="643">
        <v>0.12328710000000001</v>
      </c>
      <c r="BR22" s="643">
        <v>0.30418398099999999</v>
      </c>
      <c r="BS22" s="643">
        <v>0.5000590989999999</v>
      </c>
      <c r="BT22" s="643">
        <v>0.61116567100000008</v>
      </c>
      <c r="BU22" s="644">
        <v>0.66955358199999992</v>
      </c>
      <c r="BV22" s="643">
        <v>0.84446906600000005</v>
      </c>
      <c r="BW22" s="643">
        <v>0.11557400000000001</v>
      </c>
      <c r="BX22" s="643">
        <v>8.0357400000000009E-2</v>
      </c>
      <c r="BY22" s="643">
        <v>4.1894799999999996E-2</v>
      </c>
      <c r="BZ22" s="643">
        <v>0</v>
      </c>
      <c r="CA22" s="643">
        <v>0</v>
      </c>
      <c r="CB22" s="643">
        <v>0</v>
      </c>
      <c r="CC22" s="643">
        <v>53.558799999999998</v>
      </c>
      <c r="CD22" s="644">
        <v>0.6408758</v>
      </c>
      <c r="CE22" s="643">
        <v>2.2400000000000002</v>
      </c>
      <c r="CF22" s="643">
        <v>0</v>
      </c>
      <c r="CG22" s="643">
        <v>0</v>
      </c>
      <c r="CH22" s="643">
        <v>0</v>
      </c>
      <c r="CI22" s="643">
        <v>0</v>
      </c>
      <c r="CJ22" s="643">
        <v>0</v>
      </c>
      <c r="CK22" s="643">
        <v>0</v>
      </c>
      <c r="CL22" s="643">
        <v>0</v>
      </c>
      <c r="CM22" s="644">
        <v>0</v>
      </c>
      <c r="CN22" s="643">
        <v>0</v>
      </c>
      <c r="CO22" s="643">
        <v>1.04823123944</v>
      </c>
      <c r="CP22" s="643">
        <v>1.019246235</v>
      </c>
      <c r="CQ22" s="643">
        <v>6.3859549200000005</v>
      </c>
      <c r="CR22" s="643">
        <v>0.60004030933000085</v>
      </c>
      <c r="CS22" s="643">
        <v>1.0481544998626839</v>
      </c>
      <c r="CT22" s="643">
        <v>1.3624669080000005</v>
      </c>
      <c r="CU22" s="643">
        <v>1.2321615450000005</v>
      </c>
      <c r="CV22" s="643">
        <v>1.3722484959999994</v>
      </c>
      <c r="CW22" s="643">
        <v>1.5960016389999989</v>
      </c>
      <c r="CX22" s="643">
        <f t="shared" si="1"/>
        <v>26.488253065200905</v>
      </c>
      <c r="CY22" s="643">
        <f t="shared" si="2"/>
        <v>32.434553079292662</v>
      </c>
      <c r="CZ22" s="643">
        <f t="shared" si="3"/>
        <v>131.41961055916528</v>
      </c>
      <c r="DA22" s="643">
        <f t="shared" si="4"/>
        <v>33.242798491269056</v>
      </c>
      <c r="DB22" s="643">
        <f t="shared" si="5"/>
        <v>50.049871855792432</v>
      </c>
      <c r="DC22" s="643">
        <f t="shared" si="6"/>
        <v>75.653409317666672</v>
      </c>
      <c r="DD22" s="643">
        <f t="shared" si="7"/>
        <v>119.14715429798017</v>
      </c>
      <c r="DE22" s="643">
        <f t="shared" si="8"/>
        <v>71.385136507804773</v>
      </c>
      <c r="DF22" s="643">
        <f t="shared" si="9"/>
        <v>78.414481801081664</v>
      </c>
      <c r="DG22" s="222"/>
    </row>
    <row r="23" spans="1:16338" x14ac:dyDescent="0.2">
      <c r="A23" s="223">
        <v>19</v>
      </c>
      <c r="B23" s="224" t="s">
        <v>161</v>
      </c>
      <c r="C23" s="643">
        <v>118.90037888034172</v>
      </c>
      <c r="D23" s="643">
        <v>147.04333466950132</v>
      </c>
      <c r="E23" s="643">
        <v>198.24003900240675</v>
      </c>
      <c r="F23" s="643">
        <v>161.16994513196209</v>
      </c>
      <c r="G23" s="643">
        <v>200.16478744203479</v>
      </c>
      <c r="H23" s="643">
        <v>234.32090112320827</v>
      </c>
      <c r="I23" s="643">
        <v>317.21792135300046</v>
      </c>
      <c r="J23" s="644">
        <v>383.90638872703391</v>
      </c>
      <c r="K23" s="643">
        <v>409.98424162279548</v>
      </c>
      <c r="L23" s="643">
        <v>12.182125945552613</v>
      </c>
      <c r="M23" s="643">
        <v>13.946296675780552</v>
      </c>
      <c r="N23" s="643">
        <v>19.401199782276212</v>
      </c>
      <c r="O23" s="643">
        <v>12.688004106093109</v>
      </c>
      <c r="P23" s="643">
        <v>12.172109300527683</v>
      </c>
      <c r="Q23" s="643">
        <v>13.842474185499995</v>
      </c>
      <c r="R23" s="643">
        <v>17.696209337999999</v>
      </c>
      <c r="S23" s="644">
        <v>16.300197187757874</v>
      </c>
      <c r="T23" s="643">
        <v>25.784791606399995</v>
      </c>
      <c r="U23" s="643">
        <v>0.65732137999999996</v>
      </c>
      <c r="V23" s="643">
        <v>3.1763409800000004</v>
      </c>
      <c r="W23" s="643">
        <v>0.96505010000000002</v>
      </c>
      <c r="X23" s="643">
        <v>2.8417372999999997</v>
      </c>
      <c r="Y23" s="643">
        <v>5.4813420303899774</v>
      </c>
      <c r="Z23" s="643">
        <v>8.4658356399999999</v>
      </c>
      <c r="AA23" s="643">
        <v>13.837678031999999</v>
      </c>
      <c r="AB23" s="644">
        <v>17.253252634999999</v>
      </c>
      <c r="AC23" s="643">
        <v>20.06391116</v>
      </c>
      <c r="AD23" s="643">
        <v>0.56360900000000003</v>
      </c>
      <c r="AE23" s="643">
        <v>0.58275180000000004</v>
      </c>
      <c r="AF23" s="643">
        <v>0.54839680000000002</v>
      </c>
      <c r="AG23" s="643">
        <v>0.37048589999999998</v>
      </c>
      <c r="AH23" s="643">
        <v>0.73552479999999998</v>
      </c>
      <c r="AI23" s="643">
        <v>0.67307369999999989</v>
      </c>
      <c r="AJ23" s="643">
        <v>1.3563646999999996</v>
      </c>
      <c r="AK23" s="644">
        <v>3.1081063300000005</v>
      </c>
      <c r="AL23" s="643">
        <v>3.9121658999999998</v>
      </c>
      <c r="AM23" s="643">
        <v>81.974387006530719</v>
      </c>
      <c r="AN23" s="643">
        <v>98.609455370158173</v>
      </c>
      <c r="AO23" s="643">
        <v>90.520246507970768</v>
      </c>
      <c r="AP23" s="643">
        <v>66.740152888778027</v>
      </c>
      <c r="AQ23" s="643">
        <v>58.95529928790458</v>
      </c>
      <c r="AR23" s="643">
        <v>60.859583736750018</v>
      </c>
      <c r="AS23" s="643">
        <v>59.197384973000005</v>
      </c>
      <c r="AT23" s="644">
        <v>67.637051864</v>
      </c>
      <c r="AU23" s="643">
        <v>90.814197448149983</v>
      </c>
      <c r="AV23" s="643">
        <v>324.83160139748907</v>
      </c>
      <c r="AW23" s="643">
        <v>328.04023830152465</v>
      </c>
      <c r="AX23" s="643">
        <v>358.47192925052565</v>
      </c>
      <c r="AY23" s="643">
        <v>365.98220733334222</v>
      </c>
      <c r="AZ23" s="643">
        <v>478.33657905727318</v>
      </c>
      <c r="BA23" s="643">
        <v>479.04382068793143</v>
      </c>
      <c r="BB23" s="643">
        <v>531.51335947833661</v>
      </c>
      <c r="BC23" s="644">
        <v>514.55984132627668</v>
      </c>
      <c r="BD23" s="643">
        <v>510.43046555242267</v>
      </c>
      <c r="BE23" s="643">
        <v>390.45335276649695</v>
      </c>
      <c r="BF23" s="643">
        <v>421.76021831288324</v>
      </c>
      <c r="BG23" s="643">
        <v>532.20486138972024</v>
      </c>
      <c r="BH23" s="643">
        <v>538.93987909503312</v>
      </c>
      <c r="BI23" s="643">
        <v>808.76379379132447</v>
      </c>
      <c r="BJ23" s="643">
        <v>929.17622680766738</v>
      </c>
      <c r="BK23" s="643">
        <v>1177.4484798747787</v>
      </c>
      <c r="BL23" s="644">
        <v>1076.0624278474304</v>
      </c>
      <c r="BM23" s="643">
        <v>1069.6187696917268</v>
      </c>
      <c r="BN23" s="643">
        <v>6.8717567720951944</v>
      </c>
      <c r="BO23" s="643">
        <v>6.8574680930984231</v>
      </c>
      <c r="BP23" s="643">
        <v>7.0411992431928594</v>
      </c>
      <c r="BQ23" s="643">
        <v>5.7853257950183341</v>
      </c>
      <c r="BR23" s="643">
        <v>9.0945437214084102</v>
      </c>
      <c r="BS23" s="643">
        <v>11.608163461000013</v>
      </c>
      <c r="BT23" s="643">
        <v>10.922596186</v>
      </c>
      <c r="BU23" s="644">
        <v>12.131850256348162</v>
      </c>
      <c r="BV23" s="643">
        <v>16.004464095999996</v>
      </c>
      <c r="BW23" s="643">
        <v>122.08781057600001</v>
      </c>
      <c r="BX23" s="643">
        <v>234.87049451299998</v>
      </c>
      <c r="BY23" s="643">
        <v>191.79983953499999</v>
      </c>
      <c r="BZ23" s="643">
        <v>387.87405915700003</v>
      </c>
      <c r="CA23" s="643">
        <v>979.67616474084889</v>
      </c>
      <c r="CB23" s="643">
        <v>954.48559895477683</v>
      </c>
      <c r="CC23" s="643">
        <v>2029.1302549237566</v>
      </c>
      <c r="CD23" s="644">
        <v>1508.6099865497611</v>
      </c>
      <c r="CE23" s="643">
        <v>1281.3851882690053</v>
      </c>
      <c r="CF23" s="643">
        <v>5.0750999999999999</v>
      </c>
      <c r="CG23" s="643">
        <v>6.1663999999999994</v>
      </c>
      <c r="CH23" s="643">
        <v>5.4305999999999992</v>
      </c>
      <c r="CI23" s="643">
        <v>4.1679000000000004</v>
      </c>
      <c r="CJ23" s="643">
        <v>5.3445</v>
      </c>
      <c r="CK23" s="643">
        <v>6.1972054999999999</v>
      </c>
      <c r="CL23" s="643">
        <v>7.5445004000000004</v>
      </c>
      <c r="CM23" s="644">
        <v>7.2729999999999997</v>
      </c>
      <c r="CN23" s="643">
        <v>7.5085750000000004</v>
      </c>
      <c r="CO23" s="643">
        <v>44.626330206687634</v>
      </c>
      <c r="CP23" s="643">
        <v>40.32280744429</v>
      </c>
      <c r="CQ23" s="643">
        <v>48.15133672312794</v>
      </c>
      <c r="CR23" s="643">
        <v>39.619158074101968</v>
      </c>
      <c r="CS23" s="643">
        <v>43.073570884948666</v>
      </c>
      <c r="CT23" s="643">
        <v>48.778724133000395</v>
      </c>
      <c r="CU23" s="643">
        <v>52.827254219000217</v>
      </c>
      <c r="CV23" s="643">
        <v>43.236579248340668</v>
      </c>
      <c r="CW23" s="643">
        <v>51.15498721002502</v>
      </c>
      <c r="CX23" s="643">
        <f t="shared" si="1"/>
        <v>1108.2237739311938</v>
      </c>
      <c r="CY23" s="643">
        <f t="shared" si="2"/>
        <v>1301.3758061602364</v>
      </c>
      <c r="CZ23" s="643">
        <f t="shared" si="3"/>
        <v>1452.7746983342204</v>
      </c>
      <c r="DA23" s="643">
        <f t="shared" si="4"/>
        <v>1586.1788547813285</v>
      </c>
      <c r="DB23" s="643">
        <f t="shared" si="5"/>
        <v>2601.7982150566613</v>
      </c>
      <c r="DC23" s="643">
        <f t="shared" si="6"/>
        <v>2747.4516079298342</v>
      </c>
      <c r="DD23" s="643">
        <f t="shared" si="7"/>
        <v>4218.6920034778723</v>
      </c>
      <c r="DE23" s="643">
        <f t="shared" si="8"/>
        <v>3650.0786819719488</v>
      </c>
      <c r="DF23" s="643">
        <f t="shared" si="9"/>
        <v>3486.6617575565251</v>
      </c>
    </row>
    <row r="24" spans="1:16338" x14ac:dyDescent="0.2">
      <c r="A24" s="223">
        <v>20</v>
      </c>
      <c r="B24" s="224" t="s">
        <v>162</v>
      </c>
      <c r="C24" s="643">
        <v>140.27314529186356</v>
      </c>
      <c r="D24" s="643">
        <v>236.68369155486346</v>
      </c>
      <c r="E24" s="643">
        <v>225.09733486990615</v>
      </c>
      <c r="F24" s="643">
        <v>170.11095351790726</v>
      </c>
      <c r="G24" s="643">
        <v>212.21575460064349</v>
      </c>
      <c r="H24" s="643">
        <v>266.88296472436735</v>
      </c>
      <c r="I24" s="643">
        <v>357.52585461738011</v>
      </c>
      <c r="J24" s="644">
        <v>431.89330739478976</v>
      </c>
      <c r="K24" s="643">
        <v>441.34648130656979</v>
      </c>
      <c r="L24" s="643">
        <v>41.305252428922103</v>
      </c>
      <c r="M24" s="643">
        <v>40.142629273726129</v>
      </c>
      <c r="N24" s="643">
        <v>37.721890216446461</v>
      </c>
      <c r="O24" s="643">
        <v>34.590899132674032</v>
      </c>
      <c r="P24" s="643">
        <v>44.872243678780372</v>
      </c>
      <c r="Q24" s="643">
        <v>48.165573101000007</v>
      </c>
      <c r="R24" s="643">
        <v>54.561574780999997</v>
      </c>
      <c r="S24" s="644">
        <v>42.828697238694282</v>
      </c>
      <c r="T24" s="643">
        <v>65.881260240000003</v>
      </c>
      <c r="U24" s="643">
        <v>0.31675249999999999</v>
      </c>
      <c r="V24" s="643">
        <v>13.949227800000001</v>
      </c>
      <c r="W24" s="643">
        <v>14.7398624</v>
      </c>
      <c r="X24" s="643">
        <v>2.36606E-2</v>
      </c>
      <c r="Y24" s="643">
        <v>0</v>
      </c>
      <c r="Z24" s="643">
        <v>4.6622E-3</v>
      </c>
      <c r="AA24" s="643">
        <v>2.7000000000000001E-3</v>
      </c>
      <c r="AB24" s="644">
        <v>6.1748000000000003E-3</v>
      </c>
      <c r="AC24" s="643">
        <v>0.11625739999999998</v>
      </c>
      <c r="AD24" s="643">
        <v>0.64588309999999993</v>
      </c>
      <c r="AE24" s="643">
        <v>0.38403809999999999</v>
      </c>
      <c r="AF24" s="643">
        <v>0.21095610000000001</v>
      </c>
      <c r="AG24" s="643">
        <v>0.24066580000000001</v>
      </c>
      <c r="AH24" s="643">
        <v>0.39950809999999998</v>
      </c>
      <c r="AI24" s="643">
        <v>0.66333979999999992</v>
      </c>
      <c r="AJ24" s="643">
        <v>0.5304527</v>
      </c>
      <c r="AK24" s="644">
        <v>0.63907180000000008</v>
      </c>
      <c r="AL24" s="643">
        <v>0.37336740000000002</v>
      </c>
      <c r="AM24" s="643">
        <v>44.355117068226619</v>
      </c>
      <c r="AN24" s="643">
        <v>32.523730190175023</v>
      </c>
      <c r="AO24" s="643">
        <v>39.987102767799996</v>
      </c>
      <c r="AP24" s="643">
        <v>29.673311550330979</v>
      </c>
      <c r="AQ24" s="643">
        <v>36.550336864978114</v>
      </c>
      <c r="AR24" s="643">
        <v>47.080442473600009</v>
      </c>
      <c r="AS24" s="643">
        <v>46.043106879999996</v>
      </c>
      <c r="AT24" s="644">
        <v>61.82014965993001</v>
      </c>
      <c r="AU24" s="643">
        <v>57.39173720980002</v>
      </c>
      <c r="AV24" s="643">
        <v>635.90931562506807</v>
      </c>
      <c r="AW24" s="643">
        <v>674.67092332416269</v>
      </c>
      <c r="AX24" s="643">
        <v>810.83536374610867</v>
      </c>
      <c r="AY24" s="643">
        <v>666.66735029791266</v>
      </c>
      <c r="AZ24" s="643">
        <v>795.60811618936452</v>
      </c>
      <c r="BA24" s="643">
        <v>811.55053418406101</v>
      </c>
      <c r="BB24" s="643">
        <v>770.33083207569757</v>
      </c>
      <c r="BC24" s="644">
        <v>788.58467492559737</v>
      </c>
      <c r="BD24" s="643">
        <v>864.74726084575366</v>
      </c>
      <c r="BE24" s="643">
        <v>512.18508606951661</v>
      </c>
      <c r="BF24" s="643">
        <v>607.26105090398062</v>
      </c>
      <c r="BG24" s="643">
        <v>880.80955431953623</v>
      </c>
      <c r="BH24" s="643">
        <v>641.97254239599056</v>
      </c>
      <c r="BI24" s="643">
        <v>913.99179271780554</v>
      </c>
      <c r="BJ24" s="643">
        <v>1004.0007076225098</v>
      </c>
      <c r="BK24" s="643">
        <v>1004.6327724021605</v>
      </c>
      <c r="BL24" s="644">
        <v>1060.2156272503455</v>
      </c>
      <c r="BM24" s="643">
        <v>1071.0266485451189</v>
      </c>
      <c r="BN24" s="643">
        <v>8.5584196923454883</v>
      </c>
      <c r="BO24" s="643">
        <v>8.87565185957172</v>
      </c>
      <c r="BP24" s="643">
        <v>11.184046075839776</v>
      </c>
      <c r="BQ24" s="643">
        <v>7.6134545291489095</v>
      </c>
      <c r="BR24" s="643">
        <v>11.305828312647668</v>
      </c>
      <c r="BS24" s="643">
        <v>12.37689774199999</v>
      </c>
      <c r="BT24" s="643">
        <v>12.613907876000003</v>
      </c>
      <c r="BU24" s="644">
        <v>17.030892702999996</v>
      </c>
      <c r="BV24" s="643">
        <v>22.296089069999997</v>
      </c>
      <c r="BW24" s="643">
        <v>3.1505289000000003</v>
      </c>
      <c r="BX24" s="643">
        <v>2.9135054</v>
      </c>
      <c r="BY24" s="643">
        <v>4.0047796199999999</v>
      </c>
      <c r="BZ24" s="643">
        <v>6.8801909999999999E-3</v>
      </c>
      <c r="CA24" s="643">
        <v>0.1083698</v>
      </c>
      <c r="CB24" s="643">
        <v>133.465004338</v>
      </c>
      <c r="CC24" s="643">
        <v>268.87432711700001</v>
      </c>
      <c r="CD24" s="644">
        <v>0</v>
      </c>
      <c r="CE24" s="643">
        <v>2.2599999999999999E-2</v>
      </c>
      <c r="CF24" s="643">
        <v>48.900209999999994</v>
      </c>
      <c r="CG24" s="643">
        <v>54.099969299999991</v>
      </c>
      <c r="CH24" s="643">
        <v>48.670679900000003</v>
      </c>
      <c r="CI24" s="643">
        <v>47.731389000000007</v>
      </c>
      <c r="CJ24" s="643">
        <v>50.792718999999998</v>
      </c>
      <c r="CK24" s="643">
        <v>56.425341388000007</v>
      </c>
      <c r="CL24" s="643">
        <v>49.076073108000003</v>
      </c>
      <c r="CM24" s="644">
        <v>46.655396637999999</v>
      </c>
      <c r="CN24" s="643">
        <v>42.673674200000008</v>
      </c>
      <c r="CO24" s="643">
        <v>72.123874953223662</v>
      </c>
      <c r="CP24" s="643">
        <v>70.456213130719973</v>
      </c>
      <c r="CQ24" s="643">
        <v>72.106481433938626</v>
      </c>
      <c r="CR24" s="643">
        <v>64.922782187782047</v>
      </c>
      <c r="CS24" s="643">
        <v>69.979765022859496</v>
      </c>
      <c r="CT24" s="643">
        <v>88.222494704169918</v>
      </c>
      <c r="CU24" s="643">
        <v>74.954077251399994</v>
      </c>
      <c r="CV24" s="643">
        <v>63.858319467449981</v>
      </c>
      <c r="CW24" s="643">
        <v>71.213911271229961</v>
      </c>
      <c r="CX24" s="643">
        <f t="shared" si="1"/>
        <v>1507.7235856291659</v>
      </c>
      <c r="CY24" s="643">
        <f t="shared" si="2"/>
        <v>1741.9606308371997</v>
      </c>
      <c r="CZ24" s="643">
        <f t="shared" si="3"/>
        <v>2145.3680514495763</v>
      </c>
      <c r="DA24" s="643">
        <f t="shared" si="4"/>
        <v>1663.5538892027464</v>
      </c>
      <c r="DB24" s="643">
        <f t="shared" si="5"/>
        <v>2135.8244342870789</v>
      </c>
      <c r="DC24" s="643">
        <f t="shared" si="6"/>
        <v>2468.8379622777084</v>
      </c>
      <c r="DD24" s="643">
        <f t="shared" si="7"/>
        <v>2639.1456788086389</v>
      </c>
      <c r="DE24" s="643">
        <f t="shared" si="8"/>
        <v>2513.5323118778074</v>
      </c>
      <c r="DF24" s="643">
        <f t="shared" si="9"/>
        <v>2637.0892874884721</v>
      </c>
    </row>
    <row r="25" spans="1:16338" x14ac:dyDescent="0.2">
      <c r="A25" s="223">
        <v>21</v>
      </c>
      <c r="B25" s="224" t="s">
        <v>163</v>
      </c>
      <c r="C25" s="643">
        <v>171.33968881010142</v>
      </c>
      <c r="D25" s="643">
        <v>188.54831293994854</v>
      </c>
      <c r="E25" s="643">
        <v>198.52061771029409</v>
      </c>
      <c r="F25" s="643">
        <v>207.81381763780178</v>
      </c>
      <c r="G25" s="643">
        <v>275.12585591071831</v>
      </c>
      <c r="H25" s="643">
        <v>337.60081044882804</v>
      </c>
      <c r="I25" s="643">
        <v>456.79490837898521</v>
      </c>
      <c r="J25" s="644">
        <v>594.40316971278617</v>
      </c>
      <c r="K25" s="643">
        <v>679.58250566090169</v>
      </c>
      <c r="L25" s="643">
        <v>45.860480393942964</v>
      </c>
      <c r="M25" s="643">
        <v>49.167641412274953</v>
      </c>
      <c r="N25" s="643">
        <v>41.752439438687269</v>
      </c>
      <c r="O25" s="643">
        <v>40.558120843337747</v>
      </c>
      <c r="P25" s="643">
        <v>48.686123334311389</v>
      </c>
      <c r="Q25" s="643">
        <v>54.655553339000001</v>
      </c>
      <c r="R25" s="643">
        <v>60.740935351999994</v>
      </c>
      <c r="S25" s="644">
        <v>71.307530501213094</v>
      </c>
      <c r="T25" s="643">
        <v>84.261025508000003</v>
      </c>
      <c r="U25" s="643">
        <v>0.19676189999999999</v>
      </c>
      <c r="V25" s="643">
        <v>23.458533900000003</v>
      </c>
      <c r="W25" s="643">
        <v>15.183530299999999</v>
      </c>
      <c r="X25" s="643">
        <v>0.22035009999999999</v>
      </c>
      <c r="Y25" s="643">
        <v>9.0387447304906559</v>
      </c>
      <c r="Z25" s="643">
        <v>13.303857599999999</v>
      </c>
      <c r="AA25" s="643">
        <v>15.967829792</v>
      </c>
      <c r="AB25" s="644">
        <v>11.799319749999997</v>
      </c>
      <c r="AC25" s="643">
        <v>9.2511593999999988</v>
      </c>
      <c r="AD25" s="643">
        <v>0.11585819999999999</v>
      </c>
      <c r="AE25" s="643">
        <v>0.10041499999999999</v>
      </c>
      <c r="AF25" s="643">
        <v>9.8715000000000011E-2</v>
      </c>
      <c r="AG25" s="643">
        <v>6.5460000000000018E-2</v>
      </c>
      <c r="AH25" s="643">
        <v>0.1150986888456341</v>
      </c>
      <c r="AI25" s="643">
        <v>0.20417249999999998</v>
      </c>
      <c r="AJ25" s="643">
        <v>0.15117250000000002</v>
      </c>
      <c r="AK25" s="644">
        <v>9.9172499999999997E-2</v>
      </c>
      <c r="AL25" s="643">
        <v>0.70220699999999991</v>
      </c>
      <c r="AM25" s="643">
        <v>47.517512235979773</v>
      </c>
      <c r="AN25" s="643">
        <v>56.266789996683194</v>
      </c>
      <c r="AO25" s="643">
        <v>44.07550072032452</v>
      </c>
      <c r="AP25" s="643">
        <v>45.446152706759747</v>
      </c>
      <c r="AQ25" s="643">
        <v>70.562535359886581</v>
      </c>
      <c r="AR25" s="643">
        <v>59.489246377899981</v>
      </c>
      <c r="AS25" s="643">
        <v>87.280801517</v>
      </c>
      <c r="AT25" s="644">
        <v>108.66704007200002</v>
      </c>
      <c r="AU25" s="643">
        <v>134.40345016904942</v>
      </c>
      <c r="AV25" s="643">
        <v>853.80732188691184</v>
      </c>
      <c r="AW25" s="643">
        <v>908.86351410142845</v>
      </c>
      <c r="AX25" s="643">
        <v>916.44246833786497</v>
      </c>
      <c r="AY25" s="643">
        <v>997.88851911110385</v>
      </c>
      <c r="AZ25" s="643">
        <v>1272.3047987375203</v>
      </c>
      <c r="BA25" s="643">
        <v>1309.4337211972636</v>
      </c>
      <c r="BB25" s="643">
        <v>1259.0997718863453</v>
      </c>
      <c r="BC25" s="644">
        <v>1296.2060758250454</v>
      </c>
      <c r="BD25" s="643">
        <v>1396.0707782375109</v>
      </c>
      <c r="BE25" s="643">
        <v>892.73300791513191</v>
      </c>
      <c r="BF25" s="643">
        <v>1087.1601134449575</v>
      </c>
      <c r="BG25" s="643">
        <v>1171.7728210267649</v>
      </c>
      <c r="BH25" s="643">
        <v>1315.7804155998081</v>
      </c>
      <c r="BI25" s="643">
        <v>1994.3120292965207</v>
      </c>
      <c r="BJ25" s="643">
        <v>2279.20213842056</v>
      </c>
      <c r="BK25" s="643">
        <v>2451.016139971563</v>
      </c>
      <c r="BL25" s="644">
        <v>2519.2643144532344</v>
      </c>
      <c r="BM25" s="643">
        <v>2693.9788093874695</v>
      </c>
      <c r="BN25" s="643">
        <v>14.926447065883544</v>
      </c>
      <c r="BO25" s="643">
        <v>15.988806568434262</v>
      </c>
      <c r="BP25" s="643">
        <v>19.405345054801064</v>
      </c>
      <c r="BQ25" s="643">
        <v>18.542437818946993</v>
      </c>
      <c r="BR25" s="643">
        <v>24.84151554813721</v>
      </c>
      <c r="BS25" s="643">
        <v>26.415914675</v>
      </c>
      <c r="BT25" s="643">
        <v>28.111090951799998</v>
      </c>
      <c r="BU25" s="644">
        <v>31.568715597673027</v>
      </c>
      <c r="BV25" s="643">
        <v>37.991322639000003</v>
      </c>
      <c r="BW25" s="643">
        <v>908.55505608100009</v>
      </c>
      <c r="BX25" s="643">
        <v>639.6237235860001</v>
      </c>
      <c r="BY25" s="643">
        <v>970.95339813300006</v>
      </c>
      <c r="BZ25" s="643">
        <v>1906.0260771984397</v>
      </c>
      <c r="CA25" s="643">
        <v>2468.020920204</v>
      </c>
      <c r="CB25" s="643">
        <v>3290.7045334870413</v>
      </c>
      <c r="CC25" s="643">
        <v>4773.5589157097302</v>
      </c>
      <c r="CD25" s="644">
        <v>6312.5002428782545</v>
      </c>
      <c r="CE25" s="643">
        <v>6194.6648684766624</v>
      </c>
      <c r="CF25" s="643">
        <v>22.619700000000002</v>
      </c>
      <c r="CG25" s="643">
        <v>23.514191799999999</v>
      </c>
      <c r="CH25" s="643">
        <v>23.151000000000003</v>
      </c>
      <c r="CI25" s="643">
        <v>23.144500000000004</v>
      </c>
      <c r="CJ25" s="643">
        <v>24.142900000000001</v>
      </c>
      <c r="CK25" s="643">
        <v>25.527325031</v>
      </c>
      <c r="CL25" s="643">
        <v>28.24474</v>
      </c>
      <c r="CM25" s="644">
        <v>29.173670416</v>
      </c>
      <c r="CN25" s="643">
        <v>31.307987700000002</v>
      </c>
      <c r="CO25" s="643">
        <v>246.25237382695195</v>
      </c>
      <c r="CP25" s="643">
        <v>269.53258328716095</v>
      </c>
      <c r="CQ25" s="643">
        <v>115.8584001471673</v>
      </c>
      <c r="CR25" s="643">
        <v>80.636812876371891</v>
      </c>
      <c r="CS25" s="643">
        <v>126.73472726816927</v>
      </c>
      <c r="CT25" s="643">
        <v>157.52336883499845</v>
      </c>
      <c r="CU25" s="643">
        <v>110.62962959299962</v>
      </c>
      <c r="CV25" s="643">
        <v>106.28543789757407</v>
      </c>
      <c r="CW25" s="643">
        <v>125.03089945111984</v>
      </c>
      <c r="CX25" s="643">
        <f t="shared" si="1"/>
        <v>3203.9242083159038</v>
      </c>
      <c r="CY25" s="643">
        <f t="shared" si="2"/>
        <v>3262.2246260368879</v>
      </c>
      <c r="CZ25" s="643">
        <f t="shared" si="3"/>
        <v>3517.2142358689043</v>
      </c>
      <c r="DA25" s="643">
        <f t="shared" si="4"/>
        <v>4636.12266389257</v>
      </c>
      <c r="DB25" s="643">
        <f t="shared" si="5"/>
        <v>6313.8852490786003</v>
      </c>
      <c r="DC25" s="643">
        <f t="shared" si="6"/>
        <v>7554.0606419115911</v>
      </c>
      <c r="DD25" s="643">
        <f t="shared" si="7"/>
        <v>9271.5959356524218</v>
      </c>
      <c r="DE25" s="643">
        <f t="shared" si="8"/>
        <v>11081.274689603779</v>
      </c>
      <c r="DF25" s="643">
        <f t="shared" si="9"/>
        <v>11387.245013629714</v>
      </c>
    </row>
    <row r="26" spans="1:16338" x14ac:dyDescent="0.2">
      <c r="A26" s="223">
        <v>22</v>
      </c>
      <c r="B26" s="224" t="s">
        <v>164</v>
      </c>
      <c r="C26" s="643">
        <v>3.0295375728984713</v>
      </c>
      <c r="D26" s="643">
        <v>3.8777027559799997</v>
      </c>
      <c r="E26" s="643">
        <v>24.571648640880003</v>
      </c>
      <c r="F26" s="643">
        <v>12.811124714433669</v>
      </c>
      <c r="G26" s="643">
        <v>16.282900374723152</v>
      </c>
      <c r="H26" s="643">
        <v>15.901137884399997</v>
      </c>
      <c r="I26" s="643">
        <v>18.841527427999996</v>
      </c>
      <c r="J26" s="644">
        <v>21.70565722425944</v>
      </c>
      <c r="K26" s="643">
        <v>26.332316944499997</v>
      </c>
      <c r="L26" s="643">
        <v>0.33110089999999998</v>
      </c>
      <c r="M26" s="643">
        <v>0.39713409600000005</v>
      </c>
      <c r="N26" s="643">
        <v>11.469803484999998</v>
      </c>
      <c r="O26" s="643">
        <v>0.30527219</v>
      </c>
      <c r="P26" s="643">
        <v>0.46997523671520236</v>
      </c>
      <c r="Q26" s="643">
        <v>0.45399365900000005</v>
      </c>
      <c r="R26" s="643">
        <v>0.37157870500000006</v>
      </c>
      <c r="S26" s="644">
        <v>1.8985069299999997</v>
      </c>
      <c r="T26" s="643">
        <v>1.1541524599999999</v>
      </c>
      <c r="U26" s="643">
        <v>2.2261000000000004E-3</v>
      </c>
      <c r="V26" s="643">
        <v>0.413485995</v>
      </c>
      <c r="W26" s="643">
        <v>0.7087855999999999</v>
      </c>
      <c r="X26" s="643">
        <v>0</v>
      </c>
      <c r="Y26" s="643">
        <v>0</v>
      </c>
      <c r="Z26" s="643">
        <v>0</v>
      </c>
      <c r="AA26" s="643">
        <v>0</v>
      </c>
      <c r="AB26" s="644">
        <v>0</v>
      </c>
      <c r="AC26" s="643">
        <v>0</v>
      </c>
      <c r="AD26" s="643">
        <v>0</v>
      </c>
      <c r="AE26" s="643">
        <v>0</v>
      </c>
      <c r="AF26" s="643">
        <v>3.5293600000000001E-2</v>
      </c>
      <c r="AG26" s="643">
        <v>0</v>
      </c>
      <c r="AH26" s="643">
        <v>0</v>
      </c>
      <c r="AI26" s="643">
        <v>0</v>
      </c>
      <c r="AJ26" s="643">
        <v>0</v>
      </c>
      <c r="AK26" s="644">
        <v>0</v>
      </c>
      <c r="AL26" s="643">
        <v>0</v>
      </c>
      <c r="AM26" s="643">
        <v>12.241152692397888</v>
      </c>
      <c r="AN26" s="643">
        <v>6.7694366999999991</v>
      </c>
      <c r="AO26" s="643">
        <v>22.555892606800004</v>
      </c>
      <c r="AP26" s="643">
        <v>4.3479407608747929</v>
      </c>
      <c r="AQ26" s="643">
        <v>1.7882641581417664</v>
      </c>
      <c r="AR26" s="643">
        <v>3.0353084400000006</v>
      </c>
      <c r="AS26" s="643">
        <v>6.5638857770000003</v>
      </c>
      <c r="AT26" s="644">
        <v>6.9173717199999984</v>
      </c>
      <c r="AU26" s="643">
        <v>11.006644587800002</v>
      </c>
      <c r="AV26" s="643">
        <v>8.6469667434607604</v>
      </c>
      <c r="AW26" s="643">
        <v>9.3190865614183664</v>
      </c>
      <c r="AX26" s="643">
        <v>50.657471185648802</v>
      </c>
      <c r="AY26" s="643">
        <v>32.899227963253935</v>
      </c>
      <c r="AZ26" s="643">
        <v>13.318551428110959</v>
      </c>
      <c r="BA26" s="643">
        <v>14.12869320964438</v>
      </c>
      <c r="BB26" s="643">
        <v>15.847147473632592</v>
      </c>
      <c r="BC26" s="644">
        <v>13.318880916913347</v>
      </c>
      <c r="BD26" s="643">
        <v>13.976062447283653</v>
      </c>
      <c r="BE26" s="643">
        <v>11.904079277076491</v>
      </c>
      <c r="BF26" s="643">
        <v>14.326238809523543</v>
      </c>
      <c r="BG26" s="643">
        <v>107.43871456994643</v>
      </c>
      <c r="BH26" s="643">
        <v>38.197905292001579</v>
      </c>
      <c r="BI26" s="643">
        <v>26.194629435593377</v>
      </c>
      <c r="BJ26" s="643">
        <v>37.414039028333335</v>
      </c>
      <c r="BK26" s="643">
        <v>30.897728303584181</v>
      </c>
      <c r="BL26" s="644">
        <v>26.422397087306667</v>
      </c>
      <c r="BM26" s="643">
        <v>27.940968022333333</v>
      </c>
      <c r="BN26" s="643">
        <v>0.15536070000000002</v>
      </c>
      <c r="BO26" s="643">
        <v>0.10800062500000003</v>
      </c>
      <c r="BP26" s="643">
        <v>4.2709627869999993</v>
      </c>
      <c r="BQ26" s="643">
        <v>5.7929436999999993E-2</v>
      </c>
      <c r="BR26" s="643">
        <v>0.19584618241792764</v>
      </c>
      <c r="BS26" s="643">
        <v>0.19466240700000001</v>
      </c>
      <c r="BT26" s="643">
        <v>0.296266215</v>
      </c>
      <c r="BU26" s="644">
        <v>0.29427242399999992</v>
      </c>
      <c r="BV26" s="643">
        <v>0.54845173400000002</v>
      </c>
      <c r="BW26" s="643">
        <v>1.7642899999999996E-2</v>
      </c>
      <c r="BX26" s="643">
        <v>4.0684000000000007E-3</v>
      </c>
      <c r="BY26" s="643">
        <v>1.9148632000000002E-2</v>
      </c>
      <c r="BZ26" s="643">
        <v>2.3352223999999998E-2</v>
      </c>
      <c r="CA26" s="643">
        <v>6.2476421000000004E-2</v>
      </c>
      <c r="CB26" s="643">
        <v>3.01E-5</v>
      </c>
      <c r="CC26" s="643">
        <v>184.96491169999999</v>
      </c>
      <c r="CD26" s="644">
        <v>7.1712E-3</v>
      </c>
      <c r="CE26" s="643">
        <v>0</v>
      </c>
      <c r="CF26" s="643">
        <v>0</v>
      </c>
      <c r="CG26" s="643">
        <v>0</v>
      </c>
      <c r="CH26" s="643">
        <v>0</v>
      </c>
      <c r="CI26" s="643">
        <v>0</v>
      </c>
      <c r="CJ26" s="643">
        <v>0</v>
      </c>
      <c r="CK26" s="643">
        <v>0</v>
      </c>
      <c r="CL26" s="643">
        <v>0</v>
      </c>
      <c r="CM26" s="644">
        <v>0</v>
      </c>
      <c r="CN26" s="643">
        <v>0</v>
      </c>
      <c r="CO26" s="643">
        <v>1.0149294845999999</v>
      </c>
      <c r="CP26" s="643">
        <v>0.97455247</v>
      </c>
      <c r="CQ26" s="643">
        <v>16.289623813000002</v>
      </c>
      <c r="CR26" s="643">
        <v>0.78163005900000004</v>
      </c>
      <c r="CS26" s="643">
        <v>0.61866486094084738</v>
      </c>
      <c r="CT26" s="643">
        <v>1.1236452189999999</v>
      </c>
      <c r="CU26" s="643">
        <v>0.88843591199999994</v>
      </c>
      <c r="CV26" s="643">
        <v>0.75115466168907574</v>
      </c>
      <c r="CW26" s="643">
        <v>0.80992450900000013</v>
      </c>
      <c r="CX26" s="643">
        <f t="shared" si="1"/>
        <v>37.342996370433617</v>
      </c>
      <c r="CY26" s="643">
        <f t="shared" si="2"/>
        <v>36.189706412921915</v>
      </c>
      <c r="CZ26" s="643">
        <f t="shared" si="3"/>
        <v>238.01734492027524</v>
      </c>
      <c r="DA26" s="643">
        <f t="shared" si="4"/>
        <v>89.424382640563977</v>
      </c>
      <c r="DB26" s="643">
        <f t="shared" si="5"/>
        <v>58.931308097643239</v>
      </c>
      <c r="DC26" s="643">
        <f t="shared" si="6"/>
        <v>72.251509947377713</v>
      </c>
      <c r="DD26" s="643">
        <f t="shared" si="7"/>
        <v>258.67148151421674</v>
      </c>
      <c r="DE26" s="643">
        <f t="shared" si="8"/>
        <v>71.315412164168521</v>
      </c>
      <c r="DF26" s="643">
        <f t="shared" si="9"/>
        <v>81.76852070491698</v>
      </c>
    </row>
    <row r="27" spans="1:16338" x14ac:dyDescent="0.2">
      <c r="A27" s="223">
        <v>23</v>
      </c>
      <c r="B27" s="224" t="s">
        <v>165</v>
      </c>
      <c r="C27" s="643">
        <v>554.84170880612692</v>
      </c>
      <c r="D27" s="643">
        <v>646.67927796543484</v>
      </c>
      <c r="E27" s="643">
        <v>753.91209677473989</v>
      </c>
      <c r="F27" s="643">
        <v>738.92757526463311</v>
      </c>
      <c r="G27" s="643">
        <v>1002.6848769909037</v>
      </c>
      <c r="H27" s="643">
        <v>994.48078390566604</v>
      </c>
      <c r="I27" s="643">
        <v>1398.1248291760112</v>
      </c>
      <c r="J27" s="644">
        <v>1701.5553372069817</v>
      </c>
      <c r="K27" s="643">
        <v>1839.4479864334455</v>
      </c>
      <c r="L27" s="643">
        <v>202.05880276970555</v>
      </c>
      <c r="M27" s="643">
        <v>189.04888674317081</v>
      </c>
      <c r="N27" s="643">
        <v>181.79308514996211</v>
      </c>
      <c r="O27" s="643">
        <v>167.18052686212582</v>
      </c>
      <c r="P27" s="643">
        <v>220.51277330196655</v>
      </c>
      <c r="Q27" s="643">
        <v>205.51293120959997</v>
      </c>
      <c r="R27" s="643">
        <v>207.68661426619997</v>
      </c>
      <c r="S27" s="644">
        <v>197.60106838941607</v>
      </c>
      <c r="T27" s="643">
        <v>253.47484475609991</v>
      </c>
      <c r="U27" s="643">
        <v>58.285591330080017</v>
      </c>
      <c r="V27" s="643">
        <v>30.026041765160002</v>
      </c>
      <c r="W27" s="643">
        <v>32.805296999999996</v>
      </c>
      <c r="X27" s="643">
        <v>14.865747415000001</v>
      </c>
      <c r="Y27" s="643">
        <v>31.654812790199522</v>
      </c>
      <c r="Z27" s="643">
        <v>50.911701328000007</v>
      </c>
      <c r="AA27" s="643">
        <v>54.911953777999997</v>
      </c>
      <c r="AB27" s="644">
        <v>42.941107909000003</v>
      </c>
      <c r="AC27" s="643">
        <v>54.224983459600004</v>
      </c>
      <c r="AD27" s="643">
        <v>54.827605499999997</v>
      </c>
      <c r="AE27" s="643">
        <v>43.66757299999999</v>
      </c>
      <c r="AF27" s="643">
        <v>59.099329400000009</v>
      </c>
      <c r="AG27" s="643">
        <v>39.919691999999998</v>
      </c>
      <c r="AH27" s="643">
        <v>22.025157522173735</v>
      </c>
      <c r="AI27" s="643">
        <v>39.559743509999997</v>
      </c>
      <c r="AJ27" s="643">
        <v>57.455994820000008</v>
      </c>
      <c r="AK27" s="644">
        <v>65.523243320000006</v>
      </c>
      <c r="AL27" s="643">
        <v>15.539829100000002</v>
      </c>
      <c r="AM27" s="643">
        <v>244.73702006031016</v>
      </c>
      <c r="AN27" s="643">
        <v>236.39140312229881</v>
      </c>
      <c r="AO27" s="643">
        <v>178.86828144094162</v>
      </c>
      <c r="AP27" s="643">
        <v>188.17307609014952</v>
      </c>
      <c r="AQ27" s="643">
        <v>207.69840401045585</v>
      </c>
      <c r="AR27" s="643">
        <v>235.71266973050001</v>
      </c>
      <c r="AS27" s="643">
        <v>271.83851547580002</v>
      </c>
      <c r="AT27" s="644">
        <v>287.96474712883509</v>
      </c>
      <c r="AU27" s="643">
        <v>331.57760977132506</v>
      </c>
      <c r="AV27" s="643">
        <v>1591.565326339316</v>
      </c>
      <c r="AW27" s="643">
        <v>1566.0971392426984</v>
      </c>
      <c r="AX27" s="643">
        <v>1573.7505553639671</v>
      </c>
      <c r="AY27" s="643">
        <v>1665.4410034832895</v>
      </c>
      <c r="AZ27" s="643">
        <v>2011.0050772259203</v>
      </c>
      <c r="BA27" s="643">
        <v>2000.4259934856352</v>
      </c>
      <c r="BB27" s="643">
        <v>1950.8780220584904</v>
      </c>
      <c r="BC27" s="644">
        <v>1931.231939949334</v>
      </c>
      <c r="BD27" s="643">
        <v>1983.3949343103832</v>
      </c>
      <c r="BE27" s="643">
        <v>1716.2583678371166</v>
      </c>
      <c r="BF27" s="643">
        <v>2014.4947812856187</v>
      </c>
      <c r="BG27" s="643">
        <v>2023.8467869738879</v>
      </c>
      <c r="BH27" s="643">
        <v>2288.301000769628</v>
      </c>
      <c r="BI27" s="643">
        <v>3371.4830818476307</v>
      </c>
      <c r="BJ27" s="643">
        <v>3702.730528118635</v>
      </c>
      <c r="BK27" s="643">
        <v>3976.4908212028931</v>
      </c>
      <c r="BL27" s="644">
        <v>3884.1158875149417</v>
      </c>
      <c r="BM27" s="643">
        <v>4058.9378144066209</v>
      </c>
      <c r="BN27" s="643">
        <v>97.594214903965877</v>
      </c>
      <c r="BO27" s="643">
        <v>103.35678791143056</v>
      </c>
      <c r="BP27" s="643">
        <v>117.91137619193833</v>
      </c>
      <c r="BQ27" s="643">
        <v>140.6286900333042</v>
      </c>
      <c r="BR27" s="643">
        <v>189.94429513677372</v>
      </c>
      <c r="BS27" s="643">
        <v>214.85772471900037</v>
      </c>
      <c r="BT27" s="643">
        <v>214.91121655819998</v>
      </c>
      <c r="BU27" s="644">
        <v>248.76732929562542</v>
      </c>
      <c r="BV27" s="643">
        <v>304.02355156940001</v>
      </c>
      <c r="BW27" s="643">
        <v>161.85802948000003</v>
      </c>
      <c r="BX27" s="643">
        <v>85.228137899999979</v>
      </c>
      <c r="BY27" s="643">
        <v>149.5353695128</v>
      </c>
      <c r="BZ27" s="643">
        <v>953.5914320306</v>
      </c>
      <c r="CA27" s="643">
        <v>1120.6607812303637</v>
      </c>
      <c r="CB27" s="643">
        <v>1293.0643904888093</v>
      </c>
      <c r="CC27" s="643">
        <v>1361.4192270249725</v>
      </c>
      <c r="CD27" s="644">
        <v>915.05445009949381</v>
      </c>
      <c r="CE27" s="643">
        <v>611.89704082245055</v>
      </c>
      <c r="CF27" s="643">
        <v>160.1251594</v>
      </c>
      <c r="CG27" s="643">
        <v>163.71992223000001</v>
      </c>
      <c r="CH27" s="643">
        <v>159.18445975200001</v>
      </c>
      <c r="CI27" s="643">
        <v>154.19309140000001</v>
      </c>
      <c r="CJ27" s="643">
        <v>159.79361800000001</v>
      </c>
      <c r="CK27" s="643">
        <v>180.242152758</v>
      </c>
      <c r="CL27" s="643">
        <v>158.095222522</v>
      </c>
      <c r="CM27" s="644">
        <v>161.03521635900003</v>
      </c>
      <c r="CN27" s="643">
        <v>177.83085560000004</v>
      </c>
      <c r="CO27" s="643">
        <v>256.97010221183461</v>
      </c>
      <c r="CP27" s="643">
        <v>271.31638963882835</v>
      </c>
      <c r="CQ27" s="643">
        <v>233.26167979397286</v>
      </c>
      <c r="CR27" s="643">
        <v>218.98192700222273</v>
      </c>
      <c r="CS27" s="643">
        <v>332.94071003507719</v>
      </c>
      <c r="CT27" s="643">
        <v>662.36335364603383</v>
      </c>
      <c r="CU27" s="643">
        <v>803.90234814545011</v>
      </c>
      <c r="CV27" s="643">
        <v>298.14750851802205</v>
      </c>
      <c r="CW27" s="643">
        <v>347.13314871597061</v>
      </c>
      <c r="CX27" s="643">
        <f t="shared" si="1"/>
        <v>5099.1219286384548</v>
      </c>
      <c r="CY27" s="643">
        <f t="shared" si="2"/>
        <v>5350.0263408046403</v>
      </c>
      <c r="CZ27" s="643">
        <f t="shared" si="3"/>
        <v>5463.9683173542089</v>
      </c>
      <c r="DA27" s="643">
        <f t="shared" si="4"/>
        <v>6570.2037623509532</v>
      </c>
      <c r="DB27" s="643">
        <f t="shared" si="5"/>
        <v>8670.4035880914635</v>
      </c>
      <c r="DC27" s="643">
        <f t="shared" si="6"/>
        <v>9579.8619728998819</v>
      </c>
      <c r="DD27" s="643">
        <f t="shared" si="7"/>
        <v>10455.714765028019</v>
      </c>
      <c r="DE27" s="643">
        <f t="shared" si="8"/>
        <v>9733.9378356906509</v>
      </c>
      <c r="DF27" s="643">
        <f t="shared" si="9"/>
        <v>9977.4825989452966</v>
      </c>
    </row>
    <row r="28" spans="1:16338" x14ac:dyDescent="0.2">
      <c r="A28" s="223">
        <v>24</v>
      </c>
      <c r="B28" s="224" t="s">
        <v>166</v>
      </c>
      <c r="C28" s="580">
        <v>0</v>
      </c>
      <c r="D28" s="643">
        <v>142.83292586221441</v>
      </c>
      <c r="E28" s="643">
        <v>247.37738222662935</v>
      </c>
      <c r="F28" s="643">
        <v>256.90249082589571</v>
      </c>
      <c r="G28" s="643">
        <v>352.19985400085096</v>
      </c>
      <c r="H28" s="643">
        <v>383.68836444300081</v>
      </c>
      <c r="I28" s="643">
        <v>623.21575009620108</v>
      </c>
      <c r="J28" s="644">
        <v>805.91906922657756</v>
      </c>
      <c r="K28" s="643">
        <v>896.04398016771029</v>
      </c>
      <c r="L28" s="580">
        <v>0</v>
      </c>
      <c r="M28" s="643">
        <v>33.314883019613873</v>
      </c>
      <c r="N28" s="643">
        <v>64.604585215272678</v>
      </c>
      <c r="O28" s="643">
        <v>54.327170408388618</v>
      </c>
      <c r="P28" s="643">
        <v>69.025095046955087</v>
      </c>
      <c r="Q28" s="643">
        <v>73.389567032000002</v>
      </c>
      <c r="R28" s="643">
        <v>68.547868694000002</v>
      </c>
      <c r="S28" s="644">
        <v>67.362446136289847</v>
      </c>
      <c r="T28" s="643">
        <v>82.798259422499996</v>
      </c>
      <c r="U28" s="580">
        <v>0</v>
      </c>
      <c r="V28" s="643">
        <v>1.1145175</v>
      </c>
      <c r="W28" s="643">
        <v>4.7076015000000009</v>
      </c>
      <c r="X28" s="643">
        <v>6.1307693309999998</v>
      </c>
      <c r="Y28" s="643">
        <v>10.657192516001338</v>
      </c>
      <c r="Z28" s="643">
        <v>10.175972700000001</v>
      </c>
      <c r="AA28" s="643">
        <v>24.405135099999999</v>
      </c>
      <c r="AB28" s="644">
        <v>6.3974484680000003</v>
      </c>
      <c r="AC28" s="643">
        <v>13.276579006000002</v>
      </c>
      <c r="AD28" s="580">
        <v>0</v>
      </c>
      <c r="AE28" s="643">
        <v>0.14157740000000005</v>
      </c>
      <c r="AF28" s="643">
        <v>1.2551916000000001</v>
      </c>
      <c r="AG28" s="643">
        <v>1.8962173499912445</v>
      </c>
      <c r="AH28" s="643">
        <v>4.2604979492319588</v>
      </c>
      <c r="AI28" s="643">
        <v>5.3083488599999997</v>
      </c>
      <c r="AJ28" s="643">
        <v>13.368490850000001</v>
      </c>
      <c r="AK28" s="644">
        <v>14.940656691999999</v>
      </c>
      <c r="AL28" s="643">
        <v>17.865208725000002</v>
      </c>
      <c r="AM28" s="580">
        <v>0</v>
      </c>
      <c r="AN28" s="643">
        <v>78.796278005890542</v>
      </c>
      <c r="AO28" s="643">
        <v>116.84511503490516</v>
      </c>
      <c r="AP28" s="643">
        <v>128.97392194449318</v>
      </c>
      <c r="AQ28" s="643">
        <v>173.13647964589967</v>
      </c>
      <c r="AR28" s="643">
        <v>137.37152114649999</v>
      </c>
      <c r="AS28" s="643">
        <v>155.06541082334999</v>
      </c>
      <c r="AT28" s="644">
        <v>160.33628003444997</v>
      </c>
      <c r="AU28" s="643">
        <v>215.69104696644618</v>
      </c>
      <c r="AV28" s="580">
        <v>0</v>
      </c>
      <c r="AW28" s="643">
        <v>708.64053131526407</v>
      </c>
      <c r="AX28" s="643">
        <v>841.19316709821669</v>
      </c>
      <c r="AY28" s="643">
        <v>951.28033573101959</v>
      </c>
      <c r="AZ28" s="643">
        <v>1194.4635117928949</v>
      </c>
      <c r="BA28" s="643">
        <v>1179.5538908561775</v>
      </c>
      <c r="BB28" s="643">
        <v>1168.1473392399448</v>
      </c>
      <c r="BC28" s="644">
        <v>1162.7871068393461</v>
      </c>
      <c r="BD28" s="643">
        <v>1297.3192021943985</v>
      </c>
      <c r="BE28" s="580">
        <v>0</v>
      </c>
      <c r="BF28" s="643">
        <v>663.80664631363004</v>
      </c>
      <c r="BG28" s="643">
        <v>689.12671702961029</v>
      </c>
      <c r="BH28" s="643">
        <v>826.51344043069582</v>
      </c>
      <c r="BI28" s="643">
        <v>1193.0768170213585</v>
      </c>
      <c r="BJ28" s="643">
        <v>1360.9241243743336</v>
      </c>
      <c r="BK28" s="643">
        <v>1510.3430517408369</v>
      </c>
      <c r="BL28" s="644">
        <v>1386.7206835575919</v>
      </c>
      <c r="BM28" s="643">
        <v>1465.0098013228217</v>
      </c>
      <c r="BN28" s="580">
        <v>0</v>
      </c>
      <c r="BO28" s="643">
        <v>23.785051663052979</v>
      </c>
      <c r="BP28" s="643">
        <v>37.424969693837959</v>
      </c>
      <c r="BQ28" s="643">
        <v>42.05043023344696</v>
      </c>
      <c r="BR28" s="643">
        <v>62.7962723641322</v>
      </c>
      <c r="BS28" s="643">
        <v>80.291339451399821</v>
      </c>
      <c r="BT28" s="643">
        <v>82.357575205999979</v>
      </c>
      <c r="BU28" s="644">
        <v>146.80241312968917</v>
      </c>
      <c r="BV28" s="643">
        <v>233.44715833459995</v>
      </c>
      <c r="BW28" s="580">
        <v>0</v>
      </c>
      <c r="BX28" s="643">
        <v>130.798348</v>
      </c>
      <c r="BY28" s="643">
        <v>227.08042063100001</v>
      </c>
      <c r="BZ28" s="643">
        <v>520.63888149167985</v>
      </c>
      <c r="CA28" s="643">
        <v>434.63471223700145</v>
      </c>
      <c r="CB28" s="643">
        <v>730.79565759888237</v>
      </c>
      <c r="CC28" s="643">
        <v>854.65600108199988</v>
      </c>
      <c r="CD28" s="644">
        <v>16.270959747744609</v>
      </c>
      <c r="CE28" s="643">
        <v>-280.080091599875</v>
      </c>
      <c r="CF28" s="580">
        <v>0</v>
      </c>
      <c r="CG28" s="643">
        <v>39.334774000000003</v>
      </c>
      <c r="CH28" s="643">
        <v>44.72428</v>
      </c>
      <c r="CI28" s="643">
        <v>36.804299999999998</v>
      </c>
      <c r="CJ28" s="643">
        <v>34.782798200000002</v>
      </c>
      <c r="CK28" s="643">
        <v>44.376247908000003</v>
      </c>
      <c r="CL28" s="643">
        <v>46.347955599999999</v>
      </c>
      <c r="CM28" s="644">
        <v>49.4823296</v>
      </c>
      <c r="CN28" s="643">
        <v>51.600065699999995</v>
      </c>
      <c r="CO28" s="580">
        <v>0</v>
      </c>
      <c r="CP28" s="643">
        <v>67.223630725690001</v>
      </c>
      <c r="CQ28" s="643">
        <v>77.98811072497142</v>
      </c>
      <c r="CR28" s="643">
        <v>87.869129988600505</v>
      </c>
      <c r="CS28" s="643">
        <v>99.851929290883433</v>
      </c>
      <c r="CT28" s="643">
        <v>171.48910551460034</v>
      </c>
      <c r="CU28" s="643">
        <v>121.24699878165005</v>
      </c>
      <c r="CV28" s="643">
        <v>113.28214768118906</v>
      </c>
      <c r="CW28" s="643">
        <v>137.50429588676255</v>
      </c>
      <c r="CX28" s="643">
        <f>C28+L28+U28+AD28+AM28+AV28+BE28+BN28+BW28+CF28+CO28</f>
        <v>0</v>
      </c>
      <c r="CY28" s="643">
        <f t="shared" si="2"/>
        <v>1889.7891638053559</v>
      </c>
      <c r="CZ28" s="643">
        <f t="shared" si="3"/>
        <v>2352.3275407544434</v>
      </c>
      <c r="DA28" s="643">
        <f t="shared" si="4"/>
        <v>2913.3870877352115</v>
      </c>
      <c r="DB28" s="643">
        <f t="shared" si="5"/>
        <v>3628.8851600652097</v>
      </c>
      <c r="DC28" s="643">
        <f t="shared" si="6"/>
        <v>4177.364139884894</v>
      </c>
      <c r="DD28" s="643">
        <f t="shared" si="7"/>
        <v>4667.701577213983</v>
      </c>
      <c r="DE28" s="643">
        <f t="shared" si="8"/>
        <v>3930.3015411128781</v>
      </c>
      <c r="DF28" s="643">
        <f t="shared" si="9"/>
        <v>4130.475506126365</v>
      </c>
    </row>
    <row r="29" spans="1:16338" x14ac:dyDescent="0.2">
      <c r="A29" s="223">
        <v>25</v>
      </c>
      <c r="B29" s="224" t="s">
        <v>168</v>
      </c>
      <c r="C29" s="643">
        <v>7.8192302281287489</v>
      </c>
      <c r="D29" s="643">
        <v>12.378346433109886</v>
      </c>
      <c r="E29" s="643">
        <v>135.72936413328202</v>
      </c>
      <c r="F29" s="643">
        <v>4.9823862024225027</v>
      </c>
      <c r="G29" s="643">
        <v>7.9034995421209375</v>
      </c>
      <c r="H29" s="643">
        <v>7.7028412840000007</v>
      </c>
      <c r="I29" s="643">
        <v>15.698421590999999</v>
      </c>
      <c r="J29" s="644">
        <v>27.063504509268956</v>
      </c>
      <c r="K29" s="643">
        <v>20.323272916000032</v>
      </c>
      <c r="L29" s="643">
        <v>0.413872407</v>
      </c>
      <c r="M29" s="643">
        <v>0.72671513940999999</v>
      </c>
      <c r="N29" s="643">
        <v>7.8079235329999994</v>
      </c>
      <c r="O29" s="643">
        <v>0.37278890099999989</v>
      </c>
      <c r="P29" s="643">
        <v>0.33269127952645072</v>
      </c>
      <c r="Q29" s="643">
        <v>0.6394382999999999</v>
      </c>
      <c r="R29" s="643">
        <v>1.4316907050000001</v>
      </c>
      <c r="S29" s="644">
        <v>0.81773571277868429</v>
      </c>
      <c r="T29" s="643">
        <v>0.68918193499999991</v>
      </c>
      <c r="U29" s="643">
        <v>0.12699580000000002</v>
      </c>
      <c r="V29" s="643">
        <v>0</v>
      </c>
      <c r="W29" s="643">
        <v>0</v>
      </c>
      <c r="X29" s="643">
        <v>0</v>
      </c>
      <c r="Y29" s="643">
        <v>0</v>
      </c>
      <c r="Z29" s="643">
        <v>0.1162328</v>
      </c>
      <c r="AA29" s="643">
        <v>0.46329570000000003</v>
      </c>
      <c r="AB29" s="644">
        <v>0.39300939999999995</v>
      </c>
      <c r="AC29" s="643">
        <v>0.47607860000000002</v>
      </c>
      <c r="AD29" s="643">
        <v>0</v>
      </c>
      <c r="AE29" s="643">
        <v>0</v>
      </c>
      <c r="AF29" s="643">
        <v>2.3506800000000001E-2</v>
      </c>
      <c r="AG29" s="643">
        <v>2.1700000000000001E-2</v>
      </c>
      <c r="AH29" s="643">
        <v>0</v>
      </c>
      <c r="AI29" s="643">
        <v>0</v>
      </c>
      <c r="AJ29" s="643">
        <v>0</v>
      </c>
      <c r="AK29" s="644">
        <v>0</v>
      </c>
      <c r="AL29" s="643">
        <v>0</v>
      </c>
      <c r="AM29" s="643">
        <v>1.7307288270943624</v>
      </c>
      <c r="AN29" s="643">
        <v>1.603518977</v>
      </c>
      <c r="AO29" s="643">
        <v>8.0935613069999999</v>
      </c>
      <c r="AP29" s="643">
        <v>0.54383513565685826</v>
      </c>
      <c r="AQ29" s="643">
        <v>1.1110912028518174</v>
      </c>
      <c r="AR29" s="643">
        <v>1.8802512650000001</v>
      </c>
      <c r="AS29" s="643">
        <v>4.3838694550000001</v>
      </c>
      <c r="AT29" s="644">
        <v>3.7329054119999996</v>
      </c>
      <c r="AU29" s="643">
        <v>5.8274882470000016</v>
      </c>
      <c r="AV29" s="643">
        <v>26.944555287614513</v>
      </c>
      <c r="AW29" s="643">
        <v>64.442745934966041</v>
      </c>
      <c r="AX29" s="643">
        <v>187.34899573790909</v>
      </c>
      <c r="AY29" s="643">
        <v>35.495928891179936</v>
      </c>
      <c r="AZ29" s="643">
        <v>26.982520642634377</v>
      </c>
      <c r="BA29" s="643">
        <v>30.680018940141622</v>
      </c>
      <c r="BB29" s="643">
        <v>55.997329037200188</v>
      </c>
      <c r="BC29" s="644">
        <v>27.901925194642384</v>
      </c>
      <c r="BD29" s="643">
        <v>25.846819371562301</v>
      </c>
      <c r="BE29" s="643">
        <v>43.244874727017269</v>
      </c>
      <c r="BF29" s="643">
        <v>64.813957113792384</v>
      </c>
      <c r="BG29" s="643">
        <v>283.6899034770662</v>
      </c>
      <c r="BH29" s="643">
        <v>61.507344730113218</v>
      </c>
      <c r="BI29" s="643">
        <v>65.935896243335634</v>
      </c>
      <c r="BJ29" s="643">
        <v>94.29326824766666</v>
      </c>
      <c r="BK29" s="643">
        <v>137.62831795918819</v>
      </c>
      <c r="BL29" s="644">
        <v>93.439873672136983</v>
      </c>
      <c r="BM29" s="643">
        <v>89.403955325843341</v>
      </c>
      <c r="BN29" s="643">
        <v>0.30653139999999995</v>
      </c>
      <c r="BO29" s="643">
        <v>0.59933425228451509</v>
      </c>
      <c r="BP29" s="643">
        <v>3.6963893522239228</v>
      </c>
      <c r="BQ29" s="643">
        <v>0.43914724000000005</v>
      </c>
      <c r="BR29" s="643">
        <v>0.57773866174376776</v>
      </c>
      <c r="BS29" s="643">
        <v>0.59516698000000001</v>
      </c>
      <c r="BT29" s="643">
        <v>0.62225819599999999</v>
      </c>
      <c r="BU29" s="644">
        <v>0.92365551271894264</v>
      </c>
      <c r="BV29" s="643">
        <v>1.0506788360000001</v>
      </c>
      <c r="BW29" s="643">
        <v>1.9475300000000001E-2</v>
      </c>
      <c r="BX29" s="643">
        <v>1.5139099999999999E-2</v>
      </c>
      <c r="BY29" s="643">
        <v>6.5506636000000007E-2</v>
      </c>
      <c r="BZ29" s="643">
        <v>2.6456226700000003</v>
      </c>
      <c r="CA29" s="643">
        <v>0.503392599</v>
      </c>
      <c r="CB29" s="643">
        <v>0.31030191299999976</v>
      </c>
      <c r="CC29" s="643">
        <v>100.10866470300002</v>
      </c>
      <c r="CD29" s="644">
        <v>5.0801726259999471</v>
      </c>
      <c r="CE29" s="643">
        <v>10.183628911001348</v>
      </c>
      <c r="CF29" s="643">
        <v>0</v>
      </c>
      <c r="CG29" s="643">
        <v>0</v>
      </c>
      <c r="CH29" s="643">
        <v>0</v>
      </c>
      <c r="CI29" s="643">
        <v>0</v>
      </c>
      <c r="CJ29" s="643">
        <v>0</v>
      </c>
      <c r="CK29" s="643">
        <v>0</v>
      </c>
      <c r="CL29" s="643">
        <v>0</v>
      </c>
      <c r="CM29" s="644">
        <v>0</v>
      </c>
      <c r="CN29" s="643">
        <v>0</v>
      </c>
      <c r="CO29" s="643">
        <v>2.1918772670000002</v>
      </c>
      <c r="CP29" s="643">
        <v>2.6416174795599998</v>
      </c>
      <c r="CQ29" s="643">
        <v>25.608758605589998</v>
      </c>
      <c r="CR29" s="643">
        <v>1.9650553299999991</v>
      </c>
      <c r="CS29" s="643">
        <v>1.4986364034258919</v>
      </c>
      <c r="CT29" s="643">
        <v>2.6054077219999869</v>
      </c>
      <c r="CU29" s="643">
        <v>2.3919947770000012</v>
      </c>
      <c r="CV29" s="643">
        <v>4.9195989669365483</v>
      </c>
      <c r="CW29" s="643">
        <v>4.0015759170000074</v>
      </c>
      <c r="CX29" s="643">
        <f t="shared" si="1"/>
        <v>82.798141243854872</v>
      </c>
      <c r="CY29" s="643">
        <f t="shared" si="2"/>
        <v>147.22137443012284</v>
      </c>
      <c r="CZ29" s="643">
        <f t="shared" si="3"/>
        <v>652.06390958207123</v>
      </c>
      <c r="DA29" s="643">
        <f t="shared" si="4"/>
        <v>107.97380910037251</v>
      </c>
      <c r="DB29" s="643">
        <f t="shared" si="5"/>
        <v>104.84546657463886</v>
      </c>
      <c r="DC29" s="643">
        <f t="shared" si="6"/>
        <v>138.82292745180825</v>
      </c>
      <c r="DD29" s="643">
        <f t="shared" si="7"/>
        <v>318.72584212338836</v>
      </c>
      <c r="DE29" s="643">
        <f t="shared" si="8"/>
        <v>164.27238100648245</v>
      </c>
      <c r="DF29" s="643">
        <f t="shared" si="9"/>
        <v>157.80268005940701</v>
      </c>
    </row>
    <row r="30" spans="1:16338" x14ac:dyDescent="0.2">
      <c r="A30" s="223">
        <v>26</v>
      </c>
      <c r="B30" s="224" t="s">
        <v>169</v>
      </c>
      <c r="C30" s="643">
        <v>407.65474645131957</v>
      </c>
      <c r="D30" s="643">
        <v>519.20721754845977</v>
      </c>
      <c r="E30" s="643">
        <v>462.78084205496742</v>
      </c>
      <c r="F30" s="643">
        <v>503.9862232596866</v>
      </c>
      <c r="G30" s="643">
        <v>637.86272251073819</v>
      </c>
      <c r="H30" s="643">
        <v>687.14918609681592</v>
      </c>
      <c r="I30" s="643">
        <v>816.46991712345391</v>
      </c>
      <c r="J30" s="644">
        <v>1190.9668752338239</v>
      </c>
      <c r="K30" s="643">
        <v>1227.045663632224</v>
      </c>
      <c r="L30" s="643">
        <v>89.932199065401562</v>
      </c>
      <c r="M30" s="643">
        <v>99.540604751959165</v>
      </c>
      <c r="N30" s="643">
        <v>94.513959519379426</v>
      </c>
      <c r="O30" s="643">
        <v>82.562675293310306</v>
      </c>
      <c r="P30" s="643">
        <v>119.73319891184099</v>
      </c>
      <c r="Q30" s="643">
        <v>124.56370602683</v>
      </c>
      <c r="R30" s="643">
        <v>113.64530364099997</v>
      </c>
      <c r="S30" s="644">
        <v>119.15309968311013</v>
      </c>
      <c r="T30" s="643">
        <v>145.58813203210002</v>
      </c>
      <c r="U30" s="643">
        <v>4.5625486999999998</v>
      </c>
      <c r="V30" s="643">
        <v>3.5278003</v>
      </c>
      <c r="W30" s="643">
        <v>2.5073747000000002</v>
      </c>
      <c r="X30" s="643">
        <v>7.1464149999999993</v>
      </c>
      <c r="Y30" s="643">
        <v>14.730271745253846</v>
      </c>
      <c r="Z30" s="643">
        <v>13.8471557</v>
      </c>
      <c r="AA30" s="643">
        <v>1.2003547999999999</v>
      </c>
      <c r="AB30" s="644">
        <v>0.22390380000000001</v>
      </c>
      <c r="AC30" s="643">
        <v>2.1656089999999999</v>
      </c>
      <c r="AD30" s="643">
        <v>17.263344499999999</v>
      </c>
      <c r="AE30" s="643">
        <v>8.5394284799999998</v>
      </c>
      <c r="AF30" s="643">
        <v>11.255267070000002</v>
      </c>
      <c r="AG30" s="643">
        <v>7.1335509000000012</v>
      </c>
      <c r="AH30" s="643">
        <v>27.125433791116308</v>
      </c>
      <c r="AI30" s="643">
        <v>25.481211711999993</v>
      </c>
      <c r="AJ30" s="643">
        <v>37.235971200000002</v>
      </c>
      <c r="AK30" s="644">
        <v>26.272544500000002</v>
      </c>
      <c r="AL30" s="643">
        <v>46.298342300000002</v>
      </c>
      <c r="AM30" s="643">
        <v>123.777226442329</v>
      </c>
      <c r="AN30" s="643">
        <v>106.11762243093473</v>
      </c>
      <c r="AO30" s="643">
        <v>110.10955524413008</v>
      </c>
      <c r="AP30" s="643">
        <v>84.204212274937873</v>
      </c>
      <c r="AQ30" s="643">
        <v>103.90021731030011</v>
      </c>
      <c r="AR30" s="643">
        <v>137.38727490305001</v>
      </c>
      <c r="AS30" s="643">
        <v>119.35552397747497</v>
      </c>
      <c r="AT30" s="644">
        <v>152.04725545069999</v>
      </c>
      <c r="AU30" s="643">
        <v>178.40584257980404</v>
      </c>
      <c r="AV30" s="643">
        <v>1285.1746557271338</v>
      </c>
      <c r="AW30" s="643">
        <v>1279.5330407687748</v>
      </c>
      <c r="AX30" s="643">
        <v>1249.9442194543235</v>
      </c>
      <c r="AY30" s="643">
        <v>1599.1197135835557</v>
      </c>
      <c r="AZ30" s="643">
        <v>2240.1260581328947</v>
      </c>
      <c r="BA30" s="643">
        <v>2130.9044253965881</v>
      </c>
      <c r="BB30" s="643">
        <v>2212.3998774613415</v>
      </c>
      <c r="BC30" s="644">
        <v>2207.3677489363854</v>
      </c>
      <c r="BD30" s="643">
        <v>2316.1903359433545</v>
      </c>
      <c r="BE30" s="643">
        <v>1204.613022793417</v>
      </c>
      <c r="BF30" s="643">
        <v>1362.4683051035036</v>
      </c>
      <c r="BG30" s="643">
        <v>1287.1009110399025</v>
      </c>
      <c r="BH30" s="643">
        <v>1748.9667062306735</v>
      </c>
      <c r="BI30" s="643">
        <v>2662.951967432673</v>
      </c>
      <c r="BJ30" s="643">
        <v>3112.9865854204072</v>
      </c>
      <c r="BK30" s="643">
        <v>3309.7615537454094</v>
      </c>
      <c r="BL30" s="644">
        <v>3311.617695845277</v>
      </c>
      <c r="BM30" s="643">
        <v>3445.9899424323567</v>
      </c>
      <c r="BN30" s="643">
        <v>35.045723431873768</v>
      </c>
      <c r="BO30" s="643">
        <v>39.246673606204602</v>
      </c>
      <c r="BP30" s="643">
        <v>42.480775205711105</v>
      </c>
      <c r="BQ30" s="643">
        <v>43.93542472409402</v>
      </c>
      <c r="BR30" s="643">
        <v>81.578457383708781</v>
      </c>
      <c r="BS30" s="643">
        <v>101.34872382600153</v>
      </c>
      <c r="BT30" s="643">
        <v>86.466671363000003</v>
      </c>
      <c r="BU30" s="644">
        <v>81.265763447100312</v>
      </c>
      <c r="BV30" s="643">
        <v>102.98323154334999</v>
      </c>
      <c r="BW30" s="643">
        <v>274.60469432099995</v>
      </c>
      <c r="BX30" s="643">
        <v>385.06189683016436</v>
      </c>
      <c r="BY30" s="643">
        <v>906.74070561428914</v>
      </c>
      <c r="BZ30" s="643">
        <v>1132.570637335456</v>
      </c>
      <c r="CA30" s="643">
        <v>1194.6822676597042</v>
      </c>
      <c r="CB30" s="643">
        <v>1127.787012314199</v>
      </c>
      <c r="CC30" s="643">
        <v>1436.7007995370002</v>
      </c>
      <c r="CD30" s="644">
        <v>1611.5748374090008</v>
      </c>
      <c r="CE30" s="643">
        <v>1531.2619045403524</v>
      </c>
      <c r="CF30" s="643">
        <v>65.4311249</v>
      </c>
      <c r="CG30" s="643">
        <v>71.709249999999997</v>
      </c>
      <c r="CH30" s="643">
        <v>73.433215399999995</v>
      </c>
      <c r="CI30" s="643">
        <v>68.8232</v>
      </c>
      <c r="CJ30" s="643">
        <v>72.751669299999989</v>
      </c>
      <c r="CK30" s="643">
        <v>83.993981880999996</v>
      </c>
      <c r="CL30" s="643">
        <v>85.996078572999991</v>
      </c>
      <c r="CM30" s="644">
        <v>70.158649537000002</v>
      </c>
      <c r="CN30" s="643">
        <v>84.147194200000001</v>
      </c>
      <c r="CO30" s="643">
        <v>224.94829544610556</v>
      </c>
      <c r="CP30" s="643">
        <v>220.62714883508622</v>
      </c>
      <c r="CQ30" s="643">
        <v>206.11460296367076</v>
      </c>
      <c r="CR30" s="643">
        <v>233.0849335402589</v>
      </c>
      <c r="CS30" s="643">
        <v>329.39311407666128</v>
      </c>
      <c r="CT30" s="643">
        <v>485.40687997368309</v>
      </c>
      <c r="CU30" s="643">
        <v>257.0431571479989</v>
      </c>
      <c r="CV30" s="643">
        <v>253.39383466276354</v>
      </c>
      <c r="CW30" s="643">
        <v>226.12105338665205</v>
      </c>
      <c r="CX30" s="643">
        <f t="shared" si="1"/>
        <v>3733.0075817785805</v>
      </c>
      <c r="CY30" s="643">
        <f t="shared" si="2"/>
        <v>4095.578988655087</v>
      </c>
      <c r="CZ30" s="643">
        <f t="shared" si="3"/>
        <v>4446.9814282663747</v>
      </c>
      <c r="DA30" s="643">
        <f t="shared" si="4"/>
        <v>5511.533692141973</v>
      </c>
      <c r="DB30" s="643">
        <f t="shared" si="5"/>
        <v>7484.8353782548911</v>
      </c>
      <c r="DC30" s="643">
        <f t="shared" si="6"/>
        <v>8030.8561432505749</v>
      </c>
      <c r="DD30" s="643">
        <f t="shared" si="7"/>
        <v>8476.2752085696793</v>
      </c>
      <c r="DE30" s="643">
        <f t="shared" si="8"/>
        <v>9024.0422085051614</v>
      </c>
      <c r="DF30" s="643">
        <f t="shared" si="9"/>
        <v>9306.1972515901944</v>
      </c>
    </row>
    <row r="31" spans="1:16338" x14ac:dyDescent="0.2">
      <c r="A31" s="223">
        <v>27</v>
      </c>
      <c r="B31" s="224" t="s">
        <v>170</v>
      </c>
      <c r="C31" s="643">
        <v>65.474776494593243</v>
      </c>
      <c r="D31" s="643">
        <v>93.892684031458629</v>
      </c>
      <c r="E31" s="643">
        <v>86.736114799146165</v>
      </c>
      <c r="F31" s="643">
        <v>65.539986305250125</v>
      </c>
      <c r="G31" s="643">
        <v>92.656048758463072</v>
      </c>
      <c r="H31" s="643">
        <v>113.35841599718489</v>
      </c>
      <c r="I31" s="643">
        <v>133.83901945600007</v>
      </c>
      <c r="J31" s="644">
        <v>190.64280817969575</v>
      </c>
      <c r="K31" s="643">
        <v>202.74845289185015</v>
      </c>
      <c r="L31" s="643">
        <v>8.7107232221302962</v>
      </c>
      <c r="M31" s="643">
        <v>13.534845861151327</v>
      </c>
      <c r="N31" s="643">
        <v>16.073915397540322</v>
      </c>
      <c r="O31" s="643">
        <v>6.575364865819906</v>
      </c>
      <c r="P31" s="643">
        <v>16.886795195977832</v>
      </c>
      <c r="Q31" s="643">
        <v>15.834656073000003</v>
      </c>
      <c r="R31" s="643">
        <v>13.402308707</v>
      </c>
      <c r="S31" s="644">
        <v>16.050218024999999</v>
      </c>
      <c r="T31" s="643">
        <v>17.193206269000001</v>
      </c>
      <c r="U31" s="643">
        <v>4.9830817999999999E-2</v>
      </c>
      <c r="V31" s="643">
        <v>0.40038820000000003</v>
      </c>
      <c r="W31" s="643">
        <v>0.45776517999999994</v>
      </c>
      <c r="X31" s="643">
        <v>2.3736400000000001E-2</v>
      </c>
      <c r="Y31" s="643">
        <v>6.0244804336059214E-2</v>
      </c>
      <c r="Z31" s="643">
        <v>7.8883300000000003E-2</v>
      </c>
      <c r="AA31" s="643">
        <v>5.47114E-2</v>
      </c>
      <c r="AB31" s="644">
        <v>4.6040299999999999E-2</v>
      </c>
      <c r="AC31" s="643">
        <v>0.1013274</v>
      </c>
      <c r="AD31" s="643">
        <v>5.999E-4</v>
      </c>
      <c r="AE31" s="643">
        <v>1.3309400000000001E-2</v>
      </c>
      <c r="AF31" s="643">
        <v>0.11710000000000001</v>
      </c>
      <c r="AG31" s="643">
        <v>0.14024319999999998</v>
      </c>
      <c r="AH31" s="643">
        <v>0.14462070000000002</v>
      </c>
      <c r="AI31" s="643">
        <v>0.22106250000000002</v>
      </c>
      <c r="AJ31" s="643">
        <v>0.17673594999999998</v>
      </c>
      <c r="AK31" s="644">
        <v>0.27677584999999999</v>
      </c>
      <c r="AL31" s="643">
        <v>0.60006939999999998</v>
      </c>
      <c r="AM31" s="643">
        <v>25.342020995283047</v>
      </c>
      <c r="AN31" s="643">
        <v>34.088485237490005</v>
      </c>
      <c r="AO31" s="643">
        <v>28.045411169600001</v>
      </c>
      <c r="AP31" s="643">
        <v>12.323971707852174</v>
      </c>
      <c r="AQ31" s="643">
        <v>31.341060301034659</v>
      </c>
      <c r="AR31" s="643">
        <v>22.071236995200003</v>
      </c>
      <c r="AS31" s="643">
        <v>23.934663003125003</v>
      </c>
      <c r="AT31" s="644">
        <v>45.092135525249994</v>
      </c>
      <c r="AU31" s="643">
        <v>76.614552171479986</v>
      </c>
      <c r="AV31" s="643">
        <v>159.97270388889709</v>
      </c>
      <c r="AW31" s="643">
        <v>187.37286900730734</v>
      </c>
      <c r="AX31" s="643">
        <v>198.92835270286329</v>
      </c>
      <c r="AY31" s="643">
        <v>234.72020372116384</v>
      </c>
      <c r="AZ31" s="643">
        <v>264.51464862626131</v>
      </c>
      <c r="BA31" s="643">
        <v>282.65967587812435</v>
      </c>
      <c r="BB31" s="643">
        <v>288.98821068241125</v>
      </c>
      <c r="BC31" s="644">
        <v>284.69659875236431</v>
      </c>
      <c r="BD31" s="643">
        <v>291.07235444983996</v>
      </c>
      <c r="BE31" s="643">
        <v>164.89657534106328</v>
      </c>
      <c r="BF31" s="643">
        <v>211.43018883242195</v>
      </c>
      <c r="BG31" s="643">
        <v>301.06266453598386</v>
      </c>
      <c r="BH31" s="643">
        <v>239.41996949142865</v>
      </c>
      <c r="BI31" s="643">
        <v>332.12374410935712</v>
      </c>
      <c r="BJ31" s="643">
        <v>394.09827782461781</v>
      </c>
      <c r="BK31" s="643">
        <v>429.90854812833828</v>
      </c>
      <c r="BL31" s="644">
        <v>423.75428138394557</v>
      </c>
      <c r="BM31" s="643">
        <v>430.85213045764232</v>
      </c>
      <c r="BN31" s="643">
        <v>3.0311436819610806</v>
      </c>
      <c r="BO31" s="643">
        <v>4.3378592827383917</v>
      </c>
      <c r="BP31" s="643">
        <v>5.3146318856004973</v>
      </c>
      <c r="BQ31" s="643">
        <v>2.8592208808098714</v>
      </c>
      <c r="BR31" s="643">
        <v>5.982472247499504</v>
      </c>
      <c r="BS31" s="643">
        <v>5.5811412900000281</v>
      </c>
      <c r="BT31" s="643">
        <v>5.7084490059999995</v>
      </c>
      <c r="BU31" s="644">
        <v>6.4231055100000036</v>
      </c>
      <c r="BV31" s="643">
        <v>8.2462632279999983</v>
      </c>
      <c r="BW31" s="643">
        <v>17.721204217</v>
      </c>
      <c r="BX31" s="643">
        <v>9.3731175780000004</v>
      </c>
      <c r="BY31" s="643">
        <v>19.328147680000001</v>
      </c>
      <c r="BZ31" s="643">
        <v>36.81911640837513</v>
      </c>
      <c r="CA31" s="643">
        <v>67.925058207999996</v>
      </c>
      <c r="CB31" s="643">
        <v>74.840896483999984</v>
      </c>
      <c r="CC31" s="643">
        <v>201.10726547087495</v>
      </c>
      <c r="CD31" s="644">
        <v>165.24302228077445</v>
      </c>
      <c r="CE31" s="643">
        <v>197.53476076849998</v>
      </c>
      <c r="CF31" s="643">
        <v>0</v>
      </c>
      <c r="CG31" s="643">
        <v>0</v>
      </c>
      <c r="CH31" s="643">
        <v>0</v>
      </c>
      <c r="CI31" s="643">
        <v>0</v>
      </c>
      <c r="CJ31" s="643">
        <v>0</v>
      </c>
      <c r="CK31" s="643">
        <v>0.34</v>
      </c>
      <c r="CL31" s="643">
        <v>0.59978419999999999</v>
      </c>
      <c r="CM31" s="644">
        <v>0.48154070099999996</v>
      </c>
      <c r="CN31" s="643">
        <v>0.62498109999999996</v>
      </c>
      <c r="CO31" s="643">
        <v>33.429816810269671</v>
      </c>
      <c r="CP31" s="643">
        <v>32.777876228349399</v>
      </c>
      <c r="CQ31" s="643">
        <v>42.245082547111458</v>
      </c>
      <c r="CR31" s="643">
        <v>29.021091369269996</v>
      </c>
      <c r="CS31" s="643">
        <v>27.281047409001097</v>
      </c>
      <c r="CT31" s="643">
        <v>-121.88245668300007</v>
      </c>
      <c r="CU31" s="643">
        <v>26.949252815000058</v>
      </c>
      <c r="CV31" s="643">
        <v>25.091632407590033</v>
      </c>
      <c r="CW31" s="643">
        <v>32.752818081149968</v>
      </c>
      <c r="CX31" s="643">
        <f t="shared" si="1"/>
        <v>478.62939536919771</v>
      </c>
      <c r="CY31" s="643">
        <f t="shared" si="2"/>
        <v>587.221623658917</v>
      </c>
      <c r="CZ31" s="643">
        <f t="shared" si="3"/>
        <v>698.30918589784562</v>
      </c>
      <c r="DA31" s="643">
        <f t="shared" si="4"/>
        <v>627.44290434996981</v>
      </c>
      <c r="DB31" s="643">
        <f t="shared" si="5"/>
        <v>838.91574035993062</v>
      </c>
      <c r="DC31" s="643">
        <f t="shared" si="6"/>
        <v>787.20178965912703</v>
      </c>
      <c r="DD31" s="643">
        <f t="shared" si="7"/>
        <v>1124.6689488187496</v>
      </c>
      <c r="DE31" s="643">
        <f t="shared" si="8"/>
        <v>1157.7981589156202</v>
      </c>
      <c r="DF31" s="643">
        <f t="shared" si="9"/>
        <v>1258.3409162174626</v>
      </c>
    </row>
    <row r="32" spans="1:16338" x14ac:dyDescent="0.2">
      <c r="A32" s="223">
        <v>28</v>
      </c>
      <c r="B32" s="224" t="s">
        <v>171</v>
      </c>
      <c r="C32" s="643">
        <v>293.10772211663948</v>
      </c>
      <c r="D32" s="643">
        <v>314.25920560038315</v>
      </c>
      <c r="E32" s="643">
        <v>290.41268878684821</v>
      </c>
      <c r="F32" s="643">
        <v>355.56115947156928</v>
      </c>
      <c r="G32" s="643">
        <v>482.25896917355641</v>
      </c>
      <c r="H32" s="643">
        <v>441.31810620313263</v>
      </c>
      <c r="I32" s="643">
        <v>631.87851272655075</v>
      </c>
      <c r="J32" s="644">
        <v>802.29195477171106</v>
      </c>
      <c r="K32" s="643">
        <v>826.50120332349024</v>
      </c>
      <c r="L32" s="643">
        <v>106.54261313639454</v>
      </c>
      <c r="M32" s="643">
        <v>113.63618612311868</v>
      </c>
      <c r="N32" s="643">
        <v>110.051011374247</v>
      </c>
      <c r="O32" s="643">
        <v>102.77324520775893</v>
      </c>
      <c r="P32" s="643">
        <v>117.3694081439421</v>
      </c>
      <c r="Q32" s="643">
        <v>123.82968309899999</v>
      </c>
      <c r="R32" s="643">
        <v>124.64905519991002</v>
      </c>
      <c r="S32" s="644">
        <v>123.62236677947763</v>
      </c>
      <c r="T32" s="643">
        <v>146.57906296270997</v>
      </c>
      <c r="U32" s="643">
        <v>9.8970298999999997</v>
      </c>
      <c r="V32" s="643">
        <v>10.887611910999999</v>
      </c>
      <c r="W32" s="643">
        <v>9.1180971999999993</v>
      </c>
      <c r="X32" s="643">
        <v>6.2331573440000003</v>
      </c>
      <c r="Y32" s="643">
        <v>7.4809213934063363</v>
      </c>
      <c r="Z32" s="643">
        <v>9.0466329509999994</v>
      </c>
      <c r="AA32" s="643">
        <v>33.479021452999994</v>
      </c>
      <c r="AB32" s="644">
        <v>21.569977245200015</v>
      </c>
      <c r="AC32" s="643">
        <v>18.707980858999999</v>
      </c>
      <c r="AD32" s="643">
        <v>1.8665867</v>
      </c>
      <c r="AE32" s="643">
        <v>1.8922400000000001</v>
      </c>
      <c r="AF32" s="643">
        <v>2.0720100000000001</v>
      </c>
      <c r="AG32" s="643">
        <v>1.6137152000000001</v>
      </c>
      <c r="AH32" s="643">
        <v>0.69874789086995581</v>
      </c>
      <c r="AI32" s="643">
        <v>0.59941670000000002</v>
      </c>
      <c r="AJ32" s="643">
        <v>0.73958211900000448</v>
      </c>
      <c r="AK32" s="644">
        <v>1.2228743</v>
      </c>
      <c r="AL32" s="643">
        <v>1.3569198</v>
      </c>
      <c r="AM32" s="643">
        <v>134.67933085798748</v>
      </c>
      <c r="AN32" s="643">
        <v>133.9898151412732</v>
      </c>
      <c r="AO32" s="643">
        <v>118.04346194133608</v>
      </c>
      <c r="AP32" s="643">
        <v>113.13036515327396</v>
      </c>
      <c r="AQ32" s="643">
        <v>114.70671816160184</v>
      </c>
      <c r="AR32" s="643">
        <v>141.84431156167</v>
      </c>
      <c r="AS32" s="643">
        <v>139.39256797799987</v>
      </c>
      <c r="AT32" s="644">
        <v>205.38539127883999</v>
      </c>
      <c r="AU32" s="643">
        <v>188.49931433658475</v>
      </c>
      <c r="AV32" s="643">
        <v>672.60185418898448</v>
      </c>
      <c r="AW32" s="643">
        <v>709.58276342283909</v>
      </c>
      <c r="AX32" s="643">
        <v>709.99935382790704</v>
      </c>
      <c r="AY32" s="643">
        <v>756.12210883095076</v>
      </c>
      <c r="AZ32" s="643">
        <v>862.69140293174019</v>
      </c>
      <c r="BA32" s="643">
        <v>848.04201840165877</v>
      </c>
      <c r="BB32" s="643">
        <v>823.58175954005446</v>
      </c>
      <c r="BC32" s="644">
        <v>818.2566265426525</v>
      </c>
      <c r="BD32" s="643">
        <v>826.70499846716234</v>
      </c>
      <c r="BE32" s="643">
        <v>697.82281052975247</v>
      </c>
      <c r="BF32" s="643">
        <v>785.79379274858161</v>
      </c>
      <c r="BG32" s="643">
        <v>955.98290632132466</v>
      </c>
      <c r="BH32" s="643">
        <v>1011.7831448788077</v>
      </c>
      <c r="BI32" s="643">
        <v>1371.3117067159951</v>
      </c>
      <c r="BJ32" s="643">
        <v>1587.8777591410615</v>
      </c>
      <c r="BK32" s="643">
        <v>1634.3646766040399</v>
      </c>
      <c r="BL32" s="644">
        <v>1589.9046044271877</v>
      </c>
      <c r="BM32" s="643">
        <v>1620.00233291724</v>
      </c>
      <c r="BN32" s="643">
        <v>52.412540804155007</v>
      </c>
      <c r="BO32" s="643">
        <v>51.026560031332025</v>
      </c>
      <c r="BP32" s="643">
        <v>53.930894627143246</v>
      </c>
      <c r="BQ32" s="643">
        <v>35.183916855173827</v>
      </c>
      <c r="BR32" s="643">
        <v>39.424373266136143</v>
      </c>
      <c r="BS32" s="643">
        <v>42.776255965856805</v>
      </c>
      <c r="BT32" s="643">
        <v>45.033334263</v>
      </c>
      <c r="BU32" s="644">
        <v>43.23946045204837</v>
      </c>
      <c r="BV32" s="643">
        <v>85.888105123999992</v>
      </c>
      <c r="BW32" s="643">
        <v>299.34983890900003</v>
      </c>
      <c r="BX32" s="643">
        <v>269.73412276700003</v>
      </c>
      <c r="BY32" s="643">
        <v>294.26991100202116</v>
      </c>
      <c r="BZ32" s="643">
        <v>1501.5454105307654</v>
      </c>
      <c r="CA32" s="643">
        <v>477.16237755772266</v>
      </c>
      <c r="CB32" s="643">
        <v>982.83800362176044</v>
      </c>
      <c r="CC32" s="643">
        <v>2545.8244092109371</v>
      </c>
      <c r="CD32" s="644">
        <v>2943.989231259</v>
      </c>
      <c r="CE32" s="643">
        <v>1296.0091826160003</v>
      </c>
      <c r="CF32" s="643">
        <v>75.08086329999999</v>
      </c>
      <c r="CG32" s="643">
        <v>63.355598000000008</v>
      </c>
      <c r="CH32" s="643">
        <v>61.032899999999998</v>
      </c>
      <c r="CI32" s="643">
        <v>56.358014100000013</v>
      </c>
      <c r="CJ32" s="643">
        <v>59.222721800000009</v>
      </c>
      <c r="CK32" s="643">
        <v>66.05067919999999</v>
      </c>
      <c r="CL32" s="643">
        <v>61.453919949999992</v>
      </c>
      <c r="CM32" s="644">
        <v>57.263150258000003</v>
      </c>
      <c r="CN32" s="643">
        <v>63.6500512</v>
      </c>
      <c r="CO32" s="643">
        <v>128.21399712091187</v>
      </c>
      <c r="CP32" s="643">
        <v>110.81576624487725</v>
      </c>
      <c r="CQ32" s="643">
        <v>101.58090577689357</v>
      </c>
      <c r="CR32" s="643">
        <v>-470.59337716187451</v>
      </c>
      <c r="CS32" s="643">
        <v>247.94010423579519</v>
      </c>
      <c r="CT32" s="643">
        <v>156.41599888247777</v>
      </c>
      <c r="CU32" s="643">
        <v>118.02009624987284</v>
      </c>
      <c r="CV32" s="643">
        <v>118.94610526159106</v>
      </c>
      <c r="CW32" s="643">
        <v>129.22266761201999</v>
      </c>
      <c r="CX32" s="643">
        <f t="shared" si="1"/>
        <v>2471.5751875638252</v>
      </c>
      <c r="CY32" s="643">
        <f t="shared" si="2"/>
        <v>2564.9736619904047</v>
      </c>
      <c r="CZ32" s="643">
        <f t="shared" si="3"/>
        <v>2706.4941408577206</v>
      </c>
      <c r="DA32" s="643">
        <f t="shared" si="4"/>
        <v>3469.710860410426</v>
      </c>
      <c r="DB32" s="643">
        <f t="shared" si="5"/>
        <v>3780.2674512707658</v>
      </c>
      <c r="DC32" s="643">
        <f t="shared" si="6"/>
        <v>4400.6388657276175</v>
      </c>
      <c r="DD32" s="643">
        <f t="shared" si="7"/>
        <v>6158.4169352943645</v>
      </c>
      <c r="DE32" s="643">
        <f t="shared" si="8"/>
        <v>6725.6917425757074</v>
      </c>
      <c r="DF32" s="643">
        <f t="shared" si="9"/>
        <v>5203.1218192182077</v>
      </c>
    </row>
    <row r="33" spans="1:16338" x14ac:dyDescent="0.2">
      <c r="A33" s="223">
        <v>29</v>
      </c>
      <c r="B33" s="224" t="s">
        <v>172</v>
      </c>
      <c r="C33" s="643">
        <v>2.0335312367058886</v>
      </c>
      <c r="D33" s="643">
        <v>2.9846473243699996</v>
      </c>
      <c r="E33" s="643">
        <v>12.52168502238</v>
      </c>
      <c r="F33" s="643">
        <v>3.5167022554965994</v>
      </c>
      <c r="G33" s="643">
        <v>3.9094481149213505</v>
      </c>
      <c r="H33" s="643">
        <v>4.0235981400000007</v>
      </c>
      <c r="I33" s="643">
        <v>3.7834990489999996</v>
      </c>
      <c r="J33" s="644">
        <v>4.6482441040000007</v>
      </c>
      <c r="K33" s="643">
        <v>3.7317416730000001</v>
      </c>
      <c r="L33" s="643">
        <v>7.524886800000001E-2</v>
      </c>
      <c r="M33" s="643">
        <v>6.3747284000000001E-2</v>
      </c>
      <c r="N33" s="643">
        <v>0.49968150000000011</v>
      </c>
      <c r="O33" s="643">
        <v>0.30189579999999999</v>
      </c>
      <c r="P33" s="643">
        <v>0.33288890681403971</v>
      </c>
      <c r="Q33" s="643">
        <v>0.41739279999999995</v>
      </c>
      <c r="R33" s="643">
        <v>0.27093970000000001</v>
      </c>
      <c r="S33" s="644">
        <v>0.22933213799999996</v>
      </c>
      <c r="T33" s="643">
        <v>0.24666178100000002</v>
      </c>
      <c r="U33" s="643">
        <v>0.65918599999999994</v>
      </c>
      <c r="V33" s="643">
        <v>0.71973700000000007</v>
      </c>
      <c r="W33" s="643">
        <v>0.72087319999999988</v>
      </c>
      <c r="X33" s="643">
        <v>0.7619305999999999</v>
      </c>
      <c r="Y33" s="643">
        <v>1.3747530456722632</v>
      </c>
      <c r="Z33" s="643">
        <v>1.6251220000000002</v>
      </c>
      <c r="AA33" s="643">
        <v>1.774489</v>
      </c>
      <c r="AB33" s="644">
        <v>1.2922545999999999</v>
      </c>
      <c r="AC33" s="643">
        <v>1.5678854000000002</v>
      </c>
      <c r="AD33" s="643">
        <v>0</v>
      </c>
      <c r="AE33" s="643">
        <v>0</v>
      </c>
      <c r="AF33" s="643">
        <v>3.7499999999999999E-3</v>
      </c>
      <c r="AG33" s="643">
        <v>0</v>
      </c>
      <c r="AH33" s="643">
        <v>0</v>
      </c>
      <c r="AI33" s="643">
        <v>0</v>
      </c>
      <c r="AJ33" s="643">
        <v>0</v>
      </c>
      <c r="AK33" s="644">
        <v>0</v>
      </c>
      <c r="AL33" s="643">
        <v>0</v>
      </c>
      <c r="AM33" s="643">
        <v>9.1369126000000009E-2</v>
      </c>
      <c r="AN33" s="643">
        <v>7.5909745999999986E-2</v>
      </c>
      <c r="AO33" s="643">
        <v>0.76511701599999993</v>
      </c>
      <c r="AP33" s="643">
        <v>0.3968909120000001</v>
      </c>
      <c r="AQ33" s="643">
        <v>1.0870110752623026</v>
      </c>
      <c r="AR33" s="643">
        <v>1.188762442</v>
      </c>
      <c r="AS33" s="643">
        <v>1.311702862</v>
      </c>
      <c r="AT33" s="644">
        <v>1.050939727</v>
      </c>
      <c r="AU33" s="643">
        <v>2.035687587</v>
      </c>
      <c r="AV33" s="643">
        <v>4.7606615687190104</v>
      </c>
      <c r="AW33" s="643">
        <v>5.5806317976332096</v>
      </c>
      <c r="AX33" s="643">
        <v>19.672596704466599</v>
      </c>
      <c r="AY33" s="643">
        <v>15.141904998299681</v>
      </c>
      <c r="AZ33" s="643">
        <v>11.007857818713898</v>
      </c>
      <c r="BA33" s="643">
        <v>18.823601020313742</v>
      </c>
      <c r="BB33" s="643">
        <v>10.259350558098006</v>
      </c>
      <c r="BC33" s="644">
        <v>8.4859702587067609</v>
      </c>
      <c r="BD33" s="643">
        <v>8.0627375588929571</v>
      </c>
      <c r="BE33" s="643">
        <v>7.0998778898798731</v>
      </c>
      <c r="BF33" s="643">
        <v>9.1724662454121617</v>
      </c>
      <c r="BG33" s="643">
        <v>36.068141703072207</v>
      </c>
      <c r="BH33" s="643">
        <v>13.807433619621706</v>
      </c>
      <c r="BI33" s="643">
        <v>17.482067230910225</v>
      </c>
      <c r="BJ33" s="643">
        <v>24.861018682333334</v>
      </c>
      <c r="BK33" s="643">
        <v>20.214746292220401</v>
      </c>
      <c r="BL33" s="644">
        <v>17.998983993236667</v>
      </c>
      <c r="BM33" s="643">
        <v>17.794215810666667</v>
      </c>
      <c r="BN33" s="643">
        <v>4.8556700000000001E-2</v>
      </c>
      <c r="BO33" s="643">
        <v>5.3270099999999994E-2</v>
      </c>
      <c r="BP33" s="643">
        <v>0.45589040000000003</v>
      </c>
      <c r="BQ33" s="643">
        <v>6.2980264999999994E-2</v>
      </c>
      <c r="BR33" s="643">
        <v>7.6782568000000009E-2</v>
      </c>
      <c r="BS33" s="643">
        <v>0.18059821200000001</v>
      </c>
      <c r="BT33" s="643">
        <v>0.17926247999999997</v>
      </c>
      <c r="BU33" s="644">
        <v>0.13689455000000003</v>
      </c>
      <c r="BV33" s="643">
        <v>0.13224740000000001</v>
      </c>
      <c r="BW33" s="643">
        <v>0.3695599</v>
      </c>
      <c r="BX33" s="643">
        <v>0.21880540000000001</v>
      </c>
      <c r="BY33" s="643">
        <v>0.18876721500000002</v>
      </c>
      <c r="BZ33" s="643">
        <v>2.5447848080000002</v>
      </c>
      <c r="CA33" s="643">
        <v>0.15</v>
      </c>
      <c r="CB33" s="643">
        <v>0.56693448499999999</v>
      </c>
      <c r="CC33" s="643">
        <v>4.51105E-3</v>
      </c>
      <c r="CD33" s="644">
        <v>3.785645E-2</v>
      </c>
      <c r="CE33" s="643">
        <v>0</v>
      </c>
      <c r="CF33" s="643">
        <v>0</v>
      </c>
      <c r="CG33" s="643">
        <v>0</v>
      </c>
      <c r="CH33" s="643">
        <v>0</v>
      </c>
      <c r="CI33" s="643">
        <v>0</v>
      </c>
      <c r="CJ33" s="643">
        <v>0</v>
      </c>
      <c r="CK33" s="643">
        <v>0</v>
      </c>
      <c r="CL33" s="643">
        <v>0</v>
      </c>
      <c r="CM33" s="644">
        <v>0</v>
      </c>
      <c r="CN33" s="643">
        <v>0</v>
      </c>
      <c r="CO33" s="643">
        <v>0.70779248944999995</v>
      </c>
      <c r="CP33" s="643">
        <v>0.32969196152999997</v>
      </c>
      <c r="CQ33" s="643">
        <v>10.148949869619999</v>
      </c>
      <c r="CR33" s="643">
        <v>0.63028054499999997</v>
      </c>
      <c r="CS33" s="643">
        <v>0.60990686727740273</v>
      </c>
      <c r="CT33" s="643">
        <v>-28.864576251000003</v>
      </c>
      <c r="CU33" s="643">
        <v>0.77061366899999995</v>
      </c>
      <c r="CV33" s="643">
        <v>0.94046956999999987</v>
      </c>
      <c r="CW33" s="643">
        <v>0.98173181700000001</v>
      </c>
      <c r="CX33" s="643">
        <f t="shared" si="1"/>
        <v>15.845783778754774</v>
      </c>
      <c r="CY33" s="643">
        <f t="shared" si="2"/>
        <v>19.198906858945367</v>
      </c>
      <c r="CZ33" s="643">
        <f t="shared" si="3"/>
        <v>81.045452630538804</v>
      </c>
      <c r="DA33" s="643">
        <f t="shared" si="4"/>
        <v>37.164803803417989</v>
      </c>
      <c r="DB33" s="643">
        <f t="shared" si="5"/>
        <v>36.030715627571475</v>
      </c>
      <c r="DC33" s="643">
        <f t="shared" si="6"/>
        <v>22.822451530647072</v>
      </c>
      <c r="DD33" s="643">
        <f t="shared" si="7"/>
        <v>38.569114660318405</v>
      </c>
      <c r="DE33" s="643">
        <f t="shared" si="8"/>
        <v>34.820945390943429</v>
      </c>
      <c r="DF33" s="643">
        <f t="shared" si="9"/>
        <v>34.552909027559622</v>
      </c>
    </row>
    <row r="34" spans="1:16338" x14ac:dyDescent="0.2">
      <c r="A34" s="223">
        <v>30</v>
      </c>
      <c r="B34" s="224" t="s">
        <v>173</v>
      </c>
      <c r="C34" s="643">
        <v>23.184560638324502</v>
      </c>
      <c r="D34" s="643">
        <v>15.399506854819192</v>
      </c>
      <c r="E34" s="643">
        <v>18.182439903778253</v>
      </c>
      <c r="F34" s="643">
        <v>14.59225791931822</v>
      </c>
      <c r="G34" s="643">
        <v>32.782408081451592</v>
      </c>
      <c r="H34" s="643">
        <v>34.566451648881781</v>
      </c>
      <c r="I34" s="643">
        <v>49.378125671999939</v>
      </c>
      <c r="J34" s="644">
        <v>61.296137258705819</v>
      </c>
      <c r="K34" s="643">
        <v>56.679420964599991</v>
      </c>
      <c r="L34" s="643">
        <v>8.4517788745283813</v>
      </c>
      <c r="M34" s="643">
        <v>8.4288334214500011</v>
      </c>
      <c r="N34" s="643">
        <v>5.9364051385799996</v>
      </c>
      <c r="O34" s="643">
        <v>6.7792863036500002</v>
      </c>
      <c r="P34" s="643">
        <v>5.1487927767481496</v>
      </c>
      <c r="Q34" s="643">
        <v>7.9096742769999988</v>
      </c>
      <c r="R34" s="643">
        <v>7.2021666189999998</v>
      </c>
      <c r="S34" s="644">
        <v>7.149485204766064</v>
      </c>
      <c r="T34" s="643">
        <v>9.7686028830000016</v>
      </c>
      <c r="U34" s="643">
        <v>0</v>
      </c>
      <c r="V34" s="643">
        <v>0</v>
      </c>
      <c r="W34" s="643">
        <v>0</v>
      </c>
      <c r="X34" s="643">
        <v>0</v>
      </c>
      <c r="Y34" s="643">
        <v>1.3805449192989806E-2</v>
      </c>
      <c r="Z34" s="643">
        <v>0</v>
      </c>
      <c r="AA34" s="643">
        <v>0</v>
      </c>
      <c r="AB34" s="644">
        <v>0</v>
      </c>
      <c r="AC34" s="643">
        <v>0</v>
      </c>
      <c r="AD34" s="643">
        <v>0.34581739999999994</v>
      </c>
      <c r="AE34" s="643">
        <v>0.34284249999999999</v>
      </c>
      <c r="AF34" s="643">
        <v>0.47244829999999999</v>
      </c>
      <c r="AG34" s="643">
        <v>0.33534329999999996</v>
      </c>
      <c r="AH34" s="643">
        <v>0.1409</v>
      </c>
      <c r="AI34" s="643">
        <v>0.26611190000000001</v>
      </c>
      <c r="AJ34" s="643">
        <v>0.13740669999999999</v>
      </c>
      <c r="AK34" s="644">
        <v>1.1921199</v>
      </c>
      <c r="AL34" s="643">
        <v>-3.7660199999999977E-2</v>
      </c>
      <c r="AM34" s="643">
        <v>4.8150946529435563</v>
      </c>
      <c r="AN34" s="643">
        <v>4.8354477606638122</v>
      </c>
      <c r="AO34" s="643">
        <v>6.4284116196536125</v>
      </c>
      <c r="AP34" s="643">
        <v>3.8277543771186573</v>
      </c>
      <c r="AQ34" s="643">
        <v>5.7447051077582136</v>
      </c>
      <c r="AR34" s="643">
        <v>4.3737828270000003</v>
      </c>
      <c r="AS34" s="643">
        <v>5.2985691629999998</v>
      </c>
      <c r="AT34" s="644">
        <v>4.107894344</v>
      </c>
      <c r="AU34" s="643">
        <v>5.1338618340999993</v>
      </c>
      <c r="AV34" s="643">
        <v>241.66339735567959</v>
      </c>
      <c r="AW34" s="643">
        <v>246.43049751238138</v>
      </c>
      <c r="AX34" s="643">
        <v>242.330912029709</v>
      </c>
      <c r="AY34" s="643">
        <v>204.67263333754806</v>
      </c>
      <c r="AZ34" s="643">
        <v>247.62397942068884</v>
      </c>
      <c r="BA34" s="643">
        <v>295.80386114851814</v>
      </c>
      <c r="BB34" s="643">
        <v>274.64974764125822</v>
      </c>
      <c r="BC34" s="644">
        <v>264.54551593629668</v>
      </c>
      <c r="BD34" s="643">
        <v>259.82909280428407</v>
      </c>
      <c r="BE34" s="643">
        <v>116.25083105138128</v>
      </c>
      <c r="BF34" s="643">
        <v>143.61917966365482</v>
      </c>
      <c r="BG34" s="643">
        <v>247.62899736501311</v>
      </c>
      <c r="BH34" s="643">
        <v>172.31323271039554</v>
      </c>
      <c r="BI34" s="643">
        <v>219.90721846532645</v>
      </c>
      <c r="BJ34" s="643">
        <v>267.21220729666652</v>
      </c>
      <c r="BK34" s="643">
        <v>296.74329604799868</v>
      </c>
      <c r="BL34" s="644">
        <v>250.28962554517429</v>
      </c>
      <c r="BM34" s="643">
        <v>266.83372244433718</v>
      </c>
      <c r="BN34" s="643">
        <v>3.9983923579999998</v>
      </c>
      <c r="BO34" s="643">
        <v>2.8177475355638371</v>
      </c>
      <c r="BP34" s="643">
        <v>3.0437682707346969</v>
      </c>
      <c r="BQ34" s="643">
        <v>3.301722135000785</v>
      </c>
      <c r="BR34" s="643">
        <v>3.7185200845491551</v>
      </c>
      <c r="BS34" s="643">
        <v>3.2829582560000001</v>
      </c>
      <c r="BT34" s="643">
        <v>2.9492848330000005</v>
      </c>
      <c r="BU34" s="644">
        <v>3.2517419080748162</v>
      </c>
      <c r="BV34" s="643">
        <v>6.2600888969999993</v>
      </c>
      <c r="BW34" s="643">
        <v>7.6067268899999991</v>
      </c>
      <c r="BX34" s="643">
        <v>10.721321300000001</v>
      </c>
      <c r="BY34" s="643">
        <v>1.395225685</v>
      </c>
      <c r="BZ34" s="643">
        <v>218.40976519999978</v>
      </c>
      <c r="CA34" s="643">
        <v>72.629105649039801</v>
      </c>
      <c r="CB34" s="643">
        <v>0.48448390000000002</v>
      </c>
      <c r="CC34" s="643">
        <v>1.2680963E-2</v>
      </c>
      <c r="CD34" s="644">
        <v>303.39470876699954</v>
      </c>
      <c r="CE34" s="643">
        <v>0</v>
      </c>
      <c r="CF34" s="643">
        <v>15.851799999999999</v>
      </c>
      <c r="CG34" s="643">
        <v>16.331</v>
      </c>
      <c r="CH34" s="643">
        <v>13.6302</v>
      </c>
      <c r="CI34" s="643">
        <v>12.709300000000001</v>
      </c>
      <c r="CJ34" s="643">
        <v>9.8727999999999998</v>
      </c>
      <c r="CK34" s="643">
        <v>9.4216999999999995</v>
      </c>
      <c r="CL34" s="643">
        <v>8.4563000000000006</v>
      </c>
      <c r="CM34" s="644">
        <v>9.8759999999999994</v>
      </c>
      <c r="CN34" s="643">
        <v>9.1267999999999994</v>
      </c>
      <c r="CO34" s="643">
        <v>18.894140807712279</v>
      </c>
      <c r="CP34" s="643">
        <v>13.030175376669996</v>
      </c>
      <c r="CQ34" s="643">
        <v>12.285205776569999</v>
      </c>
      <c r="CR34" s="643">
        <v>17.369524253649999</v>
      </c>
      <c r="CS34" s="643">
        <v>15.173693359955937</v>
      </c>
      <c r="CT34" s="643">
        <v>16.997429405999998</v>
      </c>
      <c r="CU34" s="643">
        <v>13.759975576000004</v>
      </c>
      <c r="CV34" s="643">
        <v>12.319732550436145</v>
      </c>
      <c r="CW34" s="643">
        <v>25.164781055799999</v>
      </c>
      <c r="CX34" s="643">
        <f t="shared" si="1"/>
        <v>441.06254002856963</v>
      </c>
      <c r="CY34" s="643">
        <f t="shared" si="2"/>
        <v>461.95655192520309</v>
      </c>
      <c r="CZ34" s="643">
        <f t="shared" si="3"/>
        <v>551.33401408903865</v>
      </c>
      <c r="DA34" s="643">
        <f t="shared" si="4"/>
        <v>654.31081953668104</v>
      </c>
      <c r="DB34" s="643">
        <f t="shared" si="5"/>
        <v>612.75592839471108</v>
      </c>
      <c r="DC34" s="643">
        <f t="shared" si="6"/>
        <v>640.31866066006648</v>
      </c>
      <c r="DD34" s="643">
        <f t="shared" si="7"/>
        <v>658.58755321525678</v>
      </c>
      <c r="DE34" s="643">
        <f t="shared" si="8"/>
        <v>917.42296141445331</v>
      </c>
      <c r="DF34" s="643">
        <f t="shared" si="9"/>
        <v>638.75871068312119</v>
      </c>
    </row>
    <row r="35" spans="1:16338" ht="25.5" x14ac:dyDescent="0.2">
      <c r="A35" s="223">
        <v>31</v>
      </c>
      <c r="B35" s="224" t="s">
        <v>174</v>
      </c>
      <c r="C35" s="643">
        <v>18.602053198350525</v>
      </c>
      <c r="D35" s="643">
        <v>20.067776196499032</v>
      </c>
      <c r="E35" s="643">
        <v>26.525878390672997</v>
      </c>
      <c r="F35" s="643">
        <v>18.750140692407683</v>
      </c>
      <c r="G35" s="643">
        <v>19.899527025823794</v>
      </c>
      <c r="H35" s="643">
        <v>35.810497387800005</v>
      </c>
      <c r="I35" s="643">
        <v>72.622579560999995</v>
      </c>
      <c r="J35" s="644">
        <v>88.171089143000003</v>
      </c>
      <c r="K35" s="643">
        <v>96.143752374900004</v>
      </c>
      <c r="L35" s="643">
        <v>5.0216927197151673</v>
      </c>
      <c r="M35" s="643">
        <v>5.2420179953491655</v>
      </c>
      <c r="N35" s="643">
        <v>3.7537008060952797</v>
      </c>
      <c r="O35" s="643">
        <v>3.0596632397320556</v>
      </c>
      <c r="P35" s="643">
        <v>4.3844338395402342</v>
      </c>
      <c r="Q35" s="643">
        <v>5.220073331</v>
      </c>
      <c r="R35" s="643">
        <v>4.4809125720000003</v>
      </c>
      <c r="S35" s="644">
        <v>7.6549644709999987</v>
      </c>
      <c r="T35" s="643">
        <v>13.831537654</v>
      </c>
      <c r="U35" s="643">
        <v>0</v>
      </c>
      <c r="V35" s="643">
        <v>0</v>
      </c>
      <c r="W35" s="643">
        <v>0</v>
      </c>
      <c r="X35" s="643">
        <v>0</v>
      </c>
      <c r="Y35" s="643">
        <v>0</v>
      </c>
      <c r="Z35" s="643">
        <v>5.3E-3</v>
      </c>
      <c r="AA35" s="643">
        <v>5.3E-3</v>
      </c>
      <c r="AB35" s="644">
        <v>0</v>
      </c>
      <c r="AC35" s="643">
        <v>0</v>
      </c>
      <c r="AD35" s="643">
        <v>0</v>
      </c>
      <c r="AE35" s="643">
        <v>0</v>
      </c>
      <c r="AF35" s="643">
        <v>0</v>
      </c>
      <c r="AG35" s="643">
        <v>0</v>
      </c>
      <c r="AH35" s="643">
        <v>0</v>
      </c>
      <c r="AI35" s="643">
        <v>0</v>
      </c>
      <c r="AJ35" s="643">
        <v>0</v>
      </c>
      <c r="AK35" s="644">
        <v>0</v>
      </c>
      <c r="AL35" s="643">
        <v>0</v>
      </c>
      <c r="AM35" s="643">
        <v>4.0713811153497206</v>
      </c>
      <c r="AN35" s="643">
        <v>2.1331928553767945</v>
      </c>
      <c r="AO35" s="643">
        <v>2.5936343661844949</v>
      </c>
      <c r="AP35" s="643">
        <v>1.7716005480230932</v>
      </c>
      <c r="AQ35" s="643">
        <v>2.7757385697814589</v>
      </c>
      <c r="AR35" s="643">
        <v>1.634250561</v>
      </c>
      <c r="AS35" s="643">
        <v>1.622054187</v>
      </c>
      <c r="AT35" s="644">
        <v>1.5904345989999999</v>
      </c>
      <c r="AU35" s="643">
        <v>3.9245810859999999</v>
      </c>
      <c r="AV35" s="643">
        <v>8.6378462818891872</v>
      </c>
      <c r="AW35" s="643">
        <v>11.332151140069692</v>
      </c>
      <c r="AX35" s="643">
        <v>33.501301720163866</v>
      </c>
      <c r="AY35" s="643">
        <v>8.5611806247838551</v>
      </c>
      <c r="AZ35" s="643">
        <v>13.121005404495932</v>
      </c>
      <c r="BA35" s="643">
        <v>60.293105946693842</v>
      </c>
      <c r="BB35" s="643">
        <v>25.289650283145402</v>
      </c>
      <c r="BC35" s="644">
        <v>28.64573885169802</v>
      </c>
      <c r="BD35" s="643">
        <v>24.390163002414962</v>
      </c>
      <c r="BE35" s="643">
        <v>9.4867226062988905</v>
      </c>
      <c r="BF35" s="643">
        <v>11.092727839363761</v>
      </c>
      <c r="BG35" s="643">
        <v>59.732814338465793</v>
      </c>
      <c r="BH35" s="643">
        <v>7.4703878069939647</v>
      </c>
      <c r="BI35" s="643">
        <v>15.000656923524904</v>
      </c>
      <c r="BJ35" s="643">
        <v>30.280554774666669</v>
      </c>
      <c r="BK35" s="643">
        <v>33.604578322496437</v>
      </c>
      <c r="BL35" s="644">
        <v>32.608616697157792</v>
      </c>
      <c r="BM35" s="643">
        <v>28.407616642245674</v>
      </c>
      <c r="BN35" s="643">
        <v>2.09722480085059</v>
      </c>
      <c r="BO35" s="643">
        <v>2.47933880185189</v>
      </c>
      <c r="BP35" s="643">
        <v>2.8431853608686</v>
      </c>
      <c r="BQ35" s="643">
        <v>1.6566307704301575</v>
      </c>
      <c r="BR35" s="643">
        <v>3.8532159699999999</v>
      </c>
      <c r="BS35" s="643">
        <v>3.9563004789999998</v>
      </c>
      <c r="BT35" s="643">
        <v>5.524694739000001</v>
      </c>
      <c r="BU35" s="644">
        <v>6.7980175260000006</v>
      </c>
      <c r="BV35" s="643">
        <v>7.3367067500000012</v>
      </c>
      <c r="BW35" s="643">
        <v>0.10603309999999999</v>
      </c>
      <c r="BX35" s="643">
        <v>0.17599290000000001</v>
      </c>
      <c r="BY35" s="643">
        <v>5.5881199999999999E-2</v>
      </c>
      <c r="BZ35" s="643">
        <v>1.1999999999999999E-5</v>
      </c>
      <c r="CA35" s="643">
        <v>0</v>
      </c>
      <c r="CB35" s="643">
        <v>0</v>
      </c>
      <c r="CC35" s="643">
        <v>0</v>
      </c>
      <c r="CD35" s="644">
        <v>0</v>
      </c>
      <c r="CE35" s="643">
        <v>0</v>
      </c>
      <c r="CF35" s="643">
        <v>0</v>
      </c>
      <c r="CG35" s="643">
        <v>0</v>
      </c>
      <c r="CH35" s="643">
        <v>0</v>
      </c>
      <c r="CI35" s="643">
        <v>0</v>
      </c>
      <c r="CJ35" s="643">
        <v>0.55000000000000004</v>
      </c>
      <c r="CK35" s="643">
        <v>0.84939530000000008</v>
      </c>
      <c r="CL35" s="643">
        <v>1.3708140000000002</v>
      </c>
      <c r="CM35" s="644">
        <v>1.8509382080000001</v>
      </c>
      <c r="CN35" s="643">
        <v>2.4129539999999996</v>
      </c>
      <c r="CO35" s="643">
        <v>1.9485573495962609</v>
      </c>
      <c r="CP35" s="643">
        <v>1.7782000317504516</v>
      </c>
      <c r="CQ35" s="643">
        <v>2.2762869063360531</v>
      </c>
      <c r="CR35" s="643">
        <v>1.4691710269355152</v>
      </c>
      <c r="CS35" s="643">
        <v>1.0602667313019387</v>
      </c>
      <c r="CT35" s="643">
        <v>1.1309095069999999</v>
      </c>
      <c r="CU35" s="643">
        <v>1.1069511080000001</v>
      </c>
      <c r="CV35" s="643">
        <v>1.0979931199999997</v>
      </c>
      <c r="CW35" s="643">
        <v>2.3795831070999993</v>
      </c>
      <c r="CX35" s="643">
        <f t="shared" si="1"/>
        <v>49.971511172050342</v>
      </c>
      <c r="CY35" s="643">
        <f t="shared" si="2"/>
        <v>54.301397760260784</v>
      </c>
      <c r="CZ35" s="643">
        <f t="shared" si="3"/>
        <v>131.28268308878708</v>
      </c>
      <c r="DA35" s="643">
        <f t="shared" si="4"/>
        <v>42.738786709306318</v>
      </c>
      <c r="DB35" s="643">
        <f t="shared" si="5"/>
        <v>60.644844464468257</v>
      </c>
      <c r="DC35" s="643">
        <f t="shared" si="6"/>
        <v>139.18038728716053</v>
      </c>
      <c r="DD35" s="643">
        <f t="shared" si="7"/>
        <v>145.62753477264187</v>
      </c>
      <c r="DE35" s="643">
        <f t="shared" si="8"/>
        <v>168.41779261585583</v>
      </c>
      <c r="DF35" s="643">
        <f t="shared" si="9"/>
        <v>178.82689461666064</v>
      </c>
    </row>
    <row r="36" spans="1:16338" x14ac:dyDescent="0.2">
      <c r="A36" s="223">
        <v>32</v>
      </c>
      <c r="B36" s="224" t="s">
        <v>175</v>
      </c>
      <c r="C36" s="643">
        <v>584.31156393709125</v>
      </c>
      <c r="D36" s="643">
        <v>553.68449039845643</v>
      </c>
      <c r="E36" s="643">
        <v>546.61213799645509</v>
      </c>
      <c r="F36" s="643">
        <v>569.75005420764103</v>
      </c>
      <c r="G36" s="643">
        <v>700.00753007217429</v>
      </c>
      <c r="H36" s="643">
        <v>795.65424859112113</v>
      </c>
      <c r="I36" s="643">
        <v>1034.5182977379002</v>
      </c>
      <c r="J36" s="644">
        <v>1284.0807975150058</v>
      </c>
      <c r="K36" s="643">
        <v>1322.6934068209528</v>
      </c>
      <c r="L36" s="643">
        <v>288.95297694357509</v>
      </c>
      <c r="M36" s="643">
        <v>283.62401144856653</v>
      </c>
      <c r="N36" s="643">
        <v>297.07845649723168</v>
      </c>
      <c r="O36" s="643">
        <v>273.23863817190204</v>
      </c>
      <c r="P36" s="643">
        <v>302.03148152363684</v>
      </c>
      <c r="Q36" s="643">
        <v>280.07979445090007</v>
      </c>
      <c r="R36" s="643">
        <v>322.02721786375002</v>
      </c>
      <c r="S36" s="644">
        <v>220.29451512745146</v>
      </c>
      <c r="T36" s="643">
        <v>250.21746121352501</v>
      </c>
      <c r="U36" s="643">
        <v>11.330588912000001</v>
      </c>
      <c r="V36" s="643">
        <v>18.128931384999998</v>
      </c>
      <c r="W36" s="643">
        <v>17.024740450007997</v>
      </c>
      <c r="X36" s="643">
        <v>11.068223485000003</v>
      </c>
      <c r="Y36" s="643">
        <v>14.672742074767669</v>
      </c>
      <c r="Z36" s="643">
        <v>17.460427957999997</v>
      </c>
      <c r="AA36" s="643">
        <v>20.736257472000002</v>
      </c>
      <c r="AB36" s="644">
        <v>35.079490577000001</v>
      </c>
      <c r="AC36" s="643">
        <v>35.780728374999995</v>
      </c>
      <c r="AD36" s="643">
        <v>42.139162571999996</v>
      </c>
      <c r="AE36" s="643">
        <v>46.747938927000007</v>
      </c>
      <c r="AF36" s="643">
        <v>52.489095425999992</v>
      </c>
      <c r="AG36" s="643">
        <v>56.733293613799994</v>
      </c>
      <c r="AH36" s="643">
        <v>56.304623898680759</v>
      </c>
      <c r="AI36" s="643">
        <v>80.866174243999978</v>
      </c>
      <c r="AJ36" s="643">
        <v>101.29248383699439</v>
      </c>
      <c r="AK36" s="644">
        <v>79.166843740999994</v>
      </c>
      <c r="AL36" s="643">
        <v>163.51637573899998</v>
      </c>
      <c r="AM36" s="643">
        <v>247.56366176942186</v>
      </c>
      <c r="AN36" s="643">
        <v>224.59160349811205</v>
      </c>
      <c r="AO36" s="643">
        <v>199.49867792597385</v>
      </c>
      <c r="AP36" s="643">
        <v>177.87148398788943</v>
      </c>
      <c r="AQ36" s="643">
        <v>171.59280294679823</v>
      </c>
      <c r="AR36" s="643">
        <v>138.74740885359998</v>
      </c>
      <c r="AS36" s="643">
        <v>126.67649422300001</v>
      </c>
      <c r="AT36" s="644">
        <v>151.85978517235085</v>
      </c>
      <c r="AU36" s="643">
        <v>196.68572076784997</v>
      </c>
      <c r="AV36" s="643">
        <v>1252.6098602225411</v>
      </c>
      <c r="AW36" s="643">
        <v>1373.3516234451422</v>
      </c>
      <c r="AX36" s="643">
        <v>1514.794650651892</v>
      </c>
      <c r="AY36" s="643">
        <v>1781.2436892049973</v>
      </c>
      <c r="AZ36" s="643">
        <v>1955.1769351093715</v>
      </c>
      <c r="BA36" s="643">
        <v>2066.0989091228939</v>
      </c>
      <c r="BB36" s="643">
        <v>2036.8453563358714</v>
      </c>
      <c r="BC36" s="644">
        <v>1806.3454335226538</v>
      </c>
      <c r="BD36" s="643">
        <v>1761.7003519529674</v>
      </c>
      <c r="BE36" s="643">
        <v>628.97771976663967</v>
      </c>
      <c r="BF36" s="643">
        <v>783.40381047456015</v>
      </c>
      <c r="BG36" s="643">
        <v>1015.667140794468</v>
      </c>
      <c r="BH36" s="643">
        <v>1125.4189012937181</v>
      </c>
      <c r="BI36" s="643">
        <v>1454.8845551114803</v>
      </c>
      <c r="BJ36" s="643">
        <v>1723.2286008121091</v>
      </c>
      <c r="BK36" s="643">
        <v>1929.0590131889105</v>
      </c>
      <c r="BL36" s="644">
        <v>1797.2164510934128</v>
      </c>
      <c r="BM36" s="643">
        <v>1781.5948945918617</v>
      </c>
      <c r="BN36" s="643">
        <v>134.2307162460294</v>
      </c>
      <c r="BO36" s="643">
        <v>149.36660552663974</v>
      </c>
      <c r="BP36" s="643">
        <v>169.99911153944166</v>
      </c>
      <c r="BQ36" s="643">
        <v>181.6916406852383</v>
      </c>
      <c r="BR36" s="643">
        <v>180.84007514704493</v>
      </c>
      <c r="BS36" s="643">
        <v>225.53240391274997</v>
      </c>
      <c r="BT36" s="643">
        <v>229.36143611380001</v>
      </c>
      <c r="BU36" s="644">
        <v>253.70510328733883</v>
      </c>
      <c r="BV36" s="643">
        <v>419.09178293742502</v>
      </c>
      <c r="BW36" s="643">
        <v>3.2512437999999997</v>
      </c>
      <c r="BX36" s="643">
        <v>7.1527196000000002</v>
      </c>
      <c r="BY36" s="643">
        <v>0.296066</v>
      </c>
      <c r="BZ36" s="643">
        <v>20.108273399999998</v>
      </c>
      <c r="CA36" s="643">
        <v>348.27510000000001</v>
      </c>
      <c r="CB36" s="643">
        <v>196.10041620000001</v>
      </c>
      <c r="CC36" s="643">
        <v>160.75149999999999</v>
      </c>
      <c r="CD36" s="644">
        <v>569.50200629999995</v>
      </c>
      <c r="CE36" s="643">
        <v>600.98948406599993</v>
      </c>
      <c r="CF36" s="643">
        <v>212.42039694600001</v>
      </c>
      <c r="CG36" s="643">
        <v>226.61211543000005</v>
      </c>
      <c r="CH36" s="643">
        <v>202.40840659999998</v>
      </c>
      <c r="CI36" s="643">
        <v>173.89457816099994</v>
      </c>
      <c r="CJ36" s="643">
        <v>161.44001461599998</v>
      </c>
      <c r="CK36" s="643">
        <v>174.80275060400004</v>
      </c>
      <c r="CL36" s="643">
        <v>145.61253013099997</v>
      </c>
      <c r="CM36" s="644">
        <v>120.15754647200001</v>
      </c>
      <c r="CN36" s="643">
        <v>130.24539567000002</v>
      </c>
      <c r="CO36" s="643">
        <v>262.04677653830629</v>
      </c>
      <c r="CP36" s="643">
        <v>211.93057300422058</v>
      </c>
      <c r="CQ36" s="643">
        <v>219.5721236391295</v>
      </c>
      <c r="CR36" s="643">
        <v>197.60834898627829</v>
      </c>
      <c r="CS36" s="643">
        <v>219.07783944188515</v>
      </c>
      <c r="CT36" s="643">
        <v>215.18994079464832</v>
      </c>
      <c r="CU36" s="643">
        <v>190.61999805792996</v>
      </c>
      <c r="CV36" s="643">
        <v>195.9447990514067</v>
      </c>
      <c r="CW36" s="643">
        <v>228.8021008844249</v>
      </c>
      <c r="CX36" s="643">
        <f t="shared" si="1"/>
        <v>3667.8346676536048</v>
      </c>
      <c r="CY36" s="643">
        <f t="shared" si="2"/>
        <v>3878.594423137698</v>
      </c>
      <c r="CZ36" s="643">
        <f t="shared" si="3"/>
        <v>4235.4406075205998</v>
      </c>
      <c r="DA36" s="643">
        <f t="shared" si="4"/>
        <v>4568.6271251974649</v>
      </c>
      <c r="DB36" s="643">
        <f t="shared" si="5"/>
        <v>5564.3036999418391</v>
      </c>
      <c r="DC36" s="643">
        <f t="shared" si="6"/>
        <v>5913.7610755440228</v>
      </c>
      <c r="DD36" s="643">
        <f t="shared" si="7"/>
        <v>6297.5005849611571</v>
      </c>
      <c r="DE36" s="643">
        <f t="shared" si="8"/>
        <v>6513.3527718596197</v>
      </c>
      <c r="DF36" s="643">
        <f t="shared" si="9"/>
        <v>6891.3177030190072</v>
      </c>
    </row>
    <row r="37" spans="1:16338" x14ac:dyDescent="0.2">
      <c r="A37" s="223">
        <v>33</v>
      </c>
      <c r="B37" s="224" t="s">
        <v>176</v>
      </c>
      <c r="C37" s="643">
        <v>68.722622265906026</v>
      </c>
      <c r="D37" s="643">
        <v>63.148811456565781</v>
      </c>
      <c r="E37" s="643">
        <v>96.078101113291197</v>
      </c>
      <c r="F37" s="643">
        <v>78.387886399120092</v>
      </c>
      <c r="G37" s="643">
        <v>73.310869847427654</v>
      </c>
      <c r="H37" s="643">
        <v>111.91931428961014</v>
      </c>
      <c r="I37" s="643">
        <v>123.53923045000002</v>
      </c>
      <c r="J37" s="644">
        <v>143.76623602749959</v>
      </c>
      <c r="K37" s="643">
        <v>160.00422128749921</v>
      </c>
      <c r="L37" s="643">
        <v>4.8332739999999994</v>
      </c>
      <c r="M37" s="643">
        <v>5.4891905506200001</v>
      </c>
      <c r="N37" s="643">
        <v>5.5321808415199998</v>
      </c>
      <c r="O37" s="643">
        <v>3.8013067460598808</v>
      </c>
      <c r="P37" s="643">
        <v>5.5602047305862765</v>
      </c>
      <c r="Q37" s="643">
        <v>5.968582971</v>
      </c>
      <c r="R37" s="643">
        <v>4.9115773510000009</v>
      </c>
      <c r="S37" s="644">
        <v>5.6681710980000002</v>
      </c>
      <c r="T37" s="643">
        <v>6.8170960809999999</v>
      </c>
      <c r="U37" s="643">
        <v>2.3625E-3</v>
      </c>
      <c r="V37" s="643">
        <v>5.8796000000000005E-3</v>
      </c>
      <c r="W37" s="643">
        <v>9.7660000000000021E-4</v>
      </c>
      <c r="X37" s="643">
        <v>4.5103000000000001E-3</v>
      </c>
      <c r="Y37" s="643">
        <v>1.2999999999999999E-3</v>
      </c>
      <c r="Z37" s="643">
        <v>2.6102999999999999E-3</v>
      </c>
      <c r="AA37" s="643">
        <v>3.0847000000000001E-3</v>
      </c>
      <c r="AB37" s="644">
        <v>0</v>
      </c>
      <c r="AC37" s="643">
        <v>10.4024204</v>
      </c>
      <c r="AD37" s="643">
        <v>4.7347E-2</v>
      </c>
      <c r="AE37" s="643">
        <v>0.1663288</v>
      </c>
      <c r="AF37" s="643">
        <v>0.1502735</v>
      </c>
      <c r="AG37" s="643">
        <v>0.13593529999999998</v>
      </c>
      <c r="AH37" s="643">
        <v>0.23502699322696333</v>
      </c>
      <c r="AI37" s="643">
        <v>0.17388229999999999</v>
      </c>
      <c r="AJ37" s="643">
        <v>0.16618639999999998</v>
      </c>
      <c r="AK37" s="644">
        <v>0.16638640000000002</v>
      </c>
      <c r="AL37" s="643">
        <v>0.22807199999999997</v>
      </c>
      <c r="AM37" s="643">
        <v>22.611506723632889</v>
      </c>
      <c r="AN37" s="643">
        <v>19.865491852450003</v>
      </c>
      <c r="AO37" s="643">
        <v>21.106749981000004</v>
      </c>
      <c r="AP37" s="643">
        <v>17.295758933568358</v>
      </c>
      <c r="AQ37" s="643">
        <v>22.36376884171062</v>
      </c>
      <c r="AR37" s="643">
        <v>27.975689706000004</v>
      </c>
      <c r="AS37" s="643">
        <v>24.543605275200001</v>
      </c>
      <c r="AT37" s="644">
        <v>54.69053318129999</v>
      </c>
      <c r="AU37" s="643">
        <v>89.465807556050009</v>
      </c>
      <c r="AV37" s="643">
        <v>148.14275761102726</v>
      </c>
      <c r="AW37" s="643">
        <v>160.89015728831774</v>
      </c>
      <c r="AX37" s="643">
        <v>177.80505244485425</v>
      </c>
      <c r="AY37" s="643">
        <v>193.87188234899313</v>
      </c>
      <c r="AZ37" s="643">
        <v>252.13710895982854</v>
      </c>
      <c r="BA37" s="643">
        <v>277.57964950002997</v>
      </c>
      <c r="BB37" s="643">
        <v>280.87125453739071</v>
      </c>
      <c r="BC37" s="644">
        <v>313.84283958136007</v>
      </c>
      <c r="BD37" s="643">
        <v>306.57489171210528</v>
      </c>
      <c r="BE37" s="643">
        <v>175.27751096200717</v>
      </c>
      <c r="BF37" s="643">
        <v>187.1163441828154</v>
      </c>
      <c r="BG37" s="643">
        <v>257.00037172210961</v>
      </c>
      <c r="BH37" s="643">
        <v>228.79183880360961</v>
      </c>
      <c r="BI37" s="643">
        <v>326.97619686344626</v>
      </c>
      <c r="BJ37" s="643">
        <v>371.05218864200003</v>
      </c>
      <c r="BK37" s="643">
        <v>406.57079317052251</v>
      </c>
      <c r="BL37" s="644">
        <v>428.2320307550898</v>
      </c>
      <c r="BM37" s="643">
        <v>438.67300499184347</v>
      </c>
      <c r="BN37" s="643">
        <v>2.1488295500000003</v>
      </c>
      <c r="BO37" s="643">
        <v>2.0508448709999998</v>
      </c>
      <c r="BP37" s="643">
        <v>3.6932896190000002</v>
      </c>
      <c r="BQ37" s="643">
        <v>2.0784209430476128</v>
      </c>
      <c r="BR37" s="643">
        <v>3.4102581652300183</v>
      </c>
      <c r="BS37" s="643">
        <v>4.0144969960000001</v>
      </c>
      <c r="BT37" s="643">
        <v>3.7983949199999993</v>
      </c>
      <c r="BU37" s="644">
        <v>6.9155035230000008</v>
      </c>
      <c r="BV37" s="643">
        <v>6.4984276769999996</v>
      </c>
      <c r="BW37" s="643">
        <v>1.1807032</v>
      </c>
      <c r="BX37" s="643">
        <v>0.65820429999999996</v>
      </c>
      <c r="BY37" s="643">
        <v>0.37181789999999998</v>
      </c>
      <c r="BZ37" s="643">
        <v>0.21974050000000001</v>
      </c>
      <c r="CA37" s="643">
        <v>30.974866936307698</v>
      </c>
      <c r="CB37" s="643">
        <v>54.062504370439711</v>
      </c>
      <c r="CC37" s="643">
        <v>20.980749403000004</v>
      </c>
      <c r="CD37" s="644">
        <v>1E-4</v>
      </c>
      <c r="CE37" s="643">
        <v>32.472846796999988</v>
      </c>
      <c r="CF37" s="643">
        <v>0</v>
      </c>
      <c r="CG37" s="643">
        <v>0</v>
      </c>
      <c r="CH37" s="643">
        <v>0</v>
      </c>
      <c r="CI37" s="643">
        <v>0</v>
      </c>
      <c r="CJ37" s="643">
        <v>0</v>
      </c>
      <c r="CK37" s="643">
        <v>0</v>
      </c>
      <c r="CL37" s="643">
        <v>0</v>
      </c>
      <c r="CM37" s="644">
        <v>0</v>
      </c>
      <c r="CN37" s="643">
        <v>0</v>
      </c>
      <c r="CO37" s="643">
        <v>38.136405454017137</v>
      </c>
      <c r="CP37" s="643">
        <v>42.826760260939999</v>
      </c>
      <c r="CQ37" s="643">
        <v>62.651394945909999</v>
      </c>
      <c r="CR37" s="643">
        <v>60.877847341499994</v>
      </c>
      <c r="CS37" s="643">
        <v>70.961618849783576</v>
      </c>
      <c r="CT37" s="643">
        <v>80.126784134999994</v>
      </c>
      <c r="CU37" s="643">
        <v>76.941967973999994</v>
      </c>
      <c r="CV37" s="643">
        <v>81.770123274499923</v>
      </c>
      <c r="CW37" s="643">
        <v>85.586077449000001</v>
      </c>
      <c r="CX37" s="643">
        <f t="shared" si="1"/>
        <v>461.10331926659046</v>
      </c>
      <c r="CY37" s="643">
        <f t="shared" si="2"/>
        <v>482.21801316270893</v>
      </c>
      <c r="CZ37" s="643">
        <f t="shared" si="3"/>
        <v>624.3902086676851</v>
      </c>
      <c r="DA37" s="643">
        <f t="shared" si="4"/>
        <v>585.46512761589861</v>
      </c>
      <c r="DB37" s="643">
        <f t="shared" si="5"/>
        <v>785.93122018754764</v>
      </c>
      <c r="DC37" s="643">
        <f t="shared" si="6"/>
        <v>932.87570321007991</v>
      </c>
      <c r="DD37" s="643">
        <f t="shared" si="7"/>
        <v>942.32684418111319</v>
      </c>
      <c r="DE37" s="643">
        <f t="shared" si="8"/>
        <v>1035.0519238407492</v>
      </c>
      <c r="DF37" s="643">
        <f t="shared" si="9"/>
        <v>1136.7228659514979</v>
      </c>
    </row>
    <row r="38" spans="1:16338" x14ac:dyDescent="0.2">
      <c r="A38" s="223">
        <v>34</v>
      </c>
      <c r="B38" s="224" t="s">
        <v>177</v>
      </c>
      <c r="C38" s="643"/>
      <c r="D38" s="643"/>
      <c r="E38" s="643"/>
      <c r="F38" s="643"/>
      <c r="G38" s="643"/>
      <c r="H38" s="643"/>
      <c r="I38" s="643">
        <v>4.0200000000000001E-5</v>
      </c>
      <c r="J38" s="644">
        <v>1.4923299999999999E-2</v>
      </c>
      <c r="K38" s="643">
        <v>0.17299900000000001</v>
      </c>
      <c r="L38" s="643"/>
      <c r="M38" s="643"/>
      <c r="N38" s="643"/>
      <c r="O38" s="643"/>
      <c r="P38" s="643"/>
      <c r="Q38" s="643"/>
      <c r="R38" s="643">
        <v>0</v>
      </c>
      <c r="S38" s="644">
        <v>1.9352299999999999E-2</v>
      </c>
      <c r="T38" s="643">
        <v>1.4572E-2</v>
      </c>
      <c r="U38" s="643"/>
      <c r="V38" s="643"/>
      <c r="W38" s="643"/>
      <c r="X38" s="643"/>
      <c r="Y38" s="643"/>
      <c r="Z38" s="643"/>
      <c r="AA38" s="643">
        <v>0</v>
      </c>
      <c r="AB38" s="644">
        <v>0</v>
      </c>
      <c r="AC38" s="643">
        <v>0</v>
      </c>
      <c r="AD38" s="643"/>
      <c r="AE38" s="643"/>
      <c r="AF38" s="643"/>
      <c r="AG38" s="643"/>
      <c r="AH38" s="643"/>
      <c r="AI38" s="643"/>
      <c r="AJ38" s="643">
        <v>0</v>
      </c>
      <c r="AK38" s="644">
        <v>0</v>
      </c>
      <c r="AL38" s="643">
        <v>0</v>
      </c>
      <c r="AM38" s="643"/>
      <c r="AN38" s="643"/>
      <c r="AO38" s="643"/>
      <c r="AP38" s="643"/>
      <c r="AQ38" s="643"/>
      <c r="AR38" s="643"/>
      <c r="AS38" s="643">
        <v>0</v>
      </c>
      <c r="AT38" s="644">
        <v>0.10744379999999999</v>
      </c>
      <c r="AU38" s="643">
        <v>0.34107889999999996</v>
      </c>
      <c r="AV38" s="643"/>
      <c r="AW38" s="643"/>
      <c r="AX38" s="643"/>
      <c r="AY38" s="643"/>
      <c r="AZ38" s="643"/>
      <c r="BA38" s="643"/>
      <c r="BB38" s="643">
        <v>3.9600999999999994E-3</v>
      </c>
      <c r="BC38" s="644">
        <v>8.5896699999999993E-2</v>
      </c>
      <c r="BD38" s="643">
        <v>0.26729310000000001</v>
      </c>
      <c r="BE38" s="643"/>
      <c r="BF38" s="643"/>
      <c r="BG38" s="643"/>
      <c r="BH38" s="643"/>
      <c r="BI38" s="643"/>
      <c r="BJ38" s="643"/>
      <c r="BK38" s="643">
        <v>1.4147799999999999E-2</v>
      </c>
      <c r="BL38" s="644">
        <v>0.24568409999999999</v>
      </c>
      <c r="BM38" s="643">
        <v>0.58213139999999997</v>
      </c>
      <c r="BN38" s="643"/>
      <c r="BO38" s="643"/>
      <c r="BP38" s="643"/>
      <c r="BQ38" s="643"/>
      <c r="BR38" s="643"/>
      <c r="BS38" s="643"/>
      <c r="BT38" s="643">
        <v>1.5248999999999998E-3</v>
      </c>
      <c r="BU38" s="644">
        <v>3.2260000000000001E-3</v>
      </c>
      <c r="BV38" s="643">
        <v>9.6533999999999995E-3</v>
      </c>
      <c r="BW38" s="643"/>
      <c r="BX38" s="643"/>
      <c r="BY38" s="643"/>
      <c r="BZ38" s="643"/>
      <c r="CA38" s="643"/>
      <c r="CB38" s="643"/>
      <c r="CC38" s="643">
        <v>372.26129999999995</v>
      </c>
      <c r="CD38" s="644">
        <v>0</v>
      </c>
      <c r="CE38" s="643">
        <v>0</v>
      </c>
      <c r="CF38" s="643"/>
      <c r="CG38" s="643"/>
      <c r="CH38" s="643"/>
      <c r="CI38" s="643"/>
      <c r="CJ38" s="643"/>
      <c r="CK38" s="643"/>
      <c r="CL38" s="643">
        <v>0</v>
      </c>
      <c r="CM38" s="644">
        <v>0</v>
      </c>
      <c r="CN38" s="643">
        <v>0</v>
      </c>
      <c r="CO38" s="643"/>
      <c r="CP38" s="643"/>
      <c r="CQ38" s="643"/>
      <c r="CR38" s="643"/>
      <c r="CS38" s="643"/>
      <c r="CT38" s="643"/>
      <c r="CU38" s="643">
        <v>2.34E-4</v>
      </c>
      <c r="CV38" s="643">
        <v>2.4023599999999999E-2</v>
      </c>
      <c r="CW38" s="643">
        <v>6.0163500000000002E-2</v>
      </c>
      <c r="CX38" s="643">
        <f t="shared" si="1"/>
        <v>0</v>
      </c>
      <c r="CY38" s="643">
        <f t="shared" si="2"/>
        <v>0</v>
      </c>
      <c r="CZ38" s="643">
        <f t="shared" si="3"/>
        <v>0</v>
      </c>
      <c r="DA38" s="643">
        <f t="shared" si="4"/>
        <v>0</v>
      </c>
      <c r="DB38" s="643">
        <f t="shared" si="5"/>
        <v>0</v>
      </c>
      <c r="DC38" s="643">
        <f t="shared" si="6"/>
        <v>0</v>
      </c>
      <c r="DD38" s="643">
        <f t="shared" si="7"/>
        <v>372.28120699999994</v>
      </c>
      <c r="DE38" s="643">
        <f t="shared" si="8"/>
        <v>0.50054979999999993</v>
      </c>
      <c r="DF38" s="643">
        <f t="shared" si="9"/>
        <v>1.4478913</v>
      </c>
    </row>
    <row r="39" spans="1:16338" x14ac:dyDescent="0.2">
      <c r="A39" s="223">
        <v>35</v>
      </c>
      <c r="B39" s="224" t="s">
        <v>178</v>
      </c>
      <c r="C39" s="643">
        <v>7.3457609999999993E-3</v>
      </c>
      <c r="D39" s="643">
        <v>1.0856657999999998E-2</v>
      </c>
      <c r="E39" s="643">
        <v>49.719774801999989</v>
      </c>
      <c r="F39" s="643">
        <v>8.188883000000001E-3</v>
      </c>
      <c r="G39" s="643">
        <v>8.3885899999999996E-3</v>
      </c>
      <c r="H39" s="643">
        <v>1.9581208000000003E-2</v>
      </c>
      <c r="I39" s="643">
        <v>4.7407853000000007E-2</v>
      </c>
      <c r="J39" s="644">
        <v>0.46190441799999993</v>
      </c>
      <c r="K39" s="643">
        <v>1.3284863000000001E-2</v>
      </c>
      <c r="L39" s="643">
        <v>7.5510999999999998E-3</v>
      </c>
      <c r="M39" s="643">
        <v>2.5966000000000001E-3</v>
      </c>
      <c r="N39" s="643">
        <v>2.6521000000000006E-3</v>
      </c>
      <c r="O39" s="643">
        <v>2.9900000000000005E-3</v>
      </c>
      <c r="P39" s="643">
        <v>2.3E-3</v>
      </c>
      <c r="Q39" s="643">
        <v>5.0000000000000001E-4</v>
      </c>
      <c r="R39" s="643">
        <v>1.0174699999999998E-2</v>
      </c>
      <c r="S39" s="644">
        <v>2.9007E-3</v>
      </c>
      <c r="T39" s="643">
        <v>1.1902000000000001E-2</v>
      </c>
      <c r="U39" s="643">
        <v>0.58503070000000001</v>
      </c>
      <c r="V39" s="643">
        <v>1.1692231000000002</v>
      </c>
      <c r="W39" s="643">
        <v>0.76183729999999994</v>
      </c>
      <c r="X39" s="643">
        <v>1.3999999999999999E-2</v>
      </c>
      <c r="Y39" s="643">
        <v>1.41E-2</v>
      </c>
      <c r="Z39" s="643">
        <v>2.0199999999999999E-2</v>
      </c>
      <c r="AA39" s="643">
        <v>3.2812599999999997E-2</v>
      </c>
      <c r="AB39" s="644">
        <v>0.63755459999999997</v>
      </c>
      <c r="AC39" s="643">
        <v>9.3971200000000005E-2</v>
      </c>
      <c r="AD39" s="643">
        <v>0</v>
      </c>
      <c r="AE39" s="643">
        <v>0</v>
      </c>
      <c r="AF39" s="643">
        <v>0</v>
      </c>
      <c r="AG39" s="643">
        <v>0</v>
      </c>
      <c r="AH39" s="643">
        <v>0</v>
      </c>
      <c r="AI39" s="643">
        <v>0</v>
      </c>
      <c r="AJ39" s="643">
        <v>0</v>
      </c>
      <c r="AK39" s="644">
        <v>0</v>
      </c>
      <c r="AL39" s="643">
        <v>0</v>
      </c>
      <c r="AM39" s="643">
        <v>7.2170000000000003E-4</v>
      </c>
      <c r="AN39" s="643">
        <v>2.1394999999999999E-3</v>
      </c>
      <c r="AO39" s="643">
        <v>2.8478000000000002E-3</v>
      </c>
      <c r="AP39" s="643">
        <v>0</v>
      </c>
      <c r="AQ39" s="643">
        <v>1.1000000000000001E-3</v>
      </c>
      <c r="AR39" s="643">
        <v>2.3E-3</v>
      </c>
      <c r="AS39" s="643">
        <v>0</v>
      </c>
      <c r="AT39" s="644">
        <v>1.55646E-2</v>
      </c>
      <c r="AU39" s="643">
        <v>8.7959999999999991E-4</v>
      </c>
      <c r="AV39" s="643">
        <v>2.7822313346128533E-2</v>
      </c>
      <c r="AW39" s="643">
        <v>2.9472288282335217E-2</v>
      </c>
      <c r="AX39" s="643">
        <v>6.3569514979337987</v>
      </c>
      <c r="AY39" s="643">
        <v>4.26415736600834E-2</v>
      </c>
      <c r="AZ39" s="643">
        <v>8.5216901459215733E-2</v>
      </c>
      <c r="BA39" s="643">
        <v>0.22656120116297138</v>
      </c>
      <c r="BB39" s="643">
        <v>3.4180624669999999</v>
      </c>
      <c r="BC39" s="644">
        <v>2.2536159159999998</v>
      </c>
      <c r="BD39" s="643">
        <v>0.118068759</v>
      </c>
      <c r="BE39" s="643">
        <v>0.14621993823429277</v>
      </c>
      <c r="BF39" s="643">
        <v>0.18827412023761275</v>
      </c>
      <c r="BG39" s="643">
        <v>17.455228723267801</v>
      </c>
      <c r="BH39" s="643">
        <v>0.1172700974227541</v>
      </c>
      <c r="BI39" s="643">
        <v>0.35789392603264097</v>
      </c>
      <c r="BJ39" s="643">
        <v>0.54989140300000006</v>
      </c>
      <c r="BK39" s="643">
        <v>3.8349587463333337</v>
      </c>
      <c r="BL39" s="644">
        <v>2.5998112023333335</v>
      </c>
      <c r="BM39" s="643">
        <v>0.63669199333333337</v>
      </c>
      <c r="BN39" s="643">
        <v>0</v>
      </c>
      <c r="BO39" s="643">
        <v>0</v>
      </c>
      <c r="BP39" s="643">
        <v>9.9219999999999994E-4</v>
      </c>
      <c r="BQ39" s="643">
        <v>0</v>
      </c>
      <c r="BR39" s="643">
        <v>0</v>
      </c>
      <c r="BS39" s="643">
        <v>0</v>
      </c>
      <c r="BT39" s="643">
        <v>6.2500000000000001E-5</v>
      </c>
      <c r="BU39" s="644">
        <v>4.4775500000000003E-3</v>
      </c>
      <c r="BV39" s="643">
        <v>1.23E-2</v>
      </c>
      <c r="BW39" s="643">
        <v>2.9654000000000004E-3</v>
      </c>
      <c r="BX39" s="643">
        <v>6.8800000000000003E-4</v>
      </c>
      <c r="BY39" s="643">
        <v>3.5528000000000001E-3</v>
      </c>
      <c r="BZ39" s="643">
        <v>0</v>
      </c>
      <c r="CA39" s="643">
        <v>0</v>
      </c>
      <c r="CB39" s="643">
        <v>0</v>
      </c>
      <c r="CC39" s="643">
        <v>0.37630000000000002</v>
      </c>
      <c r="CD39" s="644">
        <v>0</v>
      </c>
      <c r="CE39" s="643">
        <v>0</v>
      </c>
      <c r="CF39" s="643">
        <v>0</v>
      </c>
      <c r="CG39" s="643">
        <v>0</v>
      </c>
      <c r="CH39" s="643">
        <v>0</v>
      </c>
      <c r="CI39" s="643">
        <v>0</v>
      </c>
      <c r="CJ39" s="643">
        <v>0</v>
      </c>
      <c r="CK39" s="643">
        <v>0</v>
      </c>
      <c r="CL39" s="643">
        <v>0</v>
      </c>
      <c r="CM39" s="644">
        <v>0</v>
      </c>
      <c r="CN39" s="643">
        <v>0</v>
      </c>
      <c r="CO39" s="643">
        <v>1.6994321999999999E-2</v>
      </c>
      <c r="CP39" s="643">
        <v>1.3367899999999999E-2</v>
      </c>
      <c r="CQ39" s="643">
        <v>1.9181126999999999E-2</v>
      </c>
      <c r="CR39" s="643">
        <v>0.13645642700000002</v>
      </c>
      <c r="CS39" s="643">
        <v>4.6907773436719834E-2</v>
      </c>
      <c r="CT39" s="643">
        <v>2.9753827999999996E-2</v>
      </c>
      <c r="CU39" s="643">
        <v>3.3747367E-2</v>
      </c>
      <c r="CV39" s="643">
        <v>1.3697674999999999E-2</v>
      </c>
      <c r="CW39" s="643">
        <v>3.4881000000000001E-3</v>
      </c>
      <c r="CX39" s="643">
        <f t="shared" si="1"/>
        <v>0.79465123458042131</v>
      </c>
      <c r="CY39" s="643">
        <f t="shared" si="2"/>
        <v>1.4166181665199482</v>
      </c>
      <c r="CZ39" s="643">
        <f t="shared" si="3"/>
        <v>74.323018350201579</v>
      </c>
      <c r="DA39" s="643">
        <f t="shared" si="4"/>
        <v>0.32154698108283752</v>
      </c>
      <c r="DB39" s="643">
        <f t="shared" si="5"/>
        <v>0.51590719092857651</v>
      </c>
      <c r="DC39" s="643">
        <f t="shared" si="6"/>
        <v>0.84878764016297148</v>
      </c>
      <c r="DD39" s="643">
        <f t="shared" si="7"/>
        <v>7.753526233333333</v>
      </c>
      <c r="DE39" s="643">
        <f t="shared" si="8"/>
        <v>5.9895266613333327</v>
      </c>
      <c r="DF39" s="643">
        <f t="shared" si="9"/>
        <v>0.89058651533333333</v>
      </c>
    </row>
    <row r="40" spans="1:16338" x14ac:dyDescent="0.2">
      <c r="A40" s="223">
        <v>36</v>
      </c>
      <c r="B40" s="224" t="s">
        <v>179</v>
      </c>
      <c r="C40" s="643">
        <v>13.124619085502484</v>
      </c>
      <c r="D40" s="643">
        <v>14.239535466200493</v>
      </c>
      <c r="E40" s="643">
        <v>11.657391630503463</v>
      </c>
      <c r="F40" s="643">
        <v>11.19720753177215</v>
      </c>
      <c r="G40" s="643">
        <v>13.468044879358036</v>
      </c>
      <c r="H40" s="643">
        <v>14.756669333999998</v>
      </c>
      <c r="I40" s="643">
        <v>19.588601055999998</v>
      </c>
      <c r="J40" s="644">
        <v>24.691504707128317</v>
      </c>
      <c r="K40" s="643">
        <v>23.108714461999998</v>
      </c>
      <c r="L40" s="643">
        <v>2.4967825076136876</v>
      </c>
      <c r="M40" s="643">
        <v>0.80092168275837183</v>
      </c>
      <c r="N40" s="643">
        <v>0.96788664602092256</v>
      </c>
      <c r="O40" s="643">
        <v>5.2201508225857252</v>
      </c>
      <c r="P40" s="643">
        <v>1.2474606694387165</v>
      </c>
      <c r="Q40" s="643">
        <v>1.4981828459999997</v>
      </c>
      <c r="R40" s="643">
        <v>1.4552312299999997</v>
      </c>
      <c r="S40" s="644">
        <v>1.3991059489057756</v>
      </c>
      <c r="T40" s="643">
        <v>1.8111780229999999</v>
      </c>
      <c r="U40" s="643">
        <v>0.59321660000000009</v>
      </c>
      <c r="V40" s="643">
        <v>0.5542918</v>
      </c>
      <c r="W40" s="643">
        <v>0.38977600000000001</v>
      </c>
      <c r="X40" s="643">
        <v>0.13041480000000003</v>
      </c>
      <c r="Y40" s="643">
        <v>0.350379</v>
      </c>
      <c r="Z40" s="643">
        <v>0.84692859999999992</v>
      </c>
      <c r="AA40" s="643">
        <v>0.71303700000000003</v>
      </c>
      <c r="AB40" s="644">
        <v>3.6282725</v>
      </c>
      <c r="AC40" s="643">
        <v>10.9150569</v>
      </c>
      <c r="AD40" s="643">
        <v>0</v>
      </c>
      <c r="AE40" s="643">
        <v>0</v>
      </c>
      <c r="AF40" s="643">
        <v>0.22657999999999998</v>
      </c>
      <c r="AG40" s="643">
        <v>4.7599999999999995E-3</v>
      </c>
      <c r="AH40" s="643">
        <v>7.0000000000000007E-2</v>
      </c>
      <c r="AI40" s="643">
        <v>7.6068800000000006E-2</v>
      </c>
      <c r="AJ40" s="643">
        <v>7.09621E-2</v>
      </c>
      <c r="AK40" s="644">
        <v>7.09621E-2</v>
      </c>
      <c r="AL40" s="643">
        <v>1.1999999999999999E-3</v>
      </c>
      <c r="AM40" s="643">
        <v>3.1975580614625314</v>
      </c>
      <c r="AN40" s="643">
        <v>1.5782832040353858</v>
      </c>
      <c r="AO40" s="643">
        <v>1.9409412472163183</v>
      </c>
      <c r="AP40" s="643">
        <v>1.1003734746521248</v>
      </c>
      <c r="AQ40" s="643">
        <v>1.3249432511044419</v>
      </c>
      <c r="AR40" s="643">
        <v>1.6244841520000002</v>
      </c>
      <c r="AS40" s="643">
        <v>1.8569668659999998</v>
      </c>
      <c r="AT40" s="644">
        <v>1.3964422059999999</v>
      </c>
      <c r="AU40" s="643">
        <v>1.527121991</v>
      </c>
      <c r="AV40" s="643">
        <v>47.792107715971071</v>
      </c>
      <c r="AW40" s="643">
        <v>54.542015440233627</v>
      </c>
      <c r="AX40" s="643">
        <v>66.537754823414119</v>
      </c>
      <c r="AY40" s="643">
        <v>67.98529970464871</v>
      </c>
      <c r="AZ40" s="643">
        <v>84.709704135150162</v>
      </c>
      <c r="BA40" s="643">
        <v>89.354383320467221</v>
      </c>
      <c r="BB40" s="643">
        <v>79.876753631211855</v>
      </c>
      <c r="BC40" s="644">
        <v>79.557423811884746</v>
      </c>
      <c r="BD40" s="643">
        <v>69.797217815973823</v>
      </c>
      <c r="BE40" s="643">
        <v>41.928705373454108</v>
      </c>
      <c r="BF40" s="643">
        <v>49.620258839033724</v>
      </c>
      <c r="BG40" s="643">
        <v>81.29046826503793</v>
      </c>
      <c r="BH40" s="643">
        <v>67.085224508223689</v>
      </c>
      <c r="BI40" s="643">
        <v>91.582091054835885</v>
      </c>
      <c r="BJ40" s="643">
        <v>115.22973130733331</v>
      </c>
      <c r="BK40" s="643">
        <v>114.96786065405453</v>
      </c>
      <c r="BL40" s="644">
        <v>105.9665624090005</v>
      </c>
      <c r="BM40" s="643">
        <v>107.28352363206912</v>
      </c>
      <c r="BN40" s="643">
        <v>0.80747337461336544</v>
      </c>
      <c r="BO40" s="643">
        <v>0.99134544373425337</v>
      </c>
      <c r="BP40" s="643">
        <v>1.0900598643476331</v>
      </c>
      <c r="BQ40" s="643">
        <v>0.64474820503097208</v>
      </c>
      <c r="BR40" s="643">
        <v>1.6944593446058795</v>
      </c>
      <c r="BS40" s="643">
        <v>4.5988140310000007</v>
      </c>
      <c r="BT40" s="643">
        <v>1.934099349</v>
      </c>
      <c r="BU40" s="644">
        <v>2.0039485007214246</v>
      </c>
      <c r="BV40" s="643">
        <v>1.8483451070000001</v>
      </c>
      <c r="BW40" s="643">
        <v>0.3203376</v>
      </c>
      <c r="BX40" s="643">
        <v>0.37207650000000003</v>
      </c>
      <c r="BY40" s="643">
        <v>0.37494646100000006</v>
      </c>
      <c r="BZ40" s="643">
        <v>2.8665197760000001</v>
      </c>
      <c r="CA40" s="643">
        <v>2.2962690000000001E-3</v>
      </c>
      <c r="CB40" s="643">
        <v>3.9095857239999998</v>
      </c>
      <c r="CC40" s="643">
        <v>2.7324514124999997</v>
      </c>
      <c r="CD40" s="644">
        <v>5.7765860991423414</v>
      </c>
      <c r="CE40" s="643">
        <v>5.5879583000000004</v>
      </c>
      <c r="CF40" s="643">
        <v>0.152</v>
      </c>
      <c r="CG40" s="643">
        <v>0.192</v>
      </c>
      <c r="CH40" s="643">
        <v>8.4000000000000005E-2</v>
      </c>
      <c r="CI40" s="643">
        <v>0</v>
      </c>
      <c r="CJ40" s="643">
        <v>4.1799999999999997E-2</v>
      </c>
      <c r="CK40" s="643">
        <v>2.68474E-2</v>
      </c>
      <c r="CL40" s="643">
        <v>3.6512500000000003E-2</v>
      </c>
      <c r="CM40" s="644">
        <v>0.1010064</v>
      </c>
      <c r="CN40" s="643">
        <v>0.66028799999999999</v>
      </c>
      <c r="CO40" s="643">
        <v>2.6006024945371489</v>
      </c>
      <c r="CP40" s="643">
        <v>2.6065102202714776</v>
      </c>
      <c r="CQ40" s="643">
        <v>2.8270184432779875</v>
      </c>
      <c r="CR40" s="643">
        <v>2.8469777027199061</v>
      </c>
      <c r="CS40" s="643">
        <v>3.4585455171842887</v>
      </c>
      <c r="CT40" s="643">
        <v>4.6973547379999987</v>
      </c>
      <c r="CU40" s="643">
        <v>4.8167657239999997</v>
      </c>
      <c r="CV40" s="643">
        <v>4.7418026664524104</v>
      </c>
      <c r="CW40" s="643">
        <v>3.5620376920000001</v>
      </c>
      <c r="CX40" s="643">
        <f t="shared" si="1"/>
        <v>113.01340281315439</v>
      </c>
      <c r="CY40" s="643">
        <f t="shared" si="2"/>
        <v>125.49723859626732</v>
      </c>
      <c r="CZ40" s="643">
        <f t="shared" si="3"/>
        <v>167.38682338081838</v>
      </c>
      <c r="DA40" s="643">
        <f t="shared" si="4"/>
        <v>159.08167652563327</v>
      </c>
      <c r="DB40" s="643">
        <f t="shared" si="5"/>
        <v>197.94972412067742</v>
      </c>
      <c r="DC40" s="643">
        <f t="shared" si="6"/>
        <v>236.61905025280052</v>
      </c>
      <c r="DD40" s="643">
        <f t="shared" si="7"/>
        <v>228.04924152276638</v>
      </c>
      <c r="DE40" s="643">
        <f t="shared" si="8"/>
        <v>229.33361734923551</v>
      </c>
      <c r="DF40" s="643">
        <f t="shared" si="9"/>
        <v>226.10264192304294</v>
      </c>
    </row>
    <row r="41" spans="1:16338" s="218" customFormat="1" x14ac:dyDescent="0.2">
      <c r="A41" s="42"/>
      <c r="B41" s="42" t="s">
        <v>439</v>
      </c>
      <c r="C41" s="645">
        <v>7407.1146603743709</v>
      </c>
      <c r="D41" s="645">
        <v>8054.6906772383581</v>
      </c>
      <c r="E41" s="645">
        <v>8743.782857475675</v>
      </c>
      <c r="F41" s="645">
        <v>9537.428899607834</v>
      </c>
      <c r="G41" s="645">
        <v>10779.704742223181</v>
      </c>
      <c r="H41" s="645">
        <v>11666.604732356653</v>
      </c>
      <c r="I41" s="645">
        <v>15728.07493607869</v>
      </c>
      <c r="J41" s="645">
        <v>20112.701737771989</v>
      </c>
      <c r="K41" s="645">
        <v>21547.897902539495</v>
      </c>
      <c r="L41" s="645">
        <v>2027.5021072263119</v>
      </c>
      <c r="M41" s="645">
        <v>2063.4105890412411</v>
      </c>
      <c r="N41" s="645">
        <v>2126.8389894653492</v>
      </c>
      <c r="O41" s="645">
        <v>2125.2455797574739</v>
      </c>
      <c r="P41" s="645">
        <v>2219.5886389289772</v>
      </c>
      <c r="Q41" s="645">
        <v>2422.2709325859691</v>
      </c>
      <c r="R41" s="645">
        <v>2657.3423850682589</v>
      </c>
      <c r="S41" s="645">
        <v>2437.6862830252744</v>
      </c>
      <c r="T41" s="645">
        <v>3141.3922871675491</v>
      </c>
      <c r="U41" s="645">
        <v>1127.1089944921303</v>
      </c>
      <c r="V41" s="645">
        <v>956.29739302974986</v>
      </c>
      <c r="W41" s="645">
        <v>862.54589617172792</v>
      </c>
      <c r="X41" s="645">
        <v>792.22997564930017</v>
      </c>
      <c r="Y41" s="645">
        <v>675.0545235696693</v>
      </c>
      <c r="Z41" s="645">
        <v>815.87060335475007</v>
      </c>
      <c r="AA41" s="645">
        <v>875.07696581470032</v>
      </c>
      <c r="AB41" s="645">
        <v>1050.4051761092001</v>
      </c>
      <c r="AC41" s="645">
        <v>1026.21690286335</v>
      </c>
      <c r="AD41" s="645">
        <v>447.63988929571002</v>
      </c>
      <c r="AE41" s="645">
        <v>419.00909433083996</v>
      </c>
      <c r="AF41" s="645">
        <v>447.2869986964501</v>
      </c>
      <c r="AG41" s="645">
        <v>428.52577546479131</v>
      </c>
      <c r="AH41" s="645">
        <v>407.38694489158109</v>
      </c>
      <c r="AI41" s="645">
        <v>556.09132206599998</v>
      </c>
      <c r="AJ41" s="645">
        <v>691.65969913699439</v>
      </c>
      <c r="AK41" s="645">
        <v>753.1816772418598</v>
      </c>
      <c r="AL41" s="645">
        <v>852.16301932980002</v>
      </c>
      <c r="AM41" s="645">
        <v>2495.6331473078826</v>
      </c>
      <c r="AN41" s="645">
        <v>2339.271465257189</v>
      </c>
      <c r="AO41" s="645">
        <v>2372.3955343990856</v>
      </c>
      <c r="AP41" s="645">
        <v>2294.3759273276401</v>
      </c>
      <c r="AQ41" s="645">
        <v>2233.6058572131296</v>
      </c>
      <c r="AR41" s="645">
        <v>2468.0683771761592</v>
      </c>
      <c r="AS41" s="645">
        <v>2628.7024085217172</v>
      </c>
      <c r="AT41" s="645">
        <v>2969.6932796868064</v>
      </c>
      <c r="AU41" s="645">
        <v>3563.314462498648</v>
      </c>
      <c r="AV41" s="645">
        <v>17766.735573799073</v>
      </c>
      <c r="AW41" s="645">
        <v>18019.139020888513</v>
      </c>
      <c r="AX41" s="645">
        <v>21325.34993878983</v>
      </c>
      <c r="AY41" s="645">
        <v>23728.090014476315</v>
      </c>
      <c r="AZ41" s="645">
        <v>26327.333880573035</v>
      </c>
      <c r="BA41" s="645">
        <v>26487.50396072974</v>
      </c>
      <c r="BB41" s="645">
        <v>26523.94629168234</v>
      </c>
      <c r="BC41" s="645">
        <v>26059.983894540786</v>
      </c>
      <c r="BD41" s="645">
        <v>27172.730002172975</v>
      </c>
      <c r="BE41" s="645">
        <v>15873.153562160374</v>
      </c>
      <c r="BF41" s="645">
        <v>19547.208334678187</v>
      </c>
      <c r="BG41" s="645">
        <v>20989.49585103388</v>
      </c>
      <c r="BH41" s="645">
        <v>26522.518149604803</v>
      </c>
      <c r="BI41" s="645">
        <v>32918.756808387072</v>
      </c>
      <c r="BJ41" s="645">
        <v>38034.818245786395</v>
      </c>
      <c r="BK41" s="645">
        <v>42427.128590118016</v>
      </c>
      <c r="BL41" s="645">
        <v>41732.192765145832</v>
      </c>
      <c r="BM41" s="645">
        <v>43260.735646839807</v>
      </c>
      <c r="BN41" s="645">
        <v>1253.4701556034145</v>
      </c>
      <c r="BO41" s="645">
        <v>1353.71943492338</v>
      </c>
      <c r="BP41" s="645">
        <v>1562.0484287500076</v>
      </c>
      <c r="BQ41" s="645">
        <v>1892.6089874188287</v>
      </c>
      <c r="BR41" s="645">
        <v>1972.3357688085171</v>
      </c>
      <c r="BS41" s="645">
        <v>2382.2227868733303</v>
      </c>
      <c r="BT41" s="645">
        <v>2584.2227446839802</v>
      </c>
      <c r="BU41" s="645">
        <v>3030.0023426032853</v>
      </c>
      <c r="BV41" s="645">
        <v>4050.1744351460698</v>
      </c>
      <c r="BW41" s="645">
        <v>4610.7515047800598</v>
      </c>
      <c r="BX41" s="645">
        <v>6247.7431469546946</v>
      </c>
      <c r="BY41" s="645">
        <v>5550.7636485886705</v>
      </c>
      <c r="BZ41" s="645">
        <v>20097.283074784631</v>
      </c>
      <c r="CA41" s="645">
        <v>25322.415814372544</v>
      </c>
      <c r="CB41" s="645">
        <v>27613.931163889854</v>
      </c>
      <c r="CC41" s="645">
        <v>32272.650429062163</v>
      </c>
      <c r="CD41" s="645">
        <v>31119.861591801211</v>
      </c>
      <c r="CE41" s="645">
        <v>29465.288167619405</v>
      </c>
      <c r="CF41" s="645">
        <v>1429.3196819860002</v>
      </c>
      <c r="CG41" s="645">
        <v>1494.097007219</v>
      </c>
      <c r="CH41" s="645">
        <v>1512.317924897</v>
      </c>
      <c r="CI41" s="645">
        <v>1442.7330655530125</v>
      </c>
      <c r="CJ41" s="645">
        <v>1476.9871081339998</v>
      </c>
      <c r="CK41" s="645">
        <v>1525.2091831699997</v>
      </c>
      <c r="CL41" s="645">
        <v>1387.730053041</v>
      </c>
      <c r="CM41" s="645">
        <v>1395.2649949509998</v>
      </c>
      <c r="CN41" s="645">
        <v>1492.3137355430003</v>
      </c>
      <c r="CO41" s="645">
        <v>3501.6201431202894</v>
      </c>
      <c r="CP41" s="645">
        <v>1736.9195955062189</v>
      </c>
      <c r="CQ41" s="645">
        <v>3371.4175747054815</v>
      </c>
      <c r="CR41" s="645">
        <v>4704.9925141077219</v>
      </c>
      <c r="CS41" s="645">
        <v>4260.1516961025281</v>
      </c>
      <c r="CT41" s="645">
        <v>4548.3227792788794</v>
      </c>
      <c r="CU41" s="645">
        <v>4273.1545292687188</v>
      </c>
      <c r="CV41" s="645">
        <v>4300.6855175090777</v>
      </c>
      <c r="CW41" s="645">
        <v>4625.6638312601317</v>
      </c>
      <c r="CX41" s="645">
        <f t="shared" si="1"/>
        <v>57940.049420145617</v>
      </c>
      <c r="CY41" s="645">
        <f t="shared" si="2"/>
        <v>62231.505759067375</v>
      </c>
      <c r="CZ41" s="645">
        <f t="shared" si="3"/>
        <v>68864.243642973161</v>
      </c>
      <c r="DA41" s="645">
        <f t="shared" si="4"/>
        <v>93566.03196375235</v>
      </c>
      <c r="DB41" s="645">
        <f t="shared" si="5"/>
        <v>108593.32178320423</v>
      </c>
      <c r="DC41" s="645">
        <f t="shared" si="6"/>
        <v>118520.91408726772</v>
      </c>
      <c r="DD41" s="645">
        <f t="shared" si="7"/>
        <v>132049.68903247657</v>
      </c>
      <c r="DE41" s="645">
        <f t="shared" si="8"/>
        <v>134961.65926038631</v>
      </c>
      <c r="DF41" s="645">
        <f t="shared" si="9"/>
        <v>140197.89039298022</v>
      </c>
      <c r="DG41" s="222"/>
      <c r="DH41" s="222"/>
      <c r="DI41" s="222"/>
      <c r="DJ41" s="222"/>
      <c r="DK41" s="222"/>
      <c r="DL41" s="222"/>
      <c r="DM41" s="222"/>
      <c r="DN41" s="222"/>
      <c r="DO41" s="222"/>
      <c r="DP41" s="222"/>
      <c r="DQ41" s="222"/>
      <c r="DR41" s="222"/>
      <c r="DS41" s="222"/>
      <c r="DT41" s="222"/>
      <c r="DU41" s="222"/>
      <c r="DV41" s="222"/>
      <c r="DW41" s="222"/>
      <c r="DX41" s="222"/>
      <c r="DY41" s="222"/>
      <c r="DZ41" s="222"/>
      <c r="EA41" s="222"/>
      <c r="EB41" s="222"/>
      <c r="EC41" s="222"/>
      <c r="ED41" s="222"/>
      <c r="EE41" s="222"/>
      <c r="EF41" s="222"/>
      <c r="EG41" s="222"/>
      <c r="EH41" s="222"/>
      <c r="EI41" s="222"/>
      <c r="EJ41" s="222"/>
      <c r="EK41" s="222"/>
      <c r="EL41" s="222"/>
      <c r="EM41" s="222"/>
      <c r="EN41" s="222"/>
      <c r="EO41" s="222"/>
      <c r="EP41" s="222"/>
      <c r="EQ41" s="222"/>
      <c r="ER41" s="222"/>
      <c r="ES41" s="222"/>
      <c r="ET41" s="222"/>
      <c r="EU41" s="222"/>
      <c r="EV41" s="222"/>
      <c r="EW41" s="222"/>
      <c r="EX41" s="222"/>
      <c r="EY41" s="222"/>
      <c r="EZ41" s="222"/>
      <c r="FA41" s="222"/>
      <c r="FB41" s="222"/>
      <c r="FC41" s="222"/>
      <c r="FD41" s="222"/>
      <c r="FE41" s="222"/>
      <c r="FF41" s="222"/>
      <c r="FG41" s="222"/>
      <c r="FH41" s="222"/>
      <c r="FI41" s="222"/>
      <c r="FJ41" s="222"/>
      <c r="FK41" s="222"/>
      <c r="FL41" s="222"/>
      <c r="FM41" s="222"/>
      <c r="FN41" s="222"/>
      <c r="FO41" s="222"/>
      <c r="FP41" s="222"/>
      <c r="FQ41" s="222"/>
      <c r="FR41" s="222"/>
      <c r="FS41" s="222"/>
      <c r="FT41" s="222"/>
      <c r="FU41" s="222"/>
      <c r="FV41" s="222"/>
      <c r="FW41" s="222"/>
      <c r="FX41" s="222"/>
      <c r="FY41" s="222"/>
      <c r="FZ41" s="222"/>
      <c r="GA41" s="222"/>
      <c r="GB41" s="222"/>
      <c r="GC41" s="222"/>
      <c r="GD41" s="222"/>
      <c r="GE41" s="222"/>
      <c r="GF41" s="222"/>
      <c r="GG41" s="222"/>
      <c r="GH41" s="222"/>
      <c r="GI41" s="222"/>
      <c r="GJ41" s="222"/>
      <c r="GK41" s="222"/>
      <c r="GL41" s="222"/>
      <c r="GM41" s="222"/>
      <c r="GN41" s="222"/>
      <c r="GO41" s="222"/>
      <c r="GP41" s="222"/>
      <c r="GQ41" s="222"/>
      <c r="GR41" s="222"/>
      <c r="GS41" s="222"/>
      <c r="GT41" s="222"/>
      <c r="GU41" s="222"/>
      <c r="GV41" s="222"/>
      <c r="GW41" s="222"/>
      <c r="GX41" s="222"/>
      <c r="GY41" s="222"/>
      <c r="GZ41" s="222"/>
      <c r="HA41" s="222"/>
      <c r="HB41" s="222"/>
      <c r="HC41" s="222"/>
      <c r="HD41" s="222"/>
      <c r="HE41" s="222"/>
      <c r="HF41" s="222"/>
      <c r="HG41" s="222"/>
      <c r="HH41" s="222"/>
      <c r="HI41" s="222"/>
      <c r="HJ41" s="222"/>
      <c r="HK41" s="222"/>
      <c r="HL41" s="222"/>
      <c r="HM41" s="222"/>
      <c r="HN41" s="222"/>
      <c r="HO41" s="222"/>
      <c r="HP41" s="222"/>
      <c r="HQ41" s="222"/>
      <c r="HR41" s="222"/>
      <c r="HS41" s="222"/>
      <c r="HT41" s="222"/>
      <c r="HU41" s="222"/>
      <c r="HV41" s="222"/>
      <c r="HW41" s="222"/>
      <c r="HX41" s="222"/>
      <c r="HY41" s="222"/>
      <c r="HZ41" s="222"/>
      <c r="IA41" s="222"/>
      <c r="IB41" s="222"/>
      <c r="IC41" s="222"/>
      <c r="ID41" s="222"/>
      <c r="IE41" s="222"/>
      <c r="IF41" s="222"/>
      <c r="IG41" s="222"/>
      <c r="IH41" s="222"/>
      <c r="II41" s="222"/>
      <c r="IJ41" s="222"/>
      <c r="IK41" s="222"/>
      <c r="IL41" s="222"/>
      <c r="IM41" s="222"/>
      <c r="IN41" s="222"/>
      <c r="IO41" s="222"/>
      <c r="IP41" s="222"/>
      <c r="IQ41" s="222"/>
      <c r="IR41" s="222"/>
      <c r="IS41" s="222"/>
      <c r="IT41" s="222"/>
      <c r="IU41" s="222"/>
      <c r="IV41" s="222"/>
      <c r="IW41" s="222"/>
      <c r="IX41" s="222"/>
      <c r="IY41" s="222"/>
      <c r="IZ41" s="222"/>
      <c r="JA41" s="222"/>
      <c r="JB41" s="222"/>
      <c r="JC41" s="222"/>
      <c r="JD41" s="222"/>
      <c r="JE41" s="222"/>
      <c r="JF41" s="222"/>
      <c r="JG41" s="222"/>
      <c r="JH41" s="222"/>
      <c r="JI41" s="222"/>
      <c r="JJ41" s="222"/>
      <c r="JK41" s="222"/>
      <c r="JL41" s="222"/>
      <c r="JM41" s="222"/>
      <c r="JN41" s="222"/>
      <c r="JO41" s="222"/>
      <c r="JP41" s="222"/>
      <c r="JQ41" s="222"/>
      <c r="JR41" s="222"/>
      <c r="JS41" s="222"/>
      <c r="JT41" s="222"/>
      <c r="JU41" s="222"/>
      <c r="JV41" s="222"/>
      <c r="JW41" s="222"/>
      <c r="JX41" s="222"/>
      <c r="JY41" s="222"/>
      <c r="JZ41" s="222"/>
      <c r="KA41" s="222"/>
      <c r="KB41" s="222"/>
      <c r="KC41" s="222"/>
      <c r="KD41" s="222"/>
      <c r="KE41" s="222"/>
      <c r="KF41" s="222"/>
      <c r="KG41" s="222"/>
      <c r="KH41" s="222"/>
      <c r="KI41" s="222"/>
      <c r="KJ41" s="222"/>
      <c r="KK41" s="222"/>
      <c r="KL41" s="222"/>
      <c r="KM41" s="222"/>
      <c r="KN41" s="222"/>
      <c r="KO41" s="222"/>
      <c r="KP41" s="222"/>
      <c r="KQ41" s="222"/>
      <c r="KR41" s="222"/>
      <c r="KS41" s="222"/>
      <c r="KT41" s="222"/>
      <c r="KU41" s="222"/>
      <c r="KV41" s="222"/>
      <c r="KW41" s="222"/>
      <c r="KX41" s="222"/>
      <c r="KY41" s="222"/>
      <c r="KZ41" s="222"/>
      <c r="LA41" s="222"/>
      <c r="LB41" s="222"/>
      <c r="LC41" s="222"/>
      <c r="LD41" s="222"/>
      <c r="LE41" s="222"/>
      <c r="LF41" s="222"/>
      <c r="LG41" s="222"/>
      <c r="LH41" s="222"/>
      <c r="LI41" s="222"/>
      <c r="LJ41" s="222"/>
      <c r="LK41" s="222"/>
      <c r="LL41" s="222"/>
      <c r="LM41" s="222"/>
      <c r="LN41" s="222"/>
      <c r="LO41" s="222"/>
      <c r="LP41" s="222"/>
      <c r="LQ41" s="222"/>
      <c r="LR41" s="222"/>
      <c r="LS41" s="222"/>
      <c r="LT41" s="222"/>
      <c r="LU41" s="222"/>
      <c r="LV41" s="222"/>
      <c r="LW41" s="222"/>
      <c r="LX41" s="222"/>
      <c r="LY41" s="222"/>
      <c r="LZ41" s="222"/>
      <c r="MA41" s="222"/>
      <c r="MB41" s="222"/>
      <c r="MC41" s="222"/>
      <c r="MD41" s="222"/>
      <c r="ME41" s="222"/>
      <c r="MF41" s="222"/>
      <c r="MG41" s="222"/>
      <c r="MH41" s="222"/>
      <c r="MI41" s="222"/>
      <c r="MJ41" s="222"/>
      <c r="MK41" s="222"/>
      <c r="ML41" s="222"/>
      <c r="MM41" s="222"/>
      <c r="MN41" s="222"/>
      <c r="MO41" s="222"/>
      <c r="MP41" s="222"/>
      <c r="MQ41" s="222"/>
      <c r="MR41" s="222"/>
      <c r="MS41" s="222"/>
      <c r="MT41" s="222"/>
      <c r="MU41" s="222"/>
      <c r="MV41" s="222"/>
      <c r="MW41" s="222"/>
      <c r="MX41" s="222"/>
      <c r="MY41" s="222"/>
      <c r="MZ41" s="222"/>
      <c r="NA41" s="222"/>
      <c r="NB41" s="222"/>
      <c r="NC41" s="222"/>
      <c r="ND41" s="222"/>
      <c r="NE41" s="222"/>
      <c r="NF41" s="222"/>
      <c r="NG41" s="222"/>
      <c r="NH41" s="222"/>
      <c r="NI41" s="222"/>
      <c r="NJ41" s="222"/>
      <c r="NK41" s="222"/>
      <c r="NL41" s="222"/>
      <c r="NM41" s="222"/>
      <c r="NN41" s="222"/>
      <c r="NO41" s="222"/>
      <c r="NP41" s="222"/>
      <c r="NQ41" s="222"/>
      <c r="NR41" s="222"/>
      <c r="NS41" s="222"/>
      <c r="NT41" s="222"/>
      <c r="NU41" s="222"/>
      <c r="NV41" s="222"/>
      <c r="NW41" s="222"/>
      <c r="NX41" s="222"/>
      <c r="NY41" s="222"/>
      <c r="NZ41" s="222"/>
      <c r="OA41" s="222"/>
      <c r="OB41" s="222"/>
      <c r="OC41" s="222"/>
      <c r="OD41" s="222"/>
      <c r="OE41" s="222"/>
      <c r="OF41" s="222"/>
      <c r="OG41" s="222"/>
      <c r="OH41" s="222"/>
      <c r="OI41" s="222"/>
      <c r="OJ41" s="222"/>
      <c r="OK41" s="222"/>
      <c r="OL41" s="222"/>
      <c r="OM41" s="222"/>
      <c r="ON41" s="222"/>
      <c r="OO41" s="222"/>
      <c r="OP41" s="222"/>
      <c r="OQ41" s="222"/>
      <c r="OR41" s="222"/>
      <c r="OS41" s="222"/>
      <c r="OT41" s="222"/>
      <c r="OU41" s="222"/>
      <c r="OV41" s="222"/>
      <c r="OW41" s="222"/>
      <c r="OX41" s="222"/>
      <c r="OY41" s="222"/>
      <c r="OZ41" s="222"/>
      <c r="PA41" s="222"/>
      <c r="PB41" s="222"/>
      <c r="PC41" s="222"/>
      <c r="PD41" s="222"/>
      <c r="PE41" s="222"/>
      <c r="PF41" s="222"/>
      <c r="PG41" s="222"/>
      <c r="PH41" s="222"/>
      <c r="PI41" s="222"/>
      <c r="PJ41" s="222"/>
      <c r="PK41" s="222"/>
      <c r="PL41" s="222"/>
      <c r="PM41" s="222"/>
      <c r="PN41" s="222"/>
      <c r="PO41" s="222"/>
      <c r="PP41" s="222"/>
      <c r="PQ41" s="222"/>
      <c r="PR41" s="222"/>
      <c r="PS41" s="222"/>
      <c r="PT41" s="222"/>
      <c r="PU41" s="222"/>
      <c r="PV41" s="222"/>
      <c r="PW41" s="222"/>
      <c r="PX41" s="222"/>
      <c r="PY41" s="222"/>
      <c r="PZ41" s="222"/>
      <c r="QA41" s="222"/>
      <c r="QB41" s="222"/>
      <c r="QC41" s="222"/>
      <c r="QD41" s="222"/>
      <c r="QE41" s="222"/>
      <c r="QF41" s="222"/>
      <c r="QG41" s="222"/>
      <c r="QH41" s="222"/>
      <c r="QI41" s="222"/>
      <c r="QJ41" s="222"/>
      <c r="QK41" s="222"/>
      <c r="QL41" s="222"/>
      <c r="QM41" s="222"/>
      <c r="QN41" s="222"/>
      <c r="QO41" s="222"/>
      <c r="QP41" s="222"/>
      <c r="QQ41" s="222"/>
      <c r="QR41" s="222"/>
      <c r="QS41" s="222"/>
      <c r="QT41" s="222"/>
      <c r="QU41" s="222"/>
      <c r="QV41" s="222"/>
      <c r="QW41" s="222"/>
      <c r="QX41" s="222"/>
      <c r="QY41" s="222"/>
      <c r="QZ41" s="222"/>
      <c r="RA41" s="222"/>
      <c r="RB41" s="222"/>
      <c r="RC41" s="222"/>
      <c r="RD41" s="222"/>
      <c r="RE41" s="222"/>
      <c r="RF41" s="222"/>
      <c r="RG41" s="222"/>
      <c r="RH41" s="222"/>
      <c r="RI41" s="222"/>
      <c r="RJ41" s="222"/>
      <c r="RK41" s="222"/>
      <c r="RL41" s="222"/>
      <c r="RM41" s="222"/>
      <c r="RN41" s="222"/>
      <c r="RO41" s="222"/>
      <c r="RP41" s="222"/>
      <c r="RQ41" s="222"/>
      <c r="RR41" s="222"/>
      <c r="RS41" s="222"/>
      <c r="RT41" s="222"/>
      <c r="RU41" s="222"/>
      <c r="RV41" s="222"/>
      <c r="RW41" s="222"/>
      <c r="RX41" s="222"/>
      <c r="RY41" s="222"/>
      <c r="RZ41" s="222"/>
      <c r="SA41" s="222"/>
      <c r="SB41" s="222"/>
      <c r="SC41" s="222"/>
      <c r="SD41" s="222"/>
      <c r="SE41" s="222"/>
      <c r="SF41" s="222"/>
      <c r="SG41" s="222"/>
      <c r="SH41" s="222"/>
      <c r="SI41" s="222"/>
      <c r="SJ41" s="222"/>
      <c r="SK41" s="222"/>
      <c r="SL41" s="222"/>
      <c r="SM41" s="222"/>
      <c r="SN41" s="222"/>
      <c r="SO41" s="222"/>
      <c r="SP41" s="222"/>
      <c r="SQ41" s="222"/>
      <c r="SR41" s="222"/>
      <c r="SS41" s="222"/>
      <c r="ST41" s="222"/>
      <c r="SU41" s="222"/>
      <c r="SV41" s="222"/>
      <c r="SW41" s="222"/>
      <c r="SX41" s="222"/>
      <c r="SY41" s="222"/>
      <c r="SZ41" s="222"/>
      <c r="TA41" s="222"/>
      <c r="TB41" s="222"/>
      <c r="TC41" s="222"/>
      <c r="TD41" s="222"/>
      <c r="TE41" s="222"/>
      <c r="TF41" s="222"/>
      <c r="TG41" s="222"/>
      <c r="TH41" s="222"/>
      <c r="TI41" s="222"/>
      <c r="TJ41" s="222"/>
      <c r="TK41" s="222"/>
      <c r="TL41" s="222"/>
      <c r="TM41" s="222"/>
      <c r="TN41" s="222"/>
      <c r="TO41" s="222"/>
      <c r="TP41" s="222"/>
      <c r="TQ41" s="222"/>
      <c r="TR41" s="222"/>
      <c r="TS41" s="222"/>
      <c r="TT41" s="222"/>
      <c r="TU41" s="222"/>
      <c r="TV41" s="222"/>
      <c r="TW41" s="222"/>
      <c r="TX41" s="222"/>
      <c r="TY41" s="222"/>
      <c r="TZ41" s="222"/>
      <c r="UA41" s="222"/>
      <c r="UB41" s="222"/>
      <c r="UC41" s="222"/>
      <c r="UD41" s="222"/>
      <c r="UE41" s="222"/>
      <c r="UF41" s="222"/>
      <c r="UG41" s="222"/>
      <c r="UH41" s="222"/>
      <c r="UI41" s="222"/>
      <c r="UJ41" s="222"/>
      <c r="UK41" s="222"/>
      <c r="UL41" s="222"/>
      <c r="UM41" s="222"/>
      <c r="UN41" s="222"/>
      <c r="UO41" s="222"/>
      <c r="UP41" s="222"/>
      <c r="UQ41" s="222"/>
      <c r="UR41" s="222"/>
      <c r="US41" s="222"/>
      <c r="UT41" s="222"/>
      <c r="UU41" s="222"/>
      <c r="UV41" s="222"/>
      <c r="UW41" s="222"/>
      <c r="UX41" s="222"/>
      <c r="UY41" s="222"/>
      <c r="UZ41" s="222"/>
      <c r="VA41" s="222"/>
      <c r="VB41" s="222"/>
      <c r="VC41" s="222"/>
      <c r="VD41" s="222"/>
      <c r="VE41" s="222"/>
      <c r="VF41" s="222"/>
      <c r="VG41" s="222"/>
      <c r="VH41" s="222"/>
      <c r="VI41" s="222"/>
      <c r="VJ41" s="222"/>
      <c r="VK41" s="222"/>
      <c r="VL41" s="222"/>
      <c r="VM41" s="222"/>
      <c r="VN41" s="222"/>
      <c r="VO41" s="222"/>
      <c r="VP41" s="222"/>
      <c r="VQ41" s="222"/>
      <c r="VR41" s="222"/>
      <c r="VS41" s="222"/>
      <c r="VT41" s="222"/>
      <c r="VU41" s="222"/>
      <c r="VV41" s="222"/>
      <c r="VW41" s="222"/>
      <c r="VX41" s="222"/>
      <c r="VY41" s="222"/>
      <c r="VZ41" s="222"/>
      <c r="WA41" s="222"/>
      <c r="WB41" s="222"/>
      <c r="WC41" s="222"/>
      <c r="WD41" s="222"/>
      <c r="WE41" s="222"/>
      <c r="WF41" s="222"/>
      <c r="WG41" s="222"/>
      <c r="WH41" s="222"/>
      <c r="WI41" s="222"/>
      <c r="WJ41" s="222"/>
      <c r="WK41" s="222"/>
      <c r="WL41" s="222"/>
      <c r="WM41" s="222"/>
      <c r="WN41" s="222"/>
      <c r="WO41" s="222"/>
      <c r="WP41" s="222"/>
      <c r="WQ41" s="222"/>
      <c r="WR41" s="222"/>
      <c r="WS41" s="222"/>
      <c r="WT41" s="222"/>
      <c r="WU41" s="222"/>
      <c r="WV41" s="222"/>
      <c r="WW41" s="222"/>
      <c r="WX41" s="222"/>
      <c r="WY41" s="222"/>
      <c r="WZ41" s="222"/>
      <c r="XA41" s="222"/>
      <c r="XB41" s="222"/>
      <c r="XC41" s="222"/>
      <c r="XD41" s="222"/>
      <c r="XE41" s="222"/>
      <c r="XF41" s="222"/>
      <c r="XG41" s="222"/>
      <c r="XH41" s="222"/>
      <c r="XI41" s="222"/>
      <c r="XJ41" s="222"/>
      <c r="XK41" s="222"/>
      <c r="XL41" s="222"/>
      <c r="XM41" s="222"/>
      <c r="XN41" s="222"/>
      <c r="XO41" s="222"/>
      <c r="XP41" s="222"/>
      <c r="XQ41" s="222"/>
      <c r="XR41" s="222"/>
      <c r="XS41" s="222"/>
      <c r="XT41" s="222"/>
      <c r="XU41" s="222"/>
      <c r="XV41" s="222"/>
      <c r="XW41" s="222"/>
      <c r="XX41" s="222"/>
      <c r="XY41" s="222"/>
      <c r="XZ41" s="222"/>
      <c r="YA41" s="222"/>
      <c r="YB41" s="222"/>
      <c r="YC41" s="222"/>
      <c r="YD41" s="222"/>
      <c r="YE41" s="222"/>
      <c r="YF41" s="222"/>
      <c r="YG41" s="222"/>
      <c r="YH41" s="222"/>
      <c r="YI41" s="222"/>
      <c r="YJ41" s="222"/>
      <c r="YK41" s="222"/>
      <c r="YL41" s="222"/>
      <c r="YM41" s="222"/>
      <c r="YN41" s="222"/>
      <c r="YO41" s="222"/>
      <c r="YP41" s="222"/>
      <c r="YQ41" s="222"/>
      <c r="YR41" s="222"/>
      <c r="YS41" s="222"/>
      <c r="YT41" s="222"/>
      <c r="YU41" s="222"/>
      <c r="YV41" s="222"/>
      <c r="YW41" s="222"/>
      <c r="YX41" s="222"/>
      <c r="YY41" s="222"/>
      <c r="YZ41" s="222"/>
      <c r="ZA41" s="222"/>
      <c r="ZB41" s="222"/>
      <c r="ZC41" s="222"/>
      <c r="ZD41" s="222"/>
      <c r="ZE41" s="222"/>
      <c r="ZF41" s="222"/>
      <c r="ZG41" s="222"/>
      <c r="ZH41" s="222"/>
      <c r="ZI41" s="222"/>
      <c r="ZJ41" s="222"/>
      <c r="ZK41" s="222"/>
      <c r="ZL41" s="222"/>
      <c r="ZM41" s="222"/>
      <c r="ZN41" s="222"/>
      <c r="ZO41" s="222"/>
      <c r="ZP41" s="222"/>
      <c r="ZQ41" s="222"/>
      <c r="ZR41" s="222"/>
      <c r="ZS41" s="222"/>
      <c r="ZT41" s="222"/>
      <c r="ZU41" s="222"/>
      <c r="ZV41" s="222"/>
      <c r="ZW41" s="222"/>
      <c r="ZX41" s="222"/>
      <c r="ZY41" s="222"/>
      <c r="ZZ41" s="222"/>
      <c r="AAA41" s="222"/>
      <c r="AAB41" s="222"/>
      <c r="AAC41" s="222"/>
      <c r="AAD41" s="222"/>
      <c r="AAE41" s="222"/>
      <c r="AAF41" s="222"/>
      <c r="AAG41" s="222"/>
      <c r="AAH41" s="222"/>
      <c r="AAI41" s="222"/>
      <c r="AAJ41" s="222"/>
      <c r="AAK41" s="222"/>
      <c r="AAL41" s="222"/>
      <c r="AAM41" s="222"/>
      <c r="AAN41" s="222"/>
      <c r="AAO41" s="222"/>
      <c r="AAP41" s="222"/>
      <c r="AAQ41" s="222"/>
      <c r="AAR41" s="222"/>
      <c r="AAS41" s="222"/>
      <c r="AAT41" s="222"/>
      <c r="AAU41" s="222"/>
      <c r="AAV41" s="222"/>
      <c r="AAW41" s="222"/>
      <c r="AAX41" s="222"/>
      <c r="AAY41" s="222"/>
      <c r="AAZ41" s="222"/>
      <c r="ABA41" s="222"/>
      <c r="ABB41" s="222"/>
      <c r="ABC41" s="222"/>
      <c r="ABD41" s="222"/>
      <c r="ABE41" s="222"/>
      <c r="ABF41" s="222"/>
      <c r="ABG41" s="222"/>
      <c r="ABH41" s="222"/>
      <c r="ABI41" s="222"/>
      <c r="ABJ41" s="222"/>
      <c r="ABK41" s="222"/>
      <c r="ABL41" s="222"/>
      <c r="ABM41" s="222"/>
      <c r="ABN41" s="222"/>
      <c r="ABO41" s="222"/>
      <c r="ABP41" s="222"/>
      <c r="ABQ41" s="222"/>
      <c r="ABR41" s="222"/>
      <c r="ABS41" s="222"/>
      <c r="ABT41" s="222"/>
      <c r="ABU41" s="222"/>
      <c r="ABV41" s="222"/>
      <c r="ABW41" s="222"/>
      <c r="ABX41" s="222"/>
      <c r="ABY41" s="222"/>
      <c r="ABZ41" s="222"/>
      <c r="ACA41" s="222"/>
      <c r="ACB41" s="222"/>
      <c r="ACC41" s="222"/>
      <c r="ACD41" s="222"/>
      <c r="ACE41" s="222"/>
      <c r="ACF41" s="222"/>
      <c r="ACG41" s="222"/>
      <c r="ACH41" s="222"/>
      <c r="ACI41" s="222"/>
      <c r="ACJ41" s="222"/>
      <c r="ACK41" s="222"/>
      <c r="ACL41" s="222"/>
      <c r="ACM41" s="222"/>
      <c r="ACN41" s="222"/>
      <c r="ACO41" s="222"/>
      <c r="ACP41" s="222"/>
      <c r="ACQ41" s="222"/>
      <c r="ACR41" s="222"/>
      <c r="ACS41" s="222"/>
      <c r="ACT41" s="222"/>
      <c r="ACU41" s="222"/>
      <c r="ACV41" s="222"/>
      <c r="ACW41" s="222"/>
      <c r="ACX41" s="222"/>
      <c r="ACY41" s="222"/>
      <c r="ACZ41" s="222"/>
      <c r="ADA41" s="222"/>
      <c r="ADB41" s="222"/>
      <c r="ADC41" s="222"/>
      <c r="ADD41" s="222"/>
      <c r="ADE41" s="222"/>
      <c r="ADF41" s="222"/>
      <c r="ADG41" s="222"/>
      <c r="ADH41" s="222"/>
      <c r="ADI41" s="222"/>
      <c r="ADJ41" s="222"/>
      <c r="ADK41" s="222"/>
      <c r="ADL41" s="222"/>
      <c r="ADM41" s="222"/>
      <c r="ADN41" s="222"/>
      <c r="ADO41" s="222"/>
      <c r="ADP41" s="222"/>
      <c r="ADQ41" s="222"/>
      <c r="ADR41" s="222"/>
      <c r="ADS41" s="222"/>
      <c r="ADT41" s="222"/>
      <c r="ADU41" s="222"/>
      <c r="ADV41" s="222"/>
      <c r="ADW41" s="222"/>
      <c r="ADX41" s="222"/>
      <c r="ADY41" s="222"/>
      <c r="ADZ41" s="222"/>
      <c r="AEA41" s="222"/>
      <c r="AEB41" s="222"/>
      <c r="AEC41" s="222"/>
      <c r="AED41" s="222"/>
      <c r="AEE41" s="222"/>
      <c r="AEF41" s="222"/>
      <c r="AEG41" s="222"/>
      <c r="AEH41" s="222"/>
      <c r="AEI41" s="222"/>
      <c r="AEJ41" s="222"/>
      <c r="AEK41" s="222"/>
      <c r="AEL41" s="222"/>
      <c r="AEM41" s="222"/>
      <c r="AEN41" s="222"/>
      <c r="AEO41" s="222"/>
      <c r="AEP41" s="222"/>
      <c r="AEQ41" s="222"/>
      <c r="AER41" s="222"/>
      <c r="AES41" s="222"/>
      <c r="AET41" s="222"/>
      <c r="AEU41" s="222"/>
      <c r="AEV41" s="222"/>
      <c r="AEW41" s="222"/>
      <c r="AEX41" s="222"/>
      <c r="AEY41" s="222"/>
      <c r="AEZ41" s="222"/>
      <c r="AFA41" s="222"/>
      <c r="AFB41" s="222"/>
      <c r="AFC41" s="222"/>
      <c r="AFD41" s="222"/>
      <c r="AFE41" s="222"/>
      <c r="AFF41" s="222"/>
      <c r="AFG41" s="222"/>
      <c r="AFH41" s="222"/>
      <c r="AFI41" s="222"/>
      <c r="AFJ41" s="222"/>
      <c r="AFK41" s="222"/>
      <c r="AFL41" s="222"/>
      <c r="AFM41" s="222"/>
      <c r="AFN41" s="222"/>
      <c r="AFO41" s="222"/>
      <c r="AFP41" s="222"/>
      <c r="AFQ41" s="222"/>
      <c r="AFR41" s="222"/>
      <c r="AFS41" s="222"/>
      <c r="AFT41" s="222"/>
      <c r="AFU41" s="222"/>
      <c r="AFV41" s="222"/>
      <c r="AFW41" s="222"/>
      <c r="AFX41" s="222"/>
      <c r="AFY41" s="222"/>
      <c r="AFZ41" s="222"/>
      <c r="AGA41" s="222"/>
      <c r="AGB41" s="222"/>
      <c r="AGC41" s="222"/>
      <c r="AGD41" s="222"/>
      <c r="AGE41" s="222"/>
      <c r="AGF41" s="222"/>
      <c r="AGG41" s="222"/>
      <c r="AGH41" s="222"/>
      <c r="AGI41" s="222"/>
      <c r="AGJ41" s="222"/>
      <c r="AGK41" s="222"/>
      <c r="AGL41" s="222"/>
      <c r="AGM41" s="222"/>
      <c r="AGN41" s="222"/>
      <c r="AGO41" s="222"/>
      <c r="AGP41" s="222"/>
      <c r="AGQ41" s="222"/>
      <c r="AGR41" s="222"/>
      <c r="AGS41" s="222"/>
      <c r="AGT41" s="222"/>
      <c r="AGU41" s="222"/>
      <c r="AGV41" s="222"/>
      <c r="AGW41" s="222"/>
      <c r="AGX41" s="222"/>
      <c r="AGY41" s="222"/>
      <c r="AGZ41" s="222"/>
      <c r="AHA41" s="222"/>
      <c r="AHB41" s="222"/>
      <c r="AHC41" s="222"/>
      <c r="AHD41" s="222"/>
      <c r="AHE41" s="222"/>
      <c r="AHF41" s="222"/>
      <c r="AHG41" s="222"/>
      <c r="AHH41" s="222"/>
      <c r="AHI41" s="222"/>
      <c r="AHJ41" s="222"/>
      <c r="AHK41" s="222"/>
      <c r="AHL41" s="222"/>
      <c r="AHM41" s="222"/>
      <c r="AHN41" s="222"/>
      <c r="AHO41" s="222"/>
      <c r="AHP41" s="222"/>
      <c r="AHQ41" s="222"/>
      <c r="AHR41" s="222"/>
      <c r="AHS41" s="222"/>
      <c r="AHT41" s="222"/>
      <c r="AHU41" s="222"/>
      <c r="AHV41" s="222"/>
      <c r="AHW41" s="222"/>
      <c r="AHX41" s="222"/>
      <c r="AHY41" s="222"/>
      <c r="AHZ41" s="222"/>
      <c r="AIA41" s="222"/>
      <c r="AIB41" s="222"/>
      <c r="AIC41" s="222"/>
      <c r="AID41" s="222"/>
      <c r="AIE41" s="222"/>
      <c r="AIF41" s="222"/>
      <c r="AIG41" s="222"/>
      <c r="AIH41" s="222"/>
      <c r="AII41" s="222"/>
      <c r="AIJ41" s="222"/>
      <c r="AIK41" s="222"/>
      <c r="AIL41" s="222"/>
      <c r="AIM41" s="222"/>
      <c r="AIN41" s="222"/>
      <c r="AIO41" s="222"/>
      <c r="AIP41" s="222"/>
      <c r="AIQ41" s="222"/>
      <c r="AIR41" s="222"/>
      <c r="AIS41" s="222"/>
      <c r="AIT41" s="222"/>
      <c r="AIU41" s="222"/>
      <c r="AIV41" s="222"/>
      <c r="AIW41" s="222"/>
      <c r="AIX41" s="222"/>
      <c r="AIY41" s="222"/>
      <c r="AIZ41" s="222"/>
      <c r="AJA41" s="222"/>
      <c r="AJB41" s="222"/>
      <c r="AJC41" s="222"/>
      <c r="AJD41" s="222"/>
      <c r="AJE41" s="222"/>
      <c r="AJF41" s="222"/>
      <c r="AJG41" s="222"/>
      <c r="AJH41" s="222"/>
      <c r="AJI41" s="222"/>
      <c r="AJJ41" s="222"/>
      <c r="AJK41" s="222"/>
      <c r="AJL41" s="222"/>
      <c r="AJM41" s="222"/>
      <c r="AJN41" s="222"/>
      <c r="AJO41" s="222"/>
      <c r="AJP41" s="222"/>
      <c r="AJQ41" s="222"/>
      <c r="AJR41" s="222"/>
      <c r="AJS41" s="222"/>
      <c r="AJT41" s="222"/>
      <c r="AJU41" s="222"/>
      <c r="AJV41" s="222"/>
      <c r="AJW41" s="222"/>
      <c r="AJX41" s="222"/>
      <c r="AJY41" s="222"/>
      <c r="AJZ41" s="222"/>
      <c r="AKA41" s="222"/>
      <c r="AKB41" s="222"/>
      <c r="AKC41" s="222"/>
      <c r="AKD41" s="222"/>
      <c r="AKE41" s="222"/>
      <c r="AKF41" s="222"/>
      <c r="AKG41" s="222"/>
      <c r="AKH41" s="222"/>
      <c r="AKI41" s="222"/>
      <c r="AKJ41" s="222"/>
      <c r="AKK41" s="222"/>
      <c r="AKL41" s="222"/>
      <c r="AKM41" s="222"/>
      <c r="AKN41" s="222"/>
      <c r="AKO41" s="222"/>
      <c r="AKP41" s="222"/>
      <c r="AKQ41" s="222"/>
      <c r="AKR41" s="222"/>
      <c r="AKS41" s="222"/>
      <c r="AKT41" s="222"/>
      <c r="AKU41" s="222"/>
      <c r="AKV41" s="222"/>
      <c r="AKW41" s="222"/>
      <c r="AKX41" s="222"/>
      <c r="AKY41" s="222"/>
      <c r="AKZ41" s="222"/>
      <c r="ALA41" s="222"/>
      <c r="ALB41" s="222"/>
      <c r="ALC41" s="222"/>
      <c r="ALD41" s="222"/>
      <c r="ALE41" s="222"/>
      <c r="ALF41" s="222"/>
      <c r="ALG41" s="222"/>
      <c r="ALH41" s="222"/>
      <c r="ALI41" s="222"/>
      <c r="ALJ41" s="222"/>
      <c r="ALK41" s="222"/>
      <c r="ALL41" s="222"/>
      <c r="ALM41" s="222"/>
      <c r="ALN41" s="222"/>
      <c r="ALO41" s="222"/>
      <c r="ALP41" s="222"/>
      <c r="ALQ41" s="222"/>
      <c r="ALR41" s="222"/>
      <c r="ALS41" s="222"/>
      <c r="ALT41" s="222"/>
      <c r="ALU41" s="222"/>
      <c r="ALV41" s="222"/>
      <c r="ALW41" s="222"/>
      <c r="ALX41" s="222"/>
      <c r="ALY41" s="222"/>
      <c r="ALZ41" s="222"/>
      <c r="AMA41" s="222"/>
      <c r="AMB41" s="222"/>
      <c r="AMC41" s="222"/>
      <c r="AMD41" s="222"/>
      <c r="AME41" s="222"/>
      <c r="AMF41" s="222"/>
      <c r="AMG41" s="222"/>
      <c r="AMH41" s="222"/>
      <c r="AMI41" s="222"/>
      <c r="AMJ41" s="222"/>
      <c r="AMK41" s="222"/>
      <c r="AML41" s="222"/>
      <c r="AMM41" s="222"/>
      <c r="AMN41" s="222"/>
      <c r="AMO41" s="222"/>
      <c r="AMP41" s="222"/>
      <c r="AMQ41" s="222"/>
      <c r="AMR41" s="222"/>
      <c r="AMS41" s="222"/>
      <c r="AMT41" s="222"/>
      <c r="AMU41" s="222"/>
      <c r="AMV41" s="222"/>
      <c r="AMW41" s="222"/>
      <c r="AMX41" s="222"/>
      <c r="AMY41" s="222"/>
      <c r="AMZ41" s="222"/>
      <c r="ANA41" s="222"/>
      <c r="ANB41" s="222"/>
      <c r="ANC41" s="222"/>
      <c r="AND41" s="222"/>
      <c r="ANE41" s="222"/>
      <c r="ANF41" s="222"/>
      <c r="ANG41" s="222"/>
      <c r="ANH41" s="222"/>
      <c r="ANI41" s="222"/>
      <c r="ANJ41" s="222"/>
      <c r="ANK41" s="222"/>
      <c r="ANL41" s="222"/>
      <c r="ANM41" s="222"/>
      <c r="ANN41" s="222"/>
      <c r="ANO41" s="222"/>
      <c r="ANP41" s="222"/>
      <c r="ANQ41" s="222"/>
      <c r="ANR41" s="222"/>
      <c r="ANS41" s="222"/>
      <c r="ANT41" s="222"/>
      <c r="ANU41" s="222"/>
      <c r="ANV41" s="222"/>
      <c r="ANW41" s="222"/>
      <c r="ANX41" s="222"/>
      <c r="ANY41" s="222"/>
      <c r="ANZ41" s="222"/>
      <c r="AOA41" s="222"/>
      <c r="AOB41" s="222"/>
      <c r="AOC41" s="222"/>
      <c r="AOD41" s="222"/>
      <c r="AOE41" s="222"/>
      <c r="AOF41" s="222"/>
      <c r="AOG41" s="222"/>
      <c r="AOH41" s="222"/>
      <c r="AOI41" s="222"/>
      <c r="AOJ41" s="222"/>
      <c r="AOK41" s="222"/>
      <c r="AOL41" s="222"/>
      <c r="AOM41" s="222"/>
      <c r="AON41" s="222"/>
      <c r="AOO41" s="222"/>
      <c r="AOP41" s="222"/>
      <c r="AOQ41" s="222"/>
      <c r="AOR41" s="222"/>
      <c r="AOS41" s="222"/>
      <c r="AOT41" s="222"/>
      <c r="AOU41" s="222"/>
      <c r="AOV41" s="222"/>
      <c r="AOW41" s="222"/>
      <c r="AOX41" s="222"/>
      <c r="AOY41" s="222"/>
      <c r="AOZ41" s="222"/>
      <c r="APA41" s="222"/>
      <c r="APB41" s="222"/>
      <c r="APC41" s="222"/>
      <c r="APD41" s="222"/>
      <c r="APE41" s="222"/>
      <c r="APF41" s="222"/>
      <c r="APG41" s="222"/>
      <c r="APH41" s="222"/>
      <c r="API41" s="222"/>
      <c r="APJ41" s="222"/>
      <c r="APK41" s="222"/>
      <c r="APL41" s="222"/>
      <c r="APM41" s="222"/>
      <c r="APN41" s="222"/>
      <c r="APO41" s="222"/>
      <c r="APP41" s="222"/>
      <c r="APQ41" s="222"/>
      <c r="APR41" s="222"/>
      <c r="APS41" s="222"/>
      <c r="APT41" s="222"/>
      <c r="APU41" s="222"/>
      <c r="APV41" s="222"/>
      <c r="APW41" s="222"/>
      <c r="APX41" s="222"/>
      <c r="APY41" s="222"/>
      <c r="APZ41" s="222"/>
      <c r="AQA41" s="222"/>
      <c r="AQB41" s="222"/>
      <c r="AQC41" s="222"/>
      <c r="AQD41" s="222"/>
      <c r="AQE41" s="222"/>
      <c r="AQF41" s="222"/>
      <c r="AQG41" s="222"/>
      <c r="AQH41" s="222"/>
      <c r="AQI41" s="222"/>
      <c r="AQJ41" s="222"/>
      <c r="AQK41" s="222"/>
      <c r="AQL41" s="222"/>
      <c r="AQM41" s="222"/>
      <c r="AQN41" s="222"/>
      <c r="AQO41" s="222"/>
      <c r="AQP41" s="222"/>
      <c r="AQQ41" s="222"/>
      <c r="AQR41" s="222"/>
      <c r="AQS41" s="222"/>
      <c r="AQT41" s="222"/>
      <c r="AQU41" s="222"/>
      <c r="AQV41" s="222"/>
      <c r="AQW41" s="222"/>
      <c r="AQX41" s="222"/>
      <c r="AQY41" s="222"/>
      <c r="AQZ41" s="222"/>
      <c r="ARA41" s="222"/>
      <c r="ARB41" s="222"/>
      <c r="ARC41" s="222"/>
      <c r="ARD41" s="222"/>
      <c r="ARE41" s="222"/>
      <c r="ARF41" s="222"/>
      <c r="ARG41" s="222"/>
      <c r="ARH41" s="222"/>
      <c r="ARI41" s="222"/>
      <c r="ARJ41" s="222"/>
      <c r="ARK41" s="222"/>
      <c r="ARL41" s="222"/>
      <c r="ARM41" s="222"/>
      <c r="ARN41" s="222"/>
      <c r="ARO41" s="222"/>
      <c r="ARP41" s="222"/>
      <c r="ARQ41" s="222"/>
      <c r="ARR41" s="222"/>
      <c r="ARS41" s="222"/>
      <c r="ART41" s="222"/>
      <c r="ARU41" s="222"/>
      <c r="ARV41" s="222"/>
      <c r="ARW41" s="222"/>
      <c r="ARX41" s="222"/>
      <c r="ARY41" s="222"/>
      <c r="ARZ41" s="222"/>
      <c r="ASA41" s="222"/>
      <c r="ASB41" s="222"/>
      <c r="ASC41" s="222"/>
      <c r="ASD41" s="222"/>
      <c r="ASE41" s="222"/>
      <c r="ASF41" s="222"/>
      <c r="ASG41" s="222"/>
      <c r="ASH41" s="222"/>
      <c r="ASI41" s="222"/>
      <c r="ASJ41" s="222"/>
      <c r="ASK41" s="222"/>
      <c r="ASL41" s="222"/>
      <c r="ASM41" s="222"/>
      <c r="ASN41" s="222"/>
      <c r="ASO41" s="222"/>
      <c r="ASP41" s="222"/>
      <c r="ASQ41" s="222"/>
      <c r="ASR41" s="222"/>
      <c r="ASS41" s="222"/>
      <c r="AST41" s="222"/>
      <c r="ASU41" s="222"/>
      <c r="ASV41" s="222"/>
      <c r="ASW41" s="222"/>
      <c r="ASX41" s="222"/>
      <c r="ASY41" s="222"/>
      <c r="ASZ41" s="222"/>
      <c r="ATA41" s="222"/>
      <c r="ATB41" s="222"/>
      <c r="ATC41" s="222"/>
      <c r="ATD41" s="222"/>
      <c r="ATE41" s="222"/>
      <c r="ATF41" s="222"/>
      <c r="ATG41" s="222"/>
      <c r="ATH41" s="222"/>
      <c r="ATI41" s="222"/>
      <c r="ATJ41" s="222"/>
      <c r="ATK41" s="222"/>
      <c r="ATL41" s="222"/>
      <c r="ATM41" s="222"/>
      <c r="ATN41" s="222"/>
      <c r="ATO41" s="222"/>
      <c r="ATP41" s="222"/>
      <c r="ATQ41" s="222"/>
      <c r="ATR41" s="222"/>
      <c r="ATS41" s="222"/>
      <c r="ATT41" s="222"/>
      <c r="ATU41" s="222"/>
      <c r="ATV41" s="222"/>
      <c r="ATW41" s="222"/>
      <c r="ATX41" s="222"/>
      <c r="ATY41" s="222"/>
      <c r="ATZ41" s="222"/>
      <c r="AUA41" s="222"/>
      <c r="AUB41" s="222"/>
      <c r="AUC41" s="222"/>
      <c r="AUD41" s="222"/>
      <c r="AUE41" s="222"/>
      <c r="AUF41" s="222"/>
      <c r="AUG41" s="222"/>
      <c r="AUH41" s="222"/>
      <c r="AUI41" s="222"/>
      <c r="AUJ41" s="222"/>
      <c r="AUK41" s="222"/>
      <c r="AUL41" s="222"/>
      <c r="AUM41" s="222"/>
      <c r="AUN41" s="222"/>
      <c r="AUO41" s="222"/>
      <c r="AUP41" s="222"/>
      <c r="AUQ41" s="222"/>
      <c r="AUR41" s="222"/>
      <c r="AUS41" s="222"/>
      <c r="AUT41" s="222"/>
      <c r="AUU41" s="222"/>
      <c r="AUV41" s="222"/>
      <c r="AUW41" s="222"/>
      <c r="AUX41" s="222"/>
      <c r="AUY41" s="222"/>
      <c r="AUZ41" s="222"/>
      <c r="AVA41" s="222"/>
      <c r="AVB41" s="222"/>
      <c r="AVC41" s="222"/>
      <c r="AVD41" s="222"/>
      <c r="AVE41" s="222"/>
      <c r="AVF41" s="222"/>
      <c r="AVG41" s="222"/>
      <c r="AVH41" s="222"/>
      <c r="AVI41" s="222"/>
      <c r="AVJ41" s="222"/>
      <c r="AVK41" s="222"/>
      <c r="AVL41" s="222"/>
      <c r="AVM41" s="222"/>
      <c r="AVN41" s="222"/>
      <c r="AVO41" s="222"/>
      <c r="AVP41" s="222"/>
      <c r="AVQ41" s="222"/>
      <c r="AVR41" s="222"/>
      <c r="AVS41" s="222"/>
      <c r="AVT41" s="222"/>
      <c r="AVU41" s="222"/>
      <c r="AVV41" s="222"/>
      <c r="AVW41" s="222"/>
      <c r="AVX41" s="222"/>
      <c r="AVY41" s="222"/>
      <c r="AVZ41" s="222"/>
      <c r="AWA41" s="222"/>
      <c r="AWB41" s="222"/>
      <c r="AWC41" s="222"/>
      <c r="AWD41" s="222"/>
      <c r="AWE41" s="222"/>
      <c r="AWF41" s="222"/>
      <c r="AWG41" s="222"/>
      <c r="AWH41" s="222"/>
      <c r="AWI41" s="222"/>
      <c r="AWJ41" s="222"/>
      <c r="AWK41" s="222"/>
      <c r="AWL41" s="222"/>
      <c r="AWM41" s="222"/>
      <c r="AWN41" s="222"/>
      <c r="AWO41" s="222"/>
      <c r="AWP41" s="222"/>
      <c r="AWQ41" s="222"/>
      <c r="AWR41" s="222"/>
      <c r="AWS41" s="222"/>
      <c r="AWT41" s="222"/>
      <c r="AWU41" s="222"/>
      <c r="AWV41" s="222"/>
      <c r="AWW41" s="222"/>
      <c r="AWX41" s="222"/>
      <c r="AWY41" s="222"/>
      <c r="AWZ41" s="222"/>
      <c r="AXA41" s="222"/>
      <c r="AXB41" s="222"/>
      <c r="AXC41" s="222"/>
      <c r="AXD41" s="222"/>
      <c r="AXE41" s="222"/>
      <c r="AXF41" s="222"/>
      <c r="AXG41" s="222"/>
      <c r="AXH41" s="222"/>
      <c r="AXI41" s="222"/>
      <c r="AXJ41" s="222"/>
      <c r="AXK41" s="222"/>
      <c r="AXL41" s="222"/>
      <c r="AXM41" s="222"/>
      <c r="AXN41" s="222"/>
      <c r="AXO41" s="222"/>
      <c r="AXP41" s="222"/>
      <c r="AXQ41" s="222"/>
      <c r="AXR41" s="222"/>
      <c r="AXS41" s="222"/>
      <c r="AXT41" s="222"/>
      <c r="AXU41" s="222"/>
      <c r="AXV41" s="222"/>
      <c r="AXW41" s="222"/>
      <c r="AXX41" s="222"/>
      <c r="AXY41" s="222"/>
      <c r="AXZ41" s="222"/>
      <c r="AYA41" s="222"/>
      <c r="AYB41" s="222"/>
      <c r="AYC41" s="222"/>
      <c r="AYD41" s="222"/>
      <c r="AYE41" s="222"/>
      <c r="AYF41" s="222"/>
      <c r="AYG41" s="222"/>
      <c r="AYH41" s="222"/>
      <c r="AYI41" s="222"/>
      <c r="AYJ41" s="222"/>
      <c r="AYK41" s="222"/>
      <c r="AYL41" s="222"/>
      <c r="AYM41" s="222"/>
      <c r="AYN41" s="222"/>
      <c r="AYO41" s="222"/>
      <c r="AYP41" s="222"/>
      <c r="AYQ41" s="222"/>
      <c r="AYR41" s="222"/>
      <c r="AYS41" s="222"/>
      <c r="AYT41" s="222"/>
      <c r="AYU41" s="222"/>
      <c r="AYV41" s="222"/>
      <c r="AYW41" s="222"/>
      <c r="AYX41" s="222"/>
      <c r="AYY41" s="222"/>
      <c r="AYZ41" s="222"/>
      <c r="AZA41" s="222"/>
      <c r="AZB41" s="222"/>
      <c r="AZC41" s="222"/>
      <c r="AZD41" s="222"/>
      <c r="AZE41" s="222"/>
      <c r="AZF41" s="222"/>
      <c r="AZG41" s="222"/>
      <c r="AZH41" s="222"/>
      <c r="AZI41" s="222"/>
      <c r="AZJ41" s="222"/>
      <c r="AZK41" s="222"/>
      <c r="AZL41" s="222"/>
      <c r="AZM41" s="222"/>
      <c r="AZN41" s="222"/>
      <c r="AZO41" s="222"/>
      <c r="AZP41" s="222"/>
      <c r="AZQ41" s="222"/>
      <c r="AZR41" s="222"/>
      <c r="AZS41" s="222"/>
      <c r="AZT41" s="222"/>
      <c r="AZU41" s="222"/>
      <c r="AZV41" s="222"/>
      <c r="AZW41" s="222"/>
      <c r="AZX41" s="222"/>
      <c r="AZY41" s="222"/>
      <c r="AZZ41" s="222"/>
      <c r="BAA41" s="222"/>
      <c r="BAB41" s="222"/>
      <c r="BAC41" s="222"/>
      <c r="BAD41" s="222"/>
      <c r="BAE41" s="222"/>
      <c r="BAF41" s="222"/>
      <c r="BAG41" s="222"/>
      <c r="BAH41" s="222"/>
      <c r="BAI41" s="222"/>
      <c r="BAJ41" s="222"/>
      <c r="BAK41" s="222"/>
      <c r="BAL41" s="222"/>
      <c r="BAM41" s="222"/>
      <c r="BAN41" s="222"/>
      <c r="BAO41" s="222"/>
      <c r="BAP41" s="222"/>
      <c r="BAQ41" s="222"/>
      <c r="BAR41" s="222"/>
      <c r="BAS41" s="222"/>
      <c r="BAT41" s="222"/>
      <c r="BAU41" s="222"/>
      <c r="BAV41" s="222"/>
      <c r="BAW41" s="222"/>
      <c r="BAX41" s="222"/>
      <c r="BAY41" s="222"/>
      <c r="BAZ41" s="222"/>
      <c r="BBA41" s="222"/>
      <c r="BBB41" s="222"/>
      <c r="BBC41" s="222"/>
      <c r="BBD41" s="222"/>
      <c r="BBE41" s="222"/>
      <c r="BBF41" s="222"/>
      <c r="BBG41" s="222"/>
      <c r="BBH41" s="222"/>
      <c r="BBI41" s="222"/>
      <c r="BBJ41" s="222"/>
      <c r="BBK41" s="222"/>
      <c r="BBL41" s="222"/>
      <c r="BBM41" s="222"/>
      <c r="BBN41" s="222"/>
      <c r="BBO41" s="222"/>
      <c r="BBP41" s="222"/>
      <c r="BBQ41" s="222"/>
      <c r="BBR41" s="222"/>
      <c r="BBS41" s="222"/>
      <c r="BBT41" s="222"/>
      <c r="BBU41" s="222"/>
      <c r="BBV41" s="222"/>
      <c r="BBW41" s="222"/>
      <c r="BBX41" s="222"/>
      <c r="BBY41" s="222"/>
      <c r="BBZ41" s="222"/>
      <c r="BCA41" s="222"/>
      <c r="BCB41" s="222"/>
      <c r="BCC41" s="222"/>
      <c r="BCD41" s="222"/>
      <c r="BCE41" s="222"/>
      <c r="BCF41" s="222"/>
      <c r="BCG41" s="222"/>
      <c r="BCH41" s="222"/>
      <c r="BCI41" s="222"/>
      <c r="BCJ41" s="222"/>
      <c r="BCK41" s="222"/>
      <c r="BCL41" s="222"/>
      <c r="BCM41" s="222"/>
      <c r="BCN41" s="222"/>
      <c r="BCO41" s="222"/>
      <c r="BCP41" s="222"/>
      <c r="BCQ41" s="222"/>
      <c r="BCR41" s="222"/>
      <c r="BCS41" s="222"/>
      <c r="BCT41" s="222"/>
      <c r="BCU41" s="222"/>
      <c r="BCV41" s="222"/>
      <c r="BCW41" s="222"/>
      <c r="BCX41" s="222"/>
      <c r="BCY41" s="222"/>
      <c r="BCZ41" s="222"/>
      <c r="BDA41" s="222"/>
      <c r="BDB41" s="222"/>
      <c r="BDC41" s="222"/>
      <c r="BDD41" s="222"/>
      <c r="BDE41" s="222"/>
      <c r="BDF41" s="222"/>
      <c r="BDG41" s="222"/>
      <c r="BDH41" s="222"/>
      <c r="BDI41" s="222"/>
      <c r="BDJ41" s="222"/>
      <c r="BDK41" s="222"/>
      <c r="BDL41" s="222"/>
      <c r="BDM41" s="222"/>
      <c r="BDN41" s="222"/>
      <c r="BDO41" s="222"/>
      <c r="BDP41" s="222"/>
      <c r="BDQ41" s="222"/>
      <c r="BDR41" s="222"/>
      <c r="BDS41" s="222"/>
      <c r="BDT41" s="222"/>
      <c r="BDU41" s="222"/>
      <c r="BDV41" s="222"/>
      <c r="BDW41" s="222"/>
      <c r="BDX41" s="222"/>
      <c r="BDY41" s="222"/>
      <c r="BDZ41" s="222"/>
      <c r="BEA41" s="222"/>
      <c r="BEB41" s="222"/>
      <c r="BEC41" s="222"/>
      <c r="BED41" s="222"/>
      <c r="BEE41" s="222"/>
      <c r="BEF41" s="222"/>
      <c r="BEG41" s="222"/>
      <c r="BEH41" s="222"/>
      <c r="BEI41" s="222"/>
      <c r="BEJ41" s="222"/>
      <c r="BEK41" s="222"/>
      <c r="BEL41" s="222"/>
      <c r="BEM41" s="222"/>
      <c r="BEN41" s="222"/>
      <c r="BEO41" s="222"/>
      <c r="BEP41" s="222"/>
      <c r="BEQ41" s="222"/>
      <c r="BER41" s="222"/>
      <c r="BES41" s="222"/>
      <c r="BET41" s="222"/>
      <c r="BEU41" s="222"/>
      <c r="BEV41" s="222"/>
      <c r="BEW41" s="222"/>
      <c r="BEX41" s="222"/>
      <c r="BEY41" s="222"/>
      <c r="BEZ41" s="222"/>
      <c r="BFA41" s="222"/>
      <c r="BFB41" s="222"/>
      <c r="BFC41" s="222"/>
      <c r="BFD41" s="222"/>
      <c r="BFE41" s="222"/>
      <c r="BFF41" s="222"/>
      <c r="BFG41" s="222"/>
      <c r="BFH41" s="222"/>
      <c r="BFI41" s="222"/>
      <c r="BFJ41" s="222"/>
      <c r="BFK41" s="222"/>
      <c r="BFL41" s="222"/>
      <c r="BFM41" s="222"/>
      <c r="BFN41" s="222"/>
      <c r="BFO41" s="222"/>
      <c r="BFP41" s="222"/>
      <c r="BFQ41" s="222"/>
      <c r="BFR41" s="222"/>
      <c r="BFS41" s="222"/>
      <c r="BFT41" s="222"/>
      <c r="BFU41" s="222"/>
      <c r="BFV41" s="222"/>
      <c r="BFW41" s="222"/>
      <c r="BFX41" s="222"/>
      <c r="BFY41" s="222"/>
      <c r="BFZ41" s="222"/>
      <c r="BGA41" s="222"/>
      <c r="BGB41" s="222"/>
      <c r="BGC41" s="222"/>
      <c r="BGD41" s="222"/>
      <c r="BGE41" s="222"/>
      <c r="BGF41" s="222"/>
      <c r="BGG41" s="222"/>
      <c r="BGH41" s="222"/>
      <c r="BGI41" s="222"/>
      <c r="BGJ41" s="222"/>
      <c r="BGK41" s="222"/>
      <c r="BGL41" s="222"/>
      <c r="BGM41" s="222"/>
      <c r="BGN41" s="222"/>
      <c r="BGO41" s="222"/>
      <c r="BGP41" s="222"/>
      <c r="BGQ41" s="222"/>
      <c r="BGR41" s="222"/>
      <c r="BGS41" s="222"/>
      <c r="BGT41" s="222"/>
      <c r="BGU41" s="222"/>
      <c r="BGV41" s="222"/>
      <c r="BGW41" s="222"/>
      <c r="BGX41" s="222"/>
      <c r="BGY41" s="222"/>
      <c r="BGZ41" s="222"/>
      <c r="BHA41" s="222"/>
      <c r="BHB41" s="222"/>
      <c r="BHC41" s="222"/>
      <c r="BHD41" s="222"/>
      <c r="BHE41" s="222"/>
      <c r="BHF41" s="222"/>
      <c r="BHG41" s="222"/>
      <c r="BHH41" s="222"/>
      <c r="BHI41" s="222"/>
      <c r="BHJ41" s="222"/>
      <c r="BHK41" s="222"/>
      <c r="BHL41" s="222"/>
      <c r="BHM41" s="222"/>
      <c r="BHN41" s="222"/>
      <c r="BHO41" s="222"/>
      <c r="BHP41" s="222"/>
      <c r="BHQ41" s="222"/>
      <c r="BHR41" s="222"/>
      <c r="BHS41" s="222"/>
      <c r="BHT41" s="222"/>
      <c r="BHU41" s="222"/>
      <c r="BHV41" s="222"/>
      <c r="BHW41" s="222"/>
      <c r="BHX41" s="222"/>
      <c r="BHY41" s="222"/>
      <c r="BHZ41" s="222"/>
      <c r="BIA41" s="222"/>
      <c r="BIB41" s="222"/>
      <c r="BIC41" s="222"/>
      <c r="BID41" s="222"/>
      <c r="BIE41" s="222"/>
      <c r="BIF41" s="222"/>
      <c r="BIG41" s="222"/>
      <c r="BIH41" s="222"/>
      <c r="BII41" s="222"/>
      <c r="BIJ41" s="222"/>
      <c r="BIK41" s="222"/>
      <c r="BIL41" s="222"/>
      <c r="BIM41" s="222"/>
      <c r="BIN41" s="222"/>
      <c r="BIO41" s="222"/>
      <c r="BIP41" s="222"/>
      <c r="BIQ41" s="222"/>
      <c r="BIR41" s="222"/>
      <c r="BIS41" s="222"/>
      <c r="BIT41" s="222"/>
      <c r="BIU41" s="222"/>
      <c r="BIV41" s="222"/>
      <c r="BIW41" s="222"/>
      <c r="BIX41" s="222"/>
      <c r="BIY41" s="222"/>
      <c r="BIZ41" s="222"/>
      <c r="BJA41" s="222"/>
      <c r="BJB41" s="222"/>
      <c r="BJC41" s="222"/>
      <c r="BJD41" s="222"/>
      <c r="BJE41" s="222"/>
      <c r="BJF41" s="222"/>
      <c r="BJG41" s="222"/>
      <c r="BJH41" s="222"/>
      <c r="BJI41" s="222"/>
      <c r="BJJ41" s="222"/>
      <c r="BJK41" s="222"/>
      <c r="BJL41" s="222"/>
      <c r="BJM41" s="222"/>
      <c r="BJN41" s="222"/>
      <c r="BJO41" s="222"/>
      <c r="BJP41" s="222"/>
      <c r="BJQ41" s="222"/>
      <c r="BJR41" s="222"/>
      <c r="BJS41" s="222"/>
      <c r="BJT41" s="222"/>
      <c r="BJU41" s="222"/>
      <c r="BJV41" s="222"/>
      <c r="BJW41" s="222"/>
      <c r="BJX41" s="222"/>
      <c r="BJY41" s="222"/>
      <c r="BJZ41" s="222"/>
      <c r="BKA41" s="222"/>
      <c r="BKB41" s="222"/>
      <c r="BKC41" s="222"/>
      <c r="BKD41" s="222"/>
      <c r="BKE41" s="222"/>
      <c r="BKF41" s="222"/>
      <c r="BKG41" s="222"/>
      <c r="BKH41" s="222"/>
      <c r="BKI41" s="222"/>
      <c r="BKJ41" s="222"/>
      <c r="BKK41" s="222"/>
      <c r="BKL41" s="222"/>
      <c r="BKM41" s="222"/>
      <c r="BKN41" s="222"/>
      <c r="BKO41" s="222"/>
      <c r="BKP41" s="222"/>
      <c r="BKQ41" s="222"/>
      <c r="BKR41" s="222"/>
      <c r="BKS41" s="222"/>
      <c r="BKT41" s="222"/>
      <c r="BKU41" s="222"/>
      <c r="BKV41" s="222"/>
      <c r="BKW41" s="222"/>
      <c r="BKX41" s="222"/>
      <c r="BKY41" s="222"/>
      <c r="BKZ41" s="222"/>
      <c r="BLA41" s="222"/>
      <c r="BLB41" s="222"/>
      <c r="BLC41" s="222"/>
      <c r="BLD41" s="222"/>
      <c r="BLE41" s="222"/>
      <c r="BLF41" s="222"/>
      <c r="BLG41" s="222"/>
      <c r="BLH41" s="222"/>
      <c r="BLI41" s="222"/>
      <c r="BLJ41" s="222"/>
      <c r="BLK41" s="222"/>
      <c r="BLL41" s="222"/>
      <c r="BLM41" s="222"/>
      <c r="BLN41" s="222"/>
      <c r="BLO41" s="222"/>
      <c r="BLP41" s="222"/>
      <c r="BLQ41" s="222"/>
      <c r="BLR41" s="222"/>
      <c r="BLS41" s="222"/>
      <c r="BLT41" s="222"/>
      <c r="BLU41" s="222"/>
      <c r="BLV41" s="222"/>
      <c r="BLW41" s="222"/>
      <c r="BLX41" s="222"/>
      <c r="BLY41" s="222"/>
      <c r="BLZ41" s="222"/>
      <c r="BMA41" s="222"/>
      <c r="BMB41" s="222"/>
      <c r="BMC41" s="222"/>
      <c r="BMD41" s="222"/>
      <c r="BME41" s="222"/>
      <c r="BMF41" s="222"/>
      <c r="BMG41" s="222"/>
      <c r="BMH41" s="222"/>
      <c r="BMI41" s="222"/>
      <c r="BMJ41" s="222"/>
      <c r="BMK41" s="222"/>
      <c r="BML41" s="222"/>
      <c r="BMM41" s="222"/>
      <c r="BMN41" s="222"/>
      <c r="BMO41" s="222"/>
      <c r="BMP41" s="222"/>
      <c r="BMQ41" s="222"/>
      <c r="BMR41" s="222"/>
      <c r="BMS41" s="222"/>
      <c r="BMT41" s="222"/>
      <c r="BMU41" s="222"/>
      <c r="BMV41" s="222"/>
      <c r="BMW41" s="222"/>
      <c r="BMX41" s="222"/>
      <c r="BMY41" s="222"/>
      <c r="BMZ41" s="222"/>
      <c r="BNA41" s="222"/>
      <c r="BNB41" s="222"/>
      <c r="BNC41" s="222"/>
      <c r="BND41" s="222"/>
      <c r="BNE41" s="222"/>
      <c r="BNF41" s="222"/>
      <c r="BNG41" s="222"/>
      <c r="BNH41" s="222"/>
      <c r="BNI41" s="222"/>
      <c r="BNJ41" s="222"/>
      <c r="BNK41" s="222"/>
      <c r="BNL41" s="222"/>
      <c r="BNM41" s="222"/>
      <c r="BNN41" s="222"/>
      <c r="BNO41" s="222"/>
      <c r="BNP41" s="222"/>
      <c r="BNQ41" s="222"/>
      <c r="BNR41" s="222"/>
      <c r="BNS41" s="222"/>
      <c r="BNT41" s="222"/>
      <c r="BNU41" s="222"/>
      <c r="BNV41" s="222"/>
      <c r="BNW41" s="222"/>
      <c r="BNX41" s="222"/>
      <c r="BNY41" s="222"/>
      <c r="BNZ41" s="222"/>
      <c r="BOA41" s="222"/>
      <c r="BOB41" s="222"/>
      <c r="BOC41" s="222"/>
      <c r="BOD41" s="222"/>
      <c r="BOE41" s="222"/>
      <c r="BOF41" s="222"/>
      <c r="BOG41" s="222"/>
      <c r="BOH41" s="222"/>
      <c r="BOI41" s="222"/>
      <c r="BOJ41" s="222"/>
      <c r="BOK41" s="222"/>
      <c r="BOL41" s="222"/>
      <c r="BOM41" s="222"/>
      <c r="BON41" s="222"/>
      <c r="BOO41" s="222"/>
      <c r="BOP41" s="222"/>
      <c r="BOQ41" s="222"/>
      <c r="BOR41" s="222"/>
      <c r="BOS41" s="222"/>
      <c r="BOT41" s="222"/>
      <c r="BOU41" s="222"/>
      <c r="BOV41" s="222"/>
      <c r="BOW41" s="222"/>
      <c r="BOX41" s="222"/>
      <c r="BOY41" s="222"/>
      <c r="BOZ41" s="222"/>
      <c r="BPA41" s="222"/>
      <c r="BPB41" s="222"/>
      <c r="BPC41" s="222"/>
      <c r="BPD41" s="222"/>
      <c r="BPE41" s="222"/>
      <c r="BPF41" s="222"/>
      <c r="BPG41" s="222"/>
      <c r="BPH41" s="222"/>
      <c r="BPI41" s="222"/>
      <c r="BPJ41" s="222"/>
      <c r="BPK41" s="222"/>
      <c r="BPL41" s="222"/>
      <c r="BPM41" s="222"/>
      <c r="BPN41" s="222"/>
      <c r="BPO41" s="222"/>
      <c r="BPP41" s="222"/>
      <c r="BPQ41" s="222"/>
      <c r="BPR41" s="222"/>
      <c r="BPS41" s="222"/>
      <c r="BPT41" s="222"/>
      <c r="BPU41" s="222"/>
      <c r="BPV41" s="222"/>
      <c r="BPW41" s="222"/>
      <c r="BPX41" s="222"/>
      <c r="BPY41" s="222"/>
      <c r="BPZ41" s="222"/>
      <c r="BQA41" s="222"/>
      <c r="BQB41" s="222"/>
      <c r="BQC41" s="222"/>
      <c r="BQD41" s="222"/>
      <c r="BQE41" s="222"/>
      <c r="BQF41" s="222"/>
      <c r="BQG41" s="222"/>
      <c r="BQH41" s="222"/>
      <c r="BQI41" s="222"/>
      <c r="BQJ41" s="222"/>
      <c r="BQK41" s="222"/>
      <c r="BQL41" s="222"/>
      <c r="BQM41" s="222"/>
      <c r="BQN41" s="222"/>
      <c r="BQO41" s="222"/>
      <c r="BQP41" s="222"/>
      <c r="BQQ41" s="222"/>
      <c r="BQR41" s="222"/>
      <c r="BQS41" s="222"/>
      <c r="BQT41" s="222"/>
      <c r="BQU41" s="222"/>
      <c r="BQV41" s="222"/>
      <c r="BQW41" s="222"/>
      <c r="BQX41" s="222"/>
      <c r="BQY41" s="222"/>
      <c r="BQZ41" s="222"/>
      <c r="BRA41" s="222"/>
      <c r="BRB41" s="222"/>
      <c r="BRC41" s="222"/>
      <c r="BRD41" s="222"/>
      <c r="BRE41" s="222"/>
      <c r="BRF41" s="222"/>
      <c r="BRG41" s="222"/>
      <c r="BRH41" s="222"/>
      <c r="BRI41" s="222"/>
      <c r="BRJ41" s="222"/>
      <c r="BRK41" s="222"/>
      <c r="BRL41" s="222"/>
      <c r="BRM41" s="222"/>
      <c r="BRN41" s="222"/>
      <c r="BRO41" s="222"/>
      <c r="BRP41" s="222"/>
      <c r="BRQ41" s="222"/>
      <c r="BRR41" s="222"/>
      <c r="BRS41" s="222"/>
      <c r="BRT41" s="222"/>
      <c r="BRU41" s="222"/>
      <c r="BRV41" s="222"/>
      <c r="BRW41" s="222"/>
      <c r="BRX41" s="222"/>
      <c r="BRY41" s="222"/>
      <c r="BRZ41" s="222"/>
      <c r="BSA41" s="222"/>
      <c r="BSB41" s="222"/>
      <c r="BSC41" s="222"/>
      <c r="BSD41" s="222"/>
      <c r="BSE41" s="222"/>
      <c r="BSF41" s="222"/>
      <c r="BSG41" s="222"/>
      <c r="BSH41" s="222"/>
      <c r="BSI41" s="222"/>
      <c r="BSJ41" s="222"/>
      <c r="BSK41" s="222"/>
      <c r="BSL41" s="222"/>
      <c r="BSM41" s="222"/>
      <c r="BSN41" s="222"/>
      <c r="BSO41" s="222"/>
      <c r="BSP41" s="222"/>
      <c r="BSQ41" s="222"/>
      <c r="BSR41" s="222"/>
      <c r="BSS41" s="222"/>
      <c r="BST41" s="222"/>
      <c r="BSU41" s="222"/>
      <c r="BSV41" s="222"/>
      <c r="BSW41" s="222"/>
      <c r="BSX41" s="222"/>
      <c r="BSY41" s="222"/>
      <c r="BSZ41" s="222"/>
      <c r="BTA41" s="222"/>
      <c r="BTB41" s="222"/>
      <c r="BTC41" s="222"/>
      <c r="BTD41" s="222"/>
      <c r="BTE41" s="222"/>
      <c r="BTF41" s="222"/>
      <c r="BTG41" s="222"/>
      <c r="BTH41" s="222"/>
      <c r="BTI41" s="222"/>
      <c r="BTJ41" s="222"/>
      <c r="BTK41" s="222"/>
      <c r="BTL41" s="222"/>
      <c r="BTM41" s="222"/>
      <c r="BTN41" s="222"/>
      <c r="BTO41" s="222"/>
      <c r="BTP41" s="222"/>
      <c r="BTQ41" s="222"/>
      <c r="BTR41" s="222"/>
      <c r="BTS41" s="222"/>
      <c r="BTT41" s="222"/>
      <c r="BTU41" s="222"/>
      <c r="BTV41" s="222"/>
      <c r="BTW41" s="222"/>
      <c r="BTX41" s="222"/>
      <c r="BTY41" s="222"/>
      <c r="BTZ41" s="222"/>
      <c r="BUA41" s="222"/>
      <c r="BUB41" s="222"/>
      <c r="BUC41" s="222"/>
      <c r="BUD41" s="222"/>
      <c r="BUE41" s="222"/>
      <c r="BUF41" s="222"/>
      <c r="BUG41" s="222"/>
      <c r="BUH41" s="222"/>
      <c r="BUI41" s="222"/>
      <c r="BUJ41" s="222"/>
      <c r="BUK41" s="222"/>
      <c r="BUL41" s="222"/>
      <c r="BUM41" s="222"/>
      <c r="BUN41" s="222"/>
      <c r="BUO41" s="222"/>
      <c r="BUP41" s="222"/>
      <c r="BUQ41" s="222"/>
      <c r="BUR41" s="222"/>
      <c r="BUS41" s="222"/>
      <c r="BUT41" s="222"/>
      <c r="BUU41" s="222"/>
      <c r="BUV41" s="222"/>
      <c r="BUW41" s="222"/>
      <c r="BUX41" s="222"/>
      <c r="BUY41" s="222"/>
      <c r="BUZ41" s="222"/>
      <c r="BVA41" s="222"/>
      <c r="BVB41" s="222"/>
      <c r="BVC41" s="222"/>
      <c r="BVD41" s="222"/>
      <c r="BVE41" s="222"/>
      <c r="BVF41" s="222"/>
      <c r="BVG41" s="222"/>
      <c r="BVH41" s="222"/>
      <c r="BVI41" s="222"/>
      <c r="BVJ41" s="222"/>
      <c r="BVK41" s="222"/>
      <c r="BVL41" s="222"/>
      <c r="BVM41" s="222"/>
      <c r="BVN41" s="222"/>
      <c r="BVO41" s="222"/>
      <c r="BVP41" s="222"/>
      <c r="BVQ41" s="222"/>
      <c r="BVR41" s="222"/>
      <c r="BVS41" s="222"/>
      <c r="BVT41" s="222"/>
      <c r="BVU41" s="222"/>
      <c r="BVV41" s="222"/>
      <c r="BVW41" s="222"/>
      <c r="BVX41" s="222"/>
      <c r="BVY41" s="222"/>
      <c r="BVZ41" s="222"/>
      <c r="BWA41" s="222"/>
      <c r="BWB41" s="222"/>
      <c r="BWC41" s="222"/>
      <c r="BWD41" s="222"/>
      <c r="BWE41" s="222"/>
      <c r="BWF41" s="222"/>
      <c r="BWG41" s="222"/>
      <c r="BWH41" s="222"/>
      <c r="BWI41" s="222"/>
      <c r="BWJ41" s="222"/>
      <c r="BWK41" s="222"/>
      <c r="BWL41" s="222"/>
      <c r="BWM41" s="222"/>
      <c r="BWN41" s="222"/>
      <c r="BWO41" s="222"/>
      <c r="BWP41" s="222"/>
      <c r="BWQ41" s="222"/>
      <c r="BWR41" s="222"/>
      <c r="BWS41" s="222"/>
      <c r="BWT41" s="222"/>
      <c r="BWU41" s="222"/>
      <c r="BWV41" s="222"/>
      <c r="BWW41" s="222"/>
      <c r="BWX41" s="222"/>
      <c r="BWY41" s="222"/>
      <c r="BWZ41" s="222"/>
      <c r="BXA41" s="222"/>
      <c r="BXB41" s="222"/>
      <c r="BXC41" s="222"/>
      <c r="BXD41" s="222"/>
      <c r="BXE41" s="222"/>
      <c r="BXF41" s="222"/>
      <c r="BXG41" s="222"/>
      <c r="BXH41" s="222"/>
      <c r="BXI41" s="222"/>
      <c r="BXJ41" s="222"/>
      <c r="BXK41" s="222"/>
      <c r="BXL41" s="222"/>
      <c r="BXM41" s="222"/>
      <c r="BXN41" s="222"/>
      <c r="BXO41" s="222"/>
      <c r="BXP41" s="222"/>
      <c r="BXQ41" s="222"/>
      <c r="BXR41" s="222"/>
      <c r="BXS41" s="222"/>
      <c r="BXT41" s="222"/>
      <c r="BXU41" s="222"/>
      <c r="BXV41" s="222"/>
      <c r="BXW41" s="222"/>
      <c r="BXX41" s="222"/>
      <c r="BXY41" s="222"/>
      <c r="BXZ41" s="222"/>
      <c r="BYA41" s="222"/>
      <c r="BYB41" s="222"/>
      <c r="BYC41" s="222"/>
      <c r="BYD41" s="222"/>
      <c r="BYE41" s="222"/>
      <c r="BYF41" s="222"/>
      <c r="BYG41" s="222"/>
      <c r="BYH41" s="222"/>
      <c r="BYI41" s="222"/>
      <c r="BYJ41" s="222"/>
      <c r="BYK41" s="222"/>
      <c r="BYL41" s="222"/>
      <c r="BYM41" s="222"/>
      <c r="BYN41" s="222"/>
      <c r="BYO41" s="222"/>
      <c r="BYP41" s="222"/>
      <c r="BYQ41" s="222"/>
      <c r="BYR41" s="222"/>
      <c r="BYS41" s="222"/>
      <c r="BYT41" s="222"/>
      <c r="BYU41" s="222"/>
      <c r="BYV41" s="222"/>
      <c r="BYW41" s="222"/>
      <c r="BYX41" s="222"/>
      <c r="BYY41" s="222"/>
      <c r="BYZ41" s="222"/>
      <c r="BZA41" s="222"/>
      <c r="BZB41" s="222"/>
      <c r="BZC41" s="222"/>
      <c r="BZD41" s="222"/>
      <c r="BZE41" s="222"/>
      <c r="BZF41" s="222"/>
      <c r="BZG41" s="222"/>
      <c r="BZH41" s="222"/>
      <c r="BZI41" s="222"/>
      <c r="BZJ41" s="222"/>
      <c r="BZK41" s="222"/>
      <c r="BZL41" s="222"/>
      <c r="BZM41" s="222"/>
      <c r="BZN41" s="222"/>
      <c r="BZO41" s="222"/>
      <c r="BZP41" s="222"/>
      <c r="BZQ41" s="222"/>
      <c r="BZR41" s="222"/>
      <c r="BZS41" s="222"/>
      <c r="BZT41" s="222"/>
      <c r="BZU41" s="222"/>
      <c r="BZV41" s="222"/>
      <c r="BZW41" s="222"/>
      <c r="BZX41" s="222"/>
      <c r="BZY41" s="222"/>
      <c r="BZZ41" s="222"/>
      <c r="CAA41" s="222"/>
      <c r="CAB41" s="222"/>
      <c r="CAC41" s="222"/>
      <c r="CAD41" s="222"/>
      <c r="CAE41" s="222"/>
      <c r="CAF41" s="222"/>
      <c r="CAG41" s="222"/>
      <c r="CAH41" s="222"/>
      <c r="CAI41" s="222"/>
      <c r="CAJ41" s="222"/>
      <c r="CAK41" s="222"/>
      <c r="CAL41" s="222"/>
      <c r="CAM41" s="222"/>
      <c r="CAN41" s="222"/>
      <c r="CAO41" s="222"/>
      <c r="CAP41" s="222"/>
      <c r="CAQ41" s="222"/>
      <c r="CAR41" s="222"/>
      <c r="CAS41" s="222"/>
      <c r="CAT41" s="222"/>
      <c r="CAU41" s="222"/>
      <c r="CAV41" s="222"/>
      <c r="CAW41" s="222"/>
      <c r="CAX41" s="222"/>
      <c r="CAY41" s="222"/>
      <c r="CAZ41" s="222"/>
      <c r="CBA41" s="222"/>
      <c r="CBB41" s="222"/>
      <c r="CBC41" s="222"/>
      <c r="CBD41" s="222"/>
      <c r="CBE41" s="222"/>
      <c r="CBF41" s="222"/>
      <c r="CBG41" s="222"/>
      <c r="CBH41" s="222"/>
      <c r="CBI41" s="222"/>
      <c r="CBJ41" s="222"/>
      <c r="CBK41" s="222"/>
      <c r="CBL41" s="222"/>
      <c r="CBM41" s="222"/>
      <c r="CBN41" s="222"/>
      <c r="CBO41" s="222"/>
      <c r="CBP41" s="222"/>
      <c r="CBQ41" s="222"/>
      <c r="CBR41" s="222"/>
      <c r="CBS41" s="222"/>
      <c r="CBT41" s="222"/>
      <c r="CBU41" s="222"/>
      <c r="CBV41" s="222"/>
      <c r="CBW41" s="222"/>
      <c r="CBX41" s="222"/>
      <c r="CBY41" s="222"/>
      <c r="CBZ41" s="222"/>
      <c r="CCA41" s="222"/>
      <c r="CCB41" s="222"/>
      <c r="CCC41" s="222"/>
      <c r="CCD41" s="222"/>
      <c r="CCE41" s="222"/>
      <c r="CCF41" s="222"/>
      <c r="CCG41" s="222"/>
      <c r="CCH41" s="222"/>
      <c r="CCI41" s="222"/>
      <c r="CCJ41" s="222"/>
      <c r="CCK41" s="222"/>
      <c r="CCL41" s="222"/>
      <c r="CCM41" s="222"/>
      <c r="CCN41" s="222"/>
      <c r="CCO41" s="222"/>
      <c r="CCP41" s="222"/>
      <c r="CCQ41" s="222"/>
      <c r="CCR41" s="222"/>
      <c r="CCS41" s="222"/>
      <c r="CCT41" s="222"/>
      <c r="CCU41" s="222"/>
      <c r="CCV41" s="222"/>
      <c r="CCW41" s="222"/>
      <c r="CCX41" s="222"/>
      <c r="CCY41" s="222"/>
      <c r="CCZ41" s="222"/>
      <c r="CDA41" s="222"/>
      <c r="CDB41" s="222"/>
      <c r="CDC41" s="222"/>
      <c r="CDD41" s="222"/>
      <c r="CDE41" s="222"/>
      <c r="CDF41" s="222"/>
      <c r="CDG41" s="222"/>
      <c r="CDH41" s="222"/>
      <c r="CDI41" s="222"/>
      <c r="CDJ41" s="222"/>
      <c r="CDK41" s="222"/>
      <c r="CDL41" s="222"/>
      <c r="CDM41" s="222"/>
      <c r="CDN41" s="222"/>
      <c r="CDO41" s="222"/>
      <c r="CDP41" s="222"/>
      <c r="CDQ41" s="222"/>
      <c r="CDR41" s="222"/>
      <c r="CDS41" s="222"/>
      <c r="CDT41" s="222"/>
      <c r="CDU41" s="222"/>
      <c r="CDV41" s="222"/>
      <c r="CDW41" s="222"/>
      <c r="CDX41" s="222"/>
      <c r="CDY41" s="222"/>
      <c r="CDZ41" s="222"/>
      <c r="CEA41" s="222"/>
      <c r="CEB41" s="222"/>
      <c r="CEC41" s="222"/>
      <c r="CED41" s="222"/>
      <c r="CEE41" s="222"/>
      <c r="CEF41" s="222"/>
      <c r="CEG41" s="222"/>
      <c r="CEH41" s="222"/>
      <c r="CEI41" s="222"/>
      <c r="CEJ41" s="222"/>
      <c r="CEK41" s="222"/>
      <c r="CEL41" s="222"/>
      <c r="CEM41" s="222"/>
      <c r="CEN41" s="222"/>
      <c r="CEO41" s="222"/>
      <c r="CEP41" s="222"/>
      <c r="CEQ41" s="222"/>
      <c r="CER41" s="222"/>
      <c r="CES41" s="222"/>
      <c r="CET41" s="222"/>
      <c r="CEU41" s="222"/>
      <c r="CEV41" s="222"/>
      <c r="CEW41" s="222"/>
      <c r="CEX41" s="222"/>
      <c r="CEY41" s="222"/>
      <c r="CEZ41" s="222"/>
      <c r="CFA41" s="222"/>
      <c r="CFB41" s="222"/>
      <c r="CFC41" s="222"/>
      <c r="CFD41" s="222"/>
      <c r="CFE41" s="222"/>
      <c r="CFF41" s="222"/>
      <c r="CFG41" s="222"/>
      <c r="CFH41" s="222"/>
      <c r="CFI41" s="222"/>
      <c r="CFJ41" s="222"/>
      <c r="CFK41" s="222"/>
      <c r="CFL41" s="222"/>
      <c r="CFM41" s="222"/>
      <c r="CFN41" s="222"/>
      <c r="CFO41" s="222"/>
      <c r="CFP41" s="222"/>
      <c r="CFQ41" s="222"/>
      <c r="CFR41" s="222"/>
      <c r="CFS41" s="222"/>
      <c r="CFT41" s="222"/>
      <c r="CFU41" s="222"/>
      <c r="CFV41" s="222"/>
      <c r="CFW41" s="222"/>
      <c r="CFX41" s="222"/>
      <c r="CFY41" s="222"/>
      <c r="CFZ41" s="222"/>
      <c r="CGA41" s="222"/>
      <c r="CGB41" s="222"/>
      <c r="CGC41" s="222"/>
      <c r="CGD41" s="222"/>
      <c r="CGE41" s="222"/>
      <c r="CGF41" s="222"/>
      <c r="CGG41" s="222"/>
      <c r="CGH41" s="222"/>
      <c r="CGI41" s="222"/>
      <c r="CGJ41" s="222"/>
      <c r="CGK41" s="222"/>
      <c r="CGL41" s="222"/>
      <c r="CGM41" s="222"/>
      <c r="CGN41" s="222"/>
      <c r="CGO41" s="222"/>
      <c r="CGP41" s="222"/>
      <c r="CGQ41" s="222"/>
      <c r="CGR41" s="222"/>
      <c r="CGS41" s="222"/>
      <c r="CGT41" s="222"/>
      <c r="CGU41" s="222"/>
      <c r="CGV41" s="222"/>
      <c r="CGW41" s="222"/>
      <c r="CGX41" s="222"/>
      <c r="CGY41" s="222"/>
      <c r="CGZ41" s="222"/>
      <c r="CHA41" s="222"/>
      <c r="CHB41" s="222"/>
      <c r="CHC41" s="222"/>
      <c r="CHD41" s="222"/>
      <c r="CHE41" s="222"/>
      <c r="CHF41" s="222"/>
      <c r="CHG41" s="222"/>
      <c r="CHH41" s="222"/>
      <c r="CHI41" s="222"/>
      <c r="CHJ41" s="222"/>
      <c r="CHK41" s="222"/>
      <c r="CHL41" s="222"/>
      <c r="CHM41" s="222"/>
      <c r="CHN41" s="222"/>
      <c r="CHO41" s="222"/>
      <c r="CHP41" s="222"/>
      <c r="CHQ41" s="222"/>
      <c r="CHR41" s="222"/>
      <c r="CHS41" s="222"/>
      <c r="CHT41" s="222"/>
      <c r="CHU41" s="222"/>
      <c r="CHV41" s="222"/>
      <c r="CHW41" s="222"/>
      <c r="CHX41" s="222"/>
      <c r="CHY41" s="222"/>
      <c r="CHZ41" s="222"/>
      <c r="CIA41" s="222"/>
      <c r="CIB41" s="222"/>
      <c r="CIC41" s="222"/>
      <c r="CID41" s="222"/>
      <c r="CIE41" s="222"/>
      <c r="CIF41" s="222"/>
      <c r="CIG41" s="222"/>
      <c r="CIH41" s="222"/>
      <c r="CII41" s="222"/>
      <c r="CIJ41" s="222"/>
      <c r="CIK41" s="222"/>
      <c r="CIL41" s="222"/>
      <c r="CIM41" s="222"/>
      <c r="CIN41" s="222"/>
      <c r="CIO41" s="222"/>
      <c r="CIP41" s="222"/>
      <c r="CIQ41" s="222"/>
      <c r="CIR41" s="222"/>
      <c r="CIS41" s="222"/>
      <c r="CIT41" s="222"/>
      <c r="CIU41" s="222"/>
      <c r="CIV41" s="222"/>
      <c r="CIW41" s="222"/>
      <c r="CIX41" s="222"/>
      <c r="CIY41" s="222"/>
      <c r="CIZ41" s="222"/>
      <c r="CJA41" s="222"/>
      <c r="CJB41" s="222"/>
      <c r="CJC41" s="222"/>
      <c r="CJD41" s="222"/>
      <c r="CJE41" s="222"/>
      <c r="CJF41" s="222"/>
      <c r="CJG41" s="222"/>
      <c r="CJH41" s="222"/>
      <c r="CJI41" s="222"/>
      <c r="CJJ41" s="222"/>
      <c r="CJK41" s="222"/>
      <c r="CJL41" s="222"/>
      <c r="CJM41" s="222"/>
      <c r="CJN41" s="222"/>
      <c r="CJO41" s="222"/>
      <c r="CJP41" s="222"/>
      <c r="CJQ41" s="222"/>
      <c r="CJR41" s="222"/>
      <c r="CJS41" s="222"/>
      <c r="CJT41" s="222"/>
      <c r="CJU41" s="222"/>
      <c r="CJV41" s="222"/>
      <c r="CJW41" s="222"/>
      <c r="CJX41" s="222"/>
      <c r="CJY41" s="222"/>
      <c r="CJZ41" s="222"/>
      <c r="CKA41" s="222"/>
      <c r="CKB41" s="222"/>
      <c r="CKC41" s="222"/>
      <c r="CKD41" s="222"/>
      <c r="CKE41" s="222"/>
      <c r="CKF41" s="222"/>
      <c r="CKG41" s="222"/>
      <c r="CKH41" s="222"/>
      <c r="CKI41" s="222"/>
      <c r="CKJ41" s="222"/>
      <c r="CKK41" s="222"/>
      <c r="CKL41" s="222"/>
      <c r="CKM41" s="222"/>
      <c r="CKN41" s="222"/>
      <c r="CKO41" s="222"/>
      <c r="CKP41" s="222"/>
      <c r="CKQ41" s="222"/>
      <c r="CKR41" s="222"/>
      <c r="CKS41" s="222"/>
      <c r="CKT41" s="222"/>
      <c r="CKU41" s="222"/>
      <c r="CKV41" s="222"/>
      <c r="CKW41" s="222"/>
      <c r="CKX41" s="222"/>
      <c r="CKY41" s="222"/>
      <c r="CKZ41" s="222"/>
      <c r="CLA41" s="222"/>
      <c r="CLB41" s="222"/>
      <c r="CLC41" s="222"/>
      <c r="CLD41" s="222"/>
      <c r="CLE41" s="222"/>
      <c r="CLF41" s="222"/>
      <c r="CLG41" s="222"/>
      <c r="CLH41" s="222"/>
      <c r="CLI41" s="222"/>
      <c r="CLJ41" s="222"/>
      <c r="CLK41" s="222"/>
      <c r="CLL41" s="222"/>
      <c r="CLM41" s="222"/>
      <c r="CLN41" s="222"/>
      <c r="CLO41" s="222"/>
      <c r="CLP41" s="222"/>
      <c r="CLQ41" s="222"/>
      <c r="CLR41" s="222"/>
      <c r="CLS41" s="222"/>
      <c r="CLT41" s="222"/>
      <c r="CLU41" s="222"/>
      <c r="CLV41" s="222"/>
      <c r="CLW41" s="222"/>
      <c r="CLX41" s="222"/>
      <c r="CLY41" s="222"/>
      <c r="CLZ41" s="222"/>
      <c r="CMA41" s="222"/>
      <c r="CMB41" s="222"/>
      <c r="CMC41" s="222"/>
      <c r="CMD41" s="222"/>
      <c r="CME41" s="222"/>
      <c r="CMF41" s="222"/>
      <c r="CMG41" s="222"/>
      <c r="CMH41" s="222"/>
      <c r="CMI41" s="222"/>
      <c r="CMJ41" s="222"/>
      <c r="CMK41" s="222"/>
      <c r="CML41" s="222"/>
      <c r="CMM41" s="222"/>
      <c r="CMN41" s="222"/>
      <c r="CMO41" s="222"/>
      <c r="CMP41" s="222"/>
      <c r="CMQ41" s="222"/>
      <c r="CMR41" s="222"/>
      <c r="CMS41" s="222"/>
      <c r="CMT41" s="222"/>
      <c r="CMU41" s="222"/>
      <c r="CMV41" s="222"/>
      <c r="CMW41" s="222"/>
      <c r="CMX41" s="222"/>
      <c r="CMY41" s="222"/>
      <c r="CMZ41" s="222"/>
      <c r="CNA41" s="222"/>
      <c r="CNB41" s="222"/>
      <c r="CNC41" s="222"/>
      <c r="CND41" s="222"/>
      <c r="CNE41" s="222"/>
      <c r="CNF41" s="222"/>
      <c r="CNG41" s="222"/>
      <c r="CNH41" s="222"/>
      <c r="CNI41" s="222"/>
      <c r="CNJ41" s="222"/>
      <c r="CNK41" s="222"/>
      <c r="CNL41" s="222"/>
      <c r="CNM41" s="222"/>
      <c r="CNN41" s="222"/>
      <c r="CNO41" s="222"/>
      <c r="CNP41" s="222"/>
      <c r="CNQ41" s="222"/>
      <c r="CNR41" s="222"/>
      <c r="CNS41" s="222"/>
      <c r="CNT41" s="222"/>
      <c r="CNU41" s="222"/>
      <c r="CNV41" s="222"/>
      <c r="CNW41" s="222"/>
      <c r="CNX41" s="222"/>
      <c r="CNY41" s="222"/>
      <c r="CNZ41" s="222"/>
      <c r="COA41" s="222"/>
      <c r="COB41" s="222"/>
      <c r="COC41" s="222"/>
      <c r="COD41" s="222"/>
      <c r="COE41" s="222"/>
      <c r="COF41" s="222"/>
      <c r="COG41" s="222"/>
      <c r="COH41" s="222"/>
      <c r="COI41" s="222"/>
      <c r="COJ41" s="222"/>
      <c r="COK41" s="222"/>
      <c r="COL41" s="222"/>
      <c r="COM41" s="222"/>
      <c r="CON41" s="222"/>
      <c r="COO41" s="222"/>
      <c r="COP41" s="222"/>
      <c r="COQ41" s="222"/>
      <c r="COR41" s="222"/>
      <c r="COS41" s="222"/>
      <c r="COT41" s="222"/>
      <c r="COU41" s="222"/>
      <c r="COV41" s="222"/>
      <c r="COW41" s="222"/>
      <c r="COX41" s="222"/>
      <c r="COY41" s="222"/>
      <c r="COZ41" s="222"/>
      <c r="CPA41" s="222"/>
      <c r="CPB41" s="222"/>
      <c r="CPC41" s="222"/>
      <c r="CPD41" s="222"/>
      <c r="CPE41" s="222"/>
      <c r="CPF41" s="222"/>
      <c r="CPG41" s="222"/>
      <c r="CPH41" s="222"/>
      <c r="CPI41" s="222"/>
      <c r="CPJ41" s="222"/>
      <c r="CPK41" s="222"/>
      <c r="CPL41" s="222"/>
      <c r="CPM41" s="222"/>
      <c r="CPN41" s="222"/>
      <c r="CPO41" s="222"/>
      <c r="CPP41" s="222"/>
      <c r="CPQ41" s="222"/>
      <c r="CPR41" s="222"/>
      <c r="CPS41" s="222"/>
      <c r="CPT41" s="222"/>
      <c r="CPU41" s="222"/>
      <c r="CPV41" s="222"/>
      <c r="CPW41" s="222"/>
      <c r="CPX41" s="222"/>
      <c r="CPY41" s="222"/>
      <c r="CPZ41" s="222"/>
      <c r="CQA41" s="222"/>
      <c r="CQB41" s="222"/>
      <c r="CQC41" s="222"/>
      <c r="CQD41" s="222"/>
      <c r="CQE41" s="222"/>
      <c r="CQF41" s="222"/>
      <c r="CQG41" s="222"/>
      <c r="CQH41" s="222"/>
      <c r="CQI41" s="222"/>
      <c r="CQJ41" s="222"/>
      <c r="CQK41" s="222"/>
      <c r="CQL41" s="222"/>
      <c r="CQM41" s="222"/>
      <c r="CQN41" s="222"/>
      <c r="CQO41" s="222"/>
      <c r="CQP41" s="222"/>
      <c r="CQQ41" s="222"/>
      <c r="CQR41" s="222"/>
      <c r="CQS41" s="222"/>
      <c r="CQT41" s="222"/>
      <c r="CQU41" s="222"/>
      <c r="CQV41" s="222"/>
      <c r="CQW41" s="222"/>
      <c r="CQX41" s="222"/>
      <c r="CQY41" s="222"/>
      <c r="CQZ41" s="222"/>
      <c r="CRA41" s="222"/>
      <c r="CRB41" s="222"/>
      <c r="CRC41" s="222"/>
      <c r="CRD41" s="222"/>
      <c r="CRE41" s="222"/>
      <c r="CRF41" s="222"/>
      <c r="CRG41" s="222"/>
      <c r="CRH41" s="222"/>
      <c r="CRI41" s="222"/>
      <c r="CRJ41" s="222"/>
      <c r="CRK41" s="222"/>
      <c r="CRL41" s="222"/>
      <c r="CRM41" s="222"/>
      <c r="CRN41" s="222"/>
      <c r="CRO41" s="222"/>
      <c r="CRP41" s="222"/>
      <c r="CRQ41" s="222"/>
      <c r="CRR41" s="222"/>
      <c r="CRS41" s="222"/>
      <c r="CRT41" s="222"/>
      <c r="CRU41" s="222"/>
      <c r="CRV41" s="222"/>
      <c r="CRW41" s="222"/>
      <c r="CRX41" s="222"/>
      <c r="CRY41" s="222"/>
      <c r="CRZ41" s="222"/>
      <c r="CSA41" s="222"/>
      <c r="CSB41" s="222"/>
      <c r="CSC41" s="222"/>
      <c r="CSD41" s="222"/>
      <c r="CSE41" s="222"/>
      <c r="CSF41" s="222"/>
      <c r="CSG41" s="222"/>
      <c r="CSH41" s="222"/>
      <c r="CSI41" s="222"/>
      <c r="CSJ41" s="222"/>
      <c r="CSK41" s="222"/>
      <c r="CSL41" s="222"/>
      <c r="CSM41" s="222"/>
      <c r="CSN41" s="222"/>
      <c r="CSO41" s="222"/>
      <c r="CSP41" s="222"/>
      <c r="CSQ41" s="222"/>
      <c r="CSR41" s="222"/>
      <c r="CSS41" s="222"/>
      <c r="CST41" s="222"/>
      <c r="CSU41" s="222"/>
      <c r="CSV41" s="222"/>
      <c r="CSW41" s="222"/>
      <c r="CSX41" s="222"/>
      <c r="CSY41" s="222"/>
      <c r="CSZ41" s="222"/>
      <c r="CTA41" s="222"/>
      <c r="CTB41" s="222"/>
      <c r="CTC41" s="222"/>
      <c r="CTD41" s="222"/>
      <c r="CTE41" s="222"/>
      <c r="CTF41" s="222"/>
      <c r="CTG41" s="222"/>
      <c r="CTH41" s="222"/>
      <c r="CTI41" s="222"/>
      <c r="CTJ41" s="222"/>
      <c r="CTK41" s="222"/>
      <c r="CTL41" s="222"/>
      <c r="CTM41" s="222"/>
      <c r="CTN41" s="222"/>
      <c r="CTO41" s="222"/>
      <c r="CTP41" s="222"/>
      <c r="CTQ41" s="222"/>
      <c r="CTR41" s="222"/>
      <c r="CTS41" s="222"/>
      <c r="CTT41" s="222"/>
      <c r="CTU41" s="222"/>
      <c r="CTV41" s="222"/>
      <c r="CTW41" s="222"/>
      <c r="CTX41" s="222"/>
      <c r="CTY41" s="222"/>
      <c r="CTZ41" s="222"/>
      <c r="CUA41" s="222"/>
      <c r="CUB41" s="222"/>
      <c r="CUC41" s="222"/>
      <c r="CUD41" s="222"/>
      <c r="CUE41" s="222"/>
      <c r="CUF41" s="222"/>
      <c r="CUG41" s="222"/>
      <c r="CUH41" s="222"/>
      <c r="CUI41" s="222"/>
      <c r="CUJ41" s="222"/>
      <c r="CUK41" s="222"/>
      <c r="CUL41" s="222"/>
      <c r="CUM41" s="222"/>
      <c r="CUN41" s="222"/>
      <c r="CUO41" s="222"/>
      <c r="CUP41" s="222"/>
      <c r="CUQ41" s="222"/>
      <c r="CUR41" s="222"/>
      <c r="CUS41" s="222"/>
      <c r="CUT41" s="222"/>
      <c r="CUU41" s="222"/>
      <c r="CUV41" s="222"/>
      <c r="CUW41" s="222"/>
      <c r="CUX41" s="222"/>
      <c r="CUY41" s="222"/>
      <c r="CUZ41" s="222"/>
      <c r="CVA41" s="222"/>
      <c r="CVB41" s="222"/>
      <c r="CVC41" s="222"/>
      <c r="CVD41" s="222"/>
      <c r="CVE41" s="222"/>
      <c r="CVF41" s="222"/>
      <c r="CVG41" s="222"/>
      <c r="CVH41" s="222"/>
      <c r="CVI41" s="222"/>
      <c r="CVJ41" s="222"/>
      <c r="CVK41" s="222"/>
      <c r="CVL41" s="222"/>
      <c r="CVM41" s="222"/>
      <c r="CVN41" s="222"/>
      <c r="CVO41" s="222"/>
      <c r="CVP41" s="222"/>
      <c r="CVQ41" s="222"/>
      <c r="CVR41" s="222"/>
      <c r="CVS41" s="222"/>
      <c r="CVT41" s="222"/>
      <c r="CVU41" s="222"/>
      <c r="CVV41" s="222"/>
      <c r="CVW41" s="222"/>
      <c r="CVX41" s="222"/>
      <c r="CVY41" s="222"/>
      <c r="CVZ41" s="222"/>
      <c r="CWA41" s="222"/>
      <c r="CWB41" s="222"/>
      <c r="CWC41" s="222"/>
      <c r="CWD41" s="222"/>
      <c r="CWE41" s="222"/>
      <c r="CWF41" s="222"/>
      <c r="CWG41" s="222"/>
      <c r="CWH41" s="222"/>
      <c r="CWI41" s="222"/>
      <c r="CWJ41" s="222"/>
      <c r="CWK41" s="222"/>
      <c r="CWL41" s="222"/>
      <c r="CWM41" s="222"/>
      <c r="CWN41" s="222"/>
      <c r="CWO41" s="222"/>
      <c r="CWP41" s="222"/>
      <c r="CWQ41" s="222"/>
      <c r="CWR41" s="222"/>
      <c r="CWS41" s="222"/>
      <c r="CWT41" s="222"/>
      <c r="CWU41" s="222"/>
      <c r="CWV41" s="222"/>
      <c r="CWW41" s="222"/>
      <c r="CWX41" s="222"/>
      <c r="CWY41" s="222"/>
      <c r="CWZ41" s="222"/>
      <c r="CXA41" s="222"/>
      <c r="CXB41" s="222"/>
      <c r="CXC41" s="222"/>
      <c r="CXD41" s="222"/>
      <c r="CXE41" s="222"/>
      <c r="CXF41" s="222"/>
      <c r="CXG41" s="222"/>
      <c r="CXH41" s="222"/>
      <c r="CXI41" s="222"/>
      <c r="CXJ41" s="222"/>
      <c r="CXK41" s="222"/>
      <c r="CXL41" s="222"/>
      <c r="CXM41" s="222"/>
      <c r="CXN41" s="222"/>
      <c r="CXO41" s="222"/>
      <c r="CXP41" s="222"/>
      <c r="CXQ41" s="222"/>
      <c r="CXR41" s="222"/>
      <c r="CXS41" s="222"/>
      <c r="CXT41" s="222"/>
      <c r="CXU41" s="222"/>
      <c r="CXV41" s="222"/>
      <c r="CXW41" s="222"/>
      <c r="CXX41" s="222"/>
      <c r="CXY41" s="222"/>
      <c r="CXZ41" s="222"/>
      <c r="CYA41" s="222"/>
      <c r="CYB41" s="222"/>
      <c r="CYC41" s="222"/>
      <c r="CYD41" s="222"/>
      <c r="CYE41" s="222"/>
      <c r="CYF41" s="222"/>
      <c r="CYG41" s="222"/>
      <c r="CYH41" s="222"/>
      <c r="CYI41" s="222"/>
      <c r="CYJ41" s="222"/>
      <c r="CYK41" s="222"/>
      <c r="CYL41" s="222"/>
      <c r="CYM41" s="222"/>
      <c r="CYN41" s="222"/>
      <c r="CYO41" s="222"/>
      <c r="CYP41" s="222"/>
      <c r="CYQ41" s="222"/>
      <c r="CYR41" s="222"/>
      <c r="CYS41" s="222"/>
      <c r="CYT41" s="222"/>
      <c r="CYU41" s="222"/>
      <c r="CYV41" s="222"/>
      <c r="CYW41" s="222"/>
      <c r="CYX41" s="222"/>
      <c r="CYY41" s="222"/>
      <c r="CYZ41" s="222"/>
      <c r="CZA41" s="222"/>
      <c r="CZB41" s="222"/>
      <c r="CZC41" s="222"/>
      <c r="CZD41" s="222"/>
      <c r="CZE41" s="222"/>
      <c r="CZF41" s="222"/>
      <c r="CZG41" s="222"/>
      <c r="CZH41" s="222"/>
      <c r="CZI41" s="222"/>
      <c r="CZJ41" s="222"/>
      <c r="CZK41" s="222"/>
      <c r="CZL41" s="222"/>
      <c r="CZM41" s="222"/>
      <c r="CZN41" s="222"/>
      <c r="CZO41" s="222"/>
      <c r="CZP41" s="222"/>
      <c r="CZQ41" s="222"/>
      <c r="CZR41" s="222"/>
      <c r="CZS41" s="222"/>
      <c r="CZT41" s="222"/>
      <c r="CZU41" s="222"/>
      <c r="CZV41" s="222"/>
      <c r="CZW41" s="222"/>
      <c r="CZX41" s="222"/>
      <c r="CZY41" s="222"/>
      <c r="CZZ41" s="222"/>
      <c r="DAA41" s="222"/>
      <c r="DAB41" s="222"/>
      <c r="DAC41" s="222"/>
      <c r="DAD41" s="222"/>
      <c r="DAE41" s="222"/>
      <c r="DAF41" s="222"/>
      <c r="DAG41" s="222"/>
      <c r="DAH41" s="222"/>
      <c r="DAI41" s="222"/>
      <c r="DAJ41" s="222"/>
      <c r="DAK41" s="222"/>
      <c r="DAL41" s="222"/>
      <c r="DAM41" s="222"/>
      <c r="DAN41" s="222"/>
      <c r="DAO41" s="222"/>
      <c r="DAP41" s="222"/>
      <c r="DAQ41" s="222"/>
      <c r="DAR41" s="222"/>
      <c r="DAS41" s="222"/>
      <c r="DAT41" s="222"/>
      <c r="DAU41" s="222"/>
      <c r="DAV41" s="222"/>
      <c r="DAW41" s="222"/>
      <c r="DAX41" s="222"/>
      <c r="DAY41" s="222"/>
      <c r="DAZ41" s="222"/>
      <c r="DBA41" s="222"/>
      <c r="DBB41" s="222"/>
      <c r="DBC41" s="222"/>
      <c r="DBD41" s="222"/>
      <c r="DBE41" s="222"/>
      <c r="DBF41" s="222"/>
      <c r="DBG41" s="222"/>
      <c r="DBH41" s="222"/>
      <c r="DBI41" s="222"/>
      <c r="DBJ41" s="222"/>
      <c r="DBK41" s="222"/>
      <c r="DBL41" s="222"/>
      <c r="DBM41" s="222"/>
      <c r="DBN41" s="222"/>
      <c r="DBO41" s="222"/>
      <c r="DBP41" s="222"/>
      <c r="DBQ41" s="222"/>
      <c r="DBR41" s="222"/>
      <c r="DBS41" s="222"/>
      <c r="DBT41" s="222"/>
      <c r="DBU41" s="222"/>
      <c r="DBV41" s="222"/>
      <c r="DBW41" s="222"/>
      <c r="DBX41" s="222"/>
      <c r="DBY41" s="222"/>
      <c r="DBZ41" s="222"/>
      <c r="DCA41" s="222"/>
      <c r="DCB41" s="222"/>
      <c r="DCC41" s="222"/>
      <c r="DCD41" s="222"/>
      <c r="DCE41" s="222"/>
      <c r="DCF41" s="222"/>
      <c r="DCG41" s="222"/>
      <c r="DCH41" s="222"/>
      <c r="DCI41" s="222"/>
      <c r="DCJ41" s="222"/>
      <c r="DCK41" s="222"/>
      <c r="DCL41" s="222"/>
      <c r="DCM41" s="222"/>
      <c r="DCN41" s="222"/>
      <c r="DCO41" s="222"/>
      <c r="DCP41" s="222"/>
      <c r="DCQ41" s="222"/>
      <c r="DCR41" s="222"/>
      <c r="DCS41" s="222"/>
      <c r="DCT41" s="222"/>
      <c r="DCU41" s="222"/>
      <c r="DCV41" s="222"/>
      <c r="DCW41" s="222"/>
      <c r="DCX41" s="222"/>
      <c r="DCY41" s="222"/>
      <c r="DCZ41" s="222"/>
      <c r="DDA41" s="222"/>
      <c r="DDB41" s="222"/>
      <c r="DDC41" s="222"/>
      <c r="DDD41" s="222"/>
      <c r="DDE41" s="222"/>
      <c r="DDF41" s="222"/>
      <c r="DDG41" s="222"/>
      <c r="DDH41" s="222"/>
      <c r="DDI41" s="222"/>
      <c r="DDJ41" s="222"/>
      <c r="DDK41" s="222"/>
      <c r="DDL41" s="222"/>
      <c r="DDM41" s="222"/>
      <c r="DDN41" s="222"/>
      <c r="DDO41" s="222"/>
      <c r="DDP41" s="222"/>
      <c r="DDQ41" s="222"/>
      <c r="DDR41" s="222"/>
      <c r="DDS41" s="222"/>
      <c r="DDT41" s="222"/>
      <c r="DDU41" s="222"/>
      <c r="DDV41" s="222"/>
      <c r="DDW41" s="222"/>
      <c r="DDX41" s="222"/>
      <c r="DDY41" s="222"/>
      <c r="DDZ41" s="222"/>
      <c r="DEA41" s="222"/>
      <c r="DEB41" s="222"/>
      <c r="DEC41" s="222"/>
      <c r="DED41" s="222"/>
      <c r="DEE41" s="222"/>
      <c r="DEF41" s="222"/>
      <c r="DEG41" s="222"/>
      <c r="DEH41" s="222"/>
      <c r="DEI41" s="222"/>
      <c r="DEJ41" s="222"/>
      <c r="DEK41" s="222"/>
      <c r="DEL41" s="222"/>
      <c r="DEM41" s="222"/>
      <c r="DEN41" s="222"/>
      <c r="DEO41" s="222"/>
      <c r="DEP41" s="222"/>
      <c r="DEQ41" s="222"/>
      <c r="DER41" s="222"/>
      <c r="DES41" s="222"/>
      <c r="DET41" s="222"/>
      <c r="DEU41" s="222"/>
      <c r="DEV41" s="222"/>
      <c r="DEW41" s="222"/>
      <c r="DEX41" s="222"/>
      <c r="DEY41" s="222"/>
      <c r="DEZ41" s="222"/>
      <c r="DFA41" s="222"/>
      <c r="DFB41" s="222"/>
      <c r="DFC41" s="222"/>
      <c r="DFD41" s="222"/>
      <c r="DFE41" s="222"/>
      <c r="DFF41" s="222"/>
      <c r="DFG41" s="222"/>
      <c r="DFH41" s="222"/>
      <c r="DFI41" s="222"/>
      <c r="DFJ41" s="222"/>
      <c r="DFK41" s="222"/>
      <c r="DFL41" s="222"/>
      <c r="DFM41" s="222"/>
      <c r="DFN41" s="222"/>
      <c r="DFO41" s="222"/>
      <c r="DFP41" s="222"/>
      <c r="DFQ41" s="222"/>
      <c r="DFR41" s="222"/>
      <c r="DFS41" s="222"/>
      <c r="DFT41" s="222"/>
      <c r="DFU41" s="222"/>
      <c r="DFV41" s="222"/>
      <c r="DFW41" s="222"/>
      <c r="DFX41" s="222"/>
      <c r="DFY41" s="222"/>
      <c r="DFZ41" s="222"/>
      <c r="DGA41" s="222"/>
      <c r="DGB41" s="222"/>
      <c r="DGC41" s="222"/>
      <c r="DGD41" s="222"/>
      <c r="DGE41" s="222"/>
      <c r="DGF41" s="222"/>
      <c r="DGG41" s="222"/>
      <c r="DGH41" s="222"/>
      <c r="DGI41" s="222"/>
      <c r="DGJ41" s="222"/>
      <c r="DGK41" s="222"/>
      <c r="DGL41" s="222"/>
      <c r="DGM41" s="222"/>
      <c r="DGN41" s="222"/>
      <c r="DGO41" s="222"/>
      <c r="DGP41" s="222"/>
      <c r="DGQ41" s="222"/>
      <c r="DGR41" s="222"/>
      <c r="DGS41" s="222"/>
      <c r="DGT41" s="222"/>
      <c r="DGU41" s="222"/>
      <c r="DGV41" s="222"/>
      <c r="DGW41" s="222"/>
      <c r="DGX41" s="222"/>
      <c r="DGY41" s="222"/>
      <c r="DGZ41" s="222"/>
      <c r="DHA41" s="222"/>
      <c r="DHB41" s="222"/>
      <c r="DHC41" s="222"/>
      <c r="DHD41" s="222"/>
      <c r="DHE41" s="222"/>
      <c r="DHF41" s="222"/>
      <c r="DHG41" s="222"/>
      <c r="DHH41" s="222"/>
      <c r="DHI41" s="222"/>
      <c r="DHJ41" s="222"/>
      <c r="DHK41" s="222"/>
      <c r="DHL41" s="222"/>
      <c r="DHM41" s="222"/>
      <c r="DHN41" s="222"/>
      <c r="DHO41" s="222"/>
      <c r="DHP41" s="222"/>
      <c r="DHQ41" s="222"/>
      <c r="DHR41" s="222"/>
      <c r="DHS41" s="222"/>
      <c r="DHT41" s="222"/>
      <c r="DHU41" s="222"/>
      <c r="DHV41" s="222"/>
      <c r="DHW41" s="222"/>
      <c r="DHX41" s="222"/>
      <c r="DHY41" s="222"/>
      <c r="DHZ41" s="222"/>
      <c r="DIA41" s="222"/>
      <c r="DIB41" s="222"/>
      <c r="DIC41" s="222"/>
      <c r="DID41" s="222"/>
      <c r="DIE41" s="222"/>
      <c r="DIF41" s="222"/>
      <c r="DIG41" s="222"/>
      <c r="DIH41" s="222"/>
      <c r="DII41" s="222"/>
      <c r="DIJ41" s="222"/>
      <c r="DIK41" s="222"/>
      <c r="DIL41" s="222"/>
      <c r="DIM41" s="222"/>
      <c r="DIN41" s="222"/>
      <c r="DIO41" s="222"/>
      <c r="DIP41" s="222"/>
      <c r="DIQ41" s="222"/>
      <c r="DIR41" s="222"/>
      <c r="DIS41" s="222"/>
      <c r="DIT41" s="222"/>
      <c r="DIU41" s="222"/>
      <c r="DIV41" s="222"/>
      <c r="DIW41" s="222"/>
      <c r="DIX41" s="222"/>
      <c r="DIY41" s="222"/>
      <c r="DIZ41" s="222"/>
      <c r="DJA41" s="222"/>
      <c r="DJB41" s="222"/>
      <c r="DJC41" s="222"/>
      <c r="DJD41" s="222"/>
      <c r="DJE41" s="222"/>
      <c r="DJF41" s="222"/>
      <c r="DJG41" s="222"/>
      <c r="DJH41" s="222"/>
      <c r="DJI41" s="222"/>
      <c r="DJJ41" s="222"/>
      <c r="DJK41" s="222"/>
      <c r="DJL41" s="222"/>
      <c r="DJM41" s="222"/>
      <c r="DJN41" s="222"/>
      <c r="DJO41" s="222"/>
      <c r="DJP41" s="222"/>
      <c r="DJQ41" s="222"/>
      <c r="DJR41" s="222"/>
      <c r="DJS41" s="222"/>
      <c r="DJT41" s="222"/>
      <c r="DJU41" s="222"/>
      <c r="DJV41" s="222"/>
      <c r="DJW41" s="222"/>
      <c r="DJX41" s="222"/>
      <c r="DJY41" s="222"/>
      <c r="DJZ41" s="222"/>
      <c r="DKA41" s="222"/>
      <c r="DKB41" s="222"/>
      <c r="DKC41" s="222"/>
      <c r="DKD41" s="222"/>
      <c r="DKE41" s="222"/>
      <c r="DKF41" s="222"/>
      <c r="DKG41" s="222"/>
      <c r="DKH41" s="222"/>
      <c r="DKI41" s="222"/>
      <c r="DKJ41" s="222"/>
      <c r="DKK41" s="222"/>
      <c r="DKL41" s="222"/>
      <c r="DKM41" s="222"/>
      <c r="DKN41" s="222"/>
      <c r="DKO41" s="222"/>
      <c r="DKP41" s="222"/>
      <c r="DKQ41" s="222"/>
      <c r="DKR41" s="222"/>
      <c r="DKS41" s="222"/>
      <c r="DKT41" s="222"/>
      <c r="DKU41" s="222"/>
      <c r="DKV41" s="222"/>
      <c r="DKW41" s="222"/>
      <c r="DKX41" s="222"/>
      <c r="DKY41" s="222"/>
      <c r="DKZ41" s="222"/>
      <c r="DLA41" s="222"/>
      <c r="DLB41" s="222"/>
      <c r="DLC41" s="222"/>
      <c r="DLD41" s="222"/>
      <c r="DLE41" s="222"/>
      <c r="DLF41" s="222"/>
      <c r="DLG41" s="222"/>
      <c r="DLH41" s="222"/>
      <c r="DLI41" s="222"/>
      <c r="DLJ41" s="222"/>
      <c r="DLK41" s="222"/>
      <c r="DLL41" s="222"/>
      <c r="DLM41" s="222"/>
      <c r="DLN41" s="222"/>
      <c r="DLO41" s="222"/>
      <c r="DLP41" s="222"/>
      <c r="DLQ41" s="222"/>
      <c r="DLR41" s="222"/>
      <c r="DLS41" s="222"/>
      <c r="DLT41" s="222"/>
      <c r="DLU41" s="222"/>
      <c r="DLV41" s="222"/>
      <c r="DLW41" s="222"/>
      <c r="DLX41" s="222"/>
      <c r="DLY41" s="222"/>
      <c r="DLZ41" s="222"/>
      <c r="DMA41" s="222"/>
      <c r="DMB41" s="222"/>
      <c r="DMC41" s="222"/>
      <c r="DMD41" s="222"/>
      <c r="DME41" s="222"/>
      <c r="DMF41" s="222"/>
      <c r="DMG41" s="222"/>
      <c r="DMH41" s="222"/>
      <c r="DMI41" s="222"/>
      <c r="DMJ41" s="222"/>
      <c r="DMK41" s="222"/>
      <c r="DML41" s="222"/>
      <c r="DMM41" s="222"/>
      <c r="DMN41" s="222"/>
      <c r="DMO41" s="222"/>
      <c r="DMP41" s="222"/>
      <c r="DMQ41" s="222"/>
      <c r="DMR41" s="222"/>
      <c r="DMS41" s="222"/>
      <c r="DMT41" s="222"/>
      <c r="DMU41" s="222"/>
      <c r="DMV41" s="222"/>
      <c r="DMW41" s="222"/>
      <c r="DMX41" s="222"/>
      <c r="DMY41" s="222"/>
      <c r="DMZ41" s="222"/>
      <c r="DNA41" s="222"/>
      <c r="DNB41" s="222"/>
      <c r="DNC41" s="222"/>
      <c r="DND41" s="222"/>
      <c r="DNE41" s="222"/>
      <c r="DNF41" s="222"/>
      <c r="DNG41" s="222"/>
      <c r="DNH41" s="222"/>
      <c r="DNI41" s="222"/>
      <c r="DNJ41" s="222"/>
      <c r="DNK41" s="222"/>
      <c r="DNL41" s="222"/>
      <c r="DNM41" s="222"/>
      <c r="DNN41" s="222"/>
      <c r="DNO41" s="222"/>
      <c r="DNP41" s="222"/>
      <c r="DNQ41" s="222"/>
      <c r="DNR41" s="222"/>
      <c r="DNS41" s="222"/>
      <c r="DNT41" s="222"/>
      <c r="DNU41" s="222"/>
      <c r="DNV41" s="222"/>
      <c r="DNW41" s="222"/>
      <c r="DNX41" s="222"/>
      <c r="DNY41" s="222"/>
      <c r="DNZ41" s="222"/>
      <c r="DOA41" s="222"/>
      <c r="DOB41" s="222"/>
      <c r="DOC41" s="222"/>
      <c r="DOD41" s="222"/>
      <c r="DOE41" s="222"/>
      <c r="DOF41" s="222"/>
      <c r="DOG41" s="222"/>
      <c r="DOH41" s="222"/>
      <c r="DOI41" s="222"/>
      <c r="DOJ41" s="222"/>
      <c r="DOK41" s="222"/>
      <c r="DOL41" s="222"/>
      <c r="DOM41" s="222"/>
      <c r="DON41" s="222"/>
      <c r="DOO41" s="222"/>
      <c r="DOP41" s="222"/>
      <c r="DOQ41" s="222"/>
      <c r="DOR41" s="222"/>
      <c r="DOS41" s="222"/>
      <c r="DOT41" s="222"/>
      <c r="DOU41" s="222"/>
      <c r="DOV41" s="222"/>
      <c r="DOW41" s="222"/>
      <c r="DOX41" s="222"/>
      <c r="DOY41" s="222"/>
      <c r="DOZ41" s="222"/>
      <c r="DPA41" s="222"/>
      <c r="DPB41" s="222"/>
      <c r="DPC41" s="222"/>
      <c r="DPD41" s="222"/>
      <c r="DPE41" s="222"/>
      <c r="DPF41" s="222"/>
      <c r="DPG41" s="222"/>
      <c r="DPH41" s="222"/>
      <c r="DPI41" s="222"/>
      <c r="DPJ41" s="222"/>
      <c r="DPK41" s="222"/>
      <c r="DPL41" s="222"/>
      <c r="DPM41" s="222"/>
      <c r="DPN41" s="222"/>
      <c r="DPO41" s="222"/>
      <c r="DPP41" s="222"/>
      <c r="DPQ41" s="222"/>
      <c r="DPR41" s="222"/>
      <c r="DPS41" s="222"/>
      <c r="DPT41" s="222"/>
      <c r="DPU41" s="222"/>
      <c r="DPV41" s="222"/>
      <c r="DPW41" s="222"/>
      <c r="DPX41" s="222"/>
      <c r="DPY41" s="222"/>
      <c r="DPZ41" s="222"/>
      <c r="DQA41" s="222"/>
      <c r="DQB41" s="222"/>
      <c r="DQC41" s="222"/>
      <c r="DQD41" s="222"/>
      <c r="DQE41" s="222"/>
      <c r="DQF41" s="222"/>
      <c r="DQG41" s="222"/>
      <c r="DQH41" s="222"/>
      <c r="DQI41" s="222"/>
      <c r="DQJ41" s="222"/>
      <c r="DQK41" s="222"/>
      <c r="DQL41" s="222"/>
      <c r="DQM41" s="222"/>
      <c r="DQN41" s="222"/>
      <c r="DQO41" s="222"/>
      <c r="DQP41" s="222"/>
      <c r="DQQ41" s="222"/>
      <c r="DQR41" s="222"/>
      <c r="DQS41" s="222"/>
      <c r="DQT41" s="222"/>
      <c r="DQU41" s="222"/>
      <c r="DQV41" s="222"/>
      <c r="DQW41" s="222"/>
      <c r="DQX41" s="222"/>
      <c r="DQY41" s="222"/>
      <c r="DQZ41" s="222"/>
      <c r="DRA41" s="222"/>
      <c r="DRB41" s="222"/>
      <c r="DRC41" s="222"/>
      <c r="DRD41" s="222"/>
      <c r="DRE41" s="222"/>
      <c r="DRF41" s="222"/>
      <c r="DRG41" s="222"/>
      <c r="DRH41" s="222"/>
      <c r="DRI41" s="222"/>
      <c r="DRJ41" s="222"/>
      <c r="DRK41" s="222"/>
      <c r="DRL41" s="222"/>
      <c r="DRM41" s="222"/>
      <c r="DRN41" s="222"/>
      <c r="DRO41" s="222"/>
      <c r="DRP41" s="222"/>
      <c r="DRQ41" s="222"/>
      <c r="DRR41" s="222"/>
      <c r="DRS41" s="222"/>
      <c r="DRT41" s="222"/>
      <c r="DRU41" s="222"/>
      <c r="DRV41" s="222"/>
      <c r="DRW41" s="222"/>
      <c r="DRX41" s="222"/>
      <c r="DRY41" s="222"/>
      <c r="DRZ41" s="222"/>
      <c r="DSA41" s="222"/>
      <c r="DSB41" s="222"/>
      <c r="DSC41" s="222"/>
      <c r="DSD41" s="222"/>
      <c r="DSE41" s="222"/>
      <c r="DSF41" s="222"/>
      <c r="DSG41" s="222"/>
      <c r="DSH41" s="222"/>
      <c r="DSI41" s="222"/>
      <c r="DSJ41" s="222"/>
      <c r="DSK41" s="222"/>
      <c r="DSL41" s="222"/>
      <c r="DSM41" s="222"/>
      <c r="DSN41" s="222"/>
      <c r="DSO41" s="222"/>
      <c r="DSP41" s="222"/>
      <c r="DSQ41" s="222"/>
      <c r="DSR41" s="222"/>
      <c r="DSS41" s="222"/>
      <c r="DST41" s="222"/>
      <c r="DSU41" s="222"/>
      <c r="DSV41" s="222"/>
      <c r="DSW41" s="222"/>
      <c r="DSX41" s="222"/>
      <c r="DSY41" s="222"/>
      <c r="DSZ41" s="222"/>
      <c r="DTA41" s="222"/>
      <c r="DTB41" s="222"/>
      <c r="DTC41" s="222"/>
      <c r="DTD41" s="222"/>
      <c r="DTE41" s="222"/>
      <c r="DTF41" s="222"/>
      <c r="DTG41" s="222"/>
      <c r="DTH41" s="222"/>
      <c r="DTI41" s="222"/>
      <c r="DTJ41" s="222"/>
      <c r="DTK41" s="222"/>
      <c r="DTL41" s="222"/>
      <c r="DTM41" s="222"/>
      <c r="DTN41" s="222"/>
      <c r="DTO41" s="222"/>
      <c r="DTP41" s="222"/>
      <c r="DTQ41" s="222"/>
      <c r="DTR41" s="222"/>
      <c r="DTS41" s="222"/>
      <c r="DTT41" s="222"/>
      <c r="DTU41" s="222"/>
      <c r="DTV41" s="222"/>
      <c r="DTW41" s="222"/>
      <c r="DTX41" s="222"/>
      <c r="DTY41" s="222"/>
      <c r="DTZ41" s="222"/>
      <c r="DUA41" s="222"/>
      <c r="DUB41" s="222"/>
      <c r="DUC41" s="222"/>
      <c r="DUD41" s="222"/>
      <c r="DUE41" s="222"/>
      <c r="DUF41" s="222"/>
      <c r="DUG41" s="222"/>
      <c r="DUH41" s="222"/>
      <c r="DUI41" s="222"/>
      <c r="DUJ41" s="222"/>
      <c r="DUK41" s="222"/>
      <c r="DUL41" s="222"/>
      <c r="DUM41" s="222"/>
      <c r="DUN41" s="222"/>
      <c r="DUO41" s="222"/>
      <c r="DUP41" s="222"/>
      <c r="DUQ41" s="222"/>
      <c r="DUR41" s="222"/>
      <c r="DUS41" s="222"/>
      <c r="DUT41" s="222"/>
      <c r="DUU41" s="222"/>
      <c r="DUV41" s="222"/>
      <c r="DUW41" s="222"/>
      <c r="DUX41" s="222"/>
      <c r="DUY41" s="222"/>
      <c r="DUZ41" s="222"/>
      <c r="DVA41" s="222"/>
      <c r="DVB41" s="222"/>
      <c r="DVC41" s="222"/>
      <c r="DVD41" s="222"/>
      <c r="DVE41" s="222"/>
      <c r="DVF41" s="222"/>
      <c r="DVG41" s="222"/>
      <c r="DVH41" s="222"/>
      <c r="DVI41" s="222"/>
      <c r="DVJ41" s="222"/>
      <c r="DVK41" s="222"/>
      <c r="DVL41" s="222"/>
      <c r="DVM41" s="222"/>
      <c r="DVN41" s="222"/>
      <c r="DVO41" s="222"/>
      <c r="DVP41" s="222"/>
      <c r="DVQ41" s="222"/>
      <c r="DVR41" s="222"/>
      <c r="DVS41" s="222"/>
      <c r="DVT41" s="222"/>
      <c r="DVU41" s="222"/>
      <c r="DVV41" s="222"/>
      <c r="DVW41" s="222"/>
      <c r="DVX41" s="222"/>
      <c r="DVY41" s="222"/>
      <c r="DVZ41" s="222"/>
      <c r="DWA41" s="222"/>
      <c r="DWB41" s="222"/>
      <c r="DWC41" s="222"/>
      <c r="DWD41" s="222"/>
      <c r="DWE41" s="222"/>
      <c r="DWF41" s="222"/>
      <c r="DWG41" s="222"/>
      <c r="DWH41" s="222"/>
      <c r="DWI41" s="222"/>
      <c r="DWJ41" s="222"/>
      <c r="DWK41" s="222"/>
      <c r="DWL41" s="222"/>
      <c r="DWM41" s="222"/>
      <c r="DWN41" s="222"/>
      <c r="DWO41" s="222"/>
      <c r="DWP41" s="222"/>
      <c r="DWQ41" s="222"/>
      <c r="DWR41" s="222"/>
      <c r="DWS41" s="222"/>
      <c r="DWT41" s="222"/>
      <c r="DWU41" s="222"/>
      <c r="DWV41" s="222"/>
      <c r="DWW41" s="222"/>
      <c r="DWX41" s="222"/>
      <c r="DWY41" s="222"/>
      <c r="DWZ41" s="222"/>
      <c r="DXA41" s="222"/>
      <c r="DXB41" s="222"/>
      <c r="DXC41" s="222"/>
      <c r="DXD41" s="222"/>
      <c r="DXE41" s="222"/>
      <c r="DXF41" s="222"/>
      <c r="DXG41" s="222"/>
      <c r="DXH41" s="222"/>
      <c r="DXI41" s="222"/>
      <c r="DXJ41" s="222"/>
      <c r="DXK41" s="222"/>
      <c r="DXL41" s="222"/>
      <c r="DXM41" s="222"/>
      <c r="DXN41" s="222"/>
      <c r="DXO41" s="222"/>
      <c r="DXP41" s="222"/>
      <c r="DXQ41" s="222"/>
      <c r="DXR41" s="222"/>
      <c r="DXS41" s="222"/>
      <c r="DXT41" s="222"/>
      <c r="DXU41" s="222"/>
      <c r="DXV41" s="222"/>
      <c r="DXW41" s="222"/>
      <c r="DXX41" s="222"/>
      <c r="DXY41" s="222"/>
      <c r="DXZ41" s="222"/>
      <c r="DYA41" s="222"/>
      <c r="DYB41" s="222"/>
      <c r="DYC41" s="222"/>
      <c r="DYD41" s="222"/>
      <c r="DYE41" s="222"/>
      <c r="DYF41" s="222"/>
      <c r="DYG41" s="222"/>
      <c r="DYH41" s="222"/>
      <c r="DYI41" s="222"/>
      <c r="DYJ41" s="222"/>
      <c r="DYK41" s="222"/>
      <c r="DYL41" s="222"/>
      <c r="DYM41" s="222"/>
      <c r="DYN41" s="222"/>
      <c r="DYO41" s="222"/>
      <c r="DYP41" s="222"/>
      <c r="DYQ41" s="222"/>
      <c r="DYR41" s="222"/>
      <c r="DYS41" s="222"/>
      <c r="DYT41" s="222"/>
      <c r="DYU41" s="222"/>
      <c r="DYV41" s="222"/>
      <c r="DYW41" s="222"/>
      <c r="DYX41" s="222"/>
      <c r="DYY41" s="222"/>
      <c r="DYZ41" s="222"/>
      <c r="DZA41" s="222"/>
      <c r="DZB41" s="222"/>
      <c r="DZC41" s="222"/>
      <c r="DZD41" s="222"/>
      <c r="DZE41" s="222"/>
      <c r="DZF41" s="222"/>
      <c r="DZG41" s="222"/>
      <c r="DZH41" s="222"/>
      <c r="DZI41" s="222"/>
      <c r="DZJ41" s="222"/>
      <c r="DZK41" s="222"/>
      <c r="DZL41" s="222"/>
      <c r="DZM41" s="222"/>
      <c r="DZN41" s="222"/>
      <c r="DZO41" s="222"/>
      <c r="DZP41" s="222"/>
      <c r="DZQ41" s="222"/>
      <c r="DZR41" s="222"/>
      <c r="DZS41" s="222"/>
      <c r="DZT41" s="222"/>
      <c r="DZU41" s="222"/>
      <c r="DZV41" s="222"/>
      <c r="DZW41" s="222"/>
      <c r="DZX41" s="222"/>
      <c r="DZY41" s="222"/>
      <c r="DZZ41" s="222"/>
      <c r="EAA41" s="222"/>
      <c r="EAB41" s="222"/>
      <c r="EAC41" s="222"/>
      <c r="EAD41" s="222"/>
      <c r="EAE41" s="222"/>
      <c r="EAF41" s="222"/>
      <c r="EAG41" s="222"/>
      <c r="EAH41" s="222"/>
      <c r="EAI41" s="222"/>
      <c r="EAJ41" s="222"/>
      <c r="EAK41" s="222"/>
      <c r="EAL41" s="222"/>
      <c r="EAM41" s="222"/>
      <c r="EAN41" s="222"/>
      <c r="EAO41" s="222"/>
      <c r="EAP41" s="222"/>
      <c r="EAQ41" s="222"/>
      <c r="EAR41" s="222"/>
      <c r="EAS41" s="222"/>
      <c r="EAT41" s="222"/>
      <c r="EAU41" s="222"/>
      <c r="EAV41" s="222"/>
      <c r="EAW41" s="222"/>
      <c r="EAX41" s="222"/>
      <c r="EAY41" s="222"/>
      <c r="EAZ41" s="222"/>
      <c r="EBA41" s="222"/>
      <c r="EBB41" s="222"/>
      <c r="EBC41" s="222"/>
      <c r="EBD41" s="222"/>
      <c r="EBE41" s="222"/>
      <c r="EBF41" s="222"/>
      <c r="EBG41" s="222"/>
      <c r="EBH41" s="222"/>
      <c r="EBI41" s="222"/>
      <c r="EBJ41" s="222"/>
      <c r="EBK41" s="222"/>
      <c r="EBL41" s="222"/>
      <c r="EBM41" s="222"/>
      <c r="EBN41" s="222"/>
      <c r="EBO41" s="222"/>
      <c r="EBP41" s="222"/>
      <c r="EBQ41" s="222"/>
      <c r="EBR41" s="222"/>
      <c r="EBS41" s="222"/>
      <c r="EBT41" s="222"/>
      <c r="EBU41" s="222"/>
      <c r="EBV41" s="222"/>
      <c r="EBW41" s="222"/>
      <c r="EBX41" s="222"/>
      <c r="EBY41" s="222"/>
      <c r="EBZ41" s="222"/>
      <c r="ECA41" s="222"/>
      <c r="ECB41" s="222"/>
      <c r="ECC41" s="222"/>
      <c r="ECD41" s="222"/>
      <c r="ECE41" s="222"/>
      <c r="ECF41" s="222"/>
      <c r="ECG41" s="222"/>
      <c r="ECH41" s="222"/>
      <c r="ECI41" s="222"/>
      <c r="ECJ41" s="222"/>
      <c r="ECK41" s="222"/>
      <c r="ECL41" s="222"/>
      <c r="ECM41" s="222"/>
      <c r="ECN41" s="222"/>
      <c r="ECO41" s="222"/>
      <c r="ECP41" s="222"/>
      <c r="ECQ41" s="222"/>
      <c r="ECR41" s="222"/>
      <c r="ECS41" s="222"/>
      <c r="ECT41" s="222"/>
      <c r="ECU41" s="222"/>
      <c r="ECV41" s="222"/>
      <c r="ECW41" s="222"/>
      <c r="ECX41" s="222"/>
      <c r="ECY41" s="222"/>
      <c r="ECZ41" s="222"/>
      <c r="EDA41" s="222"/>
      <c r="EDB41" s="222"/>
      <c r="EDC41" s="222"/>
      <c r="EDD41" s="222"/>
      <c r="EDE41" s="222"/>
      <c r="EDF41" s="222"/>
      <c r="EDG41" s="222"/>
      <c r="EDH41" s="222"/>
      <c r="EDI41" s="222"/>
      <c r="EDJ41" s="222"/>
      <c r="EDK41" s="222"/>
      <c r="EDL41" s="222"/>
      <c r="EDM41" s="222"/>
      <c r="EDN41" s="222"/>
      <c r="EDO41" s="222"/>
      <c r="EDP41" s="222"/>
      <c r="EDQ41" s="222"/>
      <c r="EDR41" s="222"/>
      <c r="EDS41" s="222"/>
      <c r="EDT41" s="222"/>
      <c r="EDU41" s="222"/>
      <c r="EDV41" s="222"/>
      <c r="EDW41" s="222"/>
      <c r="EDX41" s="222"/>
      <c r="EDY41" s="222"/>
      <c r="EDZ41" s="222"/>
      <c r="EEA41" s="222"/>
      <c r="EEB41" s="222"/>
      <c r="EEC41" s="222"/>
      <c r="EED41" s="222"/>
      <c r="EEE41" s="222"/>
      <c r="EEF41" s="222"/>
      <c r="EEG41" s="222"/>
      <c r="EEH41" s="222"/>
      <c r="EEI41" s="222"/>
      <c r="EEJ41" s="222"/>
      <c r="EEK41" s="222"/>
      <c r="EEL41" s="222"/>
      <c r="EEM41" s="222"/>
      <c r="EEN41" s="222"/>
      <c r="EEO41" s="222"/>
      <c r="EEP41" s="222"/>
      <c r="EEQ41" s="222"/>
      <c r="EER41" s="222"/>
      <c r="EES41" s="222"/>
      <c r="EET41" s="222"/>
      <c r="EEU41" s="222"/>
      <c r="EEV41" s="222"/>
      <c r="EEW41" s="222"/>
      <c r="EEX41" s="222"/>
      <c r="EEY41" s="222"/>
      <c r="EEZ41" s="222"/>
      <c r="EFA41" s="222"/>
      <c r="EFB41" s="222"/>
      <c r="EFC41" s="222"/>
      <c r="EFD41" s="222"/>
      <c r="EFE41" s="222"/>
      <c r="EFF41" s="222"/>
      <c r="EFG41" s="222"/>
      <c r="EFH41" s="222"/>
      <c r="EFI41" s="222"/>
      <c r="EFJ41" s="222"/>
      <c r="EFK41" s="222"/>
      <c r="EFL41" s="222"/>
      <c r="EFM41" s="222"/>
      <c r="EFN41" s="222"/>
      <c r="EFO41" s="222"/>
      <c r="EFP41" s="222"/>
      <c r="EFQ41" s="222"/>
      <c r="EFR41" s="222"/>
      <c r="EFS41" s="222"/>
      <c r="EFT41" s="222"/>
      <c r="EFU41" s="222"/>
      <c r="EFV41" s="222"/>
      <c r="EFW41" s="222"/>
      <c r="EFX41" s="222"/>
      <c r="EFY41" s="222"/>
      <c r="EFZ41" s="222"/>
      <c r="EGA41" s="222"/>
      <c r="EGB41" s="222"/>
      <c r="EGC41" s="222"/>
      <c r="EGD41" s="222"/>
      <c r="EGE41" s="222"/>
      <c r="EGF41" s="222"/>
      <c r="EGG41" s="222"/>
      <c r="EGH41" s="222"/>
      <c r="EGI41" s="222"/>
      <c r="EGJ41" s="222"/>
      <c r="EGK41" s="222"/>
      <c r="EGL41" s="222"/>
      <c r="EGM41" s="222"/>
      <c r="EGN41" s="222"/>
      <c r="EGO41" s="222"/>
      <c r="EGP41" s="222"/>
      <c r="EGQ41" s="222"/>
      <c r="EGR41" s="222"/>
      <c r="EGS41" s="222"/>
      <c r="EGT41" s="222"/>
      <c r="EGU41" s="222"/>
      <c r="EGV41" s="222"/>
      <c r="EGW41" s="222"/>
      <c r="EGX41" s="222"/>
      <c r="EGY41" s="222"/>
      <c r="EGZ41" s="222"/>
      <c r="EHA41" s="222"/>
      <c r="EHB41" s="222"/>
      <c r="EHC41" s="222"/>
      <c r="EHD41" s="222"/>
      <c r="EHE41" s="222"/>
      <c r="EHF41" s="222"/>
      <c r="EHG41" s="222"/>
      <c r="EHH41" s="222"/>
      <c r="EHI41" s="222"/>
      <c r="EHJ41" s="222"/>
      <c r="EHK41" s="222"/>
      <c r="EHL41" s="222"/>
      <c r="EHM41" s="222"/>
      <c r="EHN41" s="222"/>
      <c r="EHO41" s="222"/>
      <c r="EHP41" s="222"/>
      <c r="EHQ41" s="222"/>
      <c r="EHR41" s="222"/>
      <c r="EHS41" s="222"/>
      <c r="EHT41" s="222"/>
      <c r="EHU41" s="222"/>
      <c r="EHV41" s="222"/>
      <c r="EHW41" s="222"/>
      <c r="EHX41" s="222"/>
      <c r="EHY41" s="222"/>
      <c r="EHZ41" s="222"/>
      <c r="EIA41" s="222"/>
      <c r="EIB41" s="222"/>
      <c r="EIC41" s="222"/>
      <c r="EID41" s="222"/>
      <c r="EIE41" s="222"/>
      <c r="EIF41" s="222"/>
      <c r="EIG41" s="222"/>
      <c r="EIH41" s="222"/>
      <c r="EII41" s="222"/>
      <c r="EIJ41" s="222"/>
      <c r="EIK41" s="222"/>
      <c r="EIL41" s="222"/>
      <c r="EIM41" s="222"/>
      <c r="EIN41" s="222"/>
      <c r="EIO41" s="222"/>
      <c r="EIP41" s="222"/>
      <c r="EIQ41" s="222"/>
      <c r="EIR41" s="222"/>
      <c r="EIS41" s="222"/>
      <c r="EIT41" s="222"/>
      <c r="EIU41" s="222"/>
      <c r="EIV41" s="222"/>
      <c r="EIW41" s="222"/>
      <c r="EIX41" s="222"/>
      <c r="EIY41" s="222"/>
      <c r="EIZ41" s="222"/>
      <c r="EJA41" s="222"/>
      <c r="EJB41" s="222"/>
      <c r="EJC41" s="222"/>
      <c r="EJD41" s="222"/>
      <c r="EJE41" s="222"/>
      <c r="EJF41" s="222"/>
      <c r="EJG41" s="222"/>
      <c r="EJH41" s="222"/>
      <c r="EJI41" s="222"/>
      <c r="EJJ41" s="222"/>
      <c r="EJK41" s="222"/>
      <c r="EJL41" s="222"/>
      <c r="EJM41" s="222"/>
      <c r="EJN41" s="222"/>
      <c r="EJO41" s="222"/>
      <c r="EJP41" s="222"/>
      <c r="EJQ41" s="222"/>
      <c r="EJR41" s="222"/>
      <c r="EJS41" s="222"/>
      <c r="EJT41" s="222"/>
      <c r="EJU41" s="222"/>
      <c r="EJV41" s="222"/>
      <c r="EJW41" s="222"/>
      <c r="EJX41" s="222"/>
      <c r="EJY41" s="222"/>
      <c r="EJZ41" s="222"/>
      <c r="EKA41" s="222"/>
      <c r="EKB41" s="222"/>
      <c r="EKC41" s="222"/>
      <c r="EKD41" s="222"/>
      <c r="EKE41" s="222"/>
      <c r="EKF41" s="222"/>
      <c r="EKG41" s="222"/>
      <c r="EKH41" s="222"/>
      <c r="EKI41" s="222"/>
      <c r="EKJ41" s="222"/>
      <c r="EKK41" s="222"/>
      <c r="EKL41" s="222"/>
      <c r="EKM41" s="222"/>
      <c r="EKN41" s="222"/>
      <c r="EKO41" s="222"/>
      <c r="EKP41" s="222"/>
      <c r="EKQ41" s="222"/>
      <c r="EKR41" s="222"/>
      <c r="EKS41" s="222"/>
      <c r="EKT41" s="222"/>
      <c r="EKU41" s="222"/>
      <c r="EKV41" s="222"/>
      <c r="EKW41" s="222"/>
      <c r="EKX41" s="222"/>
      <c r="EKY41" s="222"/>
      <c r="EKZ41" s="222"/>
      <c r="ELA41" s="222"/>
      <c r="ELB41" s="222"/>
      <c r="ELC41" s="222"/>
      <c r="ELD41" s="222"/>
      <c r="ELE41" s="222"/>
      <c r="ELF41" s="222"/>
      <c r="ELG41" s="222"/>
      <c r="ELH41" s="222"/>
      <c r="ELI41" s="222"/>
      <c r="ELJ41" s="222"/>
      <c r="ELK41" s="222"/>
      <c r="ELL41" s="222"/>
      <c r="ELM41" s="222"/>
      <c r="ELN41" s="222"/>
      <c r="ELO41" s="222"/>
      <c r="ELP41" s="222"/>
      <c r="ELQ41" s="222"/>
      <c r="ELR41" s="222"/>
      <c r="ELS41" s="222"/>
      <c r="ELT41" s="222"/>
      <c r="ELU41" s="222"/>
      <c r="ELV41" s="222"/>
      <c r="ELW41" s="222"/>
      <c r="ELX41" s="222"/>
      <c r="ELY41" s="222"/>
      <c r="ELZ41" s="222"/>
      <c r="EMA41" s="222"/>
      <c r="EMB41" s="222"/>
      <c r="EMC41" s="222"/>
      <c r="EMD41" s="222"/>
      <c r="EME41" s="222"/>
      <c r="EMF41" s="222"/>
      <c r="EMG41" s="222"/>
      <c r="EMH41" s="222"/>
      <c r="EMI41" s="222"/>
      <c r="EMJ41" s="222"/>
      <c r="EMK41" s="222"/>
      <c r="EML41" s="222"/>
      <c r="EMM41" s="222"/>
      <c r="EMN41" s="222"/>
      <c r="EMO41" s="222"/>
      <c r="EMP41" s="222"/>
      <c r="EMQ41" s="222"/>
      <c r="EMR41" s="222"/>
      <c r="EMS41" s="222"/>
      <c r="EMT41" s="222"/>
      <c r="EMU41" s="222"/>
      <c r="EMV41" s="222"/>
      <c r="EMW41" s="222"/>
      <c r="EMX41" s="222"/>
      <c r="EMY41" s="222"/>
      <c r="EMZ41" s="222"/>
      <c r="ENA41" s="222"/>
      <c r="ENB41" s="222"/>
      <c r="ENC41" s="222"/>
      <c r="END41" s="222"/>
      <c r="ENE41" s="222"/>
      <c r="ENF41" s="222"/>
      <c r="ENG41" s="222"/>
      <c r="ENH41" s="222"/>
      <c r="ENI41" s="222"/>
      <c r="ENJ41" s="222"/>
      <c r="ENK41" s="222"/>
      <c r="ENL41" s="222"/>
      <c r="ENM41" s="222"/>
      <c r="ENN41" s="222"/>
      <c r="ENO41" s="222"/>
      <c r="ENP41" s="222"/>
      <c r="ENQ41" s="222"/>
      <c r="ENR41" s="222"/>
      <c r="ENS41" s="222"/>
      <c r="ENT41" s="222"/>
      <c r="ENU41" s="222"/>
      <c r="ENV41" s="222"/>
      <c r="ENW41" s="222"/>
      <c r="ENX41" s="222"/>
      <c r="ENY41" s="222"/>
      <c r="ENZ41" s="222"/>
      <c r="EOA41" s="222"/>
      <c r="EOB41" s="222"/>
      <c r="EOC41" s="222"/>
      <c r="EOD41" s="222"/>
      <c r="EOE41" s="222"/>
      <c r="EOF41" s="222"/>
      <c r="EOG41" s="222"/>
      <c r="EOH41" s="222"/>
      <c r="EOI41" s="222"/>
      <c r="EOJ41" s="222"/>
      <c r="EOK41" s="222"/>
      <c r="EOL41" s="222"/>
      <c r="EOM41" s="222"/>
      <c r="EON41" s="222"/>
      <c r="EOO41" s="222"/>
      <c r="EOP41" s="222"/>
      <c r="EOQ41" s="222"/>
      <c r="EOR41" s="222"/>
      <c r="EOS41" s="222"/>
      <c r="EOT41" s="222"/>
      <c r="EOU41" s="222"/>
      <c r="EOV41" s="222"/>
      <c r="EOW41" s="222"/>
      <c r="EOX41" s="222"/>
      <c r="EOY41" s="222"/>
      <c r="EOZ41" s="222"/>
      <c r="EPA41" s="222"/>
      <c r="EPB41" s="222"/>
      <c r="EPC41" s="222"/>
      <c r="EPD41" s="222"/>
      <c r="EPE41" s="222"/>
      <c r="EPF41" s="222"/>
      <c r="EPG41" s="222"/>
      <c r="EPH41" s="222"/>
      <c r="EPI41" s="222"/>
      <c r="EPJ41" s="222"/>
      <c r="EPK41" s="222"/>
      <c r="EPL41" s="222"/>
      <c r="EPM41" s="222"/>
      <c r="EPN41" s="222"/>
      <c r="EPO41" s="222"/>
      <c r="EPP41" s="222"/>
      <c r="EPQ41" s="222"/>
      <c r="EPR41" s="222"/>
      <c r="EPS41" s="222"/>
      <c r="EPT41" s="222"/>
      <c r="EPU41" s="222"/>
      <c r="EPV41" s="222"/>
      <c r="EPW41" s="222"/>
      <c r="EPX41" s="222"/>
      <c r="EPY41" s="222"/>
      <c r="EPZ41" s="222"/>
      <c r="EQA41" s="222"/>
      <c r="EQB41" s="222"/>
      <c r="EQC41" s="222"/>
      <c r="EQD41" s="222"/>
      <c r="EQE41" s="222"/>
      <c r="EQF41" s="222"/>
      <c r="EQG41" s="222"/>
      <c r="EQH41" s="222"/>
      <c r="EQI41" s="222"/>
      <c r="EQJ41" s="222"/>
      <c r="EQK41" s="222"/>
      <c r="EQL41" s="222"/>
      <c r="EQM41" s="222"/>
      <c r="EQN41" s="222"/>
      <c r="EQO41" s="222"/>
      <c r="EQP41" s="222"/>
      <c r="EQQ41" s="222"/>
      <c r="EQR41" s="222"/>
      <c r="EQS41" s="222"/>
      <c r="EQT41" s="222"/>
      <c r="EQU41" s="222"/>
      <c r="EQV41" s="222"/>
      <c r="EQW41" s="222"/>
      <c r="EQX41" s="222"/>
      <c r="EQY41" s="222"/>
      <c r="EQZ41" s="222"/>
      <c r="ERA41" s="222"/>
      <c r="ERB41" s="222"/>
      <c r="ERC41" s="222"/>
      <c r="ERD41" s="222"/>
      <c r="ERE41" s="222"/>
      <c r="ERF41" s="222"/>
      <c r="ERG41" s="222"/>
      <c r="ERH41" s="222"/>
      <c r="ERI41" s="222"/>
      <c r="ERJ41" s="222"/>
      <c r="ERK41" s="222"/>
      <c r="ERL41" s="222"/>
      <c r="ERM41" s="222"/>
      <c r="ERN41" s="222"/>
      <c r="ERO41" s="222"/>
      <c r="ERP41" s="222"/>
      <c r="ERQ41" s="222"/>
      <c r="ERR41" s="222"/>
      <c r="ERS41" s="222"/>
      <c r="ERT41" s="222"/>
      <c r="ERU41" s="222"/>
      <c r="ERV41" s="222"/>
      <c r="ERW41" s="222"/>
      <c r="ERX41" s="222"/>
      <c r="ERY41" s="222"/>
      <c r="ERZ41" s="222"/>
      <c r="ESA41" s="222"/>
      <c r="ESB41" s="222"/>
      <c r="ESC41" s="222"/>
      <c r="ESD41" s="222"/>
      <c r="ESE41" s="222"/>
      <c r="ESF41" s="222"/>
      <c r="ESG41" s="222"/>
      <c r="ESH41" s="222"/>
      <c r="ESI41" s="222"/>
      <c r="ESJ41" s="222"/>
      <c r="ESK41" s="222"/>
      <c r="ESL41" s="222"/>
      <c r="ESM41" s="222"/>
      <c r="ESN41" s="222"/>
      <c r="ESO41" s="222"/>
      <c r="ESP41" s="222"/>
      <c r="ESQ41" s="222"/>
      <c r="ESR41" s="222"/>
      <c r="ESS41" s="222"/>
      <c r="EST41" s="222"/>
      <c r="ESU41" s="222"/>
      <c r="ESV41" s="222"/>
      <c r="ESW41" s="222"/>
      <c r="ESX41" s="222"/>
      <c r="ESY41" s="222"/>
      <c r="ESZ41" s="222"/>
      <c r="ETA41" s="222"/>
      <c r="ETB41" s="222"/>
      <c r="ETC41" s="222"/>
      <c r="ETD41" s="222"/>
      <c r="ETE41" s="222"/>
      <c r="ETF41" s="222"/>
      <c r="ETG41" s="222"/>
      <c r="ETH41" s="222"/>
      <c r="ETI41" s="222"/>
      <c r="ETJ41" s="222"/>
      <c r="ETK41" s="222"/>
      <c r="ETL41" s="222"/>
      <c r="ETM41" s="222"/>
      <c r="ETN41" s="222"/>
      <c r="ETO41" s="222"/>
      <c r="ETP41" s="222"/>
      <c r="ETQ41" s="222"/>
      <c r="ETR41" s="222"/>
      <c r="ETS41" s="222"/>
      <c r="ETT41" s="222"/>
      <c r="ETU41" s="222"/>
      <c r="ETV41" s="222"/>
      <c r="ETW41" s="222"/>
      <c r="ETX41" s="222"/>
      <c r="ETY41" s="222"/>
      <c r="ETZ41" s="222"/>
      <c r="EUA41" s="222"/>
      <c r="EUB41" s="222"/>
      <c r="EUC41" s="222"/>
      <c r="EUD41" s="222"/>
      <c r="EUE41" s="222"/>
      <c r="EUF41" s="222"/>
      <c r="EUG41" s="222"/>
      <c r="EUH41" s="222"/>
      <c r="EUI41" s="222"/>
      <c r="EUJ41" s="222"/>
      <c r="EUK41" s="222"/>
      <c r="EUL41" s="222"/>
      <c r="EUM41" s="222"/>
      <c r="EUN41" s="222"/>
      <c r="EUO41" s="222"/>
      <c r="EUP41" s="222"/>
      <c r="EUQ41" s="222"/>
      <c r="EUR41" s="222"/>
      <c r="EUS41" s="222"/>
      <c r="EUT41" s="222"/>
      <c r="EUU41" s="222"/>
      <c r="EUV41" s="222"/>
      <c r="EUW41" s="222"/>
      <c r="EUX41" s="222"/>
      <c r="EUY41" s="222"/>
      <c r="EUZ41" s="222"/>
      <c r="EVA41" s="222"/>
      <c r="EVB41" s="222"/>
      <c r="EVC41" s="222"/>
      <c r="EVD41" s="222"/>
      <c r="EVE41" s="222"/>
      <c r="EVF41" s="222"/>
      <c r="EVG41" s="222"/>
      <c r="EVH41" s="222"/>
      <c r="EVI41" s="222"/>
      <c r="EVJ41" s="222"/>
      <c r="EVK41" s="222"/>
      <c r="EVL41" s="222"/>
      <c r="EVM41" s="222"/>
      <c r="EVN41" s="222"/>
      <c r="EVO41" s="222"/>
      <c r="EVP41" s="222"/>
      <c r="EVQ41" s="222"/>
      <c r="EVR41" s="222"/>
      <c r="EVS41" s="222"/>
      <c r="EVT41" s="222"/>
      <c r="EVU41" s="222"/>
      <c r="EVV41" s="222"/>
      <c r="EVW41" s="222"/>
      <c r="EVX41" s="222"/>
      <c r="EVY41" s="222"/>
      <c r="EVZ41" s="222"/>
      <c r="EWA41" s="222"/>
      <c r="EWB41" s="222"/>
      <c r="EWC41" s="222"/>
      <c r="EWD41" s="222"/>
      <c r="EWE41" s="222"/>
      <c r="EWF41" s="222"/>
      <c r="EWG41" s="222"/>
      <c r="EWH41" s="222"/>
      <c r="EWI41" s="222"/>
      <c r="EWJ41" s="222"/>
      <c r="EWK41" s="222"/>
      <c r="EWL41" s="222"/>
      <c r="EWM41" s="222"/>
      <c r="EWN41" s="222"/>
      <c r="EWO41" s="222"/>
      <c r="EWP41" s="222"/>
      <c r="EWQ41" s="222"/>
      <c r="EWR41" s="222"/>
      <c r="EWS41" s="222"/>
      <c r="EWT41" s="222"/>
      <c r="EWU41" s="222"/>
      <c r="EWV41" s="222"/>
      <c r="EWW41" s="222"/>
      <c r="EWX41" s="222"/>
      <c r="EWY41" s="222"/>
      <c r="EWZ41" s="222"/>
      <c r="EXA41" s="222"/>
      <c r="EXB41" s="222"/>
      <c r="EXC41" s="222"/>
      <c r="EXD41" s="222"/>
      <c r="EXE41" s="222"/>
      <c r="EXF41" s="222"/>
      <c r="EXG41" s="222"/>
      <c r="EXH41" s="222"/>
      <c r="EXI41" s="222"/>
      <c r="EXJ41" s="222"/>
      <c r="EXK41" s="222"/>
      <c r="EXL41" s="222"/>
      <c r="EXM41" s="222"/>
      <c r="EXN41" s="222"/>
      <c r="EXO41" s="222"/>
      <c r="EXP41" s="222"/>
      <c r="EXQ41" s="222"/>
      <c r="EXR41" s="222"/>
      <c r="EXS41" s="222"/>
      <c r="EXT41" s="222"/>
      <c r="EXU41" s="222"/>
      <c r="EXV41" s="222"/>
      <c r="EXW41" s="222"/>
      <c r="EXX41" s="222"/>
      <c r="EXY41" s="222"/>
      <c r="EXZ41" s="222"/>
      <c r="EYA41" s="222"/>
      <c r="EYB41" s="222"/>
      <c r="EYC41" s="222"/>
      <c r="EYD41" s="222"/>
      <c r="EYE41" s="222"/>
      <c r="EYF41" s="222"/>
      <c r="EYG41" s="222"/>
      <c r="EYH41" s="222"/>
      <c r="EYI41" s="222"/>
      <c r="EYJ41" s="222"/>
      <c r="EYK41" s="222"/>
      <c r="EYL41" s="222"/>
      <c r="EYM41" s="222"/>
      <c r="EYN41" s="222"/>
      <c r="EYO41" s="222"/>
      <c r="EYP41" s="222"/>
      <c r="EYQ41" s="222"/>
      <c r="EYR41" s="222"/>
      <c r="EYS41" s="222"/>
      <c r="EYT41" s="222"/>
      <c r="EYU41" s="222"/>
      <c r="EYV41" s="222"/>
      <c r="EYW41" s="222"/>
      <c r="EYX41" s="222"/>
      <c r="EYY41" s="222"/>
      <c r="EYZ41" s="222"/>
      <c r="EZA41" s="222"/>
      <c r="EZB41" s="222"/>
      <c r="EZC41" s="222"/>
      <c r="EZD41" s="222"/>
      <c r="EZE41" s="222"/>
      <c r="EZF41" s="222"/>
      <c r="EZG41" s="222"/>
      <c r="EZH41" s="222"/>
      <c r="EZI41" s="222"/>
      <c r="EZJ41" s="222"/>
      <c r="EZK41" s="222"/>
      <c r="EZL41" s="222"/>
      <c r="EZM41" s="222"/>
      <c r="EZN41" s="222"/>
      <c r="EZO41" s="222"/>
      <c r="EZP41" s="222"/>
      <c r="EZQ41" s="222"/>
      <c r="EZR41" s="222"/>
      <c r="EZS41" s="222"/>
      <c r="EZT41" s="222"/>
      <c r="EZU41" s="222"/>
      <c r="EZV41" s="222"/>
      <c r="EZW41" s="222"/>
      <c r="EZX41" s="222"/>
      <c r="EZY41" s="222"/>
      <c r="EZZ41" s="222"/>
      <c r="FAA41" s="222"/>
      <c r="FAB41" s="222"/>
      <c r="FAC41" s="222"/>
      <c r="FAD41" s="222"/>
      <c r="FAE41" s="222"/>
      <c r="FAF41" s="222"/>
      <c r="FAG41" s="222"/>
      <c r="FAH41" s="222"/>
      <c r="FAI41" s="222"/>
      <c r="FAJ41" s="222"/>
      <c r="FAK41" s="222"/>
      <c r="FAL41" s="222"/>
      <c r="FAM41" s="222"/>
      <c r="FAN41" s="222"/>
      <c r="FAO41" s="222"/>
      <c r="FAP41" s="222"/>
      <c r="FAQ41" s="222"/>
      <c r="FAR41" s="222"/>
      <c r="FAS41" s="222"/>
      <c r="FAT41" s="222"/>
      <c r="FAU41" s="222"/>
      <c r="FAV41" s="222"/>
      <c r="FAW41" s="222"/>
      <c r="FAX41" s="222"/>
      <c r="FAY41" s="222"/>
      <c r="FAZ41" s="222"/>
      <c r="FBA41" s="222"/>
      <c r="FBB41" s="222"/>
      <c r="FBC41" s="222"/>
      <c r="FBD41" s="222"/>
      <c r="FBE41" s="222"/>
      <c r="FBF41" s="222"/>
      <c r="FBG41" s="222"/>
      <c r="FBH41" s="222"/>
      <c r="FBI41" s="222"/>
      <c r="FBJ41" s="222"/>
      <c r="FBK41" s="222"/>
      <c r="FBL41" s="222"/>
      <c r="FBM41" s="222"/>
      <c r="FBN41" s="222"/>
      <c r="FBO41" s="222"/>
      <c r="FBP41" s="222"/>
      <c r="FBQ41" s="222"/>
      <c r="FBR41" s="222"/>
      <c r="FBS41" s="222"/>
      <c r="FBT41" s="222"/>
      <c r="FBU41" s="222"/>
      <c r="FBV41" s="222"/>
      <c r="FBW41" s="222"/>
      <c r="FBX41" s="222"/>
      <c r="FBY41" s="222"/>
      <c r="FBZ41" s="222"/>
      <c r="FCA41" s="222"/>
      <c r="FCB41" s="222"/>
      <c r="FCC41" s="222"/>
      <c r="FCD41" s="222"/>
      <c r="FCE41" s="222"/>
      <c r="FCF41" s="222"/>
      <c r="FCG41" s="222"/>
      <c r="FCH41" s="222"/>
      <c r="FCI41" s="222"/>
      <c r="FCJ41" s="222"/>
      <c r="FCK41" s="222"/>
      <c r="FCL41" s="222"/>
      <c r="FCM41" s="222"/>
      <c r="FCN41" s="222"/>
      <c r="FCO41" s="222"/>
      <c r="FCP41" s="222"/>
      <c r="FCQ41" s="222"/>
      <c r="FCR41" s="222"/>
      <c r="FCS41" s="222"/>
      <c r="FCT41" s="222"/>
      <c r="FCU41" s="222"/>
      <c r="FCV41" s="222"/>
      <c r="FCW41" s="222"/>
      <c r="FCX41" s="222"/>
      <c r="FCY41" s="222"/>
      <c r="FCZ41" s="222"/>
      <c r="FDA41" s="222"/>
      <c r="FDB41" s="222"/>
      <c r="FDC41" s="222"/>
      <c r="FDD41" s="222"/>
      <c r="FDE41" s="222"/>
      <c r="FDF41" s="222"/>
      <c r="FDG41" s="222"/>
      <c r="FDH41" s="222"/>
      <c r="FDI41" s="222"/>
      <c r="FDJ41" s="222"/>
      <c r="FDK41" s="222"/>
      <c r="FDL41" s="222"/>
      <c r="FDM41" s="222"/>
      <c r="FDN41" s="222"/>
      <c r="FDO41" s="222"/>
      <c r="FDP41" s="222"/>
      <c r="FDQ41" s="222"/>
      <c r="FDR41" s="222"/>
      <c r="FDS41" s="222"/>
      <c r="FDT41" s="222"/>
      <c r="FDU41" s="222"/>
      <c r="FDV41" s="222"/>
      <c r="FDW41" s="222"/>
      <c r="FDX41" s="222"/>
      <c r="FDY41" s="222"/>
      <c r="FDZ41" s="222"/>
      <c r="FEA41" s="222"/>
      <c r="FEB41" s="222"/>
      <c r="FEC41" s="222"/>
      <c r="FED41" s="222"/>
      <c r="FEE41" s="222"/>
      <c r="FEF41" s="222"/>
      <c r="FEG41" s="222"/>
      <c r="FEH41" s="222"/>
      <c r="FEI41" s="222"/>
      <c r="FEJ41" s="222"/>
      <c r="FEK41" s="222"/>
      <c r="FEL41" s="222"/>
      <c r="FEM41" s="222"/>
      <c r="FEN41" s="222"/>
      <c r="FEO41" s="222"/>
      <c r="FEP41" s="222"/>
      <c r="FEQ41" s="222"/>
      <c r="FER41" s="222"/>
      <c r="FES41" s="222"/>
      <c r="FET41" s="222"/>
      <c r="FEU41" s="222"/>
      <c r="FEV41" s="222"/>
      <c r="FEW41" s="222"/>
      <c r="FEX41" s="222"/>
      <c r="FEY41" s="222"/>
      <c r="FEZ41" s="222"/>
      <c r="FFA41" s="222"/>
      <c r="FFB41" s="222"/>
      <c r="FFC41" s="222"/>
      <c r="FFD41" s="222"/>
      <c r="FFE41" s="222"/>
      <c r="FFF41" s="222"/>
      <c r="FFG41" s="222"/>
      <c r="FFH41" s="222"/>
      <c r="FFI41" s="222"/>
      <c r="FFJ41" s="222"/>
      <c r="FFK41" s="222"/>
      <c r="FFL41" s="222"/>
      <c r="FFM41" s="222"/>
      <c r="FFN41" s="222"/>
      <c r="FFO41" s="222"/>
      <c r="FFP41" s="222"/>
      <c r="FFQ41" s="222"/>
      <c r="FFR41" s="222"/>
      <c r="FFS41" s="222"/>
      <c r="FFT41" s="222"/>
      <c r="FFU41" s="222"/>
      <c r="FFV41" s="222"/>
      <c r="FFW41" s="222"/>
      <c r="FFX41" s="222"/>
      <c r="FFY41" s="222"/>
      <c r="FFZ41" s="222"/>
      <c r="FGA41" s="222"/>
      <c r="FGB41" s="222"/>
      <c r="FGC41" s="222"/>
      <c r="FGD41" s="222"/>
      <c r="FGE41" s="222"/>
      <c r="FGF41" s="222"/>
      <c r="FGG41" s="222"/>
      <c r="FGH41" s="222"/>
      <c r="FGI41" s="222"/>
      <c r="FGJ41" s="222"/>
      <c r="FGK41" s="222"/>
      <c r="FGL41" s="222"/>
      <c r="FGM41" s="222"/>
      <c r="FGN41" s="222"/>
      <c r="FGO41" s="222"/>
      <c r="FGP41" s="222"/>
      <c r="FGQ41" s="222"/>
      <c r="FGR41" s="222"/>
      <c r="FGS41" s="222"/>
      <c r="FGT41" s="222"/>
      <c r="FGU41" s="222"/>
      <c r="FGV41" s="222"/>
      <c r="FGW41" s="222"/>
      <c r="FGX41" s="222"/>
      <c r="FGY41" s="222"/>
      <c r="FGZ41" s="222"/>
      <c r="FHA41" s="222"/>
      <c r="FHB41" s="222"/>
      <c r="FHC41" s="222"/>
      <c r="FHD41" s="222"/>
      <c r="FHE41" s="222"/>
      <c r="FHF41" s="222"/>
      <c r="FHG41" s="222"/>
      <c r="FHH41" s="222"/>
      <c r="FHI41" s="222"/>
      <c r="FHJ41" s="222"/>
      <c r="FHK41" s="222"/>
      <c r="FHL41" s="222"/>
      <c r="FHM41" s="222"/>
      <c r="FHN41" s="222"/>
      <c r="FHO41" s="222"/>
      <c r="FHP41" s="222"/>
      <c r="FHQ41" s="222"/>
      <c r="FHR41" s="222"/>
      <c r="FHS41" s="222"/>
      <c r="FHT41" s="222"/>
      <c r="FHU41" s="222"/>
      <c r="FHV41" s="222"/>
      <c r="FHW41" s="222"/>
      <c r="FHX41" s="222"/>
      <c r="FHY41" s="222"/>
      <c r="FHZ41" s="222"/>
      <c r="FIA41" s="222"/>
      <c r="FIB41" s="222"/>
      <c r="FIC41" s="222"/>
      <c r="FID41" s="222"/>
      <c r="FIE41" s="222"/>
      <c r="FIF41" s="222"/>
      <c r="FIG41" s="222"/>
      <c r="FIH41" s="222"/>
      <c r="FII41" s="222"/>
      <c r="FIJ41" s="222"/>
      <c r="FIK41" s="222"/>
      <c r="FIL41" s="222"/>
      <c r="FIM41" s="222"/>
      <c r="FIN41" s="222"/>
      <c r="FIO41" s="222"/>
      <c r="FIP41" s="222"/>
      <c r="FIQ41" s="222"/>
      <c r="FIR41" s="222"/>
      <c r="FIS41" s="222"/>
      <c r="FIT41" s="222"/>
      <c r="FIU41" s="222"/>
      <c r="FIV41" s="222"/>
      <c r="FIW41" s="222"/>
      <c r="FIX41" s="222"/>
      <c r="FIY41" s="222"/>
      <c r="FIZ41" s="222"/>
      <c r="FJA41" s="222"/>
      <c r="FJB41" s="222"/>
      <c r="FJC41" s="222"/>
      <c r="FJD41" s="222"/>
      <c r="FJE41" s="222"/>
      <c r="FJF41" s="222"/>
      <c r="FJG41" s="222"/>
      <c r="FJH41" s="222"/>
      <c r="FJI41" s="222"/>
      <c r="FJJ41" s="222"/>
      <c r="FJK41" s="222"/>
      <c r="FJL41" s="222"/>
      <c r="FJM41" s="222"/>
      <c r="FJN41" s="222"/>
      <c r="FJO41" s="222"/>
      <c r="FJP41" s="222"/>
      <c r="FJQ41" s="222"/>
      <c r="FJR41" s="222"/>
      <c r="FJS41" s="222"/>
      <c r="FJT41" s="222"/>
      <c r="FJU41" s="222"/>
      <c r="FJV41" s="222"/>
      <c r="FJW41" s="222"/>
      <c r="FJX41" s="222"/>
      <c r="FJY41" s="222"/>
      <c r="FJZ41" s="222"/>
      <c r="FKA41" s="222"/>
      <c r="FKB41" s="222"/>
      <c r="FKC41" s="222"/>
      <c r="FKD41" s="222"/>
      <c r="FKE41" s="222"/>
      <c r="FKF41" s="222"/>
      <c r="FKG41" s="222"/>
      <c r="FKH41" s="222"/>
      <c r="FKI41" s="222"/>
      <c r="FKJ41" s="222"/>
      <c r="FKK41" s="222"/>
      <c r="FKL41" s="222"/>
      <c r="FKM41" s="222"/>
      <c r="FKN41" s="222"/>
      <c r="FKO41" s="222"/>
      <c r="FKP41" s="222"/>
      <c r="FKQ41" s="222"/>
      <c r="FKR41" s="222"/>
      <c r="FKS41" s="222"/>
      <c r="FKT41" s="222"/>
      <c r="FKU41" s="222"/>
      <c r="FKV41" s="222"/>
      <c r="FKW41" s="222"/>
      <c r="FKX41" s="222"/>
      <c r="FKY41" s="222"/>
      <c r="FKZ41" s="222"/>
      <c r="FLA41" s="222"/>
      <c r="FLB41" s="222"/>
      <c r="FLC41" s="222"/>
      <c r="FLD41" s="222"/>
      <c r="FLE41" s="222"/>
      <c r="FLF41" s="222"/>
      <c r="FLG41" s="222"/>
      <c r="FLH41" s="222"/>
      <c r="FLI41" s="222"/>
      <c r="FLJ41" s="222"/>
      <c r="FLK41" s="222"/>
      <c r="FLL41" s="222"/>
      <c r="FLM41" s="222"/>
      <c r="FLN41" s="222"/>
      <c r="FLO41" s="222"/>
      <c r="FLP41" s="222"/>
      <c r="FLQ41" s="222"/>
      <c r="FLR41" s="222"/>
      <c r="FLS41" s="222"/>
      <c r="FLT41" s="222"/>
      <c r="FLU41" s="222"/>
      <c r="FLV41" s="222"/>
      <c r="FLW41" s="222"/>
      <c r="FLX41" s="222"/>
      <c r="FLY41" s="222"/>
      <c r="FLZ41" s="222"/>
      <c r="FMA41" s="222"/>
      <c r="FMB41" s="222"/>
      <c r="FMC41" s="222"/>
      <c r="FMD41" s="222"/>
      <c r="FME41" s="222"/>
      <c r="FMF41" s="222"/>
      <c r="FMG41" s="222"/>
      <c r="FMH41" s="222"/>
      <c r="FMI41" s="222"/>
      <c r="FMJ41" s="222"/>
      <c r="FMK41" s="222"/>
      <c r="FML41" s="222"/>
      <c r="FMM41" s="222"/>
      <c r="FMN41" s="222"/>
      <c r="FMO41" s="222"/>
      <c r="FMP41" s="222"/>
      <c r="FMQ41" s="222"/>
      <c r="FMR41" s="222"/>
      <c r="FMS41" s="222"/>
      <c r="FMT41" s="222"/>
      <c r="FMU41" s="222"/>
      <c r="FMV41" s="222"/>
      <c r="FMW41" s="222"/>
      <c r="FMX41" s="222"/>
      <c r="FMY41" s="222"/>
      <c r="FMZ41" s="222"/>
      <c r="FNA41" s="222"/>
      <c r="FNB41" s="222"/>
      <c r="FNC41" s="222"/>
      <c r="FND41" s="222"/>
      <c r="FNE41" s="222"/>
      <c r="FNF41" s="222"/>
      <c r="FNG41" s="222"/>
      <c r="FNH41" s="222"/>
      <c r="FNI41" s="222"/>
      <c r="FNJ41" s="222"/>
      <c r="FNK41" s="222"/>
      <c r="FNL41" s="222"/>
      <c r="FNM41" s="222"/>
      <c r="FNN41" s="222"/>
      <c r="FNO41" s="222"/>
      <c r="FNP41" s="222"/>
      <c r="FNQ41" s="222"/>
      <c r="FNR41" s="222"/>
      <c r="FNS41" s="222"/>
      <c r="FNT41" s="222"/>
      <c r="FNU41" s="222"/>
      <c r="FNV41" s="222"/>
      <c r="FNW41" s="222"/>
      <c r="FNX41" s="222"/>
      <c r="FNY41" s="222"/>
      <c r="FNZ41" s="222"/>
      <c r="FOA41" s="222"/>
      <c r="FOB41" s="222"/>
      <c r="FOC41" s="222"/>
      <c r="FOD41" s="222"/>
      <c r="FOE41" s="222"/>
      <c r="FOF41" s="222"/>
      <c r="FOG41" s="222"/>
      <c r="FOH41" s="222"/>
      <c r="FOI41" s="222"/>
      <c r="FOJ41" s="222"/>
      <c r="FOK41" s="222"/>
      <c r="FOL41" s="222"/>
      <c r="FOM41" s="222"/>
      <c r="FON41" s="222"/>
      <c r="FOO41" s="222"/>
      <c r="FOP41" s="222"/>
      <c r="FOQ41" s="222"/>
      <c r="FOR41" s="222"/>
      <c r="FOS41" s="222"/>
      <c r="FOT41" s="222"/>
      <c r="FOU41" s="222"/>
      <c r="FOV41" s="222"/>
      <c r="FOW41" s="222"/>
      <c r="FOX41" s="222"/>
      <c r="FOY41" s="222"/>
      <c r="FOZ41" s="222"/>
      <c r="FPA41" s="222"/>
      <c r="FPB41" s="222"/>
      <c r="FPC41" s="222"/>
      <c r="FPD41" s="222"/>
      <c r="FPE41" s="222"/>
      <c r="FPF41" s="222"/>
      <c r="FPG41" s="222"/>
      <c r="FPH41" s="222"/>
      <c r="FPI41" s="222"/>
      <c r="FPJ41" s="222"/>
      <c r="FPK41" s="222"/>
      <c r="FPL41" s="222"/>
      <c r="FPM41" s="222"/>
      <c r="FPN41" s="222"/>
      <c r="FPO41" s="222"/>
      <c r="FPP41" s="222"/>
      <c r="FPQ41" s="222"/>
      <c r="FPR41" s="222"/>
      <c r="FPS41" s="222"/>
      <c r="FPT41" s="222"/>
      <c r="FPU41" s="222"/>
      <c r="FPV41" s="222"/>
      <c r="FPW41" s="222"/>
      <c r="FPX41" s="222"/>
      <c r="FPY41" s="222"/>
      <c r="FPZ41" s="222"/>
      <c r="FQA41" s="222"/>
      <c r="FQB41" s="222"/>
      <c r="FQC41" s="222"/>
      <c r="FQD41" s="222"/>
      <c r="FQE41" s="222"/>
      <c r="FQF41" s="222"/>
      <c r="FQG41" s="222"/>
      <c r="FQH41" s="222"/>
      <c r="FQI41" s="222"/>
      <c r="FQJ41" s="222"/>
      <c r="FQK41" s="222"/>
      <c r="FQL41" s="222"/>
      <c r="FQM41" s="222"/>
      <c r="FQN41" s="222"/>
      <c r="FQO41" s="222"/>
      <c r="FQP41" s="222"/>
      <c r="FQQ41" s="222"/>
      <c r="FQR41" s="222"/>
      <c r="FQS41" s="222"/>
      <c r="FQT41" s="222"/>
      <c r="FQU41" s="222"/>
      <c r="FQV41" s="222"/>
      <c r="FQW41" s="222"/>
      <c r="FQX41" s="222"/>
      <c r="FQY41" s="222"/>
      <c r="FQZ41" s="222"/>
      <c r="FRA41" s="222"/>
      <c r="FRB41" s="222"/>
      <c r="FRC41" s="222"/>
      <c r="FRD41" s="222"/>
      <c r="FRE41" s="222"/>
      <c r="FRF41" s="222"/>
      <c r="FRG41" s="222"/>
      <c r="FRH41" s="222"/>
      <c r="FRI41" s="222"/>
      <c r="FRJ41" s="222"/>
      <c r="FRK41" s="222"/>
      <c r="FRL41" s="222"/>
      <c r="FRM41" s="222"/>
      <c r="FRN41" s="222"/>
      <c r="FRO41" s="222"/>
      <c r="FRP41" s="222"/>
      <c r="FRQ41" s="222"/>
      <c r="FRR41" s="222"/>
      <c r="FRS41" s="222"/>
      <c r="FRT41" s="222"/>
      <c r="FRU41" s="222"/>
      <c r="FRV41" s="222"/>
      <c r="FRW41" s="222"/>
      <c r="FRX41" s="222"/>
      <c r="FRY41" s="222"/>
      <c r="FRZ41" s="222"/>
      <c r="FSA41" s="222"/>
      <c r="FSB41" s="222"/>
      <c r="FSC41" s="222"/>
      <c r="FSD41" s="222"/>
      <c r="FSE41" s="222"/>
      <c r="FSF41" s="222"/>
      <c r="FSG41" s="222"/>
      <c r="FSH41" s="222"/>
      <c r="FSI41" s="222"/>
      <c r="FSJ41" s="222"/>
      <c r="FSK41" s="222"/>
      <c r="FSL41" s="222"/>
      <c r="FSM41" s="222"/>
      <c r="FSN41" s="222"/>
      <c r="FSO41" s="222"/>
      <c r="FSP41" s="222"/>
      <c r="FSQ41" s="222"/>
      <c r="FSR41" s="222"/>
      <c r="FSS41" s="222"/>
      <c r="FST41" s="222"/>
      <c r="FSU41" s="222"/>
      <c r="FSV41" s="222"/>
      <c r="FSW41" s="222"/>
      <c r="FSX41" s="222"/>
      <c r="FSY41" s="222"/>
      <c r="FSZ41" s="222"/>
      <c r="FTA41" s="222"/>
      <c r="FTB41" s="222"/>
      <c r="FTC41" s="222"/>
      <c r="FTD41" s="222"/>
      <c r="FTE41" s="222"/>
      <c r="FTF41" s="222"/>
      <c r="FTG41" s="222"/>
      <c r="FTH41" s="222"/>
      <c r="FTI41" s="222"/>
      <c r="FTJ41" s="222"/>
      <c r="FTK41" s="222"/>
      <c r="FTL41" s="222"/>
      <c r="FTM41" s="222"/>
      <c r="FTN41" s="222"/>
      <c r="FTO41" s="222"/>
      <c r="FTP41" s="222"/>
      <c r="FTQ41" s="222"/>
      <c r="FTR41" s="222"/>
      <c r="FTS41" s="222"/>
      <c r="FTT41" s="222"/>
      <c r="FTU41" s="222"/>
      <c r="FTV41" s="222"/>
      <c r="FTW41" s="222"/>
      <c r="FTX41" s="222"/>
      <c r="FTY41" s="222"/>
      <c r="FTZ41" s="222"/>
      <c r="FUA41" s="222"/>
      <c r="FUB41" s="222"/>
      <c r="FUC41" s="222"/>
      <c r="FUD41" s="222"/>
      <c r="FUE41" s="222"/>
      <c r="FUF41" s="222"/>
      <c r="FUG41" s="222"/>
      <c r="FUH41" s="222"/>
      <c r="FUI41" s="222"/>
      <c r="FUJ41" s="222"/>
      <c r="FUK41" s="222"/>
      <c r="FUL41" s="222"/>
      <c r="FUM41" s="222"/>
      <c r="FUN41" s="222"/>
      <c r="FUO41" s="222"/>
      <c r="FUP41" s="222"/>
      <c r="FUQ41" s="222"/>
      <c r="FUR41" s="222"/>
      <c r="FUS41" s="222"/>
      <c r="FUT41" s="222"/>
      <c r="FUU41" s="222"/>
      <c r="FUV41" s="222"/>
      <c r="FUW41" s="222"/>
      <c r="FUX41" s="222"/>
      <c r="FUY41" s="222"/>
      <c r="FUZ41" s="222"/>
      <c r="FVA41" s="222"/>
      <c r="FVB41" s="222"/>
      <c r="FVC41" s="222"/>
      <c r="FVD41" s="222"/>
      <c r="FVE41" s="222"/>
      <c r="FVF41" s="222"/>
      <c r="FVG41" s="222"/>
      <c r="FVH41" s="222"/>
      <c r="FVI41" s="222"/>
      <c r="FVJ41" s="222"/>
      <c r="FVK41" s="222"/>
      <c r="FVL41" s="222"/>
      <c r="FVM41" s="222"/>
      <c r="FVN41" s="222"/>
      <c r="FVO41" s="222"/>
      <c r="FVP41" s="222"/>
      <c r="FVQ41" s="222"/>
      <c r="FVR41" s="222"/>
      <c r="FVS41" s="222"/>
      <c r="FVT41" s="222"/>
      <c r="FVU41" s="222"/>
      <c r="FVV41" s="222"/>
      <c r="FVW41" s="222"/>
      <c r="FVX41" s="222"/>
      <c r="FVY41" s="222"/>
      <c r="FVZ41" s="222"/>
      <c r="FWA41" s="222"/>
      <c r="FWB41" s="222"/>
      <c r="FWC41" s="222"/>
      <c r="FWD41" s="222"/>
      <c r="FWE41" s="222"/>
      <c r="FWF41" s="222"/>
      <c r="FWG41" s="222"/>
      <c r="FWH41" s="222"/>
      <c r="FWI41" s="222"/>
      <c r="FWJ41" s="222"/>
      <c r="FWK41" s="222"/>
      <c r="FWL41" s="222"/>
      <c r="FWM41" s="222"/>
      <c r="FWN41" s="222"/>
      <c r="FWO41" s="222"/>
      <c r="FWP41" s="222"/>
      <c r="FWQ41" s="222"/>
      <c r="FWR41" s="222"/>
      <c r="FWS41" s="222"/>
      <c r="FWT41" s="222"/>
      <c r="FWU41" s="222"/>
      <c r="FWV41" s="222"/>
      <c r="FWW41" s="222"/>
      <c r="FWX41" s="222"/>
      <c r="FWY41" s="222"/>
      <c r="FWZ41" s="222"/>
      <c r="FXA41" s="222"/>
      <c r="FXB41" s="222"/>
      <c r="FXC41" s="222"/>
      <c r="FXD41" s="222"/>
      <c r="FXE41" s="222"/>
      <c r="FXF41" s="222"/>
      <c r="FXG41" s="222"/>
      <c r="FXH41" s="222"/>
      <c r="FXI41" s="222"/>
      <c r="FXJ41" s="222"/>
      <c r="FXK41" s="222"/>
      <c r="FXL41" s="222"/>
      <c r="FXM41" s="222"/>
      <c r="FXN41" s="222"/>
      <c r="FXO41" s="222"/>
      <c r="FXP41" s="222"/>
      <c r="FXQ41" s="222"/>
      <c r="FXR41" s="222"/>
      <c r="FXS41" s="222"/>
      <c r="FXT41" s="222"/>
      <c r="FXU41" s="222"/>
      <c r="FXV41" s="222"/>
      <c r="FXW41" s="222"/>
      <c r="FXX41" s="222"/>
      <c r="FXY41" s="222"/>
      <c r="FXZ41" s="222"/>
      <c r="FYA41" s="222"/>
      <c r="FYB41" s="222"/>
      <c r="FYC41" s="222"/>
      <c r="FYD41" s="222"/>
      <c r="FYE41" s="222"/>
      <c r="FYF41" s="222"/>
      <c r="FYG41" s="222"/>
      <c r="FYH41" s="222"/>
      <c r="FYI41" s="222"/>
      <c r="FYJ41" s="222"/>
      <c r="FYK41" s="222"/>
      <c r="FYL41" s="222"/>
      <c r="FYM41" s="222"/>
      <c r="FYN41" s="222"/>
      <c r="FYO41" s="222"/>
      <c r="FYP41" s="222"/>
      <c r="FYQ41" s="222"/>
      <c r="FYR41" s="222"/>
      <c r="FYS41" s="222"/>
      <c r="FYT41" s="222"/>
      <c r="FYU41" s="222"/>
      <c r="FYV41" s="222"/>
      <c r="FYW41" s="222"/>
      <c r="FYX41" s="222"/>
      <c r="FYY41" s="222"/>
      <c r="FYZ41" s="222"/>
      <c r="FZA41" s="222"/>
      <c r="FZB41" s="222"/>
      <c r="FZC41" s="222"/>
      <c r="FZD41" s="222"/>
      <c r="FZE41" s="222"/>
      <c r="FZF41" s="222"/>
      <c r="FZG41" s="222"/>
      <c r="FZH41" s="222"/>
      <c r="FZI41" s="222"/>
      <c r="FZJ41" s="222"/>
      <c r="FZK41" s="222"/>
      <c r="FZL41" s="222"/>
      <c r="FZM41" s="222"/>
      <c r="FZN41" s="222"/>
      <c r="FZO41" s="222"/>
      <c r="FZP41" s="222"/>
      <c r="FZQ41" s="222"/>
      <c r="FZR41" s="222"/>
      <c r="FZS41" s="222"/>
      <c r="FZT41" s="222"/>
      <c r="FZU41" s="222"/>
      <c r="FZV41" s="222"/>
      <c r="FZW41" s="222"/>
      <c r="FZX41" s="222"/>
      <c r="FZY41" s="222"/>
      <c r="FZZ41" s="222"/>
      <c r="GAA41" s="222"/>
      <c r="GAB41" s="222"/>
      <c r="GAC41" s="222"/>
      <c r="GAD41" s="222"/>
      <c r="GAE41" s="222"/>
      <c r="GAF41" s="222"/>
      <c r="GAG41" s="222"/>
      <c r="GAH41" s="222"/>
      <c r="GAI41" s="222"/>
      <c r="GAJ41" s="222"/>
      <c r="GAK41" s="222"/>
      <c r="GAL41" s="222"/>
      <c r="GAM41" s="222"/>
      <c r="GAN41" s="222"/>
      <c r="GAO41" s="222"/>
      <c r="GAP41" s="222"/>
      <c r="GAQ41" s="222"/>
      <c r="GAR41" s="222"/>
      <c r="GAS41" s="222"/>
      <c r="GAT41" s="222"/>
      <c r="GAU41" s="222"/>
      <c r="GAV41" s="222"/>
      <c r="GAW41" s="222"/>
      <c r="GAX41" s="222"/>
      <c r="GAY41" s="222"/>
      <c r="GAZ41" s="222"/>
      <c r="GBA41" s="222"/>
      <c r="GBB41" s="222"/>
      <c r="GBC41" s="222"/>
      <c r="GBD41" s="222"/>
      <c r="GBE41" s="222"/>
      <c r="GBF41" s="222"/>
      <c r="GBG41" s="222"/>
      <c r="GBH41" s="222"/>
      <c r="GBI41" s="222"/>
      <c r="GBJ41" s="222"/>
      <c r="GBK41" s="222"/>
      <c r="GBL41" s="222"/>
      <c r="GBM41" s="222"/>
      <c r="GBN41" s="222"/>
      <c r="GBO41" s="222"/>
      <c r="GBP41" s="222"/>
      <c r="GBQ41" s="222"/>
      <c r="GBR41" s="222"/>
      <c r="GBS41" s="222"/>
      <c r="GBT41" s="222"/>
      <c r="GBU41" s="222"/>
      <c r="GBV41" s="222"/>
      <c r="GBW41" s="222"/>
      <c r="GBX41" s="222"/>
      <c r="GBY41" s="222"/>
      <c r="GBZ41" s="222"/>
      <c r="GCA41" s="222"/>
      <c r="GCB41" s="222"/>
      <c r="GCC41" s="222"/>
      <c r="GCD41" s="222"/>
      <c r="GCE41" s="222"/>
      <c r="GCF41" s="222"/>
      <c r="GCG41" s="222"/>
      <c r="GCH41" s="222"/>
      <c r="GCI41" s="222"/>
      <c r="GCJ41" s="222"/>
      <c r="GCK41" s="222"/>
      <c r="GCL41" s="222"/>
      <c r="GCM41" s="222"/>
      <c r="GCN41" s="222"/>
      <c r="GCO41" s="222"/>
      <c r="GCP41" s="222"/>
      <c r="GCQ41" s="222"/>
      <c r="GCR41" s="222"/>
      <c r="GCS41" s="222"/>
      <c r="GCT41" s="222"/>
      <c r="GCU41" s="222"/>
      <c r="GCV41" s="222"/>
      <c r="GCW41" s="222"/>
      <c r="GCX41" s="222"/>
      <c r="GCY41" s="222"/>
      <c r="GCZ41" s="222"/>
      <c r="GDA41" s="222"/>
      <c r="GDB41" s="222"/>
      <c r="GDC41" s="222"/>
      <c r="GDD41" s="222"/>
      <c r="GDE41" s="222"/>
      <c r="GDF41" s="222"/>
      <c r="GDG41" s="222"/>
      <c r="GDH41" s="222"/>
      <c r="GDI41" s="222"/>
      <c r="GDJ41" s="222"/>
      <c r="GDK41" s="222"/>
      <c r="GDL41" s="222"/>
      <c r="GDM41" s="222"/>
      <c r="GDN41" s="222"/>
      <c r="GDO41" s="222"/>
      <c r="GDP41" s="222"/>
      <c r="GDQ41" s="222"/>
      <c r="GDR41" s="222"/>
      <c r="GDS41" s="222"/>
      <c r="GDT41" s="222"/>
      <c r="GDU41" s="222"/>
      <c r="GDV41" s="222"/>
      <c r="GDW41" s="222"/>
      <c r="GDX41" s="222"/>
      <c r="GDY41" s="222"/>
      <c r="GDZ41" s="222"/>
      <c r="GEA41" s="222"/>
      <c r="GEB41" s="222"/>
      <c r="GEC41" s="222"/>
      <c r="GED41" s="222"/>
      <c r="GEE41" s="222"/>
      <c r="GEF41" s="222"/>
      <c r="GEG41" s="222"/>
      <c r="GEH41" s="222"/>
      <c r="GEI41" s="222"/>
      <c r="GEJ41" s="222"/>
      <c r="GEK41" s="222"/>
      <c r="GEL41" s="222"/>
      <c r="GEM41" s="222"/>
      <c r="GEN41" s="222"/>
      <c r="GEO41" s="222"/>
      <c r="GEP41" s="222"/>
      <c r="GEQ41" s="222"/>
      <c r="GER41" s="222"/>
      <c r="GES41" s="222"/>
      <c r="GET41" s="222"/>
      <c r="GEU41" s="222"/>
      <c r="GEV41" s="222"/>
      <c r="GEW41" s="222"/>
      <c r="GEX41" s="222"/>
      <c r="GEY41" s="222"/>
      <c r="GEZ41" s="222"/>
      <c r="GFA41" s="222"/>
      <c r="GFB41" s="222"/>
      <c r="GFC41" s="222"/>
      <c r="GFD41" s="222"/>
      <c r="GFE41" s="222"/>
      <c r="GFF41" s="222"/>
      <c r="GFG41" s="222"/>
      <c r="GFH41" s="222"/>
      <c r="GFI41" s="222"/>
      <c r="GFJ41" s="222"/>
      <c r="GFK41" s="222"/>
      <c r="GFL41" s="222"/>
      <c r="GFM41" s="222"/>
      <c r="GFN41" s="222"/>
      <c r="GFO41" s="222"/>
      <c r="GFP41" s="222"/>
      <c r="GFQ41" s="222"/>
      <c r="GFR41" s="222"/>
      <c r="GFS41" s="222"/>
      <c r="GFT41" s="222"/>
      <c r="GFU41" s="222"/>
      <c r="GFV41" s="222"/>
      <c r="GFW41" s="222"/>
      <c r="GFX41" s="222"/>
      <c r="GFY41" s="222"/>
      <c r="GFZ41" s="222"/>
      <c r="GGA41" s="222"/>
      <c r="GGB41" s="222"/>
      <c r="GGC41" s="222"/>
      <c r="GGD41" s="222"/>
      <c r="GGE41" s="222"/>
      <c r="GGF41" s="222"/>
      <c r="GGG41" s="222"/>
      <c r="GGH41" s="222"/>
      <c r="GGI41" s="222"/>
      <c r="GGJ41" s="222"/>
      <c r="GGK41" s="222"/>
      <c r="GGL41" s="222"/>
      <c r="GGM41" s="222"/>
      <c r="GGN41" s="222"/>
      <c r="GGO41" s="222"/>
      <c r="GGP41" s="222"/>
      <c r="GGQ41" s="222"/>
      <c r="GGR41" s="222"/>
      <c r="GGS41" s="222"/>
      <c r="GGT41" s="222"/>
      <c r="GGU41" s="222"/>
      <c r="GGV41" s="222"/>
      <c r="GGW41" s="222"/>
      <c r="GGX41" s="222"/>
      <c r="GGY41" s="222"/>
      <c r="GGZ41" s="222"/>
      <c r="GHA41" s="222"/>
      <c r="GHB41" s="222"/>
      <c r="GHC41" s="222"/>
      <c r="GHD41" s="222"/>
      <c r="GHE41" s="222"/>
      <c r="GHF41" s="222"/>
      <c r="GHG41" s="222"/>
      <c r="GHH41" s="222"/>
      <c r="GHI41" s="222"/>
      <c r="GHJ41" s="222"/>
      <c r="GHK41" s="222"/>
      <c r="GHL41" s="222"/>
      <c r="GHM41" s="222"/>
      <c r="GHN41" s="222"/>
      <c r="GHO41" s="222"/>
      <c r="GHP41" s="222"/>
      <c r="GHQ41" s="222"/>
      <c r="GHR41" s="222"/>
      <c r="GHS41" s="222"/>
      <c r="GHT41" s="222"/>
      <c r="GHU41" s="222"/>
      <c r="GHV41" s="222"/>
      <c r="GHW41" s="222"/>
      <c r="GHX41" s="222"/>
      <c r="GHY41" s="222"/>
      <c r="GHZ41" s="222"/>
      <c r="GIA41" s="222"/>
      <c r="GIB41" s="222"/>
      <c r="GIC41" s="222"/>
      <c r="GID41" s="222"/>
      <c r="GIE41" s="222"/>
      <c r="GIF41" s="222"/>
      <c r="GIG41" s="222"/>
      <c r="GIH41" s="222"/>
      <c r="GII41" s="222"/>
      <c r="GIJ41" s="222"/>
      <c r="GIK41" s="222"/>
      <c r="GIL41" s="222"/>
      <c r="GIM41" s="222"/>
      <c r="GIN41" s="222"/>
      <c r="GIO41" s="222"/>
      <c r="GIP41" s="222"/>
      <c r="GIQ41" s="222"/>
      <c r="GIR41" s="222"/>
      <c r="GIS41" s="222"/>
      <c r="GIT41" s="222"/>
      <c r="GIU41" s="222"/>
      <c r="GIV41" s="222"/>
      <c r="GIW41" s="222"/>
      <c r="GIX41" s="222"/>
      <c r="GIY41" s="222"/>
      <c r="GIZ41" s="222"/>
      <c r="GJA41" s="222"/>
      <c r="GJB41" s="222"/>
      <c r="GJC41" s="222"/>
      <c r="GJD41" s="222"/>
      <c r="GJE41" s="222"/>
      <c r="GJF41" s="222"/>
      <c r="GJG41" s="222"/>
      <c r="GJH41" s="222"/>
      <c r="GJI41" s="222"/>
      <c r="GJJ41" s="222"/>
      <c r="GJK41" s="222"/>
      <c r="GJL41" s="222"/>
      <c r="GJM41" s="222"/>
      <c r="GJN41" s="222"/>
      <c r="GJO41" s="222"/>
      <c r="GJP41" s="222"/>
      <c r="GJQ41" s="222"/>
      <c r="GJR41" s="222"/>
      <c r="GJS41" s="222"/>
      <c r="GJT41" s="222"/>
      <c r="GJU41" s="222"/>
      <c r="GJV41" s="222"/>
      <c r="GJW41" s="222"/>
      <c r="GJX41" s="222"/>
      <c r="GJY41" s="222"/>
      <c r="GJZ41" s="222"/>
      <c r="GKA41" s="222"/>
      <c r="GKB41" s="222"/>
      <c r="GKC41" s="222"/>
      <c r="GKD41" s="222"/>
      <c r="GKE41" s="222"/>
      <c r="GKF41" s="222"/>
      <c r="GKG41" s="222"/>
      <c r="GKH41" s="222"/>
      <c r="GKI41" s="222"/>
      <c r="GKJ41" s="222"/>
      <c r="GKK41" s="222"/>
      <c r="GKL41" s="222"/>
      <c r="GKM41" s="222"/>
      <c r="GKN41" s="222"/>
      <c r="GKO41" s="222"/>
      <c r="GKP41" s="222"/>
      <c r="GKQ41" s="222"/>
      <c r="GKR41" s="222"/>
      <c r="GKS41" s="222"/>
      <c r="GKT41" s="222"/>
      <c r="GKU41" s="222"/>
      <c r="GKV41" s="222"/>
      <c r="GKW41" s="222"/>
      <c r="GKX41" s="222"/>
      <c r="GKY41" s="222"/>
      <c r="GKZ41" s="222"/>
      <c r="GLA41" s="222"/>
      <c r="GLB41" s="222"/>
      <c r="GLC41" s="222"/>
      <c r="GLD41" s="222"/>
      <c r="GLE41" s="222"/>
      <c r="GLF41" s="222"/>
      <c r="GLG41" s="222"/>
      <c r="GLH41" s="222"/>
      <c r="GLI41" s="222"/>
      <c r="GLJ41" s="222"/>
      <c r="GLK41" s="222"/>
      <c r="GLL41" s="222"/>
      <c r="GLM41" s="222"/>
      <c r="GLN41" s="222"/>
      <c r="GLO41" s="222"/>
      <c r="GLP41" s="222"/>
      <c r="GLQ41" s="222"/>
      <c r="GLR41" s="222"/>
      <c r="GLS41" s="222"/>
      <c r="GLT41" s="222"/>
      <c r="GLU41" s="222"/>
      <c r="GLV41" s="222"/>
      <c r="GLW41" s="222"/>
      <c r="GLX41" s="222"/>
      <c r="GLY41" s="222"/>
      <c r="GLZ41" s="222"/>
      <c r="GMA41" s="222"/>
      <c r="GMB41" s="222"/>
      <c r="GMC41" s="222"/>
      <c r="GMD41" s="222"/>
      <c r="GME41" s="222"/>
      <c r="GMF41" s="222"/>
      <c r="GMG41" s="222"/>
      <c r="GMH41" s="222"/>
      <c r="GMI41" s="222"/>
      <c r="GMJ41" s="222"/>
      <c r="GMK41" s="222"/>
      <c r="GML41" s="222"/>
      <c r="GMM41" s="222"/>
      <c r="GMN41" s="222"/>
      <c r="GMO41" s="222"/>
      <c r="GMP41" s="222"/>
      <c r="GMQ41" s="222"/>
      <c r="GMR41" s="222"/>
      <c r="GMS41" s="222"/>
      <c r="GMT41" s="222"/>
      <c r="GMU41" s="222"/>
      <c r="GMV41" s="222"/>
      <c r="GMW41" s="222"/>
      <c r="GMX41" s="222"/>
      <c r="GMY41" s="222"/>
      <c r="GMZ41" s="222"/>
      <c r="GNA41" s="222"/>
      <c r="GNB41" s="222"/>
      <c r="GNC41" s="222"/>
      <c r="GND41" s="222"/>
      <c r="GNE41" s="222"/>
      <c r="GNF41" s="222"/>
      <c r="GNG41" s="222"/>
      <c r="GNH41" s="222"/>
      <c r="GNI41" s="222"/>
      <c r="GNJ41" s="222"/>
      <c r="GNK41" s="222"/>
      <c r="GNL41" s="222"/>
      <c r="GNM41" s="222"/>
      <c r="GNN41" s="222"/>
      <c r="GNO41" s="222"/>
      <c r="GNP41" s="222"/>
      <c r="GNQ41" s="222"/>
      <c r="GNR41" s="222"/>
      <c r="GNS41" s="222"/>
      <c r="GNT41" s="222"/>
      <c r="GNU41" s="222"/>
      <c r="GNV41" s="222"/>
      <c r="GNW41" s="222"/>
      <c r="GNX41" s="222"/>
      <c r="GNY41" s="222"/>
      <c r="GNZ41" s="222"/>
      <c r="GOA41" s="222"/>
      <c r="GOB41" s="222"/>
      <c r="GOC41" s="222"/>
      <c r="GOD41" s="222"/>
      <c r="GOE41" s="222"/>
      <c r="GOF41" s="222"/>
      <c r="GOG41" s="222"/>
      <c r="GOH41" s="222"/>
      <c r="GOI41" s="222"/>
      <c r="GOJ41" s="222"/>
      <c r="GOK41" s="222"/>
      <c r="GOL41" s="222"/>
      <c r="GOM41" s="222"/>
      <c r="GON41" s="222"/>
      <c r="GOO41" s="222"/>
      <c r="GOP41" s="222"/>
      <c r="GOQ41" s="222"/>
      <c r="GOR41" s="222"/>
      <c r="GOS41" s="222"/>
      <c r="GOT41" s="222"/>
      <c r="GOU41" s="222"/>
      <c r="GOV41" s="222"/>
      <c r="GOW41" s="222"/>
      <c r="GOX41" s="222"/>
      <c r="GOY41" s="222"/>
      <c r="GOZ41" s="222"/>
      <c r="GPA41" s="222"/>
      <c r="GPB41" s="222"/>
      <c r="GPC41" s="222"/>
      <c r="GPD41" s="222"/>
      <c r="GPE41" s="222"/>
      <c r="GPF41" s="222"/>
      <c r="GPG41" s="222"/>
      <c r="GPH41" s="222"/>
      <c r="GPI41" s="222"/>
      <c r="GPJ41" s="222"/>
      <c r="GPK41" s="222"/>
      <c r="GPL41" s="222"/>
      <c r="GPM41" s="222"/>
      <c r="GPN41" s="222"/>
      <c r="GPO41" s="222"/>
      <c r="GPP41" s="222"/>
      <c r="GPQ41" s="222"/>
      <c r="GPR41" s="222"/>
      <c r="GPS41" s="222"/>
      <c r="GPT41" s="222"/>
      <c r="GPU41" s="222"/>
      <c r="GPV41" s="222"/>
      <c r="GPW41" s="222"/>
      <c r="GPX41" s="222"/>
      <c r="GPY41" s="222"/>
      <c r="GPZ41" s="222"/>
      <c r="GQA41" s="222"/>
      <c r="GQB41" s="222"/>
      <c r="GQC41" s="222"/>
      <c r="GQD41" s="222"/>
      <c r="GQE41" s="222"/>
      <c r="GQF41" s="222"/>
      <c r="GQG41" s="222"/>
      <c r="GQH41" s="222"/>
      <c r="GQI41" s="222"/>
      <c r="GQJ41" s="222"/>
      <c r="GQK41" s="222"/>
      <c r="GQL41" s="222"/>
      <c r="GQM41" s="222"/>
      <c r="GQN41" s="222"/>
      <c r="GQO41" s="222"/>
      <c r="GQP41" s="222"/>
      <c r="GQQ41" s="222"/>
      <c r="GQR41" s="222"/>
      <c r="GQS41" s="222"/>
      <c r="GQT41" s="222"/>
      <c r="GQU41" s="222"/>
      <c r="GQV41" s="222"/>
      <c r="GQW41" s="222"/>
      <c r="GQX41" s="222"/>
      <c r="GQY41" s="222"/>
      <c r="GQZ41" s="222"/>
      <c r="GRA41" s="222"/>
      <c r="GRB41" s="222"/>
      <c r="GRC41" s="222"/>
      <c r="GRD41" s="222"/>
      <c r="GRE41" s="222"/>
      <c r="GRF41" s="222"/>
      <c r="GRG41" s="222"/>
      <c r="GRH41" s="222"/>
      <c r="GRI41" s="222"/>
      <c r="GRJ41" s="222"/>
      <c r="GRK41" s="222"/>
      <c r="GRL41" s="222"/>
      <c r="GRM41" s="222"/>
      <c r="GRN41" s="222"/>
      <c r="GRO41" s="222"/>
      <c r="GRP41" s="222"/>
      <c r="GRQ41" s="222"/>
      <c r="GRR41" s="222"/>
      <c r="GRS41" s="222"/>
      <c r="GRT41" s="222"/>
      <c r="GRU41" s="222"/>
      <c r="GRV41" s="222"/>
      <c r="GRW41" s="222"/>
      <c r="GRX41" s="222"/>
      <c r="GRY41" s="222"/>
      <c r="GRZ41" s="222"/>
      <c r="GSA41" s="222"/>
      <c r="GSB41" s="222"/>
      <c r="GSC41" s="222"/>
      <c r="GSD41" s="222"/>
      <c r="GSE41" s="222"/>
      <c r="GSF41" s="222"/>
      <c r="GSG41" s="222"/>
      <c r="GSH41" s="222"/>
      <c r="GSI41" s="222"/>
      <c r="GSJ41" s="222"/>
      <c r="GSK41" s="222"/>
      <c r="GSL41" s="222"/>
      <c r="GSM41" s="222"/>
      <c r="GSN41" s="222"/>
      <c r="GSO41" s="222"/>
      <c r="GSP41" s="222"/>
      <c r="GSQ41" s="222"/>
      <c r="GSR41" s="222"/>
      <c r="GSS41" s="222"/>
      <c r="GST41" s="222"/>
      <c r="GSU41" s="222"/>
      <c r="GSV41" s="222"/>
      <c r="GSW41" s="222"/>
      <c r="GSX41" s="222"/>
      <c r="GSY41" s="222"/>
      <c r="GSZ41" s="222"/>
      <c r="GTA41" s="222"/>
      <c r="GTB41" s="222"/>
      <c r="GTC41" s="222"/>
      <c r="GTD41" s="222"/>
      <c r="GTE41" s="222"/>
      <c r="GTF41" s="222"/>
      <c r="GTG41" s="222"/>
      <c r="GTH41" s="222"/>
      <c r="GTI41" s="222"/>
      <c r="GTJ41" s="222"/>
      <c r="GTK41" s="222"/>
      <c r="GTL41" s="222"/>
      <c r="GTM41" s="222"/>
      <c r="GTN41" s="222"/>
      <c r="GTO41" s="222"/>
      <c r="GTP41" s="222"/>
      <c r="GTQ41" s="222"/>
      <c r="GTR41" s="222"/>
      <c r="GTS41" s="222"/>
      <c r="GTT41" s="222"/>
      <c r="GTU41" s="222"/>
      <c r="GTV41" s="222"/>
      <c r="GTW41" s="222"/>
      <c r="GTX41" s="222"/>
      <c r="GTY41" s="222"/>
      <c r="GTZ41" s="222"/>
      <c r="GUA41" s="222"/>
      <c r="GUB41" s="222"/>
      <c r="GUC41" s="222"/>
      <c r="GUD41" s="222"/>
      <c r="GUE41" s="222"/>
      <c r="GUF41" s="222"/>
      <c r="GUG41" s="222"/>
      <c r="GUH41" s="222"/>
      <c r="GUI41" s="222"/>
      <c r="GUJ41" s="222"/>
      <c r="GUK41" s="222"/>
      <c r="GUL41" s="222"/>
      <c r="GUM41" s="222"/>
      <c r="GUN41" s="222"/>
      <c r="GUO41" s="222"/>
      <c r="GUP41" s="222"/>
      <c r="GUQ41" s="222"/>
      <c r="GUR41" s="222"/>
      <c r="GUS41" s="222"/>
      <c r="GUT41" s="222"/>
      <c r="GUU41" s="222"/>
      <c r="GUV41" s="222"/>
      <c r="GUW41" s="222"/>
      <c r="GUX41" s="222"/>
      <c r="GUY41" s="222"/>
      <c r="GUZ41" s="222"/>
      <c r="GVA41" s="222"/>
      <c r="GVB41" s="222"/>
      <c r="GVC41" s="222"/>
      <c r="GVD41" s="222"/>
      <c r="GVE41" s="222"/>
      <c r="GVF41" s="222"/>
      <c r="GVG41" s="222"/>
      <c r="GVH41" s="222"/>
      <c r="GVI41" s="222"/>
      <c r="GVJ41" s="222"/>
      <c r="GVK41" s="222"/>
      <c r="GVL41" s="222"/>
      <c r="GVM41" s="222"/>
      <c r="GVN41" s="222"/>
      <c r="GVO41" s="222"/>
      <c r="GVP41" s="222"/>
      <c r="GVQ41" s="222"/>
      <c r="GVR41" s="222"/>
      <c r="GVS41" s="222"/>
      <c r="GVT41" s="222"/>
      <c r="GVU41" s="222"/>
      <c r="GVV41" s="222"/>
      <c r="GVW41" s="222"/>
      <c r="GVX41" s="222"/>
      <c r="GVY41" s="222"/>
      <c r="GVZ41" s="222"/>
      <c r="GWA41" s="222"/>
      <c r="GWB41" s="222"/>
      <c r="GWC41" s="222"/>
      <c r="GWD41" s="222"/>
      <c r="GWE41" s="222"/>
      <c r="GWF41" s="222"/>
      <c r="GWG41" s="222"/>
      <c r="GWH41" s="222"/>
      <c r="GWI41" s="222"/>
      <c r="GWJ41" s="222"/>
      <c r="GWK41" s="222"/>
      <c r="GWL41" s="222"/>
      <c r="GWM41" s="222"/>
      <c r="GWN41" s="222"/>
      <c r="GWO41" s="222"/>
      <c r="GWP41" s="222"/>
      <c r="GWQ41" s="222"/>
      <c r="GWR41" s="222"/>
      <c r="GWS41" s="222"/>
      <c r="GWT41" s="222"/>
      <c r="GWU41" s="222"/>
      <c r="GWV41" s="222"/>
      <c r="GWW41" s="222"/>
      <c r="GWX41" s="222"/>
      <c r="GWY41" s="222"/>
      <c r="GWZ41" s="222"/>
      <c r="GXA41" s="222"/>
      <c r="GXB41" s="222"/>
      <c r="GXC41" s="222"/>
      <c r="GXD41" s="222"/>
      <c r="GXE41" s="222"/>
      <c r="GXF41" s="222"/>
      <c r="GXG41" s="222"/>
      <c r="GXH41" s="222"/>
      <c r="GXI41" s="222"/>
      <c r="GXJ41" s="222"/>
      <c r="GXK41" s="222"/>
      <c r="GXL41" s="222"/>
      <c r="GXM41" s="222"/>
      <c r="GXN41" s="222"/>
      <c r="GXO41" s="222"/>
      <c r="GXP41" s="222"/>
      <c r="GXQ41" s="222"/>
      <c r="GXR41" s="222"/>
      <c r="GXS41" s="222"/>
      <c r="GXT41" s="222"/>
      <c r="GXU41" s="222"/>
      <c r="GXV41" s="222"/>
      <c r="GXW41" s="222"/>
      <c r="GXX41" s="222"/>
      <c r="GXY41" s="222"/>
      <c r="GXZ41" s="222"/>
      <c r="GYA41" s="222"/>
      <c r="GYB41" s="222"/>
      <c r="GYC41" s="222"/>
      <c r="GYD41" s="222"/>
      <c r="GYE41" s="222"/>
      <c r="GYF41" s="222"/>
      <c r="GYG41" s="222"/>
      <c r="GYH41" s="222"/>
      <c r="GYI41" s="222"/>
      <c r="GYJ41" s="222"/>
      <c r="GYK41" s="222"/>
      <c r="GYL41" s="222"/>
      <c r="GYM41" s="222"/>
      <c r="GYN41" s="222"/>
      <c r="GYO41" s="222"/>
      <c r="GYP41" s="222"/>
      <c r="GYQ41" s="222"/>
      <c r="GYR41" s="222"/>
      <c r="GYS41" s="222"/>
      <c r="GYT41" s="222"/>
      <c r="GYU41" s="222"/>
      <c r="GYV41" s="222"/>
      <c r="GYW41" s="222"/>
      <c r="GYX41" s="222"/>
      <c r="GYY41" s="222"/>
      <c r="GYZ41" s="222"/>
      <c r="GZA41" s="222"/>
      <c r="GZB41" s="222"/>
      <c r="GZC41" s="222"/>
      <c r="GZD41" s="222"/>
      <c r="GZE41" s="222"/>
      <c r="GZF41" s="222"/>
      <c r="GZG41" s="222"/>
      <c r="GZH41" s="222"/>
      <c r="GZI41" s="222"/>
      <c r="GZJ41" s="222"/>
      <c r="GZK41" s="222"/>
      <c r="GZL41" s="222"/>
      <c r="GZM41" s="222"/>
      <c r="GZN41" s="222"/>
      <c r="GZO41" s="222"/>
      <c r="GZP41" s="222"/>
      <c r="GZQ41" s="222"/>
      <c r="GZR41" s="222"/>
      <c r="GZS41" s="222"/>
      <c r="GZT41" s="222"/>
      <c r="GZU41" s="222"/>
      <c r="GZV41" s="222"/>
      <c r="GZW41" s="222"/>
      <c r="GZX41" s="222"/>
      <c r="GZY41" s="222"/>
      <c r="GZZ41" s="222"/>
      <c r="HAA41" s="222"/>
      <c r="HAB41" s="222"/>
      <c r="HAC41" s="222"/>
      <c r="HAD41" s="222"/>
      <c r="HAE41" s="222"/>
      <c r="HAF41" s="222"/>
      <c r="HAG41" s="222"/>
      <c r="HAH41" s="222"/>
      <c r="HAI41" s="222"/>
      <c r="HAJ41" s="222"/>
      <c r="HAK41" s="222"/>
      <c r="HAL41" s="222"/>
      <c r="HAM41" s="222"/>
      <c r="HAN41" s="222"/>
      <c r="HAO41" s="222"/>
      <c r="HAP41" s="222"/>
      <c r="HAQ41" s="222"/>
      <c r="HAR41" s="222"/>
      <c r="HAS41" s="222"/>
      <c r="HAT41" s="222"/>
      <c r="HAU41" s="222"/>
      <c r="HAV41" s="222"/>
      <c r="HAW41" s="222"/>
      <c r="HAX41" s="222"/>
      <c r="HAY41" s="222"/>
      <c r="HAZ41" s="222"/>
      <c r="HBA41" s="222"/>
      <c r="HBB41" s="222"/>
      <c r="HBC41" s="222"/>
      <c r="HBD41" s="222"/>
      <c r="HBE41" s="222"/>
      <c r="HBF41" s="222"/>
      <c r="HBG41" s="222"/>
      <c r="HBH41" s="222"/>
      <c r="HBI41" s="222"/>
      <c r="HBJ41" s="222"/>
      <c r="HBK41" s="222"/>
      <c r="HBL41" s="222"/>
      <c r="HBM41" s="222"/>
      <c r="HBN41" s="222"/>
      <c r="HBO41" s="222"/>
      <c r="HBP41" s="222"/>
      <c r="HBQ41" s="222"/>
      <c r="HBR41" s="222"/>
      <c r="HBS41" s="222"/>
      <c r="HBT41" s="222"/>
      <c r="HBU41" s="222"/>
      <c r="HBV41" s="222"/>
      <c r="HBW41" s="222"/>
      <c r="HBX41" s="222"/>
      <c r="HBY41" s="222"/>
      <c r="HBZ41" s="222"/>
      <c r="HCA41" s="222"/>
      <c r="HCB41" s="222"/>
      <c r="HCC41" s="222"/>
      <c r="HCD41" s="222"/>
      <c r="HCE41" s="222"/>
      <c r="HCF41" s="222"/>
      <c r="HCG41" s="222"/>
      <c r="HCH41" s="222"/>
      <c r="HCI41" s="222"/>
      <c r="HCJ41" s="222"/>
      <c r="HCK41" s="222"/>
      <c r="HCL41" s="222"/>
      <c r="HCM41" s="222"/>
      <c r="HCN41" s="222"/>
      <c r="HCO41" s="222"/>
      <c r="HCP41" s="222"/>
      <c r="HCQ41" s="222"/>
      <c r="HCR41" s="222"/>
      <c r="HCS41" s="222"/>
      <c r="HCT41" s="222"/>
      <c r="HCU41" s="222"/>
      <c r="HCV41" s="222"/>
      <c r="HCW41" s="222"/>
      <c r="HCX41" s="222"/>
      <c r="HCY41" s="222"/>
      <c r="HCZ41" s="222"/>
      <c r="HDA41" s="222"/>
      <c r="HDB41" s="222"/>
      <c r="HDC41" s="222"/>
      <c r="HDD41" s="222"/>
      <c r="HDE41" s="222"/>
      <c r="HDF41" s="222"/>
      <c r="HDG41" s="222"/>
      <c r="HDH41" s="222"/>
      <c r="HDI41" s="222"/>
      <c r="HDJ41" s="222"/>
      <c r="HDK41" s="222"/>
      <c r="HDL41" s="222"/>
      <c r="HDM41" s="222"/>
      <c r="HDN41" s="222"/>
      <c r="HDO41" s="222"/>
      <c r="HDP41" s="222"/>
      <c r="HDQ41" s="222"/>
      <c r="HDR41" s="222"/>
      <c r="HDS41" s="222"/>
      <c r="HDT41" s="222"/>
      <c r="HDU41" s="222"/>
      <c r="HDV41" s="222"/>
      <c r="HDW41" s="222"/>
      <c r="HDX41" s="222"/>
      <c r="HDY41" s="222"/>
      <c r="HDZ41" s="222"/>
      <c r="HEA41" s="222"/>
      <c r="HEB41" s="222"/>
      <c r="HEC41" s="222"/>
      <c r="HED41" s="222"/>
      <c r="HEE41" s="222"/>
      <c r="HEF41" s="222"/>
      <c r="HEG41" s="222"/>
      <c r="HEH41" s="222"/>
      <c r="HEI41" s="222"/>
      <c r="HEJ41" s="222"/>
      <c r="HEK41" s="222"/>
      <c r="HEL41" s="222"/>
      <c r="HEM41" s="222"/>
      <c r="HEN41" s="222"/>
      <c r="HEO41" s="222"/>
      <c r="HEP41" s="222"/>
      <c r="HEQ41" s="222"/>
      <c r="HER41" s="222"/>
      <c r="HES41" s="222"/>
      <c r="HET41" s="222"/>
      <c r="HEU41" s="222"/>
      <c r="HEV41" s="222"/>
      <c r="HEW41" s="222"/>
      <c r="HEX41" s="222"/>
      <c r="HEY41" s="222"/>
      <c r="HEZ41" s="222"/>
      <c r="HFA41" s="222"/>
      <c r="HFB41" s="222"/>
      <c r="HFC41" s="222"/>
      <c r="HFD41" s="222"/>
      <c r="HFE41" s="222"/>
      <c r="HFF41" s="222"/>
      <c r="HFG41" s="222"/>
      <c r="HFH41" s="222"/>
      <c r="HFI41" s="222"/>
      <c r="HFJ41" s="222"/>
      <c r="HFK41" s="222"/>
      <c r="HFL41" s="222"/>
      <c r="HFM41" s="222"/>
      <c r="HFN41" s="222"/>
      <c r="HFO41" s="222"/>
      <c r="HFP41" s="222"/>
      <c r="HFQ41" s="222"/>
      <c r="HFR41" s="222"/>
      <c r="HFS41" s="222"/>
      <c r="HFT41" s="222"/>
      <c r="HFU41" s="222"/>
      <c r="HFV41" s="222"/>
      <c r="HFW41" s="222"/>
      <c r="HFX41" s="222"/>
      <c r="HFY41" s="222"/>
      <c r="HFZ41" s="222"/>
      <c r="HGA41" s="222"/>
      <c r="HGB41" s="222"/>
      <c r="HGC41" s="222"/>
      <c r="HGD41" s="222"/>
      <c r="HGE41" s="222"/>
      <c r="HGF41" s="222"/>
      <c r="HGG41" s="222"/>
      <c r="HGH41" s="222"/>
      <c r="HGI41" s="222"/>
      <c r="HGJ41" s="222"/>
      <c r="HGK41" s="222"/>
      <c r="HGL41" s="222"/>
      <c r="HGM41" s="222"/>
      <c r="HGN41" s="222"/>
      <c r="HGO41" s="222"/>
      <c r="HGP41" s="222"/>
      <c r="HGQ41" s="222"/>
      <c r="HGR41" s="222"/>
      <c r="HGS41" s="222"/>
      <c r="HGT41" s="222"/>
      <c r="HGU41" s="222"/>
      <c r="HGV41" s="222"/>
      <c r="HGW41" s="222"/>
      <c r="HGX41" s="222"/>
      <c r="HGY41" s="222"/>
      <c r="HGZ41" s="222"/>
      <c r="HHA41" s="222"/>
      <c r="HHB41" s="222"/>
      <c r="HHC41" s="222"/>
      <c r="HHD41" s="222"/>
      <c r="HHE41" s="222"/>
      <c r="HHF41" s="222"/>
      <c r="HHG41" s="222"/>
      <c r="HHH41" s="222"/>
      <c r="HHI41" s="222"/>
      <c r="HHJ41" s="222"/>
      <c r="HHK41" s="222"/>
      <c r="HHL41" s="222"/>
      <c r="HHM41" s="222"/>
      <c r="HHN41" s="222"/>
      <c r="HHO41" s="222"/>
      <c r="HHP41" s="222"/>
      <c r="HHQ41" s="222"/>
      <c r="HHR41" s="222"/>
      <c r="HHS41" s="222"/>
      <c r="HHT41" s="222"/>
      <c r="HHU41" s="222"/>
      <c r="HHV41" s="222"/>
      <c r="HHW41" s="222"/>
      <c r="HHX41" s="222"/>
      <c r="HHY41" s="222"/>
      <c r="HHZ41" s="222"/>
      <c r="HIA41" s="222"/>
      <c r="HIB41" s="222"/>
      <c r="HIC41" s="222"/>
      <c r="HID41" s="222"/>
      <c r="HIE41" s="222"/>
      <c r="HIF41" s="222"/>
      <c r="HIG41" s="222"/>
      <c r="HIH41" s="222"/>
      <c r="HII41" s="222"/>
      <c r="HIJ41" s="222"/>
      <c r="HIK41" s="222"/>
      <c r="HIL41" s="222"/>
      <c r="HIM41" s="222"/>
      <c r="HIN41" s="222"/>
      <c r="HIO41" s="222"/>
      <c r="HIP41" s="222"/>
      <c r="HIQ41" s="222"/>
      <c r="HIR41" s="222"/>
      <c r="HIS41" s="222"/>
      <c r="HIT41" s="222"/>
      <c r="HIU41" s="222"/>
      <c r="HIV41" s="222"/>
      <c r="HIW41" s="222"/>
      <c r="HIX41" s="222"/>
      <c r="HIY41" s="222"/>
      <c r="HIZ41" s="222"/>
      <c r="HJA41" s="222"/>
      <c r="HJB41" s="222"/>
      <c r="HJC41" s="222"/>
      <c r="HJD41" s="222"/>
      <c r="HJE41" s="222"/>
      <c r="HJF41" s="222"/>
      <c r="HJG41" s="222"/>
      <c r="HJH41" s="222"/>
      <c r="HJI41" s="222"/>
      <c r="HJJ41" s="222"/>
      <c r="HJK41" s="222"/>
      <c r="HJL41" s="222"/>
      <c r="HJM41" s="222"/>
      <c r="HJN41" s="222"/>
      <c r="HJO41" s="222"/>
      <c r="HJP41" s="222"/>
      <c r="HJQ41" s="222"/>
      <c r="HJR41" s="222"/>
      <c r="HJS41" s="222"/>
      <c r="HJT41" s="222"/>
      <c r="HJU41" s="222"/>
      <c r="HJV41" s="222"/>
      <c r="HJW41" s="222"/>
      <c r="HJX41" s="222"/>
      <c r="HJY41" s="222"/>
      <c r="HJZ41" s="222"/>
      <c r="HKA41" s="222"/>
      <c r="HKB41" s="222"/>
      <c r="HKC41" s="222"/>
      <c r="HKD41" s="222"/>
      <c r="HKE41" s="222"/>
      <c r="HKF41" s="222"/>
      <c r="HKG41" s="222"/>
      <c r="HKH41" s="222"/>
      <c r="HKI41" s="222"/>
      <c r="HKJ41" s="222"/>
      <c r="HKK41" s="222"/>
      <c r="HKL41" s="222"/>
      <c r="HKM41" s="222"/>
      <c r="HKN41" s="222"/>
      <c r="HKO41" s="222"/>
      <c r="HKP41" s="222"/>
      <c r="HKQ41" s="222"/>
      <c r="HKR41" s="222"/>
      <c r="HKS41" s="222"/>
      <c r="HKT41" s="222"/>
      <c r="HKU41" s="222"/>
      <c r="HKV41" s="222"/>
      <c r="HKW41" s="222"/>
      <c r="HKX41" s="222"/>
      <c r="HKY41" s="222"/>
      <c r="HKZ41" s="222"/>
      <c r="HLA41" s="222"/>
      <c r="HLB41" s="222"/>
      <c r="HLC41" s="222"/>
      <c r="HLD41" s="222"/>
      <c r="HLE41" s="222"/>
      <c r="HLF41" s="222"/>
      <c r="HLG41" s="222"/>
      <c r="HLH41" s="222"/>
      <c r="HLI41" s="222"/>
      <c r="HLJ41" s="222"/>
      <c r="HLK41" s="222"/>
      <c r="HLL41" s="222"/>
      <c r="HLM41" s="222"/>
      <c r="HLN41" s="222"/>
      <c r="HLO41" s="222"/>
      <c r="HLP41" s="222"/>
      <c r="HLQ41" s="222"/>
      <c r="HLR41" s="222"/>
      <c r="HLS41" s="222"/>
      <c r="HLT41" s="222"/>
      <c r="HLU41" s="222"/>
      <c r="HLV41" s="222"/>
      <c r="HLW41" s="222"/>
      <c r="HLX41" s="222"/>
      <c r="HLY41" s="222"/>
      <c r="HLZ41" s="222"/>
      <c r="HMA41" s="222"/>
      <c r="HMB41" s="222"/>
      <c r="HMC41" s="222"/>
      <c r="HMD41" s="222"/>
      <c r="HME41" s="222"/>
      <c r="HMF41" s="222"/>
      <c r="HMG41" s="222"/>
      <c r="HMH41" s="222"/>
      <c r="HMI41" s="222"/>
      <c r="HMJ41" s="222"/>
      <c r="HMK41" s="222"/>
      <c r="HML41" s="222"/>
      <c r="HMM41" s="222"/>
      <c r="HMN41" s="222"/>
      <c r="HMO41" s="222"/>
      <c r="HMP41" s="222"/>
      <c r="HMQ41" s="222"/>
      <c r="HMR41" s="222"/>
      <c r="HMS41" s="222"/>
      <c r="HMT41" s="222"/>
      <c r="HMU41" s="222"/>
      <c r="HMV41" s="222"/>
      <c r="HMW41" s="222"/>
      <c r="HMX41" s="222"/>
      <c r="HMY41" s="222"/>
      <c r="HMZ41" s="222"/>
      <c r="HNA41" s="222"/>
      <c r="HNB41" s="222"/>
      <c r="HNC41" s="222"/>
      <c r="HND41" s="222"/>
      <c r="HNE41" s="222"/>
      <c r="HNF41" s="222"/>
      <c r="HNG41" s="222"/>
      <c r="HNH41" s="222"/>
      <c r="HNI41" s="222"/>
      <c r="HNJ41" s="222"/>
      <c r="HNK41" s="222"/>
      <c r="HNL41" s="222"/>
      <c r="HNM41" s="222"/>
      <c r="HNN41" s="222"/>
      <c r="HNO41" s="222"/>
      <c r="HNP41" s="222"/>
      <c r="HNQ41" s="222"/>
      <c r="HNR41" s="222"/>
      <c r="HNS41" s="222"/>
      <c r="HNT41" s="222"/>
      <c r="HNU41" s="222"/>
      <c r="HNV41" s="222"/>
      <c r="HNW41" s="222"/>
      <c r="HNX41" s="222"/>
      <c r="HNY41" s="222"/>
      <c r="HNZ41" s="222"/>
      <c r="HOA41" s="222"/>
      <c r="HOB41" s="222"/>
      <c r="HOC41" s="222"/>
      <c r="HOD41" s="222"/>
      <c r="HOE41" s="222"/>
      <c r="HOF41" s="222"/>
      <c r="HOG41" s="222"/>
      <c r="HOH41" s="222"/>
      <c r="HOI41" s="222"/>
      <c r="HOJ41" s="222"/>
      <c r="HOK41" s="222"/>
      <c r="HOL41" s="222"/>
      <c r="HOM41" s="222"/>
      <c r="HON41" s="222"/>
      <c r="HOO41" s="222"/>
      <c r="HOP41" s="222"/>
      <c r="HOQ41" s="222"/>
      <c r="HOR41" s="222"/>
      <c r="HOS41" s="222"/>
      <c r="HOT41" s="222"/>
      <c r="HOU41" s="222"/>
      <c r="HOV41" s="222"/>
      <c r="HOW41" s="222"/>
      <c r="HOX41" s="222"/>
      <c r="HOY41" s="222"/>
      <c r="HOZ41" s="222"/>
      <c r="HPA41" s="222"/>
      <c r="HPB41" s="222"/>
      <c r="HPC41" s="222"/>
      <c r="HPD41" s="222"/>
      <c r="HPE41" s="222"/>
      <c r="HPF41" s="222"/>
      <c r="HPG41" s="222"/>
      <c r="HPH41" s="222"/>
      <c r="HPI41" s="222"/>
      <c r="HPJ41" s="222"/>
      <c r="HPK41" s="222"/>
      <c r="HPL41" s="222"/>
      <c r="HPM41" s="222"/>
      <c r="HPN41" s="222"/>
      <c r="HPO41" s="222"/>
      <c r="HPP41" s="222"/>
      <c r="HPQ41" s="222"/>
      <c r="HPR41" s="222"/>
      <c r="HPS41" s="222"/>
      <c r="HPT41" s="222"/>
      <c r="HPU41" s="222"/>
      <c r="HPV41" s="222"/>
      <c r="HPW41" s="222"/>
      <c r="HPX41" s="222"/>
      <c r="HPY41" s="222"/>
      <c r="HPZ41" s="222"/>
      <c r="HQA41" s="222"/>
      <c r="HQB41" s="222"/>
      <c r="HQC41" s="222"/>
      <c r="HQD41" s="222"/>
      <c r="HQE41" s="222"/>
      <c r="HQF41" s="222"/>
      <c r="HQG41" s="222"/>
      <c r="HQH41" s="222"/>
      <c r="HQI41" s="222"/>
      <c r="HQJ41" s="222"/>
      <c r="HQK41" s="222"/>
      <c r="HQL41" s="222"/>
      <c r="HQM41" s="222"/>
      <c r="HQN41" s="222"/>
      <c r="HQO41" s="222"/>
      <c r="HQP41" s="222"/>
      <c r="HQQ41" s="222"/>
      <c r="HQR41" s="222"/>
      <c r="HQS41" s="222"/>
      <c r="HQT41" s="222"/>
      <c r="HQU41" s="222"/>
      <c r="HQV41" s="222"/>
      <c r="HQW41" s="222"/>
      <c r="HQX41" s="222"/>
      <c r="HQY41" s="222"/>
      <c r="HQZ41" s="222"/>
      <c r="HRA41" s="222"/>
      <c r="HRB41" s="222"/>
      <c r="HRC41" s="222"/>
      <c r="HRD41" s="222"/>
      <c r="HRE41" s="222"/>
      <c r="HRF41" s="222"/>
      <c r="HRG41" s="222"/>
      <c r="HRH41" s="222"/>
      <c r="HRI41" s="222"/>
      <c r="HRJ41" s="222"/>
      <c r="HRK41" s="222"/>
      <c r="HRL41" s="222"/>
      <c r="HRM41" s="222"/>
      <c r="HRN41" s="222"/>
      <c r="HRO41" s="222"/>
      <c r="HRP41" s="222"/>
      <c r="HRQ41" s="222"/>
      <c r="HRR41" s="222"/>
      <c r="HRS41" s="222"/>
      <c r="HRT41" s="222"/>
      <c r="HRU41" s="222"/>
      <c r="HRV41" s="222"/>
      <c r="HRW41" s="222"/>
      <c r="HRX41" s="222"/>
      <c r="HRY41" s="222"/>
      <c r="HRZ41" s="222"/>
      <c r="HSA41" s="222"/>
      <c r="HSB41" s="222"/>
      <c r="HSC41" s="222"/>
      <c r="HSD41" s="222"/>
      <c r="HSE41" s="222"/>
      <c r="HSF41" s="222"/>
      <c r="HSG41" s="222"/>
      <c r="HSH41" s="222"/>
      <c r="HSI41" s="222"/>
      <c r="HSJ41" s="222"/>
      <c r="HSK41" s="222"/>
      <c r="HSL41" s="222"/>
      <c r="HSM41" s="222"/>
      <c r="HSN41" s="222"/>
      <c r="HSO41" s="222"/>
      <c r="HSP41" s="222"/>
      <c r="HSQ41" s="222"/>
      <c r="HSR41" s="222"/>
      <c r="HSS41" s="222"/>
      <c r="HST41" s="222"/>
      <c r="HSU41" s="222"/>
      <c r="HSV41" s="222"/>
      <c r="HSW41" s="222"/>
      <c r="HSX41" s="222"/>
      <c r="HSY41" s="222"/>
      <c r="HSZ41" s="222"/>
      <c r="HTA41" s="222"/>
      <c r="HTB41" s="222"/>
      <c r="HTC41" s="222"/>
      <c r="HTD41" s="222"/>
      <c r="HTE41" s="222"/>
      <c r="HTF41" s="222"/>
      <c r="HTG41" s="222"/>
      <c r="HTH41" s="222"/>
      <c r="HTI41" s="222"/>
      <c r="HTJ41" s="222"/>
      <c r="HTK41" s="222"/>
      <c r="HTL41" s="222"/>
      <c r="HTM41" s="222"/>
      <c r="HTN41" s="222"/>
      <c r="HTO41" s="222"/>
      <c r="HTP41" s="222"/>
      <c r="HTQ41" s="222"/>
      <c r="HTR41" s="222"/>
      <c r="HTS41" s="222"/>
      <c r="HTT41" s="222"/>
      <c r="HTU41" s="222"/>
      <c r="HTV41" s="222"/>
      <c r="HTW41" s="222"/>
      <c r="HTX41" s="222"/>
      <c r="HTY41" s="222"/>
      <c r="HTZ41" s="222"/>
      <c r="HUA41" s="222"/>
      <c r="HUB41" s="222"/>
      <c r="HUC41" s="222"/>
      <c r="HUD41" s="222"/>
      <c r="HUE41" s="222"/>
      <c r="HUF41" s="222"/>
      <c r="HUG41" s="222"/>
      <c r="HUH41" s="222"/>
      <c r="HUI41" s="222"/>
      <c r="HUJ41" s="222"/>
      <c r="HUK41" s="222"/>
      <c r="HUL41" s="222"/>
      <c r="HUM41" s="222"/>
      <c r="HUN41" s="222"/>
      <c r="HUO41" s="222"/>
      <c r="HUP41" s="222"/>
      <c r="HUQ41" s="222"/>
      <c r="HUR41" s="222"/>
      <c r="HUS41" s="222"/>
      <c r="HUT41" s="222"/>
      <c r="HUU41" s="222"/>
      <c r="HUV41" s="222"/>
      <c r="HUW41" s="222"/>
      <c r="HUX41" s="222"/>
      <c r="HUY41" s="222"/>
      <c r="HUZ41" s="222"/>
      <c r="HVA41" s="222"/>
      <c r="HVB41" s="222"/>
      <c r="HVC41" s="222"/>
      <c r="HVD41" s="222"/>
      <c r="HVE41" s="222"/>
      <c r="HVF41" s="222"/>
      <c r="HVG41" s="222"/>
      <c r="HVH41" s="222"/>
      <c r="HVI41" s="222"/>
      <c r="HVJ41" s="222"/>
      <c r="HVK41" s="222"/>
      <c r="HVL41" s="222"/>
      <c r="HVM41" s="222"/>
      <c r="HVN41" s="222"/>
      <c r="HVO41" s="222"/>
      <c r="HVP41" s="222"/>
      <c r="HVQ41" s="222"/>
      <c r="HVR41" s="222"/>
      <c r="HVS41" s="222"/>
      <c r="HVT41" s="222"/>
      <c r="HVU41" s="222"/>
      <c r="HVV41" s="222"/>
      <c r="HVW41" s="222"/>
      <c r="HVX41" s="222"/>
      <c r="HVY41" s="222"/>
      <c r="HVZ41" s="222"/>
      <c r="HWA41" s="222"/>
      <c r="HWB41" s="222"/>
      <c r="HWC41" s="222"/>
      <c r="HWD41" s="222"/>
      <c r="HWE41" s="222"/>
      <c r="HWF41" s="222"/>
      <c r="HWG41" s="222"/>
      <c r="HWH41" s="222"/>
      <c r="HWI41" s="222"/>
      <c r="HWJ41" s="222"/>
      <c r="HWK41" s="222"/>
      <c r="HWL41" s="222"/>
      <c r="HWM41" s="222"/>
      <c r="HWN41" s="222"/>
      <c r="HWO41" s="222"/>
      <c r="HWP41" s="222"/>
      <c r="HWQ41" s="222"/>
      <c r="HWR41" s="222"/>
      <c r="HWS41" s="222"/>
      <c r="HWT41" s="222"/>
      <c r="HWU41" s="222"/>
      <c r="HWV41" s="222"/>
      <c r="HWW41" s="222"/>
      <c r="HWX41" s="222"/>
      <c r="HWY41" s="222"/>
      <c r="HWZ41" s="222"/>
      <c r="HXA41" s="222"/>
      <c r="HXB41" s="222"/>
      <c r="HXC41" s="222"/>
      <c r="HXD41" s="222"/>
      <c r="HXE41" s="222"/>
      <c r="HXF41" s="222"/>
      <c r="HXG41" s="222"/>
      <c r="HXH41" s="222"/>
      <c r="HXI41" s="222"/>
      <c r="HXJ41" s="222"/>
      <c r="HXK41" s="222"/>
      <c r="HXL41" s="222"/>
      <c r="HXM41" s="222"/>
      <c r="HXN41" s="222"/>
      <c r="HXO41" s="222"/>
      <c r="HXP41" s="222"/>
      <c r="HXQ41" s="222"/>
      <c r="HXR41" s="222"/>
      <c r="HXS41" s="222"/>
      <c r="HXT41" s="222"/>
      <c r="HXU41" s="222"/>
      <c r="HXV41" s="222"/>
      <c r="HXW41" s="222"/>
      <c r="HXX41" s="222"/>
      <c r="HXY41" s="222"/>
      <c r="HXZ41" s="222"/>
      <c r="HYA41" s="222"/>
      <c r="HYB41" s="222"/>
      <c r="HYC41" s="222"/>
      <c r="HYD41" s="222"/>
      <c r="HYE41" s="222"/>
      <c r="HYF41" s="222"/>
      <c r="HYG41" s="222"/>
      <c r="HYH41" s="222"/>
      <c r="HYI41" s="222"/>
      <c r="HYJ41" s="222"/>
      <c r="HYK41" s="222"/>
      <c r="HYL41" s="222"/>
      <c r="HYM41" s="222"/>
      <c r="HYN41" s="222"/>
      <c r="HYO41" s="222"/>
      <c r="HYP41" s="222"/>
      <c r="HYQ41" s="222"/>
      <c r="HYR41" s="222"/>
      <c r="HYS41" s="222"/>
      <c r="HYT41" s="222"/>
      <c r="HYU41" s="222"/>
      <c r="HYV41" s="222"/>
      <c r="HYW41" s="222"/>
      <c r="HYX41" s="222"/>
      <c r="HYY41" s="222"/>
      <c r="HYZ41" s="222"/>
      <c r="HZA41" s="222"/>
      <c r="HZB41" s="222"/>
      <c r="HZC41" s="222"/>
      <c r="HZD41" s="222"/>
      <c r="HZE41" s="222"/>
      <c r="HZF41" s="222"/>
      <c r="HZG41" s="222"/>
      <c r="HZH41" s="222"/>
      <c r="HZI41" s="222"/>
      <c r="HZJ41" s="222"/>
      <c r="HZK41" s="222"/>
      <c r="HZL41" s="222"/>
      <c r="HZM41" s="222"/>
      <c r="HZN41" s="222"/>
      <c r="HZO41" s="222"/>
      <c r="HZP41" s="222"/>
      <c r="HZQ41" s="222"/>
      <c r="HZR41" s="222"/>
      <c r="HZS41" s="222"/>
      <c r="HZT41" s="222"/>
      <c r="HZU41" s="222"/>
      <c r="HZV41" s="222"/>
      <c r="HZW41" s="222"/>
      <c r="HZX41" s="222"/>
      <c r="HZY41" s="222"/>
      <c r="HZZ41" s="222"/>
      <c r="IAA41" s="222"/>
      <c r="IAB41" s="222"/>
      <c r="IAC41" s="222"/>
      <c r="IAD41" s="222"/>
      <c r="IAE41" s="222"/>
      <c r="IAF41" s="222"/>
      <c r="IAG41" s="222"/>
      <c r="IAH41" s="222"/>
      <c r="IAI41" s="222"/>
      <c r="IAJ41" s="222"/>
      <c r="IAK41" s="222"/>
      <c r="IAL41" s="222"/>
      <c r="IAM41" s="222"/>
      <c r="IAN41" s="222"/>
      <c r="IAO41" s="222"/>
      <c r="IAP41" s="222"/>
      <c r="IAQ41" s="222"/>
      <c r="IAR41" s="222"/>
      <c r="IAS41" s="222"/>
      <c r="IAT41" s="222"/>
      <c r="IAU41" s="222"/>
      <c r="IAV41" s="222"/>
      <c r="IAW41" s="222"/>
      <c r="IAX41" s="222"/>
      <c r="IAY41" s="222"/>
      <c r="IAZ41" s="222"/>
      <c r="IBA41" s="222"/>
      <c r="IBB41" s="222"/>
      <c r="IBC41" s="222"/>
      <c r="IBD41" s="222"/>
      <c r="IBE41" s="222"/>
      <c r="IBF41" s="222"/>
      <c r="IBG41" s="222"/>
      <c r="IBH41" s="222"/>
      <c r="IBI41" s="222"/>
      <c r="IBJ41" s="222"/>
      <c r="IBK41" s="222"/>
      <c r="IBL41" s="222"/>
      <c r="IBM41" s="222"/>
      <c r="IBN41" s="222"/>
      <c r="IBO41" s="222"/>
      <c r="IBP41" s="222"/>
      <c r="IBQ41" s="222"/>
      <c r="IBR41" s="222"/>
      <c r="IBS41" s="222"/>
      <c r="IBT41" s="222"/>
      <c r="IBU41" s="222"/>
      <c r="IBV41" s="222"/>
      <c r="IBW41" s="222"/>
      <c r="IBX41" s="222"/>
      <c r="IBY41" s="222"/>
      <c r="IBZ41" s="222"/>
      <c r="ICA41" s="222"/>
      <c r="ICB41" s="222"/>
      <c r="ICC41" s="222"/>
      <c r="ICD41" s="222"/>
      <c r="ICE41" s="222"/>
      <c r="ICF41" s="222"/>
      <c r="ICG41" s="222"/>
      <c r="ICH41" s="222"/>
      <c r="ICI41" s="222"/>
      <c r="ICJ41" s="222"/>
      <c r="ICK41" s="222"/>
      <c r="ICL41" s="222"/>
      <c r="ICM41" s="222"/>
      <c r="ICN41" s="222"/>
      <c r="ICO41" s="222"/>
      <c r="ICP41" s="222"/>
      <c r="ICQ41" s="222"/>
      <c r="ICR41" s="222"/>
      <c r="ICS41" s="222"/>
      <c r="ICT41" s="222"/>
      <c r="ICU41" s="222"/>
      <c r="ICV41" s="222"/>
      <c r="ICW41" s="222"/>
      <c r="ICX41" s="222"/>
      <c r="ICY41" s="222"/>
      <c r="ICZ41" s="222"/>
      <c r="IDA41" s="222"/>
      <c r="IDB41" s="222"/>
      <c r="IDC41" s="222"/>
      <c r="IDD41" s="222"/>
      <c r="IDE41" s="222"/>
      <c r="IDF41" s="222"/>
      <c r="IDG41" s="222"/>
      <c r="IDH41" s="222"/>
      <c r="IDI41" s="222"/>
      <c r="IDJ41" s="222"/>
      <c r="IDK41" s="222"/>
      <c r="IDL41" s="222"/>
      <c r="IDM41" s="222"/>
      <c r="IDN41" s="222"/>
      <c r="IDO41" s="222"/>
      <c r="IDP41" s="222"/>
      <c r="IDQ41" s="222"/>
      <c r="IDR41" s="222"/>
      <c r="IDS41" s="222"/>
      <c r="IDT41" s="222"/>
      <c r="IDU41" s="222"/>
      <c r="IDV41" s="222"/>
      <c r="IDW41" s="222"/>
      <c r="IDX41" s="222"/>
      <c r="IDY41" s="222"/>
      <c r="IDZ41" s="222"/>
      <c r="IEA41" s="222"/>
      <c r="IEB41" s="222"/>
      <c r="IEC41" s="222"/>
      <c r="IED41" s="222"/>
      <c r="IEE41" s="222"/>
      <c r="IEF41" s="222"/>
      <c r="IEG41" s="222"/>
      <c r="IEH41" s="222"/>
      <c r="IEI41" s="222"/>
      <c r="IEJ41" s="222"/>
      <c r="IEK41" s="222"/>
      <c r="IEL41" s="222"/>
      <c r="IEM41" s="222"/>
      <c r="IEN41" s="222"/>
      <c r="IEO41" s="222"/>
      <c r="IEP41" s="222"/>
      <c r="IEQ41" s="222"/>
      <c r="IER41" s="222"/>
      <c r="IES41" s="222"/>
      <c r="IET41" s="222"/>
      <c r="IEU41" s="222"/>
      <c r="IEV41" s="222"/>
      <c r="IEW41" s="222"/>
      <c r="IEX41" s="222"/>
      <c r="IEY41" s="222"/>
      <c r="IEZ41" s="222"/>
      <c r="IFA41" s="222"/>
      <c r="IFB41" s="222"/>
      <c r="IFC41" s="222"/>
      <c r="IFD41" s="222"/>
      <c r="IFE41" s="222"/>
      <c r="IFF41" s="222"/>
      <c r="IFG41" s="222"/>
      <c r="IFH41" s="222"/>
      <c r="IFI41" s="222"/>
      <c r="IFJ41" s="222"/>
      <c r="IFK41" s="222"/>
      <c r="IFL41" s="222"/>
      <c r="IFM41" s="222"/>
      <c r="IFN41" s="222"/>
      <c r="IFO41" s="222"/>
      <c r="IFP41" s="222"/>
      <c r="IFQ41" s="222"/>
      <c r="IFR41" s="222"/>
      <c r="IFS41" s="222"/>
      <c r="IFT41" s="222"/>
      <c r="IFU41" s="222"/>
      <c r="IFV41" s="222"/>
      <c r="IFW41" s="222"/>
      <c r="IFX41" s="222"/>
      <c r="IFY41" s="222"/>
      <c r="IFZ41" s="222"/>
      <c r="IGA41" s="222"/>
      <c r="IGB41" s="222"/>
      <c r="IGC41" s="222"/>
      <c r="IGD41" s="222"/>
      <c r="IGE41" s="222"/>
      <c r="IGF41" s="222"/>
      <c r="IGG41" s="222"/>
      <c r="IGH41" s="222"/>
      <c r="IGI41" s="222"/>
      <c r="IGJ41" s="222"/>
      <c r="IGK41" s="222"/>
      <c r="IGL41" s="222"/>
      <c r="IGM41" s="222"/>
      <c r="IGN41" s="222"/>
      <c r="IGO41" s="222"/>
      <c r="IGP41" s="222"/>
      <c r="IGQ41" s="222"/>
      <c r="IGR41" s="222"/>
      <c r="IGS41" s="222"/>
      <c r="IGT41" s="222"/>
      <c r="IGU41" s="222"/>
      <c r="IGV41" s="222"/>
      <c r="IGW41" s="222"/>
      <c r="IGX41" s="222"/>
      <c r="IGY41" s="222"/>
      <c r="IGZ41" s="222"/>
      <c r="IHA41" s="222"/>
      <c r="IHB41" s="222"/>
      <c r="IHC41" s="222"/>
      <c r="IHD41" s="222"/>
      <c r="IHE41" s="222"/>
      <c r="IHF41" s="222"/>
      <c r="IHG41" s="222"/>
      <c r="IHH41" s="222"/>
      <c r="IHI41" s="222"/>
      <c r="IHJ41" s="222"/>
      <c r="IHK41" s="222"/>
      <c r="IHL41" s="222"/>
      <c r="IHM41" s="222"/>
      <c r="IHN41" s="222"/>
      <c r="IHO41" s="222"/>
      <c r="IHP41" s="222"/>
      <c r="IHQ41" s="222"/>
      <c r="IHR41" s="222"/>
      <c r="IHS41" s="222"/>
      <c r="IHT41" s="222"/>
      <c r="IHU41" s="222"/>
      <c r="IHV41" s="222"/>
      <c r="IHW41" s="222"/>
      <c r="IHX41" s="222"/>
      <c r="IHY41" s="222"/>
      <c r="IHZ41" s="222"/>
      <c r="IIA41" s="222"/>
      <c r="IIB41" s="222"/>
      <c r="IIC41" s="222"/>
      <c r="IID41" s="222"/>
      <c r="IIE41" s="222"/>
      <c r="IIF41" s="222"/>
      <c r="IIG41" s="222"/>
      <c r="IIH41" s="222"/>
      <c r="III41" s="222"/>
      <c r="IIJ41" s="222"/>
      <c r="IIK41" s="222"/>
      <c r="IIL41" s="222"/>
      <c r="IIM41" s="222"/>
      <c r="IIN41" s="222"/>
      <c r="IIO41" s="222"/>
      <c r="IIP41" s="222"/>
      <c r="IIQ41" s="222"/>
      <c r="IIR41" s="222"/>
      <c r="IIS41" s="222"/>
      <c r="IIT41" s="222"/>
      <c r="IIU41" s="222"/>
      <c r="IIV41" s="222"/>
      <c r="IIW41" s="222"/>
      <c r="IIX41" s="222"/>
      <c r="IIY41" s="222"/>
      <c r="IIZ41" s="222"/>
      <c r="IJA41" s="222"/>
      <c r="IJB41" s="222"/>
      <c r="IJC41" s="222"/>
      <c r="IJD41" s="222"/>
      <c r="IJE41" s="222"/>
      <c r="IJF41" s="222"/>
      <c r="IJG41" s="222"/>
      <c r="IJH41" s="222"/>
      <c r="IJI41" s="222"/>
      <c r="IJJ41" s="222"/>
      <c r="IJK41" s="222"/>
      <c r="IJL41" s="222"/>
      <c r="IJM41" s="222"/>
      <c r="IJN41" s="222"/>
      <c r="IJO41" s="222"/>
      <c r="IJP41" s="222"/>
      <c r="IJQ41" s="222"/>
      <c r="IJR41" s="222"/>
      <c r="IJS41" s="222"/>
      <c r="IJT41" s="222"/>
      <c r="IJU41" s="222"/>
      <c r="IJV41" s="222"/>
      <c r="IJW41" s="222"/>
      <c r="IJX41" s="222"/>
      <c r="IJY41" s="222"/>
      <c r="IJZ41" s="222"/>
      <c r="IKA41" s="222"/>
      <c r="IKB41" s="222"/>
      <c r="IKC41" s="222"/>
      <c r="IKD41" s="222"/>
      <c r="IKE41" s="222"/>
      <c r="IKF41" s="222"/>
      <c r="IKG41" s="222"/>
      <c r="IKH41" s="222"/>
      <c r="IKI41" s="222"/>
      <c r="IKJ41" s="222"/>
      <c r="IKK41" s="222"/>
      <c r="IKL41" s="222"/>
      <c r="IKM41" s="222"/>
      <c r="IKN41" s="222"/>
      <c r="IKO41" s="222"/>
      <c r="IKP41" s="222"/>
      <c r="IKQ41" s="222"/>
      <c r="IKR41" s="222"/>
      <c r="IKS41" s="222"/>
      <c r="IKT41" s="222"/>
      <c r="IKU41" s="222"/>
      <c r="IKV41" s="222"/>
      <c r="IKW41" s="222"/>
      <c r="IKX41" s="222"/>
      <c r="IKY41" s="222"/>
      <c r="IKZ41" s="222"/>
      <c r="ILA41" s="222"/>
      <c r="ILB41" s="222"/>
      <c r="ILC41" s="222"/>
      <c r="ILD41" s="222"/>
      <c r="ILE41" s="222"/>
      <c r="ILF41" s="222"/>
      <c r="ILG41" s="222"/>
      <c r="ILH41" s="222"/>
      <c r="ILI41" s="222"/>
      <c r="ILJ41" s="222"/>
      <c r="ILK41" s="222"/>
      <c r="ILL41" s="222"/>
      <c r="ILM41" s="222"/>
      <c r="ILN41" s="222"/>
      <c r="ILO41" s="222"/>
      <c r="ILP41" s="222"/>
      <c r="ILQ41" s="222"/>
      <c r="ILR41" s="222"/>
      <c r="ILS41" s="222"/>
      <c r="ILT41" s="222"/>
      <c r="ILU41" s="222"/>
      <c r="ILV41" s="222"/>
      <c r="ILW41" s="222"/>
      <c r="ILX41" s="222"/>
      <c r="ILY41" s="222"/>
      <c r="ILZ41" s="222"/>
      <c r="IMA41" s="222"/>
      <c r="IMB41" s="222"/>
      <c r="IMC41" s="222"/>
      <c r="IMD41" s="222"/>
      <c r="IME41" s="222"/>
      <c r="IMF41" s="222"/>
      <c r="IMG41" s="222"/>
      <c r="IMH41" s="222"/>
      <c r="IMI41" s="222"/>
      <c r="IMJ41" s="222"/>
      <c r="IMK41" s="222"/>
      <c r="IML41" s="222"/>
      <c r="IMM41" s="222"/>
      <c r="IMN41" s="222"/>
      <c r="IMO41" s="222"/>
      <c r="IMP41" s="222"/>
      <c r="IMQ41" s="222"/>
      <c r="IMR41" s="222"/>
      <c r="IMS41" s="222"/>
      <c r="IMT41" s="222"/>
      <c r="IMU41" s="222"/>
      <c r="IMV41" s="222"/>
      <c r="IMW41" s="222"/>
      <c r="IMX41" s="222"/>
      <c r="IMY41" s="222"/>
      <c r="IMZ41" s="222"/>
      <c r="INA41" s="222"/>
      <c r="INB41" s="222"/>
      <c r="INC41" s="222"/>
      <c r="IND41" s="222"/>
      <c r="INE41" s="222"/>
      <c r="INF41" s="222"/>
      <c r="ING41" s="222"/>
      <c r="INH41" s="222"/>
      <c r="INI41" s="222"/>
      <c r="INJ41" s="222"/>
      <c r="INK41" s="222"/>
      <c r="INL41" s="222"/>
      <c r="INM41" s="222"/>
      <c r="INN41" s="222"/>
      <c r="INO41" s="222"/>
      <c r="INP41" s="222"/>
      <c r="INQ41" s="222"/>
      <c r="INR41" s="222"/>
      <c r="INS41" s="222"/>
      <c r="INT41" s="222"/>
      <c r="INU41" s="222"/>
      <c r="INV41" s="222"/>
      <c r="INW41" s="222"/>
      <c r="INX41" s="222"/>
      <c r="INY41" s="222"/>
      <c r="INZ41" s="222"/>
      <c r="IOA41" s="222"/>
      <c r="IOB41" s="222"/>
      <c r="IOC41" s="222"/>
      <c r="IOD41" s="222"/>
      <c r="IOE41" s="222"/>
      <c r="IOF41" s="222"/>
      <c r="IOG41" s="222"/>
      <c r="IOH41" s="222"/>
      <c r="IOI41" s="222"/>
      <c r="IOJ41" s="222"/>
      <c r="IOK41" s="222"/>
      <c r="IOL41" s="222"/>
      <c r="IOM41" s="222"/>
      <c r="ION41" s="222"/>
      <c r="IOO41" s="222"/>
      <c r="IOP41" s="222"/>
      <c r="IOQ41" s="222"/>
      <c r="IOR41" s="222"/>
      <c r="IOS41" s="222"/>
      <c r="IOT41" s="222"/>
      <c r="IOU41" s="222"/>
      <c r="IOV41" s="222"/>
      <c r="IOW41" s="222"/>
      <c r="IOX41" s="222"/>
      <c r="IOY41" s="222"/>
      <c r="IOZ41" s="222"/>
      <c r="IPA41" s="222"/>
      <c r="IPB41" s="222"/>
      <c r="IPC41" s="222"/>
      <c r="IPD41" s="222"/>
      <c r="IPE41" s="222"/>
      <c r="IPF41" s="222"/>
      <c r="IPG41" s="222"/>
      <c r="IPH41" s="222"/>
      <c r="IPI41" s="222"/>
      <c r="IPJ41" s="222"/>
      <c r="IPK41" s="222"/>
      <c r="IPL41" s="222"/>
      <c r="IPM41" s="222"/>
      <c r="IPN41" s="222"/>
      <c r="IPO41" s="222"/>
      <c r="IPP41" s="222"/>
      <c r="IPQ41" s="222"/>
      <c r="IPR41" s="222"/>
      <c r="IPS41" s="222"/>
      <c r="IPT41" s="222"/>
      <c r="IPU41" s="222"/>
      <c r="IPV41" s="222"/>
      <c r="IPW41" s="222"/>
      <c r="IPX41" s="222"/>
      <c r="IPY41" s="222"/>
      <c r="IPZ41" s="222"/>
      <c r="IQA41" s="222"/>
      <c r="IQB41" s="222"/>
      <c r="IQC41" s="222"/>
      <c r="IQD41" s="222"/>
      <c r="IQE41" s="222"/>
      <c r="IQF41" s="222"/>
      <c r="IQG41" s="222"/>
      <c r="IQH41" s="222"/>
      <c r="IQI41" s="222"/>
      <c r="IQJ41" s="222"/>
      <c r="IQK41" s="222"/>
      <c r="IQL41" s="222"/>
      <c r="IQM41" s="222"/>
      <c r="IQN41" s="222"/>
      <c r="IQO41" s="222"/>
      <c r="IQP41" s="222"/>
      <c r="IQQ41" s="222"/>
      <c r="IQR41" s="222"/>
      <c r="IQS41" s="222"/>
      <c r="IQT41" s="222"/>
      <c r="IQU41" s="222"/>
      <c r="IQV41" s="222"/>
      <c r="IQW41" s="222"/>
      <c r="IQX41" s="222"/>
      <c r="IQY41" s="222"/>
      <c r="IQZ41" s="222"/>
      <c r="IRA41" s="222"/>
      <c r="IRB41" s="222"/>
      <c r="IRC41" s="222"/>
      <c r="IRD41" s="222"/>
      <c r="IRE41" s="222"/>
      <c r="IRF41" s="222"/>
      <c r="IRG41" s="222"/>
      <c r="IRH41" s="222"/>
      <c r="IRI41" s="222"/>
      <c r="IRJ41" s="222"/>
      <c r="IRK41" s="222"/>
      <c r="IRL41" s="222"/>
      <c r="IRM41" s="222"/>
      <c r="IRN41" s="222"/>
      <c r="IRO41" s="222"/>
      <c r="IRP41" s="222"/>
      <c r="IRQ41" s="222"/>
      <c r="IRR41" s="222"/>
      <c r="IRS41" s="222"/>
      <c r="IRT41" s="222"/>
      <c r="IRU41" s="222"/>
      <c r="IRV41" s="222"/>
      <c r="IRW41" s="222"/>
      <c r="IRX41" s="222"/>
      <c r="IRY41" s="222"/>
      <c r="IRZ41" s="222"/>
      <c r="ISA41" s="222"/>
      <c r="ISB41" s="222"/>
      <c r="ISC41" s="222"/>
      <c r="ISD41" s="222"/>
      <c r="ISE41" s="222"/>
      <c r="ISF41" s="222"/>
      <c r="ISG41" s="222"/>
      <c r="ISH41" s="222"/>
      <c r="ISI41" s="222"/>
      <c r="ISJ41" s="222"/>
      <c r="ISK41" s="222"/>
      <c r="ISL41" s="222"/>
      <c r="ISM41" s="222"/>
      <c r="ISN41" s="222"/>
      <c r="ISO41" s="222"/>
      <c r="ISP41" s="222"/>
      <c r="ISQ41" s="222"/>
      <c r="ISR41" s="222"/>
      <c r="ISS41" s="222"/>
      <c r="IST41" s="222"/>
      <c r="ISU41" s="222"/>
      <c r="ISV41" s="222"/>
      <c r="ISW41" s="222"/>
      <c r="ISX41" s="222"/>
      <c r="ISY41" s="222"/>
      <c r="ISZ41" s="222"/>
      <c r="ITA41" s="222"/>
      <c r="ITB41" s="222"/>
      <c r="ITC41" s="222"/>
      <c r="ITD41" s="222"/>
      <c r="ITE41" s="222"/>
      <c r="ITF41" s="222"/>
      <c r="ITG41" s="222"/>
      <c r="ITH41" s="222"/>
      <c r="ITI41" s="222"/>
      <c r="ITJ41" s="222"/>
      <c r="ITK41" s="222"/>
      <c r="ITL41" s="222"/>
      <c r="ITM41" s="222"/>
      <c r="ITN41" s="222"/>
      <c r="ITO41" s="222"/>
      <c r="ITP41" s="222"/>
      <c r="ITQ41" s="222"/>
      <c r="ITR41" s="222"/>
      <c r="ITS41" s="222"/>
      <c r="ITT41" s="222"/>
      <c r="ITU41" s="222"/>
      <c r="ITV41" s="222"/>
      <c r="ITW41" s="222"/>
      <c r="ITX41" s="222"/>
      <c r="ITY41" s="222"/>
      <c r="ITZ41" s="222"/>
      <c r="IUA41" s="222"/>
      <c r="IUB41" s="222"/>
      <c r="IUC41" s="222"/>
      <c r="IUD41" s="222"/>
      <c r="IUE41" s="222"/>
      <c r="IUF41" s="222"/>
      <c r="IUG41" s="222"/>
      <c r="IUH41" s="222"/>
      <c r="IUI41" s="222"/>
      <c r="IUJ41" s="222"/>
      <c r="IUK41" s="222"/>
      <c r="IUL41" s="222"/>
      <c r="IUM41" s="222"/>
      <c r="IUN41" s="222"/>
      <c r="IUO41" s="222"/>
      <c r="IUP41" s="222"/>
      <c r="IUQ41" s="222"/>
      <c r="IUR41" s="222"/>
      <c r="IUS41" s="222"/>
      <c r="IUT41" s="222"/>
      <c r="IUU41" s="222"/>
      <c r="IUV41" s="222"/>
      <c r="IUW41" s="222"/>
      <c r="IUX41" s="222"/>
      <c r="IUY41" s="222"/>
      <c r="IUZ41" s="222"/>
      <c r="IVA41" s="222"/>
      <c r="IVB41" s="222"/>
      <c r="IVC41" s="222"/>
      <c r="IVD41" s="222"/>
      <c r="IVE41" s="222"/>
      <c r="IVF41" s="222"/>
      <c r="IVG41" s="222"/>
      <c r="IVH41" s="222"/>
      <c r="IVI41" s="222"/>
      <c r="IVJ41" s="222"/>
      <c r="IVK41" s="222"/>
      <c r="IVL41" s="222"/>
      <c r="IVM41" s="222"/>
      <c r="IVN41" s="222"/>
      <c r="IVO41" s="222"/>
      <c r="IVP41" s="222"/>
      <c r="IVQ41" s="222"/>
      <c r="IVR41" s="222"/>
      <c r="IVS41" s="222"/>
      <c r="IVT41" s="222"/>
      <c r="IVU41" s="222"/>
      <c r="IVV41" s="222"/>
      <c r="IVW41" s="222"/>
      <c r="IVX41" s="222"/>
      <c r="IVY41" s="222"/>
      <c r="IVZ41" s="222"/>
      <c r="IWA41" s="222"/>
      <c r="IWB41" s="222"/>
      <c r="IWC41" s="222"/>
      <c r="IWD41" s="222"/>
      <c r="IWE41" s="222"/>
      <c r="IWF41" s="222"/>
      <c r="IWG41" s="222"/>
      <c r="IWH41" s="222"/>
      <c r="IWI41" s="222"/>
      <c r="IWJ41" s="222"/>
      <c r="IWK41" s="222"/>
      <c r="IWL41" s="222"/>
      <c r="IWM41" s="222"/>
      <c r="IWN41" s="222"/>
      <c r="IWO41" s="222"/>
      <c r="IWP41" s="222"/>
      <c r="IWQ41" s="222"/>
      <c r="IWR41" s="222"/>
      <c r="IWS41" s="222"/>
      <c r="IWT41" s="222"/>
      <c r="IWU41" s="222"/>
      <c r="IWV41" s="222"/>
      <c r="IWW41" s="222"/>
      <c r="IWX41" s="222"/>
      <c r="IWY41" s="222"/>
      <c r="IWZ41" s="222"/>
      <c r="IXA41" s="222"/>
      <c r="IXB41" s="222"/>
      <c r="IXC41" s="222"/>
      <c r="IXD41" s="222"/>
      <c r="IXE41" s="222"/>
      <c r="IXF41" s="222"/>
      <c r="IXG41" s="222"/>
      <c r="IXH41" s="222"/>
      <c r="IXI41" s="222"/>
      <c r="IXJ41" s="222"/>
      <c r="IXK41" s="222"/>
      <c r="IXL41" s="222"/>
      <c r="IXM41" s="222"/>
      <c r="IXN41" s="222"/>
      <c r="IXO41" s="222"/>
      <c r="IXP41" s="222"/>
      <c r="IXQ41" s="222"/>
      <c r="IXR41" s="222"/>
      <c r="IXS41" s="222"/>
      <c r="IXT41" s="222"/>
      <c r="IXU41" s="222"/>
      <c r="IXV41" s="222"/>
      <c r="IXW41" s="222"/>
      <c r="IXX41" s="222"/>
      <c r="IXY41" s="222"/>
      <c r="IXZ41" s="222"/>
      <c r="IYA41" s="222"/>
      <c r="IYB41" s="222"/>
      <c r="IYC41" s="222"/>
      <c r="IYD41" s="222"/>
      <c r="IYE41" s="222"/>
      <c r="IYF41" s="222"/>
      <c r="IYG41" s="222"/>
      <c r="IYH41" s="222"/>
      <c r="IYI41" s="222"/>
      <c r="IYJ41" s="222"/>
      <c r="IYK41" s="222"/>
      <c r="IYL41" s="222"/>
      <c r="IYM41" s="222"/>
      <c r="IYN41" s="222"/>
      <c r="IYO41" s="222"/>
      <c r="IYP41" s="222"/>
      <c r="IYQ41" s="222"/>
      <c r="IYR41" s="222"/>
      <c r="IYS41" s="222"/>
      <c r="IYT41" s="222"/>
      <c r="IYU41" s="222"/>
      <c r="IYV41" s="222"/>
      <c r="IYW41" s="222"/>
      <c r="IYX41" s="222"/>
      <c r="IYY41" s="222"/>
      <c r="IYZ41" s="222"/>
      <c r="IZA41" s="222"/>
      <c r="IZB41" s="222"/>
      <c r="IZC41" s="222"/>
      <c r="IZD41" s="222"/>
      <c r="IZE41" s="222"/>
      <c r="IZF41" s="222"/>
      <c r="IZG41" s="222"/>
      <c r="IZH41" s="222"/>
      <c r="IZI41" s="222"/>
      <c r="IZJ41" s="222"/>
      <c r="IZK41" s="222"/>
      <c r="IZL41" s="222"/>
      <c r="IZM41" s="222"/>
      <c r="IZN41" s="222"/>
      <c r="IZO41" s="222"/>
      <c r="IZP41" s="222"/>
      <c r="IZQ41" s="222"/>
      <c r="IZR41" s="222"/>
      <c r="IZS41" s="222"/>
      <c r="IZT41" s="222"/>
      <c r="IZU41" s="222"/>
      <c r="IZV41" s="222"/>
      <c r="IZW41" s="222"/>
      <c r="IZX41" s="222"/>
      <c r="IZY41" s="222"/>
      <c r="IZZ41" s="222"/>
      <c r="JAA41" s="222"/>
      <c r="JAB41" s="222"/>
      <c r="JAC41" s="222"/>
      <c r="JAD41" s="222"/>
      <c r="JAE41" s="222"/>
      <c r="JAF41" s="222"/>
      <c r="JAG41" s="222"/>
      <c r="JAH41" s="222"/>
      <c r="JAI41" s="222"/>
      <c r="JAJ41" s="222"/>
      <c r="JAK41" s="222"/>
      <c r="JAL41" s="222"/>
      <c r="JAM41" s="222"/>
      <c r="JAN41" s="222"/>
      <c r="JAO41" s="222"/>
      <c r="JAP41" s="222"/>
      <c r="JAQ41" s="222"/>
      <c r="JAR41" s="222"/>
      <c r="JAS41" s="222"/>
      <c r="JAT41" s="222"/>
      <c r="JAU41" s="222"/>
      <c r="JAV41" s="222"/>
      <c r="JAW41" s="222"/>
      <c r="JAX41" s="222"/>
      <c r="JAY41" s="222"/>
      <c r="JAZ41" s="222"/>
      <c r="JBA41" s="222"/>
      <c r="JBB41" s="222"/>
      <c r="JBC41" s="222"/>
      <c r="JBD41" s="222"/>
      <c r="JBE41" s="222"/>
      <c r="JBF41" s="222"/>
      <c r="JBG41" s="222"/>
      <c r="JBH41" s="222"/>
      <c r="JBI41" s="222"/>
      <c r="JBJ41" s="222"/>
      <c r="JBK41" s="222"/>
      <c r="JBL41" s="222"/>
      <c r="JBM41" s="222"/>
      <c r="JBN41" s="222"/>
      <c r="JBO41" s="222"/>
      <c r="JBP41" s="222"/>
      <c r="JBQ41" s="222"/>
      <c r="JBR41" s="222"/>
      <c r="JBS41" s="222"/>
      <c r="JBT41" s="222"/>
      <c r="JBU41" s="222"/>
      <c r="JBV41" s="222"/>
      <c r="JBW41" s="222"/>
      <c r="JBX41" s="222"/>
      <c r="JBY41" s="222"/>
      <c r="JBZ41" s="222"/>
      <c r="JCA41" s="222"/>
      <c r="JCB41" s="222"/>
      <c r="JCC41" s="222"/>
      <c r="JCD41" s="222"/>
      <c r="JCE41" s="222"/>
      <c r="JCF41" s="222"/>
      <c r="JCG41" s="222"/>
      <c r="JCH41" s="222"/>
      <c r="JCI41" s="222"/>
      <c r="JCJ41" s="222"/>
      <c r="JCK41" s="222"/>
      <c r="JCL41" s="222"/>
      <c r="JCM41" s="222"/>
      <c r="JCN41" s="222"/>
      <c r="JCO41" s="222"/>
      <c r="JCP41" s="222"/>
      <c r="JCQ41" s="222"/>
      <c r="JCR41" s="222"/>
      <c r="JCS41" s="222"/>
      <c r="JCT41" s="222"/>
      <c r="JCU41" s="222"/>
      <c r="JCV41" s="222"/>
      <c r="JCW41" s="222"/>
      <c r="JCX41" s="222"/>
      <c r="JCY41" s="222"/>
      <c r="JCZ41" s="222"/>
      <c r="JDA41" s="222"/>
      <c r="JDB41" s="222"/>
      <c r="JDC41" s="222"/>
      <c r="JDD41" s="222"/>
      <c r="JDE41" s="222"/>
      <c r="JDF41" s="222"/>
      <c r="JDG41" s="222"/>
      <c r="JDH41" s="222"/>
      <c r="JDI41" s="222"/>
      <c r="JDJ41" s="222"/>
      <c r="JDK41" s="222"/>
      <c r="JDL41" s="222"/>
      <c r="JDM41" s="222"/>
      <c r="JDN41" s="222"/>
      <c r="JDO41" s="222"/>
      <c r="JDP41" s="222"/>
      <c r="JDQ41" s="222"/>
      <c r="JDR41" s="222"/>
      <c r="JDS41" s="222"/>
      <c r="JDT41" s="222"/>
      <c r="JDU41" s="222"/>
      <c r="JDV41" s="222"/>
      <c r="JDW41" s="222"/>
      <c r="JDX41" s="222"/>
      <c r="JDY41" s="222"/>
      <c r="JDZ41" s="222"/>
      <c r="JEA41" s="222"/>
      <c r="JEB41" s="222"/>
      <c r="JEC41" s="222"/>
      <c r="JED41" s="222"/>
      <c r="JEE41" s="222"/>
      <c r="JEF41" s="222"/>
      <c r="JEG41" s="222"/>
      <c r="JEH41" s="222"/>
      <c r="JEI41" s="222"/>
      <c r="JEJ41" s="222"/>
      <c r="JEK41" s="222"/>
      <c r="JEL41" s="222"/>
      <c r="JEM41" s="222"/>
      <c r="JEN41" s="222"/>
      <c r="JEO41" s="222"/>
      <c r="JEP41" s="222"/>
      <c r="JEQ41" s="222"/>
      <c r="JER41" s="222"/>
      <c r="JES41" s="222"/>
      <c r="JET41" s="222"/>
      <c r="JEU41" s="222"/>
      <c r="JEV41" s="222"/>
      <c r="JEW41" s="222"/>
      <c r="JEX41" s="222"/>
      <c r="JEY41" s="222"/>
      <c r="JEZ41" s="222"/>
      <c r="JFA41" s="222"/>
      <c r="JFB41" s="222"/>
      <c r="JFC41" s="222"/>
      <c r="JFD41" s="222"/>
      <c r="JFE41" s="222"/>
      <c r="JFF41" s="222"/>
      <c r="JFG41" s="222"/>
      <c r="JFH41" s="222"/>
      <c r="JFI41" s="222"/>
      <c r="JFJ41" s="222"/>
      <c r="JFK41" s="222"/>
      <c r="JFL41" s="222"/>
      <c r="JFM41" s="222"/>
      <c r="JFN41" s="222"/>
      <c r="JFO41" s="222"/>
      <c r="JFP41" s="222"/>
      <c r="JFQ41" s="222"/>
      <c r="JFR41" s="222"/>
      <c r="JFS41" s="222"/>
      <c r="JFT41" s="222"/>
      <c r="JFU41" s="222"/>
      <c r="JFV41" s="222"/>
      <c r="JFW41" s="222"/>
      <c r="JFX41" s="222"/>
      <c r="JFY41" s="222"/>
      <c r="JFZ41" s="222"/>
      <c r="JGA41" s="222"/>
      <c r="JGB41" s="222"/>
      <c r="JGC41" s="222"/>
      <c r="JGD41" s="222"/>
      <c r="JGE41" s="222"/>
      <c r="JGF41" s="222"/>
      <c r="JGG41" s="222"/>
      <c r="JGH41" s="222"/>
      <c r="JGI41" s="222"/>
      <c r="JGJ41" s="222"/>
      <c r="JGK41" s="222"/>
      <c r="JGL41" s="222"/>
      <c r="JGM41" s="222"/>
      <c r="JGN41" s="222"/>
      <c r="JGO41" s="222"/>
      <c r="JGP41" s="222"/>
      <c r="JGQ41" s="222"/>
      <c r="JGR41" s="222"/>
      <c r="JGS41" s="222"/>
      <c r="JGT41" s="222"/>
      <c r="JGU41" s="222"/>
      <c r="JGV41" s="222"/>
      <c r="JGW41" s="222"/>
      <c r="JGX41" s="222"/>
      <c r="JGY41" s="222"/>
      <c r="JGZ41" s="222"/>
      <c r="JHA41" s="222"/>
      <c r="JHB41" s="222"/>
      <c r="JHC41" s="222"/>
      <c r="JHD41" s="222"/>
      <c r="JHE41" s="222"/>
      <c r="JHF41" s="222"/>
      <c r="JHG41" s="222"/>
      <c r="JHH41" s="222"/>
      <c r="JHI41" s="222"/>
      <c r="JHJ41" s="222"/>
      <c r="JHK41" s="222"/>
      <c r="JHL41" s="222"/>
      <c r="JHM41" s="222"/>
      <c r="JHN41" s="222"/>
      <c r="JHO41" s="222"/>
      <c r="JHP41" s="222"/>
      <c r="JHQ41" s="222"/>
      <c r="JHR41" s="222"/>
      <c r="JHS41" s="222"/>
      <c r="JHT41" s="222"/>
      <c r="JHU41" s="222"/>
      <c r="JHV41" s="222"/>
      <c r="JHW41" s="222"/>
      <c r="JHX41" s="222"/>
      <c r="JHY41" s="222"/>
      <c r="JHZ41" s="222"/>
      <c r="JIA41" s="222"/>
      <c r="JIB41" s="222"/>
      <c r="JIC41" s="222"/>
      <c r="JID41" s="222"/>
      <c r="JIE41" s="222"/>
      <c r="JIF41" s="222"/>
      <c r="JIG41" s="222"/>
      <c r="JIH41" s="222"/>
      <c r="JII41" s="222"/>
      <c r="JIJ41" s="222"/>
      <c r="JIK41" s="222"/>
      <c r="JIL41" s="222"/>
      <c r="JIM41" s="222"/>
      <c r="JIN41" s="222"/>
      <c r="JIO41" s="222"/>
      <c r="JIP41" s="222"/>
      <c r="JIQ41" s="222"/>
      <c r="JIR41" s="222"/>
      <c r="JIS41" s="222"/>
      <c r="JIT41" s="222"/>
      <c r="JIU41" s="222"/>
      <c r="JIV41" s="222"/>
      <c r="JIW41" s="222"/>
      <c r="JIX41" s="222"/>
      <c r="JIY41" s="222"/>
      <c r="JIZ41" s="222"/>
      <c r="JJA41" s="222"/>
      <c r="JJB41" s="222"/>
      <c r="JJC41" s="222"/>
      <c r="JJD41" s="222"/>
      <c r="JJE41" s="222"/>
      <c r="JJF41" s="222"/>
      <c r="JJG41" s="222"/>
      <c r="JJH41" s="222"/>
      <c r="JJI41" s="222"/>
      <c r="JJJ41" s="222"/>
      <c r="JJK41" s="222"/>
      <c r="JJL41" s="222"/>
      <c r="JJM41" s="222"/>
      <c r="JJN41" s="222"/>
      <c r="JJO41" s="222"/>
      <c r="JJP41" s="222"/>
      <c r="JJQ41" s="222"/>
      <c r="JJR41" s="222"/>
      <c r="JJS41" s="222"/>
      <c r="JJT41" s="222"/>
      <c r="JJU41" s="222"/>
      <c r="JJV41" s="222"/>
      <c r="JJW41" s="222"/>
      <c r="JJX41" s="222"/>
      <c r="JJY41" s="222"/>
      <c r="JJZ41" s="222"/>
      <c r="JKA41" s="222"/>
      <c r="JKB41" s="222"/>
      <c r="JKC41" s="222"/>
      <c r="JKD41" s="222"/>
      <c r="JKE41" s="222"/>
      <c r="JKF41" s="222"/>
      <c r="JKG41" s="222"/>
      <c r="JKH41" s="222"/>
      <c r="JKI41" s="222"/>
      <c r="JKJ41" s="222"/>
      <c r="JKK41" s="222"/>
      <c r="JKL41" s="222"/>
      <c r="JKM41" s="222"/>
      <c r="JKN41" s="222"/>
      <c r="JKO41" s="222"/>
      <c r="JKP41" s="222"/>
      <c r="JKQ41" s="222"/>
      <c r="JKR41" s="222"/>
      <c r="JKS41" s="222"/>
      <c r="JKT41" s="222"/>
      <c r="JKU41" s="222"/>
      <c r="JKV41" s="222"/>
      <c r="JKW41" s="222"/>
      <c r="JKX41" s="222"/>
      <c r="JKY41" s="222"/>
      <c r="JKZ41" s="222"/>
      <c r="JLA41" s="222"/>
      <c r="JLB41" s="222"/>
      <c r="JLC41" s="222"/>
      <c r="JLD41" s="222"/>
      <c r="JLE41" s="222"/>
      <c r="JLF41" s="222"/>
      <c r="JLG41" s="222"/>
      <c r="JLH41" s="222"/>
      <c r="JLI41" s="222"/>
      <c r="JLJ41" s="222"/>
      <c r="JLK41" s="222"/>
      <c r="JLL41" s="222"/>
      <c r="JLM41" s="222"/>
      <c r="JLN41" s="222"/>
      <c r="JLO41" s="222"/>
      <c r="JLP41" s="222"/>
      <c r="JLQ41" s="222"/>
      <c r="JLR41" s="222"/>
      <c r="JLS41" s="222"/>
      <c r="JLT41" s="222"/>
      <c r="JLU41" s="222"/>
      <c r="JLV41" s="222"/>
      <c r="JLW41" s="222"/>
      <c r="JLX41" s="222"/>
      <c r="JLY41" s="222"/>
      <c r="JLZ41" s="222"/>
      <c r="JMA41" s="222"/>
      <c r="JMB41" s="222"/>
      <c r="JMC41" s="222"/>
      <c r="JMD41" s="222"/>
      <c r="JME41" s="222"/>
      <c r="JMF41" s="222"/>
      <c r="JMG41" s="222"/>
      <c r="JMH41" s="222"/>
      <c r="JMI41" s="222"/>
      <c r="JMJ41" s="222"/>
      <c r="JMK41" s="222"/>
      <c r="JML41" s="222"/>
      <c r="JMM41" s="222"/>
      <c r="JMN41" s="222"/>
      <c r="JMO41" s="222"/>
      <c r="JMP41" s="222"/>
      <c r="JMQ41" s="222"/>
      <c r="JMR41" s="222"/>
      <c r="JMS41" s="222"/>
      <c r="JMT41" s="222"/>
      <c r="JMU41" s="222"/>
      <c r="JMV41" s="222"/>
      <c r="JMW41" s="222"/>
      <c r="JMX41" s="222"/>
      <c r="JMY41" s="222"/>
      <c r="JMZ41" s="222"/>
      <c r="JNA41" s="222"/>
      <c r="JNB41" s="222"/>
      <c r="JNC41" s="222"/>
      <c r="JND41" s="222"/>
      <c r="JNE41" s="222"/>
      <c r="JNF41" s="222"/>
      <c r="JNG41" s="222"/>
      <c r="JNH41" s="222"/>
      <c r="JNI41" s="222"/>
      <c r="JNJ41" s="222"/>
      <c r="JNK41" s="222"/>
      <c r="JNL41" s="222"/>
      <c r="JNM41" s="222"/>
      <c r="JNN41" s="222"/>
      <c r="JNO41" s="222"/>
      <c r="JNP41" s="222"/>
      <c r="JNQ41" s="222"/>
      <c r="JNR41" s="222"/>
      <c r="JNS41" s="222"/>
      <c r="JNT41" s="222"/>
      <c r="JNU41" s="222"/>
      <c r="JNV41" s="222"/>
      <c r="JNW41" s="222"/>
      <c r="JNX41" s="222"/>
      <c r="JNY41" s="222"/>
      <c r="JNZ41" s="222"/>
      <c r="JOA41" s="222"/>
      <c r="JOB41" s="222"/>
      <c r="JOC41" s="222"/>
      <c r="JOD41" s="222"/>
      <c r="JOE41" s="222"/>
      <c r="JOF41" s="222"/>
      <c r="JOG41" s="222"/>
      <c r="JOH41" s="222"/>
      <c r="JOI41" s="222"/>
      <c r="JOJ41" s="222"/>
      <c r="JOK41" s="222"/>
      <c r="JOL41" s="222"/>
      <c r="JOM41" s="222"/>
      <c r="JON41" s="222"/>
      <c r="JOO41" s="222"/>
      <c r="JOP41" s="222"/>
      <c r="JOQ41" s="222"/>
      <c r="JOR41" s="222"/>
      <c r="JOS41" s="222"/>
      <c r="JOT41" s="222"/>
      <c r="JOU41" s="222"/>
      <c r="JOV41" s="222"/>
      <c r="JOW41" s="222"/>
      <c r="JOX41" s="222"/>
      <c r="JOY41" s="222"/>
      <c r="JOZ41" s="222"/>
      <c r="JPA41" s="222"/>
      <c r="JPB41" s="222"/>
      <c r="JPC41" s="222"/>
      <c r="JPD41" s="222"/>
      <c r="JPE41" s="222"/>
      <c r="JPF41" s="222"/>
      <c r="JPG41" s="222"/>
      <c r="JPH41" s="222"/>
      <c r="JPI41" s="222"/>
      <c r="JPJ41" s="222"/>
      <c r="JPK41" s="222"/>
      <c r="JPL41" s="222"/>
      <c r="JPM41" s="222"/>
      <c r="JPN41" s="222"/>
      <c r="JPO41" s="222"/>
      <c r="JPP41" s="222"/>
      <c r="JPQ41" s="222"/>
      <c r="JPR41" s="222"/>
      <c r="JPS41" s="222"/>
      <c r="JPT41" s="222"/>
      <c r="JPU41" s="222"/>
      <c r="JPV41" s="222"/>
      <c r="JPW41" s="222"/>
      <c r="JPX41" s="222"/>
      <c r="JPY41" s="222"/>
      <c r="JPZ41" s="222"/>
      <c r="JQA41" s="222"/>
      <c r="JQB41" s="222"/>
      <c r="JQC41" s="222"/>
      <c r="JQD41" s="222"/>
      <c r="JQE41" s="222"/>
      <c r="JQF41" s="222"/>
      <c r="JQG41" s="222"/>
      <c r="JQH41" s="222"/>
      <c r="JQI41" s="222"/>
      <c r="JQJ41" s="222"/>
      <c r="JQK41" s="222"/>
      <c r="JQL41" s="222"/>
      <c r="JQM41" s="222"/>
      <c r="JQN41" s="222"/>
      <c r="JQO41" s="222"/>
      <c r="JQP41" s="222"/>
      <c r="JQQ41" s="222"/>
      <c r="JQR41" s="222"/>
      <c r="JQS41" s="222"/>
      <c r="JQT41" s="222"/>
      <c r="JQU41" s="222"/>
      <c r="JQV41" s="222"/>
      <c r="JQW41" s="222"/>
      <c r="JQX41" s="222"/>
      <c r="JQY41" s="222"/>
      <c r="JQZ41" s="222"/>
      <c r="JRA41" s="222"/>
      <c r="JRB41" s="222"/>
      <c r="JRC41" s="222"/>
      <c r="JRD41" s="222"/>
      <c r="JRE41" s="222"/>
      <c r="JRF41" s="222"/>
      <c r="JRG41" s="222"/>
      <c r="JRH41" s="222"/>
      <c r="JRI41" s="222"/>
      <c r="JRJ41" s="222"/>
      <c r="JRK41" s="222"/>
      <c r="JRL41" s="222"/>
      <c r="JRM41" s="222"/>
      <c r="JRN41" s="222"/>
      <c r="JRO41" s="222"/>
      <c r="JRP41" s="222"/>
      <c r="JRQ41" s="222"/>
      <c r="JRR41" s="222"/>
      <c r="JRS41" s="222"/>
      <c r="JRT41" s="222"/>
      <c r="JRU41" s="222"/>
      <c r="JRV41" s="222"/>
      <c r="JRW41" s="222"/>
      <c r="JRX41" s="222"/>
      <c r="JRY41" s="222"/>
      <c r="JRZ41" s="222"/>
      <c r="JSA41" s="222"/>
      <c r="JSB41" s="222"/>
      <c r="JSC41" s="222"/>
      <c r="JSD41" s="222"/>
      <c r="JSE41" s="222"/>
      <c r="JSF41" s="222"/>
      <c r="JSG41" s="222"/>
      <c r="JSH41" s="222"/>
      <c r="JSI41" s="222"/>
      <c r="JSJ41" s="222"/>
      <c r="JSK41" s="222"/>
      <c r="JSL41" s="222"/>
      <c r="JSM41" s="222"/>
      <c r="JSN41" s="222"/>
      <c r="JSO41" s="222"/>
      <c r="JSP41" s="222"/>
      <c r="JSQ41" s="222"/>
      <c r="JSR41" s="222"/>
      <c r="JSS41" s="222"/>
      <c r="JST41" s="222"/>
      <c r="JSU41" s="222"/>
      <c r="JSV41" s="222"/>
      <c r="JSW41" s="222"/>
      <c r="JSX41" s="222"/>
      <c r="JSY41" s="222"/>
      <c r="JSZ41" s="222"/>
      <c r="JTA41" s="222"/>
      <c r="JTB41" s="222"/>
      <c r="JTC41" s="222"/>
      <c r="JTD41" s="222"/>
      <c r="JTE41" s="222"/>
      <c r="JTF41" s="222"/>
      <c r="JTG41" s="222"/>
      <c r="JTH41" s="222"/>
      <c r="JTI41" s="222"/>
      <c r="JTJ41" s="222"/>
      <c r="JTK41" s="222"/>
      <c r="JTL41" s="222"/>
      <c r="JTM41" s="222"/>
      <c r="JTN41" s="222"/>
      <c r="JTO41" s="222"/>
      <c r="JTP41" s="222"/>
      <c r="JTQ41" s="222"/>
      <c r="JTR41" s="222"/>
      <c r="JTS41" s="222"/>
      <c r="JTT41" s="222"/>
      <c r="JTU41" s="222"/>
      <c r="JTV41" s="222"/>
      <c r="JTW41" s="222"/>
      <c r="JTX41" s="222"/>
      <c r="JTY41" s="222"/>
      <c r="JTZ41" s="222"/>
      <c r="JUA41" s="222"/>
      <c r="JUB41" s="222"/>
      <c r="JUC41" s="222"/>
      <c r="JUD41" s="222"/>
      <c r="JUE41" s="222"/>
      <c r="JUF41" s="222"/>
      <c r="JUG41" s="222"/>
      <c r="JUH41" s="222"/>
      <c r="JUI41" s="222"/>
      <c r="JUJ41" s="222"/>
      <c r="JUK41" s="222"/>
      <c r="JUL41" s="222"/>
      <c r="JUM41" s="222"/>
      <c r="JUN41" s="222"/>
      <c r="JUO41" s="222"/>
      <c r="JUP41" s="222"/>
      <c r="JUQ41" s="222"/>
      <c r="JUR41" s="222"/>
      <c r="JUS41" s="222"/>
      <c r="JUT41" s="222"/>
      <c r="JUU41" s="222"/>
      <c r="JUV41" s="222"/>
      <c r="JUW41" s="222"/>
      <c r="JUX41" s="222"/>
      <c r="JUY41" s="222"/>
      <c r="JUZ41" s="222"/>
      <c r="JVA41" s="222"/>
      <c r="JVB41" s="222"/>
      <c r="JVC41" s="222"/>
      <c r="JVD41" s="222"/>
      <c r="JVE41" s="222"/>
      <c r="JVF41" s="222"/>
      <c r="JVG41" s="222"/>
      <c r="JVH41" s="222"/>
      <c r="JVI41" s="222"/>
      <c r="JVJ41" s="222"/>
      <c r="JVK41" s="222"/>
      <c r="JVL41" s="222"/>
      <c r="JVM41" s="222"/>
      <c r="JVN41" s="222"/>
      <c r="JVO41" s="222"/>
      <c r="JVP41" s="222"/>
      <c r="JVQ41" s="222"/>
      <c r="JVR41" s="222"/>
      <c r="JVS41" s="222"/>
      <c r="JVT41" s="222"/>
      <c r="JVU41" s="222"/>
      <c r="JVV41" s="222"/>
      <c r="JVW41" s="222"/>
      <c r="JVX41" s="222"/>
      <c r="JVY41" s="222"/>
      <c r="JVZ41" s="222"/>
      <c r="JWA41" s="222"/>
      <c r="JWB41" s="222"/>
      <c r="JWC41" s="222"/>
      <c r="JWD41" s="222"/>
      <c r="JWE41" s="222"/>
      <c r="JWF41" s="222"/>
      <c r="JWG41" s="222"/>
      <c r="JWH41" s="222"/>
      <c r="JWI41" s="222"/>
      <c r="JWJ41" s="222"/>
      <c r="JWK41" s="222"/>
      <c r="JWL41" s="222"/>
      <c r="JWM41" s="222"/>
      <c r="JWN41" s="222"/>
      <c r="JWO41" s="222"/>
      <c r="JWP41" s="222"/>
      <c r="JWQ41" s="222"/>
      <c r="JWR41" s="222"/>
      <c r="JWS41" s="222"/>
      <c r="JWT41" s="222"/>
      <c r="JWU41" s="222"/>
      <c r="JWV41" s="222"/>
      <c r="JWW41" s="222"/>
      <c r="JWX41" s="222"/>
      <c r="JWY41" s="222"/>
      <c r="JWZ41" s="222"/>
      <c r="JXA41" s="222"/>
      <c r="JXB41" s="222"/>
      <c r="JXC41" s="222"/>
      <c r="JXD41" s="222"/>
      <c r="JXE41" s="222"/>
      <c r="JXF41" s="222"/>
      <c r="JXG41" s="222"/>
      <c r="JXH41" s="222"/>
      <c r="JXI41" s="222"/>
      <c r="JXJ41" s="222"/>
      <c r="JXK41" s="222"/>
      <c r="JXL41" s="222"/>
      <c r="JXM41" s="222"/>
      <c r="JXN41" s="222"/>
      <c r="JXO41" s="222"/>
      <c r="JXP41" s="222"/>
      <c r="JXQ41" s="222"/>
      <c r="JXR41" s="222"/>
      <c r="JXS41" s="222"/>
      <c r="JXT41" s="222"/>
      <c r="JXU41" s="222"/>
      <c r="JXV41" s="222"/>
      <c r="JXW41" s="222"/>
      <c r="JXX41" s="222"/>
      <c r="JXY41" s="222"/>
      <c r="JXZ41" s="222"/>
      <c r="JYA41" s="222"/>
      <c r="JYB41" s="222"/>
      <c r="JYC41" s="222"/>
      <c r="JYD41" s="222"/>
      <c r="JYE41" s="222"/>
      <c r="JYF41" s="222"/>
      <c r="JYG41" s="222"/>
      <c r="JYH41" s="222"/>
      <c r="JYI41" s="222"/>
      <c r="JYJ41" s="222"/>
      <c r="JYK41" s="222"/>
      <c r="JYL41" s="222"/>
      <c r="JYM41" s="222"/>
      <c r="JYN41" s="222"/>
      <c r="JYO41" s="222"/>
      <c r="JYP41" s="222"/>
      <c r="JYQ41" s="222"/>
      <c r="JYR41" s="222"/>
      <c r="JYS41" s="222"/>
      <c r="JYT41" s="222"/>
      <c r="JYU41" s="222"/>
      <c r="JYV41" s="222"/>
      <c r="JYW41" s="222"/>
      <c r="JYX41" s="222"/>
      <c r="JYY41" s="222"/>
      <c r="JYZ41" s="222"/>
      <c r="JZA41" s="222"/>
      <c r="JZB41" s="222"/>
      <c r="JZC41" s="222"/>
      <c r="JZD41" s="222"/>
      <c r="JZE41" s="222"/>
      <c r="JZF41" s="222"/>
      <c r="JZG41" s="222"/>
      <c r="JZH41" s="222"/>
      <c r="JZI41" s="222"/>
      <c r="JZJ41" s="222"/>
      <c r="JZK41" s="222"/>
      <c r="JZL41" s="222"/>
      <c r="JZM41" s="222"/>
      <c r="JZN41" s="222"/>
      <c r="JZO41" s="222"/>
      <c r="JZP41" s="222"/>
      <c r="JZQ41" s="222"/>
      <c r="JZR41" s="222"/>
      <c r="JZS41" s="222"/>
      <c r="JZT41" s="222"/>
      <c r="JZU41" s="222"/>
      <c r="JZV41" s="222"/>
      <c r="JZW41" s="222"/>
      <c r="JZX41" s="222"/>
      <c r="JZY41" s="222"/>
      <c r="JZZ41" s="222"/>
      <c r="KAA41" s="222"/>
      <c r="KAB41" s="222"/>
      <c r="KAC41" s="222"/>
      <c r="KAD41" s="222"/>
      <c r="KAE41" s="222"/>
      <c r="KAF41" s="222"/>
      <c r="KAG41" s="222"/>
      <c r="KAH41" s="222"/>
      <c r="KAI41" s="222"/>
      <c r="KAJ41" s="222"/>
      <c r="KAK41" s="222"/>
      <c r="KAL41" s="222"/>
      <c r="KAM41" s="222"/>
      <c r="KAN41" s="222"/>
      <c r="KAO41" s="222"/>
      <c r="KAP41" s="222"/>
      <c r="KAQ41" s="222"/>
      <c r="KAR41" s="222"/>
      <c r="KAS41" s="222"/>
      <c r="KAT41" s="222"/>
      <c r="KAU41" s="222"/>
      <c r="KAV41" s="222"/>
      <c r="KAW41" s="222"/>
      <c r="KAX41" s="222"/>
      <c r="KAY41" s="222"/>
      <c r="KAZ41" s="222"/>
      <c r="KBA41" s="222"/>
      <c r="KBB41" s="222"/>
      <c r="KBC41" s="222"/>
      <c r="KBD41" s="222"/>
      <c r="KBE41" s="222"/>
      <c r="KBF41" s="222"/>
      <c r="KBG41" s="222"/>
      <c r="KBH41" s="222"/>
      <c r="KBI41" s="222"/>
      <c r="KBJ41" s="222"/>
      <c r="KBK41" s="222"/>
      <c r="KBL41" s="222"/>
      <c r="KBM41" s="222"/>
      <c r="KBN41" s="222"/>
      <c r="KBO41" s="222"/>
      <c r="KBP41" s="222"/>
      <c r="KBQ41" s="222"/>
      <c r="KBR41" s="222"/>
      <c r="KBS41" s="222"/>
      <c r="KBT41" s="222"/>
      <c r="KBU41" s="222"/>
      <c r="KBV41" s="222"/>
      <c r="KBW41" s="222"/>
      <c r="KBX41" s="222"/>
      <c r="KBY41" s="222"/>
      <c r="KBZ41" s="222"/>
      <c r="KCA41" s="222"/>
      <c r="KCB41" s="222"/>
      <c r="KCC41" s="222"/>
      <c r="KCD41" s="222"/>
      <c r="KCE41" s="222"/>
      <c r="KCF41" s="222"/>
      <c r="KCG41" s="222"/>
      <c r="KCH41" s="222"/>
      <c r="KCI41" s="222"/>
      <c r="KCJ41" s="222"/>
      <c r="KCK41" s="222"/>
      <c r="KCL41" s="222"/>
      <c r="KCM41" s="222"/>
      <c r="KCN41" s="222"/>
      <c r="KCO41" s="222"/>
      <c r="KCP41" s="222"/>
      <c r="KCQ41" s="222"/>
      <c r="KCR41" s="222"/>
      <c r="KCS41" s="222"/>
      <c r="KCT41" s="222"/>
      <c r="KCU41" s="222"/>
      <c r="KCV41" s="222"/>
      <c r="KCW41" s="222"/>
      <c r="KCX41" s="222"/>
      <c r="KCY41" s="222"/>
      <c r="KCZ41" s="222"/>
      <c r="KDA41" s="222"/>
      <c r="KDB41" s="222"/>
      <c r="KDC41" s="222"/>
      <c r="KDD41" s="222"/>
      <c r="KDE41" s="222"/>
      <c r="KDF41" s="222"/>
      <c r="KDG41" s="222"/>
      <c r="KDH41" s="222"/>
      <c r="KDI41" s="222"/>
      <c r="KDJ41" s="222"/>
      <c r="KDK41" s="222"/>
      <c r="KDL41" s="222"/>
      <c r="KDM41" s="222"/>
      <c r="KDN41" s="222"/>
      <c r="KDO41" s="222"/>
      <c r="KDP41" s="222"/>
      <c r="KDQ41" s="222"/>
      <c r="KDR41" s="222"/>
      <c r="KDS41" s="222"/>
      <c r="KDT41" s="222"/>
      <c r="KDU41" s="222"/>
      <c r="KDV41" s="222"/>
      <c r="KDW41" s="222"/>
      <c r="KDX41" s="222"/>
      <c r="KDY41" s="222"/>
      <c r="KDZ41" s="222"/>
      <c r="KEA41" s="222"/>
      <c r="KEB41" s="222"/>
      <c r="KEC41" s="222"/>
      <c r="KED41" s="222"/>
      <c r="KEE41" s="222"/>
      <c r="KEF41" s="222"/>
      <c r="KEG41" s="222"/>
      <c r="KEH41" s="222"/>
      <c r="KEI41" s="222"/>
      <c r="KEJ41" s="222"/>
      <c r="KEK41" s="222"/>
      <c r="KEL41" s="222"/>
      <c r="KEM41" s="222"/>
      <c r="KEN41" s="222"/>
      <c r="KEO41" s="222"/>
      <c r="KEP41" s="222"/>
      <c r="KEQ41" s="222"/>
      <c r="KER41" s="222"/>
      <c r="KES41" s="222"/>
      <c r="KET41" s="222"/>
      <c r="KEU41" s="222"/>
      <c r="KEV41" s="222"/>
      <c r="KEW41" s="222"/>
      <c r="KEX41" s="222"/>
      <c r="KEY41" s="222"/>
      <c r="KEZ41" s="222"/>
      <c r="KFA41" s="222"/>
      <c r="KFB41" s="222"/>
      <c r="KFC41" s="222"/>
      <c r="KFD41" s="222"/>
      <c r="KFE41" s="222"/>
      <c r="KFF41" s="222"/>
      <c r="KFG41" s="222"/>
      <c r="KFH41" s="222"/>
      <c r="KFI41" s="222"/>
      <c r="KFJ41" s="222"/>
      <c r="KFK41" s="222"/>
      <c r="KFL41" s="222"/>
      <c r="KFM41" s="222"/>
      <c r="KFN41" s="222"/>
      <c r="KFO41" s="222"/>
      <c r="KFP41" s="222"/>
      <c r="KFQ41" s="222"/>
      <c r="KFR41" s="222"/>
      <c r="KFS41" s="222"/>
      <c r="KFT41" s="222"/>
      <c r="KFU41" s="222"/>
      <c r="KFV41" s="222"/>
      <c r="KFW41" s="222"/>
      <c r="KFX41" s="222"/>
      <c r="KFY41" s="222"/>
      <c r="KFZ41" s="222"/>
      <c r="KGA41" s="222"/>
      <c r="KGB41" s="222"/>
      <c r="KGC41" s="222"/>
      <c r="KGD41" s="222"/>
      <c r="KGE41" s="222"/>
      <c r="KGF41" s="222"/>
      <c r="KGG41" s="222"/>
      <c r="KGH41" s="222"/>
      <c r="KGI41" s="222"/>
      <c r="KGJ41" s="222"/>
      <c r="KGK41" s="222"/>
      <c r="KGL41" s="222"/>
      <c r="KGM41" s="222"/>
      <c r="KGN41" s="222"/>
      <c r="KGO41" s="222"/>
      <c r="KGP41" s="222"/>
      <c r="KGQ41" s="222"/>
      <c r="KGR41" s="222"/>
      <c r="KGS41" s="222"/>
      <c r="KGT41" s="222"/>
      <c r="KGU41" s="222"/>
      <c r="KGV41" s="222"/>
      <c r="KGW41" s="222"/>
      <c r="KGX41" s="222"/>
      <c r="KGY41" s="222"/>
      <c r="KGZ41" s="222"/>
      <c r="KHA41" s="222"/>
      <c r="KHB41" s="222"/>
      <c r="KHC41" s="222"/>
      <c r="KHD41" s="222"/>
      <c r="KHE41" s="222"/>
      <c r="KHF41" s="222"/>
      <c r="KHG41" s="222"/>
      <c r="KHH41" s="222"/>
      <c r="KHI41" s="222"/>
      <c r="KHJ41" s="222"/>
      <c r="KHK41" s="222"/>
      <c r="KHL41" s="222"/>
      <c r="KHM41" s="222"/>
      <c r="KHN41" s="222"/>
      <c r="KHO41" s="222"/>
      <c r="KHP41" s="222"/>
      <c r="KHQ41" s="222"/>
      <c r="KHR41" s="222"/>
      <c r="KHS41" s="222"/>
      <c r="KHT41" s="222"/>
      <c r="KHU41" s="222"/>
      <c r="KHV41" s="222"/>
      <c r="KHW41" s="222"/>
      <c r="KHX41" s="222"/>
      <c r="KHY41" s="222"/>
      <c r="KHZ41" s="222"/>
      <c r="KIA41" s="222"/>
      <c r="KIB41" s="222"/>
      <c r="KIC41" s="222"/>
      <c r="KID41" s="222"/>
      <c r="KIE41" s="222"/>
      <c r="KIF41" s="222"/>
      <c r="KIG41" s="222"/>
      <c r="KIH41" s="222"/>
      <c r="KII41" s="222"/>
      <c r="KIJ41" s="222"/>
      <c r="KIK41" s="222"/>
      <c r="KIL41" s="222"/>
      <c r="KIM41" s="222"/>
      <c r="KIN41" s="222"/>
      <c r="KIO41" s="222"/>
      <c r="KIP41" s="222"/>
      <c r="KIQ41" s="222"/>
      <c r="KIR41" s="222"/>
      <c r="KIS41" s="222"/>
      <c r="KIT41" s="222"/>
      <c r="KIU41" s="222"/>
      <c r="KIV41" s="222"/>
      <c r="KIW41" s="222"/>
      <c r="KIX41" s="222"/>
      <c r="KIY41" s="222"/>
      <c r="KIZ41" s="222"/>
      <c r="KJA41" s="222"/>
      <c r="KJB41" s="222"/>
      <c r="KJC41" s="222"/>
      <c r="KJD41" s="222"/>
      <c r="KJE41" s="222"/>
      <c r="KJF41" s="222"/>
      <c r="KJG41" s="222"/>
      <c r="KJH41" s="222"/>
      <c r="KJI41" s="222"/>
      <c r="KJJ41" s="222"/>
      <c r="KJK41" s="222"/>
      <c r="KJL41" s="222"/>
      <c r="KJM41" s="222"/>
      <c r="KJN41" s="222"/>
      <c r="KJO41" s="222"/>
      <c r="KJP41" s="222"/>
      <c r="KJQ41" s="222"/>
      <c r="KJR41" s="222"/>
      <c r="KJS41" s="222"/>
      <c r="KJT41" s="222"/>
      <c r="KJU41" s="222"/>
      <c r="KJV41" s="222"/>
      <c r="KJW41" s="222"/>
      <c r="KJX41" s="222"/>
      <c r="KJY41" s="222"/>
      <c r="KJZ41" s="222"/>
      <c r="KKA41" s="222"/>
      <c r="KKB41" s="222"/>
      <c r="KKC41" s="222"/>
      <c r="KKD41" s="222"/>
      <c r="KKE41" s="222"/>
      <c r="KKF41" s="222"/>
      <c r="KKG41" s="222"/>
      <c r="KKH41" s="222"/>
      <c r="KKI41" s="222"/>
      <c r="KKJ41" s="222"/>
      <c r="KKK41" s="222"/>
      <c r="KKL41" s="222"/>
      <c r="KKM41" s="222"/>
      <c r="KKN41" s="222"/>
      <c r="KKO41" s="222"/>
      <c r="KKP41" s="222"/>
      <c r="KKQ41" s="222"/>
      <c r="KKR41" s="222"/>
      <c r="KKS41" s="222"/>
      <c r="KKT41" s="222"/>
      <c r="KKU41" s="222"/>
      <c r="KKV41" s="222"/>
      <c r="KKW41" s="222"/>
      <c r="KKX41" s="222"/>
      <c r="KKY41" s="222"/>
      <c r="KKZ41" s="222"/>
      <c r="KLA41" s="222"/>
      <c r="KLB41" s="222"/>
      <c r="KLC41" s="222"/>
      <c r="KLD41" s="222"/>
      <c r="KLE41" s="222"/>
      <c r="KLF41" s="222"/>
      <c r="KLG41" s="222"/>
      <c r="KLH41" s="222"/>
      <c r="KLI41" s="222"/>
      <c r="KLJ41" s="222"/>
      <c r="KLK41" s="222"/>
      <c r="KLL41" s="222"/>
      <c r="KLM41" s="222"/>
      <c r="KLN41" s="222"/>
      <c r="KLO41" s="222"/>
      <c r="KLP41" s="222"/>
      <c r="KLQ41" s="222"/>
      <c r="KLR41" s="222"/>
      <c r="KLS41" s="222"/>
      <c r="KLT41" s="222"/>
      <c r="KLU41" s="222"/>
      <c r="KLV41" s="222"/>
      <c r="KLW41" s="222"/>
      <c r="KLX41" s="222"/>
      <c r="KLY41" s="222"/>
      <c r="KLZ41" s="222"/>
      <c r="KMA41" s="222"/>
      <c r="KMB41" s="222"/>
      <c r="KMC41" s="222"/>
      <c r="KMD41" s="222"/>
      <c r="KME41" s="222"/>
      <c r="KMF41" s="222"/>
      <c r="KMG41" s="222"/>
      <c r="KMH41" s="222"/>
      <c r="KMI41" s="222"/>
      <c r="KMJ41" s="222"/>
      <c r="KMK41" s="222"/>
      <c r="KML41" s="222"/>
      <c r="KMM41" s="222"/>
      <c r="KMN41" s="222"/>
      <c r="KMO41" s="222"/>
      <c r="KMP41" s="222"/>
      <c r="KMQ41" s="222"/>
      <c r="KMR41" s="222"/>
      <c r="KMS41" s="222"/>
      <c r="KMT41" s="222"/>
      <c r="KMU41" s="222"/>
      <c r="KMV41" s="222"/>
      <c r="KMW41" s="222"/>
      <c r="KMX41" s="222"/>
      <c r="KMY41" s="222"/>
      <c r="KMZ41" s="222"/>
      <c r="KNA41" s="222"/>
      <c r="KNB41" s="222"/>
      <c r="KNC41" s="222"/>
      <c r="KND41" s="222"/>
      <c r="KNE41" s="222"/>
      <c r="KNF41" s="222"/>
      <c r="KNG41" s="222"/>
      <c r="KNH41" s="222"/>
      <c r="KNI41" s="222"/>
      <c r="KNJ41" s="222"/>
      <c r="KNK41" s="222"/>
      <c r="KNL41" s="222"/>
      <c r="KNM41" s="222"/>
      <c r="KNN41" s="222"/>
      <c r="KNO41" s="222"/>
      <c r="KNP41" s="222"/>
      <c r="KNQ41" s="222"/>
      <c r="KNR41" s="222"/>
      <c r="KNS41" s="222"/>
      <c r="KNT41" s="222"/>
      <c r="KNU41" s="222"/>
      <c r="KNV41" s="222"/>
      <c r="KNW41" s="222"/>
      <c r="KNX41" s="222"/>
      <c r="KNY41" s="222"/>
      <c r="KNZ41" s="222"/>
      <c r="KOA41" s="222"/>
      <c r="KOB41" s="222"/>
      <c r="KOC41" s="222"/>
      <c r="KOD41" s="222"/>
      <c r="KOE41" s="222"/>
      <c r="KOF41" s="222"/>
      <c r="KOG41" s="222"/>
      <c r="KOH41" s="222"/>
      <c r="KOI41" s="222"/>
      <c r="KOJ41" s="222"/>
      <c r="KOK41" s="222"/>
      <c r="KOL41" s="222"/>
      <c r="KOM41" s="222"/>
      <c r="KON41" s="222"/>
      <c r="KOO41" s="222"/>
      <c r="KOP41" s="222"/>
      <c r="KOQ41" s="222"/>
      <c r="KOR41" s="222"/>
      <c r="KOS41" s="222"/>
      <c r="KOT41" s="222"/>
      <c r="KOU41" s="222"/>
      <c r="KOV41" s="222"/>
      <c r="KOW41" s="222"/>
      <c r="KOX41" s="222"/>
      <c r="KOY41" s="222"/>
      <c r="KOZ41" s="222"/>
      <c r="KPA41" s="222"/>
      <c r="KPB41" s="222"/>
      <c r="KPC41" s="222"/>
      <c r="KPD41" s="222"/>
      <c r="KPE41" s="222"/>
      <c r="KPF41" s="222"/>
      <c r="KPG41" s="222"/>
      <c r="KPH41" s="222"/>
      <c r="KPI41" s="222"/>
      <c r="KPJ41" s="222"/>
      <c r="KPK41" s="222"/>
      <c r="KPL41" s="222"/>
      <c r="KPM41" s="222"/>
      <c r="KPN41" s="222"/>
      <c r="KPO41" s="222"/>
      <c r="KPP41" s="222"/>
      <c r="KPQ41" s="222"/>
      <c r="KPR41" s="222"/>
      <c r="KPS41" s="222"/>
      <c r="KPT41" s="222"/>
      <c r="KPU41" s="222"/>
      <c r="KPV41" s="222"/>
      <c r="KPW41" s="222"/>
      <c r="KPX41" s="222"/>
      <c r="KPY41" s="222"/>
      <c r="KPZ41" s="222"/>
      <c r="KQA41" s="222"/>
      <c r="KQB41" s="222"/>
      <c r="KQC41" s="222"/>
      <c r="KQD41" s="222"/>
      <c r="KQE41" s="222"/>
      <c r="KQF41" s="222"/>
      <c r="KQG41" s="222"/>
      <c r="KQH41" s="222"/>
      <c r="KQI41" s="222"/>
      <c r="KQJ41" s="222"/>
      <c r="KQK41" s="222"/>
      <c r="KQL41" s="222"/>
      <c r="KQM41" s="222"/>
      <c r="KQN41" s="222"/>
      <c r="KQO41" s="222"/>
      <c r="KQP41" s="222"/>
      <c r="KQQ41" s="222"/>
      <c r="KQR41" s="222"/>
      <c r="KQS41" s="222"/>
      <c r="KQT41" s="222"/>
      <c r="KQU41" s="222"/>
      <c r="KQV41" s="222"/>
      <c r="KQW41" s="222"/>
      <c r="KQX41" s="222"/>
      <c r="KQY41" s="222"/>
      <c r="KQZ41" s="222"/>
      <c r="KRA41" s="222"/>
      <c r="KRB41" s="222"/>
      <c r="KRC41" s="222"/>
      <c r="KRD41" s="222"/>
      <c r="KRE41" s="222"/>
      <c r="KRF41" s="222"/>
      <c r="KRG41" s="222"/>
      <c r="KRH41" s="222"/>
      <c r="KRI41" s="222"/>
      <c r="KRJ41" s="222"/>
      <c r="KRK41" s="222"/>
      <c r="KRL41" s="222"/>
      <c r="KRM41" s="222"/>
      <c r="KRN41" s="222"/>
      <c r="KRO41" s="222"/>
      <c r="KRP41" s="222"/>
      <c r="KRQ41" s="222"/>
      <c r="KRR41" s="222"/>
      <c r="KRS41" s="222"/>
      <c r="KRT41" s="222"/>
      <c r="KRU41" s="222"/>
      <c r="KRV41" s="222"/>
      <c r="KRW41" s="222"/>
      <c r="KRX41" s="222"/>
      <c r="KRY41" s="222"/>
      <c r="KRZ41" s="222"/>
      <c r="KSA41" s="222"/>
      <c r="KSB41" s="222"/>
      <c r="KSC41" s="222"/>
      <c r="KSD41" s="222"/>
      <c r="KSE41" s="222"/>
      <c r="KSF41" s="222"/>
      <c r="KSG41" s="222"/>
      <c r="KSH41" s="222"/>
      <c r="KSI41" s="222"/>
      <c r="KSJ41" s="222"/>
      <c r="KSK41" s="222"/>
      <c r="KSL41" s="222"/>
      <c r="KSM41" s="222"/>
      <c r="KSN41" s="222"/>
      <c r="KSO41" s="222"/>
      <c r="KSP41" s="222"/>
      <c r="KSQ41" s="222"/>
      <c r="KSR41" s="222"/>
      <c r="KSS41" s="222"/>
      <c r="KST41" s="222"/>
      <c r="KSU41" s="222"/>
      <c r="KSV41" s="222"/>
      <c r="KSW41" s="222"/>
      <c r="KSX41" s="222"/>
      <c r="KSY41" s="222"/>
      <c r="KSZ41" s="222"/>
      <c r="KTA41" s="222"/>
      <c r="KTB41" s="222"/>
      <c r="KTC41" s="222"/>
      <c r="KTD41" s="222"/>
      <c r="KTE41" s="222"/>
      <c r="KTF41" s="222"/>
      <c r="KTG41" s="222"/>
      <c r="KTH41" s="222"/>
      <c r="KTI41" s="222"/>
      <c r="KTJ41" s="222"/>
      <c r="KTK41" s="222"/>
      <c r="KTL41" s="222"/>
      <c r="KTM41" s="222"/>
      <c r="KTN41" s="222"/>
      <c r="KTO41" s="222"/>
      <c r="KTP41" s="222"/>
      <c r="KTQ41" s="222"/>
      <c r="KTR41" s="222"/>
      <c r="KTS41" s="222"/>
      <c r="KTT41" s="222"/>
      <c r="KTU41" s="222"/>
      <c r="KTV41" s="222"/>
      <c r="KTW41" s="222"/>
      <c r="KTX41" s="222"/>
      <c r="KTY41" s="222"/>
      <c r="KTZ41" s="222"/>
      <c r="KUA41" s="222"/>
      <c r="KUB41" s="222"/>
      <c r="KUC41" s="222"/>
      <c r="KUD41" s="222"/>
      <c r="KUE41" s="222"/>
      <c r="KUF41" s="222"/>
      <c r="KUG41" s="222"/>
      <c r="KUH41" s="222"/>
      <c r="KUI41" s="222"/>
      <c r="KUJ41" s="222"/>
      <c r="KUK41" s="222"/>
      <c r="KUL41" s="222"/>
      <c r="KUM41" s="222"/>
      <c r="KUN41" s="222"/>
      <c r="KUO41" s="222"/>
      <c r="KUP41" s="222"/>
      <c r="KUQ41" s="222"/>
      <c r="KUR41" s="222"/>
      <c r="KUS41" s="222"/>
      <c r="KUT41" s="222"/>
      <c r="KUU41" s="222"/>
      <c r="KUV41" s="222"/>
      <c r="KUW41" s="222"/>
      <c r="KUX41" s="222"/>
      <c r="KUY41" s="222"/>
      <c r="KUZ41" s="222"/>
      <c r="KVA41" s="222"/>
      <c r="KVB41" s="222"/>
      <c r="KVC41" s="222"/>
      <c r="KVD41" s="222"/>
      <c r="KVE41" s="222"/>
      <c r="KVF41" s="222"/>
      <c r="KVG41" s="222"/>
      <c r="KVH41" s="222"/>
      <c r="KVI41" s="222"/>
      <c r="KVJ41" s="222"/>
      <c r="KVK41" s="222"/>
      <c r="KVL41" s="222"/>
      <c r="KVM41" s="222"/>
      <c r="KVN41" s="222"/>
      <c r="KVO41" s="222"/>
      <c r="KVP41" s="222"/>
      <c r="KVQ41" s="222"/>
      <c r="KVR41" s="222"/>
      <c r="KVS41" s="222"/>
      <c r="KVT41" s="222"/>
      <c r="KVU41" s="222"/>
      <c r="KVV41" s="222"/>
      <c r="KVW41" s="222"/>
      <c r="KVX41" s="222"/>
      <c r="KVY41" s="222"/>
      <c r="KVZ41" s="222"/>
      <c r="KWA41" s="222"/>
      <c r="KWB41" s="222"/>
      <c r="KWC41" s="222"/>
      <c r="KWD41" s="222"/>
      <c r="KWE41" s="222"/>
      <c r="KWF41" s="222"/>
      <c r="KWG41" s="222"/>
      <c r="KWH41" s="222"/>
      <c r="KWI41" s="222"/>
      <c r="KWJ41" s="222"/>
      <c r="KWK41" s="222"/>
      <c r="KWL41" s="222"/>
      <c r="KWM41" s="222"/>
      <c r="KWN41" s="222"/>
      <c r="KWO41" s="222"/>
      <c r="KWP41" s="222"/>
      <c r="KWQ41" s="222"/>
      <c r="KWR41" s="222"/>
      <c r="KWS41" s="222"/>
      <c r="KWT41" s="222"/>
      <c r="KWU41" s="222"/>
      <c r="KWV41" s="222"/>
      <c r="KWW41" s="222"/>
      <c r="KWX41" s="222"/>
      <c r="KWY41" s="222"/>
      <c r="KWZ41" s="222"/>
      <c r="KXA41" s="222"/>
      <c r="KXB41" s="222"/>
      <c r="KXC41" s="222"/>
      <c r="KXD41" s="222"/>
      <c r="KXE41" s="222"/>
      <c r="KXF41" s="222"/>
      <c r="KXG41" s="222"/>
      <c r="KXH41" s="222"/>
      <c r="KXI41" s="222"/>
      <c r="KXJ41" s="222"/>
      <c r="KXK41" s="222"/>
      <c r="KXL41" s="222"/>
      <c r="KXM41" s="222"/>
      <c r="KXN41" s="222"/>
      <c r="KXO41" s="222"/>
      <c r="KXP41" s="222"/>
      <c r="KXQ41" s="222"/>
      <c r="KXR41" s="222"/>
      <c r="KXS41" s="222"/>
      <c r="KXT41" s="222"/>
      <c r="KXU41" s="222"/>
      <c r="KXV41" s="222"/>
      <c r="KXW41" s="222"/>
      <c r="KXX41" s="222"/>
      <c r="KXY41" s="222"/>
      <c r="KXZ41" s="222"/>
      <c r="KYA41" s="222"/>
      <c r="KYB41" s="222"/>
      <c r="KYC41" s="222"/>
      <c r="KYD41" s="222"/>
      <c r="KYE41" s="222"/>
      <c r="KYF41" s="222"/>
      <c r="KYG41" s="222"/>
      <c r="KYH41" s="222"/>
      <c r="KYI41" s="222"/>
      <c r="KYJ41" s="222"/>
      <c r="KYK41" s="222"/>
      <c r="KYL41" s="222"/>
      <c r="KYM41" s="222"/>
      <c r="KYN41" s="222"/>
      <c r="KYO41" s="222"/>
      <c r="KYP41" s="222"/>
      <c r="KYQ41" s="222"/>
      <c r="KYR41" s="222"/>
      <c r="KYS41" s="222"/>
      <c r="KYT41" s="222"/>
      <c r="KYU41" s="222"/>
      <c r="KYV41" s="222"/>
      <c r="KYW41" s="222"/>
      <c r="KYX41" s="222"/>
      <c r="KYY41" s="222"/>
      <c r="KYZ41" s="222"/>
      <c r="KZA41" s="222"/>
      <c r="KZB41" s="222"/>
      <c r="KZC41" s="222"/>
      <c r="KZD41" s="222"/>
      <c r="KZE41" s="222"/>
      <c r="KZF41" s="222"/>
      <c r="KZG41" s="222"/>
      <c r="KZH41" s="222"/>
      <c r="KZI41" s="222"/>
      <c r="KZJ41" s="222"/>
      <c r="KZK41" s="222"/>
      <c r="KZL41" s="222"/>
      <c r="KZM41" s="222"/>
      <c r="KZN41" s="222"/>
      <c r="KZO41" s="222"/>
      <c r="KZP41" s="222"/>
      <c r="KZQ41" s="222"/>
      <c r="KZR41" s="222"/>
      <c r="KZS41" s="222"/>
      <c r="KZT41" s="222"/>
      <c r="KZU41" s="222"/>
      <c r="KZV41" s="222"/>
      <c r="KZW41" s="222"/>
      <c r="KZX41" s="222"/>
      <c r="KZY41" s="222"/>
      <c r="KZZ41" s="222"/>
      <c r="LAA41" s="222"/>
      <c r="LAB41" s="222"/>
      <c r="LAC41" s="222"/>
      <c r="LAD41" s="222"/>
      <c r="LAE41" s="222"/>
      <c r="LAF41" s="222"/>
      <c r="LAG41" s="222"/>
      <c r="LAH41" s="222"/>
      <c r="LAI41" s="222"/>
      <c r="LAJ41" s="222"/>
      <c r="LAK41" s="222"/>
      <c r="LAL41" s="222"/>
      <c r="LAM41" s="222"/>
      <c r="LAN41" s="222"/>
      <c r="LAO41" s="222"/>
      <c r="LAP41" s="222"/>
      <c r="LAQ41" s="222"/>
      <c r="LAR41" s="222"/>
      <c r="LAS41" s="222"/>
      <c r="LAT41" s="222"/>
      <c r="LAU41" s="222"/>
      <c r="LAV41" s="222"/>
      <c r="LAW41" s="222"/>
      <c r="LAX41" s="222"/>
      <c r="LAY41" s="222"/>
      <c r="LAZ41" s="222"/>
      <c r="LBA41" s="222"/>
      <c r="LBB41" s="222"/>
      <c r="LBC41" s="222"/>
      <c r="LBD41" s="222"/>
      <c r="LBE41" s="222"/>
      <c r="LBF41" s="222"/>
      <c r="LBG41" s="222"/>
      <c r="LBH41" s="222"/>
      <c r="LBI41" s="222"/>
      <c r="LBJ41" s="222"/>
      <c r="LBK41" s="222"/>
      <c r="LBL41" s="222"/>
      <c r="LBM41" s="222"/>
      <c r="LBN41" s="222"/>
      <c r="LBO41" s="222"/>
      <c r="LBP41" s="222"/>
      <c r="LBQ41" s="222"/>
      <c r="LBR41" s="222"/>
      <c r="LBS41" s="222"/>
      <c r="LBT41" s="222"/>
      <c r="LBU41" s="222"/>
      <c r="LBV41" s="222"/>
      <c r="LBW41" s="222"/>
      <c r="LBX41" s="222"/>
      <c r="LBY41" s="222"/>
      <c r="LBZ41" s="222"/>
      <c r="LCA41" s="222"/>
      <c r="LCB41" s="222"/>
      <c r="LCC41" s="222"/>
      <c r="LCD41" s="222"/>
      <c r="LCE41" s="222"/>
      <c r="LCF41" s="222"/>
      <c r="LCG41" s="222"/>
      <c r="LCH41" s="222"/>
      <c r="LCI41" s="222"/>
      <c r="LCJ41" s="222"/>
      <c r="LCK41" s="222"/>
      <c r="LCL41" s="222"/>
      <c r="LCM41" s="222"/>
      <c r="LCN41" s="222"/>
      <c r="LCO41" s="222"/>
      <c r="LCP41" s="222"/>
      <c r="LCQ41" s="222"/>
      <c r="LCR41" s="222"/>
      <c r="LCS41" s="222"/>
      <c r="LCT41" s="222"/>
      <c r="LCU41" s="222"/>
      <c r="LCV41" s="222"/>
      <c r="LCW41" s="222"/>
      <c r="LCX41" s="222"/>
      <c r="LCY41" s="222"/>
      <c r="LCZ41" s="222"/>
      <c r="LDA41" s="222"/>
      <c r="LDB41" s="222"/>
      <c r="LDC41" s="222"/>
      <c r="LDD41" s="222"/>
      <c r="LDE41" s="222"/>
      <c r="LDF41" s="222"/>
      <c r="LDG41" s="222"/>
      <c r="LDH41" s="222"/>
      <c r="LDI41" s="222"/>
      <c r="LDJ41" s="222"/>
      <c r="LDK41" s="222"/>
      <c r="LDL41" s="222"/>
      <c r="LDM41" s="222"/>
      <c r="LDN41" s="222"/>
      <c r="LDO41" s="222"/>
      <c r="LDP41" s="222"/>
      <c r="LDQ41" s="222"/>
      <c r="LDR41" s="222"/>
      <c r="LDS41" s="222"/>
      <c r="LDT41" s="222"/>
      <c r="LDU41" s="222"/>
      <c r="LDV41" s="222"/>
      <c r="LDW41" s="222"/>
      <c r="LDX41" s="222"/>
      <c r="LDY41" s="222"/>
      <c r="LDZ41" s="222"/>
      <c r="LEA41" s="222"/>
      <c r="LEB41" s="222"/>
      <c r="LEC41" s="222"/>
      <c r="LED41" s="222"/>
      <c r="LEE41" s="222"/>
      <c r="LEF41" s="222"/>
      <c r="LEG41" s="222"/>
      <c r="LEH41" s="222"/>
      <c r="LEI41" s="222"/>
      <c r="LEJ41" s="222"/>
      <c r="LEK41" s="222"/>
      <c r="LEL41" s="222"/>
      <c r="LEM41" s="222"/>
      <c r="LEN41" s="222"/>
      <c r="LEO41" s="222"/>
      <c r="LEP41" s="222"/>
      <c r="LEQ41" s="222"/>
      <c r="LER41" s="222"/>
      <c r="LES41" s="222"/>
      <c r="LET41" s="222"/>
      <c r="LEU41" s="222"/>
      <c r="LEV41" s="222"/>
      <c r="LEW41" s="222"/>
      <c r="LEX41" s="222"/>
      <c r="LEY41" s="222"/>
      <c r="LEZ41" s="222"/>
      <c r="LFA41" s="222"/>
      <c r="LFB41" s="222"/>
      <c r="LFC41" s="222"/>
      <c r="LFD41" s="222"/>
      <c r="LFE41" s="222"/>
      <c r="LFF41" s="222"/>
      <c r="LFG41" s="222"/>
      <c r="LFH41" s="222"/>
      <c r="LFI41" s="222"/>
      <c r="LFJ41" s="222"/>
      <c r="LFK41" s="222"/>
      <c r="LFL41" s="222"/>
      <c r="LFM41" s="222"/>
      <c r="LFN41" s="222"/>
      <c r="LFO41" s="222"/>
      <c r="LFP41" s="222"/>
      <c r="LFQ41" s="222"/>
      <c r="LFR41" s="222"/>
      <c r="LFS41" s="222"/>
      <c r="LFT41" s="222"/>
      <c r="LFU41" s="222"/>
      <c r="LFV41" s="222"/>
      <c r="LFW41" s="222"/>
      <c r="LFX41" s="222"/>
      <c r="LFY41" s="222"/>
      <c r="LFZ41" s="222"/>
      <c r="LGA41" s="222"/>
      <c r="LGB41" s="222"/>
      <c r="LGC41" s="222"/>
      <c r="LGD41" s="222"/>
      <c r="LGE41" s="222"/>
      <c r="LGF41" s="222"/>
      <c r="LGG41" s="222"/>
      <c r="LGH41" s="222"/>
      <c r="LGI41" s="222"/>
      <c r="LGJ41" s="222"/>
      <c r="LGK41" s="222"/>
      <c r="LGL41" s="222"/>
      <c r="LGM41" s="222"/>
      <c r="LGN41" s="222"/>
      <c r="LGO41" s="222"/>
      <c r="LGP41" s="222"/>
      <c r="LGQ41" s="222"/>
      <c r="LGR41" s="222"/>
      <c r="LGS41" s="222"/>
      <c r="LGT41" s="222"/>
      <c r="LGU41" s="222"/>
      <c r="LGV41" s="222"/>
      <c r="LGW41" s="222"/>
      <c r="LGX41" s="222"/>
      <c r="LGY41" s="222"/>
      <c r="LGZ41" s="222"/>
      <c r="LHA41" s="222"/>
      <c r="LHB41" s="222"/>
      <c r="LHC41" s="222"/>
      <c r="LHD41" s="222"/>
      <c r="LHE41" s="222"/>
      <c r="LHF41" s="222"/>
      <c r="LHG41" s="222"/>
      <c r="LHH41" s="222"/>
      <c r="LHI41" s="222"/>
      <c r="LHJ41" s="222"/>
      <c r="LHK41" s="222"/>
      <c r="LHL41" s="222"/>
      <c r="LHM41" s="222"/>
      <c r="LHN41" s="222"/>
      <c r="LHO41" s="222"/>
      <c r="LHP41" s="222"/>
      <c r="LHQ41" s="222"/>
      <c r="LHR41" s="222"/>
      <c r="LHS41" s="222"/>
      <c r="LHT41" s="222"/>
      <c r="LHU41" s="222"/>
      <c r="LHV41" s="222"/>
      <c r="LHW41" s="222"/>
      <c r="LHX41" s="222"/>
      <c r="LHY41" s="222"/>
      <c r="LHZ41" s="222"/>
      <c r="LIA41" s="222"/>
      <c r="LIB41" s="222"/>
      <c r="LIC41" s="222"/>
      <c r="LID41" s="222"/>
      <c r="LIE41" s="222"/>
      <c r="LIF41" s="222"/>
      <c r="LIG41" s="222"/>
      <c r="LIH41" s="222"/>
      <c r="LII41" s="222"/>
      <c r="LIJ41" s="222"/>
      <c r="LIK41" s="222"/>
      <c r="LIL41" s="222"/>
      <c r="LIM41" s="222"/>
      <c r="LIN41" s="222"/>
      <c r="LIO41" s="222"/>
      <c r="LIP41" s="222"/>
      <c r="LIQ41" s="222"/>
      <c r="LIR41" s="222"/>
      <c r="LIS41" s="222"/>
      <c r="LIT41" s="222"/>
      <c r="LIU41" s="222"/>
      <c r="LIV41" s="222"/>
      <c r="LIW41" s="222"/>
      <c r="LIX41" s="222"/>
      <c r="LIY41" s="222"/>
      <c r="LIZ41" s="222"/>
      <c r="LJA41" s="222"/>
      <c r="LJB41" s="222"/>
      <c r="LJC41" s="222"/>
      <c r="LJD41" s="222"/>
      <c r="LJE41" s="222"/>
      <c r="LJF41" s="222"/>
      <c r="LJG41" s="222"/>
      <c r="LJH41" s="222"/>
      <c r="LJI41" s="222"/>
      <c r="LJJ41" s="222"/>
      <c r="LJK41" s="222"/>
      <c r="LJL41" s="222"/>
      <c r="LJM41" s="222"/>
      <c r="LJN41" s="222"/>
      <c r="LJO41" s="222"/>
      <c r="LJP41" s="222"/>
      <c r="LJQ41" s="222"/>
      <c r="LJR41" s="222"/>
      <c r="LJS41" s="222"/>
      <c r="LJT41" s="222"/>
      <c r="LJU41" s="222"/>
      <c r="LJV41" s="222"/>
      <c r="LJW41" s="222"/>
      <c r="LJX41" s="222"/>
      <c r="LJY41" s="222"/>
      <c r="LJZ41" s="222"/>
      <c r="LKA41" s="222"/>
      <c r="LKB41" s="222"/>
      <c r="LKC41" s="222"/>
      <c r="LKD41" s="222"/>
      <c r="LKE41" s="222"/>
      <c r="LKF41" s="222"/>
      <c r="LKG41" s="222"/>
      <c r="LKH41" s="222"/>
      <c r="LKI41" s="222"/>
      <c r="LKJ41" s="222"/>
      <c r="LKK41" s="222"/>
      <c r="LKL41" s="222"/>
      <c r="LKM41" s="222"/>
      <c r="LKN41" s="222"/>
      <c r="LKO41" s="222"/>
      <c r="LKP41" s="222"/>
      <c r="LKQ41" s="222"/>
      <c r="LKR41" s="222"/>
      <c r="LKS41" s="222"/>
      <c r="LKT41" s="222"/>
      <c r="LKU41" s="222"/>
      <c r="LKV41" s="222"/>
      <c r="LKW41" s="222"/>
      <c r="LKX41" s="222"/>
      <c r="LKY41" s="222"/>
      <c r="LKZ41" s="222"/>
      <c r="LLA41" s="222"/>
      <c r="LLB41" s="222"/>
      <c r="LLC41" s="222"/>
      <c r="LLD41" s="222"/>
      <c r="LLE41" s="222"/>
      <c r="LLF41" s="222"/>
      <c r="LLG41" s="222"/>
      <c r="LLH41" s="222"/>
      <c r="LLI41" s="222"/>
      <c r="LLJ41" s="222"/>
      <c r="LLK41" s="222"/>
      <c r="LLL41" s="222"/>
      <c r="LLM41" s="222"/>
      <c r="LLN41" s="222"/>
      <c r="LLO41" s="222"/>
      <c r="LLP41" s="222"/>
      <c r="LLQ41" s="222"/>
      <c r="LLR41" s="222"/>
      <c r="LLS41" s="222"/>
      <c r="LLT41" s="222"/>
      <c r="LLU41" s="222"/>
      <c r="LLV41" s="222"/>
      <c r="LLW41" s="222"/>
      <c r="LLX41" s="222"/>
      <c r="LLY41" s="222"/>
      <c r="LLZ41" s="222"/>
      <c r="LMA41" s="222"/>
      <c r="LMB41" s="222"/>
      <c r="LMC41" s="222"/>
      <c r="LMD41" s="222"/>
      <c r="LME41" s="222"/>
      <c r="LMF41" s="222"/>
      <c r="LMG41" s="222"/>
      <c r="LMH41" s="222"/>
      <c r="LMI41" s="222"/>
      <c r="LMJ41" s="222"/>
      <c r="LMK41" s="222"/>
      <c r="LML41" s="222"/>
      <c r="LMM41" s="222"/>
      <c r="LMN41" s="222"/>
      <c r="LMO41" s="222"/>
      <c r="LMP41" s="222"/>
      <c r="LMQ41" s="222"/>
      <c r="LMR41" s="222"/>
      <c r="LMS41" s="222"/>
      <c r="LMT41" s="222"/>
      <c r="LMU41" s="222"/>
      <c r="LMV41" s="222"/>
      <c r="LMW41" s="222"/>
      <c r="LMX41" s="222"/>
      <c r="LMY41" s="222"/>
      <c r="LMZ41" s="222"/>
      <c r="LNA41" s="222"/>
      <c r="LNB41" s="222"/>
      <c r="LNC41" s="222"/>
      <c r="LND41" s="222"/>
      <c r="LNE41" s="222"/>
      <c r="LNF41" s="222"/>
      <c r="LNG41" s="222"/>
      <c r="LNH41" s="222"/>
      <c r="LNI41" s="222"/>
      <c r="LNJ41" s="222"/>
      <c r="LNK41" s="222"/>
      <c r="LNL41" s="222"/>
      <c r="LNM41" s="222"/>
      <c r="LNN41" s="222"/>
      <c r="LNO41" s="222"/>
      <c r="LNP41" s="222"/>
      <c r="LNQ41" s="222"/>
      <c r="LNR41" s="222"/>
      <c r="LNS41" s="222"/>
      <c r="LNT41" s="222"/>
      <c r="LNU41" s="222"/>
      <c r="LNV41" s="222"/>
      <c r="LNW41" s="222"/>
      <c r="LNX41" s="222"/>
      <c r="LNY41" s="222"/>
      <c r="LNZ41" s="222"/>
      <c r="LOA41" s="222"/>
      <c r="LOB41" s="222"/>
      <c r="LOC41" s="222"/>
      <c r="LOD41" s="222"/>
      <c r="LOE41" s="222"/>
      <c r="LOF41" s="222"/>
      <c r="LOG41" s="222"/>
      <c r="LOH41" s="222"/>
      <c r="LOI41" s="222"/>
      <c r="LOJ41" s="222"/>
      <c r="LOK41" s="222"/>
      <c r="LOL41" s="222"/>
      <c r="LOM41" s="222"/>
      <c r="LON41" s="222"/>
      <c r="LOO41" s="222"/>
      <c r="LOP41" s="222"/>
      <c r="LOQ41" s="222"/>
      <c r="LOR41" s="222"/>
      <c r="LOS41" s="222"/>
      <c r="LOT41" s="222"/>
      <c r="LOU41" s="222"/>
      <c r="LOV41" s="222"/>
      <c r="LOW41" s="222"/>
      <c r="LOX41" s="222"/>
      <c r="LOY41" s="222"/>
      <c r="LOZ41" s="222"/>
      <c r="LPA41" s="222"/>
      <c r="LPB41" s="222"/>
      <c r="LPC41" s="222"/>
      <c r="LPD41" s="222"/>
      <c r="LPE41" s="222"/>
      <c r="LPF41" s="222"/>
      <c r="LPG41" s="222"/>
      <c r="LPH41" s="222"/>
      <c r="LPI41" s="222"/>
      <c r="LPJ41" s="222"/>
      <c r="LPK41" s="222"/>
      <c r="LPL41" s="222"/>
      <c r="LPM41" s="222"/>
      <c r="LPN41" s="222"/>
      <c r="LPO41" s="222"/>
      <c r="LPP41" s="222"/>
      <c r="LPQ41" s="222"/>
      <c r="LPR41" s="222"/>
      <c r="LPS41" s="222"/>
      <c r="LPT41" s="222"/>
      <c r="LPU41" s="222"/>
      <c r="LPV41" s="222"/>
      <c r="LPW41" s="222"/>
      <c r="LPX41" s="222"/>
      <c r="LPY41" s="222"/>
      <c r="LPZ41" s="222"/>
      <c r="LQA41" s="222"/>
      <c r="LQB41" s="222"/>
      <c r="LQC41" s="222"/>
      <c r="LQD41" s="222"/>
      <c r="LQE41" s="222"/>
      <c r="LQF41" s="222"/>
      <c r="LQG41" s="222"/>
      <c r="LQH41" s="222"/>
      <c r="LQI41" s="222"/>
      <c r="LQJ41" s="222"/>
      <c r="LQK41" s="222"/>
      <c r="LQL41" s="222"/>
      <c r="LQM41" s="222"/>
      <c r="LQN41" s="222"/>
      <c r="LQO41" s="222"/>
      <c r="LQP41" s="222"/>
      <c r="LQQ41" s="222"/>
      <c r="LQR41" s="222"/>
      <c r="LQS41" s="222"/>
      <c r="LQT41" s="222"/>
      <c r="LQU41" s="222"/>
      <c r="LQV41" s="222"/>
      <c r="LQW41" s="222"/>
      <c r="LQX41" s="222"/>
      <c r="LQY41" s="222"/>
      <c r="LQZ41" s="222"/>
      <c r="LRA41" s="222"/>
      <c r="LRB41" s="222"/>
      <c r="LRC41" s="222"/>
      <c r="LRD41" s="222"/>
      <c r="LRE41" s="222"/>
      <c r="LRF41" s="222"/>
      <c r="LRG41" s="222"/>
      <c r="LRH41" s="222"/>
      <c r="LRI41" s="222"/>
      <c r="LRJ41" s="222"/>
      <c r="LRK41" s="222"/>
      <c r="LRL41" s="222"/>
      <c r="LRM41" s="222"/>
      <c r="LRN41" s="222"/>
      <c r="LRO41" s="222"/>
      <c r="LRP41" s="222"/>
      <c r="LRQ41" s="222"/>
      <c r="LRR41" s="222"/>
      <c r="LRS41" s="222"/>
      <c r="LRT41" s="222"/>
      <c r="LRU41" s="222"/>
      <c r="LRV41" s="222"/>
      <c r="LRW41" s="222"/>
      <c r="LRX41" s="222"/>
      <c r="LRY41" s="222"/>
      <c r="LRZ41" s="222"/>
      <c r="LSA41" s="222"/>
      <c r="LSB41" s="222"/>
      <c r="LSC41" s="222"/>
      <c r="LSD41" s="222"/>
      <c r="LSE41" s="222"/>
      <c r="LSF41" s="222"/>
      <c r="LSG41" s="222"/>
      <c r="LSH41" s="222"/>
      <c r="LSI41" s="222"/>
      <c r="LSJ41" s="222"/>
      <c r="LSK41" s="222"/>
      <c r="LSL41" s="222"/>
      <c r="LSM41" s="222"/>
      <c r="LSN41" s="222"/>
      <c r="LSO41" s="222"/>
      <c r="LSP41" s="222"/>
      <c r="LSQ41" s="222"/>
      <c r="LSR41" s="222"/>
      <c r="LSS41" s="222"/>
      <c r="LST41" s="222"/>
      <c r="LSU41" s="222"/>
      <c r="LSV41" s="222"/>
      <c r="LSW41" s="222"/>
      <c r="LSX41" s="222"/>
      <c r="LSY41" s="222"/>
      <c r="LSZ41" s="222"/>
      <c r="LTA41" s="222"/>
      <c r="LTB41" s="222"/>
      <c r="LTC41" s="222"/>
      <c r="LTD41" s="222"/>
      <c r="LTE41" s="222"/>
      <c r="LTF41" s="222"/>
      <c r="LTG41" s="222"/>
      <c r="LTH41" s="222"/>
      <c r="LTI41" s="222"/>
      <c r="LTJ41" s="222"/>
      <c r="LTK41" s="222"/>
      <c r="LTL41" s="222"/>
      <c r="LTM41" s="222"/>
      <c r="LTN41" s="222"/>
      <c r="LTO41" s="222"/>
      <c r="LTP41" s="222"/>
      <c r="LTQ41" s="222"/>
      <c r="LTR41" s="222"/>
      <c r="LTS41" s="222"/>
      <c r="LTT41" s="222"/>
      <c r="LTU41" s="222"/>
      <c r="LTV41" s="222"/>
      <c r="LTW41" s="222"/>
      <c r="LTX41" s="222"/>
      <c r="LTY41" s="222"/>
      <c r="LTZ41" s="222"/>
      <c r="LUA41" s="222"/>
      <c r="LUB41" s="222"/>
      <c r="LUC41" s="222"/>
      <c r="LUD41" s="222"/>
      <c r="LUE41" s="222"/>
      <c r="LUF41" s="222"/>
      <c r="LUG41" s="222"/>
      <c r="LUH41" s="222"/>
      <c r="LUI41" s="222"/>
      <c r="LUJ41" s="222"/>
      <c r="LUK41" s="222"/>
      <c r="LUL41" s="222"/>
      <c r="LUM41" s="222"/>
      <c r="LUN41" s="222"/>
      <c r="LUO41" s="222"/>
      <c r="LUP41" s="222"/>
      <c r="LUQ41" s="222"/>
      <c r="LUR41" s="222"/>
      <c r="LUS41" s="222"/>
      <c r="LUT41" s="222"/>
      <c r="LUU41" s="222"/>
      <c r="LUV41" s="222"/>
      <c r="LUW41" s="222"/>
      <c r="LUX41" s="222"/>
      <c r="LUY41" s="222"/>
      <c r="LUZ41" s="222"/>
      <c r="LVA41" s="222"/>
      <c r="LVB41" s="222"/>
      <c r="LVC41" s="222"/>
      <c r="LVD41" s="222"/>
      <c r="LVE41" s="222"/>
      <c r="LVF41" s="222"/>
      <c r="LVG41" s="222"/>
      <c r="LVH41" s="222"/>
      <c r="LVI41" s="222"/>
      <c r="LVJ41" s="222"/>
      <c r="LVK41" s="222"/>
      <c r="LVL41" s="222"/>
      <c r="LVM41" s="222"/>
      <c r="LVN41" s="222"/>
      <c r="LVO41" s="222"/>
      <c r="LVP41" s="222"/>
      <c r="LVQ41" s="222"/>
      <c r="LVR41" s="222"/>
      <c r="LVS41" s="222"/>
      <c r="LVT41" s="222"/>
      <c r="LVU41" s="222"/>
      <c r="LVV41" s="222"/>
      <c r="LVW41" s="222"/>
      <c r="LVX41" s="222"/>
      <c r="LVY41" s="222"/>
      <c r="LVZ41" s="222"/>
      <c r="LWA41" s="222"/>
      <c r="LWB41" s="222"/>
      <c r="LWC41" s="222"/>
      <c r="LWD41" s="222"/>
      <c r="LWE41" s="222"/>
      <c r="LWF41" s="222"/>
      <c r="LWG41" s="222"/>
      <c r="LWH41" s="222"/>
      <c r="LWI41" s="222"/>
      <c r="LWJ41" s="222"/>
      <c r="LWK41" s="222"/>
      <c r="LWL41" s="222"/>
      <c r="LWM41" s="222"/>
      <c r="LWN41" s="222"/>
      <c r="LWO41" s="222"/>
      <c r="LWP41" s="222"/>
      <c r="LWQ41" s="222"/>
      <c r="LWR41" s="222"/>
      <c r="LWS41" s="222"/>
      <c r="LWT41" s="222"/>
      <c r="LWU41" s="222"/>
      <c r="LWV41" s="222"/>
      <c r="LWW41" s="222"/>
      <c r="LWX41" s="222"/>
      <c r="LWY41" s="222"/>
      <c r="LWZ41" s="222"/>
      <c r="LXA41" s="222"/>
      <c r="LXB41" s="222"/>
      <c r="LXC41" s="222"/>
      <c r="LXD41" s="222"/>
      <c r="LXE41" s="222"/>
      <c r="LXF41" s="222"/>
      <c r="LXG41" s="222"/>
      <c r="LXH41" s="222"/>
      <c r="LXI41" s="222"/>
      <c r="LXJ41" s="222"/>
      <c r="LXK41" s="222"/>
      <c r="LXL41" s="222"/>
      <c r="LXM41" s="222"/>
      <c r="LXN41" s="222"/>
      <c r="LXO41" s="222"/>
      <c r="LXP41" s="222"/>
      <c r="LXQ41" s="222"/>
      <c r="LXR41" s="222"/>
      <c r="LXS41" s="222"/>
      <c r="LXT41" s="222"/>
      <c r="LXU41" s="222"/>
      <c r="LXV41" s="222"/>
      <c r="LXW41" s="222"/>
      <c r="LXX41" s="222"/>
      <c r="LXY41" s="222"/>
      <c r="LXZ41" s="222"/>
      <c r="LYA41" s="222"/>
      <c r="LYB41" s="222"/>
      <c r="LYC41" s="222"/>
      <c r="LYD41" s="222"/>
      <c r="LYE41" s="222"/>
      <c r="LYF41" s="222"/>
      <c r="LYG41" s="222"/>
      <c r="LYH41" s="222"/>
      <c r="LYI41" s="222"/>
      <c r="LYJ41" s="222"/>
      <c r="LYK41" s="222"/>
      <c r="LYL41" s="222"/>
      <c r="LYM41" s="222"/>
      <c r="LYN41" s="222"/>
      <c r="LYO41" s="222"/>
      <c r="LYP41" s="222"/>
      <c r="LYQ41" s="222"/>
      <c r="LYR41" s="222"/>
      <c r="LYS41" s="222"/>
      <c r="LYT41" s="222"/>
      <c r="LYU41" s="222"/>
      <c r="LYV41" s="222"/>
      <c r="LYW41" s="222"/>
      <c r="LYX41" s="222"/>
      <c r="LYY41" s="222"/>
      <c r="LYZ41" s="222"/>
      <c r="LZA41" s="222"/>
      <c r="LZB41" s="222"/>
      <c r="LZC41" s="222"/>
      <c r="LZD41" s="222"/>
      <c r="LZE41" s="222"/>
      <c r="LZF41" s="222"/>
      <c r="LZG41" s="222"/>
      <c r="LZH41" s="222"/>
      <c r="LZI41" s="222"/>
      <c r="LZJ41" s="222"/>
      <c r="LZK41" s="222"/>
      <c r="LZL41" s="222"/>
      <c r="LZM41" s="222"/>
      <c r="LZN41" s="222"/>
      <c r="LZO41" s="222"/>
      <c r="LZP41" s="222"/>
      <c r="LZQ41" s="222"/>
      <c r="LZR41" s="222"/>
      <c r="LZS41" s="222"/>
      <c r="LZT41" s="222"/>
      <c r="LZU41" s="222"/>
      <c r="LZV41" s="222"/>
      <c r="LZW41" s="222"/>
      <c r="LZX41" s="222"/>
      <c r="LZY41" s="222"/>
      <c r="LZZ41" s="222"/>
      <c r="MAA41" s="222"/>
      <c r="MAB41" s="222"/>
      <c r="MAC41" s="222"/>
      <c r="MAD41" s="222"/>
      <c r="MAE41" s="222"/>
      <c r="MAF41" s="222"/>
      <c r="MAG41" s="222"/>
      <c r="MAH41" s="222"/>
      <c r="MAI41" s="222"/>
      <c r="MAJ41" s="222"/>
      <c r="MAK41" s="222"/>
      <c r="MAL41" s="222"/>
      <c r="MAM41" s="222"/>
      <c r="MAN41" s="222"/>
      <c r="MAO41" s="222"/>
      <c r="MAP41" s="222"/>
      <c r="MAQ41" s="222"/>
      <c r="MAR41" s="222"/>
      <c r="MAS41" s="222"/>
      <c r="MAT41" s="222"/>
      <c r="MAU41" s="222"/>
      <c r="MAV41" s="222"/>
      <c r="MAW41" s="222"/>
      <c r="MAX41" s="222"/>
      <c r="MAY41" s="222"/>
      <c r="MAZ41" s="222"/>
      <c r="MBA41" s="222"/>
      <c r="MBB41" s="222"/>
      <c r="MBC41" s="222"/>
      <c r="MBD41" s="222"/>
      <c r="MBE41" s="222"/>
      <c r="MBF41" s="222"/>
      <c r="MBG41" s="222"/>
      <c r="MBH41" s="222"/>
      <c r="MBI41" s="222"/>
      <c r="MBJ41" s="222"/>
      <c r="MBK41" s="222"/>
      <c r="MBL41" s="222"/>
      <c r="MBM41" s="222"/>
      <c r="MBN41" s="222"/>
      <c r="MBO41" s="222"/>
      <c r="MBP41" s="222"/>
      <c r="MBQ41" s="222"/>
      <c r="MBR41" s="222"/>
      <c r="MBS41" s="222"/>
      <c r="MBT41" s="222"/>
      <c r="MBU41" s="222"/>
      <c r="MBV41" s="222"/>
      <c r="MBW41" s="222"/>
      <c r="MBX41" s="222"/>
      <c r="MBY41" s="222"/>
      <c r="MBZ41" s="222"/>
      <c r="MCA41" s="222"/>
      <c r="MCB41" s="222"/>
      <c r="MCC41" s="222"/>
      <c r="MCD41" s="222"/>
      <c r="MCE41" s="222"/>
      <c r="MCF41" s="222"/>
      <c r="MCG41" s="222"/>
      <c r="MCH41" s="222"/>
      <c r="MCI41" s="222"/>
      <c r="MCJ41" s="222"/>
      <c r="MCK41" s="222"/>
      <c r="MCL41" s="222"/>
      <c r="MCM41" s="222"/>
      <c r="MCN41" s="222"/>
      <c r="MCO41" s="222"/>
      <c r="MCP41" s="222"/>
      <c r="MCQ41" s="222"/>
      <c r="MCR41" s="222"/>
      <c r="MCS41" s="222"/>
      <c r="MCT41" s="222"/>
      <c r="MCU41" s="222"/>
      <c r="MCV41" s="222"/>
      <c r="MCW41" s="222"/>
      <c r="MCX41" s="222"/>
      <c r="MCY41" s="222"/>
      <c r="MCZ41" s="222"/>
      <c r="MDA41" s="222"/>
      <c r="MDB41" s="222"/>
      <c r="MDC41" s="222"/>
      <c r="MDD41" s="222"/>
      <c r="MDE41" s="222"/>
      <c r="MDF41" s="222"/>
      <c r="MDG41" s="222"/>
      <c r="MDH41" s="222"/>
      <c r="MDI41" s="222"/>
      <c r="MDJ41" s="222"/>
      <c r="MDK41" s="222"/>
      <c r="MDL41" s="222"/>
      <c r="MDM41" s="222"/>
      <c r="MDN41" s="222"/>
      <c r="MDO41" s="222"/>
      <c r="MDP41" s="222"/>
      <c r="MDQ41" s="222"/>
      <c r="MDR41" s="222"/>
      <c r="MDS41" s="222"/>
      <c r="MDT41" s="222"/>
      <c r="MDU41" s="222"/>
      <c r="MDV41" s="222"/>
      <c r="MDW41" s="222"/>
      <c r="MDX41" s="222"/>
      <c r="MDY41" s="222"/>
      <c r="MDZ41" s="222"/>
      <c r="MEA41" s="222"/>
      <c r="MEB41" s="222"/>
      <c r="MEC41" s="222"/>
      <c r="MED41" s="222"/>
      <c r="MEE41" s="222"/>
      <c r="MEF41" s="222"/>
      <c r="MEG41" s="222"/>
      <c r="MEH41" s="222"/>
      <c r="MEI41" s="222"/>
      <c r="MEJ41" s="222"/>
      <c r="MEK41" s="222"/>
      <c r="MEL41" s="222"/>
      <c r="MEM41" s="222"/>
      <c r="MEN41" s="222"/>
      <c r="MEO41" s="222"/>
      <c r="MEP41" s="222"/>
      <c r="MEQ41" s="222"/>
      <c r="MER41" s="222"/>
      <c r="MES41" s="222"/>
      <c r="MET41" s="222"/>
      <c r="MEU41" s="222"/>
      <c r="MEV41" s="222"/>
      <c r="MEW41" s="222"/>
      <c r="MEX41" s="222"/>
      <c r="MEY41" s="222"/>
      <c r="MEZ41" s="222"/>
      <c r="MFA41" s="222"/>
      <c r="MFB41" s="222"/>
      <c r="MFC41" s="222"/>
      <c r="MFD41" s="222"/>
      <c r="MFE41" s="222"/>
      <c r="MFF41" s="222"/>
      <c r="MFG41" s="222"/>
      <c r="MFH41" s="222"/>
      <c r="MFI41" s="222"/>
      <c r="MFJ41" s="222"/>
      <c r="MFK41" s="222"/>
      <c r="MFL41" s="222"/>
      <c r="MFM41" s="222"/>
      <c r="MFN41" s="222"/>
      <c r="MFO41" s="222"/>
      <c r="MFP41" s="222"/>
      <c r="MFQ41" s="222"/>
      <c r="MFR41" s="222"/>
      <c r="MFS41" s="222"/>
      <c r="MFT41" s="222"/>
      <c r="MFU41" s="222"/>
      <c r="MFV41" s="222"/>
      <c r="MFW41" s="222"/>
      <c r="MFX41" s="222"/>
      <c r="MFY41" s="222"/>
      <c r="MFZ41" s="222"/>
      <c r="MGA41" s="222"/>
      <c r="MGB41" s="222"/>
      <c r="MGC41" s="222"/>
      <c r="MGD41" s="222"/>
      <c r="MGE41" s="222"/>
      <c r="MGF41" s="222"/>
      <c r="MGG41" s="222"/>
      <c r="MGH41" s="222"/>
      <c r="MGI41" s="222"/>
      <c r="MGJ41" s="222"/>
      <c r="MGK41" s="222"/>
      <c r="MGL41" s="222"/>
      <c r="MGM41" s="222"/>
      <c r="MGN41" s="222"/>
      <c r="MGO41" s="222"/>
      <c r="MGP41" s="222"/>
      <c r="MGQ41" s="222"/>
      <c r="MGR41" s="222"/>
      <c r="MGS41" s="222"/>
      <c r="MGT41" s="222"/>
      <c r="MGU41" s="222"/>
      <c r="MGV41" s="222"/>
      <c r="MGW41" s="222"/>
      <c r="MGX41" s="222"/>
      <c r="MGY41" s="222"/>
      <c r="MGZ41" s="222"/>
      <c r="MHA41" s="222"/>
      <c r="MHB41" s="222"/>
      <c r="MHC41" s="222"/>
      <c r="MHD41" s="222"/>
      <c r="MHE41" s="222"/>
      <c r="MHF41" s="222"/>
      <c r="MHG41" s="222"/>
      <c r="MHH41" s="222"/>
      <c r="MHI41" s="222"/>
      <c r="MHJ41" s="222"/>
      <c r="MHK41" s="222"/>
      <c r="MHL41" s="222"/>
      <c r="MHM41" s="222"/>
      <c r="MHN41" s="222"/>
      <c r="MHO41" s="222"/>
      <c r="MHP41" s="222"/>
      <c r="MHQ41" s="222"/>
      <c r="MHR41" s="222"/>
      <c r="MHS41" s="222"/>
      <c r="MHT41" s="222"/>
      <c r="MHU41" s="222"/>
      <c r="MHV41" s="222"/>
      <c r="MHW41" s="222"/>
      <c r="MHX41" s="222"/>
      <c r="MHY41" s="222"/>
      <c r="MHZ41" s="222"/>
      <c r="MIA41" s="222"/>
      <c r="MIB41" s="222"/>
      <c r="MIC41" s="222"/>
      <c r="MID41" s="222"/>
      <c r="MIE41" s="222"/>
      <c r="MIF41" s="222"/>
      <c r="MIG41" s="222"/>
      <c r="MIH41" s="222"/>
      <c r="MII41" s="222"/>
      <c r="MIJ41" s="222"/>
      <c r="MIK41" s="222"/>
      <c r="MIL41" s="222"/>
      <c r="MIM41" s="222"/>
      <c r="MIN41" s="222"/>
      <c r="MIO41" s="222"/>
      <c r="MIP41" s="222"/>
      <c r="MIQ41" s="222"/>
      <c r="MIR41" s="222"/>
      <c r="MIS41" s="222"/>
      <c r="MIT41" s="222"/>
      <c r="MIU41" s="222"/>
      <c r="MIV41" s="222"/>
      <c r="MIW41" s="222"/>
      <c r="MIX41" s="222"/>
      <c r="MIY41" s="222"/>
      <c r="MIZ41" s="222"/>
      <c r="MJA41" s="222"/>
      <c r="MJB41" s="222"/>
      <c r="MJC41" s="222"/>
      <c r="MJD41" s="222"/>
      <c r="MJE41" s="222"/>
      <c r="MJF41" s="222"/>
      <c r="MJG41" s="222"/>
      <c r="MJH41" s="222"/>
      <c r="MJI41" s="222"/>
      <c r="MJJ41" s="222"/>
      <c r="MJK41" s="222"/>
      <c r="MJL41" s="222"/>
      <c r="MJM41" s="222"/>
      <c r="MJN41" s="222"/>
      <c r="MJO41" s="222"/>
      <c r="MJP41" s="222"/>
      <c r="MJQ41" s="222"/>
      <c r="MJR41" s="222"/>
      <c r="MJS41" s="222"/>
      <c r="MJT41" s="222"/>
      <c r="MJU41" s="222"/>
      <c r="MJV41" s="222"/>
      <c r="MJW41" s="222"/>
      <c r="MJX41" s="222"/>
      <c r="MJY41" s="222"/>
      <c r="MJZ41" s="222"/>
      <c r="MKA41" s="222"/>
      <c r="MKB41" s="222"/>
      <c r="MKC41" s="222"/>
      <c r="MKD41" s="222"/>
      <c r="MKE41" s="222"/>
      <c r="MKF41" s="222"/>
      <c r="MKG41" s="222"/>
      <c r="MKH41" s="222"/>
      <c r="MKI41" s="222"/>
      <c r="MKJ41" s="222"/>
      <c r="MKK41" s="222"/>
      <c r="MKL41" s="222"/>
      <c r="MKM41" s="222"/>
      <c r="MKN41" s="222"/>
      <c r="MKO41" s="222"/>
      <c r="MKP41" s="222"/>
      <c r="MKQ41" s="222"/>
      <c r="MKR41" s="222"/>
      <c r="MKS41" s="222"/>
      <c r="MKT41" s="222"/>
      <c r="MKU41" s="222"/>
      <c r="MKV41" s="222"/>
      <c r="MKW41" s="222"/>
      <c r="MKX41" s="222"/>
      <c r="MKY41" s="222"/>
      <c r="MKZ41" s="222"/>
      <c r="MLA41" s="222"/>
      <c r="MLB41" s="222"/>
      <c r="MLC41" s="222"/>
      <c r="MLD41" s="222"/>
      <c r="MLE41" s="222"/>
      <c r="MLF41" s="222"/>
      <c r="MLG41" s="222"/>
      <c r="MLH41" s="222"/>
      <c r="MLI41" s="222"/>
      <c r="MLJ41" s="222"/>
      <c r="MLK41" s="222"/>
      <c r="MLL41" s="222"/>
      <c r="MLM41" s="222"/>
      <c r="MLN41" s="222"/>
      <c r="MLO41" s="222"/>
      <c r="MLP41" s="222"/>
      <c r="MLQ41" s="222"/>
      <c r="MLR41" s="222"/>
      <c r="MLS41" s="222"/>
      <c r="MLT41" s="222"/>
      <c r="MLU41" s="222"/>
      <c r="MLV41" s="222"/>
      <c r="MLW41" s="222"/>
      <c r="MLX41" s="222"/>
      <c r="MLY41" s="222"/>
      <c r="MLZ41" s="222"/>
      <c r="MMA41" s="222"/>
      <c r="MMB41" s="222"/>
      <c r="MMC41" s="222"/>
      <c r="MMD41" s="222"/>
      <c r="MME41" s="222"/>
      <c r="MMF41" s="222"/>
      <c r="MMG41" s="222"/>
      <c r="MMH41" s="222"/>
      <c r="MMI41" s="222"/>
      <c r="MMJ41" s="222"/>
      <c r="MMK41" s="222"/>
      <c r="MML41" s="222"/>
      <c r="MMM41" s="222"/>
      <c r="MMN41" s="222"/>
      <c r="MMO41" s="222"/>
      <c r="MMP41" s="222"/>
      <c r="MMQ41" s="222"/>
      <c r="MMR41" s="222"/>
      <c r="MMS41" s="222"/>
      <c r="MMT41" s="222"/>
      <c r="MMU41" s="222"/>
      <c r="MMV41" s="222"/>
      <c r="MMW41" s="222"/>
      <c r="MMX41" s="222"/>
      <c r="MMY41" s="222"/>
      <c r="MMZ41" s="222"/>
      <c r="MNA41" s="222"/>
      <c r="MNB41" s="222"/>
      <c r="MNC41" s="222"/>
      <c r="MND41" s="222"/>
      <c r="MNE41" s="222"/>
      <c r="MNF41" s="222"/>
      <c r="MNG41" s="222"/>
      <c r="MNH41" s="222"/>
      <c r="MNI41" s="222"/>
      <c r="MNJ41" s="222"/>
      <c r="MNK41" s="222"/>
      <c r="MNL41" s="222"/>
      <c r="MNM41" s="222"/>
      <c r="MNN41" s="222"/>
      <c r="MNO41" s="222"/>
      <c r="MNP41" s="222"/>
      <c r="MNQ41" s="222"/>
      <c r="MNR41" s="222"/>
      <c r="MNS41" s="222"/>
      <c r="MNT41" s="222"/>
      <c r="MNU41" s="222"/>
      <c r="MNV41" s="222"/>
      <c r="MNW41" s="222"/>
      <c r="MNX41" s="222"/>
      <c r="MNY41" s="222"/>
      <c r="MNZ41" s="222"/>
      <c r="MOA41" s="222"/>
      <c r="MOB41" s="222"/>
      <c r="MOC41" s="222"/>
      <c r="MOD41" s="222"/>
      <c r="MOE41" s="222"/>
      <c r="MOF41" s="222"/>
      <c r="MOG41" s="222"/>
      <c r="MOH41" s="222"/>
      <c r="MOI41" s="222"/>
      <c r="MOJ41" s="222"/>
      <c r="MOK41" s="222"/>
      <c r="MOL41" s="222"/>
      <c r="MOM41" s="222"/>
      <c r="MON41" s="222"/>
      <c r="MOO41" s="222"/>
      <c r="MOP41" s="222"/>
      <c r="MOQ41" s="222"/>
      <c r="MOR41" s="222"/>
      <c r="MOS41" s="222"/>
      <c r="MOT41" s="222"/>
      <c r="MOU41" s="222"/>
      <c r="MOV41" s="222"/>
      <c r="MOW41" s="222"/>
      <c r="MOX41" s="222"/>
      <c r="MOY41" s="222"/>
      <c r="MOZ41" s="222"/>
      <c r="MPA41" s="222"/>
      <c r="MPB41" s="222"/>
      <c r="MPC41" s="222"/>
      <c r="MPD41" s="222"/>
      <c r="MPE41" s="222"/>
      <c r="MPF41" s="222"/>
      <c r="MPG41" s="222"/>
      <c r="MPH41" s="222"/>
      <c r="MPI41" s="222"/>
      <c r="MPJ41" s="222"/>
      <c r="MPK41" s="222"/>
      <c r="MPL41" s="222"/>
      <c r="MPM41" s="222"/>
      <c r="MPN41" s="222"/>
      <c r="MPO41" s="222"/>
      <c r="MPP41" s="222"/>
      <c r="MPQ41" s="222"/>
      <c r="MPR41" s="222"/>
      <c r="MPS41" s="222"/>
      <c r="MPT41" s="222"/>
      <c r="MPU41" s="222"/>
      <c r="MPV41" s="222"/>
      <c r="MPW41" s="222"/>
      <c r="MPX41" s="222"/>
      <c r="MPY41" s="222"/>
      <c r="MPZ41" s="222"/>
      <c r="MQA41" s="222"/>
      <c r="MQB41" s="222"/>
      <c r="MQC41" s="222"/>
      <c r="MQD41" s="222"/>
      <c r="MQE41" s="222"/>
      <c r="MQF41" s="222"/>
      <c r="MQG41" s="222"/>
      <c r="MQH41" s="222"/>
      <c r="MQI41" s="222"/>
      <c r="MQJ41" s="222"/>
      <c r="MQK41" s="222"/>
      <c r="MQL41" s="222"/>
      <c r="MQM41" s="222"/>
      <c r="MQN41" s="222"/>
      <c r="MQO41" s="222"/>
      <c r="MQP41" s="222"/>
      <c r="MQQ41" s="222"/>
      <c r="MQR41" s="222"/>
      <c r="MQS41" s="222"/>
      <c r="MQT41" s="222"/>
      <c r="MQU41" s="222"/>
      <c r="MQV41" s="222"/>
      <c r="MQW41" s="222"/>
      <c r="MQX41" s="222"/>
      <c r="MQY41" s="222"/>
      <c r="MQZ41" s="222"/>
      <c r="MRA41" s="222"/>
      <c r="MRB41" s="222"/>
      <c r="MRC41" s="222"/>
      <c r="MRD41" s="222"/>
      <c r="MRE41" s="222"/>
      <c r="MRF41" s="222"/>
      <c r="MRG41" s="222"/>
      <c r="MRH41" s="222"/>
      <c r="MRI41" s="222"/>
      <c r="MRJ41" s="222"/>
      <c r="MRK41" s="222"/>
      <c r="MRL41" s="222"/>
      <c r="MRM41" s="222"/>
      <c r="MRN41" s="222"/>
      <c r="MRO41" s="222"/>
      <c r="MRP41" s="222"/>
      <c r="MRQ41" s="222"/>
      <c r="MRR41" s="222"/>
      <c r="MRS41" s="222"/>
      <c r="MRT41" s="222"/>
      <c r="MRU41" s="222"/>
      <c r="MRV41" s="222"/>
      <c r="MRW41" s="222"/>
      <c r="MRX41" s="222"/>
      <c r="MRY41" s="222"/>
      <c r="MRZ41" s="222"/>
      <c r="MSA41" s="222"/>
      <c r="MSB41" s="222"/>
      <c r="MSC41" s="222"/>
      <c r="MSD41" s="222"/>
      <c r="MSE41" s="222"/>
      <c r="MSF41" s="222"/>
      <c r="MSG41" s="222"/>
      <c r="MSH41" s="222"/>
      <c r="MSI41" s="222"/>
      <c r="MSJ41" s="222"/>
      <c r="MSK41" s="222"/>
      <c r="MSL41" s="222"/>
      <c r="MSM41" s="222"/>
      <c r="MSN41" s="222"/>
      <c r="MSO41" s="222"/>
      <c r="MSP41" s="222"/>
      <c r="MSQ41" s="222"/>
      <c r="MSR41" s="222"/>
      <c r="MSS41" s="222"/>
      <c r="MST41" s="222"/>
      <c r="MSU41" s="222"/>
      <c r="MSV41" s="222"/>
      <c r="MSW41" s="222"/>
      <c r="MSX41" s="222"/>
      <c r="MSY41" s="222"/>
      <c r="MSZ41" s="222"/>
      <c r="MTA41" s="222"/>
      <c r="MTB41" s="222"/>
      <c r="MTC41" s="222"/>
      <c r="MTD41" s="222"/>
      <c r="MTE41" s="222"/>
      <c r="MTF41" s="222"/>
      <c r="MTG41" s="222"/>
      <c r="MTH41" s="222"/>
      <c r="MTI41" s="222"/>
      <c r="MTJ41" s="222"/>
      <c r="MTK41" s="222"/>
      <c r="MTL41" s="222"/>
      <c r="MTM41" s="222"/>
      <c r="MTN41" s="222"/>
      <c r="MTO41" s="222"/>
      <c r="MTP41" s="222"/>
      <c r="MTQ41" s="222"/>
      <c r="MTR41" s="222"/>
      <c r="MTS41" s="222"/>
      <c r="MTT41" s="222"/>
      <c r="MTU41" s="222"/>
      <c r="MTV41" s="222"/>
      <c r="MTW41" s="222"/>
      <c r="MTX41" s="222"/>
      <c r="MTY41" s="222"/>
      <c r="MTZ41" s="222"/>
      <c r="MUA41" s="222"/>
      <c r="MUB41" s="222"/>
      <c r="MUC41" s="222"/>
      <c r="MUD41" s="222"/>
      <c r="MUE41" s="222"/>
      <c r="MUF41" s="222"/>
      <c r="MUG41" s="222"/>
      <c r="MUH41" s="222"/>
      <c r="MUI41" s="222"/>
      <c r="MUJ41" s="222"/>
      <c r="MUK41" s="222"/>
      <c r="MUL41" s="222"/>
      <c r="MUM41" s="222"/>
      <c r="MUN41" s="222"/>
      <c r="MUO41" s="222"/>
      <c r="MUP41" s="222"/>
      <c r="MUQ41" s="222"/>
      <c r="MUR41" s="222"/>
      <c r="MUS41" s="222"/>
      <c r="MUT41" s="222"/>
      <c r="MUU41" s="222"/>
      <c r="MUV41" s="222"/>
      <c r="MUW41" s="222"/>
      <c r="MUX41" s="222"/>
      <c r="MUY41" s="222"/>
      <c r="MUZ41" s="222"/>
      <c r="MVA41" s="222"/>
      <c r="MVB41" s="222"/>
      <c r="MVC41" s="222"/>
      <c r="MVD41" s="222"/>
      <c r="MVE41" s="222"/>
      <c r="MVF41" s="222"/>
      <c r="MVG41" s="222"/>
      <c r="MVH41" s="222"/>
      <c r="MVI41" s="222"/>
      <c r="MVJ41" s="222"/>
      <c r="MVK41" s="222"/>
      <c r="MVL41" s="222"/>
      <c r="MVM41" s="222"/>
      <c r="MVN41" s="222"/>
      <c r="MVO41" s="222"/>
      <c r="MVP41" s="222"/>
      <c r="MVQ41" s="222"/>
      <c r="MVR41" s="222"/>
      <c r="MVS41" s="222"/>
      <c r="MVT41" s="222"/>
      <c r="MVU41" s="222"/>
      <c r="MVV41" s="222"/>
      <c r="MVW41" s="222"/>
      <c r="MVX41" s="222"/>
      <c r="MVY41" s="222"/>
      <c r="MVZ41" s="222"/>
      <c r="MWA41" s="222"/>
      <c r="MWB41" s="222"/>
      <c r="MWC41" s="222"/>
      <c r="MWD41" s="222"/>
      <c r="MWE41" s="222"/>
      <c r="MWF41" s="222"/>
      <c r="MWG41" s="222"/>
      <c r="MWH41" s="222"/>
      <c r="MWI41" s="222"/>
      <c r="MWJ41" s="222"/>
      <c r="MWK41" s="222"/>
      <c r="MWL41" s="222"/>
      <c r="MWM41" s="222"/>
      <c r="MWN41" s="222"/>
      <c r="MWO41" s="222"/>
      <c r="MWP41" s="222"/>
      <c r="MWQ41" s="222"/>
      <c r="MWR41" s="222"/>
      <c r="MWS41" s="222"/>
      <c r="MWT41" s="222"/>
      <c r="MWU41" s="222"/>
      <c r="MWV41" s="222"/>
      <c r="MWW41" s="222"/>
      <c r="MWX41" s="222"/>
      <c r="MWY41" s="222"/>
      <c r="MWZ41" s="222"/>
      <c r="MXA41" s="222"/>
      <c r="MXB41" s="222"/>
      <c r="MXC41" s="222"/>
      <c r="MXD41" s="222"/>
      <c r="MXE41" s="222"/>
      <c r="MXF41" s="222"/>
      <c r="MXG41" s="222"/>
      <c r="MXH41" s="222"/>
      <c r="MXI41" s="222"/>
      <c r="MXJ41" s="222"/>
      <c r="MXK41" s="222"/>
      <c r="MXL41" s="222"/>
      <c r="MXM41" s="222"/>
      <c r="MXN41" s="222"/>
      <c r="MXO41" s="222"/>
      <c r="MXP41" s="222"/>
      <c r="MXQ41" s="222"/>
      <c r="MXR41" s="222"/>
      <c r="MXS41" s="222"/>
      <c r="MXT41" s="222"/>
      <c r="MXU41" s="222"/>
      <c r="MXV41" s="222"/>
      <c r="MXW41" s="222"/>
      <c r="MXX41" s="222"/>
      <c r="MXY41" s="222"/>
      <c r="MXZ41" s="222"/>
      <c r="MYA41" s="222"/>
      <c r="MYB41" s="222"/>
      <c r="MYC41" s="222"/>
      <c r="MYD41" s="222"/>
      <c r="MYE41" s="222"/>
      <c r="MYF41" s="222"/>
      <c r="MYG41" s="222"/>
      <c r="MYH41" s="222"/>
      <c r="MYI41" s="222"/>
      <c r="MYJ41" s="222"/>
      <c r="MYK41" s="222"/>
      <c r="MYL41" s="222"/>
      <c r="MYM41" s="222"/>
      <c r="MYN41" s="222"/>
      <c r="MYO41" s="222"/>
      <c r="MYP41" s="222"/>
      <c r="MYQ41" s="222"/>
      <c r="MYR41" s="222"/>
      <c r="MYS41" s="222"/>
      <c r="MYT41" s="222"/>
      <c r="MYU41" s="222"/>
      <c r="MYV41" s="222"/>
      <c r="MYW41" s="222"/>
      <c r="MYX41" s="222"/>
      <c r="MYY41" s="222"/>
      <c r="MYZ41" s="222"/>
      <c r="MZA41" s="222"/>
      <c r="MZB41" s="222"/>
      <c r="MZC41" s="222"/>
      <c r="MZD41" s="222"/>
      <c r="MZE41" s="222"/>
      <c r="MZF41" s="222"/>
      <c r="MZG41" s="222"/>
      <c r="MZH41" s="222"/>
      <c r="MZI41" s="222"/>
      <c r="MZJ41" s="222"/>
      <c r="MZK41" s="222"/>
      <c r="MZL41" s="222"/>
      <c r="MZM41" s="222"/>
      <c r="MZN41" s="222"/>
      <c r="MZO41" s="222"/>
      <c r="MZP41" s="222"/>
      <c r="MZQ41" s="222"/>
      <c r="MZR41" s="222"/>
      <c r="MZS41" s="222"/>
      <c r="MZT41" s="222"/>
      <c r="MZU41" s="222"/>
      <c r="MZV41" s="222"/>
      <c r="MZW41" s="222"/>
      <c r="MZX41" s="222"/>
      <c r="MZY41" s="222"/>
      <c r="MZZ41" s="222"/>
      <c r="NAA41" s="222"/>
      <c r="NAB41" s="222"/>
      <c r="NAC41" s="222"/>
      <c r="NAD41" s="222"/>
      <c r="NAE41" s="222"/>
      <c r="NAF41" s="222"/>
      <c r="NAG41" s="222"/>
      <c r="NAH41" s="222"/>
      <c r="NAI41" s="222"/>
      <c r="NAJ41" s="222"/>
      <c r="NAK41" s="222"/>
      <c r="NAL41" s="222"/>
      <c r="NAM41" s="222"/>
      <c r="NAN41" s="222"/>
      <c r="NAO41" s="222"/>
      <c r="NAP41" s="222"/>
      <c r="NAQ41" s="222"/>
      <c r="NAR41" s="222"/>
      <c r="NAS41" s="222"/>
      <c r="NAT41" s="222"/>
      <c r="NAU41" s="222"/>
      <c r="NAV41" s="222"/>
      <c r="NAW41" s="222"/>
      <c r="NAX41" s="222"/>
      <c r="NAY41" s="222"/>
      <c r="NAZ41" s="222"/>
      <c r="NBA41" s="222"/>
      <c r="NBB41" s="222"/>
      <c r="NBC41" s="222"/>
      <c r="NBD41" s="222"/>
      <c r="NBE41" s="222"/>
      <c r="NBF41" s="222"/>
      <c r="NBG41" s="222"/>
      <c r="NBH41" s="222"/>
      <c r="NBI41" s="222"/>
      <c r="NBJ41" s="222"/>
      <c r="NBK41" s="222"/>
      <c r="NBL41" s="222"/>
      <c r="NBM41" s="222"/>
      <c r="NBN41" s="222"/>
      <c r="NBO41" s="222"/>
      <c r="NBP41" s="222"/>
      <c r="NBQ41" s="222"/>
      <c r="NBR41" s="222"/>
      <c r="NBS41" s="222"/>
      <c r="NBT41" s="222"/>
      <c r="NBU41" s="222"/>
      <c r="NBV41" s="222"/>
      <c r="NBW41" s="222"/>
      <c r="NBX41" s="222"/>
      <c r="NBY41" s="222"/>
      <c r="NBZ41" s="222"/>
      <c r="NCA41" s="222"/>
      <c r="NCB41" s="222"/>
      <c r="NCC41" s="222"/>
      <c r="NCD41" s="222"/>
      <c r="NCE41" s="222"/>
      <c r="NCF41" s="222"/>
      <c r="NCG41" s="222"/>
      <c r="NCH41" s="222"/>
      <c r="NCI41" s="222"/>
      <c r="NCJ41" s="222"/>
      <c r="NCK41" s="222"/>
      <c r="NCL41" s="222"/>
      <c r="NCM41" s="222"/>
      <c r="NCN41" s="222"/>
      <c r="NCO41" s="222"/>
      <c r="NCP41" s="222"/>
      <c r="NCQ41" s="222"/>
      <c r="NCR41" s="222"/>
      <c r="NCS41" s="222"/>
      <c r="NCT41" s="222"/>
      <c r="NCU41" s="222"/>
      <c r="NCV41" s="222"/>
      <c r="NCW41" s="222"/>
      <c r="NCX41" s="222"/>
      <c r="NCY41" s="222"/>
      <c r="NCZ41" s="222"/>
      <c r="NDA41" s="222"/>
      <c r="NDB41" s="222"/>
      <c r="NDC41" s="222"/>
      <c r="NDD41" s="222"/>
      <c r="NDE41" s="222"/>
      <c r="NDF41" s="222"/>
      <c r="NDG41" s="222"/>
      <c r="NDH41" s="222"/>
      <c r="NDI41" s="222"/>
      <c r="NDJ41" s="222"/>
      <c r="NDK41" s="222"/>
      <c r="NDL41" s="222"/>
      <c r="NDM41" s="222"/>
      <c r="NDN41" s="222"/>
      <c r="NDO41" s="222"/>
      <c r="NDP41" s="222"/>
      <c r="NDQ41" s="222"/>
      <c r="NDR41" s="222"/>
      <c r="NDS41" s="222"/>
      <c r="NDT41" s="222"/>
      <c r="NDU41" s="222"/>
      <c r="NDV41" s="222"/>
      <c r="NDW41" s="222"/>
      <c r="NDX41" s="222"/>
      <c r="NDY41" s="222"/>
      <c r="NDZ41" s="222"/>
      <c r="NEA41" s="222"/>
      <c r="NEB41" s="222"/>
      <c r="NEC41" s="222"/>
      <c r="NED41" s="222"/>
      <c r="NEE41" s="222"/>
      <c r="NEF41" s="222"/>
      <c r="NEG41" s="222"/>
      <c r="NEH41" s="222"/>
      <c r="NEI41" s="222"/>
      <c r="NEJ41" s="222"/>
      <c r="NEK41" s="222"/>
      <c r="NEL41" s="222"/>
      <c r="NEM41" s="222"/>
      <c r="NEN41" s="222"/>
      <c r="NEO41" s="222"/>
      <c r="NEP41" s="222"/>
      <c r="NEQ41" s="222"/>
      <c r="NER41" s="222"/>
      <c r="NES41" s="222"/>
      <c r="NET41" s="222"/>
      <c r="NEU41" s="222"/>
      <c r="NEV41" s="222"/>
      <c r="NEW41" s="222"/>
      <c r="NEX41" s="222"/>
      <c r="NEY41" s="222"/>
      <c r="NEZ41" s="222"/>
      <c r="NFA41" s="222"/>
      <c r="NFB41" s="222"/>
      <c r="NFC41" s="222"/>
      <c r="NFD41" s="222"/>
      <c r="NFE41" s="222"/>
      <c r="NFF41" s="222"/>
      <c r="NFG41" s="222"/>
      <c r="NFH41" s="222"/>
      <c r="NFI41" s="222"/>
      <c r="NFJ41" s="222"/>
      <c r="NFK41" s="222"/>
      <c r="NFL41" s="222"/>
      <c r="NFM41" s="222"/>
      <c r="NFN41" s="222"/>
      <c r="NFO41" s="222"/>
      <c r="NFP41" s="222"/>
      <c r="NFQ41" s="222"/>
      <c r="NFR41" s="222"/>
      <c r="NFS41" s="222"/>
      <c r="NFT41" s="222"/>
      <c r="NFU41" s="222"/>
      <c r="NFV41" s="222"/>
      <c r="NFW41" s="222"/>
      <c r="NFX41" s="222"/>
      <c r="NFY41" s="222"/>
      <c r="NFZ41" s="222"/>
      <c r="NGA41" s="222"/>
      <c r="NGB41" s="222"/>
      <c r="NGC41" s="222"/>
      <c r="NGD41" s="222"/>
      <c r="NGE41" s="222"/>
      <c r="NGF41" s="222"/>
      <c r="NGG41" s="222"/>
      <c r="NGH41" s="222"/>
      <c r="NGI41" s="222"/>
      <c r="NGJ41" s="222"/>
      <c r="NGK41" s="222"/>
      <c r="NGL41" s="222"/>
      <c r="NGM41" s="222"/>
      <c r="NGN41" s="222"/>
      <c r="NGO41" s="222"/>
      <c r="NGP41" s="222"/>
      <c r="NGQ41" s="222"/>
      <c r="NGR41" s="222"/>
      <c r="NGS41" s="222"/>
      <c r="NGT41" s="222"/>
      <c r="NGU41" s="222"/>
      <c r="NGV41" s="222"/>
      <c r="NGW41" s="222"/>
      <c r="NGX41" s="222"/>
      <c r="NGY41" s="222"/>
      <c r="NGZ41" s="222"/>
      <c r="NHA41" s="222"/>
      <c r="NHB41" s="222"/>
      <c r="NHC41" s="222"/>
      <c r="NHD41" s="222"/>
      <c r="NHE41" s="222"/>
      <c r="NHF41" s="222"/>
      <c r="NHG41" s="222"/>
      <c r="NHH41" s="222"/>
      <c r="NHI41" s="222"/>
      <c r="NHJ41" s="222"/>
      <c r="NHK41" s="222"/>
      <c r="NHL41" s="222"/>
      <c r="NHM41" s="222"/>
      <c r="NHN41" s="222"/>
      <c r="NHO41" s="222"/>
      <c r="NHP41" s="222"/>
      <c r="NHQ41" s="222"/>
      <c r="NHR41" s="222"/>
      <c r="NHS41" s="222"/>
      <c r="NHT41" s="222"/>
      <c r="NHU41" s="222"/>
      <c r="NHV41" s="222"/>
      <c r="NHW41" s="222"/>
      <c r="NHX41" s="222"/>
      <c r="NHY41" s="222"/>
      <c r="NHZ41" s="222"/>
      <c r="NIA41" s="222"/>
      <c r="NIB41" s="222"/>
      <c r="NIC41" s="222"/>
      <c r="NID41" s="222"/>
      <c r="NIE41" s="222"/>
      <c r="NIF41" s="222"/>
      <c r="NIG41" s="222"/>
      <c r="NIH41" s="222"/>
      <c r="NII41" s="222"/>
      <c r="NIJ41" s="222"/>
      <c r="NIK41" s="222"/>
      <c r="NIL41" s="222"/>
      <c r="NIM41" s="222"/>
      <c r="NIN41" s="222"/>
      <c r="NIO41" s="222"/>
      <c r="NIP41" s="222"/>
      <c r="NIQ41" s="222"/>
      <c r="NIR41" s="222"/>
      <c r="NIS41" s="222"/>
      <c r="NIT41" s="222"/>
      <c r="NIU41" s="222"/>
      <c r="NIV41" s="222"/>
      <c r="NIW41" s="222"/>
      <c r="NIX41" s="222"/>
      <c r="NIY41" s="222"/>
      <c r="NIZ41" s="222"/>
      <c r="NJA41" s="222"/>
      <c r="NJB41" s="222"/>
      <c r="NJC41" s="222"/>
      <c r="NJD41" s="222"/>
      <c r="NJE41" s="222"/>
      <c r="NJF41" s="222"/>
      <c r="NJG41" s="222"/>
      <c r="NJH41" s="222"/>
      <c r="NJI41" s="222"/>
      <c r="NJJ41" s="222"/>
      <c r="NJK41" s="222"/>
      <c r="NJL41" s="222"/>
      <c r="NJM41" s="222"/>
      <c r="NJN41" s="222"/>
      <c r="NJO41" s="222"/>
      <c r="NJP41" s="222"/>
      <c r="NJQ41" s="222"/>
      <c r="NJR41" s="222"/>
      <c r="NJS41" s="222"/>
      <c r="NJT41" s="222"/>
      <c r="NJU41" s="222"/>
      <c r="NJV41" s="222"/>
      <c r="NJW41" s="222"/>
      <c r="NJX41" s="222"/>
      <c r="NJY41" s="222"/>
      <c r="NJZ41" s="222"/>
      <c r="NKA41" s="222"/>
      <c r="NKB41" s="222"/>
      <c r="NKC41" s="222"/>
      <c r="NKD41" s="222"/>
      <c r="NKE41" s="222"/>
      <c r="NKF41" s="222"/>
      <c r="NKG41" s="222"/>
      <c r="NKH41" s="222"/>
      <c r="NKI41" s="222"/>
      <c r="NKJ41" s="222"/>
      <c r="NKK41" s="222"/>
      <c r="NKL41" s="222"/>
      <c r="NKM41" s="222"/>
      <c r="NKN41" s="222"/>
      <c r="NKO41" s="222"/>
      <c r="NKP41" s="222"/>
      <c r="NKQ41" s="222"/>
      <c r="NKR41" s="222"/>
      <c r="NKS41" s="222"/>
      <c r="NKT41" s="222"/>
      <c r="NKU41" s="222"/>
      <c r="NKV41" s="222"/>
      <c r="NKW41" s="222"/>
      <c r="NKX41" s="222"/>
      <c r="NKY41" s="222"/>
      <c r="NKZ41" s="222"/>
      <c r="NLA41" s="222"/>
      <c r="NLB41" s="222"/>
      <c r="NLC41" s="222"/>
      <c r="NLD41" s="222"/>
      <c r="NLE41" s="222"/>
      <c r="NLF41" s="222"/>
      <c r="NLG41" s="222"/>
      <c r="NLH41" s="222"/>
      <c r="NLI41" s="222"/>
      <c r="NLJ41" s="222"/>
      <c r="NLK41" s="222"/>
      <c r="NLL41" s="222"/>
      <c r="NLM41" s="222"/>
      <c r="NLN41" s="222"/>
      <c r="NLO41" s="222"/>
      <c r="NLP41" s="222"/>
      <c r="NLQ41" s="222"/>
      <c r="NLR41" s="222"/>
      <c r="NLS41" s="222"/>
      <c r="NLT41" s="222"/>
      <c r="NLU41" s="222"/>
      <c r="NLV41" s="222"/>
      <c r="NLW41" s="222"/>
      <c r="NLX41" s="222"/>
      <c r="NLY41" s="222"/>
      <c r="NLZ41" s="222"/>
      <c r="NMA41" s="222"/>
      <c r="NMB41" s="222"/>
      <c r="NMC41" s="222"/>
      <c r="NMD41" s="222"/>
      <c r="NME41" s="222"/>
      <c r="NMF41" s="222"/>
      <c r="NMG41" s="222"/>
      <c r="NMH41" s="222"/>
      <c r="NMI41" s="222"/>
      <c r="NMJ41" s="222"/>
      <c r="NMK41" s="222"/>
      <c r="NML41" s="222"/>
      <c r="NMM41" s="222"/>
      <c r="NMN41" s="222"/>
      <c r="NMO41" s="222"/>
      <c r="NMP41" s="222"/>
      <c r="NMQ41" s="222"/>
      <c r="NMR41" s="222"/>
      <c r="NMS41" s="222"/>
      <c r="NMT41" s="222"/>
      <c r="NMU41" s="222"/>
      <c r="NMV41" s="222"/>
      <c r="NMW41" s="222"/>
      <c r="NMX41" s="222"/>
      <c r="NMY41" s="222"/>
      <c r="NMZ41" s="222"/>
      <c r="NNA41" s="222"/>
      <c r="NNB41" s="222"/>
      <c r="NNC41" s="222"/>
      <c r="NND41" s="222"/>
      <c r="NNE41" s="222"/>
      <c r="NNF41" s="222"/>
      <c r="NNG41" s="222"/>
      <c r="NNH41" s="222"/>
      <c r="NNI41" s="222"/>
      <c r="NNJ41" s="222"/>
      <c r="NNK41" s="222"/>
      <c r="NNL41" s="222"/>
      <c r="NNM41" s="222"/>
      <c r="NNN41" s="222"/>
      <c r="NNO41" s="222"/>
      <c r="NNP41" s="222"/>
      <c r="NNQ41" s="222"/>
      <c r="NNR41" s="222"/>
      <c r="NNS41" s="222"/>
      <c r="NNT41" s="222"/>
      <c r="NNU41" s="222"/>
      <c r="NNV41" s="222"/>
      <c r="NNW41" s="222"/>
      <c r="NNX41" s="222"/>
      <c r="NNY41" s="222"/>
      <c r="NNZ41" s="222"/>
      <c r="NOA41" s="222"/>
      <c r="NOB41" s="222"/>
      <c r="NOC41" s="222"/>
      <c r="NOD41" s="222"/>
      <c r="NOE41" s="222"/>
      <c r="NOF41" s="222"/>
      <c r="NOG41" s="222"/>
      <c r="NOH41" s="222"/>
      <c r="NOI41" s="222"/>
      <c r="NOJ41" s="222"/>
      <c r="NOK41" s="222"/>
      <c r="NOL41" s="222"/>
      <c r="NOM41" s="222"/>
      <c r="NON41" s="222"/>
      <c r="NOO41" s="222"/>
      <c r="NOP41" s="222"/>
      <c r="NOQ41" s="222"/>
      <c r="NOR41" s="222"/>
      <c r="NOS41" s="222"/>
      <c r="NOT41" s="222"/>
      <c r="NOU41" s="222"/>
      <c r="NOV41" s="222"/>
      <c r="NOW41" s="222"/>
      <c r="NOX41" s="222"/>
      <c r="NOY41" s="222"/>
      <c r="NOZ41" s="222"/>
      <c r="NPA41" s="222"/>
      <c r="NPB41" s="222"/>
      <c r="NPC41" s="222"/>
      <c r="NPD41" s="222"/>
      <c r="NPE41" s="222"/>
      <c r="NPF41" s="222"/>
      <c r="NPG41" s="222"/>
      <c r="NPH41" s="222"/>
      <c r="NPI41" s="222"/>
      <c r="NPJ41" s="222"/>
      <c r="NPK41" s="222"/>
      <c r="NPL41" s="222"/>
      <c r="NPM41" s="222"/>
      <c r="NPN41" s="222"/>
      <c r="NPO41" s="222"/>
      <c r="NPP41" s="222"/>
      <c r="NPQ41" s="222"/>
      <c r="NPR41" s="222"/>
      <c r="NPS41" s="222"/>
      <c r="NPT41" s="222"/>
      <c r="NPU41" s="222"/>
      <c r="NPV41" s="222"/>
      <c r="NPW41" s="222"/>
      <c r="NPX41" s="222"/>
      <c r="NPY41" s="222"/>
      <c r="NPZ41" s="222"/>
      <c r="NQA41" s="222"/>
      <c r="NQB41" s="222"/>
      <c r="NQC41" s="222"/>
      <c r="NQD41" s="222"/>
      <c r="NQE41" s="222"/>
      <c r="NQF41" s="222"/>
      <c r="NQG41" s="222"/>
      <c r="NQH41" s="222"/>
      <c r="NQI41" s="222"/>
      <c r="NQJ41" s="222"/>
      <c r="NQK41" s="222"/>
      <c r="NQL41" s="222"/>
      <c r="NQM41" s="222"/>
      <c r="NQN41" s="222"/>
      <c r="NQO41" s="222"/>
      <c r="NQP41" s="222"/>
      <c r="NQQ41" s="222"/>
      <c r="NQR41" s="222"/>
      <c r="NQS41" s="222"/>
      <c r="NQT41" s="222"/>
      <c r="NQU41" s="222"/>
      <c r="NQV41" s="222"/>
      <c r="NQW41" s="222"/>
      <c r="NQX41" s="222"/>
      <c r="NQY41" s="222"/>
      <c r="NQZ41" s="222"/>
      <c r="NRA41" s="222"/>
      <c r="NRB41" s="222"/>
      <c r="NRC41" s="222"/>
      <c r="NRD41" s="222"/>
      <c r="NRE41" s="222"/>
      <c r="NRF41" s="222"/>
      <c r="NRG41" s="222"/>
      <c r="NRH41" s="222"/>
      <c r="NRI41" s="222"/>
      <c r="NRJ41" s="222"/>
      <c r="NRK41" s="222"/>
      <c r="NRL41" s="222"/>
      <c r="NRM41" s="222"/>
      <c r="NRN41" s="222"/>
      <c r="NRO41" s="222"/>
      <c r="NRP41" s="222"/>
      <c r="NRQ41" s="222"/>
      <c r="NRR41" s="222"/>
      <c r="NRS41" s="222"/>
      <c r="NRT41" s="222"/>
      <c r="NRU41" s="222"/>
      <c r="NRV41" s="222"/>
      <c r="NRW41" s="222"/>
      <c r="NRX41" s="222"/>
      <c r="NRY41" s="222"/>
      <c r="NRZ41" s="222"/>
      <c r="NSA41" s="222"/>
      <c r="NSB41" s="222"/>
      <c r="NSC41" s="222"/>
      <c r="NSD41" s="222"/>
      <c r="NSE41" s="222"/>
      <c r="NSF41" s="222"/>
      <c r="NSG41" s="222"/>
      <c r="NSH41" s="222"/>
      <c r="NSI41" s="222"/>
      <c r="NSJ41" s="222"/>
      <c r="NSK41" s="222"/>
      <c r="NSL41" s="222"/>
      <c r="NSM41" s="222"/>
      <c r="NSN41" s="222"/>
      <c r="NSO41" s="222"/>
      <c r="NSP41" s="222"/>
      <c r="NSQ41" s="222"/>
      <c r="NSR41" s="222"/>
      <c r="NSS41" s="222"/>
      <c r="NST41" s="222"/>
      <c r="NSU41" s="222"/>
      <c r="NSV41" s="222"/>
      <c r="NSW41" s="222"/>
      <c r="NSX41" s="222"/>
      <c r="NSY41" s="222"/>
      <c r="NSZ41" s="222"/>
      <c r="NTA41" s="222"/>
      <c r="NTB41" s="222"/>
      <c r="NTC41" s="222"/>
      <c r="NTD41" s="222"/>
      <c r="NTE41" s="222"/>
      <c r="NTF41" s="222"/>
      <c r="NTG41" s="222"/>
      <c r="NTH41" s="222"/>
      <c r="NTI41" s="222"/>
      <c r="NTJ41" s="222"/>
      <c r="NTK41" s="222"/>
      <c r="NTL41" s="222"/>
      <c r="NTM41" s="222"/>
      <c r="NTN41" s="222"/>
      <c r="NTO41" s="222"/>
      <c r="NTP41" s="222"/>
      <c r="NTQ41" s="222"/>
      <c r="NTR41" s="222"/>
      <c r="NTS41" s="222"/>
      <c r="NTT41" s="222"/>
      <c r="NTU41" s="222"/>
      <c r="NTV41" s="222"/>
      <c r="NTW41" s="222"/>
      <c r="NTX41" s="222"/>
      <c r="NTY41" s="222"/>
      <c r="NTZ41" s="222"/>
      <c r="NUA41" s="222"/>
      <c r="NUB41" s="222"/>
      <c r="NUC41" s="222"/>
      <c r="NUD41" s="222"/>
      <c r="NUE41" s="222"/>
      <c r="NUF41" s="222"/>
      <c r="NUG41" s="222"/>
      <c r="NUH41" s="222"/>
      <c r="NUI41" s="222"/>
      <c r="NUJ41" s="222"/>
      <c r="NUK41" s="222"/>
      <c r="NUL41" s="222"/>
      <c r="NUM41" s="222"/>
      <c r="NUN41" s="222"/>
      <c r="NUO41" s="222"/>
      <c r="NUP41" s="222"/>
      <c r="NUQ41" s="222"/>
      <c r="NUR41" s="222"/>
      <c r="NUS41" s="222"/>
      <c r="NUT41" s="222"/>
      <c r="NUU41" s="222"/>
      <c r="NUV41" s="222"/>
      <c r="NUW41" s="222"/>
      <c r="NUX41" s="222"/>
      <c r="NUY41" s="222"/>
      <c r="NUZ41" s="222"/>
      <c r="NVA41" s="222"/>
      <c r="NVB41" s="222"/>
      <c r="NVC41" s="222"/>
      <c r="NVD41" s="222"/>
      <c r="NVE41" s="222"/>
      <c r="NVF41" s="222"/>
      <c r="NVG41" s="222"/>
      <c r="NVH41" s="222"/>
      <c r="NVI41" s="222"/>
      <c r="NVJ41" s="222"/>
      <c r="NVK41" s="222"/>
      <c r="NVL41" s="222"/>
      <c r="NVM41" s="222"/>
      <c r="NVN41" s="222"/>
      <c r="NVO41" s="222"/>
      <c r="NVP41" s="222"/>
      <c r="NVQ41" s="222"/>
      <c r="NVR41" s="222"/>
      <c r="NVS41" s="222"/>
      <c r="NVT41" s="222"/>
      <c r="NVU41" s="222"/>
      <c r="NVV41" s="222"/>
      <c r="NVW41" s="222"/>
      <c r="NVX41" s="222"/>
      <c r="NVY41" s="222"/>
      <c r="NVZ41" s="222"/>
      <c r="NWA41" s="222"/>
      <c r="NWB41" s="222"/>
      <c r="NWC41" s="222"/>
      <c r="NWD41" s="222"/>
      <c r="NWE41" s="222"/>
      <c r="NWF41" s="222"/>
      <c r="NWG41" s="222"/>
      <c r="NWH41" s="222"/>
      <c r="NWI41" s="222"/>
      <c r="NWJ41" s="222"/>
      <c r="NWK41" s="222"/>
      <c r="NWL41" s="222"/>
      <c r="NWM41" s="222"/>
      <c r="NWN41" s="222"/>
      <c r="NWO41" s="222"/>
      <c r="NWP41" s="222"/>
      <c r="NWQ41" s="222"/>
      <c r="NWR41" s="222"/>
      <c r="NWS41" s="222"/>
      <c r="NWT41" s="222"/>
      <c r="NWU41" s="222"/>
      <c r="NWV41" s="222"/>
      <c r="NWW41" s="222"/>
      <c r="NWX41" s="222"/>
      <c r="NWY41" s="222"/>
      <c r="NWZ41" s="222"/>
      <c r="NXA41" s="222"/>
      <c r="NXB41" s="222"/>
      <c r="NXC41" s="222"/>
      <c r="NXD41" s="222"/>
      <c r="NXE41" s="222"/>
      <c r="NXF41" s="222"/>
      <c r="NXG41" s="222"/>
      <c r="NXH41" s="222"/>
      <c r="NXI41" s="222"/>
      <c r="NXJ41" s="222"/>
      <c r="NXK41" s="222"/>
      <c r="NXL41" s="222"/>
      <c r="NXM41" s="222"/>
      <c r="NXN41" s="222"/>
      <c r="NXO41" s="222"/>
      <c r="NXP41" s="222"/>
      <c r="NXQ41" s="222"/>
      <c r="NXR41" s="222"/>
      <c r="NXS41" s="222"/>
      <c r="NXT41" s="222"/>
      <c r="NXU41" s="222"/>
      <c r="NXV41" s="222"/>
      <c r="NXW41" s="222"/>
      <c r="NXX41" s="222"/>
      <c r="NXY41" s="222"/>
      <c r="NXZ41" s="222"/>
      <c r="NYA41" s="222"/>
      <c r="NYB41" s="222"/>
      <c r="NYC41" s="222"/>
      <c r="NYD41" s="222"/>
      <c r="NYE41" s="222"/>
      <c r="NYF41" s="222"/>
      <c r="NYG41" s="222"/>
      <c r="NYH41" s="222"/>
      <c r="NYI41" s="222"/>
      <c r="NYJ41" s="222"/>
      <c r="NYK41" s="222"/>
      <c r="NYL41" s="222"/>
      <c r="NYM41" s="222"/>
      <c r="NYN41" s="222"/>
      <c r="NYO41" s="222"/>
      <c r="NYP41" s="222"/>
      <c r="NYQ41" s="222"/>
      <c r="NYR41" s="222"/>
      <c r="NYS41" s="222"/>
      <c r="NYT41" s="222"/>
      <c r="NYU41" s="222"/>
      <c r="NYV41" s="222"/>
      <c r="NYW41" s="222"/>
      <c r="NYX41" s="222"/>
      <c r="NYY41" s="222"/>
      <c r="NYZ41" s="222"/>
      <c r="NZA41" s="222"/>
      <c r="NZB41" s="222"/>
      <c r="NZC41" s="222"/>
      <c r="NZD41" s="222"/>
      <c r="NZE41" s="222"/>
      <c r="NZF41" s="222"/>
      <c r="NZG41" s="222"/>
      <c r="NZH41" s="222"/>
      <c r="NZI41" s="222"/>
      <c r="NZJ41" s="222"/>
      <c r="NZK41" s="222"/>
      <c r="NZL41" s="222"/>
      <c r="NZM41" s="222"/>
      <c r="NZN41" s="222"/>
      <c r="NZO41" s="222"/>
      <c r="NZP41" s="222"/>
      <c r="NZQ41" s="222"/>
      <c r="NZR41" s="222"/>
      <c r="NZS41" s="222"/>
      <c r="NZT41" s="222"/>
      <c r="NZU41" s="222"/>
      <c r="NZV41" s="222"/>
      <c r="NZW41" s="222"/>
      <c r="NZX41" s="222"/>
      <c r="NZY41" s="222"/>
      <c r="NZZ41" s="222"/>
      <c r="OAA41" s="222"/>
      <c r="OAB41" s="222"/>
      <c r="OAC41" s="222"/>
      <c r="OAD41" s="222"/>
      <c r="OAE41" s="222"/>
      <c r="OAF41" s="222"/>
      <c r="OAG41" s="222"/>
      <c r="OAH41" s="222"/>
      <c r="OAI41" s="222"/>
      <c r="OAJ41" s="222"/>
      <c r="OAK41" s="222"/>
      <c r="OAL41" s="222"/>
      <c r="OAM41" s="222"/>
      <c r="OAN41" s="222"/>
      <c r="OAO41" s="222"/>
      <c r="OAP41" s="222"/>
      <c r="OAQ41" s="222"/>
      <c r="OAR41" s="222"/>
      <c r="OAS41" s="222"/>
      <c r="OAT41" s="222"/>
      <c r="OAU41" s="222"/>
      <c r="OAV41" s="222"/>
      <c r="OAW41" s="222"/>
      <c r="OAX41" s="222"/>
      <c r="OAY41" s="222"/>
      <c r="OAZ41" s="222"/>
      <c r="OBA41" s="222"/>
      <c r="OBB41" s="222"/>
      <c r="OBC41" s="222"/>
      <c r="OBD41" s="222"/>
      <c r="OBE41" s="222"/>
      <c r="OBF41" s="222"/>
      <c r="OBG41" s="222"/>
      <c r="OBH41" s="222"/>
      <c r="OBI41" s="222"/>
      <c r="OBJ41" s="222"/>
      <c r="OBK41" s="222"/>
      <c r="OBL41" s="222"/>
      <c r="OBM41" s="222"/>
      <c r="OBN41" s="222"/>
      <c r="OBO41" s="222"/>
      <c r="OBP41" s="222"/>
      <c r="OBQ41" s="222"/>
      <c r="OBR41" s="222"/>
      <c r="OBS41" s="222"/>
      <c r="OBT41" s="222"/>
      <c r="OBU41" s="222"/>
      <c r="OBV41" s="222"/>
      <c r="OBW41" s="222"/>
      <c r="OBX41" s="222"/>
      <c r="OBY41" s="222"/>
      <c r="OBZ41" s="222"/>
      <c r="OCA41" s="222"/>
      <c r="OCB41" s="222"/>
      <c r="OCC41" s="222"/>
      <c r="OCD41" s="222"/>
      <c r="OCE41" s="222"/>
      <c r="OCF41" s="222"/>
      <c r="OCG41" s="222"/>
      <c r="OCH41" s="222"/>
      <c r="OCI41" s="222"/>
      <c r="OCJ41" s="222"/>
      <c r="OCK41" s="222"/>
      <c r="OCL41" s="222"/>
      <c r="OCM41" s="222"/>
      <c r="OCN41" s="222"/>
      <c r="OCO41" s="222"/>
      <c r="OCP41" s="222"/>
      <c r="OCQ41" s="222"/>
      <c r="OCR41" s="222"/>
      <c r="OCS41" s="222"/>
      <c r="OCT41" s="222"/>
      <c r="OCU41" s="222"/>
      <c r="OCV41" s="222"/>
      <c r="OCW41" s="222"/>
      <c r="OCX41" s="222"/>
      <c r="OCY41" s="222"/>
      <c r="OCZ41" s="222"/>
      <c r="ODA41" s="222"/>
      <c r="ODB41" s="222"/>
      <c r="ODC41" s="222"/>
      <c r="ODD41" s="222"/>
      <c r="ODE41" s="222"/>
      <c r="ODF41" s="222"/>
      <c r="ODG41" s="222"/>
      <c r="ODH41" s="222"/>
      <c r="ODI41" s="222"/>
      <c r="ODJ41" s="222"/>
      <c r="ODK41" s="222"/>
      <c r="ODL41" s="222"/>
      <c r="ODM41" s="222"/>
      <c r="ODN41" s="222"/>
      <c r="ODO41" s="222"/>
      <c r="ODP41" s="222"/>
      <c r="ODQ41" s="222"/>
      <c r="ODR41" s="222"/>
      <c r="ODS41" s="222"/>
      <c r="ODT41" s="222"/>
      <c r="ODU41" s="222"/>
      <c r="ODV41" s="222"/>
      <c r="ODW41" s="222"/>
      <c r="ODX41" s="222"/>
      <c r="ODY41" s="222"/>
      <c r="ODZ41" s="222"/>
      <c r="OEA41" s="222"/>
      <c r="OEB41" s="222"/>
      <c r="OEC41" s="222"/>
      <c r="OED41" s="222"/>
      <c r="OEE41" s="222"/>
      <c r="OEF41" s="222"/>
      <c r="OEG41" s="222"/>
      <c r="OEH41" s="222"/>
      <c r="OEI41" s="222"/>
      <c r="OEJ41" s="222"/>
      <c r="OEK41" s="222"/>
      <c r="OEL41" s="222"/>
      <c r="OEM41" s="222"/>
      <c r="OEN41" s="222"/>
      <c r="OEO41" s="222"/>
      <c r="OEP41" s="222"/>
      <c r="OEQ41" s="222"/>
      <c r="OER41" s="222"/>
      <c r="OES41" s="222"/>
      <c r="OET41" s="222"/>
      <c r="OEU41" s="222"/>
      <c r="OEV41" s="222"/>
      <c r="OEW41" s="222"/>
      <c r="OEX41" s="222"/>
      <c r="OEY41" s="222"/>
      <c r="OEZ41" s="222"/>
      <c r="OFA41" s="222"/>
      <c r="OFB41" s="222"/>
      <c r="OFC41" s="222"/>
      <c r="OFD41" s="222"/>
      <c r="OFE41" s="222"/>
      <c r="OFF41" s="222"/>
      <c r="OFG41" s="222"/>
      <c r="OFH41" s="222"/>
      <c r="OFI41" s="222"/>
      <c r="OFJ41" s="222"/>
      <c r="OFK41" s="222"/>
      <c r="OFL41" s="222"/>
      <c r="OFM41" s="222"/>
      <c r="OFN41" s="222"/>
      <c r="OFO41" s="222"/>
      <c r="OFP41" s="222"/>
      <c r="OFQ41" s="222"/>
      <c r="OFR41" s="222"/>
      <c r="OFS41" s="222"/>
      <c r="OFT41" s="222"/>
      <c r="OFU41" s="222"/>
      <c r="OFV41" s="222"/>
      <c r="OFW41" s="222"/>
      <c r="OFX41" s="222"/>
      <c r="OFY41" s="222"/>
      <c r="OFZ41" s="222"/>
      <c r="OGA41" s="222"/>
      <c r="OGB41" s="222"/>
      <c r="OGC41" s="222"/>
      <c r="OGD41" s="222"/>
      <c r="OGE41" s="222"/>
      <c r="OGF41" s="222"/>
      <c r="OGG41" s="222"/>
      <c r="OGH41" s="222"/>
      <c r="OGI41" s="222"/>
      <c r="OGJ41" s="222"/>
      <c r="OGK41" s="222"/>
      <c r="OGL41" s="222"/>
      <c r="OGM41" s="222"/>
      <c r="OGN41" s="222"/>
      <c r="OGO41" s="222"/>
      <c r="OGP41" s="222"/>
      <c r="OGQ41" s="222"/>
      <c r="OGR41" s="222"/>
      <c r="OGS41" s="222"/>
      <c r="OGT41" s="222"/>
      <c r="OGU41" s="222"/>
      <c r="OGV41" s="222"/>
      <c r="OGW41" s="222"/>
      <c r="OGX41" s="222"/>
      <c r="OGY41" s="222"/>
      <c r="OGZ41" s="222"/>
      <c r="OHA41" s="222"/>
      <c r="OHB41" s="222"/>
      <c r="OHC41" s="222"/>
      <c r="OHD41" s="222"/>
      <c r="OHE41" s="222"/>
      <c r="OHF41" s="222"/>
      <c r="OHG41" s="222"/>
      <c r="OHH41" s="222"/>
      <c r="OHI41" s="222"/>
      <c r="OHJ41" s="222"/>
      <c r="OHK41" s="222"/>
      <c r="OHL41" s="222"/>
      <c r="OHM41" s="222"/>
      <c r="OHN41" s="222"/>
      <c r="OHO41" s="222"/>
      <c r="OHP41" s="222"/>
      <c r="OHQ41" s="222"/>
      <c r="OHR41" s="222"/>
      <c r="OHS41" s="222"/>
      <c r="OHT41" s="222"/>
      <c r="OHU41" s="222"/>
      <c r="OHV41" s="222"/>
      <c r="OHW41" s="222"/>
      <c r="OHX41" s="222"/>
      <c r="OHY41" s="222"/>
      <c r="OHZ41" s="222"/>
      <c r="OIA41" s="222"/>
      <c r="OIB41" s="222"/>
      <c r="OIC41" s="222"/>
      <c r="OID41" s="222"/>
      <c r="OIE41" s="222"/>
      <c r="OIF41" s="222"/>
      <c r="OIG41" s="222"/>
      <c r="OIH41" s="222"/>
      <c r="OII41" s="222"/>
      <c r="OIJ41" s="222"/>
      <c r="OIK41" s="222"/>
      <c r="OIL41" s="222"/>
      <c r="OIM41" s="222"/>
      <c r="OIN41" s="222"/>
      <c r="OIO41" s="222"/>
      <c r="OIP41" s="222"/>
      <c r="OIQ41" s="222"/>
      <c r="OIR41" s="222"/>
      <c r="OIS41" s="222"/>
      <c r="OIT41" s="222"/>
      <c r="OIU41" s="222"/>
      <c r="OIV41" s="222"/>
      <c r="OIW41" s="222"/>
      <c r="OIX41" s="222"/>
      <c r="OIY41" s="222"/>
      <c r="OIZ41" s="222"/>
      <c r="OJA41" s="222"/>
      <c r="OJB41" s="222"/>
      <c r="OJC41" s="222"/>
      <c r="OJD41" s="222"/>
      <c r="OJE41" s="222"/>
      <c r="OJF41" s="222"/>
      <c r="OJG41" s="222"/>
      <c r="OJH41" s="222"/>
      <c r="OJI41" s="222"/>
      <c r="OJJ41" s="222"/>
      <c r="OJK41" s="222"/>
      <c r="OJL41" s="222"/>
      <c r="OJM41" s="222"/>
      <c r="OJN41" s="222"/>
      <c r="OJO41" s="222"/>
      <c r="OJP41" s="222"/>
      <c r="OJQ41" s="222"/>
      <c r="OJR41" s="222"/>
      <c r="OJS41" s="222"/>
      <c r="OJT41" s="222"/>
      <c r="OJU41" s="222"/>
      <c r="OJV41" s="222"/>
      <c r="OJW41" s="222"/>
      <c r="OJX41" s="222"/>
      <c r="OJY41" s="222"/>
      <c r="OJZ41" s="222"/>
      <c r="OKA41" s="222"/>
      <c r="OKB41" s="222"/>
      <c r="OKC41" s="222"/>
      <c r="OKD41" s="222"/>
      <c r="OKE41" s="222"/>
      <c r="OKF41" s="222"/>
      <c r="OKG41" s="222"/>
      <c r="OKH41" s="222"/>
      <c r="OKI41" s="222"/>
      <c r="OKJ41" s="222"/>
      <c r="OKK41" s="222"/>
      <c r="OKL41" s="222"/>
      <c r="OKM41" s="222"/>
      <c r="OKN41" s="222"/>
      <c r="OKO41" s="222"/>
      <c r="OKP41" s="222"/>
      <c r="OKQ41" s="222"/>
      <c r="OKR41" s="222"/>
      <c r="OKS41" s="222"/>
      <c r="OKT41" s="222"/>
      <c r="OKU41" s="222"/>
      <c r="OKV41" s="222"/>
      <c r="OKW41" s="222"/>
      <c r="OKX41" s="222"/>
      <c r="OKY41" s="222"/>
      <c r="OKZ41" s="222"/>
      <c r="OLA41" s="222"/>
      <c r="OLB41" s="222"/>
      <c r="OLC41" s="222"/>
      <c r="OLD41" s="222"/>
      <c r="OLE41" s="222"/>
      <c r="OLF41" s="222"/>
      <c r="OLG41" s="222"/>
      <c r="OLH41" s="222"/>
      <c r="OLI41" s="222"/>
      <c r="OLJ41" s="222"/>
      <c r="OLK41" s="222"/>
      <c r="OLL41" s="222"/>
      <c r="OLM41" s="222"/>
      <c r="OLN41" s="222"/>
      <c r="OLO41" s="222"/>
      <c r="OLP41" s="222"/>
      <c r="OLQ41" s="222"/>
      <c r="OLR41" s="222"/>
      <c r="OLS41" s="222"/>
      <c r="OLT41" s="222"/>
      <c r="OLU41" s="222"/>
      <c r="OLV41" s="222"/>
      <c r="OLW41" s="222"/>
      <c r="OLX41" s="222"/>
      <c r="OLY41" s="222"/>
      <c r="OLZ41" s="222"/>
      <c r="OMA41" s="222"/>
      <c r="OMB41" s="222"/>
      <c r="OMC41" s="222"/>
      <c r="OMD41" s="222"/>
      <c r="OME41" s="222"/>
      <c r="OMF41" s="222"/>
      <c r="OMG41" s="222"/>
      <c r="OMH41" s="222"/>
      <c r="OMI41" s="222"/>
      <c r="OMJ41" s="222"/>
      <c r="OMK41" s="222"/>
      <c r="OML41" s="222"/>
      <c r="OMM41" s="222"/>
      <c r="OMN41" s="222"/>
      <c r="OMO41" s="222"/>
      <c r="OMP41" s="222"/>
      <c r="OMQ41" s="222"/>
      <c r="OMR41" s="222"/>
      <c r="OMS41" s="222"/>
      <c r="OMT41" s="222"/>
      <c r="OMU41" s="222"/>
      <c r="OMV41" s="222"/>
      <c r="OMW41" s="222"/>
      <c r="OMX41" s="222"/>
      <c r="OMY41" s="222"/>
      <c r="OMZ41" s="222"/>
      <c r="ONA41" s="222"/>
      <c r="ONB41" s="222"/>
      <c r="ONC41" s="222"/>
      <c r="OND41" s="222"/>
      <c r="ONE41" s="222"/>
      <c r="ONF41" s="222"/>
      <c r="ONG41" s="222"/>
      <c r="ONH41" s="222"/>
      <c r="ONI41" s="222"/>
      <c r="ONJ41" s="222"/>
      <c r="ONK41" s="222"/>
      <c r="ONL41" s="222"/>
      <c r="ONM41" s="222"/>
      <c r="ONN41" s="222"/>
      <c r="ONO41" s="222"/>
      <c r="ONP41" s="222"/>
      <c r="ONQ41" s="222"/>
      <c r="ONR41" s="222"/>
      <c r="ONS41" s="222"/>
      <c r="ONT41" s="222"/>
      <c r="ONU41" s="222"/>
      <c r="ONV41" s="222"/>
      <c r="ONW41" s="222"/>
      <c r="ONX41" s="222"/>
      <c r="ONY41" s="222"/>
      <c r="ONZ41" s="222"/>
      <c r="OOA41" s="222"/>
      <c r="OOB41" s="222"/>
      <c r="OOC41" s="222"/>
      <c r="OOD41" s="222"/>
      <c r="OOE41" s="222"/>
      <c r="OOF41" s="222"/>
      <c r="OOG41" s="222"/>
      <c r="OOH41" s="222"/>
      <c r="OOI41" s="222"/>
      <c r="OOJ41" s="222"/>
      <c r="OOK41" s="222"/>
      <c r="OOL41" s="222"/>
      <c r="OOM41" s="222"/>
      <c r="OON41" s="222"/>
      <c r="OOO41" s="222"/>
      <c r="OOP41" s="222"/>
      <c r="OOQ41" s="222"/>
      <c r="OOR41" s="222"/>
      <c r="OOS41" s="222"/>
      <c r="OOT41" s="222"/>
      <c r="OOU41" s="222"/>
      <c r="OOV41" s="222"/>
      <c r="OOW41" s="222"/>
      <c r="OOX41" s="222"/>
      <c r="OOY41" s="222"/>
      <c r="OOZ41" s="222"/>
      <c r="OPA41" s="222"/>
      <c r="OPB41" s="222"/>
      <c r="OPC41" s="222"/>
      <c r="OPD41" s="222"/>
      <c r="OPE41" s="222"/>
      <c r="OPF41" s="222"/>
      <c r="OPG41" s="222"/>
      <c r="OPH41" s="222"/>
      <c r="OPI41" s="222"/>
      <c r="OPJ41" s="222"/>
      <c r="OPK41" s="222"/>
      <c r="OPL41" s="222"/>
      <c r="OPM41" s="222"/>
      <c r="OPN41" s="222"/>
      <c r="OPO41" s="222"/>
      <c r="OPP41" s="222"/>
      <c r="OPQ41" s="222"/>
      <c r="OPR41" s="222"/>
      <c r="OPS41" s="222"/>
      <c r="OPT41" s="222"/>
      <c r="OPU41" s="222"/>
      <c r="OPV41" s="222"/>
      <c r="OPW41" s="222"/>
      <c r="OPX41" s="222"/>
      <c r="OPY41" s="222"/>
      <c r="OPZ41" s="222"/>
      <c r="OQA41" s="222"/>
      <c r="OQB41" s="222"/>
      <c r="OQC41" s="222"/>
      <c r="OQD41" s="222"/>
      <c r="OQE41" s="222"/>
      <c r="OQF41" s="222"/>
      <c r="OQG41" s="222"/>
      <c r="OQH41" s="222"/>
      <c r="OQI41" s="222"/>
      <c r="OQJ41" s="222"/>
      <c r="OQK41" s="222"/>
      <c r="OQL41" s="222"/>
      <c r="OQM41" s="222"/>
      <c r="OQN41" s="222"/>
      <c r="OQO41" s="222"/>
      <c r="OQP41" s="222"/>
      <c r="OQQ41" s="222"/>
      <c r="OQR41" s="222"/>
      <c r="OQS41" s="222"/>
      <c r="OQT41" s="222"/>
      <c r="OQU41" s="222"/>
      <c r="OQV41" s="222"/>
      <c r="OQW41" s="222"/>
      <c r="OQX41" s="222"/>
      <c r="OQY41" s="222"/>
      <c r="OQZ41" s="222"/>
      <c r="ORA41" s="222"/>
      <c r="ORB41" s="222"/>
      <c r="ORC41" s="222"/>
      <c r="ORD41" s="222"/>
      <c r="ORE41" s="222"/>
      <c r="ORF41" s="222"/>
      <c r="ORG41" s="222"/>
      <c r="ORH41" s="222"/>
      <c r="ORI41" s="222"/>
      <c r="ORJ41" s="222"/>
      <c r="ORK41" s="222"/>
      <c r="ORL41" s="222"/>
      <c r="ORM41" s="222"/>
      <c r="ORN41" s="222"/>
      <c r="ORO41" s="222"/>
      <c r="ORP41" s="222"/>
      <c r="ORQ41" s="222"/>
      <c r="ORR41" s="222"/>
      <c r="ORS41" s="222"/>
      <c r="ORT41" s="222"/>
      <c r="ORU41" s="222"/>
      <c r="ORV41" s="222"/>
      <c r="ORW41" s="222"/>
      <c r="ORX41" s="222"/>
      <c r="ORY41" s="222"/>
      <c r="ORZ41" s="222"/>
      <c r="OSA41" s="222"/>
      <c r="OSB41" s="222"/>
      <c r="OSC41" s="222"/>
      <c r="OSD41" s="222"/>
      <c r="OSE41" s="222"/>
      <c r="OSF41" s="222"/>
      <c r="OSG41" s="222"/>
      <c r="OSH41" s="222"/>
      <c r="OSI41" s="222"/>
      <c r="OSJ41" s="222"/>
      <c r="OSK41" s="222"/>
      <c r="OSL41" s="222"/>
      <c r="OSM41" s="222"/>
      <c r="OSN41" s="222"/>
      <c r="OSO41" s="222"/>
      <c r="OSP41" s="222"/>
      <c r="OSQ41" s="222"/>
      <c r="OSR41" s="222"/>
      <c r="OSS41" s="222"/>
      <c r="OST41" s="222"/>
      <c r="OSU41" s="222"/>
      <c r="OSV41" s="222"/>
      <c r="OSW41" s="222"/>
      <c r="OSX41" s="222"/>
      <c r="OSY41" s="222"/>
      <c r="OSZ41" s="222"/>
      <c r="OTA41" s="222"/>
      <c r="OTB41" s="222"/>
      <c r="OTC41" s="222"/>
      <c r="OTD41" s="222"/>
      <c r="OTE41" s="222"/>
      <c r="OTF41" s="222"/>
      <c r="OTG41" s="222"/>
      <c r="OTH41" s="222"/>
      <c r="OTI41" s="222"/>
      <c r="OTJ41" s="222"/>
      <c r="OTK41" s="222"/>
      <c r="OTL41" s="222"/>
      <c r="OTM41" s="222"/>
      <c r="OTN41" s="222"/>
      <c r="OTO41" s="222"/>
      <c r="OTP41" s="222"/>
      <c r="OTQ41" s="222"/>
      <c r="OTR41" s="222"/>
      <c r="OTS41" s="222"/>
      <c r="OTT41" s="222"/>
      <c r="OTU41" s="222"/>
      <c r="OTV41" s="222"/>
      <c r="OTW41" s="222"/>
      <c r="OTX41" s="222"/>
      <c r="OTY41" s="222"/>
      <c r="OTZ41" s="222"/>
      <c r="OUA41" s="222"/>
      <c r="OUB41" s="222"/>
      <c r="OUC41" s="222"/>
      <c r="OUD41" s="222"/>
      <c r="OUE41" s="222"/>
      <c r="OUF41" s="222"/>
      <c r="OUG41" s="222"/>
      <c r="OUH41" s="222"/>
      <c r="OUI41" s="222"/>
      <c r="OUJ41" s="222"/>
      <c r="OUK41" s="222"/>
      <c r="OUL41" s="222"/>
      <c r="OUM41" s="222"/>
      <c r="OUN41" s="222"/>
      <c r="OUO41" s="222"/>
      <c r="OUP41" s="222"/>
      <c r="OUQ41" s="222"/>
      <c r="OUR41" s="222"/>
      <c r="OUS41" s="222"/>
      <c r="OUT41" s="222"/>
      <c r="OUU41" s="222"/>
      <c r="OUV41" s="222"/>
      <c r="OUW41" s="222"/>
      <c r="OUX41" s="222"/>
      <c r="OUY41" s="222"/>
      <c r="OUZ41" s="222"/>
      <c r="OVA41" s="222"/>
      <c r="OVB41" s="222"/>
      <c r="OVC41" s="222"/>
      <c r="OVD41" s="222"/>
      <c r="OVE41" s="222"/>
      <c r="OVF41" s="222"/>
      <c r="OVG41" s="222"/>
      <c r="OVH41" s="222"/>
      <c r="OVI41" s="222"/>
      <c r="OVJ41" s="222"/>
      <c r="OVK41" s="222"/>
      <c r="OVL41" s="222"/>
      <c r="OVM41" s="222"/>
      <c r="OVN41" s="222"/>
      <c r="OVO41" s="222"/>
      <c r="OVP41" s="222"/>
      <c r="OVQ41" s="222"/>
      <c r="OVR41" s="222"/>
      <c r="OVS41" s="222"/>
      <c r="OVT41" s="222"/>
      <c r="OVU41" s="222"/>
      <c r="OVV41" s="222"/>
      <c r="OVW41" s="222"/>
      <c r="OVX41" s="222"/>
      <c r="OVY41" s="222"/>
      <c r="OVZ41" s="222"/>
      <c r="OWA41" s="222"/>
      <c r="OWB41" s="222"/>
      <c r="OWC41" s="222"/>
      <c r="OWD41" s="222"/>
      <c r="OWE41" s="222"/>
      <c r="OWF41" s="222"/>
      <c r="OWG41" s="222"/>
      <c r="OWH41" s="222"/>
      <c r="OWI41" s="222"/>
      <c r="OWJ41" s="222"/>
      <c r="OWK41" s="222"/>
      <c r="OWL41" s="222"/>
      <c r="OWM41" s="222"/>
      <c r="OWN41" s="222"/>
      <c r="OWO41" s="222"/>
      <c r="OWP41" s="222"/>
      <c r="OWQ41" s="222"/>
      <c r="OWR41" s="222"/>
      <c r="OWS41" s="222"/>
      <c r="OWT41" s="222"/>
      <c r="OWU41" s="222"/>
      <c r="OWV41" s="222"/>
      <c r="OWW41" s="222"/>
      <c r="OWX41" s="222"/>
      <c r="OWY41" s="222"/>
      <c r="OWZ41" s="222"/>
      <c r="OXA41" s="222"/>
      <c r="OXB41" s="222"/>
      <c r="OXC41" s="222"/>
      <c r="OXD41" s="222"/>
      <c r="OXE41" s="222"/>
      <c r="OXF41" s="222"/>
      <c r="OXG41" s="222"/>
      <c r="OXH41" s="222"/>
      <c r="OXI41" s="222"/>
      <c r="OXJ41" s="222"/>
      <c r="OXK41" s="222"/>
      <c r="OXL41" s="222"/>
      <c r="OXM41" s="222"/>
      <c r="OXN41" s="222"/>
      <c r="OXO41" s="222"/>
      <c r="OXP41" s="222"/>
      <c r="OXQ41" s="222"/>
      <c r="OXR41" s="222"/>
      <c r="OXS41" s="222"/>
      <c r="OXT41" s="222"/>
      <c r="OXU41" s="222"/>
      <c r="OXV41" s="222"/>
      <c r="OXW41" s="222"/>
      <c r="OXX41" s="222"/>
      <c r="OXY41" s="222"/>
      <c r="OXZ41" s="222"/>
      <c r="OYA41" s="222"/>
      <c r="OYB41" s="222"/>
      <c r="OYC41" s="222"/>
      <c r="OYD41" s="222"/>
      <c r="OYE41" s="222"/>
      <c r="OYF41" s="222"/>
      <c r="OYG41" s="222"/>
      <c r="OYH41" s="222"/>
      <c r="OYI41" s="222"/>
      <c r="OYJ41" s="222"/>
      <c r="OYK41" s="222"/>
      <c r="OYL41" s="222"/>
      <c r="OYM41" s="222"/>
      <c r="OYN41" s="222"/>
      <c r="OYO41" s="222"/>
      <c r="OYP41" s="222"/>
      <c r="OYQ41" s="222"/>
      <c r="OYR41" s="222"/>
      <c r="OYS41" s="222"/>
      <c r="OYT41" s="222"/>
      <c r="OYU41" s="222"/>
      <c r="OYV41" s="222"/>
      <c r="OYW41" s="222"/>
      <c r="OYX41" s="222"/>
      <c r="OYY41" s="222"/>
      <c r="OYZ41" s="222"/>
      <c r="OZA41" s="222"/>
      <c r="OZB41" s="222"/>
      <c r="OZC41" s="222"/>
      <c r="OZD41" s="222"/>
      <c r="OZE41" s="222"/>
      <c r="OZF41" s="222"/>
      <c r="OZG41" s="222"/>
      <c r="OZH41" s="222"/>
      <c r="OZI41" s="222"/>
      <c r="OZJ41" s="222"/>
      <c r="OZK41" s="222"/>
      <c r="OZL41" s="222"/>
      <c r="OZM41" s="222"/>
      <c r="OZN41" s="222"/>
      <c r="OZO41" s="222"/>
      <c r="OZP41" s="222"/>
      <c r="OZQ41" s="222"/>
      <c r="OZR41" s="222"/>
      <c r="OZS41" s="222"/>
      <c r="OZT41" s="222"/>
      <c r="OZU41" s="222"/>
      <c r="OZV41" s="222"/>
      <c r="OZW41" s="222"/>
      <c r="OZX41" s="222"/>
      <c r="OZY41" s="222"/>
      <c r="OZZ41" s="222"/>
      <c r="PAA41" s="222"/>
      <c r="PAB41" s="222"/>
      <c r="PAC41" s="222"/>
      <c r="PAD41" s="222"/>
      <c r="PAE41" s="222"/>
      <c r="PAF41" s="222"/>
      <c r="PAG41" s="222"/>
      <c r="PAH41" s="222"/>
      <c r="PAI41" s="222"/>
      <c r="PAJ41" s="222"/>
      <c r="PAK41" s="222"/>
      <c r="PAL41" s="222"/>
      <c r="PAM41" s="222"/>
      <c r="PAN41" s="222"/>
      <c r="PAO41" s="222"/>
      <c r="PAP41" s="222"/>
      <c r="PAQ41" s="222"/>
      <c r="PAR41" s="222"/>
      <c r="PAS41" s="222"/>
      <c r="PAT41" s="222"/>
      <c r="PAU41" s="222"/>
      <c r="PAV41" s="222"/>
      <c r="PAW41" s="222"/>
      <c r="PAX41" s="222"/>
      <c r="PAY41" s="222"/>
      <c r="PAZ41" s="222"/>
      <c r="PBA41" s="222"/>
      <c r="PBB41" s="222"/>
      <c r="PBC41" s="222"/>
      <c r="PBD41" s="222"/>
      <c r="PBE41" s="222"/>
      <c r="PBF41" s="222"/>
      <c r="PBG41" s="222"/>
      <c r="PBH41" s="222"/>
      <c r="PBI41" s="222"/>
      <c r="PBJ41" s="222"/>
      <c r="PBK41" s="222"/>
      <c r="PBL41" s="222"/>
      <c r="PBM41" s="222"/>
      <c r="PBN41" s="222"/>
      <c r="PBO41" s="222"/>
      <c r="PBP41" s="222"/>
      <c r="PBQ41" s="222"/>
      <c r="PBR41" s="222"/>
      <c r="PBS41" s="222"/>
      <c r="PBT41" s="222"/>
      <c r="PBU41" s="222"/>
      <c r="PBV41" s="222"/>
      <c r="PBW41" s="222"/>
      <c r="PBX41" s="222"/>
      <c r="PBY41" s="222"/>
      <c r="PBZ41" s="222"/>
      <c r="PCA41" s="222"/>
      <c r="PCB41" s="222"/>
      <c r="PCC41" s="222"/>
      <c r="PCD41" s="222"/>
      <c r="PCE41" s="222"/>
      <c r="PCF41" s="222"/>
      <c r="PCG41" s="222"/>
      <c r="PCH41" s="222"/>
      <c r="PCI41" s="222"/>
      <c r="PCJ41" s="222"/>
      <c r="PCK41" s="222"/>
      <c r="PCL41" s="222"/>
      <c r="PCM41" s="222"/>
      <c r="PCN41" s="222"/>
      <c r="PCO41" s="222"/>
      <c r="PCP41" s="222"/>
      <c r="PCQ41" s="222"/>
      <c r="PCR41" s="222"/>
      <c r="PCS41" s="222"/>
      <c r="PCT41" s="222"/>
      <c r="PCU41" s="222"/>
      <c r="PCV41" s="222"/>
      <c r="PCW41" s="222"/>
      <c r="PCX41" s="222"/>
      <c r="PCY41" s="222"/>
      <c r="PCZ41" s="222"/>
      <c r="PDA41" s="222"/>
      <c r="PDB41" s="222"/>
      <c r="PDC41" s="222"/>
      <c r="PDD41" s="222"/>
      <c r="PDE41" s="222"/>
      <c r="PDF41" s="222"/>
      <c r="PDG41" s="222"/>
      <c r="PDH41" s="222"/>
      <c r="PDI41" s="222"/>
      <c r="PDJ41" s="222"/>
      <c r="PDK41" s="222"/>
      <c r="PDL41" s="222"/>
      <c r="PDM41" s="222"/>
      <c r="PDN41" s="222"/>
      <c r="PDO41" s="222"/>
      <c r="PDP41" s="222"/>
      <c r="PDQ41" s="222"/>
      <c r="PDR41" s="222"/>
      <c r="PDS41" s="222"/>
      <c r="PDT41" s="222"/>
      <c r="PDU41" s="222"/>
      <c r="PDV41" s="222"/>
      <c r="PDW41" s="222"/>
      <c r="PDX41" s="222"/>
      <c r="PDY41" s="222"/>
      <c r="PDZ41" s="222"/>
      <c r="PEA41" s="222"/>
      <c r="PEB41" s="222"/>
      <c r="PEC41" s="222"/>
      <c r="PED41" s="222"/>
      <c r="PEE41" s="222"/>
      <c r="PEF41" s="222"/>
      <c r="PEG41" s="222"/>
      <c r="PEH41" s="222"/>
      <c r="PEI41" s="222"/>
      <c r="PEJ41" s="222"/>
      <c r="PEK41" s="222"/>
      <c r="PEL41" s="222"/>
      <c r="PEM41" s="222"/>
      <c r="PEN41" s="222"/>
      <c r="PEO41" s="222"/>
      <c r="PEP41" s="222"/>
      <c r="PEQ41" s="222"/>
      <c r="PER41" s="222"/>
      <c r="PES41" s="222"/>
      <c r="PET41" s="222"/>
      <c r="PEU41" s="222"/>
      <c r="PEV41" s="222"/>
      <c r="PEW41" s="222"/>
      <c r="PEX41" s="222"/>
      <c r="PEY41" s="222"/>
      <c r="PEZ41" s="222"/>
      <c r="PFA41" s="222"/>
      <c r="PFB41" s="222"/>
      <c r="PFC41" s="222"/>
      <c r="PFD41" s="222"/>
      <c r="PFE41" s="222"/>
      <c r="PFF41" s="222"/>
      <c r="PFG41" s="222"/>
      <c r="PFH41" s="222"/>
      <c r="PFI41" s="222"/>
      <c r="PFJ41" s="222"/>
      <c r="PFK41" s="222"/>
      <c r="PFL41" s="222"/>
      <c r="PFM41" s="222"/>
      <c r="PFN41" s="222"/>
      <c r="PFO41" s="222"/>
      <c r="PFP41" s="222"/>
      <c r="PFQ41" s="222"/>
      <c r="PFR41" s="222"/>
      <c r="PFS41" s="222"/>
      <c r="PFT41" s="222"/>
      <c r="PFU41" s="222"/>
      <c r="PFV41" s="222"/>
      <c r="PFW41" s="222"/>
      <c r="PFX41" s="222"/>
      <c r="PFY41" s="222"/>
      <c r="PFZ41" s="222"/>
      <c r="PGA41" s="222"/>
      <c r="PGB41" s="222"/>
      <c r="PGC41" s="222"/>
      <c r="PGD41" s="222"/>
      <c r="PGE41" s="222"/>
      <c r="PGF41" s="222"/>
      <c r="PGG41" s="222"/>
      <c r="PGH41" s="222"/>
      <c r="PGI41" s="222"/>
      <c r="PGJ41" s="222"/>
      <c r="PGK41" s="222"/>
      <c r="PGL41" s="222"/>
      <c r="PGM41" s="222"/>
      <c r="PGN41" s="222"/>
      <c r="PGO41" s="222"/>
      <c r="PGP41" s="222"/>
      <c r="PGQ41" s="222"/>
      <c r="PGR41" s="222"/>
      <c r="PGS41" s="222"/>
      <c r="PGT41" s="222"/>
      <c r="PGU41" s="222"/>
      <c r="PGV41" s="222"/>
      <c r="PGW41" s="222"/>
      <c r="PGX41" s="222"/>
      <c r="PGY41" s="222"/>
      <c r="PGZ41" s="222"/>
      <c r="PHA41" s="222"/>
      <c r="PHB41" s="222"/>
      <c r="PHC41" s="222"/>
      <c r="PHD41" s="222"/>
      <c r="PHE41" s="222"/>
      <c r="PHF41" s="222"/>
      <c r="PHG41" s="222"/>
      <c r="PHH41" s="222"/>
      <c r="PHI41" s="222"/>
      <c r="PHJ41" s="222"/>
      <c r="PHK41" s="222"/>
      <c r="PHL41" s="222"/>
      <c r="PHM41" s="222"/>
      <c r="PHN41" s="222"/>
      <c r="PHO41" s="222"/>
      <c r="PHP41" s="222"/>
      <c r="PHQ41" s="222"/>
      <c r="PHR41" s="222"/>
      <c r="PHS41" s="222"/>
      <c r="PHT41" s="222"/>
      <c r="PHU41" s="222"/>
      <c r="PHV41" s="222"/>
      <c r="PHW41" s="222"/>
      <c r="PHX41" s="222"/>
      <c r="PHY41" s="222"/>
      <c r="PHZ41" s="222"/>
      <c r="PIA41" s="222"/>
      <c r="PIB41" s="222"/>
      <c r="PIC41" s="222"/>
      <c r="PID41" s="222"/>
      <c r="PIE41" s="222"/>
      <c r="PIF41" s="222"/>
      <c r="PIG41" s="222"/>
      <c r="PIH41" s="222"/>
      <c r="PII41" s="222"/>
      <c r="PIJ41" s="222"/>
      <c r="PIK41" s="222"/>
      <c r="PIL41" s="222"/>
      <c r="PIM41" s="222"/>
      <c r="PIN41" s="222"/>
      <c r="PIO41" s="222"/>
      <c r="PIP41" s="222"/>
      <c r="PIQ41" s="222"/>
      <c r="PIR41" s="222"/>
      <c r="PIS41" s="222"/>
      <c r="PIT41" s="222"/>
      <c r="PIU41" s="222"/>
      <c r="PIV41" s="222"/>
      <c r="PIW41" s="222"/>
      <c r="PIX41" s="222"/>
      <c r="PIY41" s="222"/>
      <c r="PIZ41" s="222"/>
      <c r="PJA41" s="222"/>
      <c r="PJB41" s="222"/>
      <c r="PJC41" s="222"/>
      <c r="PJD41" s="222"/>
      <c r="PJE41" s="222"/>
      <c r="PJF41" s="222"/>
      <c r="PJG41" s="222"/>
      <c r="PJH41" s="222"/>
      <c r="PJI41" s="222"/>
      <c r="PJJ41" s="222"/>
      <c r="PJK41" s="222"/>
      <c r="PJL41" s="222"/>
      <c r="PJM41" s="222"/>
      <c r="PJN41" s="222"/>
      <c r="PJO41" s="222"/>
      <c r="PJP41" s="222"/>
      <c r="PJQ41" s="222"/>
      <c r="PJR41" s="222"/>
      <c r="PJS41" s="222"/>
      <c r="PJT41" s="222"/>
      <c r="PJU41" s="222"/>
      <c r="PJV41" s="222"/>
      <c r="PJW41" s="222"/>
      <c r="PJX41" s="222"/>
      <c r="PJY41" s="222"/>
      <c r="PJZ41" s="222"/>
      <c r="PKA41" s="222"/>
      <c r="PKB41" s="222"/>
      <c r="PKC41" s="222"/>
      <c r="PKD41" s="222"/>
      <c r="PKE41" s="222"/>
      <c r="PKF41" s="222"/>
      <c r="PKG41" s="222"/>
      <c r="PKH41" s="222"/>
      <c r="PKI41" s="222"/>
      <c r="PKJ41" s="222"/>
      <c r="PKK41" s="222"/>
      <c r="PKL41" s="222"/>
      <c r="PKM41" s="222"/>
      <c r="PKN41" s="222"/>
      <c r="PKO41" s="222"/>
      <c r="PKP41" s="222"/>
      <c r="PKQ41" s="222"/>
      <c r="PKR41" s="222"/>
      <c r="PKS41" s="222"/>
      <c r="PKT41" s="222"/>
      <c r="PKU41" s="222"/>
      <c r="PKV41" s="222"/>
      <c r="PKW41" s="222"/>
      <c r="PKX41" s="222"/>
      <c r="PKY41" s="222"/>
      <c r="PKZ41" s="222"/>
      <c r="PLA41" s="222"/>
      <c r="PLB41" s="222"/>
      <c r="PLC41" s="222"/>
      <c r="PLD41" s="222"/>
      <c r="PLE41" s="222"/>
      <c r="PLF41" s="222"/>
      <c r="PLG41" s="222"/>
      <c r="PLH41" s="222"/>
      <c r="PLI41" s="222"/>
      <c r="PLJ41" s="222"/>
      <c r="PLK41" s="222"/>
      <c r="PLL41" s="222"/>
      <c r="PLM41" s="222"/>
      <c r="PLN41" s="222"/>
      <c r="PLO41" s="222"/>
      <c r="PLP41" s="222"/>
      <c r="PLQ41" s="222"/>
      <c r="PLR41" s="222"/>
      <c r="PLS41" s="222"/>
      <c r="PLT41" s="222"/>
      <c r="PLU41" s="222"/>
      <c r="PLV41" s="222"/>
      <c r="PLW41" s="222"/>
      <c r="PLX41" s="222"/>
      <c r="PLY41" s="222"/>
      <c r="PLZ41" s="222"/>
      <c r="PMA41" s="222"/>
      <c r="PMB41" s="222"/>
      <c r="PMC41" s="222"/>
      <c r="PMD41" s="222"/>
      <c r="PME41" s="222"/>
      <c r="PMF41" s="222"/>
      <c r="PMG41" s="222"/>
      <c r="PMH41" s="222"/>
      <c r="PMI41" s="222"/>
      <c r="PMJ41" s="222"/>
      <c r="PMK41" s="222"/>
      <c r="PML41" s="222"/>
      <c r="PMM41" s="222"/>
      <c r="PMN41" s="222"/>
      <c r="PMO41" s="222"/>
      <c r="PMP41" s="222"/>
      <c r="PMQ41" s="222"/>
      <c r="PMR41" s="222"/>
      <c r="PMS41" s="222"/>
      <c r="PMT41" s="222"/>
      <c r="PMU41" s="222"/>
      <c r="PMV41" s="222"/>
      <c r="PMW41" s="222"/>
      <c r="PMX41" s="222"/>
      <c r="PMY41" s="222"/>
      <c r="PMZ41" s="222"/>
      <c r="PNA41" s="222"/>
      <c r="PNB41" s="222"/>
      <c r="PNC41" s="222"/>
      <c r="PND41" s="222"/>
      <c r="PNE41" s="222"/>
      <c r="PNF41" s="222"/>
      <c r="PNG41" s="222"/>
      <c r="PNH41" s="222"/>
      <c r="PNI41" s="222"/>
      <c r="PNJ41" s="222"/>
      <c r="PNK41" s="222"/>
      <c r="PNL41" s="222"/>
      <c r="PNM41" s="222"/>
      <c r="PNN41" s="222"/>
      <c r="PNO41" s="222"/>
      <c r="PNP41" s="222"/>
      <c r="PNQ41" s="222"/>
      <c r="PNR41" s="222"/>
      <c r="PNS41" s="222"/>
      <c r="PNT41" s="222"/>
      <c r="PNU41" s="222"/>
      <c r="PNV41" s="222"/>
      <c r="PNW41" s="222"/>
      <c r="PNX41" s="222"/>
      <c r="PNY41" s="222"/>
      <c r="PNZ41" s="222"/>
      <c r="POA41" s="222"/>
      <c r="POB41" s="222"/>
      <c r="POC41" s="222"/>
      <c r="POD41" s="222"/>
      <c r="POE41" s="222"/>
      <c r="POF41" s="222"/>
      <c r="POG41" s="222"/>
      <c r="POH41" s="222"/>
      <c r="POI41" s="222"/>
      <c r="POJ41" s="222"/>
      <c r="POK41" s="222"/>
      <c r="POL41" s="222"/>
      <c r="POM41" s="222"/>
      <c r="PON41" s="222"/>
      <c r="POO41" s="222"/>
      <c r="POP41" s="222"/>
      <c r="POQ41" s="222"/>
      <c r="POR41" s="222"/>
      <c r="POS41" s="222"/>
      <c r="POT41" s="222"/>
      <c r="POU41" s="222"/>
      <c r="POV41" s="222"/>
      <c r="POW41" s="222"/>
      <c r="POX41" s="222"/>
      <c r="POY41" s="222"/>
      <c r="POZ41" s="222"/>
      <c r="PPA41" s="222"/>
      <c r="PPB41" s="222"/>
      <c r="PPC41" s="222"/>
      <c r="PPD41" s="222"/>
      <c r="PPE41" s="222"/>
      <c r="PPF41" s="222"/>
      <c r="PPG41" s="222"/>
      <c r="PPH41" s="222"/>
      <c r="PPI41" s="222"/>
      <c r="PPJ41" s="222"/>
      <c r="PPK41" s="222"/>
      <c r="PPL41" s="222"/>
      <c r="PPM41" s="222"/>
      <c r="PPN41" s="222"/>
      <c r="PPO41" s="222"/>
      <c r="PPP41" s="222"/>
      <c r="PPQ41" s="222"/>
      <c r="PPR41" s="222"/>
      <c r="PPS41" s="222"/>
      <c r="PPT41" s="222"/>
      <c r="PPU41" s="222"/>
      <c r="PPV41" s="222"/>
      <c r="PPW41" s="222"/>
      <c r="PPX41" s="222"/>
      <c r="PPY41" s="222"/>
      <c r="PPZ41" s="222"/>
      <c r="PQA41" s="222"/>
      <c r="PQB41" s="222"/>
      <c r="PQC41" s="222"/>
      <c r="PQD41" s="222"/>
      <c r="PQE41" s="222"/>
      <c r="PQF41" s="222"/>
      <c r="PQG41" s="222"/>
      <c r="PQH41" s="222"/>
      <c r="PQI41" s="222"/>
      <c r="PQJ41" s="222"/>
      <c r="PQK41" s="222"/>
      <c r="PQL41" s="222"/>
      <c r="PQM41" s="222"/>
      <c r="PQN41" s="222"/>
      <c r="PQO41" s="222"/>
      <c r="PQP41" s="222"/>
      <c r="PQQ41" s="222"/>
      <c r="PQR41" s="222"/>
      <c r="PQS41" s="222"/>
      <c r="PQT41" s="222"/>
      <c r="PQU41" s="222"/>
      <c r="PQV41" s="222"/>
      <c r="PQW41" s="222"/>
      <c r="PQX41" s="222"/>
      <c r="PQY41" s="222"/>
      <c r="PQZ41" s="222"/>
      <c r="PRA41" s="222"/>
      <c r="PRB41" s="222"/>
      <c r="PRC41" s="222"/>
      <c r="PRD41" s="222"/>
      <c r="PRE41" s="222"/>
      <c r="PRF41" s="222"/>
      <c r="PRG41" s="222"/>
      <c r="PRH41" s="222"/>
      <c r="PRI41" s="222"/>
      <c r="PRJ41" s="222"/>
      <c r="PRK41" s="222"/>
      <c r="PRL41" s="222"/>
      <c r="PRM41" s="222"/>
      <c r="PRN41" s="222"/>
      <c r="PRO41" s="222"/>
      <c r="PRP41" s="222"/>
      <c r="PRQ41" s="222"/>
      <c r="PRR41" s="222"/>
      <c r="PRS41" s="222"/>
      <c r="PRT41" s="222"/>
      <c r="PRU41" s="222"/>
      <c r="PRV41" s="222"/>
      <c r="PRW41" s="222"/>
      <c r="PRX41" s="222"/>
      <c r="PRY41" s="222"/>
      <c r="PRZ41" s="222"/>
      <c r="PSA41" s="222"/>
      <c r="PSB41" s="222"/>
      <c r="PSC41" s="222"/>
      <c r="PSD41" s="222"/>
      <c r="PSE41" s="222"/>
      <c r="PSF41" s="222"/>
      <c r="PSG41" s="222"/>
      <c r="PSH41" s="222"/>
      <c r="PSI41" s="222"/>
      <c r="PSJ41" s="222"/>
      <c r="PSK41" s="222"/>
      <c r="PSL41" s="222"/>
      <c r="PSM41" s="222"/>
      <c r="PSN41" s="222"/>
      <c r="PSO41" s="222"/>
      <c r="PSP41" s="222"/>
      <c r="PSQ41" s="222"/>
      <c r="PSR41" s="222"/>
      <c r="PSS41" s="222"/>
      <c r="PST41" s="222"/>
      <c r="PSU41" s="222"/>
      <c r="PSV41" s="222"/>
      <c r="PSW41" s="222"/>
      <c r="PSX41" s="222"/>
      <c r="PSY41" s="222"/>
      <c r="PSZ41" s="222"/>
      <c r="PTA41" s="222"/>
      <c r="PTB41" s="222"/>
      <c r="PTC41" s="222"/>
      <c r="PTD41" s="222"/>
      <c r="PTE41" s="222"/>
      <c r="PTF41" s="222"/>
      <c r="PTG41" s="222"/>
      <c r="PTH41" s="222"/>
      <c r="PTI41" s="222"/>
      <c r="PTJ41" s="222"/>
      <c r="PTK41" s="222"/>
      <c r="PTL41" s="222"/>
      <c r="PTM41" s="222"/>
      <c r="PTN41" s="222"/>
      <c r="PTO41" s="222"/>
      <c r="PTP41" s="222"/>
      <c r="PTQ41" s="222"/>
      <c r="PTR41" s="222"/>
      <c r="PTS41" s="222"/>
      <c r="PTT41" s="222"/>
      <c r="PTU41" s="222"/>
      <c r="PTV41" s="222"/>
      <c r="PTW41" s="222"/>
      <c r="PTX41" s="222"/>
      <c r="PTY41" s="222"/>
      <c r="PTZ41" s="222"/>
      <c r="PUA41" s="222"/>
      <c r="PUB41" s="222"/>
      <c r="PUC41" s="222"/>
      <c r="PUD41" s="222"/>
      <c r="PUE41" s="222"/>
      <c r="PUF41" s="222"/>
      <c r="PUG41" s="222"/>
      <c r="PUH41" s="222"/>
      <c r="PUI41" s="222"/>
      <c r="PUJ41" s="222"/>
      <c r="PUK41" s="222"/>
      <c r="PUL41" s="222"/>
      <c r="PUM41" s="222"/>
      <c r="PUN41" s="222"/>
      <c r="PUO41" s="222"/>
      <c r="PUP41" s="222"/>
      <c r="PUQ41" s="222"/>
      <c r="PUR41" s="222"/>
      <c r="PUS41" s="222"/>
      <c r="PUT41" s="222"/>
      <c r="PUU41" s="222"/>
      <c r="PUV41" s="222"/>
      <c r="PUW41" s="222"/>
      <c r="PUX41" s="222"/>
      <c r="PUY41" s="222"/>
      <c r="PUZ41" s="222"/>
      <c r="PVA41" s="222"/>
      <c r="PVB41" s="222"/>
      <c r="PVC41" s="222"/>
      <c r="PVD41" s="222"/>
      <c r="PVE41" s="222"/>
      <c r="PVF41" s="222"/>
      <c r="PVG41" s="222"/>
      <c r="PVH41" s="222"/>
      <c r="PVI41" s="222"/>
      <c r="PVJ41" s="222"/>
      <c r="PVK41" s="222"/>
      <c r="PVL41" s="222"/>
      <c r="PVM41" s="222"/>
      <c r="PVN41" s="222"/>
      <c r="PVO41" s="222"/>
      <c r="PVP41" s="222"/>
      <c r="PVQ41" s="222"/>
      <c r="PVR41" s="222"/>
      <c r="PVS41" s="222"/>
      <c r="PVT41" s="222"/>
      <c r="PVU41" s="222"/>
      <c r="PVV41" s="222"/>
      <c r="PVW41" s="222"/>
      <c r="PVX41" s="222"/>
      <c r="PVY41" s="222"/>
      <c r="PVZ41" s="222"/>
      <c r="PWA41" s="222"/>
      <c r="PWB41" s="222"/>
      <c r="PWC41" s="222"/>
      <c r="PWD41" s="222"/>
      <c r="PWE41" s="222"/>
      <c r="PWF41" s="222"/>
      <c r="PWG41" s="222"/>
      <c r="PWH41" s="222"/>
      <c r="PWI41" s="222"/>
      <c r="PWJ41" s="222"/>
      <c r="PWK41" s="222"/>
      <c r="PWL41" s="222"/>
      <c r="PWM41" s="222"/>
      <c r="PWN41" s="222"/>
      <c r="PWO41" s="222"/>
      <c r="PWP41" s="222"/>
      <c r="PWQ41" s="222"/>
      <c r="PWR41" s="222"/>
      <c r="PWS41" s="222"/>
      <c r="PWT41" s="222"/>
      <c r="PWU41" s="222"/>
      <c r="PWV41" s="222"/>
      <c r="PWW41" s="222"/>
      <c r="PWX41" s="222"/>
      <c r="PWY41" s="222"/>
      <c r="PWZ41" s="222"/>
      <c r="PXA41" s="222"/>
      <c r="PXB41" s="222"/>
      <c r="PXC41" s="222"/>
      <c r="PXD41" s="222"/>
      <c r="PXE41" s="222"/>
      <c r="PXF41" s="222"/>
      <c r="PXG41" s="222"/>
      <c r="PXH41" s="222"/>
      <c r="PXI41" s="222"/>
      <c r="PXJ41" s="222"/>
      <c r="PXK41" s="222"/>
      <c r="PXL41" s="222"/>
      <c r="PXM41" s="222"/>
      <c r="PXN41" s="222"/>
      <c r="PXO41" s="222"/>
      <c r="PXP41" s="222"/>
      <c r="PXQ41" s="222"/>
      <c r="PXR41" s="222"/>
      <c r="PXS41" s="222"/>
      <c r="PXT41" s="222"/>
      <c r="PXU41" s="222"/>
      <c r="PXV41" s="222"/>
      <c r="PXW41" s="222"/>
      <c r="PXX41" s="222"/>
      <c r="PXY41" s="222"/>
      <c r="PXZ41" s="222"/>
      <c r="PYA41" s="222"/>
      <c r="PYB41" s="222"/>
      <c r="PYC41" s="222"/>
      <c r="PYD41" s="222"/>
      <c r="PYE41" s="222"/>
      <c r="PYF41" s="222"/>
      <c r="PYG41" s="222"/>
      <c r="PYH41" s="222"/>
      <c r="PYI41" s="222"/>
      <c r="PYJ41" s="222"/>
      <c r="PYK41" s="222"/>
      <c r="PYL41" s="222"/>
      <c r="PYM41" s="222"/>
      <c r="PYN41" s="222"/>
      <c r="PYO41" s="222"/>
      <c r="PYP41" s="222"/>
      <c r="PYQ41" s="222"/>
      <c r="PYR41" s="222"/>
      <c r="PYS41" s="222"/>
      <c r="PYT41" s="222"/>
      <c r="PYU41" s="222"/>
      <c r="PYV41" s="222"/>
      <c r="PYW41" s="222"/>
      <c r="PYX41" s="222"/>
      <c r="PYY41" s="222"/>
      <c r="PYZ41" s="222"/>
      <c r="PZA41" s="222"/>
      <c r="PZB41" s="222"/>
      <c r="PZC41" s="222"/>
      <c r="PZD41" s="222"/>
      <c r="PZE41" s="222"/>
      <c r="PZF41" s="222"/>
      <c r="PZG41" s="222"/>
      <c r="PZH41" s="222"/>
      <c r="PZI41" s="222"/>
      <c r="PZJ41" s="222"/>
      <c r="PZK41" s="222"/>
      <c r="PZL41" s="222"/>
      <c r="PZM41" s="222"/>
      <c r="PZN41" s="222"/>
      <c r="PZO41" s="222"/>
      <c r="PZP41" s="222"/>
      <c r="PZQ41" s="222"/>
      <c r="PZR41" s="222"/>
      <c r="PZS41" s="222"/>
      <c r="PZT41" s="222"/>
      <c r="PZU41" s="222"/>
      <c r="PZV41" s="222"/>
      <c r="PZW41" s="222"/>
      <c r="PZX41" s="222"/>
      <c r="PZY41" s="222"/>
      <c r="PZZ41" s="222"/>
      <c r="QAA41" s="222"/>
      <c r="QAB41" s="222"/>
      <c r="QAC41" s="222"/>
      <c r="QAD41" s="222"/>
      <c r="QAE41" s="222"/>
      <c r="QAF41" s="222"/>
      <c r="QAG41" s="222"/>
      <c r="QAH41" s="222"/>
      <c r="QAI41" s="222"/>
      <c r="QAJ41" s="222"/>
      <c r="QAK41" s="222"/>
      <c r="QAL41" s="222"/>
      <c r="QAM41" s="222"/>
      <c r="QAN41" s="222"/>
      <c r="QAO41" s="222"/>
      <c r="QAP41" s="222"/>
      <c r="QAQ41" s="222"/>
      <c r="QAR41" s="222"/>
      <c r="QAS41" s="222"/>
      <c r="QAT41" s="222"/>
      <c r="QAU41" s="222"/>
      <c r="QAV41" s="222"/>
      <c r="QAW41" s="222"/>
      <c r="QAX41" s="222"/>
      <c r="QAY41" s="222"/>
      <c r="QAZ41" s="222"/>
      <c r="QBA41" s="222"/>
      <c r="QBB41" s="222"/>
      <c r="QBC41" s="222"/>
      <c r="QBD41" s="222"/>
      <c r="QBE41" s="222"/>
      <c r="QBF41" s="222"/>
      <c r="QBG41" s="222"/>
      <c r="QBH41" s="222"/>
      <c r="QBI41" s="222"/>
      <c r="QBJ41" s="222"/>
      <c r="QBK41" s="222"/>
      <c r="QBL41" s="222"/>
      <c r="QBM41" s="222"/>
      <c r="QBN41" s="222"/>
      <c r="QBO41" s="222"/>
      <c r="QBP41" s="222"/>
      <c r="QBQ41" s="222"/>
      <c r="QBR41" s="222"/>
      <c r="QBS41" s="222"/>
      <c r="QBT41" s="222"/>
      <c r="QBU41" s="222"/>
      <c r="QBV41" s="222"/>
      <c r="QBW41" s="222"/>
      <c r="QBX41" s="222"/>
      <c r="QBY41" s="222"/>
      <c r="QBZ41" s="222"/>
      <c r="QCA41" s="222"/>
      <c r="QCB41" s="222"/>
      <c r="QCC41" s="222"/>
      <c r="QCD41" s="222"/>
      <c r="QCE41" s="222"/>
      <c r="QCF41" s="222"/>
      <c r="QCG41" s="222"/>
      <c r="QCH41" s="222"/>
      <c r="QCI41" s="222"/>
      <c r="QCJ41" s="222"/>
      <c r="QCK41" s="222"/>
      <c r="QCL41" s="222"/>
      <c r="QCM41" s="222"/>
      <c r="QCN41" s="222"/>
      <c r="QCO41" s="222"/>
      <c r="QCP41" s="222"/>
      <c r="QCQ41" s="222"/>
      <c r="QCR41" s="222"/>
      <c r="QCS41" s="222"/>
      <c r="QCT41" s="222"/>
      <c r="QCU41" s="222"/>
      <c r="QCV41" s="222"/>
      <c r="QCW41" s="222"/>
      <c r="QCX41" s="222"/>
      <c r="QCY41" s="222"/>
      <c r="QCZ41" s="222"/>
      <c r="QDA41" s="222"/>
      <c r="QDB41" s="222"/>
      <c r="QDC41" s="222"/>
      <c r="QDD41" s="222"/>
      <c r="QDE41" s="222"/>
      <c r="QDF41" s="222"/>
      <c r="QDG41" s="222"/>
      <c r="QDH41" s="222"/>
      <c r="QDI41" s="222"/>
      <c r="QDJ41" s="222"/>
      <c r="QDK41" s="222"/>
      <c r="QDL41" s="222"/>
      <c r="QDM41" s="222"/>
      <c r="QDN41" s="222"/>
      <c r="QDO41" s="222"/>
      <c r="QDP41" s="222"/>
      <c r="QDQ41" s="222"/>
      <c r="QDR41" s="222"/>
      <c r="QDS41" s="222"/>
      <c r="QDT41" s="222"/>
      <c r="QDU41" s="222"/>
      <c r="QDV41" s="222"/>
      <c r="QDW41" s="222"/>
      <c r="QDX41" s="222"/>
      <c r="QDY41" s="222"/>
      <c r="QDZ41" s="222"/>
      <c r="QEA41" s="222"/>
      <c r="QEB41" s="222"/>
      <c r="QEC41" s="222"/>
      <c r="QED41" s="222"/>
      <c r="QEE41" s="222"/>
      <c r="QEF41" s="222"/>
      <c r="QEG41" s="222"/>
      <c r="QEH41" s="222"/>
      <c r="QEI41" s="222"/>
      <c r="QEJ41" s="222"/>
      <c r="QEK41" s="222"/>
      <c r="QEL41" s="222"/>
      <c r="QEM41" s="222"/>
      <c r="QEN41" s="222"/>
      <c r="QEO41" s="222"/>
      <c r="QEP41" s="222"/>
      <c r="QEQ41" s="222"/>
      <c r="QER41" s="222"/>
      <c r="QES41" s="222"/>
      <c r="QET41" s="222"/>
      <c r="QEU41" s="222"/>
      <c r="QEV41" s="222"/>
      <c r="QEW41" s="222"/>
      <c r="QEX41" s="222"/>
      <c r="QEY41" s="222"/>
      <c r="QEZ41" s="222"/>
      <c r="QFA41" s="222"/>
      <c r="QFB41" s="222"/>
      <c r="QFC41" s="222"/>
      <c r="QFD41" s="222"/>
      <c r="QFE41" s="222"/>
      <c r="QFF41" s="222"/>
      <c r="QFG41" s="222"/>
      <c r="QFH41" s="222"/>
      <c r="QFI41" s="222"/>
      <c r="QFJ41" s="222"/>
      <c r="QFK41" s="222"/>
      <c r="QFL41" s="222"/>
      <c r="QFM41" s="222"/>
      <c r="QFN41" s="222"/>
      <c r="QFO41" s="222"/>
      <c r="QFP41" s="222"/>
      <c r="QFQ41" s="222"/>
      <c r="QFR41" s="222"/>
      <c r="QFS41" s="222"/>
      <c r="QFT41" s="222"/>
      <c r="QFU41" s="222"/>
      <c r="QFV41" s="222"/>
      <c r="QFW41" s="222"/>
      <c r="QFX41" s="222"/>
      <c r="QFY41" s="222"/>
      <c r="QFZ41" s="222"/>
      <c r="QGA41" s="222"/>
      <c r="QGB41" s="222"/>
      <c r="QGC41" s="222"/>
      <c r="QGD41" s="222"/>
      <c r="QGE41" s="222"/>
      <c r="QGF41" s="222"/>
      <c r="QGG41" s="222"/>
      <c r="QGH41" s="222"/>
      <c r="QGI41" s="222"/>
      <c r="QGJ41" s="222"/>
      <c r="QGK41" s="222"/>
      <c r="QGL41" s="222"/>
      <c r="QGM41" s="222"/>
      <c r="QGN41" s="222"/>
      <c r="QGO41" s="222"/>
      <c r="QGP41" s="222"/>
      <c r="QGQ41" s="222"/>
      <c r="QGR41" s="222"/>
      <c r="QGS41" s="222"/>
      <c r="QGT41" s="222"/>
      <c r="QGU41" s="222"/>
      <c r="QGV41" s="222"/>
      <c r="QGW41" s="222"/>
      <c r="QGX41" s="222"/>
      <c r="QGY41" s="222"/>
      <c r="QGZ41" s="222"/>
      <c r="QHA41" s="222"/>
      <c r="QHB41" s="222"/>
      <c r="QHC41" s="222"/>
      <c r="QHD41" s="222"/>
      <c r="QHE41" s="222"/>
      <c r="QHF41" s="222"/>
      <c r="QHG41" s="222"/>
      <c r="QHH41" s="222"/>
      <c r="QHI41" s="222"/>
      <c r="QHJ41" s="222"/>
      <c r="QHK41" s="222"/>
      <c r="QHL41" s="222"/>
      <c r="QHM41" s="222"/>
      <c r="QHN41" s="222"/>
      <c r="QHO41" s="222"/>
      <c r="QHP41" s="222"/>
      <c r="QHQ41" s="222"/>
      <c r="QHR41" s="222"/>
      <c r="QHS41" s="222"/>
      <c r="QHT41" s="222"/>
      <c r="QHU41" s="222"/>
      <c r="QHV41" s="222"/>
      <c r="QHW41" s="222"/>
      <c r="QHX41" s="222"/>
      <c r="QHY41" s="222"/>
      <c r="QHZ41" s="222"/>
      <c r="QIA41" s="222"/>
      <c r="QIB41" s="222"/>
      <c r="QIC41" s="222"/>
      <c r="QID41" s="222"/>
      <c r="QIE41" s="222"/>
      <c r="QIF41" s="222"/>
      <c r="QIG41" s="222"/>
      <c r="QIH41" s="222"/>
      <c r="QII41" s="222"/>
      <c r="QIJ41" s="222"/>
      <c r="QIK41" s="222"/>
      <c r="QIL41" s="222"/>
      <c r="QIM41" s="222"/>
      <c r="QIN41" s="222"/>
      <c r="QIO41" s="222"/>
      <c r="QIP41" s="222"/>
      <c r="QIQ41" s="222"/>
      <c r="QIR41" s="222"/>
      <c r="QIS41" s="222"/>
      <c r="QIT41" s="222"/>
      <c r="QIU41" s="222"/>
      <c r="QIV41" s="222"/>
      <c r="QIW41" s="222"/>
      <c r="QIX41" s="222"/>
      <c r="QIY41" s="222"/>
      <c r="QIZ41" s="222"/>
      <c r="QJA41" s="222"/>
      <c r="QJB41" s="222"/>
      <c r="QJC41" s="222"/>
      <c r="QJD41" s="222"/>
      <c r="QJE41" s="222"/>
      <c r="QJF41" s="222"/>
      <c r="QJG41" s="222"/>
      <c r="QJH41" s="222"/>
      <c r="QJI41" s="222"/>
      <c r="QJJ41" s="222"/>
      <c r="QJK41" s="222"/>
      <c r="QJL41" s="222"/>
      <c r="QJM41" s="222"/>
      <c r="QJN41" s="222"/>
      <c r="QJO41" s="222"/>
      <c r="QJP41" s="222"/>
      <c r="QJQ41" s="222"/>
      <c r="QJR41" s="222"/>
      <c r="QJS41" s="222"/>
      <c r="QJT41" s="222"/>
      <c r="QJU41" s="222"/>
      <c r="QJV41" s="222"/>
      <c r="QJW41" s="222"/>
      <c r="QJX41" s="222"/>
      <c r="QJY41" s="222"/>
      <c r="QJZ41" s="222"/>
      <c r="QKA41" s="222"/>
      <c r="QKB41" s="222"/>
      <c r="QKC41" s="222"/>
      <c r="QKD41" s="222"/>
      <c r="QKE41" s="222"/>
      <c r="QKF41" s="222"/>
      <c r="QKG41" s="222"/>
      <c r="QKH41" s="222"/>
      <c r="QKI41" s="222"/>
      <c r="QKJ41" s="222"/>
      <c r="QKK41" s="222"/>
      <c r="QKL41" s="222"/>
      <c r="QKM41" s="222"/>
      <c r="QKN41" s="222"/>
      <c r="QKO41" s="222"/>
      <c r="QKP41" s="222"/>
      <c r="QKQ41" s="222"/>
      <c r="QKR41" s="222"/>
      <c r="QKS41" s="222"/>
      <c r="QKT41" s="222"/>
      <c r="QKU41" s="222"/>
      <c r="QKV41" s="222"/>
      <c r="QKW41" s="222"/>
      <c r="QKX41" s="222"/>
      <c r="QKY41" s="222"/>
      <c r="QKZ41" s="222"/>
      <c r="QLA41" s="222"/>
      <c r="QLB41" s="222"/>
      <c r="QLC41" s="222"/>
      <c r="QLD41" s="222"/>
      <c r="QLE41" s="222"/>
      <c r="QLF41" s="222"/>
      <c r="QLG41" s="222"/>
      <c r="QLH41" s="222"/>
      <c r="QLI41" s="222"/>
      <c r="QLJ41" s="222"/>
      <c r="QLK41" s="222"/>
      <c r="QLL41" s="222"/>
      <c r="QLM41" s="222"/>
      <c r="QLN41" s="222"/>
      <c r="QLO41" s="222"/>
      <c r="QLP41" s="222"/>
      <c r="QLQ41" s="222"/>
      <c r="QLR41" s="222"/>
      <c r="QLS41" s="222"/>
      <c r="QLT41" s="222"/>
      <c r="QLU41" s="222"/>
      <c r="QLV41" s="222"/>
      <c r="QLW41" s="222"/>
      <c r="QLX41" s="222"/>
      <c r="QLY41" s="222"/>
      <c r="QLZ41" s="222"/>
      <c r="QMA41" s="222"/>
      <c r="QMB41" s="222"/>
      <c r="QMC41" s="222"/>
      <c r="QMD41" s="222"/>
      <c r="QME41" s="222"/>
      <c r="QMF41" s="222"/>
      <c r="QMG41" s="222"/>
      <c r="QMH41" s="222"/>
      <c r="QMI41" s="222"/>
      <c r="QMJ41" s="222"/>
      <c r="QMK41" s="222"/>
      <c r="QML41" s="222"/>
      <c r="QMM41" s="222"/>
      <c r="QMN41" s="222"/>
      <c r="QMO41" s="222"/>
      <c r="QMP41" s="222"/>
      <c r="QMQ41" s="222"/>
      <c r="QMR41" s="222"/>
      <c r="QMS41" s="222"/>
      <c r="QMT41" s="222"/>
      <c r="QMU41" s="222"/>
      <c r="QMV41" s="222"/>
      <c r="QMW41" s="222"/>
      <c r="QMX41" s="222"/>
      <c r="QMY41" s="222"/>
      <c r="QMZ41" s="222"/>
      <c r="QNA41" s="222"/>
      <c r="QNB41" s="222"/>
      <c r="QNC41" s="222"/>
      <c r="QND41" s="222"/>
      <c r="QNE41" s="222"/>
      <c r="QNF41" s="222"/>
      <c r="QNG41" s="222"/>
      <c r="QNH41" s="222"/>
      <c r="QNI41" s="222"/>
      <c r="QNJ41" s="222"/>
      <c r="QNK41" s="222"/>
      <c r="QNL41" s="222"/>
      <c r="QNM41" s="222"/>
      <c r="QNN41" s="222"/>
      <c r="QNO41" s="222"/>
      <c r="QNP41" s="222"/>
      <c r="QNQ41" s="222"/>
      <c r="QNR41" s="222"/>
      <c r="QNS41" s="222"/>
      <c r="QNT41" s="222"/>
      <c r="QNU41" s="222"/>
      <c r="QNV41" s="222"/>
      <c r="QNW41" s="222"/>
      <c r="QNX41" s="222"/>
      <c r="QNY41" s="222"/>
      <c r="QNZ41" s="222"/>
      <c r="QOA41" s="222"/>
      <c r="QOB41" s="222"/>
      <c r="QOC41" s="222"/>
      <c r="QOD41" s="222"/>
      <c r="QOE41" s="222"/>
      <c r="QOF41" s="222"/>
      <c r="QOG41" s="222"/>
      <c r="QOH41" s="222"/>
      <c r="QOI41" s="222"/>
      <c r="QOJ41" s="222"/>
      <c r="QOK41" s="222"/>
      <c r="QOL41" s="222"/>
      <c r="QOM41" s="222"/>
      <c r="QON41" s="222"/>
      <c r="QOO41" s="222"/>
      <c r="QOP41" s="222"/>
      <c r="QOQ41" s="222"/>
      <c r="QOR41" s="222"/>
      <c r="QOS41" s="222"/>
      <c r="QOT41" s="222"/>
      <c r="QOU41" s="222"/>
      <c r="QOV41" s="222"/>
      <c r="QOW41" s="222"/>
      <c r="QOX41" s="222"/>
      <c r="QOY41" s="222"/>
      <c r="QOZ41" s="222"/>
      <c r="QPA41" s="222"/>
      <c r="QPB41" s="222"/>
      <c r="QPC41" s="222"/>
      <c r="QPD41" s="222"/>
      <c r="QPE41" s="222"/>
      <c r="QPF41" s="222"/>
      <c r="QPG41" s="222"/>
      <c r="QPH41" s="222"/>
      <c r="QPI41" s="222"/>
      <c r="QPJ41" s="222"/>
      <c r="QPK41" s="222"/>
      <c r="QPL41" s="222"/>
      <c r="QPM41" s="222"/>
      <c r="QPN41" s="222"/>
      <c r="QPO41" s="222"/>
      <c r="QPP41" s="222"/>
      <c r="QPQ41" s="222"/>
      <c r="QPR41" s="222"/>
      <c r="QPS41" s="222"/>
      <c r="QPT41" s="222"/>
      <c r="QPU41" s="222"/>
      <c r="QPV41" s="222"/>
      <c r="QPW41" s="222"/>
      <c r="QPX41" s="222"/>
      <c r="QPY41" s="222"/>
      <c r="QPZ41" s="222"/>
      <c r="QQA41" s="222"/>
      <c r="QQB41" s="222"/>
      <c r="QQC41" s="222"/>
      <c r="QQD41" s="222"/>
      <c r="QQE41" s="222"/>
      <c r="QQF41" s="222"/>
      <c r="QQG41" s="222"/>
      <c r="QQH41" s="222"/>
      <c r="QQI41" s="222"/>
      <c r="QQJ41" s="222"/>
      <c r="QQK41" s="222"/>
      <c r="QQL41" s="222"/>
      <c r="QQM41" s="222"/>
      <c r="QQN41" s="222"/>
      <c r="QQO41" s="222"/>
      <c r="QQP41" s="222"/>
      <c r="QQQ41" s="222"/>
      <c r="QQR41" s="222"/>
      <c r="QQS41" s="222"/>
      <c r="QQT41" s="222"/>
      <c r="QQU41" s="222"/>
      <c r="QQV41" s="222"/>
      <c r="QQW41" s="222"/>
      <c r="QQX41" s="222"/>
      <c r="QQY41" s="222"/>
      <c r="QQZ41" s="222"/>
      <c r="QRA41" s="222"/>
      <c r="QRB41" s="222"/>
      <c r="QRC41" s="222"/>
      <c r="QRD41" s="222"/>
      <c r="QRE41" s="222"/>
      <c r="QRF41" s="222"/>
      <c r="QRG41" s="222"/>
      <c r="QRH41" s="222"/>
      <c r="QRI41" s="222"/>
      <c r="QRJ41" s="222"/>
      <c r="QRK41" s="222"/>
      <c r="QRL41" s="222"/>
      <c r="QRM41" s="222"/>
      <c r="QRN41" s="222"/>
      <c r="QRO41" s="222"/>
      <c r="QRP41" s="222"/>
      <c r="QRQ41" s="222"/>
      <c r="QRR41" s="222"/>
      <c r="QRS41" s="222"/>
      <c r="QRT41" s="222"/>
      <c r="QRU41" s="222"/>
      <c r="QRV41" s="222"/>
      <c r="QRW41" s="222"/>
      <c r="QRX41" s="222"/>
      <c r="QRY41" s="222"/>
      <c r="QRZ41" s="222"/>
      <c r="QSA41" s="222"/>
      <c r="QSB41" s="222"/>
      <c r="QSC41" s="222"/>
      <c r="QSD41" s="222"/>
      <c r="QSE41" s="222"/>
      <c r="QSF41" s="222"/>
      <c r="QSG41" s="222"/>
      <c r="QSH41" s="222"/>
      <c r="QSI41" s="222"/>
      <c r="QSJ41" s="222"/>
      <c r="QSK41" s="222"/>
      <c r="QSL41" s="222"/>
      <c r="QSM41" s="222"/>
      <c r="QSN41" s="222"/>
      <c r="QSO41" s="222"/>
      <c r="QSP41" s="222"/>
      <c r="QSQ41" s="222"/>
      <c r="QSR41" s="222"/>
      <c r="QSS41" s="222"/>
      <c r="QST41" s="222"/>
      <c r="QSU41" s="222"/>
      <c r="QSV41" s="222"/>
      <c r="QSW41" s="222"/>
      <c r="QSX41" s="222"/>
      <c r="QSY41" s="222"/>
      <c r="QSZ41" s="222"/>
      <c r="QTA41" s="222"/>
      <c r="QTB41" s="222"/>
      <c r="QTC41" s="222"/>
      <c r="QTD41" s="222"/>
      <c r="QTE41" s="222"/>
      <c r="QTF41" s="222"/>
      <c r="QTG41" s="222"/>
      <c r="QTH41" s="222"/>
      <c r="QTI41" s="222"/>
      <c r="QTJ41" s="222"/>
      <c r="QTK41" s="222"/>
      <c r="QTL41" s="222"/>
      <c r="QTM41" s="222"/>
      <c r="QTN41" s="222"/>
      <c r="QTO41" s="222"/>
      <c r="QTP41" s="222"/>
      <c r="QTQ41" s="222"/>
      <c r="QTR41" s="222"/>
      <c r="QTS41" s="222"/>
      <c r="QTT41" s="222"/>
      <c r="QTU41" s="222"/>
      <c r="QTV41" s="222"/>
      <c r="QTW41" s="222"/>
      <c r="QTX41" s="222"/>
      <c r="QTY41" s="222"/>
      <c r="QTZ41" s="222"/>
      <c r="QUA41" s="222"/>
      <c r="QUB41" s="222"/>
      <c r="QUC41" s="222"/>
      <c r="QUD41" s="222"/>
      <c r="QUE41" s="222"/>
      <c r="QUF41" s="222"/>
      <c r="QUG41" s="222"/>
      <c r="QUH41" s="222"/>
      <c r="QUI41" s="222"/>
      <c r="QUJ41" s="222"/>
      <c r="QUK41" s="222"/>
      <c r="QUL41" s="222"/>
      <c r="QUM41" s="222"/>
      <c r="QUN41" s="222"/>
      <c r="QUO41" s="222"/>
      <c r="QUP41" s="222"/>
      <c r="QUQ41" s="222"/>
      <c r="QUR41" s="222"/>
      <c r="QUS41" s="222"/>
      <c r="QUT41" s="222"/>
      <c r="QUU41" s="222"/>
      <c r="QUV41" s="222"/>
      <c r="QUW41" s="222"/>
      <c r="QUX41" s="222"/>
      <c r="QUY41" s="222"/>
      <c r="QUZ41" s="222"/>
      <c r="QVA41" s="222"/>
      <c r="QVB41" s="222"/>
      <c r="QVC41" s="222"/>
      <c r="QVD41" s="222"/>
      <c r="QVE41" s="222"/>
      <c r="QVF41" s="222"/>
      <c r="QVG41" s="222"/>
      <c r="QVH41" s="222"/>
      <c r="QVI41" s="222"/>
      <c r="QVJ41" s="222"/>
      <c r="QVK41" s="222"/>
      <c r="QVL41" s="222"/>
      <c r="QVM41" s="222"/>
      <c r="QVN41" s="222"/>
      <c r="QVO41" s="222"/>
      <c r="QVP41" s="222"/>
      <c r="QVQ41" s="222"/>
      <c r="QVR41" s="222"/>
      <c r="QVS41" s="222"/>
      <c r="QVT41" s="222"/>
      <c r="QVU41" s="222"/>
      <c r="QVV41" s="222"/>
      <c r="QVW41" s="222"/>
      <c r="QVX41" s="222"/>
      <c r="QVY41" s="222"/>
      <c r="QVZ41" s="222"/>
      <c r="QWA41" s="222"/>
      <c r="QWB41" s="222"/>
      <c r="QWC41" s="222"/>
      <c r="QWD41" s="222"/>
      <c r="QWE41" s="222"/>
      <c r="QWF41" s="222"/>
      <c r="QWG41" s="222"/>
      <c r="QWH41" s="222"/>
      <c r="QWI41" s="222"/>
      <c r="QWJ41" s="222"/>
      <c r="QWK41" s="222"/>
      <c r="QWL41" s="222"/>
      <c r="QWM41" s="222"/>
      <c r="QWN41" s="222"/>
      <c r="QWO41" s="222"/>
      <c r="QWP41" s="222"/>
      <c r="QWQ41" s="222"/>
      <c r="QWR41" s="222"/>
      <c r="QWS41" s="222"/>
      <c r="QWT41" s="222"/>
      <c r="QWU41" s="222"/>
      <c r="QWV41" s="222"/>
      <c r="QWW41" s="222"/>
      <c r="QWX41" s="222"/>
      <c r="QWY41" s="222"/>
      <c r="QWZ41" s="222"/>
      <c r="QXA41" s="222"/>
      <c r="QXB41" s="222"/>
      <c r="QXC41" s="222"/>
      <c r="QXD41" s="222"/>
      <c r="QXE41" s="222"/>
      <c r="QXF41" s="222"/>
      <c r="QXG41" s="222"/>
      <c r="QXH41" s="222"/>
      <c r="QXI41" s="222"/>
      <c r="QXJ41" s="222"/>
      <c r="QXK41" s="222"/>
      <c r="QXL41" s="222"/>
      <c r="QXM41" s="222"/>
      <c r="QXN41" s="222"/>
      <c r="QXO41" s="222"/>
      <c r="QXP41" s="222"/>
      <c r="QXQ41" s="222"/>
      <c r="QXR41" s="222"/>
      <c r="QXS41" s="222"/>
      <c r="QXT41" s="222"/>
      <c r="QXU41" s="222"/>
      <c r="QXV41" s="222"/>
      <c r="QXW41" s="222"/>
      <c r="QXX41" s="222"/>
      <c r="QXY41" s="222"/>
      <c r="QXZ41" s="222"/>
      <c r="QYA41" s="222"/>
      <c r="QYB41" s="222"/>
      <c r="QYC41" s="222"/>
      <c r="QYD41" s="222"/>
      <c r="QYE41" s="222"/>
      <c r="QYF41" s="222"/>
      <c r="QYG41" s="222"/>
      <c r="QYH41" s="222"/>
      <c r="QYI41" s="222"/>
      <c r="QYJ41" s="222"/>
      <c r="QYK41" s="222"/>
      <c r="QYL41" s="222"/>
      <c r="QYM41" s="222"/>
      <c r="QYN41" s="222"/>
      <c r="QYO41" s="222"/>
      <c r="QYP41" s="222"/>
      <c r="QYQ41" s="222"/>
      <c r="QYR41" s="222"/>
      <c r="QYS41" s="222"/>
      <c r="QYT41" s="222"/>
      <c r="QYU41" s="222"/>
      <c r="QYV41" s="222"/>
      <c r="QYW41" s="222"/>
      <c r="QYX41" s="222"/>
      <c r="QYY41" s="222"/>
      <c r="QYZ41" s="222"/>
      <c r="QZA41" s="222"/>
      <c r="QZB41" s="222"/>
      <c r="QZC41" s="222"/>
      <c r="QZD41" s="222"/>
      <c r="QZE41" s="222"/>
      <c r="QZF41" s="222"/>
      <c r="QZG41" s="222"/>
      <c r="QZH41" s="222"/>
      <c r="QZI41" s="222"/>
      <c r="QZJ41" s="222"/>
      <c r="QZK41" s="222"/>
      <c r="QZL41" s="222"/>
      <c r="QZM41" s="222"/>
      <c r="QZN41" s="222"/>
      <c r="QZO41" s="222"/>
      <c r="QZP41" s="222"/>
      <c r="QZQ41" s="222"/>
      <c r="QZR41" s="222"/>
      <c r="QZS41" s="222"/>
      <c r="QZT41" s="222"/>
      <c r="QZU41" s="222"/>
      <c r="QZV41" s="222"/>
      <c r="QZW41" s="222"/>
      <c r="QZX41" s="222"/>
      <c r="QZY41" s="222"/>
      <c r="QZZ41" s="222"/>
      <c r="RAA41" s="222"/>
      <c r="RAB41" s="222"/>
      <c r="RAC41" s="222"/>
      <c r="RAD41" s="222"/>
      <c r="RAE41" s="222"/>
      <c r="RAF41" s="222"/>
      <c r="RAG41" s="222"/>
      <c r="RAH41" s="222"/>
      <c r="RAI41" s="222"/>
      <c r="RAJ41" s="222"/>
      <c r="RAK41" s="222"/>
      <c r="RAL41" s="222"/>
      <c r="RAM41" s="222"/>
      <c r="RAN41" s="222"/>
      <c r="RAO41" s="222"/>
      <c r="RAP41" s="222"/>
      <c r="RAQ41" s="222"/>
      <c r="RAR41" s="222"/>
      <c r="RAS41" s="222"/>
      <c r="RAT41" s="222"/>
      <c r="RAU41" s="222"/>
      <c r="RAV41" s="222"/>
      <c r="RAW41" s="222"/>
      <c r="RAX41" s="222"/>
      <c r="RAY41" s="222"/>
      <c r="RAZ41" s="222"/>
      <c r="RBA41" s="222"/>
      <c r="RBB41" s="222"/>
      <c r="RBC41" s="222"/>
      <c r="RBD41" s="222"/>
      <c r="RBE41" s="222"/>
      <c r="RBF41" s="222"/>
      <c r="RBG41" s="222"/>
      <c r="RBH41" s="222"/>
      <c r="RBI41" s="222"/>
      <c r="RBJ41" s="222"/>
      <c r="RBK41" s="222"/>
      <c r="RBL41" s="222"/>
      <c r="RBM41" s="222"/>
      <c r="RBN41" s="222"/>
      <c r="RBO41" s="222"/>
      <c r="RBP41" s="222"/>
      <c r="RBQ41" s="222"/>
      <c r="RBR41" s="222"/>
      <c r="RBS41" s="222"/>
      <c r="RBT41" s="222"/>
      <c r="RBU41" s="222"/>
      <c r="RBV41" s="222"/>
      <c r="RBW41" s="222"/>
      <c r="RBX41" s="222"/>
      <c r="RBY41" s="222"/>
      <c r="RBZ41" s="222"/>
      <c r="RCA41" s="222"/>
      <c r="RCB41" s="222"/>
      <c r="RCC41" s="222"/>
      <c r="RCD41" s="222"/>
      <c r="RCE41" s="222"/>
      <c r="RCF41" s="222"/>
      <c r="RCG41" s="222"/>
      <c r="RCH41" s="222"/>
      <c r="RCI41" s="222"/>
      <c r="RCJ41" s="222"/>
      <c r="RCK41" s="222"/>
      <c r="RCL41" s="222"/>
      <c r="RCM41" s="222"/>
      <c r="RCN41" s="222"/>
      <c r="RCO41" s="222"/>
      <c r="RCP41" s="222"/>
      <c r="RCQ41" s="222"/>
      <c r="RCR41" s="222"/>
      <c r="RCS41" s="222"/>
      <c r="RCT41" s="222"/>
      <c r="RCU41" s="222"/>
      <c r="RCV41" s="222"/>
      <c r="RCW41" s="222"/>
      <c r="RCX41" s="222"/>
      <c r="RCY41" s="222"/>
      <c r="RCZ41" s="222"/>
      <c r="RDA41" s="222"/>
      <c r="RDB41" s="222"/>
      <c r="RDC41" s="222"/>
      <c r="RDD41" s="222"/>
      <c r="RDE41" s="222"/>
      <c r="RDF41" s="222"/>
      <c r="RDG41" s="222"/>
      <c r="RDH41" s="222"/>
      <c r="RDI41" s="222"/>
      <c r="RDJ41" s="222"/>
      <c r="RDK41" s="222"/>
      <c r="RDL41" s="222"/>
      <c r="RDM41" s="222"/>
      <c r="RDN41" s="222"/>
      <c r="RDO41" s="222"/>
      <c r="RDP41" s="222"/>
      <c r="RDQ41" s="222"/>
      <c r="RDR41" s="222"/>
      <c r="RDS41" s="222"/>
      <c r="RDT41" s="222"/>
      <c r="RDU41" s="222"/>
      <c r="RDV41" s="222"/>
      <c r="RDW41" s="222"/>
      <c r="RDX41" s="222"/>
      <c r="RDY41" s="222"/>
      <c r="RDZ41" s="222"/>
      <c r="REA41" s="222"/>
      <c r="REB41" s="222"/>
      <c r="REC41" s="222"/>
      <c r="RED41" s="222"/>
      <c r="REE41" s="222"/>
      <c r="REF41" s="222"/>
      <c r="REG41" s="222"/>
      <c r="REH41" s="222"/>
      <c r="REI41" s="222"/>
      <c r="REJ41" s="222"/>
      <c r="REK41" s="222"/>
      <c r="REL41" s="222"/>
      <c r="REM41" s="222"/>
      <c r="REN41" s="222"/>
      <c r="REO41" s="222"/>
      <c r="REP41" s="222"/>
      <c r="REQ41" s="222"/>
      <c r="RER41" s="222"/>
      <c r="RES41" s="222"/>
      <c r="RET41" s="222"/>
      <c r="REU41" s="222"/>
      <c r="REV41" s="222"/>
      <c r="REW41" s="222"/>
      <c r="REX41" s="222"/>
      <c r="REY41" s="222"/>
      <c r="REZ41" s="222"/>
      <c r="RFA41" s="222"/>
      <c r="RFB41" s="222"/>
      <c r="RFC41" s="222"/>
      <c r="RFD41" s="222"/>
      <c r="RFE41" s="222"/>
      <c r="RFF41" s="222"/>
      <c r="RFG41" s="222"/>
      <c r="RFH41" s="222"/>
      <c r="RFI41" s="222"/>
      <c r="RFJ41" s="222"/>
      <c r="RFK41" s="222"/>
      <c r="RFL41" s="222"/>
      <c r="RFM41" s="222"/>
      <c r="RFN41" s="222"/>
      <c r="RFO41" s="222"/>
      <c r="RFP41" s="222"/>
      <c r="RFQ41" s="222"/>
      <c r="RFR41" s="222"/>
      <c r="RFS41" s="222"/>
      <c r="RFT41" s="222"/>
      <c r="RFU41" s="222"/>
      <c r="RFV41" s="222"/>
      <c r="RFW41" s="222"/>
      <c r="RFX41" s="222"/>
      <c r="RFY41" s="222"/>
      <c r="RFZ41" s="222"/>
      <c r="RGA41" s="222"/>
      <c r="RGB41" s="222"/>
      <c r="RGC41" s="222"/>
      <c r="RGD41" s="222"/>
      <c r="RGE41" s="222"/>
      <c r="RGF41" s="222"/>
      <c r="RGG41" s="222"/>
      <c r="RGH41" s="222"/>
      <c r="RGI41" s="222"/>
      <c r="RGJ41" s="222"/>
      <c r="RGK41" s="222"/>
      <c r="RGL41" s="222"/>
      <c r="RGM41" s="222"/>
      <c r="RGN41" s="222"/>
      <c r="RGO41" s="222"/>
      <c r="RGP41" s="222"/>
      <c r="RGQ41" s="222"/>
      <c r="RGR41" s="222"/>
      <c r="RGS41" s="222"/>
      <c r="RGT41" s="222"/>
      <c r="RGU41" s="222"/>
      <c r="RGV41" s="222"/>
      <c r="RGW41" s="222"/>
      <c r="RGX41" s="222"/>
      <c r="RGY41" s="222"/>
      <c r="RGZ41" s="222"/>
      <c r="RHA41" s="222"/>
      <c r="RHB41" s="222"/>
      <c r="RHC41" s="222"/>
      <c r="RHD41" s="222"/>
      <c r="RHE41" s="222"/>
      <c r="RHF41" s="222"/>
      <c r="RHG41" s="222"/>
      <c r="RHH41" s="222"/>
      <c r="RHI41" s="222"/>
      <c r="RHJ41" s="222"/>
      <c r="RHK41" s="222"/>
      <c r="RHL41" s="222"/>
      <c r="RHM41" s="222"/>
      <c r="RHN41" s="222"/>
      <c r="RHO41" s="222"/>
      <c r="RHP41" s="222"/>
      <c r="RHQ41" s="222"/>
      <c r="RHR41" s="222"/>
      <c r="RHS41" s="222"/>
      <c r="RHT41" s="222"/>
      <c r="RHU41" s="222"/>
      <c r="RHV41" s="222"/>
      <c r="RHW41" s="222"/>
      <c r="RHX41" s="222"/>
      <c r="RHY41" s="222"/>
      <c r="RHZ41" s="222"/>
      <c r="RIA41" s="222"/>
      <c r="RIB41" s="222"/>
      <c r="RIC41" s="222"/>
      <c r="RID41" s="222"/>
      <c r="RIE41" s="222"/>
      <c r="RIF41" s="222"/>
      <c r="RIG41" s="222"/>
      <c r="RIH41" s="222"/>
      <c r="RII41" s="222"/>
      <c r="RIJ41" s="222"/>
      <c r="RIK41" s="222"/>
      <c r="RIL41" s="222"/>
      <c r="RIM41" s="222"/>
      <c r="RIN41" s="222"/>
      <c r="RIO41" s="222"/>
      <c r="RIP41" s="222"/>
      <c r="RIQ41" s="222"/>
      <c r="RIR41" s="222"/>
      <c r="RIS41" s="222"/>
      <c r="RIT41" s="222"/>
      <c r="RIU41" s="222"/>
      <c r="RIV41" s="222"/>
      <c r="RIW41" s="222"/>
      <c r="RIX41" s="222"/>
      <c r="RIY41" s="222"/>
      <c r="RIZ41" s="222"/>
      <c r="RJA41" s="222"/>
      <c r="RJB41" s="222"/>
      <c r="RJC41" s="222"/>
      <c r="RJD41" s="222"/>
      <c r="RJE41" s="222"/>
      <c r="RJF41" s="222"/>
      <c r="RJG41" s="222"/>
      <c r="RJH41" s="222"/>
      <c r="RJI41" s="222"/>
      <c r="RJJ41" s="222"/>
      <c r="RJK41" s="222"/>
      <c r="RJL41" s="222"/>
      <c r="RJM41" s="222"/>
      <c r="RJN41" s="222"/>
      <c r="RJO41" s="222"/>
      <c r="RJP41" s="222"/>
      <c r="RJQ41" s="222"/>
      <c r="RJR41" s="222"/>
      <c r="RJS41" s="222"/>
      <c r="RJT41" s="222"/>
      <c r="RJU41" s="222"/>
      <c r="RJV41" s="222"/>
      <c r="RJW41" s="222"/>
      <c r="RJX41" s="222"/>
      <c r="RJY41" s="222"/>
      <c r="RJZ41" s="222"/>
      <c r="RKA41" s="222"/>
      <c r="RKB41" s="222"/>
      <c r="RKC41" s="222"/>
      <c r="RKD41" s="222"/>
      <c r="RKE41" s="222"/>
      <c r="RKF41" s="222"/>
      <c r="RKG41" s="222"/>
      <c r="RKH41" s="222"/>
      <c r="RKI41" s="222"/>
      <c r="RKJ41" s="222"/>
      <c r="RKK41" s="222"/>
      <c r="RKL41" s="222"/>
      <c r="RKM41" s="222"/>
      <c r="RKN41" s="222"/>
      <c r="RKO41" s="222"/>
      <c r="RKP41" s="222"/>
      <c r="RKQ41" s="222"/>
      <c r="RKR41" s="222"/>
      <c r="RKS41" s="222"/>
      <c r="RKT41" s="222"/>
      <c r="RKU41" s="222"/>
      <c r="RKV41" s="222"/>
      <c r="RKW41" s="222"/>
      <c r="RKX41" s="222"/>
      <c r="RKY41" s="222"/>
      <c r="RKZ41" s="222"/>
      <c r="RLA41" s="222"/>
      <c r="RLB41" s="222"/>
      <c r="RLC41" s="222"/>
      <c r="RLD41" s="222"/>
      <c r="RLE41" s="222"/>
      <c r="RLF41" s="222"/>
      <c r="RLG41" s="222"/>
      <c r="RLH41" s="222"/>
      <c r="RLI41" s="222"/>
      <c r="RLJ41" s="222"/>
      <c r="RLK41" s="222"/>
      <c r="RLL41" s="222"/>
      <c r="RLM41" s="222"/>
      <c r="RLN41" s="222"/>
      <c r="RLO41" s="222"/>
      <c r="RLP41" s="222"/>
      <c r="RLQ41" s="222"/>
      <c r="RLR41" s="222"/>
      <c r="RLS41" s="222"/>
      <c r="RLT41" s="222"/>
      <c r="RLU41" s="222"/>
      <c r="RLV41" s="222"/>
      <c r="RLW41" s="222"/>
      <c r="RLX41" s="222"/>
      <c r="RLY41" s="222"/>
      <c r="RLZ41" s="222"/>
      <c r="RMA41" s="222"/>
      <c r="RMB41" s="222"/>
      <c r="RMC41" s="222"/>
      <c r="RMD41" s="222"/>
      <c r="RME41" s="222"/>
      <c r="RMF41" s="222"/>
      <c r="RMG41" s="222"/>
      <c r="RMH41" s="222"/>
      <c r="RMI41" s="222"/>
      <c r="RMJ41" s="222"/>
      <c r="RMK41" s="222"/>
      <c r="RML41" s="222"/>
      <c r="RMM41" s="222"/>
      <c r="RMN41" s="222"/>
      <c r="RMO41" s="222"/>
      <c r="RMP41" s="222"/>
      <c r="RMQ41" s="222"/>
      <c r="RMR41" s="222"/>
      <c r="RMS41" s="222"/>
      <c r="RMT41" s="222"/>
      <c r="RMU41" s="222"/>
      <c r="RMV41" s="222"/>
      <c r="RMW41" s="222"/>
      <c r="RMX41" s="222"/>
      <c r="RMY41" s="222"/>
      <c r="RMZ41" s="222"/>
      <c r="RNA41" s="222"/>
      <c r="RNB41" s="222"/>
      <c r="RNC41" s="222"/>
      <c r="RND41" s="222"/>
      <c r="RNE41" s="222"/>
      <c r="RNF41" s="222"/>
      <c r="RNG41" s="222"/>
      <c r="RNH41" s="222"/>
      <c r="RNI41" s="222"/>
      <c r="RNJ41" s="222"/>
      <c r="RNK41" s="222"/>
      <c r="RNL41" s="222"/>
      <c r="RNM41" s="222"/>
      <c r="RNN41" s="222"/>
      <c r="RNO41" s="222"/>
      <c r="RNP41" s="222"/>
      <c r="RNQ41" s="222"/>
      <c r="RNR41" s="222"/>
      <c r="RNS41" s="222"/>
      <c r="RNT41" s="222"/>
      <c r="RNU41" s="222"/>
      <c r="RNV41" s="222"/>
      <c r="RNW41" s="222"/>
      <c r="RNX41" s="222"/>
      <c r="RNY41" s="222"/>
      <c r="RNZ41" s="222"/>
      <c r="ROA41" s="222"/>
      <c r="ROB41" s="222"/>
      <c r="ROC41" s="222"/>
      <c r="ROD41" s="222"/>
      <c r="ROE41" s="222"/>
      <c r="ROF41" s="222"/>
      <c r="ROG41" s="222"/>
      <c r="ROH41" s="222"/>
      <c r="ROI41" s="222"/>
      <c r="ROJ41" s="222"/>
      <c r="ROK41" s="222"/>
      <c r="ROL41" s="222"/>
      <c r="ROM41" s="222"/>
      <c r="RON41" s="222"/>
      <c r="ROO41" s="222"/>
      <c r="ROP41" s="222"/>
      <c r="ROQ41" s="222"/>
      <c r="ROR41" s="222"/>
      <c r="ROS41" s="222"/>
      <c r="ROT41" s="222"/>
      <c r="ROU41" s="222"/>
      <c r="ROV41" s="222"/>
      <c r="ROW41" s="222"/>
      <c r="ROX41" s="222"/>
      <c r="ROY41" s="222"/>
      <c r="ROZ41" s="222"/>
      <c r="RPA41" s="222"/>
      <c r="RPB41" s="222"/>
      <c r="RPC41" s="222"/>
      <c r="RPD41" s="222"/>
      <c r="RPE41" s="222"/>
      <c r="RPF41" s="222"/>
      <c r="RPG41" s="222"/>
      <c r="RPH41" s="222"/>
      <c r="RPI41" s="222"/>
      <c r="RPJ41" s="222"/>
      <c r="RPK41" s="222"/>
      <c r="RPL41" s="222"/>
      <c r="RPM41" s="222"/>
      <c r="RPN41" s="222"/>
      <c r="RPO41" s="222"/>
      <c r="RPP41" s="222"/>
      <c r="RPQ41" s="222"/>
      <c r="RPR41" s="222"/>
      <c r="RPS41" s="222"/>
      <c r="RPT41" s="222"/>
      <c r="RPU41" s="222"/>
      <c r="RPV41" s="222"/>
      <c r="RPW41" s="222"/>
      <c r="RPX41" s="222"/>
      <c r="RPY41" s="222"/>
      <c r="RPZ41" s="222"/>
      <c r="RQA41" s="222"/>
      <c r="RQB41" s="222"/>
      <c r="RQC41" s="222"/>
      <c r="RQD41" s="222"/>
      <c r="RQE41" s="222"/>
      <c r="RQF41" s="222"/>
      <c r="RQG41" s="222"/>
      <c r="RQH41" s="222"/>
      <c r="RQI41" s="222"/>
      <c r="RQJ41" s="222"/>
      <c r="RQK41" s="222"/>
      <c r="RQL41" s="222"/>
      <c r="RQM41" s="222"/>
      <c r="RQN41" s="222"/>
      <c r="RQO41" s="222"/>
      <c r="RQP41" s="222"/>
      <c r="RQQ41" s="222"/>
      <c r="RQR41" s="222"/>
      <c r="RQS41" s="222"/>
      <c r="RQT41" s="222"/>
      <c r="RQU41" s="222"/>
      <c r="RQV41" s="222"/>
      <c r="RQW41" s="222"/>
      <c r="RQX41" s="222"/>
      <c r="RQY41" s="222"/>
      <c r="RQZ41" s="222"/>
      <c r="RRA41" s="222"/>
      <c r="RRB41" s="222"/>
      <c r="RRC41" s="222"/>
      <c r="RRD41" s="222"/>
      <c r="RRE41" s="222"/>
      <c r="RRF41" s="222"/>
      <c r="RRG41" s="222"/>
      <c r="RRH41" s="222"/>
      <c r="RRI41" s="222"/>
      <c r="RRJ41" s="222"/>
      <c r="RRK41" s="222"/>
      <c r="RRL41" s="222"/>
      <c r="RRM41" s="222"/>
      <c r="RRN41" s="222"/>
      <c r="RRO41" s="222"/>
      <c r="RRP41" s="222"/>
      <c r="RRQ41" s="222"/>
      <c r="RRR41" s="222"/>
      <c r="RRS41" s="222"/>
      <c r="RRT41" s="222"/>
      <c r="RRU41" s="222"/>
      <c r="RRV41" s="222"/>
      <c r="RRW41" s="222"/>
      <c r="RRX41" s="222"/>
      <c r="RRY41" s="222"/>
      <c r="RRZ41" s="222"/>
      <c r="RSA41" s="222"/>
      <c r="RSB41" s="222"/>
      <c r="RSC41" s="222"/>
      <c r="RSD41" s="222"/>
      <c r="RSE41" s="222"/>
      <c r="RSF41" s="222"/>
      <c r="RSG41" s="222"/>
      <c r="RSH41" s="222"/>
      <c r="RSI41" s="222"/>
      <c r="RSJ41" s="222"/>
      <c r="RSK41" s="222"/>
      <c r="RSL41" s="222"/>
      <c r="RSM41" s="222"/>
      <c r="RSN41" s="222"/>
      <c r="RSO41" s="222"/>
      <c r="RSP41" s="222"/>
      <c r="RSQ41" s="222"/>
      <c r="RSR41" s="222"/>
      <c r="RSS41" s="222"/>
      <c r="RST41" s="222"/>
      <c r="RSU41" s="222"/>
      <c r="RSV41" s="222"/>
      <c r="RSW41" s="222"/>
      <c r="RSX41" s="222"/>
      <c r="RSY41" s="222"/>
      <c r="RSZ41" s="222"/>
      <c r="RTA41" s="222"/>
      <c r="RTB41" s="222"/>
      <c r="RTC41" s="222"/>
      <c r="RTD41" s="222"/>
      <c r="RTE41" s="222"/>
      <c r="RTF41" s="222"/>
      <c r="RTG41" s="222"/>
      <c r="RTH41" s="222"/>
      <c r="RTI41" s="222"/>
      <c r="RTJ41" s="222"/>
      <c r="RTK41" s="222"/>
      <c r="RTL41" s="222"/>
      <c r="RTM41" s="222"/>
      <c r="RTN41" s="222"/>
      <c r="RTO41" s="222"/>
      <c r="RTP41" s="222"/>
      <c r="RTQ41" s="222"/>
      <c r="RTR41" s="222"/>
      <c r="RTS41" s="222"/>
      <c r="RTT41" s="222"/>
      <c r="RTU41" s="222"/>
      <c r="RTV41" s="222"/>
      <c r="RTW41" s="222"/>
      <c r="RTX41" s="222"/>
      <c r="RTY41" s="222"/>
      <c r="RTZ41" s="222"/>
      <c r="RUA41" s="222"/>
      <c r="RUB41" s="222"/>
      <c r="RUC41" s="222"/>
      <c r="RUD41" s="222"/>
      <c r="RUE41" s="222"/>
      <c r="RUF41" s="222"/>
      <c r="RUG41" s="222"/>
      <c r="RUH41" s="222"/>
      <c r="RUI41" s="222"/>
      <c r="RUJ41" s="222"/>
      <c r="RUK41" s="222"/>
      <c r="RUL41" s="222"/>
      <c r="RUM41" s="222"/>
      <c r="RUN41" s="222"/>
      <c r="RUO41" s="222"/>
      <c r="RUP41" s="222"/>
      <c r="RUQ41" s="222"/>
      <c r="RUR41" s="222"/>
      <c r="RUS41" s="222"/>
      <c r="RUT41" s="222"/>
      <c r="RUU41" s="222"/>
      <c r="RUV41" s="222"/>
      <c r="RUW41" s="222"/>
      <c r="RUX41" s="222"/>
      <c r="RUY41" s="222"/>
      <c r="RUZ41" s="222"/>
      <c r="RVA41" s="222"/>
      <c r="RVB41" s="222"/>
      <c r="RVC41" s="222"/>
      <c r="RVD41" s="222"/>
      <c r="RVE41" s="222"/>
      <c r="RVF41" s="222"/>
      <c r="RVG41" s="222"/>
      <c r="RVH41" s="222"/>
      <c r="RVI41" s="222"/>
      <c r="RVJ41" s="222"/>
      <c r="RVK41" s="222"/>
      <c r="RVL41" s="222"/>
      <c r="RVM41" s="222"/>
      <c r="RVN41" s="222"/>
      <c r="RVO41" s="222"/>
      <c r="RVP41" s="222"/>
      <c r="RVQ41" s="222"/>
      <c r="RVR41" s="222"/>
      <c r="RVS41" s="222"/>
      <c r="RVT41" s="222"/>
      <c r="RVU41" s="222"/>
      <c r="RVV41" s="222"/>
      <c r="RVW41" s="222"/>
      <c r="RVX41" s="222"/>
      <c r="RVY41" s="222"/>
      <c r="RVZ41" s="222"/>
      <c r="RWA41" s="222"/>
      <c r="RWB41" s="222"/>
      <c r="RWC41" s="222"/>
      <c r="RWD41" s="222"/>
      <c r="RWE41" s="222"/>
      <c r="RWF41" s="222"/>
      <c r="RWG41" s="222"/>
      <c r="RWH41" s="222"/>
      <c r="RWI41" s="222"/>
      <c r="RWJ41" s="222"/>
      <c r="RWK41" s="222"/>
      <c r="RWL41" s="222"/>
      <c r="RWM41" s="222"/>
      <c r="RWN41" s="222"/>
      <c r="RWO41" s="222"/>
      <c r="RWP41" s="222"/>
      <c r="RWQ41" s="222"/>
      <c r="RWR41" s="222"/>
      <c r="RWS41" s="222"/>
      <c r="RWT41" s="222"/>
      <c r="RWU41" s="222"/>
      <c r="RWV41" s="222"/>
      <c r="RWW41" s="222"/>
      <c r="RWX41" s="222"/>
      <c r="RWY41" s="222"/>
      <c r="RWZ41" s="222"/>
      <c r="RXA41" s="222"/>
      <c r="RXB41" s="222"/>
      <c r="RXC41" s="222"/>
      <c r="RXD41" s="222"/>
      <c r="RXE41" s="222"/>
      <c r="RXF41" s="222"/>
      <c r="RXG41" s="222"/>
      <c r="RXH41" s="222"/>
      <c r="RXI41" s="222"/>
      <c r="RXJ41" s="222"/>
      <c r="RXK41" s="222"/>
      <c r="RXL41" s="222"/>
      <c r="RXM41" s="222"/>
      <c r="RXN41" s="222"/>
      <c r="RXO41" s="222"/>
      <c r="RXP41" s="222"/>
      <c r="RXQ41" s="222"/>
      <c r="RXR41" s="222"/>
      <c r="RXS41" s="222"/>
      <c r="RXT41" s="222"/>
      <c r="RXU41" s="222"/>
      <c r="RXV41" s="222"/>
      <c r="RXW41" s="222"/>
      <c r="RXX41" s="222"/>
      <c r="RXY41" s="222"/>
      <c r="RXZ41" s="222"/>
      <c r="RYA41" s="222"/>
      <c r="RYB41" s="222"/>
      <c r="RYC41" s="222"/>
      <c r="RYD41" s="222"/>
      <c r="RYE41" s="222"/>
      <c r="RYF41" s="222"/>
      <c r="RYG41" s="222"/>
      <c r="RYH41" s="222"/>
      <c r="RYI41" s="222"/>
      <c r="RYJ41" s="222"/>
      <c r="RYK41" s="222"/>
      <c r="RYL41" s="222"/>
      <c r="RYM41" s="222"/>
      <c r="RYN41" s="222"/>
      <c r="RYO41" s="222"/>
      <c r="RYP41" s="222"/>
      <c r="RYQ41" s="222"/>
      <c r="RYR41" s="222"/>
      <c r="RYS41" s="222"/>
      <c r="RYT41" s="222"/>
      <c r="RYU41" s="222"/>
      <c r="RYV41" s="222"/>
      <c r="RYW41" s="222"/>
      <c r="RYX41" s="222"/>
      <c r="RYY41" s="222"/>
      <c r="RYZ41" s="222"/>
      <c r="RZA41" s="222"/>
      <c r="RZB41" s="222"/>
      <c r="RZC41" s="222"/>
      <c r="RZD41" s="222"/>
      <c r="RZE41" s="222"/>
      <c r="RZF41" s="222"/>
      <c r="RZG41" s="222"/>
      <c r="RZH41" s="222"/>
      <c r="RZI41" s="222"/>
      <c r="RZJ41" s="222"/>
      <c r="RZK41" s="222"/>
      <c r="RZL41" s="222"/>
      <c r="RZM41" s="222"/>
      <c r="RZN41" s="222"/>
      <c r="RZO41" s="222"/>
      <c r="RZP41" s="222"/>
      <c r="RZQ41" s="222"/>
      <c r="RZR41" s="222"/>
      <c r="RZS41" s="222"/>
      <c r="RZT41" s="222"/>
      <c r="RZU41" s="222"/>
      <c r="RZV41" s="222"/>
      <c r="RZW41" s="222"/>
      <c r="RZX41" s="222"/>
      <c r="RZY41" s="222"/>
      <c r="RZZ41" s="222"/>
      <c r="SAA41" s="222"/>
      <c r="SAB41" s="222"/>
      <c r="SAC41" s="222"/>
      <c r="SAD41" s="222"/>
      <c r="SAE41" s="222"/>
      <c r="SAF41" s="222"/>
      <c r="SAG41" s="222"/>
      <c r="SAH41" s="222"/>
      <c r="SAI41" s="222"/>
      <c r="SAJ41" s="222"/>
      <c r="SAK41" s="222"/>
      <c r="SAL41" s="222"/>
      <c r="SAM41" s="222"/>
      <c r="SAN41" s="222"/>
      <c r="SAO41" s="222"/>
      <c r="SAP41" s="222"/>
      <c r="SAQ41" s="222"/>
      <c r="SAR41" s="222"/>
      <c r="SAS41" s="222"/>
      <c r="SAT41" s="222"/>
      <c r="SAU41" s="222"/>
      <c r="SAV41" s="222"/>
      <c r="SAW41" s="222"/>
      <c r="SAX41" s="222"/>
      <c r="SAY41" s="222"/>
      <c r="SAZ41" s="222"/>
      <c r="SBA41" s="222"/>
      <c r="SBB41" s="222"/>
      <c r="SBC41" s="222"/>
      <c r="SBD41" s="222"/>
      <c r="SBE41" s="222"/>
      <c r="SBF41" s="222"/>
      <c r="SBG41" s="222"/>
      <c r="SBH41" s="222"/>
      <c r="SBI41" s="222"/>
      <c r="SBJ41" s="222"/>
      <c r="SBK41" s="222"/>
      <c r="SBL41" s="222"/>
      <c r="SBM41" s="222"/>
      <c r="SBN41" s="222"/>
      <c r="SBO41" s="222"/>
      <c r="SBP41" s="222"/>
      <c r="SBQ41" s="222"/>
      <c r="SBR41" s="222"/>
      <c r="SBS41" s="222"/>
      <c r="SBT41" s="222"/>
      <c r="SBU41" s="222"/>
      <c r="SBV41" s="222"/>
      <c r="SBW41" s="222"/>
      <c r="SBX41" s="222"/>
      <c r="SBY41" s="222"/>
      <c r="SBZ41" s="222"/>
      <c r="SCA41" s="222"/>
      <c r="SCB41" s="222"/>
      <c r="SCC41" s="222"/>
      <c r="SCD41" s="222"/>
      <c r="SCE41" s="222"/>
      <c r="SCF41" s="222"/>
      <c r="SCG41" s="222"/>
      <c r="SCH41" s="222"/>
      <c r="SCI41" s="222"/>
      <c r="SCJ41" s="222"/>
      <c r="SCK41" s="222"/>
      <c r="SCL41" s="222"/>
      <c r="SCM41" s="222"/>
      <c r="SCN41" s="222"/>
      <c r="SCO41" s="222"/>
      <c r="SCP41" s="222"/>
      <c r="SCQ41" s="222"/>
      <c r="SCR41" s="222"/>
      <c r="SCS41" s="222"/>
      <c r="SCT41" s="222"/>
      <c r="SCU41" s="222"/>
      <c r="SCV41" s="222"/>
      <c r="SCW41" s="222"/>
      <c r="SCX41" s="222"/>
      <c r="SCY41" s="222"/>
      <c r="SCZ41" s="222"/>
      <c r="SDA41" s="222"/>
      <c r="SDB41" s="222"/>
      <c r="SDC41" s="222"/>
      <c r="SDD41" s="222"/>
      <c r="SDE41" s="222"/>
      <c r="SDF41" s="222"/>
      <c r="SDG41" s="222"/>
      <c r="SDH41" s="222"/>
      <c r="SDI41" s="222"/>
      <c r="SDJ41" s="222"/>
      <c r="SDK41" s="222"/>
      <c r="SDL41" s="222"/>
      <c r="SDM41" s="222"/>
      <c r="SDN41" s="222"/>
      <c r="SDO41" s="222"/>
      <c r="SDP41" s="222"/>
      <c r="SDQ41" s="222"/>
      <c r="SDR41" s="222"/>
      <c r="SDS41" s="222"/>
      <c r="SDT41" s="222"/>
      <c r="SDU41" s="222"/>
      <c r="SDV41" s="222"/>
      <c r="SDW41" s="222"/>
      <c r="SDX41" s="222"/>
      <c r="SDY41" s="222"/>
      <c r="SDZ41" s="222"/>
      <c r="SEA41" s="222"/>
      <c r="SEB41" s="222"/>
      <c r="SEC41" s="222"/>
      <c r="SED41" s="222"/>
      <c r="SEE41" s="222"/>
      <c r="SEF41" s="222"/>
      <c r="SEG41" s="222"/>
      <c r="SEH41" s="222"/>
      <c r="SEI41" s="222"/>
      <c r="SEJ41" s="222"/>
      <c r="SEK41" s="222"/>
      <c r="SEL41" s="222"/>
      <c r="SEM41" s="222"/>
      <c r="SEN41" s="222"/>
      <c r="SEO41" s="222"/>
      <c r="SEP41" s="222"/>
      <c r="SEQ41" s="222"/>
      <c r="SER41" s="222"/>
      <c r="SES41" s="222"/>
      <c r="SET41" s="222"/>
      <c r="SEU41" s="222"/>
      <c r="SEV41" s="222"/>
      <c r="SEW41" s="222"/>
      <c r="SEX41" s="222"/>
      <c r="SEY41" s="222"/>
      <c r="SEZ41" s="222"/>
      <c r="SFA41" s="222"/>
      <c r="SFB41" s="222"/>
      <c r="SFC41" s="222"/>
      <c r="SFD41" s="222"/>
      <c r="SFE41" s="222"/>
      <c r="SFF41" s="222"/>
      <c r="SFG41" s="222"/>
      <c r="SFH41" s="222"/>
      <c r="SFI41" s="222"/>
      <c r="SFJ41" s="222"/>
      <c r="SFK41" s="222"/>
      <c r="SFL41" s="222"/>
      <c r="SFM41" s="222"/>
      <c r="SFN41" s="222"/>
      <c r="SFO41" s="222"/>
      <c r="SFP41" s="222"/>
      <c r="SFQ41" s="222"/>
      <c r="SFR41" s="222"/>
      <c r="SFS41" s="222"/>
      <c r="SFT41" s="222"/>
      <c r="SFU41" s="222"/>
      <c r="SFV41" s="222"/>
      <c r="SFW41" s="222"/>
      <c r="SFX41" s="222"/>
      <c r="SFY41" s="222"/>
      <c r="SFZ41" s="222"/>
      <c r="SGA41" s="222"/>
      <c r="SGB41" s="222"/>
      <c r="SGC41" s="222"/>
      <c r="SGD41" s="222"/>
      <c r="SGE41" s="222"/>
      <c r="SGF41" s="222"/>
      <c r="SGG41" s="222"/>
      <c r="SGH41" s="222"/>
      <c r="SGI41" s="222"/>
      <c r="SGJ41" s="222"/>
      <c r="SGK41" s="222"/>
      <c r="SGL41" s="222"/>
      <c r="SGM41" s="222"/>
      <c r="SGN41" s="222"/>
      <c r="SGO41" s="222"/>
      <c r="SGP41" s="222"/>
      <c r="SGQ41" s="222"/>
      <c r="SGR41" s="222"/>
      <c r="SGS41" s="222"/>
      <c r="SGT41" s="222"/>
      <c r="SGU41" s="222"/>
      <c r="SGV41" s="222"/>
      <c r="SGW41" s="222"/>
      <c r="SGX41" s="222"/>
      <c r="SGY41" s="222"/>
      <c r="SGZ41" s="222"/>
      <c r="SHA41" s="222"/>
      <c r="SHB41" s="222"/>
      <c r="SHC41" s="222"/>
      <c r="SHD41" s="222"/>
      <c r="SHE41" s="222"/>
      <c r="SHF41" s="222"/>
      <c r="SHG41" s="222"/>
      <c r="SHH41" s="222"/>
      <c r="SHI41" s="222"/>
      <c r="SHJ41" s="222"/>
      <c r="SHK41" s="222"/>
      <c r="SHL41" s="222"/>
      <c r="SHM41" s="222"/>
      <c r="SHN41" s="222"/>
      <c r="SHO41" s="222"/>
      <c r="SHP41" s="222"/>
      <c r="SHQ41" s="222"/>
      <c r="SHR41" s="222"/>
      <c r="SHS41" s="222"/>
      <c r="SHT41" s="222"/>
      <c r="SHU41" s="222"/>
      <c r="SHV41" s="222"/>
      <c r="SHW41" s="222"/>
      <c r="SHX41" s="222"/>
      <c r="SHY41" s="222"/>
      <c r="SHZ41" s="222"/>
      <c r="SIA41" s="222"/>
      <c r="SIB41" s="222"/>
      <c r="SIC41" s="222"/>
      <c r="SID41" s="222"/>
      <c r="SIE41" s="222"/>
      <c r="SIF41" s="222"/>
      <c r="SIG41" s="222"/>
      <c r="SIH41" s="222"/>
      <c r="SII41" s="222"/>
      <c r="SIJ41" s="222"/>
      <c r="SIK41" s="222"/>
      <c r="SIL41" s="222"/>
      <c r="SIM41" s="222"/>
      <c r="SIN41" s="222"/>
      <c r="SIO41" s="222"/>
      <c r="SIP41" s="222"/>
      <c r="SIQ41" s="222"/>
      <c r="SIR41" s="222"/>
      <c r="SIS41" s="222"/>
      <c r="SIT41" s="222"/>
      <c r="SIU41" s="222"/>
      <c r="SIV41" s="222"/>
      <c r="SIW41" s="222"/>
      <c r="SIX41" s="222"/>
      <c r="SIY41" s="222"/>
      <c r="SIZ41" s="222"/>
      <c r="SJA41" s="222"/>
      <c r="SJB41" s="222"/>
      <c r="SJC41" s="222"/>
      <c r="SJD41" s="222"/>
      <c r="SJE41" s="222"/>
      <c r="SJF41" s="222"/>
      <c r="SJG41" s="222"/>
      <c r="SJH41" s="222"/>
      <c r="SJI41" s="222"/>
      <c r="SJJ41" s="222"/>
      <c r="SJK41" s="222"/>
      <c r="SJL41" s="222"/>
      <c r="SJM41" s="222"/>
      <c r="SJN41" s="222"/>
      <c r="SJO41" s="222"/>
      <c r="SJP41" s="222"/>
      <c r="SJQ41" s="222"/>
      <c r="SJR41" s="222"/>
      <c r="SJS41" s="222"/>
      <c r="SJT41" s="222"/>
      <c r="SJU41" s="222"/>
      <c r="SJV41" s="222"/>
      <c r="SJW41" s="222"/>
      <c r="SJX41" s="222"/>
      <c r="SJY41" s="222"/>
      <c r="SJZ41" s="222"/>
      <c r="SKA41" s="222"/>
      <c r="SKB41" s="222"/>
      <c r="SKC41" s="222"/>
      <c r="SKD41" s="222"/>
      <c r="SKE41" s="222"/>
      <c r="SKF41" s="222"/>
      <c r="SKG41" s="222"/>
      <c r="SKH41" s="222"/>
      <c r="SKI41" s="222"/>
      <c r="SKJ41" s="222"/>
      <c r="SKK41" s="222"/>
      <c r="SKL41" s="222"/>
      <c r="SKM41" s="222"/>
      <c r="SKN41" s="222"/>
      <c r="SKO41" s="222"/>
      <c r="SKP41" s="222"/>
      <c r="SKQ41" s="222"/>
      <c r="SKR41" s="222"/>
      <c r="SKS41" s="222"/>
      <c r="SKT41" s="222"/>
      <c r="SKU41" s="222"/>
      <c r="SKV41" s="222"/>
      <c r="SKW41" s="222"/>
      <c r="SKX41" s="222"/>
      <c r="SKY41" s="222"/>
      <c r="SKZ41" s="222"/>
      <c r="SLA41" s="222"/>
      <c r="SLB41" s="222"/>
      <c r="SLC41" s="222"/>
      <c r="SLD41" s="222"/>
      <c r="SLE41" s="222"/>
      <c r="SLF41" s="222"/>
      <c r="SLG41" s="222"/>
      <c r="SLH41" s="222"/>
      <c r="SLI41" s="222"/>
      <c r="SLJ41" s="222"/>
      <c r="SLK41" s="222"/>
      <c r="SLL41" s="222"/>
      <c r="SLM41" s="222"/>
      <c r="SLN41" s="222"/>
      <c r="SLO41" s="222"/>
      <c r="SLP41" s="222"/>
      <c r="SLQ41" s="222"/>
      <c r="SLR41" s="222"/>
      <c r="SLS41" s="222"/>
      <c r="SLT41" s="222"/>
      <c r="SLU41" s="222"/>
      <c r="SLV41" s="222"/>
      <c r="SLW41" s="222"/>
      <c r="SLX41" s="222"/>
      <c r="SLY41" s="222"/>
      <c r="SLZ41" s="222"/>
      <c r="SMA41" s="222"/>
      <c r="SMB41" s="222"/>
      <c r="SMC41" s="222"/>
      <c r="SMD41" s="222"/>
      <c r="SME41" s="222"/>
      <c r="SMF41" s="222"/>
      <c r="SMG41" s="222"/>
      <c r="SMH41" s="222"/>
      <c r="SMI41" s="222"/>
      <c r="SMJ41" s="222"/>
      <c r="SMK41" s="222"/>
      <c r="SML41" s="222"/>
      <c r="SMM41" s="222"/>
      <c r="SMN41" s="222"/>
      <c r="SMO41" s="222"/>
      <c r="SMP41" s="222"/>
      <c r="SMQ41" s="222"/>
      <c r="SMR41" s="222"/>
      <c r="SMS41" s="222"/>
      <c r="SMT41" s="222"/>
      <c r="SMU41" s="222"/>
      <c r="SMV41" s="222"/>
      <c r="SMW41" s="222"/>
      <c r="SMX41" s="222"/>
      <c r="SMY41" s="222"/>
      <c r="SMZ41" s="222"/>
      <c r="SNA41" s="222"/>
      <c r="SNB41" s="222"/>
      <c r="SNC41" s="222"/>
      <c r="SND41" s="222"/>
      <c r="SNE41" s="222"/>
      <c r="SNF41" s="222"/>
      <c r="SNG41" s="222"/>
      <c r="SNH41" s="222"/>
      <c r="SNI41" s="222"/>
      <c r="SNJ41" s="222"/>
      <c r="SNK41" s="222"/>
      <c r="SNL41" s="222"/>
      <c r="SNM41" s="222"/>
      <c r="SNN41" s="222"/>
      <c r="SNO41" s="222"/>
      <c r="SNP41" s="222"/>
      <c r="SNQ41" s="222"/>
      <c r="SNR41" s="222"/>
      <c r="SNS41" s="222"/>
      <c r="SNT41" s="222"/>
      <c r="SNU41" s="222"/>
      <c r="SNV41" s="222"/>
      <c r="SNW41" s="222"/>
      <c r="SNX41" s="222"/>
      <c r="SNY41" s="222"/>
      <c r="SNZ41" s="222"/>
      <c r="SOA41" s="222"/>
      <c r="SOB41" s="222"/>
      <c r="SOC41" s="222"/>
      <c r="SOD41" s="222"/>
      <c r="SOE41" s="222"/>
      <c r="SOF41" s="222"/>
      <c r="SOG41" s="222"/>
      <c r="SOH41" s="222"/>
      <c r="SOI41" s="222"/>
      <c r="SOJ41" s="222"/>
      <c r="SOK41" s="222"/>
      <c r="SOL41" s="222"/>
      <c r="SOM41" s="222"/>
      <c r="SON41" s="222"/>
      <c r="SOO41" s="222"/>
      <c r="SOP41" s="222"/>
      <c r="SOQ41" s="222"/>
      <c r="SOR41" s="222"/>
      <c r="SOS41" s="222"/>
      <c r="SOT41" s="222"/>
      <c r="SOU41" s="222"/>
      <c r="SOV41" s="222"/>
      <c r="SOW41" s="222"/>
      <c r="SOX41" s="222"/>
      <c r="SOY41" s="222"/>
      <c r="SOZ41" s="222"/>
      <c r="SPA41" s="222"/>
      <c r="SPB41" s="222"/>
      <c r="SPC41" s="222"/>
      <c r="SPD41" s="222"/>
      <c r="SPE41" s="222"/>
      <c r="SPF41" s="222"/>
      <c r="SPG41" s="222"/>
      <c r="SPH41" s="222"/>
      <c r="SPI41" s="222"/>
      <c r="SPJ41" s="222"/>
      <c r="SPK41" s="222"/>
      <c r="SPL41" s="222"/>
      <c r="SPM41" s="222"/>
      <c r="SPN41" s="222"/>
      <c r="SPO41" s="222"/>
      <c r="SPP41" s="222"/>
      <c r="SPQ41" s="222"/>
      <c r="SPR41" s="222"/>
      <c r="SPS41" s="222"/>
      <c r="SPT41" s="222"/>
      <c r="SPU41" s="222"/>
      <c r="SPV41" s="222"/>
      <c r="SPW41" s="222"/>
      <c r="SPX41" s="222"/>
      <c r="SPY41" s="222"/>
      <c r="SPZ41" s="222"/>
      <c r="SQA41" s="222"/>
      <c r="SQB41" s="222"/>
      <c r="SQC41" s="222"/>
      <c r="SQD41" s="222"/>
      <c r="SQE41" s="222"/>
      <c r="SQF41" s="222"/>
      <c r="SQG41" s="222"/>
      <c r="SQH41" s="222"/>
      <c r="SQI41" s="222"/>
      <c r="SQJ41" s="222"/>
      <c r="SQK41" s="222"/>
      <c r="SQL41" s="222"/>
      <c r="SQM41" s="222"/>
      <c r="SQN41" s="222"/>
      <c r="SQO41" s="222"/>
      <c r="SQP41" s="222"/>
      <c r="SQQ41" s="222"/>
      <c r="SQR41" s="222"/>
      <c r="SQS41" s="222"/>
      <c r="SQT41" s="222"/>
      <c r="SQU41" s="222"/>
      <c r="SQV41" s="222"/>
      <c r="SQW41" s="222"/>
      <c r="SQX41" s="222"/>
      <c r="SQY41" s="222"/>
      <c r="SQZ41" s="222"/>
      <c r="SRA41" s="222"/>
      <c r="SRB41" s="222"/>
      <c r="SRC41" s="222"/>
      <c r="SRD41" s="222"/>
      <c r="SRE41" s="222"/>
      <c r="SRF41" s="222"/>
      <c r="SRG41" s="222"/>
      <c r="SRH41" s="222"/>
      <c r="SRI41" s="222"/>
      <c r="SRJ41" s="222"/>
      <c r="SRK41" s="222"/>
      <c r="SRL41" s="222"/>
      <c r="SRM41" s="222"/>
      <c r="SRN41" s="222"/>
      <c r="SRO41" s="222"/>
      <c r="SRP41" s="222"/>
      <c r="SRQ41" s="222"/>
      <c r="SRR41" s="222"/>
      <c r="SRS41" s="222"/>
      <c r="SRT41" s="222"/>
      <c r="SRU41" s="222"/>
      <c r="SRV41" s="222"/>
      <c r="SRW41" s="222"/>
      <c r="SRX41" s="222"/>
      <c r="SRY41" s="222"/>
      <c r="SRZ41" s="222"/>
      <c r="SSA41" s="222"/>
      <c r="SSB41" s="222"/>
      <c r="SSC41" s="222"/>
      <c r="SSD41" s="222"/>
      <c r="SSE41" s="222"/>
      <c r="SSF41" s="222"/>
      <c r="SSG41" s="222"/>
      <c r="SSH41" s="222"/>
      <c r="SSI41" s="222"/>
      <c r="SSJ41" s="222"/>
      <c r="SSK41" s="222"/>
      <c r="SSL41" s="222"/>
      <c r="SSM41" s="222"/>
      <c r="SSN41" s="222"/>
      <c r="SSO41" s="222"/>
      <c r="SSP41" s="222"/>
      <c r="SSQ41" s="222"/>
      <c r="SSR41" s="222"/>
      <c r="SSS41" s="222"/>
      <c r="SST41" s="222"/>
      <c r="SSU41" s="222"/>
      <c r="SSV41" s="222"/>
      <c r="SSW41" s="222"/>
      <c r="SSX41" s="222"/>
      <c r="SSY41" s="222"/>
      <c r="SSZ41" s="222"/>
      <c r="STA41" s="222"/>
      <c r="STB41" s="222"/>
      <c r="STC41" s="222"/>
      <c r="STD41" s="222"/>
      <c r="STE41" s="222"/>
      <c r="STF41" s="222"/>
      <c r="STG41" s="222"/>
      <c r="STH41" s="222"/>
      <c r="STI41" s="222"/>
      <c r="STJ41" s="222"/>
      <c r="STK41" s="222"/>
      <c r="STL41" s="222"/>
      <c r="STM41" s="222"/>
      <c r="STN41" s="222"/>
      <c r="STO41" s="222"/>
      <c r="STP41" s="222"/>
      <c r="STQ41" s="222"/>
      <c r="STR41" s="222"/>
      <c r="STS41" s="222"/>
      <c r="STT41" s="222"/>
      <c r="STU41" s="222"/>
      <c r="STV41" s="222"/>
      <c r="STW41" s="222"/>
      <c r="STX41" s="222"/>
      <c r="STY41" s="222"/>
      <c r="STZ41" s="222"/>
      <c r="SUA41" s="222"/>
      <c r="SUB41" s="222"/>
      <c r="SUC41" s="222"/>
      <c r="SUD41" s="222"/>
      <c r="SUE41" s="222"/>
      <c r="SUF41" s="222"/>
      <c r="SUG41" s="222"/>
      <c r="SUH41" s="222"/>
      <c r="SUI41" s="222"/>
      <c r="SUJ41" s="222"/>
      <c r="SUK41" s="222"/>
      <c r="SUL41" s="222"/>
      <c r="SUM41" s="222"/>
      <c r="SUN41" s="222"/>
      <c r="SUO41" s="222"/>
      <c r="SUP41" s="222"/>
      <c r="SUQ41" s="222"/>
      <c r="SUR41" s="222"/>
      <c r="SUS41" s="222"/>
      <c r="SUT41" s="222"/>
      <c r="SUU41" s="222"/>
      <c r="SUV41" s="222"/>
      <c r="SUW41" s="222"/>
      <c r="SUX41" s="222"/>
      <c r="SUY41" s="222"/>
      <c r="SUZ41" s="222"/>
      <c r="SVA41" s="222"/>
      <c r="SVB41" s="222"/>
      <c r="SVC41" s="222"/>
      <c r="SVD41" s="222"/>
      <c r="SVE41" s="222"/>
      <c r="SVF41" s="222"/>
      <c r="SVG41" s="222"/>
      <c r="SVH41" s="222"/>
      <c r="SVI41" s="222"/>
      <c r="SVJ41" s="222"/>
      <c r="SVK41" s="222"/>
      <c r="SVL41" s="222"/>
      <c r="SVM41" s="222"/>
      <c r="SVN41" s="222"/>
      <c r="SVO41" s="222"/>
      <c r="SVP41" s="222"/>
      <c r="SVQ41" s="222"/>
      <c r="SVR41" s="222"/>
      <c r="SVS41" s="222"/>
      <c r="SVT41" s="222"/>
      <c r="SVU41" s="222"/>
      <c r="SVV41" s="222"/>
      <c r="SVW41" s="222"/>
      <c r="SVX41" s="222"/>
      <c r="SVY41" s="222"/>
      <c r="SVZ41" s="222"/>
      <c r="SWA41" s="222"/>
      <c r="SWB41" s="222"/>
      <c r="SWC41" s="222"/>
      <c r="SWD41" s="222"/>
      <c r="SWE41" s="222"/>
      <c r="SWF41" s="222"/>
      <c r="SWG41" s="222"/>
      <c r="SWH41" s="222"/>
      <c r="SWI41" s="222"/>
      <c r="SWJ41" s="222"/>
      <c r="SWK41" s="222"/>
      <c r="SWL41" s="222"/>
      <c r="SWM41" s="222"/>
      <c r="SWN41" s="222"/>
      <c r="SWO41" s="222"/>
      <c r="SWP41" s="222"/>
      <c r="SWQ41" s="222"/>
      <c r="SWR41" s="222"/>
      <c r="SWS41" s="222"/>
      <c r="SWT41" s="222"/>
      <c r="SWU41" s="222"/>
      <c r="SWV41" s="222"/>
      <c r="SWW41" s="222"/>
      <c r="SWX41" s="222"/>
      <c r="SWY41" s="222"/>
      <c r="SWZ41" s="222"/>
      <c r="SXA41" s="222"/>
      <c r="SXB41" s="222"/>
      <c r="SXC41" s="222"/>
      <c r="SXD41" s="222"/>
      <c r="SXE41" s="222"/>
      <c r="SXF41" s="222"/>
      <c r="SXG41" s="222"/>
      <c r="SXH41" s="222"/>
      <c r="SXI41" s="222"/>
      <c r="SXJ41" s="222"/>
      <c r="SXK41" s="222"/>
      <c r="SXL41" s="222"/>
      <c r="SXM41" s="222"/>
      <c r="SXN41" s="222"/>
      <c r="SXO41" s="222"/>
      <c r="SXP41" s="222"/>
      <c r="SXQ41" s="222"/>
      <c r="SXR41" s="222"/>
      <c r="SXS41" s="222"/>
      <c r="SXT41" s="222"/>
      <c r="SXU41" s="222"/>
      <c r="SXV41" s="222"/>
      <c r="SXW41" s="222"/>
      <c r="SXX41" s="222"/>
      <c r="SXY41" s="222"/>
      <c r="SXZ41" s="222"/>
      <c r="SYA41" s="222"/>
      <c r="SYB41" s="222"/>
      <c r="SYC41" s="222"/>
      <c r="SYD41" s="222"/>
      <c r="SYE41" s="222"/>
      <c r="SYF41" s="222"/>
      <c r="SYG41" s="222"/>
      <c r="SYH41" s="222"/>
      <c r="SYI41" s="222"/>
      <c r="SYJ41" s="222"/>
      <c r="SYK41" s="222"/>
      <c r="SYL41" s="222"/>
      <c r="SYM41" s="222"/>
      <c r="SYN41" s="222"/>
      <c r="SYO41" s="222"/>
      <c r="SYP41" s="222"/>
      <c r="SYQ41" s="222"/>
      <c r="SYR41" s="222"/>
      <c r="SYS41" s="222"/>
      <c r="SYT41" s="222"/>
      <c r="SYU41" s="222"/>
      <c r="SYV41" s="222"/>
      <c r="SYW41" s="222"/>
      <c r="SYX41" s="222"/>
      <c r="SYY41" s="222"/>
      <c r="SYZ41" s="222"/>
      <c r="SZA41" s="222"/>
      <c r="SZB41" s="222"/>
      <c r="SZC41" s="222"/>
      <c r="SZD41" s="222"/>
      <c r="SZE41" s="222"/>
      <c r="SZF41" s="222"/>
      <c r="SZG41" s="222"/>
      <c r="SZH41" s="222"/>
      <c r="SZI41" s="222"/>
      <c r="SZJ41" s="222"/>
      <c r="SZK41" s="222"/>
      <c r="SZL41" s="222"/>
      <c r="SZM41" s="222"/>
      <c r="SZN41" s="222"/>
      <c r="SZO41" s="222"/>
      <c r="SZP41" s="222"/>
      <c r="SZQ41" s="222"/>
      <c r="SZR41" s="222"/>
      <c r="SZS41" s="222"/>
      <c r="SZT41" s="222"/>
      <c r="SZU41" s="222"/>
      <c r="SZV41" s="222"/>
      <c r="SZW41" s="222"/>
      <c r="SZX41" s="222"/>
      <c r="SZY41" s="222"/>
      <c r="SZZ41" s="222"/>
      <c r="TAA41" s="222"/>
      <c r="TAB41" s="222"/>
      <c r="TAC41" s="222"/>
      <c r="TAD41" s="222"/>
      <c r="TAE41" s="222"/>
      <c r="TAF41" s="222"/>
      <c r="TAG41" s="222"/>
      <c r="TAH41" s="222"/>
      <c r="TAI41" s="222"/>
      <c r="TAJ41" s="222"/>
      <c r="TAK41" s="222"/>
      <c r="TAL41" s="222"/>
      <c r="TAM41" s="222"/>
      <c r="TAN41" s="222"/>
      <c r="TAO41" s="222"/>
      <c r="TAP41" s="222"/>
      <c r="TAQ41" s="222"/>
      <c r="TAR41" s="222"/>
      <c r="TAS41" s="222"/>
      <c r="TAT41" s="222"/>
      <c r="TAU41" s="222"/>
      <c r="TAV41" s="222"/>
      <c r="TAW41" s="222"/>
      <c r="TAX41" s="222"/>
      <c r="TAY41" s="222"/>
      <c r="TAZ41" s="222"/>
      <c r="TBA41" s="222"/>
      <c r="TBB41" s="222"/>
      <c r="TBC41" s="222"/>
      <c r="TBD41" s="222"/>
      <c r="TBE41" s="222"/>
      <c r="TBF41" s="222"/>
      <c r="TBG41" s="222"/>
      <c r="TBH41" s="222"/>
      <c r="TBI41" s="222"/>
      <c r="TBJ41" s="222"/>
      <c r="TBK41" s="222"/>
      <c r="TBL41" s="222"/>
      <c r="TBM41" s="222"/>
      <c r="TBN41" s="222"/>
      <c r="TBO41" s="222"/>
      <c r="TBP41" s="222"/>
      <c r="TBQ41" s="222"/>
      <c r="TBR41" s="222"/>
      <c r="TBS41" s="222"/>
      <c r="TBT41" s="222"/>
      <c r="TBU41" s="222"/>
      <c r="TBV41" s="222"/>
      <c r="TBW41" s="222"/>
      <c r="TBX41" s="222"/>
      <c r="TBY41" s="222"/>
      <c r="TBZ41" s="222"/>
      <c r="TCA41" s="222"/>
      <c r="TCB41" s="222"/>
      <c r="TCC41" s="222"/>
      <c r="TCD41" s="222"/>
      <c r="TCE41" s="222"/>
      <c r="TCF41" s="222"/>
      <c r="TCG41" s="222"/>
      <c r="TCH41" s="222"/>
      <c r="TCI41" s="222"/>
      <c r="TCJ41" s="222"/>
      <c r="TCK41" s="222"/>
      <c r="TCL41" s="222"/>
      <c r="TCM41" s="222"/>
      <c r="TCN41" s="222"/>
      <c r="TCO41" s="222"/>
      <c r="TCP41" s="222"/>
      <c r="TCQ41" s="222"/>
      <c r="TCR41" s="222"/>
      <c r="TCS41" s="222"/>
      <c r="TCT41" s="222"/>
      <c r="TCU41" s="222"/>
      <c r="TCV41" s="222"/>
      <c r="TCW41" s="222"/>
      <c r="TCX41" s="222"/>
      <c r="TCY41" s="222"/>
      <c r="TCZ41" s="222"/>
      <c r="TDA41" s="222"/>
      <c r="TDB41" s="222"/>
      <c r="TDC41" s="222"/>
      <c r="TDD41" s="222"/>
      <c r="TDE41" s="222"/>
      <c r="TDF41" s="222"/>
      <c r="TDG41" s="222"/>
      <c r="TDH41" s="222"/>
      <c r="TDI41" s="222"/>
      <c r="TDJ41" s="222"/>
      <c r="TDK41" s="222"/>
      <c r="TDL41" s="222"/>
      <c r="TDM41" s="222"/>
      <c r="TDN41" s="222"/>
      <c r="TDO41" s="222"/>
      <c r="TDP41" s="222"/>
      <c r="TDQ41" s="222"/>
      <c r="TDR41" s="222"/>
      <c r="TDS41" s="222"/>
      <c r="TDT41" s="222"/>
      <c r="TDU41" s="222"/>
      <c r="TDV41" s="222"/>
      <c r="TDW41" s="222"/>
      <c r="TDX41" s="222"/>
      <c r="TDY41" s="222"/>
      <c r="TDZ41" s="222"/>
      <c r="TEA41" s="222"/>
      <c r="TEB41" s="222"/>
      <c r="TEC41" s="222"/>
      <c r="TED41" s="222"/>
      <c r="TEE41" s="222"/>
      <c r="TEF41" s="222"/>
      <c r="TEG41" s="222"/>
      <c r="TEH41" s="222"/>
      <c r="TEI41" s="222"/>
      <c r="TEJ41" s="222"/>
      <c r="TEK41" s="222"/>
      <c r="TEL41" s="222"/>
      <c r="TEM41" s="222"/>
      <c r="TEN41" s="222"/>
      <c r="TEO41" s="222"/>
      <c r="TEP41" s="222"/>
      <c r="TEQ41" s="222"/>
      <c r="TER41" s="222"/>
      <c r="TES41" s="222"/>
      <c r="TET41" s="222"/>
      <c r="TEU41" s="222"/>
      <c r="TEV41" s="222"/>
      <c r="TEW41" s="222"/>
      <c r="TEX41" s="222"/>
      <c r="TEY41" s="222"/>
      <c r="TEZ41" s="222"/>
      <c r="TFA41" s="222"/>
      <c r="TFB41" s="222"/>
      <c r="TFC41" s="222"/>
      <c r="TFD41" s="222"/>
      <c r="TFE41" s="222"/>
      <c r="TFF41" s="222"/>
      <c r="TFG41" s="222"/>
      <c r="TFH41" s="222"/>
      <c r="TFI41" s="222"/>
      <c r="TFJ41" s="222"/>
      <c r="TFK41" s="222"/>
      <c r="TFL41" s="222"/>
      <c r="TFM41" s="222"/>
      <c r="TFN41" s="222"/>
      <c r="TFO41" s="222"/>
      <c r="TFP41" s="222"/>
      <c r="TFQ41" s="222"/>
      <c r="TFR41" s="222"/>
      <c r="TFS41" s="222"/>
      <c r="TFT41" s="222"/>
      <c r="TFU41" s="222"/>
      <c r="TFV41" s="222"/>
      <c r="TFW41" s="222"/>
      <c r="TFX41" s="222"/>
      <c r="TFY41" s="222"/>
      <c r="TFZ41" s="222"/>
      <c r="TGA41" s="222"/>
      <c r="TGB41" s="222"/>
      <c r="TGC41" s="222"/>
      <c r="TGD41" s="222"/>
      <c r="TGE41" s="222"/>
      <c r="TGF41" s="222"/>
      <c r="TGG41" s="222"/>
      <c r="TGH41" s="222"/>
      <c r="TGI41" s="222"/>
      <c r="TGJ41" s="222"/>
      <c r="TGK41" s="222"/>
      <c r="TGL41" s="222"/>
      <c r="TGM41" s="222"/>
      <c r="TGN41" s="222"/>
      <c r="TGO41" s="222"/>
      <c r="TGP41" s="222"/>
      <c r="TGQ41" s="222"/>
      <c r="TGR41" s="222"/>
      <c r="TGS41" s="222"/>
      <c r="TGT41" s="222"/>
      <c r="TGU41" s="222"/>
      <c r="TGV41" s="222"/>
      <c r="TGW41" s="222"/>
      <c r="TGX41" s="222"/>
      <c r="TGY41" s="222"/>
      <c r="TGZ41" s="222"/>
      <c r="THA41" s="222"/>
      <c r="THB41" s="222"/>
      <c r="THC41" s="222"/>
      <c r="THD41" s="222"/>
      <c r="THE41" s="222"/>
      <c r="THF41" s="222"/>
      <c r="THG41" s="222"/>
      <c r="THH41" s="222"/>
      <c r="THI41" s="222"/>
      <c r="THJ41" s="222"/>
      <c r="THK41" s="222"/>
      <c r="THL41" s="222"/>
      <c r="THM41" s="222"/>
      <c r="THN41" s="222"/>
      <c r="THO41" s="222"/>
      <c r="THP41" s="222"/>
      <c r="THQ41" s="222"/>
      <c r="THR41" s="222"/>
      <c r="THS41" s="222"/>
      <c r="THT41" s="222"/>
      <c r="THU41" s="222"/>
      <c r="THV41" s="222"/>
      <c r="THW41" s="222"/>
      <c r="THX41" s="222"/>
      <c r="THY41" s="222"/>
      <c r="THZ41" s="222"/>
      <c r="TIA41" s="222"/>
      <c r="TIB41" s="222"/>
      <c r="TIC41" s="222"/>
      <c r="TID41" s="222"/>
      <c r="TIE41" s="222"/>
      <c r="TIF41" s="222"/>
      <c r="TIG41" s="222"/>
      <c r="TIH41" s="222"/>
      <c r="TII41" s="222"/>
      <c r="TIJ41" s="222"/>
      <c r="TIK41" s="222"/>
      <c r="TIL41" s="222"/>
      <c r="TIM41" s="222"/>
      <c r="TIN41" s="222"/>
      <c r="TIO41" s="222"/>
      <c r="TIP41" s="222"/>
      <c r="TIQ41" s="222"/>
      <c r="TIR41" s="222"/>
      <c r="TIS41" s="222"/>
      <c r="TIT41" s="222"/>
      <c r="TIU41" s="222"/>
      <c r="TIV41" s="222"/>
      <c r="TIW41" s="222"/>
      <c r="TIX41" s="222"/>
      <c r="TIY41" s="222"/>
      <c r="TIZ41" s="222"/>
      <c r="TJA41" s="222"/>
      <c r="TJB41" s="222"/>
      <c r="TJC41" s="222"/>
      <c r="TJD41" s="222"/>
      <c r="TJE41" s="222"/>
      <c r="TJF41" s="222"/>
      <c r="TJG41" s="222"/>
      <c r="TJH41" s="222"/>
      <c r="TJI41" s="222"/>
      <c r="TJJ41" s="222"/>
      <c r="TJK41" s="222"/>
      <c r="TJL41" s="222"/>
      <c r="TJM41" s="222"/>
      <c r="TJN41" s="222"/>
      <c r="TJO41" s="222"/>
      <c r="TJP41" s="222"/>
      <c r="TJQ41" s="222"/>
      <c r="TJR41" s="222"/>
      <c r="TJS41" s="222"/>
      <c r="TJT41" s="222"/>
      <c r="TJU41" s="222"/>
      <c r="TJV41" s="222"/>
      <c r="TJW41" s="222"/>
      <c r="TJX41" s="222"/>
      <c r="TJY41" s="222"/>
      <c r="TJZ41" s="222"/>
      <c r="TKA41" s="222"/>
      <c r="TKB41" s="222"/>
      <c r="TKC41" s="222"/>
      <c r="TKD41" s="222"/>
      <c r="TKE41" s="222"/>
      <c r="TKF41" s="222"/>
      <c r="TKG41" s="222"/>
      <c r="TKH41" s="222"/>
      <c r="TKI41" s="222"/>
      <c r="TKJ41" s="222"/>
      <c r="TKK41" s="222"/>
      <c r="TKL41" s="222"/>
      <c r="TKM41" s="222"/>
      <c r="TKN41" s="222"/>
      <c r="TKO41" s="222"/>
      <c r="TKP41" s="222"/>
      <c r="TKQ41" s="222"/>
      <c r="TKR41" s="222"/>
      <c r="TKS41" s="222"/>
      <c r="TKT41" s="222"/>
      <c r="TKU41" s="222"/>
      <c r="TKV41" s="222"/>
      <c r="TKW41" s="222"/>
      <c r="TKX41" s="222"/>
      <c r="TKY41" s="222"/>
      <c r="TKZ41" s="222"/>
      <c r="TLA41" s="222"/>
      <c r="TLB41" s="222"/>
      <c r="TLC41" s="222"/>
      <c r="TLD41" s="222"/>
      <c r="TLE41" s="222"/>
      <c r="TLF41" s="222"/>
      <c r="TLG41" s="222"/>
      <c r="TLH41" s="222"/>
      <c r="TLI41" s="222"/>
      <c r="TLJ41" s="222"/>
      <c r="TLK41" s="222"/>
      <c r="TLL41" s="222"/>
      <c r="TLM41" s="222"/>
      <c r="TLN41" s="222"/>
      <c r="TLO41" s="222"/>
      <c r="TLP41" s="222"/>
      <c r="TLQ41" s="222"/>
      <c r="TLR41" s="222"/>
      <c r="TLS41" s="222"/>
      <c r="TLT41" s="222"/>
      <c r="TLU41" s="222"/>
      <c r="TLV41" s="222"/>
      <c r="TLW41" s="222"/>
      <c r="TLX41" s="222"/>
      <c r="TLY41" s="222"/>
      <c r="TLZ41" s="222"/>
      <c r="TMA41" s="222"/>
      <c r="TMB41" s="222"/>
      <c r="TMC41" s="222"/>
      <c r="TMD41" s="222"/>
      <c r="TME41" s="222"/>
      <c r="TMF41" s="222"/>
      <c r="TMG41" s="222"/>
      <c r="TMH41" s="222"/>
      <c r="TMI41" s="222"/>
      <c r="TMJ41" s="222"/>
      <c r="TMK41" s="222"/>
      <c r="TML41" s="222"/>
      <c r="TMM41" s="222"/>
      <c r="TMN41" s="222"/>
      <c r="TMO41" s="222"/>
      <c r="TMP41" s="222"/>
      <c r="TMQ41" s="222"/>
      <c r="TMR41" s="222"/>
      <c r="TMS41" s="222"/>
      <c r="TMT41" s="222"/>
      <c r="TMU41" s="222"/>
      <c r="TMV41" s="222"/>
      <c r="TMW41" s="222"/>
      <c r="TMX41" s="222"/>
      <c r="TMY41" s="222"/>
      <c r="TMZ41" s="222"/>
      <c r="TNA41" s="222"/>
      <c r="TNB41" s="222"/>
      <c r="TNC41" s="222"/>
      <c r="TND41" s="222"/>
      <c r="TNE41" s="222"/>
      <c r="TNF41" s="222"/>
      <c r="TNG41" s="222"/>
      <c r="TNH41" s="222"/>
      <c r="TNI41" s="222"/>
      <c r="TNJ41" s="222"/>
      <c r="TNK41" s="222"/>
      <c r="TNL41" s="222"/>
      <c r="TNM41" s="222"/>
      <c r="TNN41" s="222"/>
      <c r="TNO41" s="222"/>
      <c r="TNP41" s="222"/>
      <c r="TNQ41" s="222"/>
      <c r="TNR41" s="222"/>
      <c r="TNS41" s="222"/>
      <c r="TNT41" s="222"/>
      <c r="TNU41" s="222"/>
      <c r="TNV41" s="222"/>
      <c r="TNW41" s="222"/>
      <c r="TNX41" s="222"/>
      <c r="TNY41" s="222"/>
      <c r="TNZ41" s="222"/>
      <c r="TOA41" s="222"/>
      <c r="TOB41" s="222"/>
      <c r="TOC41" s="222"/>
      <c r="TOD41" s="222"/>
      <c r="TOE41" s="222"/>
      <c r="TOF41" s="222"/>
      <c r="TOG41" s="222"/>
      <c r="TOH41" s="222"/>
      <c r="TOI41" s="222"/>
      <c r="TOJ41" s="222"/>
      <c r="TOK41" s="222"/>
      <c r="TOL41" s="222"/>
      <c r="TOM41" s="222"/>
      <c r="TON41" s="222"/>
      <c r="TOO41" s="222"/>
      <c r="TOP41" s="222"/>
      <c r="TOQ41" s="222"/>
      <c r="TOR41" s="222"/>
      <c r="TOS41" s="222"/>
      <c r="TOT41" s="222"/>
      <c r="TOU41" s="222"/>
      <c r="TOV41" s="222"/>
      <c r="TOW41" s="222"/>
      <c r="TOX41" s="222"/>
      <c r="TOY41" s="222"/>
      <c r="TOZ41" s="222"/>
      <c r="TPA41" s="222"/>
      <c r="TPB41" s="222"/>
      <c r="TPC41" s="222"/>
      <c r="TPD41" s="222"/>
      <c r="TPE41" s="222"/>
      <c r="TPF41" s="222"/>
      <c r="TPG41" s="222"/>
      <c r="TPH41" s="222"/>
      <c r="TPI41" s="222"/>
      <c r="TPJ41" s="222"/>
      <c r="TPK41" s="222"/>
      <c r="TPL41" s="222"/>
      <c r="TPM41" s="222"/>
      <c r="TPN41" s="222"/>
      <c r="TPO41" s="222"/>
      <c r="TPP41" s="222"/>
      <c r="TPQ41" s="222"/>
      <c r="TPR41" s="222"/>
      <c r="TPS41" s="222"/>
      <c r="TPT41" s="222"/>
      <c r="TPU41" s="222"/>
      <c r="TPV41" s="222"/>
      <c r="TPW41" s="222"/>
      <c r="TPX41" s="222"/>
      <c r="TPY41" s="222"/>
      <c r="TPZ41" s="222"/>
      <c r="TQA41" s="222"/>
      <c r="TQB41" s="222"/>
      <c r="TQC41" s="222"/>
      <c r="TQD41" s="222"/>
      <c r="TQE41" s="222"/>
      <c r="TQF41" s="222"/>
      <c r="TQG41" s="222"/>
      <c r="TQH41" s="222"/>
      <c r="TQI41" s="222"/>
      <c r="TQJ41" s="222"/>
      <c r="TQK41" s="222"/>
      <c r="TQL41" s="222"/>
      <c r="TQM41" s="222"/>
      <c r="TQN41" s="222"/>
      <c r="TQO41" s="222"/>
      <c r="TQP41" s="222"/>
      <c r="TQQ41" s="222"/>
      <c r="TQR41" s="222"/>
      <c r="TQS41" s="222"/>
      <c r="TQT41" s="222"/>
      <c r="TQU41" s="222"/>
      <c r="TQV41" s="222"/>
      <c r="TQW41" s="222"/>
      <c r="TQX41" s="222"/>
      <c r="TQY41" s="222"/>
      <c r="TQZ41" s="222"/>
      <c r="TRA41" s="222"/>
      <c r="TRB41" s="222"/>
      <c r="TRC41" s="222"/>
      <c r="TRD41" s="222"/>
      <c r="TRE41" s="222"/>
      <c r="TRF41" s="222"/>
      <c r="TRG41" s="222"/>
      <c r="TRH41" s="222"/>
      <c r="TRI41" s="222"/>
      <c r="TRJ41" s="222"/>
      <c r="TRK41" s="222"/>
      <c r="TRL41" s="222"/>
      <c r="TRM41" s="222"/>
      <c r="TRN41" s="222"/>
      <c r="TRO41" s="222"/>
      <c r="TRP41" s="222"/>
      <c r="TRQ41" s="222"/>
      <c r="TRR41" s="222"/>
      <c r="TRS41" s="222"/>
      <c r="TRT41" s="222"/>
      <c r="TRU41" s="222"/>
      <c r="TRV41" s="222"/>
      <c r="TRW41" s="222"/>
      <c r="TRX41" s="222"/>
      <c r="TRY41" s="222"/>
      <c r="TRZ41" s="222"/>
      <c r="TSA41" s="222"/>
      <c r="TSB41" s="222"/>
      <c r="TSC41" s="222"/>
      <c r="TSD41" s="222"/>
      <c r="TSE41" s="222"/>
      <c r="TSF41" s="222"/>
      <c r="TSG41" s="222"/>
      <c r="TSH41" s="222"/>
      <c r="TSI41" s="222"/>
      <c r="TSJ41" s="222"/>
      <c r="TSK41" s="222"/>
      <c r="TSL41" s="222"/>
      <c r="TSM41" s="222"/>
      <c r="TSN41" s="222"/>
      <c r="TSO41" s="222"/>
      <c r="TSP41" s="222"/>
      <c r="TSQ41" s="222"/>
      <c r="TSR41" s="222"/>
      <c r="TSS41" s="222"/>
      <c r="TST41" s="222"/>
      <c r="TSU41" s="222"/>
      <c r="TSV41" s="222"/>
      <c r="TSW41" s="222"/>
      <c r="TSX41" s="222"/>
      <c r="TSY41" s="222"/>
      <c r="TSZ41" s="222"/>
      <c r="TTA41" s="222"/>
      <c r="TTB41" s="222"/>
      <c r="TTC41" s="222"/>
      <c r="TTD41" s="222"/>
      <c r="TTE41" s="222"/>
      <c r="TTF41" s="222"/>
      <c r="TTG41" s="222"/>
      <c r="TTH41" s="222"/>
      <c r="TTI41" s="222"/>
      <c r="TTJ41" s="222"/>
      <c r="TTK41" s="222"/>
      <c r="TTL41" s="222"/>
      <c r="TTM41" s="222"/>
      <c r="TTN41" s="222"/>
      <c r="TTO41" s="222"/>
      <c r="TTP41" s="222"/>
      <c r="TTQ41" s="222"/>
      <c r="TTR41" s="222"/>
      <c r="TTS41" s="222"/>
      <c r="TTT41" s="222"/>
      <c r="TTU41" s="222"/>
      <c r="TTV41" s="222"/>
      <c r="TTW41" s="222"/>
      <c r="TTX41" s="222"/>
      <c r="TTY41" s="222"/>
      <c r="TTZ41" s="222"/>
      <c r="TUA41" s="222"/>
      <c r="TUB41" s="222"/>
      <c r="TUC41" s="222"/>
      <c r="TUD41" s="222"/>
      <c r="TUE41" s="222"/>
      <c r="TUF41" s="222"/>
      <c r="TUG41" s="222"/>
      <c r="TUH41" s="222"/>
      <c r="TUI41" s="222"/>
      <c r="TUJ41" s="222"/>
      <c r="TUK41" s="222"/>
      <c r="TUL41" s="222"/>
      <c r="TUM41" s="222"/>
      <c r="TUN41" s="222"/>
      <c r="TUO41" s="222"/>
      <c r="TUP41" s="222"/>
      <c r="TUQ41" s="222"/>
      <c r="TUR41" s="222"/>
      <c r="TUS41" s="222"/>
      <c r="TUT41" s="222"/>
      <c r="TUU41" s="222"/>
      <c r="TUV41" s="222"/>
      <c r="TUW41" s="222"/>
      <c r="TUX41" s="222"/>
      <c r="TUY41" s="222"/>
      <c r="TUZ41" s="222"/>
      <c r="TVA41" s="222"/>
      <c r="TVB41" s="222"/>
      <c r="TVC41" s="222"/>
      <c r="TVD41" s="222"/>
      <c r="TVE41" s="222"/>
      <c r="TVF41" s="222"/>
      <c r="TVG41" s="222"/>
      <c r="TVH41" s="222"/>
      <c r="TVI41" s="222"/>
      <c r="TVJ41" s="222"/>
      <c r="TVK41" s="222"/>
      <c r="TVL41" s="222"/>
      <c r="TVM41" s="222"/>
      <c r="TVN41" s="222"/>
      <c r="TVO41" s="222"/>
      <c r="TVP41" s="222"/>
      <c r="TVQ41" s="222"/>
      <c r="TVR41" s="222"/>
      <c r="TVS41" s="222"/>
      <c r="TVT41" s="222"/>
      <c r="TVU41" s="222"/>
      <c r="TVV41" s="222"/>
      <c r="TVW41" s="222"/>
      <c r="TVX41" s="222"/>
      <c r="TVY41" s="222"/>
      <c r="TVZ41" s="222"/>
      <c r="TWA41" s="222"/>
      <c r="TWB41" s="222"/>
      <c r="TWC41" s="222"/>
      <c r="TWD41" s="222"/>
      <c r="TWE41" s="222"/>
      <c r="TWF41" s="222"/>
      <c r="TWG41" s="222"/>
      <c r="TWH41" s="222"/>
      <c r="TWI41" s="222"/>
      <c r="TWJ41" s="222"/>
      <c r="TWK41" s="222"/>
      <c r="TWL41" s="222"/>
      <c r="TWM41" s="222"/>
      <c r="TWN41" s="222"/>
      <c r="TWO41" s="222"/>
      <c r="TWP41" s="222"/>
      <c r="TWQ41" s="222"/>
      <c r="TWR41" s="222"/>
      <c r="TWS41" s="222"/>
      <c r="TWT41" s="222"/>
      <c r="TWU41" s="222"/>
      <c r="TWV41" s="222"/>
      <c r="TWW41" s="222"/>
      <c r="TWX41" s="222"/>
      <c r="TWY41" s="222"/>
      <c r="TWZ41" s="222"/>
      <c r="TXA41" s="222"/>
      <c r="TXB41" s="222"/>
      <c r="TXC41" s="222"/>
      <c r="TXD41" s="222"/>
      <c r="TXE41" s="222"/>
      <c r="TXF41" s="222"/>
      <c r="TXG41" s="222"/>
      <c r="TXH41" s="222"/>
      <c r="TXI41" s="222"/>
      <c r="TXJ41" s="222"/>
      <c r="TXK41" s="222"/>
      <c r="TXL41" s="222"/>
      <c r="TXM41" s="222"/>
      <c r="TXN41" s="222"/>
      <c r="TXO41" s="222"/>
      <c r="TXP41" s="222"/>
      <c r="TXQ41" s="222"/>
      <c r="TXR41" s="222"/>
      <c r="TXS41" s="222"/>
      <c r="TXT41" s="222"/>
      <c r="TXU41" s="222"/>
      <c r="TXV41" s="222"/>
      <c r="TXW41" s="222"/>
      <c r="TXX41" s="222"/>
      <c r="TXY41" s="222"/>
      <c r="TXZ41" s="222"/>
      <c r="TYA41" s="222"/>
      <c r="TYB41" s="222"/>
      <c r="TYC41" s="222"/>
      <c r="TYD41" s="222"/>
      <c r="TYE41" s="222"/>
      <c r="TYF41" s="222"/>
      <c r="TYG41" s="222"/>
      <c r="TYH41" s="222"/>
      <c r="TYI41" s="222"/>
      <c r="TYJ41" s="222"/>
      <c r="TYK41" s="222"/>
      <c r="TYL41" s="222"/>
      <c r="TYM41" s="222"/>
      <c r="TYN41" s="222"/>
      <c r="TYO41" s="222"/>
      <c r="TYP41" s="222"/>
      <c r="TYQ41" s="222"/>
      <c r="TYR41" s="222"/>
      <c r="TYS41" s="222"/>
      <c r="TYT41" s="222"/>
      <c r="TYU41" s="222"/>
      <c r="TYV41" s="222"/>
      <c r="TYW41" s="222"/>
      <c r="TYX41" s="222"/>
      <c r="TYY41" s="222"/>
      <c r="TYZ41" s="222"/>
      <c r="TZA41" s="222"/>
      <c r="TZB41" s="222"/>
      <c r="TZC41" s="222"/>
      <c r="TZD41" s="222"/>
      <c r="TZE41" s="222"/>
      <c r="TZF41" s="222"/>
      <c r="TZG41" s="222"/>
      <c r="TZH41" s="222"/>
      <c r="TZI41" s="222"/>
      <c r="TZJ41" s="222"/>
      <c r="TZK41" s="222"/>
      <c r="TZL41" s="222"/>
      <c r="TZM41" s="222"/>
      <c r="TZN41" s="222"/>
      <c r="TZO41" s="222"/>
      <c r="TZP41" s="222"/>
      <c r="TZQ41" s="222"/>
      <c r="TZR41" s="222"/>
      <c r="TZS41" s="222"/>
      <c r="TZT41" s="222"/>
      <c r="TZU41" s="222"/>
      <c r="TZV41" s="222"/>
      <c r="TZW41" s="222"/>
      <c r="TZX41" s="222"/>
      <c r="TZY41" s="222"/>
      <c r="TZZ41" s="222"/>
      <c r="UAA41" s="222"/>
      <c r="UAB41" s="222"/>
      <c r="UAC41" s="222"/>
      <c r="UAD41" s="222"/>
      <c r="UAE41" s="222"/>
      <c r="UAF41" s="222"/>
      <c r="UAG41" s="222"/>
      <c r="UAH41" s="222"/>
      <c r="UAI41" s="222"/>
      <c r="UAJ41" s="222"/>
      <c r="UAK41" s="222"/>
      <c r="UAL41" s="222"/>
      <c r="UAM41" s="222"/>
      <c r="UAN41" s="222"/>
      <c r="UAO41" s="222"/>
      <c r="UAP41" s="222"/>
      <c r="UAQ41" s="222"/>
      <c r="UAR41" s="222"/>
      <c r="UAS41" s="222"/>
      <c r="UAT41" s="222"/>
      <c r="UAU41" s="222"/>
      <c r="UAV41" s="222"/>
      <c r="UAW41" s="222"/>
      <c r="UAX41" s="222"/>
      <c r="UAY41" s="222"/>
      <c r="UAZ41" s="222"/>
      <c r="UBA41" s="222"/>
      <c r="UBB41" s="222"/>
      <c r="UBC41" s="222"/>
      <c r="UBD41" s="222"/>
      <c r="UBE41" s="222"/>
      <c r="UBF41" s="222"/>
      <c r="UBG41" s="222"/>
      <c r="UBH41" s="222"/>
      <c r="UBI41" s="222"/>
      <c r="UBJ41" s="222"/>
      <c r="UBK41" s="222"/>
      <c r="UBL41" s="222"/>
      <c r="UBM41" s="222"/>
      <c r="UBN41" s="222"/>
      <c r="UBO41" s="222"/>
      <c r="UBP41" s="222"/>
      <c r="UBQ41" s="222"/>
      <c r="UBR41" s="222"/>
      <c r="UBS41" s="222"/>
      <c r="UBT41" s="222"/>
      <c r="UBU41" s="222"/>
      <c r="UBV41" s="222"/>
      <c r="UBW41" s="222"/>
      <c r="UBX41" s="222"/>
      <c r="UBY41" s="222"/>
      <c r="UBZ41" s="222"/>
      <c r="UCA41" s="222"/>
      <c r="UCB41" s="222"/>
      <c r="UCC41" s="222"/>
      <c r="UCD41" s="222"/>
      <c r="UCE41" s="222"/>
      <c r="UCF41" s="222"/>
      <c r="UCG41" s="222"/>
      <c r="UCH41" s="222"/>
      <c r="UCI41" s="222"/>
      <c r="UCJ41" s="222"/>
      <c r="UCK41" s="222"/>
      <c r="UCL41" s="222"/>
      <c r="UCM41" s="222"/>
      <c r="UCN41" s="222"/>
      <c r="UCO41" s="222"/>
      <c r="UCP41" s="222"/>
      <c r="UCQ41" s="222"/>
      <c r="UCR41" s="222"/>
      <c r="UCS41" s="222"/>
      <c r="UCT41" s="222"/>
      <c r="UCU41" s="222"/>
      <c r="UCV41" s="222"/>
      <c r="UCW41" s="222"/>
      <c r="UCX41" s="222"/>
      <c r="UCY41" s="222"/>
      <c r="UCZ41" s="222"/>
      <c r="UDA41" s="222"/>
      <c r="UDB41" s="222"/>
      <c r="UDC41" s="222"/>
      <c r="UDD41" s="222"/>
      <c r="UDE41" s="222"/>
      <c r="UDF41" s="222"/>
      <c r="UDG41" s="222"/>
      <c r="UDH41" s="222"/>
      <c r="UDI41" s="222"/>
      <c r="UDJ41" s="222"/>
      <c r="UDK41" s="222"/>
      <c r="UDL41" s="222"/>
      <c r="UDM41" s="222"/>
      <c r="UDN41" s="222"/>
      <c r="UDO41" s="222"/>
      <c r="UDP41" s="222"/>
      <c r="UDQ41" s="222"/>
      <c r="UDR41" s="222"/>
      <c r="UDS41" s="222"/>
      <c r="UDT41" s="222"/>
      <c r="UDU41" s="222"/>
      <c r="UDV41" s="222"/>
      <c r="UDW41" s="222"/>
      <c r="UDX41" s="222"/>
      <c r="UDY41" s="222"/>
      <c r="UDZ41" s="222"/>
      <c r="UEA41" s="222"/>
      <c r="UEB41" s="222"/>
      <c r="UEC41" s="222"/>
      <c r="UED41" s="222"/>
      <c r="UEE41" s="222"/>
      <c r="UEF41" s="222"/>
      <c r="UEG41" s="222"/>
      <c r="UEH41" s="222"/>
      <c r="UEI41" s="222"/>
      <c r="UEJ41" s="222"/>
      <c r="UEK41" s="222"/>
      <c r="UEL41" s="222"/>
      <c r="UEM41" s="222"/>
      <c r="UEN41" s="222"/>
      <c r="UEO41" s="222"/>
      <c r="UEP41" s="222"/>
      <c r="UEQ41" s="222"/>
      <c r="UER41" s="222"/>
      <c r="UES41" s="222"/>
      <c r="UET41" s="222"/>
      <c r="UEU41" s="222"/>
      <c r="UEV41" s="222"/>
      <c r="UEW41" s="222"/>
      <c r="UEX41" s="222"/>
      <c r="UEY41" s="222"/>
      <c r="UEZ41" s="222"/>
      <c r="UFA41" s="222"/>
      <c r="UFB41" s="222"/>
      <c r="UFC41" s="222"/>
      <c r="UFD41" s="222"/>
      <c r="UFE41" s="222"/>
      <c r="UFF41" s="222"/>
      <c r="UFG41" s="222"/>
      <c r="UFH41" s="222"/>
      <c r="UFI41" s="222"/>
      <c r="UFJ41" s="222"/>
      <c r="UFK41" s="222"/>
      <c r="UFL41" s="222"/>
      <c r="UFM41" s="222"/>
      <c r="UFN41" s="222"/>
      <c r="UFO41" s="222"/>
      <c r="UFP41" s="222"/>
      <c r="UFQ41" s="222"/>
      <c r="UFR41" s="222"/>
      <c r="UFS41" s="222"/>
      <c r="UFT41" s="222"/>
      <c r="UFU41" s="222"/>
      <c r="UFV41" s="222"/>
      <c r="UFW41" s="222"/>
      <c r="UFX41" s="222"/>
      <c r="UFY41" s="222"/>
      <c r="UFZ41" s="222"/>
      <c r="UGA41" s="222"/>
      <c r="UGB41" s="222"/>
      <c r="UGC41" s="222"/>
      <c r="UGD41" s="222"/>
      <c r="UGE41" s="222"/>
      <c r="UGF41" s="222"/>
      <c r="UGG41" s="222"/>
      <c r="UGH41" s="222"/>
      <c r="UGI41" s="222"/>
      <c r="UGJ41" s="222"/>
      <c r="UGK41" s="222"/>
      <c r="UGL41" s="222"/>
      <c r="UGM41" s="222"/>
      <c r="UGN41" s="222"/>
      <c r="UGO41" s="222"/>
      <c r="UGP41" s="222"/>
      <c r="UGQ41" s="222"/>
      <c r="UGR41" s="222"/>
      <c r="UGS41" s="222"/>
      <c r="UGT41" s="222"/>
      <c r="UGU41" s="222"/>
      <c r="UGV41" s="222"/>
      <c r="UGW41" s="222"/>
      <c r="UGX41" s="222"/>
      <c r="UGY41" s="222"/>
      <c r="UGZ41" s="222"/>
      <c r="UHA41" s="222"/>
      <c r="UHB41" s="222"/>
      <c r="UHC41" s="222"/>
      <c r="UHD41" s="222"/>
      <c r="UHE41" s="222"/>
      <c r="UHF41" s="222"/>
      <c r="UHG41" s="222"/>
      <c r="UHH41" s="222"/>
      <c r="UHI41" s="222"/>
      <c r="UHJ41" s="222"/>
      <c r="UHK41" s="222"/>
      <c r="UHL41" s="222"/>
      <c r="UHM41" s="222"/>
      <c r="UHN41" s="222"/>
      <c r="UHO41" s="222"/>
      <c r="UHP41" s="222"/>
      <c r="UHQ41" s="222"/>
      <c r="UHR41" s="222"/>
      <c r="UHS41" s="222"/>
      <c r="UHT41" s="222"/>
      <c r="UHU41" s="222"/>
      <c r="UHV41" s="222"/>
      <c r="UHW41" s="222"/>
      <c r="UHX41" s="222"/>
      <c r="UHY41" s="222"/>
      <c r="UHZ41" s="222"/>
      <c r="UIA41" s="222"/>
      <c r="UIB41" s="222"/>
      <c r="UIC41" s="222"/>
      <c r="UID41" s="222"/>
      <c r="UIE41" s="222"/>
      <c r="UIF41" s="222"/>
      <c r="UIG41" s="222"/>
      <c r="UIH41" s="222"/>
      <c r="UII41" s="222"/>
      <c r="UIJ41" s="222"/>
      <c r="UIK41" s="222"/>
      <c r="UIL41" s="222"/>
      <c r="UIM41" s="222"/>
      <c r="UIN41" s="222"/>
      <c r="UIO41" s="222"/>
      <c r="UIP41" s="222"/>
      <c r="UIQ41" s="222"/>
      <c r="UIR41" s="222"/>
      <c r="UIS41" s="222"/>
      <c r="UIT41" s="222"/>
      <c r="UIU41" s="222"/>
      <c r="UIV41" s="222"/>
      <c r="UIW41" s="222"/>
      <c r="UIX41" s="222"/>
      <c r="UIY41" s="222"/>
      <c r="UIZ41" s="222"/>
      <c r="UJA41" s="222"/>
      <c r="UJB41" s="222"/>
      <c r="UJC41" s="222"/>
      <c r="UJD41" s="222"/>
      <c r="UJE41" s="222"/>
      <c r="UJF41" s="222"/>
      <c r="UJG41" s="222"/>
      <c r="UJH41" s="222"/>
      <c r="UJI41" s="222"/>
      <c r="UJJ41" s="222"/>
      <c r="UJK41" s="222"/>
      <c r="UJL41" s="222"/>
      <c r="UJM41" s="222"/>
      <c r="UJN41" s="222"/>
      <c r="UJO41" s="222"/>
      <c r="UJP41" s="222"/>
      <c r="UJQ41" s="222"/>
      <c r="UJR41" s="222"/>
      <c r="UJS41" s="222"/>
      <c r="UJT41" s="222"/>
      <c r="UJU41" s="222"/>
      <c r="UJV41" s="222"/>
      <c r="UJW41" s="222"/>
      <c r="UJX41" s="222"/>
      <c r="UJY41" s="222"/>
      <c r="UJZ41" s="222"/>
      <c r="UKA41" s="222"/>
      <c r="UKB41" s="222"/>
      <c r="UKC41" s="222"/>
      <c r="UKD41" s="222"/>
      <c r="UKE41" s="222"/>
      <c r="UKF41" s="222"/>
      <c r="UKG41" s="222"/>
      <c r="UKH41" s="222"/>
      <c r="UKI41" s="222"/>
      <c r="UKJ41" s="222"/>
      <c r="UKK41" s="222"/>
      <c r="UKL41" s="222"/>
      <c r="UKM41" s="222"/>
      <c r="UKN41" s="222"/>
      <c r="UKO41" s="222"/>
      <c r="UKP41" s="222"/>
      <c r="UKQ41" s="222"/>
      <c r="UKR41" s="222"/>
      <c r="UKS41" s="222"/>
      <c r="UKT41" s="222"/>
      <c r="UKU41" s="222"/>
      <c r="UKV41" s="222"/>
      <c r="UKW41" s="222"/>
      <c r="UKX41" s="222"/>
      <c r="UKY41" s="222"/>
      <c r="UKZ41" s="222"/>
      <c r="ULA41" s="222"/>
      <c r="ULB41" s="222"/>
      <c r="ULC41" s="222"/>
      <c r="ULD41" s="222"/>
      <c r="ULE41" s="222"/>
      <c r="ULF41" s="222"/>
      <c r="ULG41" s="222"/>
      <c r="ULH41" s="222"/>
      <c r="ULI41" s="222"/>
      <c r="ULJ41" s="222"/>
      <c r="ULK41" s="222"/>
      <c r="ULL41" s="222"/>
      <c r="ULM41" s="222"/>
      <c r="ULN41" s="222"/>
      <c r="ULO41" s="222"/>
      <c r="ULP41" s="222"/>
      <c r="ULQ41" s="222"/>
      <c r="ULR41" s="222"/>
      <c r="ULS41" s="222"/>
      <c r="ULT41" s="222"/>
      <c r="ULU41" s="222"/>
      <c r="ULV41" s="222"/>
      <c r="ULW41" s="222"/>
      <c r="ULX41" s="222"/>
      <c r="ULY41" s="222"/>
      <c r="ULZ41" s="222"/>
      <c r="UMA41" s="222"/>
      <c r="UMB41" s="222"/>
      <c r="UMC41" s="222"/>
      <c r="UMD41" s="222"/>
      <c r="UME41" s="222"/>
      <c r="UMF41" s="222"/>
      <c r="UMG41" s="222"/>
      <c r="UMH41" s="222"/>
      <c r="UMI41" s="222"/>
      <c r="UMJ41" s="222"/>
      <c r="UMK41" s="222"/>
      <c r="UML41" s="222"/>
      <c r="UMM41" s="222"/>
      <c r="UMN41" s="222"/>
      <c r="UMO41" s="222"/>
      <c r="UMP41" s="222"/>
      <c r="UMQ41" s="222"/>
      <c r="UMR41" s="222"/>
      <c r="UMS41" s="222"/>
      <c r="UMT41" s="222"/>
      <c r="UMU41" s="222"/>
      <c r="UMV41" s="222"/>
      <c r="UMW41" s="222"/>
      <c r="UMX41" s="222"/>
      <c r="UMY41" s="222"/>
      <c r="UMZ41" s="222"/>
      <c r="UNA41" s="222"/>
      <c r="UNB41" s="222"/>
      <c r="UNC41" s="222"/>
      <c r="UND41" s="222"/>
      <c r="UNE41" s="222"/>
      <c r="UNF41" s="222"/>
      <c r="UNG41" s="222"/>
      <c r="UNH41" s="222"/>
      <c r="UNI41" s="222"/>
      <c r="UNJ41" s="222"/>
      <c r="UNK41" s="222"/>
      <c r="UNL41" s="222"/>
      <c r="UNM41" s="222"/>
      <c r="UNN41" s="222"/>
      <c r="UNO41" s="222"/>
      <c r="UNP41" s="222"/>
      <c r="UNQ41" s="222"/>
      <c r="UNR41" s="222"/>
      <c r="UNS41" s="222"/>
      <c r="UNT41" s="222"/>
      <c r="UNU41" s="222"/>
      <c r="UNV41" s="222"/>
      <c r="UNW41" s="222"/>
      <c r="UNX41" s="222"/>
      <c r="UNY41" s="222"/>
      <c r="UNZ41" s="222"/>
      <c r="UOA41" s="222"/>
      <c r="UOB41" s="222"/>
      <c r="UOC41" s="222"/>
      <c r="UOD41" s="222"/>
      <c r="UOE41" s="222"/>
      <c r="UOF41" s="222"/>
      <c r="UOG41" s="222"/>
      <c r="UOH41" s="222"/>
      <c r="UOI41" s="222"/>
      <c r="UOJ41" s="222"/>
      <c r="UOK41" s="222"/>
      <c r="UOL41" s="222"/>
      <c r="UOM41" s="222"/>
      <c r="UON41" s="222"/>
      <c r="UOO41" s="222"/>
      <c r="UOP41" s="222"/>
      <c r="UOQ41" s="222"/>
      <c r="UOR41" s="222"/>
      <c r="UOS41" s="222"/>
      <c r="UOT41" s="222"/>
      <c r="UOU41" s="222"/>
      <c r="UOV41" s="222"/>
      <c r="UOW41" s="222"/>
      <c r="UOX41" s="222"/>
      <c r="UOY41" s="222"/>
      <c r="UOZ41" s="222"/>
      <c r="UPA41" s="222"/>
      <c r="UPB41" s="222"/>
      <c r="UPC41" s="222"/>
      <c r="UPD41" s="222"/>
      <c r="UPE41" s="222"/>
      <c r="UPF41" s="222"/>
      <c r="UPG41" s="222"/>
      <c r="UPH41" s="222"/>
      <c r="UPI41" s="222"/>
      <c r="UPJ41" s="222"/>
      <c r="UPK41" s="222"/>
      <c r="UPL41" s="222"/>
      <c r="UPM41" s="222"/>
      <c r="UPN41" s="222"/>
      <c r="UPO41" s="222"/>
      <c r="UPP41" s="222"/>
      <c r="UPQ41" s="222"/>
      <c r="UPR41" s="222"/>
      <c r="UPS41" s="222"/>
      <c r="UPT41" s="222"/>
      <c r="UPU41" s="222"/>
      <c r="UPV41" s="222"/>
      <c r="UPW41" s="222"/>
      <c r="UPX41" s="222"/>
      <c r="UPY41" s="222"/>
      <c r="UPZ41" s="222"/>
      <c r="UQA41" s="222"/>
      <c r="UQB41" s="222"/>
      <c r="UQC41" s="222"/>
      <c r="UQD41" s="222"/>
      <c r="UQE41" s="222"/>
      <c r="UQF41" s="222"/>
      <c r="UQG41" s="222"/>
      <c r="UQH41" s="222"/>
      <c r="UQI41" s="222"/>
      <c r="UQJ41" s="222"/>
      <c r="UQK41" s="222"/>
      <c r="UQL41" s="222"/>
      <c r="UQM41" s="222"/>
      <c r="UQN41" s="222"/>
      <c r="UQO41" s="222"/>
      <c r="UQP41" s="222"/>
      <c r="UQQ41" s="222"/>
      <c r="UQR41" s="222"/>
      <c r="UQS41" s="222"/>
      <c r="UQT41" s="222"/>
      <c r="UQU41" s="222"/>
      <c r="UQV41" s="222"/>
      <c r="UQW41" s="222"/>
      <c r="UQX41" s="222"/>
      <c r="UQY41" s="222"/>
      <c r="UQZ41" s="222"/>
      <c r="URA41" s="222"/>
      <c r="URB41" s="222"/>
      <c r="URC41" s="222"/>
      <c r="URD41" s="222"/>
      <c r="URE41" s="222"/>
      <c r="URF41" s="222"/>
      <c r="URG41" s="222"/>
      <c r="URH41" s="222"/>
      <c r="URI41" s="222"/>
      <c r="URJ41" s="222"/>
      <c r="URK41" s="222"/>
      <c r="URL41" s="222"/>
      <c r="URM41" s="222"/>
      <c r="URN41" s="222"/>
      <c r="URO41" s="222"/>
      <c r="URP41" s="222"/>
      <c r="URQ41" s="222"/>
      <c r="URR41" s="222"/>
      <c r="URS41" s="222"/>
      <c r="URT41" s="222"/>
      <c r="URU41" s="222"/>
      <c r="URV41" s="222"/>
      <c r="URW41" s="222"/>
      <c r="URX41" s="222"/>
      <c r="URY41" s="222"/>
      <c r="URZ41" s="222"/>
      <c r="USA41" s="222"/>
      <c r="USB41" s="222"/>
      <c r="USC41" s="222"/>
      <c r="USD41" s="222"/>
      <c r="USE41" s="222"/>
      <c r="USF41" s="222"/>
      <c r="USG41" s="222"/>
      <c r="USH41" s="222"/>
      <c r="USI41" s="222"/>
      <c r="USJ41" s="222"/>
      <c r="USK41" s="222"/>
      <c r="USL41" s="222"/>
      <c r="USM41" s="222"/>
      <c r="USN41" s="222"/>
      <c r="USO41" s="222"/>
      <c r="USP41" s="222"/>
      <c r="USQ41" s="222"/>
      <c r="USR41" s="222"/>
      <c r="USS41" s="222"/>
      <c r="UST41" s="222"/>
      <c r="USU41" s="222"/>
      <c r="USV41" s="222"/>
      <c r="USW41" s="222"/>
      <c r="USX41" s="222"/>
      <c r="USY41" s="222"/>
      <c r="USZ41" s="222"/>
      <c r="UTA41" s="222"/>
      <c r="UTB41" s="222"/>
      <c r="UTC41" s="222"/>
      <c r="UTD41" s="222"/>
      <c r="UTE41" s="222"/>
      <c r="UTF41" s="222"/>
      <c r="UTG41" s="222"/>
      <c r="UTH41" s="222"/>
      <c r="UTI41" s="222"/>
      <c r="UTJ41" s="222"/>
      <c r="UTK41" s="222"/>
      <c r="UTL41" s="222"/>
      <c r="UTM41" s="222"/>
      <c r="UTN41" s="222"/>
      <c r="UTO41" s="222"/>
      <c r="UTP41" s="222"/>
      <c r="UTQ41" s="222"/>
      <c r="UTR41" s="222"/>
      <c r="UTS41" s="222"/>
      <c r="UTT41" s="222"/>
      <c r="UTU41" s="222"/>
      <c r="UTV41" s="222"/>
      <c r="UTW41" s="222"/>
      <c r="UTX41" s="222"/>
      <c r="UTY41" s="222"/>
      <c r="UTZ41" s="222"/>
      <c r="UUA41" s="222"/>
      <c r="UUB41" s="222"/>
      <c r="UUC41" s="222"/>
      <c r="UUD41" s="222"/>
      <c r="UUE41" s="222"/>
      <c r="UUF41" s="222"/>
      <c r="UUG41" s="222"/>
      <c r="UUH41" s="222"/>
      <c r="UUI41" s="222"/>
      <c r="UUJ41" s="222"/>
      <c r="UUK41" s="222"/>
      <c r="UUL41" s="222"/>
      <c r="UUM41" s="222"/>
      <c r="UUN41" s="222"/>
      <c r="UUO41" s="222"/>
      <c r="UUP41" s="222"/>
      <c r="UUQ41" s="222"/>
      <c r="UUR41" s="222"/>
      <c r="UUS41" s="222"/>
      <c r="UUT41" s="222"/>
      <c r="UUU41" s="222"/>
      <c r="UUV41" s="222"/>
      <c r="UUW41" s="222"/>
      <c r="UUX41" s="222"/>
      <c r="UUY41" s="222"/>
      <c r="UUZ41" s="222"/>
      <c r="UVA41" s="222"/>
      <c r="UVB41" s="222"/>
      <c r="UVC41" s="222"/>
      <c r="UVD41" s="222"/>
      <c r="UVE41" s="222"/>
      <c r="UVF41" s="222"/>
      <c r="UVG41" s="222"/>
      <c r="UVH41" s="222"/>
      <c r="UVI41" s="222"/>
      <c r="UVJ41" s="222"/>
      <c r="UVK41" s="222"/>
      <c r="UVL41" s="222"/>
      <c r="UVM41" s="222"/>
      <c r="UVN41" s="222"/>
      <c r="UVO41" s="222"/>
      <c r="UVP41" s="222"/>
      <c r="UVQ41" s="222"/>
      <c r="UVR41" s="222"/>
      <c r="UVS41" s="222"/>
      <c r="UVT41" s="222"/>
      <c r="UVU41" s="222"/>
      <c r="UVV41" s="222"/>
      <c r="UVW41" s="222"/>
      <c r="UVX41" s="222"/>
      <c r="UVY41" s="222"/>
      <c r="UVZ41" s="222"/>
      <c r="UWA41" s="222"/>
      <c r="UWB41" s="222"/>
      <c r="UWC41" s="222"/>
      <c r="UWD41" s="222"/>
      <c r="UWE41" s="222"/>
      <c r="UWF41" s="222"/>
      <c r="UWG41" s="222"/>
      <c r="UWH41" s="222"/>
      <c r="UWI41" s="222"/>
      <c r="UWJ41" s="222"/>
      <c r="UWK41" s="222"/>
      <c r="UWL41" s="222"/>
      <c r="UWM41" s="222"/>
      <c r="UWN41" s="222"/>
      <c r="UWO41" s="222"/>
      <c r="UWP41" s="222"/>
      <c r="UWQ41" s="222"/>
      <c r="UWR41" s="222"/>
      <c r="UWS41" s="222"/>
      <c r="UWT41" s="222"/>
      <c r="UWU41" s="222"/>
      <c r="UWV41" s="222"/>
      <c r="UWW41" s="222"/>
      <c r="UWX41" s="222"/>
      <c r="UWY41" s="222"/>
      <c r="UWZ41" s="222"/>
      <c r="UXA41" s="222"/>
      <c r="UXB41" s="222"/>
      <c r="UXC41" s="222"/>
      <c r="UXD41" s="222"/>
      <c r="UXE41" s="222"/>
      <c r="UXF41" s="222"/>
      <c r="UXG41" s="222"/>
      <c r="UXH41" s="222"/>
      <c r="UXI41" s="222"/>
      <c r="UXJ41" s="222"/>
      <c r="UXK41" s="222"/>
      <c r="UXL41" s="222"/>
      <c r="UXM41" s="222"/>
      <c r="UXN41" s="222"/>
      <c r="UXO41" s="222"/>
      <c r="UXP41" s="222"/>
      <c r="UXQ41" s="222"/>
      <c r="UXR41" s="222"/>
      <c r="UXS41" s="222"/>
      <c r="UXT41" s="222"/>
      <c r="UXU41" s="222"/>
      <c r="UXV41" s="222"/>
      <c r="UXW41" s="222"/>
      <c r="UXX41" s="222"/>
      <c r="UXY41" s="222"/>
      <c r="UXZ41" s="222"/>
      <c r="UYA41" s="222"/>
      <c r="UYB41" s="222"/>
      <c r="UYC41" s="222"/>
      <c r="UYD41" s="222"/>
      <c r="UYE41" s="222"/>
      <c r="UYF41" s="222"/>
      <c r="UYG41" s="222"/>
      <c r="UYH41" s="222"/>
      <c r="UYI41" s="222"/>
      <c r="UYJ41" s="222"/>
      <c r="UYK41" s="222"/>
      <c r="UYL41" s="222"/>
      <c r="UYM41" s="222"/>
      <c r="UYN41" s="222"/>
      <c r="UYO41" s="222"/>
      <c r="UYP41" s="222"/>
      <c r="UYQ41" s="222"/>
      <c r="UYR41" s="222"/>
      <c r="UYS41" s="222"/>
      <c r="UYT41" s="222"/>
      <c r="UYU41" s="222"/>
      <c r="UYV41" s="222"/>
      <c r="UYW41" s="222"/>
      <c r="UYX41" s="222"/>
      <c r="UYY41" s="222"/>
      <c r="UYZ41" s="222"/>
      <c r="UZA41" s="222"/>
      <c r="UZB41" s="222"/>
      <c r="UZC41" s="222"/>
      <c r="UZD41" s="222"/>
      <c r="UZE41" s="222"/>
      <c r="UZF41" s="222"/>
      <c r="UZG41" s="222"/>
      <c r="UZH41" s="222"/>
      <c r="UZI41" s="222"/>
      <c r="UZJ41" s="222"/>
      <c r="UZK41" s="222"/>
      <c r="UZL41" s="222"/>
      <c r="UZM41" s="222"/>
      <c r="UZN41" s="222"/>
      <c r="UZO41" s="222"/>
      <c r="UZP41" s="222"/>
      <c r="UZQ41" s="222"/>
      <c r="UZR41" s="222"/>
      <c r="UZS41" s="222"/>
      <c r="UZT41" s="222"/>
      <c r="UZU41" s="222"/>
      <c r="UZV41" s="222"/>
      <c r="UZW41" s="222"/>
      <c r="UZX41" s="222"/>
      <c r="UZY41" s="222"/>
      <c r="UZZ41" s="222"/>
      <c r="VAA41" s="222"/>
      <c r="VAB41" s="222"/>
      <c r="VAC41" s="222"/>
      <c r="VAD41" s="222"/>
      <c r="VAE41" s="222"/>
      <c r="VAF41" s="222"/>
      <c r="VAG41" s="222"/>
      <c r="VAH41" s="222"/>
      <c r="VAI41" s="222"/>
      <c r="VAJ41" s="222"/>
      <c r="VAK41" s="222"/>
      <c r="VAL41" s="222"/>
      <c r="VAM41" s="222"/>
      <c r="VAN41" s="222"/>
      <c r="VAO41" s="222"/>
      <c r="VAP41" s="222"/>
      <c r="VAQ41" s="222"/>
      <c r="VAR41" s="222"/>
      <c r="VAS41" s="222"/>
      <c r="VAT41" s="222"/>
      <c r="VAU41" s="222"/>
      <c r="VAV41" s="222"/>
      <c r="VAW41" s="222"/>
      <c r="VAX41" s="222"/>
      <c r="VAY41" s="222"/>
      <c r="VAZ41" s="222"/>
      <c r="VBA41" s="222"/>
      <c r="VBB41" s="222"/>
      <c r="VBC41" s="222"/>
      <c r="VBD41" s="222"/>
      <c r="VBE41" s="222"/>
      <c r="VBF41" s="222"/>
      <c r="VBG41" s="222"/>
      <c r="VBH41" s="222"/>
      <c r="VBI41" s="222"/>
      <c r="VBJ41" s="222"/>
      <c r="VBK41" s="222"/>
      <c r="VBL41" s="222"/>
      <c r="VBM41" s="222"/>
      <c r="VBN41" s="222"/>
      <c r="VBO41" s="222"/>
      <c r="VBP41" s="222"/>
      <c r="VBQ41" s="222"/>
      <c r="VBR41" s="222"/>
      <c r="VBS41" s="222"/>
      <c r="VBT41" s="222"/>
      <c r="VBU41" s="222"/>
      <c r="VBV41" s="222"/>
      <c r="VBW41" s="222"/>
      <c r="VBX41" s="222"/>
      <c r="VBY41" s="222"/>
      <c r="VBZ41" s="222"/>
      <c r="VCA41" s="222"/>
      <c r="VCB41" s="222"/>
      <c r="VCC41" s="222"/>
      <c r="VCD41" s="222"/>
      <c r="VCE41" s="222"/>
      <c r="VCF41" s="222"/>
      <c r="VCG41" s="222"/>
      <c r="VCH41" s="222"/>
      <c r="VCI41" s="222"/>
      <c r="VCJ41" s="222"/>
      <c r="VCK41" s="222"/>
      <c r="VCL41" s="222"/>
      <c r="VCM41" s="222"/>
      <c r="VCN41" s="222"/>
      <c r="VCO41" s="222"/>
      <c r="VCP41" s="222"/>
      <c r="VCQ41" s="222"/>
      <c r="VCR41" s="222"/>
      <c r="VCS41" s="222"/>
      <c r="VCT41" s="222"/>
      <c r="VCU41" s="222"/>
      <c r="VCV41" s="222"/>
      <c r="VCW41" s="222"/>
      <c r="VCX41" s="222"/>
      <c r="VCY41" s="222"/>
      <c r="VCZ41" s="222"/>
      <c r="VDA41" s="222"/>
      <c r="VDB41" s="222"/>
      <c r="VDC41" s="222"/>
      <c r="VDD41" s="222"/>
      <c r="VDE41" s="222"/>
      <c r="VDF41" s="222"/>
      <c r="VDG41" s="222"/>
      <c r="VDH41" s="222"/>
      <c r="VDI41" s="222"/>
      <c r="VDJ41" s="222"/>
      <c r="VDK41" s="222"/>
      <c r="VDL41" s="222"/>
      <c r="VDM41" s="222"/>
      <c r="VDN41" s="222"/>
      <c r="VDO41" s="222"/>
      <c r="VDP41" s="222"/>
      <c r="VDQ41" s="222"/>
      <c r="VDR41" s="222"/>
      <c r="VDS41" s="222"/>
      <c r="VDT41" s="222"/>
      <c r="VDU41" s="222"/>
      <c r="VDV41" s="222"/>
      <c r="VDW41" s="222"/>
      <c r="VDX41" s="222"/>
      <c r="VDY41" s="222"/>
      <c r="VDZ41" s="222"/>
      <c r="VEA41" s="222"/>
      <c r="VEB41" s="222"/>
      <c r="VEC41" s="222"/>
      <c r="VED41" s="222"/>
      <c r="VEE41" s="222"/>
      <c r="VEF41" s="222"/>
      <c r="VEG41" s="222"/>
      <c r="VEH41" s="222"/>
      <c r="VEI41" s="222"/>
      <c r="VEJ41" s="222"/>
      <c r="VEK41" s="222"/>
      <c r="VEL41" s="222"/>
      <c r="VEM41" s="222"/>
      <c r="VEN41" s="222"/>
      <c r="VEO41" s="222"/>
      <c r="VEP41" s="222"/>
      <c r="VEQ41" s="222"/>
      <c r="VER41" s="222"/>
      <c r="VES41" s="222"/>
      <c r="VET41" s="222"/>
      <c r="VEU41" s="222"/>
      <c r="VEV41" s="222"/>
      <c r="VEW41" s="222"/>
      <c r="VEX41" s="222"/>
      <c r="VEY41" s="222"/>
      <c r="VEZ41" s="222"/>
      <c r="VFA41" s="222"/>
      <c r="VFB41" s="222"/>
      <c r="VFC41" s="222"/>
      <c r="VFD41" s="222"/>
      <c r="VFE41" s="222"/>
      <c r="VFF41" s="222"/>
      <c r="VFG41" s="222"/>
      <c r="VFH41" s="222"/>
      <c r="VFI41" s="222"/>
      <c r="VFJ41" s="222"/>
      <c r="VFK41" s="222"/>
      <c r="VFL41" s="222"/>
      <c r="VFM41" s="222"/>
      <c r="VFN41" s="222"/>
      <c r="VFO41" s="222"/>
      <c r="VFP41" s="222"/>
      <c r="VFQ41" s="222"/>
      <c r="VFR41" s="222"/>
      <c r="VFS41" s="222"/>
      <c r="VFT41" s="222"/>
      <c r="VFU41" s="222"/>
      <c r="VFV41" s="222"/>
      <c r="VFW41" s="222"/>
      <c r="VFX41" s="222"/>
      <c r="VFY41" s="222"/>
      <c r="VFZ41" s="222"/>
      <c r="VGA41" s="222"/>
      <c r="VGB41" s="222"/>
      <c r="VGC41" s="222"/>
      <c r="VGD41" s="222"/>
      <c r="VGE41" s="222"/>
      <c r="VGF41" s="222"/>
      <c r="VGG41" s="222"/>
      <c r="VGH41" s="222"/>
      <c r="VGI41" s="222"/>
      <c r="VGJ41" s="222"/>
      <c r="VGK41" s="222"/>
      <c r="VGL41" s="222"/>
      <c r="VGM41" s="222"/>
      <c r="VGN41" s="222"/>
      <c r="VGO41" s="222"/>
      <c r="VGP41" s="222"/>
      <c r="VGQ41" s="222"/>
      <c r="VGR41" s="222"/>
      <c r="VGS41" s="222"/>
      <c r="VGT41" s="222"/>
      <c r="VGU41" s="222"/>
      <c r="VGV41" s="222"/>
      <c r="VGW41" s="222"/>
      <c r="VGX41" s="222"/>
      <c r="VGY41" s="222"/>
      <c r="VGZ41" s="222"/>
      <c r="VHA41" s="222"/>
      <c r="VHB41" s="222"/>
      <c r="VHC41" s="222"/>
      <c r="VHD41" s="222"/>
      <c r="VHE41" s="222"/>
      <c r="VHF41" s="222"/>
      <c r="VHG41" s="222"/>
      <c r="VHH41" s="222"/>
      <c r="VHI41" s="222"/>
      <c r="VHJ41" s="222"/>
      <c r="VHK41" s="222"/>
      <c r="VHL41" s="222"/>
      <c r="VHM41" s="222"/>
      <c r="VHN41" s="222"/>
      <c r="VHO41" s="222"/>
      <c r="VHP41" s="222"/>
      <c r="VHQ41" s="222"/>
      <c r="VHR41" s="222"/>
      <c r="VHS41" s="222"/>
      <c r="VHT41" s="222"/>
      <c r="VHU41" s="222"/>
      <c r="VHV41" s="222"/>
      <c r="VHW41" s="222"/>
      <c r="VHX41" s="222"/>
      <c r="VHY41" s="222"/>
      <c r="VHZ41" s="222"/>
      <c r="VIA41" s="222"/>
      <c r="VIB41" s="222"/>
      <c r="VIC41" s="222"/>
      <c r="VID41" s="222"/>
      <c r="VIE41" s="222"/>
      <c r="VIF41" s="222"/>
      <c r="VIG41" s="222"/>
      <c r="VIH41" s="222"/>
      <c r="VII41" s="222"/>
      <c r="VIJ41" s="222"/>
      <c r="VIK41" s="222"/>
      <c r="VIL41" s="222"/>
      <c r="VIM41" s="222"/>
      <c r="VIN41" s="222"/>
      <c r="VIO41" s="222"/>
      <c r="VIP41" s="222"/>
      <c r="VIQ41" s="222"/>
      <c r="VIR41" s="222"/>
      <c r="VIS41" s="222"/>
      <c r="VIT41" s="222"/>
      <c r="VIU41" s="222"/>
      <c r="VIV41" s="222"/>
      <c r="VIW41" s="222"/>
      <c r="VIX41" s="222"/>
      <c r="VIY41" s="222"/>
      <c r="VIZ41" s="222"/>
      <c r="VJA41" s="222"/>
      <c r="VJB41" s="222"/>
      <c r="VJC41" s="222"/>
      <c r="VJD41" s="222"/>
      <c r="VJE41" s="222"/>
      <c r="VJF41" s="222"/>
      <c r="VJG41" s="222"/>
      <c r="VJH41" s="222"/>
      <c r="VJI41" s="222"/>
      <c r="VJJ41" s="222"/>
      <c r="VJK41" s="222"/>
      <c r="VJL41" s="222"/>
      <c r="VJM41" s="222"/>
      <c r="VJN41" s="222"/>
      <c r="VJO41" s="222"/>
      <c r="VJP41" s="222"/>
      <c r="VJQ41" s="222"/>
      <c r="VJR41" s="222"/>
      <c r="VJS41" s="222"/>
      <c r="VJT41" s="222"/>
      <c r="VJU41" s="222"/>
      <c r="VJV41" s="222"/>
      <c r="VJW41" s="222"/>
      <c r="VJX41" s="222"/>
      <c r="VJY41" s="222"/>
      <c r="VJZ41" s="222"/>
      <c r="VKA41" s="222"/>
      <c r="VKB41" s="222"/>
      <c r="VKC41" s="222"/>
      <c r="VKD41" s="222"/>
      <c r="VKE41" s="222"/>
      <c r="VKF41" s="222"/>
      <c r="VKG41" s="222"/>
      <c r="VKH41" s="222"/>
      <c r="VKI41" s="222"/>
      <c r="VKJ41" s="222"/>
      <c r="VKK41" s="222"/>
      <c r="VKL41" s="222"/>
      <c r="VKM41" s="222"/>
      <c r="VKN41" s="222"/>
      <c r="VKO41" s="222"/>
      <c r="VKP41" s="222"/>
      <c r="VKQ41" s="222"/>
      <c r="VKR41" s="222"/>
      <c r="VKS41" s="222"/>
      <c r="VKT41" s="222"/>
      <c r="VKU41" s="222"/>
      <c r="VKV41" s="222"/>
      <c r="VKW41" s="222"/>
      <c r="VKX41" s="222"/>
      <c r="VKY41" s="222"/>
      <c r="VKZ41" s="222"/>
      <c r="VLA41" s="222"/>
      <c r="VLB41" s="222"/>
      <c r="VLC41" s="222"/>
      <c r="VLD41" s="222"/>
      <c r="VLE41" s="222"/>
      <c r="VLF41" s="222"/>
      <c r="VLG41" s="222"/>
      <c r="VLH41" s="222"/>
      <c r="VLI41" s="222"/>
      <c r="VLJ41" s="222"/>
      <c r="VLK41" s="222"/>
      <c r="VLL41" s="222"/>
      <c r="VLM41" s="222"/>
      <c r="VLN41" s="222"/>
      <c r="VLO41" s="222"/>
      <c r="VLP41" s="222"/>
      <c r="VLQ41" s="222"/>
      <c r="VLR41" s="222"/>
      <c r="VLS41" s="222"/>
      <c r="VLT41" s="222"/>
      <c r="VLU41" s="222"/>
      <c r="VLV41" s="222"/>
      <c r="VLW41" s="222"/>
      <c r="VLX41" s="222"/>
      <c r="VLY41" s="222"/>
      <c r="VLZ41" s="222"/>
      <c r="VMA41" s="222"/>
      <c r="VMB41" s="222"/>
      <c r="VMC41" s="222"/>
      <c r="VMD41" s="222"/>
      <c r="VME41" s="222"/>
      <c r="VMF41" s="222"/>
      <c r="VMG41" s="222"/>
      <c r="VMH41" s="222"/>
      <c r="VMI41" s="222"/>
      <c r="VMJ41" s="222"/>
      <c r="VMK41" s="222"/>
      <c r="VML41" s="222"/>
      <c r="VMM41" s="222"/>
      <c r="VMN41" s="222"/>
      <c r="VMO41" s="222"/>
      <c r="VMP41" s="222"/>
      <c r="VMQ41" s="222"/>
      <c r="VMR41" s="222"/>
      <c r="VMS41" s="222"/>
      <c r="VMT41" s="222"/>
      <c r="VMU41" s="222"/>
      <c r="VMV41" s="222"/>
      <c r="VMW41" s="222"/>
      <c r="VMX41" s="222"/>
      <c r="VMY41" s="222"/>
      <c r="VMZ41" s="222"/>
      <c r="VNA41" s="222"/>
      <c r="VNB41" s="222"/>
      <c r="VNC41" s="222"/>
      <c r="VND41" s="222"/>
      <c r="VNE41" s="222"/>
      <c r="VNF41" s="222"/>
      <c r="VNG41" s="222"/>
      <c r="VNH41" s="222"/>
      <c r="VNI41" s="222"/>
      <c r="VNJ41" s="222"/>
      <c r="VNK41" s="222"/>
      <c r="VNL41" s="222"/>
      <c r="VNM41" s="222"/>
      <c r="VNN41" s="222"/>
      <c r="VNO41" s="222"/>
      <c r="VNP41" s="222"/>
      <c r="VNQ41" s="222"/>
      <c r="VNR41" s="222"/>
      <c r="VNS41" s="222"/>
      <c r="VNT41" s="222"/>
      <c r="VNU41" s="222"/>
      <c r="VNV41" s="222"/>
      <c r="VNW41" s="222"/>
      <c r="VNX41" s="222"/>
      <c r="VNY41" s="222"/>
      <c r="VNZ41" s="222"/>
      <c r="VOA41" s="222"/>
      <c r="VOB41" s="222"/>
      <c r="VOC41" s="222"/>
      <c r="VOD41" s="222"/>
      <c r="VOE41" s="222"/>
      <c r="VOF41" s="222"/>
      <c r="VOG41" s="222"/>
      <c r="VOH41" s="222"/>
      <c r="VOI41" s="222"/>
      <c r="VOJ41" s="222"/>
      <c r="VOK41" s="222"/>
      <c r="VOL41" s="222"/>
      <c r="VOM41" s="222"/>
      <c r="VON41" s="222"/>
      <c r="VOO41" s="222"/>
      <c r="VOP41" s="222"/>
      <c r="VOQ41" s="222"/>
      <c r="VOR41" s="222"/>
      <c r="VOS41" s="222"/>
      <c r="VOT41" s="222"/>
      <c r="VOU41" s="222"/>
      <c r="VOV41" s="222"/>
      <c r="VOW41" s="222"/>
      <c r="VOX41" s="222"/>
      <c r="VOY41" s="222"/>
      <c r="VOZ41" s="222"/>
      <c r="VPA41" s="222"/>
      <c r="VPB41" s="222"/>
      <c r="VPC41" s="222"/>
      <c r="VPD41" s="222"/>
      <c r="VPE41" s="222"/>
      <c r="VPF41" s="222"/>
      <c r="VPG41" s="222"/>
      <c r="VPH41" s="222"/>
      <c r="VPI41" s="222"/>
      <c r="VPJ41" s="222"/>
      <c r="VPK41" s="222"/>
      <c r="VPL41" s="222"/>
      <c r="VPM41" s="222"/>
      <c r="VPN41" s="222"/>
      <c r="VPO41" s="222"/>
      <c r="VPP41" s="222"/>
      <c r="VPQ41" s="222"/>
      <c r="VPR41" s="222"/>
      <c r="VPS41" s="222"/>
      <c r="VPT41" s="222"/>
      <c r="VPU41" s="222"/>
      <c r="VPV41" s="222"/>
      <c r="VPW41" s="222"/>
      <c r="VPX41" s="222"/>
      <c r="VPY41" s="222"/>
      <c r="VPZ41" s="222"/>
      <c r="VQA41" s="222"/>
      <c r="VQB41" s="222"/>
      <c r="VQC41" s="222"/>
      <c r="VQD41" s="222"/>
      <c r="VQE41" s="222"/>
      <c r="VQF41" s="222"/>
      <c r="VQG41" s="222"/>
      <c r="VQH41" s="222"/>
      <c r="VQI41" s="222"/>
      <c r="VQJ41" s="222"/>
      <c r="VQK41" s="222"/>
      <c r="VQL41" s="222"/>
      <c r="VQM41" s="222"/>
      <c r="VQN41" s="222"/>
      <c r="VQO41" s="222"/>
      <c r="VQP41" s="222"/>
      <c r="VQQ41" s="222"/>
      <c r="VQR41" s="222"/>
      <c r="VQS41" s="222"/>
      <c r="VQT41" s="222"/>
      <c r="VQU41" s="222"/>
      <c r="VQV41" s="222"/>
      <c r="VQW41" s="222"/>
      <c r="VQX41" s="222"/>
      <c r="VQY41" s="222"/>
      <c r="VQZ41" s="222"/>
      <c r="VRA41" s="222"/>
      <c r="VRB41" s="222"/>
      <c r="VRC41" s="222"/>
      <c r="VRD41" s="222"/>
      <c r="VRE41" s="222"/>
      <c r="VRF41" s="222"/>
      <c r="VRG41" s="222"/>
      <c r="VRH41" s="222"/>
      <c r="VRI41" s="222"/>
      <c r="VRJ41" s="222"/>
      <c r="VRK41" s="222"/>
      <c r="VRL41" s="222"/>
      <c r="VRM41" s="222"/>
      <c r="VRN41" s="222"/>
      <c r="VRO41" s="222"/>
      <c r="VRP41" s="222"/>
      <c r="VRQ41" s="222"/>
      <c r="VRR41" s="222"/>
      <c r="VRS41" s="222"/>
      <c r="VRT41" s="222"/>
      <c r="VRU41" s="222"/>
      <c r="VRV41" s="222"/>
      <c r="VRW41" s="222"/>
      <c r="VRX41" s="222"/>
      <c r="VRY41" s="222"/>
      <c r="VRZ41" s="222"/>
      <c r="VSA41" s="222"/>
      <c r="VSB41" s="222"/>
      <c r="VSC41" s="222"/>
      <c r="VSD41" s="222"/>
      <c r="VSE41" s="222"/>
      <c r="VSF41" s="222"/>
      <c r="VSG41" s="222"/>
      <c r="VSH41" s="222"/>
      <c r="VSI41" s="222"/>
      <c r="VSJ41" s="222"/>
      <c r="VSK41" s="222"/>
      <c r="VSL41" s="222"/>
      <c r="VSM41" s="222"/>
      <c r="VSN41" s="222"/>
      <c r="VSO41" s="222"/>
      <c r="VSP41" s="222"/>
      <c r="VSQ41" s="222"/>
      <c r="VSR41" s="222"/>
      <c r="VSS41" s="222"/>
      <c r="VST41" s="222"/>
      <c r="VSU41" s="222"/>
      <c r="VSV41" s="222"/>
      <c r="VSW41" s="222"/>
      <c r="VSX41" s="222"/>
      <c r="VSY41" s="222"/>
      <c r="VSZ41" s="222"/>
      <c r="VTA41" s="222"/>
      <c r="VTB41" s="222"/>
      <c r="VTC41" s="222"/>
      <c r="VTD41" s="222"/>
      <c r="VTE41" s="222"/>
      <c r="VTF41" s="222"/>
      <c r="VTG41" s="222"/>
      <c r="VTH41" s="222"/>
      <c r="VTI41" s="222"/>
      <c r="VTJ41" s="222"/>
      <c r="VTK41" s="222"/>
      <c r="VTL41" s="222"/>
      <c r="VTM41" s="222"/>
      <c r="VTN41" s="222"/>
      <c r="VTO41" s="222"/>
      <c r="VTP41" s="222"/>
      <c r="VTQ41" s="222"/>
      <c r="VTR41" s="222"/>
      <c r="VTS41" s="222"/>
      <c r="VTT41" s="222"/>
      <c r="VTU41" s="222"/>
      <c r="VTV41" s="222"/>
      <c r="VTW41" s="222"/>
      <c r="VTX41" s="222"/>
      <c r="VTY41" s="222"/>
      <c r="VTZ41" s="222"/>
      <c r="VUA41" s="222"/>
      <c r="VUB41" s="222"/>
      <c r="VUC41" s="222"/>
      <c r="VUD41" s="222"/>
      <c r="VUE41" s="222"/>
      <c r="VUF41" s="222"/>
      <c r="VUG41" s="222"/>
      <c r="VUH41" s="222"/>
      <c r="VUI41" s="222"/>
      <c r="VUJ41" s="222"/>
      <c r="VUK41" s="222"/>
      <c r="VUL41" s="222"/>
      <c r="VUM41" s="222"/>
      <c r="VUN41" s="222"/>
      <c r="VUO41" s="222"/>
      <c r="VUP41" s="222"/>
      <c r="VUQ41" s="222"/>
      <c r="VUR41" s="222"/>
      <c r="VUS41" s="222"/>
      <c r="VUT41" s="222"/>
      <c r="VUU41" s="222"/>
      <c r="VUV41" s="222"/>
      <c r="VUW41" s="222"/>
      <c r="VUX41" s="222"/>
      <c r="VUY41" s="222"/>
      <c r="VUZ41" s="222"/>
      <c r="VVA41" s="222"/>
      <c r="VVB41" s="222"/>
      <c r="VVC41" s="222"/>
      <c r="VVD41" s="222"/>
      <c r="VVE41" s="222"/>
      <c r="VVF41" s="222"/>
      <c r="VVG41" s="222"/>
      <c r="VVH41" s="222"/>
      <c r="VVI41" s="222"/>
      <c r="VVJ41" s="222"/>
      <c r="VVK41" s="222"/>
      <c r="VVL41" s="222"/>
      <c r="VVM41" s="222"/>
      <c r="VVN41" s="222"/>
      <c r="VVO41" s="222"/>
      <c r="VVP41" s="222"/>
      <c r="VVQ41" s="222"/>
      <c r="VVR41" s="222"/>
      <c r="VVS41" s="222"/>
      <c r="VVT41" s="222"/>
      <c r="VVU41" s="222"/>
      <c r="VVV41" s="222"/>
      <c r="VVW41" s="222"/>
      <c r="VVX41" s="222"/>
      <c r="VVY41" s="222"/>
      <c r="VVZ41" s="222"/>
      <c r="VWA41" s="222"/>
      <c r="VWB41" s="222"/>
      <c r="VWC41" s="222"/>
      <c r="VWD41" s="222"/>
      <c r="VWE41" s="222"/>
      <c r="VWF41" s="222"/>
      <c r="VWG41" s="222"/>
      <c r="VWH41" s="222"/>
      <c r="VWI41" s="222"/>
      <c r="VWJ41" s="222"/>
      <c r="VWK41" s="222"/>
      <c r="VWL41" s="222"/>
      <c r="VWM41" s="222"/>
      <c r="VWN41" s="222"/>
      <c r="VWO41" s="222"/>
      <c r="VWP41" s="222"/>
      <c r="VWQ41" s="222"/>
      <c r="VWR41" s="222"/>
      <c r="VWS41" s="222"/>
      <c r="VWT41" s="222"/>
      <c r="VWU41" s="222"/>
      <c r="VWV41" s="222"/>
      <c r="VWW41" s="222"/>
      <c r="VWX41" s="222"/>
      <c r="VWY41" s="222"/>
      <c r="VWZ41" s="222"/>
      <c r="VXA41" s="222"/>
      <c r="VXB41" s="222"/>
      <c r="VXC41" s="222"/>
      <c r="VXD41" s="222"/>
      <c r="VXE41" s="222"/>
      <c r="VXF41" s="222"/>
      <c r="VXG41" s="222"/>
      <c r="VXH41" s="222"/>
      <c r="VXI41" s="222"/>
      <c r="VXJ41" s="222"/>
      <c r="VXK41" s="222"/>
      <c r="VXL41" s="222"/>
      <c r="VXM41" s="222"/>
      <c r="VXN41" s="222"/>
      <c r="VXO41" s="222"/>
      <c r="VXP41" s="222"/>
      <c r="VXQ41" s="222"/>
      <c r="VXR41" s="222"/>
      <c r="VXS41" s="222"/>
      <c r="VXT41" s="222"/>
      <c r="VXU41" s="222"/>
      <c r="VXV41" s="222"/>
      <c r="VXW41" s="222"/>
      <c r="VXX41" s="222"/>
      <c r="VXY41" s="222"/>
      <c r="VXZ41" s="222"/>
      <c r="VYA41" s="222"/>
      <c r="VYB41" s="222"/>
      <c r="VYC41" s="222"/>
      <c r="VYD41" s="222"/>
      <c r="VYE41" s="222"/>
      <c r="VYF41" s="222"/>
      <c r="VYG41" s="222"/>
      <c r="VYH41" s="222"/>
      <c r="VYI41" s="222"/>
      <c r="VYJ41" s="222"/>
      <c r="VYK41" s="222"/>
      <c r="VYL41" s="222"/>
      <c r="VYM41" s="222"/>
      <c r="VYN41" s="222"/>
      <c r="VYO41" s="222"/>
      <c r="VYP41" s="222"/>
      <c r="VYQ41" s="222"/>
      <c r="VYR41" s="222"/>
      <c r="VYS41" s="222"/>
      <c r="VYT41" s="222"/>
      <c r="VYU41" s="222"/>
      <c r="VYV41" s="222"/>
      <c r="VYW41" s="222"/>
      <c r="VYX41" s="222"/>
      <c r="VYY41" s="222"/>
      <c r="VYZ41" s="222"/>
      <c r="VZA41" s="222"/>
      <c r="VZB41" s="222"/>
      <c r="VZC41" s="222"/>
      <c r="VZD41" s="222"/>
      <c r="VZE41" s="222"/>
      <c r="VZF41" s="222"/>
      <c r="VZG41" s="222"/>
      <c r="VZH41" s="222"/>
      <c r="VZI41" s="222"/>
      <c r="VZJ41" s="222"/>
      <c r="VZK41" s="222"/>
      <c r="VZL41" s="222"/>
      <c r="VZM41" s="222"/>
      <c r="VZN41" s="222"/>
      <c r="VZO41" s="222"/>
      <c r="VZP41" s="222"/>
      <c r="VZQ41" s="222"/>
      <c r="VZR41" s="222"/>
      <c r="VZS41" s="222"/>
      <c r="VZT41" s="222"/>
      <c r="VZU41" s="222"/>
      <c r="VZV41" s="222"/>
      <c r="VZW41" s="222"/>
      <c r="VZX41" s="222"/>
      <c r="VZY41" s="222"/>
      <c r="VZZ41" s="222"/>
      <c r="WAA41" s="222"/>
      <c r="WAB41" s="222"/>
      <c r="WAC41" s="222"/>
      <c r="WAD41" s="222"/>
      <c r="WAE41" s="222"/>
      <c r="WAF41" s="222"/>
      <c r="WAG41" s="222"/>
      <c r="WAH41" s="222"/>
      <c r="WAI41" s="222"/>
      <c r="WAJ41" s="222"/>
      <c r="WAK41" s="222"/>
      <c r="WAL41" s="222"/>
      <c r="WAM41" s="222"/>
      <c r="WAN41" s="222"/>
      <c r="WAO41" s="222"/>
      <c r="WAP41" s="222"/>
      <c r="WAQ41" s="222"/>
      <c r="WAR41" s="222"/>
      <c r="WAS41" s="222"/>
      <c r="WAT41" s="222"/>
      <c r="WAU41" s="222"/>
      <c r="WAV41" s="222"/>
      <c r="WAW41" s="222"/>
      <c r="WAX41" s="222"/>
      <c r="WAY41" s="222"/>
      <c r="WAZ41" s="222"/>
      <c r="WBA41" s="222"/>
      <c r="WBB41" s="222"/>
      <c r="WBC41" s="222"/>
      <c r="WBD41" s="222"/>
      <c r="WBE41" s="222"/>
      <c r="WBF41" s="222"/>
      <c r="WBG41" s="222"/>
      <c r="WBH41" s="222"/>
      <c r="WBI41" s="222"/>
      <c r="WBJ41" s="222"/>
      <c r="WBK41" s="222"/>
      <c r="WBL41" s="222"/>
      <c r="WBM41" s="222"/>
      <c r="WBN41" s="222"/>
      <c r="WBO41" s="222"/>
      <c r="WBP41" s="222"/>
      <c r="WBQ41" s="222"/>
      <c r="WBR41" s="222"/>
      <c r="WBS41" s="222"/>
      <c r="WBT41" s="222"/>
      <c r="WBU41" s="222"/>
      <c r="WBV41" s="222"/>
      <c r="WBW41" s="222"/>
      <c r="WBX41" s="222"/>
      <c r="WBY41" s="222"/>
      <c r="WBZ41" s="222"/>
      <c r="WCA41" s="222"/>
      <c r="WCB41" s="222"/>
      <c r="WCC41" s="222"/>
      <c r="WCD41" s="222"/>
      <c r="WCE41" s="222"/>
      <c r="WCF41" s="222"/>
      <c r="WCG41" s="222"/>
      <c r="WCH41" s="222"/>
      <c r="WCI41" s="222"/>
      <c r="WCJ41" s="222"/>
      <c r="WCK41" s="222"/>
      <c r="WCL41" s="222"/>
      <c r="WCM41" s="222"/>
      <c r="WCN41" s="222"/>
      <c r="WCO41" s="222"/>
      <c r="WCP41" s="222"/>
      <c r="WCQ41" s="222"/>
      <c r="WCR41" s="222"/>
      <c r="WCS41" s="222"/>
      <c r="WCT41" s="222"/>
      <c r="WCU41" s="222"/>
      <c r="WCV41" s="222"/>
      <c r="WCW41" s="222"/>
      <c r="WCX41" s="222"/>
      <c r="WCY41" s="222"/>
      <c r="WCZ41" s="222"/>
      <c r="WDA41" s="222"/>
      <c r="WDB41" s="222"/>
      <c r="WDC41" s="222"/>
      <c r="WDD41" s="222"/>
      <c r="WDE41" s="222"/>
      <c r="WDF41" s="222"/>
      <c r="WDG41" s="222"/>
      <c r="WDH41" s="222"/>
      <c r="WDI41" s="222"/>
      <c r="WDJ41" s="222"/>
      <c r="WDK41" s="222"/>
      <c r="WDL41" s="222"/>
      <c r="WDM41" s="222"/>
      <c r="WDN41" s="222"/>
      <c r="WDO41" s="222"/>
      <c r="WDP41" s="222"/>
      <c r="WDQ41" s="222"/>
      <c r="WDR41" s="222"/>
      <c r="WDS41" s="222"/>
      <c r="WDT41" s="222"/>
      <c r="WDU41" s="222"/>
      <c r="WDV41" s="222"/>
      <c r="WDW41" s="222"/>
      <c r="WDX41" s="222"/>
      <c r="WDY41" s="222"/>
      <c r="WDZ41" s="222"/>
      <c r="WEA41" s="222"/>
      <c r="WEB41" s="222"/>
      <c r="WEC41" s="222"/>
      <c r="WED41" s="222"/>
      <c r="WEE41" s="222"/>
      <c r="WEF41" s="222"/>
      <c r="WEG41" s="222"/>
      <c r="WEH41" s="222"/>
      <c r="WEI41" s="222"/>
      <c r="WEJ41" s="222"/>
      <c r="WEK41" s="222"/>
      <c r="WEL41" s="222"/>
      <c r="WEM41" s="222"/>
      <c r="WEN41" s="222"/>
      <c r="WEO41" s="222"/>
      <c r="WEP41" s="222"/>
      <c r="WEQ41" s="222"/>
      <c r="WER41" s="222"/>
      <c r="WES41" s="222"/>
      <c r="WET41" s="222"/>
      <c r="WEU41" s="222"/>
      <c r="WEV41" s="222"/>
      <c r="WEW41" s="222"/>
      <c r="WEX41" s="222"/>
      <c r="WEY41" s="222"/>
      <c r="WEZ41" s="222"/>
      <c r="WFA41" s="222"/>
      <c r="WFB41" s="222"/>
      <c r="WFC41" s="222"/>
      <c r="WFD41" s="222"/>
      <c r="WFE41" s="222"/>
      <c r="WFF41" s="222"/>
      <c r="WFG41" s="222"/>
      <c r="WFH41" s="222"/>
      <c r="WFI41" s="222"/>
      <c r="WFJ41" s="222"/>
      <c r="WFK41" s="222"/>
      <c r="WFL41" s="222"/>
      <c r="WFM41" s="222"/>
      <c r="WFN41" s="222"/>
      <c r="WFO41" s="222"/>
      <c r="WFP41" s="222"/>
      <c r="WFQ41" s="222"/>
      <c r="WFR41" s="222"/>
      <c r="WFS41" s="222"/>
      <c r="WFT41" s="222"/>
      <c r="WFU41" s="222"/>
      <c r="WFV41" s="222"/>
      <c r="WFW41" s="222"/>
      <c r="WFX41" s="222"/>
      <c r="WFY41" s="222"/>
      <c r="WFZ41" s="222"/>
      <c r="WGA41" s="222"/>
      <c r="WGB41" s="222"/>
      <c r="WGC41" s="222"/>
      <c r="WGD41" s="222"/>
      <c r="WGE41" s="222"/>
      <c r="WGF41" s="222"/>
      <c r="WGG41" s="222"/>
      <c r="WGH41" s="222"/>
      <c r="WGI41" s="222"/>
      <c r="WGJ41" s="222"/>
      <c r="WGK41" s="222"/>
      <c r="WGL41" s="222"/>
      <c r="WGM41" s="222"/>
      <c r="WGN41" s="222"/>
      <c r="WGO41" s="222"/>
      <c r="WGP41" s="222"/>
      <c r="WGQ41" s="222"/>
      <c r="WGR41" s="222"/>
      <c r="WGS41" s="222"/>
      <c r="WGT41" s="222"/>
      <c r="WGU41" s="222"/>
      <c r="WGV41" s="222"/>
      <c r="WGW41" s="222"/>
      <c r="WGX41" s="222"/>
      <c r="WGY41" s="222"/>
      <c r="WGZ41" s="222"/>
      <c r="WHA41" s="222"/>
      <c r="WHB41" s="222"/>
      <c r="WHC41" s="222"/>
      <c r="WHD41" s="222"/>
      <c r="WHE41" s="222"/>
      <c r="WHF41" s="222"/>
      <c r="WHG41" s="222"/>
      <c r="WHH41" s="222"/>
      <c r="WHI41" s="222"/>
      <c r="WHJ41" s="222"/>
      <c r="WHK41" s="222"/>
      <c r="WHL41" s="222"/>
      <c r="WHM41" s="222"/>
      <c r="WHN41" s="222"/>
      <c r="WHO41" s="222"/>
      <c r="WHP41" s="222"/>
      <c r="WHQ41" s="222"/>
      <c r="WHR41" s="222"/>
      <c r="WHS41" s="222"/>
      <c r="WHT41" s="222"/>
      <c r="WHU41" s="222"/>
      <c r="WHV41" s="222"/>
      <c r="WHW41" s="222"/>
      <c r="WHX41" s="222"/>
      <c r="WHY41" s="222"/>
      <c r="WHZ41" s="222"/>
      <c r="WIA41" s="222"/>
      <c r="WIB41" s="222"/>
      <c r="WIC41" s="222"/>
      <c r="WID41" s="222"/>
      <c r="WIE41" s="222"/>
      <c r="WIF41" s="222"/>
      <c r="WIG41" s="222"/>
      <c r="WIH41" s="222"/>
      <c r="WII41" s="222"/>
      <c r="WIJ41" s="222"/>
      <c r="WIK41" s="222"/>
      <c r="WIL41" s="222"/>
      <c r="WIM41" s="222"/>
      <c r="WIN41" s="222"/>
      <c r="WIO41" s="222"/>
      <c r="WIP41" s="222"/>
      <c r="WIQ41" s="222"/>
      <c r="WIR41" s="222"/>
      <c r="WIS41" s="222"/>
      <c r="WIT41" s="222"/>
      <c r="WIU41" s="222"/>
      <c r="WIV41" s="222"/>
      <c r="WIW41" s="222"/>
      <c r="WIX41" s="222"/>
      <c r="WIY41" s="222"/>
      <c r="WIZ41" s="222"/>
      <c r="WJA41" s="222"/>
      <c r="WJB41" s="222"/>
      <c r="WJC41" s="222"/>
      <c r="WJD41" s="222"/>
      <c r="WJE41" s="222"/>
      <c r="WJF41" s="222"/>
      <c r="WJG41" s="222"/>
      <c r="WJH41" s="222"/>
      <c r="WJI41" s="222"/>
      <c r="WJJ41" s="222"/>
      <c r="WJK41" s="222"/>
      <c r="WJL41" s="222"/>
      <c r="WJM41" s="222"/>
      <c r="WJN41" s="222"/>
      <c r="WJO41" s="222"/>
      <c r="WJP41" s="222"/>
      <c r="WJQ41" s="222"/>
      <c r="WJR41" s="222"/>
      <c r="WJS41" s="222"/>
      <c r="WJT41" s="222"/>
      <c r="WJU41" s="222"/>
      <c r="WJV41" s="222"/>
      <c r="WJW41" s="222"/>
      <c r="WJX41" s="222"/>
      <c r="WJY41" s="222"/>
      <c r="WJZ41" s="222"/>
      <c r="WKA41" s="222"/>
      <c r="WKB41" s="222"/>
      <c r="WKC41" s="222"/>
      <c r="WKD41" s="222"/>
      <c r="WKE41" s="222"/>
      <c r="WKF41" s="222"/>
      <c r="WKG41" s="222"/>
      <c r="WKH41" s="222"/>
      <c r="WKI41" s="222"/>
      <c r="WKJ41" s="222"/>
      <c r="WKK41" s="222"/>
      <c r="WKL41" s="222"/>
      <c r="WKM41" s="222"/>
      <c r="WKN41" s="222"/>
      <c r="WKO41" s="222"/>
      <c r="WKP41" s="222"/>
      <c r="WKQ41" s="222"/>
      <c r="WKR41" s="222"/>
      <c r="WKS41" s="222"/>
      <c r="WKT41" s="222"/>
      <c r="WKU41" s="222"/>
      <c r="WKV41" s="222"/>
      <c r="WKW41" s="222"/>
      <c r="WKX41" s="222"/>
      <c r="WKY41" s="222"/>
      <c r="WKZ41" s="222"/>
      <c r="WLA41" s="222"/>
      <c r="WLB41" s="222"/>
      <c r="WLC41" s="222"/>
      <c r="WLD41" s="222"/>
      <c r="WLE41" s="222"/>
      <c r="WLF41" s="222"/>
      <c r="WLG41" s="222"/>
      <c r="WLH41" s="222"/>
      <c r="WLI41" s="222"/>
      <c r="WLJ41" s="222"/>
      <c r="WLK41" s="222"/>
      <c r="WLL41" s="222"/>
      <c r="WLM41" s="222"/>
      <c r="WLN41" s="222"/>
      <c r="WLO41" s="222"/>
      <c r="WLP41" s="222"/>
      <c r="WLQ41" s="222"/>
      <c r="WLR41" s="222"/>
      <c r="WLS41" s="222"/>
      <c r="WLT41" s="222"/>
      <c r="WLU41" s="222"/>
      <c r="WLV41" s="222"/>
      <c r="WLW41" s="222"/>
      <c r="WLX41" s="222"/>
      <c r="WLY41" s="222"/>
      <c r="WLZ41" s="222"/>
      <c r="WMA41" s="222"/>
      <c r="WMB41" s="222"/>
      <c r="WMC41" s="222"/>
      <c r="WMD41" s="222"/>
      <c r="WME41" s="222"/>
      <c r="WMF41" s="222"/>
      <c r="WMG41" s="222"/>
      <c r="WMH41" s="222"/>
      <c r="WMI41" s="222"/>
      <c r="WMJ41" s="222"/>
      <c r="WMK41" s="222"/>
      <c r="WML41" s="222"/>
      <c r="WMM41" s="222"/>
      <c r="WMN41" s="222"/>
      <c r="WMO41" s="222"/>
      <c r="WMP41" s="222"/>
      <c r="WMQ41" s="222"/>
      <c r="WMR41" s="222"/>
      <c r="WMS41" s="222"/>
      <c r="WMT41" s="222"/>
      <c r="WMU41" s="222"/>
      <c r="WMV41" s="222"/>
      <c r="WMW41" s="222"/>
      <c r="WMX41" s="222"/>
      <c r="WMY41" s="222"/>
      <c r="WMZ41" s="222"/>
      <c r="WNA41" s="222"/>
      <c r="WNB41" s="222"/>
      <c r="WNC41" s="222"/>
      <c r="WND41" s="222"/>
      <c r="WNE41" s="222"/>
      <c r="WNF41" s="222"/>
      <c r="WNG41" s="222"/>
      <c r="WNH41" s="222"/>
      <c r="WNI41" s="222"/>
      <c r="WNJ41" s="222"/>
      <c r="WNK41" s="222"/>
      <c r="WNL41" s="222"/>
      <c r="WNM41" s="222"/>
      <c r="WNN41" s="222"/>
      <c r="WNO41" s="222"/>
      <c r="WNP41" s="222"/>
      <c r="WNQ41" s="222"/>
      <c r="WNR41" s="222"/>
      <c r="WNS41" s="222"/>
      <c r="WNT41" s="222"/>
      <c r="WNU41" s="222"/>
      <c r="WNV41" s="222"/>
      <c r="WNW41" s="222"/>
      <c r="WNX41" s="222"/>
      <c r="WNY41" s="222"/>
      <c r="WNZ41" s="222"/>
      <c r="WOA41" s="222"/>
      <c r="WOB41" s="222"/>
      <c r="WOC41" s="222"/>
      <c r="WOD41" s="222"/>
      <c r="WOE41" s="222"/>
      <c r="WOF41" s="222"/>
      <c r="WOG41" s="222"/>
      <c r="WOH41" s="222"/>
      <c r="WOI41" s="222"/>
      <c r="WOJ41" s="222"/>
      <c r="WOK41" s="222"/>
      <c r="WOL41" s="222"/>
      <c r="WOM41" s="222"/>
      <c r="WON41" s="222"/>
      <c r="WOO41" s="222"/>
      <c r="WOP41" s="222"/>
      <c r="WOQ41" s="222"/>
      <c r="WOR41" s="222"/>
      <c r="WOS41" s="222"/>
      <c r="WOT41" s="222"/>
      <c r="WOU41" s="222"/>
      <c r="WOV41" s="222"/>
      <c r="WOW41" s="222"/>
      <c r="WOX41" s="222"/>
      <c r="WOY41" s="222"/>
      <c r="WOZ41" s="222"/>
      <c r="WPA41" s="222"/>
      <c r="WPB41" s="222"/>
      <c r="WPC41" s="222"/>
      <c r="WPD41" s="222"/>
      <c r="WPE41" s="222"/>
      <c r="WPF41" s="222"/>
      <c r="WPG41" s="222"/>
      <c r="WPH41" s="222"/>
      <c r="WPI41" s="222"/>
      <c r="WPJ41" s="222"/>
      <c r="WPK41" s="222"/>
      <c r="WPL41" s="222"/>
      <c r="WPM41" s="222"/>
      <c r="WPN41" s="222"/>
      <c r="WPO41" s="222"/>
      <c r="WPP41" s="222"/>
      <c r="WPQ41" s="222"/>
      <c r="WPR41" s="222"/>
      <c r="WPS41" s="222"/>
      <c r="WPT41" s="222"/>
      <c r="WPU41" s="222"/>
      <c r="WPV41" s="222"/>
      <c r="WPW41" s="222"/>
      <c r="WPX41" s="222"/>
      <c r="WPY41" s="222"/>
      <c r="WPZ41" s="222"/>
      <c r="WQA41" s="222"/>
      <c r="WQB41" s="222"/>
      <c r="WQC41" s="222"/>
      <c r="WQD41" s="222"/>
      <c r="WQE41" s="222"/>
      <c r="WQF41" s="222"/>
      <c r="WQG41" s="222"/>
      <c r="WQH41" s="222"/>
      <c r="WQI41" s="222"/>
      <c r="WQJ41" s="222"/>
      <c r="WQK41" s="222"/>
      <c r="WQL41" s="222"/>
      <c r="WQM41" s="222"/>
      <c r="WQN41" s="222"/>
      <c r="WQO41" s="222"/>
      <c r="WQP41" s="222"/>
      <c r="WQQ41" s="222"/>
      <c r="WQR41" s="222"/>
      <c r="WQS41" s="222"/>
      <c r="WQT41" s="222"/>
      <c r="WQU41" s="222"/>
      <c r="WQV41" s="222"/>
      <c r="WQW41" s="222"/>
      <c r="WQX41" s="222"/>
      <c r="WQY41" s="222"/>
      <c r="WQZ41" s="222"/>
      <c r="WRA41" s="222"/>
      <c r="WRB41" s="222"/>
      <c r="WRC41" s="222"/>
      <c r="WRD41" s="222"/>
      <c r="WRE41" s="222"/>
      <c r="WRF41" s="222"/>
      <c r="WRG41" s="222"/>
      <c r="WRH41" s="222"/>
      <c r="WRI41" s="222"/>
      <c r="WRJ41" s="222"/>
      <c r="WRK41" s="222"/>
      <c r="WRL41" s="222"/>
      <c r="WRM41" s="222"/>
      <c r="WRN41" s="222"/>
      <c r="WRO41" s="222"/>
      <c r="WRP41" s="222"/>
      <c r="WRQ41" s="222"/>
      <c r="WRR41" s="222"/>
      <c r="WRS41" s="222"/>
      <c r="WRT41" s="222"/>
      <c r="WRU41" s="222"/>
      <c r="WRV41" s="222"/>
      <c r="WRW41" s="222"/>
      <c r="WRX41" s="222"/>
      <c r="WRY41" s="222"/>
      <c r="WRZ41" s="222"/>
      <c r="WSA41" s="222"/>
      <c r="WSB41" s="222"/>
      <c r="WSC41" s="222"/>
      <c r="WSD41" s="222"/>
      <c r="WSE41" s="222"/>
      <c r="WSF41" s="222"/>
      <c r="WSG41" s="222"/>
      <c r="WSH41" s="222"/>
      <c r="WSI41" s="222"/>
      <c r="WSJ41" s="222"/>
      <c r="WSK41" s="222"/>
      <c r="WSL41" s="222"/>
      <c r="WSM41" s="222"/>
      <c r="WSN41" s="222"/>
      <c r="WSO41" s="222"/>
      <c r="WSP41" s="222"/>
      <c r="WSQ41" s="222"/>
      <c r="WSR41" s="222"/>
      <c r="WSS41" s="222"/>
      <c r="WST41" s="222"/>
      <c r="WSU41" s="222"/>
      <c r="WSV41" s="222"/>
      <c r="WSW41" s="222"/>
      <c r="WSX41" s="222"/>
      <c r="WSY41" s="222"/>
      <c r="WSZ41" s="222"/>
      <c r="WTA41" s="222"/>
      <c r="WTB41" s="222"/>
      <c r="WTC41" s="222"/>
      <c r="WTD41" s="222"/>
      <c r="WTE41" s="222"/>
      <c r="WTF41" s="222"/>
      <c r="WTG41" s="222"/>
      <c r="WTH41" s="222"/>
      <c r="WTI41" s="222"/>
      <c r="WTJ41" s="222"/>
      <c r="WTK41" s="222"/>
      <c r="WTL41" s="222"/>
      <c r="WTM41" s="222"/>
      <c r="WTN41" s="222"/>
      <c r="WTO41" s="222"/>
      <c r="WTP41" s="222"/>
      <c r="WTQ41" s="222"/>
      <c r="WTR41" s="222"/>
      <c r="WTS41" s="222"/>
      <c r="WTT41" s="222"/>
      <c r="WTU41" s="222"/>
      <c r="WTV41" s="222"/>
      <c r="WTW41" s="222"/>
      <c r="WTX41" s="222"/>
      <c r="WTY41" s="222"/>
      <c r="WTZ41" s="222"/>
      <c r="WUA41" s="222"/>
      <c r="WUB41" s="222"/>
      <c r="WUC41" s="222"/>
      <c r="WUD41" s="222"/>
      <c r="WUE41" s="222"/>
      <c r="WUF41" s="222"/>
      <c r="WUG41" s="222"/>
      <c r="WUH41" s="222"/>
      <c r="WUI41" s="222"/>
      <c r="WUJ41" s="222"/>
      <c r="WUK41" s="222"/>
      <c r="WUL41" s="222"/>
      <c r="WUM41" s="222"/>
      <c r="WUN41" s="222"/>
      <c r="WUO41" s="222"/>
      <c r="WUP41" s="222"/>
      <c r="WUQ41" s="222"/>
      <c r="WUR41" s="222"/>
      <c r="WUS41" s="222"/>
      <c r="WUT41" s="222"/>
      <c r="WUU41" s="222"/>
      <c r="WUV41" s="222"/>
      <c r="WUW41" s="222"/>
      <c r="WUX41" s="222"/>
      <c r="WUY41" s="222"/>
      <c r="WUZ41" s="222"/>
      <c r="WVA41" s="222"/>
      <c r="WVB41" s="222"/>
      <c r="WVC41" s="222"/>
      <c r="WVD41" s="222"/>
      <c r="WVE41" s="222"/>
      <c r="WVF41" s="222"/>
      <c r="WVG41" s="222"/>
      <c r="WVH41" s="222"/>
      <c r="WVI41" s="222"/>
      <c r="WVJ41" s="222"/>
      <c r="WVK41" s="222"/>
      <c r="WVL41" s="222"/>
      <c r="WVM41" s="222"/>
      <c r="WVN41" s="222"/>
      <c r="WVO41" s="222"/>
      <c r="WVP41" s="222"/>
      <c r="WVQ41" s="222"/>
      <c r="WVR41" s="222"/>
      <c r="WVS41" s="222"/>
      <c r="WVT41" s="222"/>
      <c r="WVU41" s="222"/>
      <c r="WVV41" s="222"/>
      <c r="WVW41" s="222"/>
      <c r="WVX41" s="222"/>
      <c r="WVY41" s="222"/>
      <c r="WVZ41" s="222"/>
      <c r="WWA41" s="222"/>
      <c r="WWB41" s="222"/>
      <c r="WWC41" s="222"/>
      <c r="WWD41" s="222"/>
      <c r="WWE41" s="222"/>
      <c r="WWF41" s="222"/>
      <c r="WWG41" s="222"/>
      <c r="WWH41" s="222"/>
      <c r="WWI41" s="222"/>
      <c r="WWJ41" s="222"/>
      <c r="WWK41" s="222"/>
      <c r="WWL41" s="222"/>
      <c r="WWM41" s="222"/>
      <c r="WWN41" s="222"/>
      <c r="WWO41" s="222"/>
      <c r="WWP41" s="222"/>
      <c r="WWQ41" s="222"/>
      <c r="WWR41" s="222"/>
      <c r="WWS41" s="222"/>
      <c r="WWT41" s="222"/>
      <c r="WWU41" s="222"/>
      <c r="WWV41" s="222"/>
      <c r="WWW41" s="222"/>
      <c r="WWX41" s="222"/>
      <c r="WWY41" s="222"/>
      <c r="WWZ41" s="222"/>
      <c r="WXA41" s="222"/>
      <c r="WXB41" s="222"/>
      <c r="WXC41" s="222"/>
      <c r="WXD41" s="222"/>
      <c r="WXE41" s="222"/>
      <c r="WXF41" s="222"/>
      <c r="WXG41" s="222"/>
      <c r="WXH41" s="222"/>
      <c r="WXI41" s="222"/>
      <c r="WXJ41" s="222"/>
      <c r="WXK41" s="222"/>
      <c r="WXL41" s="222"/>
      <c r="WXM41" s="222"/>
      <c r="WXN41" s="222"/>
      <c r="WXO41" s="222"/>
      <c r="WXP41" s="222"/>
      <c r="WXQ41" s="222"/>
      <c r="WXR41" s="222"/>
      <c r="WXS41" s="222"/>
      <c r="WXT41" s="222"/>
      <c r="WXU41" s="222"/>
      <c r="WXV41" s="222"/>
      <c r="WXW41" s="222"/>
      <c r="WXX41" s="222"/>
      <c r="WXY41" s="222"/>
      <c r="WXZ41" s="222"/>
      <c r="WYA41" s="222"/>
      <c r="WYB41" s="222"/>
      <c r="WYC41" s="222"/>
      <c r="WYD41" s="222"/>
      <c r="WYE41" s="222"/>
      <c r="WYF41" s="222"/>
      <c r="WYG41" s="222"/>
      <c r="WYH41" s="222"/>
      <c r="WYI41" s="222"/>
      <c r="WYJ41" s="222"/>
      <c r="WYK41" s="222"/>
      <c r="WYL41" s="222"/>
      <c r="WYM41" s="222"/>
      <c r="WYN41" s="222"/>
      <c r="WYO41" s="222"/>
      <c r="WYP41" s="222"/>
      <c r="WYQ41" s="222"/>
      <c r="WYR41" s="222"/>
      <c r="WYS41" s="222"/>
      <c r="WYT41" s="222"/>
      <c r="WYU41" s="222"/>
      <c r="WYV41" s="222"/>
      <c r="WYW41" s="222"/>
      <c r="WYX41" s="222"/>
      <c r="WYY41" s="222"/>
      <c r="WYZ41" s="222"/>
      <c r="WZA41" s="222"/>
      <c r="WZB41" s="222"/>
      <c r="WZC41" s="222"/>
      <c r="WZD41" s="222"/>
      <c r="WZE41" s="222"/>
      <c r="WZF41" s="222"/>
      <c r="WZG41" s="222"/>
      <c r="WZH41" s="222"/>
      <c r="WZI41" s="222"/>
      <c r="WZJ41" s="222"/>
      <c r="WZK41" s="222"/>
      <c r="WZL41" s="222"/>
      <c r="WZM41" s="222"/>
      <c r="WZN41" s="222"/>
      <c r="WZO41" s="222"/>
      <c r="WZP41" s="222"/>
      <c r="WZQ41" s="222"/>
      <c r="WZR41" s="222"/>
      <c r="WZS41" s="222"/>
      <c r="WZT41" s="222"/>
      <c r="WZU41" s="222"/>
      <c r="WZV41" s="222"/>
      <c r="WZW41" s="222"/>
      <c r="WZX41" s="222"/>
      <c r="WZY41" s="222"/>
      <c r="WZZ41" s="222"/>
      <c r="XAA41" s="222"/>
      <c r="XAB41" s="222"/>
      <c r="XAC41" s="222"/>
      <c r="XAD41" s="222"/>
      <c r="XAE41" s="222"/>
      <c r="XAF41" s="222"/>
      <c r="XAG41" s="222"/>
      <c r="XAH41" s="222"/>
      <c r="XAI41" s="222"/>
      <c r="XAJ41" s="222"/>
      <c r="XAK41" s="222"/>
      <c r="XAL41" s="222"/>
      <c r="XAM41" s="222"/>
      <c r="XAN41" s="222"/>
      <c r="XAO41" s="222"/>
      <c r="XAP41" s="222"/>
      <c r="XAQ41" s="222"/>
      <c r="XAR41" s="222"/>
      <c r="XAS41" s="222"/>
      <c r="XAT41" s="222"/>
      <c r="XAU41" s="222"/>
      <c r="XAV41" s="222"/>
      <c r="XAW41" s="222"/>
      <c r="XAX41" s="222"/>
      <c r="XAY41" s="222"/>
      <c r="XAZ41" s="222"/>
      <c r="XBA41" s="222"/>
      <c r="XBB41" s="222"/>
      <c r="XBC41" s="222"/>
      <c r="XBD41" s="222"/>
      <c r="XBE41" s="222"/>
      <c r="XBF41" s="222"/>
      <c r="XBG41" s="222"/>
      <c r="XBH41" s="222"/>
      <c r="XBI41" s="222"/>
      <c r="XBJ41" s="222"/>
      <c r="XBK41" s="222"/>
      <c r="XBL41" s="222"/>
      <c r="XBM41" s="222"/>
      <c r="XBN41" s="222"/>
      <c r="XBO41" s="222"/>
      <c r="XBP41" s="222"/>
      <c r="XBQ41" s="222"/>
      <c r="XBR41" s="222"/>
      <c r="XBS41" s="222"/>
      <c r="XBT41" s="222"/>
      <c r="XBU41" s="222"/>
      <c r="XBV41" s="222"/>
      <c r="XBW41" s="222"/>
      <c r="XBX41" s="222"/>
      <c r="XBY41" s="222"/>
      <c r="XBZ41" s="222"/>
      <c r="XCA41" s="222"/>
      <c r="XCB41" s="222"/>
      <c r="XCC41" s="222"/>
      <c r="XCD41" s="222"/>
      <c r="XCE41" s="222"/>
      <c r="XCF41" s="222"/>
      <c r="XCG41" s="222"/>
      <c r="XCH41" s="222"/>
      <c r="XCI41" s="222"/>
      <c r="XCJ41" s="222"/>
      <c r="XCK41" s="222"/>
      <c r="XCL41" s="222"/>
      <c r="XCM41" s="222"/>
      <c r="XCN41" s="222"/>
      <c r="XCO41" s="222"/>
      <c r="XCP41" s="222"/>
      <c r="XCQ41" s="222"/>
      <c r="XCR41" s="222"/>
      <c r="XCS41" s="222"/>
      <c r="XCT41" s="222"/>
      <c r="XCU41" s="222"/>
      <c r="XCV41" s="222"/>
      <c r="XCW41" s="222"/>
      <c r="XCX41" s="222"/>
      <c r="XCY41" s="222"/>
      <c r="XCZ41" s="222"/>
      <c r="XDA41" s="222"/>
      <c r="XDB41" s="222"/>
      <c r="XDC41" s="222"/>
      <c r="XDD41" s="222"/>
      <c r="XDE41" s="222"/>
      <c r="XDF41" s="222"/>
      <c r="XDG41" s="222"/>
      <c r="XDH41" s="222"/>
      <c r="XDI41" s="222"/>
      <c r="XDJ41" s="222"/>
    </row>
  </sheetData>
  <mergeCells count="15">
    <mergeCell ref="A2:DF2"/>
    <mergeCell ref="A3:A4"/>
    <mergeCell ref="B3:B4"/>
    <mergeCell ref="AD3:AL3"/>
    <mergeCell ref="U3:AC3"/>
    <mergeCell ref="L3:T3"/>
    <mergeCell ref="C3:K3"/>
    <mergeCell ref="CX3:DF3"/>
    <mergeCell ref="CO3:CW3"/>
    <mergeCell ref="CF3:CN3"/>
    <mergeCell ref="BW3:CE3"/>
    <mergeCell ref="BN3:BV3"/>
    <mergeCell ref="BE3:BM3"/>
    <mergeCell ref="AV3:BD3"/>
    <mergeCell ref="AM3:AU3"/>
  </mergeCells>
  <printOptions horizontalCentered="1" verticalCentered="1"/>
  <pageMargins left="0.25" right="0.25" top="0.33" bottom="0.21" header="0" footer="0"/>
  <pageSetup paperSize="9" scale="74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zoomScaleNormal="100" workbookViewId="0">
      <selection sqref="A1:J1"/>
    </sheetView>
  </sheetViews>
  <sheetFormatPr defaultRowHeight="12.75" x14ac:dyDescent="0.2"/>
  <cols>
    <col min="1" max="1" width="19.7109375" style="553" customWidth="1"/>
    <col min="2" max="3" width="10.7109375" style="553" customWidth="1"/>
    <col min="4" max="6" width="10.7109375" style="564" customWidth="1"/>
    <col min="7" max="10" width="10.7109375" style="553" customWidth="1"/>
    <col min="11" max="16384" width="9.140625" style="553"/>
  </cols>
  <sheetData>
    <row r="1" spans="1:17" ht="15.75" customHeight="1" x14ac:dyDescent="0.2">
      <c r="A1" s="1137" t="s">
        <v>551</v>
      </c>
      <c r="B1" s="1137"/>
      <c r="C1" s="1137"/>
      <c r="D1" s="1137"/>
      <c r="E1" s="1137"/>
      <c r="F1" s="1137"/>
      <c r="G1" s="1137"/>
      <c r="H1" s="1137"/>
      <c r="I1" s="1137"/>
      <c r="J1" s="1137"/>
    </row>
    <row r="2" spans="1:17" ht="17.25" customHeight="1" x14ac:dyDescent="0.2">
      <c r="B2" s="554"/>
      <c r="C2" s="554"/>
      <c r="D2" s="554"/>
      <c r="E2" s="554"/>
      <c r="F2" s="554"/>
      <c r="G2" s="554"/>
      <c r="J2" s="554" t="s">
        <v>181</v>
      </c>
    </row>
    <row r="3" spans="1:17" s="317" customFormat="1" ht="21.75" customHeight="1" x14ac:dyDescent="0.25">
      <c r="A3" s="43" t="s">
        <v>426</v>
      </c>
      <c r="B3" s="43" t="s">
        <v>91</v>
      </c>
      <c r="C3" s="43" t="s">
        <v>102</v>
      </c>
      <c r="D3" s="43" t="s">
        <v>51</v>
      </c>
      <c r="E3" s="43" t="s">
        <v>87</v>
      </c>
      <c r="F3" s="43" t="s">
        <v>20</v>
      </c>
      <c r="G3" s="43" t="s">
        <v>99</v>
      </c>
      <c r="H3" s="43" t="s">
        <v>103</v>
      </c>
      <c r="I3" s="43" t="s">
        <v>415</v>
      </c>
      <c r="J3" s="43" t="s">
        <v>507</v>
      </c>
    </row>
    <row r="4" spans="1:17" s="555" customFormat="1" x14ac:dyDescent="0.2">
      <c r="A4" s="44" t="s">
        <v>182</v>
      </c>
      <c r="B4" s="46">
        <v>600.05999999999995</v>
      </c>
      <c r="C4" s="46">
        <v>677.82</v>
      </c>
      <c r="D4" s="45">
        <v>671.32</v>
      </c>
      <c r="E4" s="45">
        <v>852.62</v>
      </c>
      <c r="F4" s="45">
        <v>797.71</v>
      </c>
      <c r="G4" s="45">
        <v>733.02</v>
      </c>
      <c r="H4" s="46">
        <v>733.5</v>
      </c>
      <c r="I4" s="46">
        <v>684.27</v>
      </c>
      <c r="J4" s="46">
        <v>631.93023000000005</v>
      </c>
    </row>
    <row r="5" spans="1:17" s="555" customFormat="1" x14ac:dyDescent="0.2">
      <c r="A5" s="47"/>
      <c r="B5" s="556" t="s">
        <v>183</v>
      </c>
      <c r="C5" s="557">
        <v>-12.95</v>
      </c>
      <c r="D5" s="556" t="s">
        <v>184</v>
      </c>
      <c r="E5" s="557">
        <v>-27</v>
      </c>
      <c r="F5" s="556" t="s">
        <v>185</v>
      </c>
      <c r="G5" s="556" t="s">
        <v>186</v>
      </c>
      <c r="H5" s="556" t="s">
        <v>187</v>
      </c>
      <c r="I5" s="556" t="s">
        <v>437</v>
      </c>
      <c r="J5" s="556" t="s">
        <v>513</v>
      </c>
      <c r="K5" s="646"/>
      <c r="L5" s="646"/>
      <c r="M5" s="646"/>
      <c r="Q5" s="555" t="s">
        <v>330</v>
      </c>
    </row>
    <row r="6" spans="1:17" x14ac:dyDescent="0.2">
      <c r="A6" s="47" t="s">
        <v>188</v>
      </c>
      <c r="B6" s="49">
        <v>424.47</v>
      </c>
      <c r="C6" s="49">
        <v>504.97</v>
      </c>
      <c r="D6" s="48">
        <v>549.44000000000005</v>
      </c>
      <c r="E6" s="48">
        <v>624.45000000000005</v>
      </c>
      <c r="F6" s="48">
        <v>787.13</v>
      </c>
      <c r="G6" s="48">
        <v>1021.23</v>
      </c>
      <c r="H6" s="48">
        <v>1263.9100000000001</v>
      </c>
      <c r="I6" s="48">
        <v>1259.72</v>
      </c>
      <c r="J6" s="49">
        <v>1423.5335700000001</v>
      </c>
      <c r="K6" s="558"/>
    </row>
    <row r="7" spans="1:17" x14ac:dyDescent="0.2">
      <c r="A7" s="559"/>
      <c r="B7" s="556" t="s">
        <v>189</v>
      </c>
      <c r="C7" s="557">
        <v>-18.96</v>
      </c>
      <c r="D7" s="557">
        <v>-8.84</v>
      </c>
      <c r="E7" s="557">
        <v>-13.65</v>
      </c>
      <c r="F7" s="557">
        <v>-26.1</v>
      </c>
      <c r="G7" s="557">
        <v>-29.7</v>
      </c>
      <c r="H7" s="557">
        <v>-23.77</v>
      </c>
      <c r="I7" s="557" t="s">
        <v>438</v>
      </c>
      <c r="J7" s="557" t="s">
        <v>514</v>
      </c>
      <c r="K7" s="646"/>
      <c r="L7" s="646"/>
      <c r="M7" s="646"/>
    </row>
    <row r="8" spans="1:17" x14ac:dyDescent="0.2">
      <c r="A8" s="47" t="s">
        <v>427</v>
      </c>
      <c r="B8" s="49">
        <v>23.07</v>
      </c>
      <c r="C8" s="49">
        <v>11.7</v>
      </c>
      <c r="D8" s="48">
        <v>10.77</v>
      </c>
      <c r="E8" s="48">
        <v>65.56</v>
      </c>
      <c r="F8" s="48">
        <v>117.46</v>
      </c>
      <c r="G8" s="48">
        <v>78.489999999999995</v>
      </c>
      <c r="H8" s="48">
        <v>325.5</v>
      </c>
      <c r="I8" s="48">
        <v>417.93</v>
      </c>
      <c r="J8" s="49">
        <v>475.30036999999999</v>
      </c>
    </row>
    <row r="9" spans="1:17" x14ac:dyDescent="0.2">
      <c r="A9" s="559"/>
      <c r="B9" s="556" t="s">
        <v>428</v>
      </c>
      <c r="C9" s="557" t="s">
        <v>429</v>
      </c>
      <c r="D9" s="557" t="s">
        <v>430</v>
      </c>
      <c r="E9" s="557" t="s">
        <v>431</v>
      </c>
      <c r="F9" s="557" t="s">
        <v>432</v>
      </c>
      <c r="G9" s="557" t="s">
        <v>433</v>
      </c>
      <c r="H9" s="557" t="s">
        <v>434</v>
      </c>
      <c r="I9" s="557" t="s">
        <v>435</v>
      </c>
      <c r="J9" s="557">
        <v>-13.73</v>
      </c>
      <c r="K9" s="646"/>
      <c r="L9" s="646"/>
      <c r="M9" s="646"/>
    </row>
    <row r="10" spans="1:17" x14ac:dyDescent="0.2">
      <c r="A10" s="47" t="s">
        <v>129</v>
      </c>
      <c r="B10" s="49">
        <f>B4+B6+B8</f>
        <v>1047.5999999999999</v>
      </c>
      <c r="C10" s="49">
        <f>C4+C6+C8</f>
        <v>1194.49</v>
      </c>
      <c r="D10" s="49">
        <f t="shared" ref="D10:I10" si="0">D4+D6+D8</f>
        <v>1231.5300000000002</v>
      </c>
      <c r="E10" s="49">
        <f t="shared" si="0"/>
        <v>1542.63</v>
      </c>
      <c r="F10" s="49">
        <f t="shared" si="0"/>
        <v>1702.3000000000002</v>
      </c>
      <c r="G10" s="49">
        <f t="shared" si="0"/>
        <v>1832.74</v>
      </c>
      <c r="H10" s="49">
        <f t="shared" si="0"/>
        <v>2322.91</v>
      </c>
      <c r="I10" s="49">
        <f t="shared" si="0"/>
        <v>2361.92</v>
      </c>
      <c r="J10" s="49">
        <v>2530.7641699999999</v>
      </c>
      <c r="K10" s="558"/>
    </row>
    <row r="11" spans="1:17" x14ac:dyDescent="0.2">
      <c r="A11" s="560"/>
      <c r="B11" s="216" t="s">
        <v>461</v>
      </c>
      <c r="C11" s="561">
        <v>14.0215731195113</v>
      </c>
      <c r="D11" s="561">
        <v>3.1009049887399831</v>
      </c>
      <c r="E11" s="561">
        <v>25.261260383425487</v>
      </c>
      <c r="F11" s="561">
        <v>10.350505305873735</v>
      </c>
      <c r="G11" s="561">
        <v>7.6625741643658429</v>
      </c>
      <c r="H11" s="561">
        <v>26.745201174198186</v>
      </c>
      <c r="I11" s="561">
        <v>1.6793590797749447</v>
      </c>
      <c r="J11" s="647">
        <v>-7.15</v>
      </c>
      <c r="K11" s="646"/>
      <c r="L11" s="646"/>
      <c r="M11" s="646"/>
    </row>
    <row r="12" spans="1:17" ht="15" customHeight="1" x14ac:dyDescent="0.2">
      <c r="A12" s="562" t="s">
        <v>436</v>
      </c>
      <c r="B12" s="562"/>
      <c r="C12" s="562"/>
      <c r="D12" s="562"/>
      <c r="E12" s="562"/>
      <c r="F12" s="562"/>
      <c r="G12" s="562"/>
    </row>
    <row r="13" spans="1:17" x14ac:dyDescent="0.2">
      <c r="D13" s="553"/>
      <c r="E13" s="553"/>
      <c r="F13" s="553"/>
    </row>
    <row r="14" spans="1:17" x14ac:dyDescent="0.2">
      <c r="C14" s="563"/>
      <c r="D14" s="563"/>
      <c r="E14" s="563"/>
      <c r="F14" s="563"/>
      <c r="G14" s="563"/>
      <c r="H14" s="563"/>
      <c r="I14" s="563"/>
      <c r="J14" s="563"/>
    </row>
    <row r="15" spans="1:17" x14ac:dyDescent="0.2">
      <c r="D15" s="553"/>
      <c r="E15" s="553"/>
      <c r="F15" s="553"/>
    </row>
    <row r="16" spans="1:17" x14ac:dyDescent="0.2">
      <c r="D16" s="553"/>
      <c r="E16" s="553"/>
      <c r="F16" s="553"/>
    </row>
  </sheetData>
  <dataConsolidate/>
  <mergeCells count="1">
    <mergeCell ref="A1:J1"/>
  </mergeCells>
  <printOptions horizontalCentered="1" verticalCentered="1"/>
  <pageMargins left="0.25" right="0.25" top="1" bottom="1" header="0.5" footer="0.5"/>
  <pageSetup paperSize="9" scale="9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H164"/>
  <sheetViews>
    <sheetView showGridLines="0" zoomScaleSheetLayoutView="70" workbookViewId="0">
      <pane xSplit="2" ySplit="4" topLeftCell="C5" activePane="bottomRight" state="frozen"/>
      <selection activeCell="A32" sqref="A32"/>
      <selection pane="topRight" activeCell="A32" sqref="A32"/>
      <selection pane="bottomLeft" activeCell="A32" sqref="A32"/>
      <selection pane="bottomRight"/>
    </sheetView>
  </sheetViews>
  <sheetFormatPr defaultRowHeight="12.75" x14ac:dyDescent="0.2"/>
  <cols>
    <col min="1" max="1" width="5.42578125" style="249" customWidth="1"/>
    <col min="2" max="2" width="39.85546875" style="287" customWidth="1"/>
    <col min="3" max="29" width="10.7109375" style="293" customWidth="1"/>
    <col min="30" max="38" width="10.7109375" style="294" customWidth="1"/>
    <col min="39" max="47" width="10.7109375" style="306" customWidth="1"/>
    <col min="48" max="52" width="10.7109375" style="286" customWidth="1"/>
    <col min="53" max="53" width="10.7109375" style="285" customWidth="1"/>
    <col min="54" max="56" width="10.7109375" style="286" customWidth="1"/>
    <col min="57" max="79" width="10.7109375" style="293" customWidth="1"/>
    <col min="80" max="80" width="10.7109375" style="304" customWidth="1"/>
    <col min="81" max="83" width="10.7109375" style="295" customWidth="1"/>
    <col min="84" max="105" width="10.7109375" style="293" customWidth="1"/>
    <col min="106" max="106" width="10.7109375" style="288" customWidth="1"/>
    <col min="107" max="119" width="10.7109375" style="293" customWidth="1"/>
    <col min="120" max="128" width="10.7109375" style="184" customWidth="1"/>
    <col min="129" max="137" width="10.7109375" style="293" customWidth="1"/>
    <col min="138" max="146" width="10.7109375" style="286" customWidth="1"/>
    <col min="147" max="155" width="10.7109375" style="307" customWidth="1"/>
    <col min="156" max="163" width="10.7109375" style="286" customWidth="1"/>
    <col min="164" max="16384" width="9.140625" style="250"/>
  </cols>
  <sheetData>
    <row r="1" spans="1:164" s="110" customFormat="1" ht="27.75" customHeight="1" x14ac:dyDescent="0.2">
      <c r="A1" s="109" t="s">
        <v>552</v>
      </c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293"/>
      <c r="AB1" s="293"/>
      <c r="AC1" s="293"/>
      <c r="AD1" s="183"/>
      <c r="AE1" s="183"/>
      <c r="AF1" s="183"/>
      <c r="AG1" s="183"/>
      <c r="AH1" s="183"/>
      <c r="AI1" s="183"/>
      <c r="AJ1" s="183"/>
      <c r="AK1" s="183"/>
      <c r="AL1" s="183"/>
      <c r="AM1" s="183"/>
      <c r="AN1" s="183"/>
      <c r="AO1" s="183"/>
      <c r="AP1" s="183"/>
      <c r="AQ1" s="183"/>
      <c r="AR1" s="183"/>
      <c r="AS1" s="183"/>
      <c r="AT1" s="183"/>
      <c r="AU1" s="183"/>
      <c r="AV1" s="183"/>
      <c r="AW1" s="183"/>
      <c r="AX1" s="183"/>
      <c r="AY1" s="183"/>
      <c r="AZ1" s="183"/>
      <c r="BA1" s="294"/>
      <c r="BB1" s="294"/>
      <c r="BC1" s="294"/>
      <c r="BD1" s="294"/>
      <c r="BE1" s="183"/>
      <c r="BF1" s="183"/>
      <c r="BG1" s="183"/>
      <c r="BH1" s="183"/>
      <c r="BI1" s="183"/>
      <c r="BJ1" s="183"/>
      <c r="BK1" s="183"/>
      <c r="BL1" s="183"/>
      <c r="BM1" s="183"/>
      <c r="BN1" s="183"/>
      <c r="BO1" s="183"/>
      <c r="BP1" s="183"/>
      <c r="BQ1" s="183"/>
      <c r="BR1" s="183"/>
      <c r="BS1" s="183"/>
      <c r="BT1" s="183"/>
      <c r="BU1" s="183"/>
      <c r="BV1" s="183"/>
      <c r="BW1" s="183"/>
      <c r="BX1" s="183"/>
      <c r="BY1" s="183"/>
      <c r="BZ1" s="183"/>
      <c r="CA1" s="183"/>
      <c r="CB1" s="293"/>
      <c r="CC1" s="295"/>
      <c r="CD1" s="295"/>
      <c r="CE1" s="295"/>
      <c r="CF1" s="183"/>
      <c r="CG1" s="183"/>
      <c r="CH1" s="183"/>
      <c r="CI1" s="183"/>
      <c r="CJ1" s="183"/>
      <c r="CK1" s="183"/>
      <c r="CL1" s="183"/>
      <c r="CM1" s="183"/>
      <c r="CN1" s="183"/>
      <c r="CO1" s="183"/>
      <c r="CP1" s="183"/>
      <c r="CQ1" s="183"/>
      <c r="CR1" s="183"/>
      <c r="CS1" s="183"/>
      <c r="CT1" s="183"/>
      <c r="CU1" s="183"/>
      <c r="CV1" s="183"/>
      <c r="CW1" s="183"/>
      <c r="CX1" s="183"/>
      <c r="CY1" s="183"/>
      <c r="CZ1" s="183"/>
      <c r="DA1" s="183"/>
      <c r="DB1" s="183"/>
      <c r="DC1" s="296"/>
      <c r="DD1" s="296"/>
      <c r="DE1" s="296"/>
      <c r="DF1" s="296"/>
      <c r="DG1" s="183"/>
      <c r="DH1" s="183"/>
      <c r="DI1" s="183"/>
      <c r="DJ1" s="183"/>
      <c r="DK1" s="183"/>
      <c r="DL1" s="183"/>
      <c r="DM1" s="183"/>
      <c r="DN1" s="183"/>
      <c r="DO1" s="183"/>
      <c r="DP1" s="183"/>
      <c r="DQ1" s="183"/>
      <c r="DR1" s="183"/>
      <c r="DS1" s="183"/>
      <c r="DT1" s="183"/>
      <c r="DU1" s="183"/>
      <c r="DV1" s="183"/>
      <c r="DW1" s="183"/>
      <c r="DX1" s="183"/>
      <c r="DY1" s="183"/>
      <c r="DZ1" s="183"/>
      <c r="EA1" s="183"/>
      <c r="EB1" s="183"/>
      <c r="EC1" s="183"/>
      <c r="ED1" s="297"/>
      <c r="EE1" s="297"/>
      <c r="EF1" s="297"/>
      <c r="EG1" s="297"/>
      <c r="EH1" s="183"/>
      <c r="EI1" s="183"/>
      <c r="EJ1" s="183"/>
      <c r="EK1" s="183"/>
      <c r="EL1" s="183"/>
      <c r="EM1" s="183"/>
      <c r="EN1" s="183"/>
      <c r="EO1" s="183"/>
      <c r="EP1" s="183"/>
      <c r="EQ1" s="183"/>
      <c r="ER1" s="183"/>
      <c r="ES1" s="183"/>
      <c r="ET1" s="183"/>
      <c r="EU1" s="183"/>
      <c r="EV1" s="183"/>
      <c r="EW1" s="183"/>
      <c r="EX1" s="183"/>
      <c r="EY1" s="183"/>
      <c r="EZ1" s="183"/>
      <c r="FA1" s="183"/>
      <c r="FB1" s="183"/>
      <c r="FC1" s="183"/>
      <c r="FD1" s="183"/>
      <c r="FE1" s="111"/>
      <c r="FF1" s="111"/>
      <c r="FG1" s="111"/>
    </row>
    <row r="2" spans="1:164" s="112" customFormat="1" ht="17.25" customHeight="1" x14ac:dyDescent="0.2">
      <c r="A2" s="955" t="s">
        <v>2</v>
      </c>
      <c r="B2" s="956" t="s">
        <v>101</v>
      </c>
      <c r="C2" s="950" t="s">
        <v>395</v>
      </c>
      <c r="D2" s="951"/>
      <c r="E2" s="951"/>
      <c r="F2" s="951"/>
      <c r="G2" s="951"/>
      <c r="H2" s="951"/>
      <c r="I2" s="951"/>
      <c r="J2" s="951"/>
      <c r="K2" s="951"/>
      <c r="L2" s="951"/>
      <c r="M2" s="951"/>
      <c r="N2" s="951"/>
      <c r="O2" s="951"/>
      <c r="P2" s="951"/>
      <c r="Q2" s="951"/>
      <c r="R2" s="951"/>
      <c r="S2" s="951"/>
      <c r="T2" s="951"/>
      <c r="U2" s="951"/>
      <c r="V2" s="951"/>
      <c r="W2" s="951"/>
      <c r="X2" s="951"/>
      <c r="Y2" s="951"/>
      <c r="Z2" s="951"/>
      <c r="AA2" s="951"/>
      <c r="AB2" s="951"/>
      <c r="AC2" s="952"/>
      <c r="AD2" s="950" t="s">
        <v>396</v>
      </c>
      <c r="AE2" s="951"/>
      <c r="AF2" s="951"/>
      <c r="AG2" s="951"/>
      <c r="AH2" s="951"/>
      <c r="AI2" s="951"/>
      <c r="AJ2" s="951"/>
      <c r="AK2" s="951"/>
      <c r="AL2" s="951"/>
      <c r="AM2" s="951"/>
      <c r="AN2" s="951"/>
      <c r="AO2" s="951"/>
      <c r="AP2" s="951"/>
      <c r="AQ2" s="951"/>
      <c r="AR2" s="951"/>
      <c r="AS2" s="951"/>
      <c r="AT2" s="951"/>
      <c r="AU2" s="951"/>
      <c r="AV2" s="951"/>
      <c r="AW2" s="951"/>
      <c r="AX2" s="951"/>
      <c r="AY2" s="951"/>
      <c r="AZ2" s="951"/>
      <c r="BA2" s="951"/>
      <c r="BB2" s="951"/>
      <c r="BC2" s="951"/>
      <c r="BD2" s="952"/>
      <c r="BE2" s="950" t="s">
        <v>397</v>
      </c>
      <c r="BF2" s="951"/>
      <c r="BG2" s="951"/>
      <c r="BH2" s="951"/>
      <c r="BI2" s="951"/>
      <c r="BJ2" s="951"/>
      <c r="BK2" s="951"/>
      <c r="BL2" s="951"/>
      <c r="BM2" s="951"/>
      <c r="BN2" s="951"/>
      <c r="BO2" s="951"/>
      <c r="BP2" s="951"/>
      <c r="BQ2" s="951"/>
      <c r="BR2" s="951"/>
      <c r="BS2" s="951"/>
      <c r="BT2" s="951"/>
      <c r="BU2" s="951"/>
      <c r="BV2" s="951"/>
      <c r="BW2" s="951"/>
      <c r="BX2" s="951"/>
      <c r="BY2" s="951"/>
      <c r="BZ2" s="951"/>
      <c r="CA2" s="951"/>
      <c r="CB2" s="951"/>
      <c r="CC2" s="951"/>
      <c r="CD2" s="951"/>
      <c r="CE2" s="952"/>
      <c r="CF2" s="950" t="s">
        <v>398</v>
      </c>
      <c r="CG2" s="951"/>
      <c r="CH2" s="951"/>
      <c r="CI2" s="951"/>
      <c r="CJ2" s="951"/>
      <c r="CK2" s="951"/>
      <c r="CL2" s="951"/>
      <c r="CM2" s="951"/>
      <c r="CN2" s="951"/>
      <c r="CO2" s="951"/>
      <c r="CP2" s="951"/>
      <c r="CQ2" s="951"/>
      <c r="CR2" s="951"/>
      <c r="CS2" s="951"/>
      <c r="CT2" s="951"/>
      <c r="CU2" s="951"/>
      <c r="CV2" s="951"/>
      <c r="CW2" s="951"/>
      <c r="CX2" s="951"/>
      <c r="CY2" s="951"/>
      <c r="CZ2" s="951"/>
      <c r="DA2" s="951"/>
      <c r="DB2" s="951"/>
      <c r="DC2" s="951"/>
      <c r="DD2" s="951"/>
      <c r="DE2" s="951"/>
      <c r="DF2" s="952"/>
      <c r="DG2" s="950" t="s">
        <v>399</v>
      </c>
      <c r="DH2" s="951"/>
      <c r="DI2" s="951"/>
      <c r="DJ2" s="951"/>
      <c r="DK2" s="951"/>
      <c r="DL2" s="951"/>
      <c r="DM2" s="951"/>
      <c r="DN2" s="951"/>
      <c r="DO2" s="951"/>
      <c r="DP2" s="951"/>
      <c r="DQ2" s="951"/>
      <c r="DR2" s="951"/>
      <c r="DS2" s="951"/>
      <c r="DT2" s="951"/>
      <c r="DU2" s="951"/>
      <c r="DV2" s="951"/>
      <c r="DW2" s="951"/>
      <c r="DX2" s="951"/>
      <c r="DY2" s="951"/>
      <c r="DZ2" s="951"/>
      <c r="EA2" s="951"/>
      <c r="EB2" s="951"/>
      <c r="EC2" s="951"/>
      <c r="ED2" s="951"/>
      <c r="EE2" s="951"/>
      <c r="EF2" s="951"/>
      <c r="EG2" s="952"/>
      <c r="EH2" s="954" t="s">
        <v>400</v>
      </c>
      <c r="EI2" s="954"/>
      <c r="EJ2" s="954"/>
      <c r="EK2" s="954"/>
      <c r="EL2" s="954"/>
      <c r="EM2" s="954"/>
      <c r="EN2" s="954"/>
      <c r="EO2" s="954"/>
      <c r="EP2" s="954"/>
      <c r="EQ2" s="954"/>
      <c r="ER2" s="954"/>
      <c r="ES2" s="954"/>
      <c r="ET2" s="954"/>
      <c r="EU2" s="954"/>
      <c r="EV2" s="954"/>
      <c r="EW2" s="954"/>
      <c r="EX2" s="954"/>
      <c r="EY2" s="954"/>
      <c r="EZ2" s="954"/>
      <c r="FA2" s="954"/>
      <c r="FB2" s="954"/>
      <c r="FC2" s="954"/>
      <c r="FD2" s="954"/>
      <c r="FE2" s="954"/>
      <c r="FF2" s="954"/>
      <c r="FG2" s="954"/>
      <c r="FH2" s="954"/>
    </row>
    <row r="3" spans="1:164" s="309" customFormat="1" ht="17.25" customHeight="1" x14ac:dyDescent="0.2">
      <c r="A3" s="955"/>
      <c r="B3" s="956"/>
      <c r="C3" s="950" t="s">
        <v>440</v>
      </c>
      <c r="D3" s="951"/>
      <c r="E3" s="951"/>
      <c r="F3" s="951"/>
      <c r="G3" s="951"/>
      <c r="H3" s="951"/>
      <c r="I3" s="951"/>
      <c r="J3" s="951"/>
      <c r="K3" s="952"/>
      <c r="L3" s="950" t="s">
        <v>515</v>
      </c>
      <c r="M3" s="951"/>
      <c r="N3" s="951"/>
      <c r="O3" s="951"/>
      <c r="P3" s="951"/>
      <c r="Q3" s="951"/>
      <c r="R3" s="951"/>
      <c r="S3" s="951"/>
      <c r="T3" s="952"/>
      <c r="U3" s="947" t="s">
        <v>401</v>
      </c>
      <c r="V3" s="948"/>
      <c r="W3" s="948"/>
      <c r="X3" s="948"/>
      <c r="Y3" s="948"/>
      <c r="Z3" s="948"/>
      <c r="AA3" s="948"/>
      <c r="AB3" s="948"/>
      <c r="AC3" s="949"/>
      <c r="AD3" s="950" t="s">
        <v>440</v>
      </c>
      <c r="AE3" s="951"/>
      <c r="AF3" s="951"/>
      <c r="AG3" s="951"/>
      <c r="AH3" s="951"/>
      <c r="AI3" s="951"/>
      <c r="AJ3" s="951"/>
      <c r="AK3" s="951"/>
      <c r="AL3" s="952"/>
      <c r="AM3" s="947" t="s">
        <v>515</v>
      </c>
      <c r="AN3" s="948"/>
      <c r="AO3" s="948"/>
      <c r="AP3" s="948"/>
      <c r="AQ3" s="948"/>
      <c r="AR3" s="948"/>
      <c r="AS3" s="948"/>
      <c r="AT3" s="948"/>
      <c r="AU3" s="949"/>
      <c r="AV3" s="947" t="s">
        <v>401</v>
      </c>
      <c r="AW3" s="948"/>
      <c r="AX3" s="948"/>
      <c r="AY3" s="948"/>
      <c r="AZ3" s="948"/>
      <c r="BA3" s="948"/>
      <c r="BB3" s="948"/>
      <c r="BC3" s="948"/>
      <c r="BD3" s="949"/>
      <c r="BE3" s="950" t="s">
        <v>440</v>
      </c>
      <c r="BF3" s="951"/>
      <c r="BG3" s="951"/>
      <c r="BH3" s="951"/>
      <c r="BI3" s="951"/>
      <c r="BJ3" s="951"/>
      <c r="BK3" s="951"/>
      <c r="BL3" s="951"/>
      <c r="BM3" s="952"/>
      <c r="BN3" s="947" t="s">
        <v>515</v>
      </c>
      <c r="BO3" s="948"/>
      <c r="BP3" s="948"/>
      <c r="BQ3" s="948"/>
      <c r="BR3" s="948"/>
      <c r="BS3" s="948"/>
      <c r="BT3" s="948"/>
      <c r="BU3" s="948"/>
      <c r="BV3" s="949"/>
      <c r="BW3" s="947" t="s">
        <v>401</v>
      </c>
      <c r="BX3" s="948"/>
      <c r="BY3" s="948"/>
      <c r="BZ3" s="948"/>
      <c r="CA3" s="948"/>
      <c r="CB3" s="948"/>
      <c r="CC3" s="948"/>
      <c r="CD3" s="948"/>
      <c r="CE3" s="949"/>
      <c r="CF3" s="950" t="s">
        <v>440</v>
      </c>
      <c r="CG3" s="951"/>
      <c r="CH3" s="951"/>
      <c r="CI3" s="951"/>
      <c r="CJ3" s="951"/>
      <c r="CK3" s="951"/>
      <c r="CL3" s="951"/>
      <c r="CM3" s="951"/>
      <c r="CN3" s="952"/>
      <c r="CO3" s="947" t="s">
        <v>515</v>
      </c>
      <c r="CP3" s="948"/>
      <c r="CQ3" s="948"/>
      <c r="CR3" s="948"/>
      <c r="CS3" s="948"/>
      <c r="CT3" s="948"/>
      <c r="CU3" s="948"/>
      <c r="CV3" s="948"/>
      <c r="CW3" s="949"/>
      <c r="CX3" s="947" t="s">
        <v>401</v>
      </c>
      <c r="CY3" s="948"/>
      <c r="CZ3" s="948"/>
      <c r="DA3" s="948"/>
      <c r="DB3" s="948"/>
      <c r="DC3" s="948"/>
      <c r="DD3" s="948"/>
      <c r="DE3" s="948"/>
      <c r="DF3" s="949"/>
      <c r="DG3" s="950" t="s">
        <v>440</v>
      </c>
      <c r="DH3" s="951"/>
      <c r="DI3" s="951"/>
      <c r="DJ3" s="951"/>
      <c r="DK3" s="951"/>
      <c r="DL3" s="951"/>
      <c r="DM3" s="951"/>
      <c r="DN3" s="951"/>
      <c r="DO3" s="952"/>
      <c r="DP3" s="947" t="s">
        <v>515</v>
      </c>
      <c r="DQ3" s="948"/>
      <c r="DR3" s="948"/>
      <c r="DS3" s="948"/>
      <c r="DT3" s="948"/>
      <c r="DU3" s="948"/>
      <c r="DV3" s="948"/>
      <c r="DW3" s="948"/>
      <c r="DX3" s="949"/>
      <c r="DY3" s="947" t="s">
        <v>401</v>
      </c>
      <c r="DZ3" s="948"/>
      <c r="EA3" s="948"/>
      <c r="EB3" s="948"/>
      <c r="EC3" s="948"/>
      <c r="ED3" s="948"/>
      <c r="EE3" s="948"/>
      <c r="EF3" s="948"/>
      <c r="EG3" s="949"/>
      <c r="EH3" s="950" t="s">
        <v>440</v>
      </c>
      <c r="EI3" s="951"/>
      <c r="EJ3" s="951"/>
      <c r="EK3" s="951"/>
      <c r="EL3" s="951"/>
      <c r="EM3" s="951"/>
      <c r="EN3" s="951"/>
      <c r="EO3" s="951"/>
      <c r="EP3" s="952"/>
      <c r="EQ3" s="947" t="s">
        <v>515</v>
      </c>
      <c r="ER3" s="948"/>
      <c r="ES3" s="948"/>
      <c r="ET3" s="948"/>
      <c r="EU3" s="948"/>
      <c r="EV3" s="948"/>
      <c r="EW3" s="948"/>
      <c r="EX3" s="948"/>
      <c r="EY3" s="949"/>
      <c r="EZ3" s="953" t="s">
        <v>401</v>
      </c>
      <c r="FA3" s="953"/>
      <c r="FB3" s="953"/>
      <c r="FC3" s="953"/>
      <c r="FD3" s="953"/>
      <c r="FE3" s="953"/>
      <c r="FF3" s="953"/>
      <c r="FG3" s="953"/>
      <c r="FH3" s="953"/>
    </row>
    <row r="4" spans="1:164" ht="17.25" customHeight="1" x14ac:dyDescent="0.2">
      <c r="A4" s="955"/>
      <c r="B4" s="956"/>
      <c r="C4" s="229" t="s">
        <v>91</v>
      </c>
      <c r="D4" s="229" t="s">
        <v>102</v>
      </c>
      <c r="E4" s="229" t="s">
        <v>51</v>
      </c>
      <c r="F4" s="229" t="s">
        <v>87</v>
      </c>
      <c r="G4" s="229" t="s">
        <v>20</v>
      </c>
      <c r="H4" s="229" t="s">
        <v>99</v>
      </c>
      <c r="I4" s="229" t="s">
        <v>103</v>
      </c>
      <c r="J4" s="229" t="s">
        <v>415</v>
      </c>
      <c r="K4" s="649" t="s">
        <v>507</v>
      </c>
      <c r="L4" s="229" t="s">
        <v>91</v>
      </c>
      <c r="M4" s="229" t="s">
        <v>102</v>
      </c>
      <c r="N4" s="229" t="s">
        <v>51</v>
      </c>
      <c r="O4" s="229" t="s">
        <v>87</v>
      </c>
      <c r="P4" s="229" t="s">
        <v>20</v>
      </c>
      <c r="Q4" s="229" t="s">
        <v>99</v>
      </c>
      <c r="R4" s="229" t="s">
        <v>103</v>
      </c>
      <c r="S4" s="229" t="s">
        <v>415</v>
      </c>
      <c r="T4" s="649" t="s">
        <v>507</v>
      </c>
      <c r="U4" s="229" t="s">
        <v>91</v>
      </c>
      <c r="V4" s="229" t="s">
        <v>102</v>
      </c>
      <c r="W4" s="229" t="s">
        <v>51</v>
      </c>
      <c r="X4" s="229" t="s">
        <v>87</v>
      </c>
      <c r="Y4" s="229" t="s">
        <v>20</v>
      </c>
      <c r="Z4" s="229" t="s">
        <v>99</v>
      </c>
      <c r="AA4" s="229" t="s">
        <v>103</v>
      </c>
      <c r="AB4" s="229" t="s">
        <v>415</v>
      </c>
      <c r="AC4" s="649" t="s">
        <v>507</v>
      </c>
      <c r="AD4" s="229" t="s">
        <v>91</v>
      </c>
      <c r="AE4" s="229" t="s">
        <v>102</v>
      </c>
      <c r="AF4" s="229" t="s">
        <v>51</v>
      </c>
      <c r="AG4" s="229" t="s">
        <v>87</v>
      </c>
      <c r="AH4" s="229" t="s">
        <v>20</v>
      </c>
      <c r="AI4" s="229" t="s">
        <v>99</v>
      </c>
      <c r="AJ4" s="229" t="s">
        <v>103</v>
      </c>
      <c r="AK4" s="229" t="s">
        <v>415</v>
      </c>
      <c r="AL4" s="649" t="s">
        <v>507</v>
      </c>
      <c r="AM4" s="229" t="s">
        <v>91</v>
      </c>
      <c r="AN4" s="229" t="s">
        <v>102</v>
      </c>
      <c r="AO4" s="229" t="s">
        <v>51</v>
      </c>
      <c r="AP4" s="229" t="s">
        <v>87</v>
      </c>
      <c r="AQ4" s="229" t="s">
        <v>20</v>
      </c>
      <c r="AR4" s="229" t="s">
        <v>99</v>
      </c>
      <c r="AS4" s="229" t="s">
        <v>103</v>
      </c>
      <c r="AT4" s="229" t="s">
        <v>415</v>
      </c>
      <c r="AU4" s="649" t="s">
        <v>507</v>
      </c>
      <c r="AV4" s="229" t="s">
        <v>91</v>
      </c>
      <c r="AW4" s="229" t="s">
        <v>102</v>
      </c>
      <c r="AX4" s="229" t="s">
        <v>51</v>
      </c>
      <c r="AY4" s="229" t="s">
        <v>87</v>
      </c>
      <c r="AZ4" s="229" t="s">
        <v>20</v>
      </c>
      <c r="BA4" s="229" t="s">
        <v>99</v>
      </c>
      <c r="BB4" s="229" t="s">
        <v>103</v>
      </c>
      <c r="BC4" s="229" t="s">
        <v>415</v>
      </c>
      <c r="BD4" s="649" t="s">
        <v>507</v>
      </c>
      <c r="BE4" s="229" t="s">
        <v>91</v>
      </c>
      <c r="BF4" s="229" t="s">
        <v>102</v>
      </c>
      <c r="BG4" s="229" t="s">
        <v>51</v>
      </c>
      <c r="BH4" s="229" t="s">
        <v>87</v>
      </c>
      <c r="BI4" s="229" t="s">
        <v>20</v>
      </c>
      <c r="BJ4" s="229" t="s">
        <v>99</v>
      </c>
      <c r="BK4" s="229" t="s">
        <v>103</v>
      </c>
      <c r="BL4" s="229" t="s">
        <v>415</v>
      </c>
      <c r="BM4" s="649" t="s">
        <v>507</v>
      </c>
      <c r="BN4" s="229" t="s">
        <v>91</v>
      </c>
      <c r="BO4" s="229" t="s">
        <v>102</v>
      </c>
      <c r="BP4" s="229" t="s">
        <v>51</v>
      </c>
      <c r="BQ4" s="229" t="s">
        <v>87</v>
      </c>
      <c r="BR4" s="229" t="s">
        <v>20</v>
      </c>
      <c r="BS4" s="229" t="s">
        <v>99</v>
      </c>
      <c r="BT4" s="229" t="s">
        <v>103</v>
      </c>
      <c r="BU4" s="229" t="s">
        <v>415</v>
      </c>
      <c r="BV4" s="649" t="s">
        <v>507</v>
      </c>
      <c r="BW4" s="229" t="s">
        <v>91</v>
      </c>
      <c r="BX4" s="229" t="s">
        <v>102</v>
      </c>
      <c r="BY4" s="229" t="s">
        <v>51</v>
      </c>
      <c r="BZ4" s="229" t="s">
        <v>87</v>
      </c>
      <c r="CA4" s="229" t="s">
        <v>20</v>
      </c>
      <c r="CB4" s="229" t="s">
        <v>99</v>
      </c>
      <c r="CC4" s="229" t="s">
        <v>103</v>
      </c>
      <c r="CD4" s="229" t="s">
        <v>415</v>
      </c>
      <c r="CE4" s="649" t="s">
        <v>507</v>
      </c>
      <c r="CF4" s="229" t="s">
        <v>91</v>
      </c>
      <c r="CG4" s="229" t="s">
        <v>102</v>
      </c>
      <c r="CH4" s="229" t="s">
        <v>51</v>
      </c>
      <c r="CI4" s="229" t="s">
        <v>87</v>
      </c>
      <c r="CJ4" s="229" t="s">
        <v>20</v>
      </c>
      <c r="CK4" s="229" t="s">
        <v>99</v>
      </c>
      <c r="CL4" s="229" t="s">
        <v>103</v>
      </c>
      <c r="CM4" s="229" t="s">
        <v>415</v>
      </c>
      <c r="CN4" s="649" t="s">
        <v>507</v>
      </c>
      <c r="CO4" s="229" t="s">
        <v>91</v>
      </c>
      <c r="CP4" s="229" t="s">
        <v>102</v>
      </c>
      <c r="CQ4" s="229" t="s">
        <v>51</v>
      </c>
      <c r="CR4" s="229" t="s">
        <v>87</v>
      </c>
      <c r="CS4" s="229" t="s">
        <v>20</v>
      </c>
      <c r="CT4" s="229" t="s">
        <v>99</v>
      </c>
      <c r="CU4" s="229" t="s">
        <v>103</v>
      </c>
      <c r="CV4" s="229" t="s">
        <v>415</v>
      </c>
      <c r="CW4" s="649" t="s">
        <v>507</v>
      </c>
      <c r="CX4" s="229" t="s">
        <v>91</v>
      </c>
      <c r="CY4" s="229" t="s">
        <v>102</v>
      </c>
      <c r="CZ4" s="229" t="s">
        <v>51</v>
      </c>
      <c r="DA4" s="229" t="s">
        <v>87</v>
      </c>
      <c r="DB4" s="229" t="s">
        <v>20</v>
      </c>
      <c r="DC4" s="229" t="s">
        <v>99</v>
      </c>
      <c r="DD4" s="229" t="s">
        <v>103</v>
      </c>
      <c r="DE4" s="229" t="s">
        <v>415</v>
      </c>
      <c r="DF4" s="649" t="s">
        <v>507</v>
      </c>
      <c r="DG4" s="229" t="s">
        <v>91</v>
      </c>
      <c r="DH4" s="229" t="s">
        <v>102</v>
      </c>
      <c r="DI4" s="229" t="s">
        <v>51</v>
      </c>
      <c r="DJ4" s="229" t="s">
        <v>87</v>
      </c>
      <c r="DK4" s="229" t="s">
        <v>20</v>
      </c>
      <c r="DL4" s="229" t="s">
        <v>99</v>
      </c>
      <c r="DM4" s="229" t="s">
        <v>103</v>
      </c>
      <c r="DN4" s="229" t="s">
        <v>415</v>
      </c>
      <c r="DO4" s="649" t="s">
        <v>507</v>
      </c>
      <c r="DP4" s="229" t="s">
        <v>91</v>
      </c>
      <c r="DQ4" s="229" t="s">
        <v>102</v>
      </c>
      <c r="DR4" s="229" t="s">
        <v>51</v>
      </c>
      <c r="DS4" s="229" t="s">
        <v>87</v>
      </c>
      <c r="DT4" s="229" t="s">
        <v>20</v>
      </c>
      <c r="DU4" s="229" t="s">
        <v>99</v>
      </c>
      <c r="DV4" s="229" t="s">
        <v>103</v>
      </c>
      <c r="DW4" s="229" t="s">
        <v>415</v>
      </c>
      <c r="DX4" s="649" t="s">
        <v>507</v>
      </c>
      <c r="DY4" s="229" t="s">
        <v>91</v>
      </c>
      <c r="DZ4" s="229" t="s">
        <v>102</v>
      </c>
      <c r="EA4" s="229" t="s">
        <v>51</v>
      </c>
      <c r="EB4" s="229" t="s">
        <v>87</v>
      </c>
      <c r="EC4" s="229" t="s">
        <v>20</v>
      </c>
      <c r="ED4" s="229" t="s">
        <v>99</v>
      </c>
      <c r="EE4" s="229" t="s">
        <v>103</v>
      </c>
      <c r="EF4" s="229" t="s">
        <v>415</v>
      </c>
      <c r="EG4" s="649" t="s">
        <v>507</v>
      </c>
      <c r="EH4" s="229" t="s">
        <v>91</v>
      </c>
      <c r="EI4" s="229" t="s">
        <v>102</v>
      </c>
      <c r="EJ4" s="229" t="s">
        <v>51</v>
      </c>
      <c r="EK4" s="229" t="s">
        <v>87</v>
      </c>
      <c r="EL4" s="229" t="s">
        <v>20</v>
      </c>
      <c r="EM4" s="229" t="s">
        <v>99</v>
      </c>
      <c r="EN4" s="229" t="s">
        <v>103</v>
      </c>
      <c r="EO4" s="229" t="s">
        <v>415</v>
      </c>
      <c r="EP4" s="649" t="s">
        <v>507</v>
      </c>
      <c r="EQ4" s="229" t="s">
        <v>91</v>
      </c>
      <c r="ER4" s="229" t="s">
        <v>102</v>
      </c>
      <c r="ES4" s="229" t="s">
        <v>51</v>
      </c>
      <c r="ET4" s="229" t="s">
        <v>87</v>
      </c>
      <c r="EU4" s="229" t="s">
        <v>20</v>
      </c>
      <c r="EV4" s="229" t="s">
        <v>99</v>
      </c>
      <c r="EW4" s="229" t="s">
        <v>103</v>
      </c>
      <c r="EX4" s="229" t="s">
        <v>415</v>
      </c>
      <c r="EY4" s="649" t="s">
        <v>507</v>
      </c>
      <c r="EZ4" s="650" t="s">
        <v>91</v>
      </c>
      <c r="FA4" s="650" t="s">
        <v>102</v>
      </c>
      <c r="FB4" s="650" t="s">
        <v>51</v>
      </c>
      <c r="FC4" s="650" t="s">
        <v>87</v>
      </c>
      <c r="FD4" s="650" t="s">
        <v>20</v>
      </c>
      <c r="FE4" s="650" t="s">
        <v>99</v>
      </c>
      <c r="FF4" s="650" t="s">
        <v>103</v>
      </c>
      <c r="FG4" s="650" t="s">
        <v>415</v>
      </c>
      <c r="FH4" s="650" t="s">
        <v>507</v>
      </c>
    </row>
    <row r="5" spans="1:164" s="112" customFormat="1" ht="17.100000000000001" customHeight="1" x14ac:dyDescent="0.2">
      <c r="A5" s="339"/>
      <c r="B5" s="340" t="s">
        <v>104</v>
      </c>
      <c r="C5" s="129"/>
      <c r="D5" s="129"/>
      <c r="E5" s="129"/>
      <c r="F5" s="129"/>
      <c r="G5" s="144"/>
      <c r="H5" s="144"/>
      <c r="I5" s="144"/>
      <c r="J5" s="232"/>
      <c r="K5" s="144"/>
      <c r="L5" s="252"/>
      <c r="M5" s="252"/>
      <c r="N5" s="252"/>
      <c r="O5" s="252"/>
      <c r="P5" s="252"/>
      <c r="Q5" s="252"/>
      <c r="R5" s="252"/>
      <c r="S5" s="272"/>
      <c r="T5" s="252"/>
      <c r="U5" s="253"/>
      <c r="V5" s="144"/>
      <c r="W5" s="129"/>
      <c r="X5" s="144"/>
      <c r="Y5" s="144"/>
      <c r="Z5" s="145"/>
      <c r="AA5" s="252"/>
      <c r="AB5" s="272"/>
      <c r="AC5" s="252"/>
      <c r="AD5" s="129"/>
      <c r="AE5" s="129"/>
      <c r="AF5" s="129"/>
      <c r="AG5" s="129"/>
      <c r="AH5" s="145"/>
      <c r="AI5" s="145"/>
      <c r="AJ5" s="145"/>
      <c r="AK5" s="236"/>
      <c r="AL5" s="145"/>
      <c r="AM5" s="253"/>
      <c r="AN5" s="253"/>
      <c r="AO5" s="253"/>
      <c r="AP5" s="134"/>
      <c r="AQ5" s="134"/>
      <c r="AR5" s="134"/>
      <c r="AS5" s="134"/>
      <c r="AT5" s="237"/>
      <c r="AU5" s="134"/>
      <c r="AV5" s="252"/>
      <c r="AW5" s="145"/>
      <c r="AX5" s="129"/>
      <c r="AY5" s="145"/>
      <c r="AZ5" s="145"/>
      <c r="BA5" s="256"/>
      <c r="BB5" s="137"/>
      <c r="BC5" s="238"/>
      <c r="BD5" s="137"/>
      <c r="BE5" s="129"/>
      <c r="BF5" s="129"/>
      <c r="BG5" s="129"/>
      <c r="BH5" s="129"/>
      <c r="BI5" s="144"/>
      <c r="BJ5" s="144"/>
      <c r="BK5" s="144"/>
      <c r="BL5" s="232"/>
      <c r="BM5" s="144"/>
      <c r="BN5" s="253"/>
      <c r="BO5" s="253"/>
      <c r="BP5" s="253"/>
      <c r="BQ5" s="134"/>
      <c r="BR5" s="134"/>
      <c r="BS5" s="134"/>
      <c r="BT5" s="134"/>
      <c r="BU5" s="237"/>
      <c r="BV5" s="134"/>
      <c r="BW5" s="252"/>
      <c r="BX5" s="134"/>
      <c r="BY5" s="144"/>
      <c r="BZ5" s="144"/>
      <c r="CA5" s="253"/>
      <c r="CB5" s="259"/>
      <c r="CC5" s="129"/>
      <c r="CD5" s="247"/>
      <c r="CE5" s="129"/>
      <c r="CF5" s="129"/>
      <c r="CG5" s="129"/>
      <c r="CH5" s="129"/>
      <c r="CI5" s="129"/>
      <c r="CJ5" s="144"/>
      <c r="CK5" s="144"/>
      <c r="CL5" s="144"/>
      <c r="CM5" s="232"/>
      <c r="CN5" s="144"/>
      <c r="CO5" s="253"/>
      <c r="CP5" s="253"/>
      <c r="CQ5" s="253"/>
      <c r="CR5" s="134"/>
      <c r="CS5" s="134"/>
      <c r="CT5" s="134"/>
      <c r="CU5" s="134"/>
      <c r="CV5" s="237"/>
      <c r="CW5" s="134"/>
      <c r="CX5" s="252"/>
      <c r="CY5" s="144"/>
      <c r="CZ5" s="129"/>
      <c r="DA5" s="144"/>
      <c r="DB5" s="144"/>
      <c r="DC5" s="144"/>
      <c r="DD5" s="129"/>
      <c r="DE5" s="247"/>
      <c r="DF5" s="129"/>
      <c r="DG5" s="254"/>
      <c r="DH5" s="254"/>
      <c r="DI5" s="254"/>
      <c r="DJ5" s="254"/>
      <c r="DK5" s="255"/>
      <c r="DL5" s="255"/>
      <c r="DM5" s="255"/>
      <c r="DN5" s="273"/>
      <c r="DO5" s="255"/>
      <c r="DP5" s="253"/>
      <c r="DQ5" s="253"/>
      <c r="DR5" s="253"/>
      <c r="DS5" s="253"/>
      <c r="DT5" s="253"/>
      <c r="DU5" s="253"/>
      <c r="DV5" s="253"/>
      <c r="DW5" s="274"/>
      <c r="DX5" s="253"/>
      <c r="DY5" s="260"/>
      <c r="DZ5" s="255"/>
      <c r="EA5" s="255"/>
      <c r="EB5" s="255"/>
      <c r="EC5" s="255"/>
      <c r="ED5" s="255"/>
      <c r="EE5" s="254"/>
      <c r="EF5" s="298"/>
      <c r="EG5" s="254"/>
      <c r="EH5" s="129"/>
      <c r="EI5" s="129"/>
      <c r="EJ5" s="129"/>
      <c r="EK5" s="129"/>
      <c r="EL5" s="144"/>
      <c r="EM5" s="144"/>
      <c r="EN5" s="144"/>
      <c r="EO5" s="232"/>
      <c r="EP5" s="144"/>
      <c r="EQ5" s="253"/>
      <c r="ER5" s="253"/>
      <c r="ES5" s="253"/>
      <c r="ET5" s="134"/>
      <c r="EU5" s="134"/>
      <c r="EV5" s="134"/>
      <c r="EW5" s="134"/>
      <c r="EX5" s="237"/>
      <c r="EY5" s="134"/>
      <c r="EZ5" s="254"/>
      <c r="FA5" s="144"/>
      <c r="FB5" s="129"/>
      <c r="FC5" s="144"/>
      <c r="FD5" s="255"/>
      <c r="FE5" s="255"/>
      <c r="FF5" s="137"/>
      <c r="FG5" s="137"/>
      <c r="FH5" s="137"/>
    </row>
    <row r="6" spans="1:164" ht="17.100000000000001" customHeight="1" x14ac:dyDescent="0.2">
      <c r="A6" s="324">
        <v>1</v>
      </c>
      <c r="B6" s="341" t="s">
        <v>9</v>
      </c>
      <c r="C6" s="254">
        <v>721.23</v>
      </c>
      <c r="D6" s="254">
        <v>753.31</v>
      </c>
      <c r="E6" s="254">
        <v>756.46104749999995</v>
      </c>
      <c r="F6" s="254">
        <v>763.76</v>
      </c>
      <c r="G6" s="146">
        <v>674.88368725146427</v>
      </c>
      <c r="H6" s="146">
        <v>697.31</v>
      </c>
      <c r="I6" s="146">
        <v>652.31460000000004</v>
      </c>
      <c r="J6" s="233">
        <v>782</v>
      </c>
      <c r="K6" s="146">
        <v>918.46</v>
      </c>
      <c r="L6" s="252">
        <v>527.85889999999995</v>
      </c>
      <c r="M6" s="252">
        <v>563.33010000000002</v>
      </c>
      <c r="N6" s="252">
        <v>687.86500000000001</v>
      </c>
      <c r="O6" s="252">
        <v>396.55</v>
      </c>
      <c r="P6" s="146">
        <v>864.01020879999999</v>
      </c>
      <c r="Q6" s="146">
        <v>389.86</v>
      </c>
      <c r="R6" s="146">
        <v>503.01159999999999</v>
      </c>
      <c r="S6" s="233">
        <v>557.65</v>
      </c>
      <c r="T6" s="146">
        <v>804.02</v>
      </c>
      <c r="U6" s="253">
        <v>73.188664815016125</v>
      </c>
      <c r="V6" s="254">
        <v>74.780380046692429</v>
      </c>
      <c r="W6" s="254">
        <v>90.931972575985725</v>
      </c>
      <c r="X6" s="275">
        <v>51.920760448308364</v>
      </c>
      <c r="Y6" s="253">
        <v>128.02357282019568</v>
      </c>
      <c r="Z6" s="254">
        <v>55.91</v>
      </c>
      <c r="AA6" s="252">
        <v>77.11</v>
      </c>
      <c r="AB6" s="272">
        <v>71.310741687979544</v>
      </c>
      <c r="AC6" s="272">
        <v>87.540012629836895</v>
      </c>
      <c r="AD6" s="259">
        <v>191.29</v>
      </c>
      <c r="AE6" s="259">
        <v>201.38</v>
      </c>
      <c r="AF6" s="254">
        <v>205.71940609999999</v>
      </c>
      <c r="AG6" s="254">
        <v>172.81</v>
      </c>
      <c r="AH6" s="146">
        <v>159.39374985089941</v>
      </c>
      <c r="AI6" s="146">
        <v>143.88999999999999</v>
      </c>
      <c r="AJ6" s="146">
        <v>153.2595</v>
      </c>
      <c r="AK6" s="233">
        <v>128.54</v>
      </c>
      <c r="AL6" s="146">
        <v>134.65</v>
      </c>
      <c r="AM6" s="253">
        <v>138.05290000000002</v>
      </c>
      <c r="AN6" s="253">
        <v>117.4794</v>
      </c>
      <c r="AO6" s="253">
        <v>104.79690000000001</v>
      </c>
      <c r="AP6" s="253">
        <v>117.09</v>
      </c>
      <c r="AQ6" s="146">
        <v>77.134619199999975</v>
      </c>
      <c r="AR6" s="146">
        <v>129.41999999999999</v>
      </c>
      <c r="AS6" s="146">
        <v>77.285600000000002</v>
      </c>
      <c r="AT6" s="233">
        <v>95.44</v>
      </c>
      <c r="AU6" s="146">
        <v>125.29</v>
      </c>
      <c r="AV6" s="252">
        <v>72.168485434609309</v>
      </c>
      <c r="AW6" s="254">
        <v>58.337839790602445</v>
      </c>
      <c r="AX6" s="254">
        <v>50.941671033456259</v>
      </c>
      <c r="AY6" s="275">
        <v>67.756495573172842</v>
      </c>
      <c r="AZ6" s="253">
        <v>48.392499249282658</v>
      </c>
      <c r="BA6" s="256">
        <v>89.94</v>
      </c>
      <c r="BB6" s="257">
        <v>50.427934320547827</v>
      </c>
      <c r="BC6" s="258">
        <v>74.249260930449665</v>
      </c>
      <c r="BD6" s="258">
        <v>93.048644634236908</v>
      </c>
      <c r="BE6" s="259">
        <v>4218.6099999999997</v>
      </c>
      <c r="BF6" s="259">
        <v>4774.16</v>
      </c>
      <c r="BG6" s="254">
        <v>5170.5673462000004</v>
      </c>
      <c r="BH6" s="254">
        <v>5066.75</v>
      </c>
      <c r="BI6" s="146">
        <v>5008.2297809092734</v>
      </c>
      <c r="BJ6" s="146">
        <v>4953.8599999999997</v>
      </c>
      <c r="BK6" s="146">
        <v>4468.4723000000004</v>
      </c>
      <c r="BL6" s="233">
        <v>4429.72</v>
      </c>
      <c r="BM6" s="146">
        <v>4457.54</v>
      </c>
      <c r="BN6" s="253">
        <v>2925.7421000000004</v>
      </c>
      <c r="BO6" s="253">
        <v>2620.7375000000002</v>
      </c>
      <c r="BP6" s="253">
        <v>4648.9919</v>
      </c>
      <c r="BQ6" s="253">
        <v>4264.01</v>
      </c>
      <c r="BR6" s="146">
        <v>6093.7627401999998</v>
      </c>
      <c r="BS6" s="146">
        <v>6316.3</v>
      </c>
      <c r="BT6" s="146">
        <v>5203.0309999999999</v>
      </c>
      <c r="BU6" s="233">
        <v>3479.68</v>
      </c>
      <c r="BV6" s="146">
        <v>4042.22</v>
      </c>
      <c r="BW6" s="252">
        <v>69.353226995461242</v>
      </c>
      <c r="BX6" s="253">
        <v>54.894203707889432</v>
      </c>
      <c r="BY6" s="254">
        <v>89.912609587590325</v>
      </c>
      <c r="BZ6" s="275">
        <v>84.156707948882428</v>
      </c>
      <c r="CA6" s="253">
        <v>121.67498311336749</v>
      </c>
      <c r="CB6" s="259">
        <v>127.5</v>
      </c>
      <c r="CC6" s="254">
        <v>116.4386987472206</v>
      </c>
      <c r="CD6" s="298">
        <v>78.553046242200395</v>
      </c>
      <c r="CE6" s="298">
        <v>90.682753267497318</v>
      </c>
      <c r="CF6" s="254">
        <v>2592.16</v>
      </c>
      <c r="CG6" s="259">
        <v>3329.65</v>
      </c>
      <c r="CH6" s="254">
        <v>3887.0891345</v>
      </c>
      <c r="CI6" s="254">
        <v>4021.04</v>
      </c>
      <c r="CJ6" s="146">
        <v>4047.4139598188908</v>
      </c>
      <c r="CK6" s="146">
        <v>3621.7400000000002</v>
      </c>
      <c r="CL6" s="146">
        <v>3240.6910000000003</v>
      </c>
      <c r="CM6" s="233">
        <v>4272.59</v>
      </c>
      <c r="CN6" s="146">
        <v>5570.5599999999995</v>
      </c>
      <c r="CO6" s="253">
        <v>2703.3058000000001</v>
      </c>
      <c r="CP6" s="253">
        <v>3663.4367999999999</v>
      </c>
      <c r="CQ6" s="253">
        <v>4291.3534</v>
      </c>
      <c r="CR6" s="253">
        <v>5105.82</v>
      </c>
      <c r="CS6" s="146">
        <v>4676.8821737000007</v>
      </c>
      <c r="CT6" s="146">
        <v>3898.6200000000003</v>
      </c>
      <c r="CU6" s="146">
        <v>3347.5416999999998</v>
      </c>
      <c r="CV6" s="233">
        <v>4319.16</v>
      </c>
      <c r="CW6" s="146">
        <v>6992.54</v>
      </c>
      <c r="CX6" s="252">
        <v>104.28761082584323</v>
      </c>
      <c r="CY6" s="254">
        <v>110.02455240167754</v>
      </c>
      <c r="CZ6" s="254">
        <v>110.40018094774315</v>
      </c>
      <c r="DA6" s="275">
        <v>126.97759783538586</v>
      </c>
      <c r="DB6" s="253">
        <v>115.55235565549309</v>
      </c>
      <c r="DC6" s="253">
        <v>107.64</v>
      </c>
      <c r="DD6" s="254">
        <v>103.29715792094956</v>
      </c>
      <c r="DE6" s="298">
        <v>101.08997118843605</v>
      </c>
      <c r="DF6" s="298">
        <v>125.52669749540442</v>
      </c>
      <c r="DG6" s="254">
        <v>959.37</v>
      </c>
      <c r="DH6" s="259">
        <v>839.65</v>
      </c>
      <c r="DI6" s="254">
        <v>771.54521380000006</v>
      </c>
      <c r="DJ6" s="254">
        <v>779.26</v>
      </c>
      <c r="DK6" s="147">
        <v>1376.6337309738492</v>
      </c>
      <c r="DL6" s="147">
        <v>983.42580000000135</v>
      </c>
      <c r="DM6" s="147">
        <v>1167.9775000000004</v>
      </c>
      <c r="DN6" s="243">
        <v>1628.63</v>
      </c>
      <c r="DO6" s="147">
        <v>1210.9100000000001</v>
      </c>
      <c r="DP6" s="253">
        <v>753.64600000000007</v>
      </c>
      <c r="DQ6" s="253">
        <v>710.19470000000035</v>
      </c>
      <c r="DR6" s="253">
        <v>549.39469999999972</v>
      </c>
      <c r="DS6" s="253">
        <v>623.21</v>
      </c>
      <c r="DT6" s="147">
        <v>1158.8880685999998</v>
      </c>
      <c r="DU6" s="147">
        <v>699.82999999999947</v>
      </c>
      <c r="DV6" s="147">
        <v>1119.0776000000014</v>
      </c>
      <c r="DW6" s="243">
        <v>1241.97</v>
      </c>
      <c r="DX6" s="147">
        <v>825.9300000000012</v>
      </c>
      <c r="DY6" s="260">
        <v>78.556090430302874</v>
      </c>
      <c r="DZ6" s="260">
        <v>84.582140029862416</v>
      </c>
      <c r="EA6" s="260">
        <v>71.207056798868337</v>
      </c>
      <c r="EB6" s="276">
        <v>79.974591278905635</v>
      </c>
      <c r="EC6" s="260">
        <v>84.182745382839542</v>
      </c>
      <c r="ED6" s="260">
        <v>71.16</v>
      </c>
      <c r="EE6" s="277">
        <v>95.81328407439365</v>
      </c>
      <c r="EF6" s="302">
        <v>76.258573156579459</v>
      </c>
      <c r="EG6" s="302">
        <v>68.207381225689872</v>
      </c>
      <c r="EH6" s="259">
        <v>8682.67</v>
      </c>
      <c r="EI6" s="259">
        <v>9898.16</v>
      </c>
      <c r="EJ6" s="254">
        <v>10791.382148100001</v>
      </c>
      <c r="EK6" s="254">
        <v>10803.62</v>
      </c>
      <c r="EL6" s="146">
        <v>11266.554908804377</v>
      </c>
      <c r="EM6" s="146">
        <v>10400.2258</v>
      </c>
      <c r="EN6" s="146">
        <v>9682.7149000000009</v>
      </c>
      <c r="EO6" s="233">
        <v>11241.48</v>
      </c>
      <c r="EP6" s="146">
        <v>12292.119999999999</v>
      </c>
      <c r="EQ6" s="253">
        <v>7048.6056999999992</v>
      </c>
      <c r="ER6" s="253">
        <v>7675.1785000000009</v>
      </c>
      <c r="ES6" s="253">
        <v>10282.401899999999</v>
      </c>
      <c r="ET6" s="148">
        <v>10506.68</v>
      </c>
      <c r="EU6" s="146">
        <v>12870.677810500001</v>
      </c>
      <c r="EV6" s="146">
        <v>11434.03</v>
      </c>
      <c r="EW6" s="146">
        <v>10249.9475</v>
      </c>
      <c r="EX6" s="233">
        <v>9693.9</v>
      </c>
      <c r="EY6" s="146">
        <v>12790</v>
      </c>
      <c r="EZ6" s="254">
        <v>81.180165344995615</v>
      </c>
      <c r="FA6" s="254">
        <v>77.541499422129732</v>
      </c>
      <c r="FB6" s="254">
        <v>95.283456787245072</v>
      </c>
      <c r="FC6" s="275">
        <v>97.251476819806697</v>
      </c>
      <c r="FD6" s="253">
        <v>114.23791846469469</v>
      </c>
      <c r="FE6" s="253">
        <v>109.94</v>
      </c>
      <c r="FF6" s="257">
        <v>105.85819789034581</v>
      </c>
      <c r="FG6" s="257">
        <v>86.233307358105876</v>
      </c>
      <c r="FH6" s="257">
        <v>104.05039976830699</v>
      </c>
    </row>
    <row r="7" spans="1:164" ht="17.100000000000001" customHeight="1" x14ac:dyDescent="0.2">
      <c r="A7" s="324">
        <v>2</v>
      </c>
      <c r="B7" s="341" t="s">
        <v>12</v>
      </c>
      <c r="C7" s="254">
        <v>1784.63</v>
      </c>
      <c r="D7" s="254">
        <v>1887.33</v>
      </c>
      <c r="E7" s="254">
        <v>2073.256961267</v>
      </c>
      <c r="F7" s="254">
        <v>1918.69</v>
      </c>
      <c r="G7" s="146">
        <v>1962.33903687</v>
      </c>
      <c r="H7" s="146">
        <v>1890.896638041</v>
      </c>
      <c r="I7" s="146">
        <v>2443.3589628569998</v>
      </c>
      <c r="J7" s="233">
        <v>3015.889956991</v>
      </c>
      <c r="K7" s="146">
        <v>1635.2846149270001</v>
      </c>
      <c r="L7" s="252">
        <v>1530.0619692000002</v>
      </c>
      <c r="M7" s="252">
        <v>1441.5189</v>
      </c>
      <c r="N7" s="252">
        <v>1471.9653000000001</v>
      </c>
      <c r="O7" s="252">
        <v>1959.37</v>
      </c>
      <c r="P7" s="146">
        <v>1510.4016256130001</v>
      </c>
      <c r="Q7" s="146">
        <v>2138.084263447</v>
      </c>
      <c r="R7" s="146">
        <v>1860.1290777839999</v>
      </c>
      <c r="S7" s="233">
        <v>2233.7324167480001</v>
      </c>
      <c r="T7" s="146">
        <v>1018.3689467079977</v>
      </c>
      <c r="U7" s="253">
        <v>85.735707576596326</v>
      </c>
      <c r="V7" s="254">
        <v>76.378822335068435</v>
      </c>
      <c r="W7" s="254">
        <v>70.997724835850065</v>
      </c>
      <c r="X7" s="275">
        <v>102.12019659246671</v>
      </c>
      <c r="Y7" s="253">
        <v>76.969453149244998</v>
      </c>
      <c r="Z7" s="254">
        <v>113.07</v>
      </c>
      <c r="AA7" s="252">
        <v>76.13</v>
      </c>
      <c r="AB7" s="272">
        <v>74.065448295621152</v>
      </c>
      <c r="AC7" s="272">
        <v>62.274721929886077</v>
      </c>
      <c r="AD7" s="259">
        <v>461.02</v>
      </c>
      <c r="AE7" s="259">
        <v>611.04</v>
      </c>
      <c r="AF7" s="254">
        <v>472.99824279000001</v>
      </c>
      <c r="AG7" s="254">
        <v>462.03</v>
      </c>
      <c r="AH7" s="146">
        <v>377.86991430299997</v>
      </c>
      <c r="AI7" s="146">
        <v>419.31171161100002</v>
      </c>
      <c r="AJ7" s="146">
        <v>429.30630166700001</v>
      </c>
      <c r="AK7" s="233">
        <v>420.596975386</v>
      </c>
      <c r="AL7" s="146">
        <v>435.90883496100008</v>
      </c>
      <c r="AM7" s="253">
        <v>214.31979570300001</v>
      </c>
      <c r="AN7" s="253">
        <v>321.66500000000002</v>
      </c>
      <c r="AO7" s="253">
        <v>272.44029999999998</v>
      </c>
      <c r="AP7" s="253">
        <v>349.34</v>
      </c>
      <c r="AQ7" s="146">
        <v>226.16163565100001</v>
      </c>
      <c r="AR7" s="146">
        <v>345.436280318</v>
      </c>
      <c r="AS7" s="146">
        <v>292.10701568399998</v>
      </c>
      <c r="AT7" s="233">
        <v>309.267629107</v>
      </c>
      <c r="AU7" s="146">
        <v>350.51438329799987</v>
      </c>
      <c r="AV7" s="252">
        <v>46.48791279928944</v>
      </c>
      <c r="AW7" s="254">
        <v>52.642173472953104</v>
      </c>
      <c r="AX7" s="254">
        <v>57.598591284279735</v>
      </c>
      <c r="AY7" s="275">
        <v>75.609808886868819</v>
      </c>
      <c r="AZ7" s="253">
        <v>59.851718035866</v>
      </c>
      <c r="BA7" s="256">
        <v>82.38</v>
      </c>
      <c r="BB7" s="257">
        <v>68.041632407850983</v>
      </c>
      <c r="BC7" s="258">
        <v>73.530635550379728</v>
      </c>
      <c r="BD7" s="258">
        <v>80.410020441397961</v>
      </c>
      <c r="BE7" s="259">
        <v>4587.05</v>
      </c>
      <c r="BF7" s="259">
        <v>5692.19</v>
      </c>
      <c r="BG7" s="254">
        <v>6499.9969402240004</v>
      </c>
      <c r="BH7" s="254">
        <v>7390.07</v>
      </c>
      <c r="BI7" s="146">
        <v>9074.2596298869994</v>
      </c>
      <c r="BJ7" s="146">
        <v>9834.4182773129996</v>
      </c>
      <c r="BK7" s="146">
        <v>9830.3059054339992</v>
      </c>
      <c r="BL7" s="233">
        <v>9693.5976017400008</v>
      </c>
      <c r="BM7" s="146">
        <v>8055.7282464370001</v>
      </c>
      <c r="BN7" s="253">
        <v>3982.8641713439988</v>
      </c>
      <c r="BO7" s="253">
        <v>4961.7048999999997</v>
      </c>
      <c r="BP7" s="253">
        <v>5314.3093000000008</v>
      </c>
      <c r="BQ7" s="253">
        <v>6425.64</v>
      </c>
      <c r="BR7" s="146">
        <v>7230.5821395579997</v>
      </c>
      <c r="BS7" s="146">
        <v>8609.2147129299992</v>
      </c>
      <c r="BT7" s="146">
        <v>8389.8347537469999</v>
      </c>
      <c r="BU7" s="233">
        <v>7580.2308445990002</v>
      </c>
      <c r="BV7" s="146">
        <v>7331.0765906770002</v>
      </c>
      <c r="BW7" s="252">
        <v>86.828523511886786</v>
      </c>
      <c r="BX7" s="253">
        <v>87.166935787017124</v>
      </c>
      <c r="BY7" s="254">
        <v>81.758643607968509</v>
      </c>
      <c r="BZ7" s="275">
        <v>86.94965000331527</v>
      </c>
      <c r="CA7" s="253">
        <v>79.682337011201881</v>
      </c>
      <c r="CB7" s="259">
        <v>87.54</v>
      </c>
      <c r="CC7" s="254">
        <v>85.346629438146621</v>
      </c>
      <c r="CD7" s="298">
        <v>78.19832384251589</v>
      </c>
      <c r="CE7" s="298">
        <v>91.004517113887147</v>
      </c>
      <c r="CF7" s="254">
        <v>2841.2</v>
      </c>
      <c r="CG7" s="259">
        <v>3687.85</v>
      </c>
      <c r="CH7" s="254">
        <v>4450.4458155089997</v>
      </c>
      <c r="CI7" s="254">
        <v>6129.59</v>
      </c>
      <c r="CJ7" s="146">
        <v>6479.0607196270003</v>
      </c>
      <c r="CK7" s="146">
        <v>7448.1011740889999</v>
      </c>
      <c r="CL7" s="146">
        <v>8574.7795000000006</v>
      </c>
      <c r="CM7" s="233">
        <v>10255.709845825</v>
      </c>
      <c r="CN7" s="146">
        <v>11892.818242108</v>
      </c>
      <c r="CO7" s="253">
        <v>2751.7904624600005</v>
      </c>
      <c r="CP7" s="253">
        <v>3643.0228000000002</v>
      </c>
      <c r="CQ7" s="253">
        <v>5101.7970999999998</v>
      </c>
      <c r="CR7" s="253">
        <v>6309.68</v>
      </c>
      <c r="CS7" s="146">
        <v>6685.8243915169996</v>
      </c>
      <c r="CT7" s="146">
        <v>7726.8418557240002</v>
      </c>
      <c r="CU7" s="146">
        <v>8646.2582000000002</v>
      </c>
      <c r="CV7" s="233">
        <v>9516.7263269979994</v>
      </c>
      <c r="CW7" s="146">
        <v>14811.799234422997</v>
      </c>
      <c r="CX7" s="252">
        <v>96.853075234813872</v>
      </c>
      <c r="CY7" s="254">
        <v>98.78443570523865</v>
      </c>
      <c r="CZ7" s="254">
        <v>114.63563909405121</v>
      </c>
      <c r="DA7" s="275">
        <v>102.93804316438784</v>
      </c>
      <c r="DB7" s="253">
        <v>103.19125998099771</v>
      </c>
      <c r="DC7" s="253">
        <v>103.74</v>
      </c>
      <c r="DD7" s="254">
        <v>100.83359228071112</v>
      </c>
      <c r="DE7" s="298">
        <v>92.794418622053414</v>
      </c>
      <c r="DF7" s="298">
        <v>124.54406460177776</v>
      </c>
      <c r="DG7" s="277">
        <v>1522.98</v>
      </c>
      <c r="DH7" s="278">
        <v>1436.88</v>
      </c>
      <c r="DI7" s="277">
        <v>1463.1280636240001</v>
      </c>
      <c r="DJ7" s="277">
        <v>1914.41</v>
      </c>
      <c r="DK7" s="147">
        <v>1831.068797058</v>
      </c>
      <c r="DL7" s="147">
        <v>1894.8641282030001</v>
      </c>
      <c r="DM7" s="147">
        <v>2251.0934279139992</v>
      </c>
      <c r="DN7" s="243">
        <v>2847.9284704040001</v>
      </c>
      <c r="DO7" s="147">
        <v>3763.4932818870006</v>
      </c>
      <c r="DP7" s="253">
        <v>901.91851113600001</v>
      </c>
      <c r="DQ7" s="253">
        <v>820.12390000000016</v>
      </c>
      <c r="DR7" s="253">
        <v>980.67440000000056</v>
      </c>
      <c r="DS7" s="253">
        <v>1212.8900000000001</v>
      </c>
      <c r="DT7" s="147">
        <v>1243.495971974</v>
      </c>
      <c r="DU7" s="147">
        <v>1677.1255026020001</v>
      </c>
      <c r="DV7" s="147">
        <v>2324.2897413200012</v>
      </c>
      <c r="DW7" s="243">
        <v>2447.0020671890002</v>
      </c>
      <c r="DX7" s="147">
        <v>2588.5788114440002</v>
      </c>
      <c r="DY7" s="260">
        <v>59.220680671838053</v>
      </c>
      <c r="DZ7" s="253">
        <v>57.076524158373701</v>
      </c>
      <c r="EA7" s="253">
        <v>67.025878802128062</v>
      </c>
      <c r="EB7" s="276">
        <v>63.355811973401735</v>
      </c>
      <c r="EC7" s="260">
        <v>67.910936714772248</v>
      </c>
      <c r="ED7" s="260">
        <v>88.51</v>
      </c>
      <c r="EE7" s="254">
        <v>103.25158931647853</v>
      </c>
      <c r="EF7" s="298">
        <v>85.922174402149736</v>
      </c>
      <c r="EG7" s="298">
        <v>68.781278922493442</v>
      </c>
      <c r="EH7" s="259">
        <v>11196.87</v>
      </c>
      <c r="EI7" s="259">
        <v>13315.29</v>
      </c>
      <c r="EJ7" s="254">
        <v>14959.826023414</v>
      </c>
      <c r="EK7" s="254">
        <v>17814.79</v>
      </c>
      <c r="EL7" s="146">
        <v>19724.598097744998</v>
      </c>
      <c r="EM7" s="146">
        <v>21487.591929257</v>
      </c>
      <c r="EN7" s="146">
        <v>23528.844097871999</v>
      </c>
      <c r="EO7" s="233">
        <v>26233.722850346003</v>
      </c>
      <c r="EP7" s="146">
        <v>25783.233220319999</v>
      </c>
      <c r="EQ7" s="253">
        <v>9380.9549098429998</v>
      </c>
      <c r="ER7" s="253">
        <v>11188.0355</v>
      </c>
      <c r="ES7" s="253">
        <v>13141.186400000001</v>
      </c>
      <c r="ET7" s="148">
        <v>16256.920000000002</v>
      </c>
      <c r="EU7" s="146">
        <v>16896.465764313001</v>
      </c>
      <c r="EV7" s="146">
        <v>20496.702615021</v>
      </c>
      <c r="EW7" s="146">
        <v>21512.618788535001</v>
      </c>
      <c r="EX7" s="233">
        <v>22086.959284641001</v>
      </c>
      <c r="EY7" s="146">
        <v>26100.337966549996</v>
      </c>
      <c r="EZ7" s="254">
        <v>83.781905429672008</v>
      </c>
      <c r="FA7" s="254">
        <v>84.023964117284947</v>
      </c>
      <c r="FB7" s="254">
        <v>87.843176785612357</v>
      </c>
      <c r="FC7" s="275">
        <v>91.255187403275599</v>
      </c>
      <c r="FD7" s="253">
        <v>85.661901350703204</v>
      </c>
      <c r="FE7" s="253">
        <v>95.39</v>
      </c>
      <c r="FF7" s="257">
        <v>91.430835697027078</v>
      </c>
      <c r="FG7" s="257">
        <v>84.193003831896817</v>
      </c>
      <c r="FH7" s="257">
        <v>101.22988743700301</v>
      </c>
    </row>
    <row r="8" spans="1:164" ht="17.100000000000001" customHeight="1" x14ac:dyDescent="0.2">
      <c r="A8" s="324">
        <v>3</v>
      </c>
      <c r="B8" s="341" t="s">
        <v>14</v>
      </c>
      <c r="C8" s="254">
        <v>660.44</v>
      </c>
      <c r="D8" s="254">
        <v>590.02</v>
      </c>
      <c r="E8" s="254">
        <v>565.59141939999995</v>
      </c>
      <c r="F8" s="254">
        <v>610.39</v>
      </c>
      <c r="G8" s="146">
        <v>590.38099999999997</v>
      </c>
      <c r="H8" s="146">
        <v>601.95420709999996</v>
      </c>
      <c r="I8" s="146">
        <v>670.87109999999996</v>
      </c>
      <c r="J8" s="233">
        <v>735.88</v>
      </c>
      <c r="K8" s="146">
        <v>671.36</v>
      </c>
      <c r="L8" s="252">
        <v>555.25199999999995</v>
      </c>
      <c r="M8" s="252">
        <v>425.05529999999999</v>
      </c>
      <c r="N8" s="252">
        <v>435.33269999999999</v>
      </c>
      <c r="O8" s="252">
        <v>555.42999999999995</v>
      </c>
      <c r="P8" s="146">
        <v>509.56630000000001</v>
      </c>
      <c r="Q8" s="146">
        <v>677.16474570000003</v>
      </c>
      <c r="R8" s="146">
        <v>533.67690000000005</v>
      </c>
      <c r="S8" s="233">
        <v>394.69</v>
      </c>
      <c r="T8" s="146">
        <v>414.44</v>
      </c>
      <c r="U8" s="253">
        <v>84.073589601531211</v>
      </c>
      <c r="V8" s="254">
        <v>72.040658186296298</v>
      </c>
      <c r="W8" s="254">
        <v>76.969455870535526</v>
      </c>
      <c r="X8" s="275">
        <v>90.995920640901716</v>
      </c>
      <c r="Y8" s="253">
        <v>86.311432786624238</v>
      </c>
      <c r="Z8" s="254">
        <v>112.49</v>
      </c>
      <c r="AA8" s="252">
        <v>79.55</v>
      </c>
      <c r="AB8" s="272">
        <v>53.635103549491767</v>
      </c>
      <c r="AC8" s="272">
        <v>61.731410867492855</v>
      </c>
      <c r="AD8" s="259">
        <v>285.5</v>
      </c>
      <c r="AE8" s="259">
        <v>300.19</v>
      </c>
      <c r="AF8" s="254">
        <v>290.18414439999998</v>
      </c>
      <c r="AG8" s="254">
        <v>247.03</v>
      </c>
      <c r="AH8" s="146">
        <v>230.15360000000001</v>
      </c>
      <c r="AI8" s="146">
        <v>208.3963315</v>
      </c>
      <c r="AJ8" s="146">
        <v>197.44730000000001</v>
      </c>
      <c r="AK8" s="233">
        <v>202.92</v>
      </c>
      <c r="AL8" s="146">
        <v>182.5</v>
      </c>
      <c r="AM8" s="253">
        <v>166.59810000000002</v>
      </c>
      <c r="AN8" s="253">
        <v>121.2855</v>
      </c>
      <c r="AO8" s="253">
        <v>216.84950000000001</v>
      </c>
      <c r="AP8" s="253">
        <v>209.96</v>
      </c>
      <c r="AQ8" s="146">
        <v>160.9051</v>
      </c>
      <c r="AR8" s="146">
        <v>138.89579710000001</v>
      </c>
      <c r="AS8" s="146">
        <v>191.41250000000002</v>
      </c>
      <c r="AT8" s="233">
        <v>156.25</v>
      </c>
      <c r="AU8" s="146">
        <v>166.98</v>
      </c>
      <c r="AV8" s="252">
        <v>58.353038508190721</v>
      </c>
      <c r="AW8" s="254">
        <v>40.40353061807803</v>
      </c>
      <c r="AX8" s="254">
        <v>74.728224348534482</v>
      </c>
      <c r="AY8" s="275">
        <v>84.993725458446349</v>
      </c>
      <c r="AZ8" s="253">
        <v>69.912050039625711</v>
      </c>
      <c r="BA8" s="256">
        <v>66.650000000000006</v>
      </c>
      <c r="BB8" s="257">
        <v>96.943589504642517</v>
      </c>
      <c r="BC8" s="258">
        <v>77.000788488074122</v>
      </c>
      <c r="BD8" s="258">
        <v>91.495890410958907</v>
      </c>
      <c r="BE8" s="259">
        <v>2351.79</v>
      </c>
      <c r="BF8" s="259">
        <v>2632.44</v>
      </c>
      <c r="BG8" s="254">
        <v>2959.4438104000001</v>
      </c>
      <c r="BH8" s="254">
        <v>3450.38</v>
      </c>
      <c r="BI8" s="146">
        <v>4000.2629000000002</v>
      </c>
      <c r="BJ8" s="146">
        <v>4343.521033</v>
      </c>
      <c r="BK8" s="146">
        <v>4258.3447999999999</v>
      </c>
      <c r="BL8" s="233">
        <v>3866.87</v>
      </c>
      <c r="BM8" s="146">
        <v>3389.41</v>
      </c>
      <c r="BN8" s="253">
        <v>1854.1733999999999</v>
      </c>
      <c r="BO8" s="253">
        <v>2038.5020000000002</v>
      </c>
      <c r="BP8" s="253">
        <v>2032.5844</v>
      </c>
      <c r="BQ8" s="253">
        <v>4370.33</v>
      </c>
      <c r="BR8" s="146">
        <v>2727.8512999999998</v>
      </c>
      <c r="BS8" s="146">
        <v>4891.6394241999997</v>
      </c>
      <c r="BT8" s="146">
        <v>4327.8498</v>
      </c>
      <c r="BU8" s="233">
        <v>3164.35</v>
      </c>
      <c r="BV8" s="146">
        <v>3319.94</v>
      </c>
      <c r="BW8" s="252">
        <v>78.84102624067863</v>
      </c>
      <c r="BX8" s="253">
        <v>77.437661888620099</v>
      </c>
      <c r="BY8" s="254">
        <v>68.681297478938447</v>
      </c>
      <c r="BZ8" s="275">
        <v>126.66228067633129</v>
      </c>
      <c r="CA8" s="253">
        <v>68.191800593905967</v>
      </c>
      <c r="CB8" s="259">
        <v>112.62</v>
      </c>
      <c r="CC8" s="254">
        <v>101.63220695515309</v>
      </c>
      <c r="CD8" s="298">
        <v>81.832334678952222</v>
      </c>
      <c r="CE8" s="298">
        <v>97.95038074473139</v>
      </c>
      <c r="CF8" s="254">
        <v>1629.88</v>
      </c>
      <c r="CG8" s="259">
        <v>2004.1</v>
      </c>
      <c r="CH8" s="254">
        <v>2359.6035566</v>
      </c>
      <c r="CI8" s="254">
        <v>3109.63</v>
      </c>
      <c r="CJ8" s="146">
        <v>3750.5234</v>
      </c>
      <c r="CK8" s="146">
        <v>4187.3339826000001</v>
      </c>
      <c r="CL8" s="146">
        <v>4603.4912000000004</v>
      </c>
      <c r="CM8" s="233">
        <v>4826.2599999999993</v>
      </c>
      <c r="CN8" s="146">
        <v>5670.52</v>
      </c>
      <c r="CO8" s="253">
        <v>1878.0398</v>
      </c>
      <c r="CP8" s="253">
        <v>2345.1715000000004</v>
      </c>
      <c r="CQ8" s="253">
        <v>2701.3172000000004</v>
      </c>
      <c r="CR8" s="253">
        <v>3676.4</v>
      </c>
      <c r="CS8" s="146">
        <v>4270.5253000000002</v>
      </c>
      <c r="CT8" s="146">
        <v>4555.7914615999998</v>
      </c>
      <c r="CU8" s="146">
        <v>4832.1873000000005</v>
      </c>
      <c r="CV8" s="233">
        <v>5430.05</v>
      </c>
      <c r="CW8" s="146">
        <v>7931</v>
      </c>
      <c r="CX8" s="252">
        <v>115.22537280109339</v>
      </c>
      <c r="CY8" s="254">
        <v>117.01852320150445</v>
      </c>
      <c r="CZ8" s="254">
        <v>114.48182713748307</v>
      </c>
      <c r="DA8" s="275">
        <v>118.22628415599283</v>
      </c>
      <c r="DB8" s="253">
        <v>113.86478217946861</v>
      </c>
      <c r="DC8" s="253">
        <v>108.8</v>
      </c>
      <c r="DD8" s="254">
        <v>104.96788393991065</v>
      </c>
      <c r="DE8" s="298">
        <v>112.51051538872751</v>
      </c>
      <c r="DF8" s="298">
        <v>139.86371620239413</v>
      </c>
      <c r="DG8" s="254">
        <v>1026.3599999999999</v>
      </c>
      <c r="DH8" s="259">
        <v>898.41</v>
      </c>
      <c r="DI8" s="254">
        <v>849.07902569999999</v>
      </c>
      <c r="DJ8" s="254">
        <v>965.83</v>
      </c>
      <c r="DK8" s="147">
        <v>1056.6855</v>
      </c>
      <c r="DL8" s="147">
        <v>1260.3201968000001</v>
      </c>
      <c r="DM8" s="147">
        <v>1194.287299999999</v>
      </c>
      <c r="DN8" s="243">
        <v>1405.04</v>
      </c>
      <c r="DO8" s="147">
        <v>1299.6300000000001</v>
      </c>
      <c r="DP8" s="253">
        <v>656.95690000000002</v>
      </c>
      <c r="DQ8" s="253">
        <v>331.48929999999996</v>
      </c>
      <c r="DR8" s="253">
        <v>493.50819999999948</v>
      </c>
      <c r="DS8" s="253">
        <v>585.97</v>
      </c>
      <c r="DT8" s="147">
        <v>552.36569999999995</v>
      </c>
      <c r="DU8" s="147">
        <v>984.59155490000001</v>
      </c>
      <c r="DV8" s="147">
        <v>1294.4918999999973</v>
      </c>
      <c r="DW8" s="243">
        <v>1376.3400000000001</v>
      </c>
      <c r="DX8" s="147">
        <v>756.55999999999949</v>
      </c>
      <c r="DY8" s="260">
        <v>64.008371714082259</v>
      </c>
      <c r="DZ8" s="253">
        <v>36.897214732470438</v>
      </c>
      <c r="EA8" s="253">
        <v>58.122759116317823</v>
      </c>
      <c r="EB8" s="276">
        <v>60.670097222078425</v>
      </c>
      <c r="EC8" s="260">
        <v>52.273424779652977</v>
      </c>
      <c r="ED8" s="260">
        <v>78.12</v>
      </c>
      <c r="EE8" s="254">
        <v>108.39032618030839</v>
      </c>
      <c r="EF8" s="298">
        <v>97.957353527301734</v>
      </c>
      <c r="EG8" s="298">
        <v>58.213491532205275</v>
      </c>
      <c r="EH8" s="259">
        <v>5953.97</v>
      </c>
      <c r="EI8" s="259">
        <v>6425.17</v>
      </c>
      <c r="EJ8" s="254">
        <v>7023.9019564999999</v>
      </c>
      <c r="EK8" s="254">
        <v>8383.26</v>
      </c>
      <c r="EL8" s="146">
        <v>9628.0064000000002</v>
      </c>
      <c r="EM8" s="146">
        <v>10601.525750999999</v>
      </c>
      <c r="EN8" s="146">
        <v>10924.441699999999</v>
      </c>
      <c r="EO8" s="233">
        <v>11036.970000000001</v>
      </c>
      <c r="EP8" s="146">
        <v>11213.420000000002</v>
      </c>
      <c r="EQ8" s="253">
        <v>5111.0201999999999</v>
      </c>
      <c r="ER8" s="253">
        <v>5261.5036000000009</v>
      </c>
      <c r="ES8" s="253">
        <v>5879.5920000000006</v>
      </c>
      <c r="ET8" s="148">
        <v>9398.09</v>
      </c>
      <c r="EU8" s="146">
        <v>8221.2137000000002</v>
      </c>
      <c r="EV8" s="146">
        <v>11248.082983499999</v>
      </c>
      <c r="EW8" s="146">
        <v>11179.618399999999</v>
      </c>
      <c r="EX8" s="233">
        <v>10521.68</v>
      </c>
      <c r="EY8" s="146">
        <v>12588.92</v>
      </c>
      <c r="EZ8" s="254">
        <v>85.842247430171909</v>
      </c>
      <c r="FA8" s="254">
        <v>81.889003628700621</v>
      </c>
      <c r="FB8" s="254">
        <v>83.708342119403966</v>
      </c>
      <c r="FC8" s="275">
        <v>112.1054339242729</v>
      </c>
      <c r="FD8" s="253">
        <v>85.388535886307679</v>
      </c>
      <c r="FE8" s="253">
        <v>106.1</v>
      </c>
      <c r="FF8" s="257">
        <v>102.33583286915248</v>
      </c>
      <c r="FG8" s="257">
        <v>95.331236743417804</v>
      </c>
      <c r="FH8" s="257">
        <v>112.26655204210701</v>
      </c>
    </row>
    <row r="9" spans="1:164" ht="17.100000000000001" customHeight="1" x14ac:dyDescent="0.2">
      <c r="A9" s="324">
        <v>4</v>
      </c>
      <c r="B9" s="341" t="s">
        <v>16</v>
      </c>
      <c r="C9" s="254">
        <v>808.87</v>
      </c>
      <c r="D9" s="254">
        <v>806.4</v>
      </c>
      <c r="E9" s="254">
        <v>790.68441110000003</v>
      </c>
      <c r="F9" s="254">
        <v>849.63</v>
      </c>
      <c r="G9" s="146">
        <v>856.87630000000001</v>
      </c>
      <c r="H9" s="146">
        <v>768.20199990000003</v>
      </c>
      <c r="I9" s="146">
        <v>797.70870000000002</v>
      </c>
      <c r="J9" s="233">
        <v>885.46</v>
      </c>
      <c r="K9" s="146">
        <v>909.76</v>
      </c>
      <c r="L9" s="252">
        <v>582.42830000000004</v>
      </c>
      <c r="M9" s="252">
        <v>606.51300000000003</v>
      </c>
      <c r="N9" s="252">
        <v>587.5403</v>
      </c>
      <c r="O9" s="252">
        <v>874.75</v>
      </c>
      <c r="P9" s="146">
        <v>845.47950000000003</v>
      </c>
      <c r="Q9" s="146">
        <v>687.41342810000003</v>
      </c>
      <c r="R9" s="146">
        <v>1037.7526</v>
      </c>
      <c r="S9" s="233">
        <v>517.13</v>
      </c>
      <c r="T9" s="146">
        <v>531.98</v>
      </c>
      <c r="U9" s="253">
        <v>72.005491635517117</v>
      </c>
      <c r="V9" s="254">
        <v>75.212220403168544</v>
      </c>
      <c r="W9" s="254">
        <v>74.307824247933098</v>
      </c>
      <c r="X9" s="275">
        <v>102.95658110000825</v>
      </c>
      <c r="Y9" s="253">
        <v>98.669959712971405</v>
      </c>
      <c r="Z9" s="254">
        <v>89.48</v>
      </c>
      <c r="AA9" s="252">
        <v>130.09</v>
      </c>
      <c r="AB9" s="272">
        <v>58.402412305468346</v>
      </c>
      <c r="AC9" s="272">
        <v>58.474762574744986</v>
      </c>
      <c r="AD9" s="259">
        <v>300.02</v>
      </c>
      <c r="AE9" s="259">
        <v>304.54000000000002</v>
      </c>
      <c r="AF9" s="254">
        <v>288.76598250000001</v>
      </c>
      <c r="AG9" s="254">
        <v>268.67</v>
      </c>
      <c r="AH9" s="146">
        <v>232.73439999999999</v>
      </c>
      <c r="AI9" s="146">
        <v>222.51240730000001</v>
      </c>
      <c r="AJ9" s="146">
        <v>196.63140000000001</v>
      </c>
      <c r="AK9" s="233">
        <v>196.4</v>
      </c>
      <c r="AL9" s="146">
        <v>202.91</v>
      </c>
      <c r="AM9" s="253">
        <v>215.0172</v>
      </c>
      <c r="AN9" s="253">
        <v>258.65309999999999</v>
      </c>
      <c r="AO9" s="253">
        <v>206.55709999999999</v>
      </c>
      <c r="AP9" s="253">
        <v>186</v>
      </c>
      <c r="AQ9" s="146">
        <v>176.4966</v>
      </c>
      <c r="AR9" s="146">
        <v>218.3884017</v>
      </c>
      <c r="AS9" s="146">
        <v>134.28110000000001</v>
      </c>
      <c r="AT9" s="233">
        <v>98.08</v>
      </c>
      <c r="AU9" s="146">
        <v>179.58</v>
      </c>
      <c r="AV9" s="252">
        <v>71.668219353871038</v>
      </c>
      <c r="AW9" s="254">
        <v>84.932696611171849</v>
      </c>
      <c r="AX9" s="254">
        <v>71.530987557741412</v>
      </c>
      <c r="AY9" s="275">
        <v>69.229910298879659</v>
      </c>
      <c r="AZ9" s="253">
        <v>75.836060333152304</v>
      </c>
      <c r="BA9" s="256">
        <v>98.15</v>
      </c>
      <c r="BB9" s="257">
        <v>68.290771463764173</v>
      </c>
      <c r="BC9" s="258">
        <v>49.938900203665987</v>
      </c>
      <c r="BD9" s="258">
        <v>88.502291656399407</v>
      </c>
      <c r="BE9" s="259">
        <v>3230.5</v>
      </c>
      <c r="BF9" s="259">
        <v>3682.24</v>
      </c>
      <c r="BG9" s="254">
        <v>4172.8128665000004</v>
      </c>
      <c r="BH9" s="254">
        <v>5106.8</v>
      </c>
      <c r="BI9" s="146">
        <v>5748.3230999999996</v>
      </c>
      <c r="BJ9" s="146">
        <v>6067.9269636999998</v>
      </c>
      <c r="BK9" s="146">
        <v>6301.6437999999998</v>
      </c>
      <c r="BL9" s="233">
        <v>5858.54</v>
      </c>
      <c r="BM9" s="146">
        <v>5353.57</v>
      </c>
      <c r="BN9" s="253">
        <v>2389.1759000000002</v>
      </c>
      <c r="BO9" s="253">
        <v>2525.2399999999998</v>
      </c>
      <c r="BP9" s="253">
        <v>3013.7160999999996</v>
      </c>
      <c r="BQ9" s="253">
        <v>4584.47</v>
      </c>
      <c r="BR9" s="146">
        <v>5272.1068999999998</v>
      </c>
      <c r="BS9" s="146">
        <v>7329.4012675000004</v>
      </c>
      <c r="BT9" s="146">
        <v>6077.6473999999998</v>
      </c>
      <c r="BU9" s="233">
        <v>4520.91</v>
      </c>
      <c r="BV9" s="146">
        <v>5294.63</v>
      </c>
      <c r="BW9" s="252">
        <v>73.956866293508654</v>
      </c>
      <c r="BX9" s="253">
        <v>68.57888614140758</v>
      </c>
      <c r="BY9" s="254">
        <v>72.222647594736515</v>
      </c>
      <c r="BZ9" s="275">
        <v>89.771872797054911</v>
      </c>
      <c r="CA9" s="253">
        <v>91.715563100480551</v>
      </c>
      <c r="CB9" s="259">
        <v>120.79</v>
      </c>
      <c r="CC9" s="254">
        <v>96.445429048211196</v>
      </c>
      <c r="CD9" s="298">
        <v>77.167860934635584</v>
      </c>
      <c r="CE9" s="298">
        <v>98.89905240801933</v>
      </c>
      <c r="CF9" s="254">
        <v>2075.02</v>
      </c>
      <c r="CG9" s="259">
        <v>2992.46</v>
      </c>
      <c r="CH9" s="254">
        <v>3751.2115309000001</v>
      </c>
      <c r="CI9" s="254">
        <v>4575.9299999999994</v>
      </c>
      <c r="CJ9" s="146">
        <v>4638.1346999999996</v>
      </c>
      <c r="CK9" s="146">
        <v>4796.4038302999998</v>
      </c>
      <c r="CL9" s="146">
        <v>5331.5208000000002</v>
      </c>
      <c r="CM9" s="233">
        <v>5685.7400000000007</v>
      </c>
      <c r="CN9" s="146">
        <v>6097.82</v>
      </c>
      <c r="CO9" s="253">
        <v>2370.9805999999999</v>
      </c>
      <c r="CP9" s="253">
        <v>3560.5731000000001</v>
      </c>
      <c r="CQ9" s="253">
        <v>4585.9567999999999</v>
      </c>
      <c r="CR9" s="253">
        <v>6338.24</v>
      </c>
      <c r="CS9" s="146">
        <v>5146.1769999999997</v>
      </c>
      <c r="CT9" s="146">
        <v>5300.5491412000001</v>
      </c>
      <c r="CU9" s="146">
        <v>5557.8398999999999</v>
      </c>
      <c r="CV9" s="233">
        <v>6029.29</v>
      </c>
      <c r="CW9" s="146">
        <v>7329.97</v>
      </c>
      <c r="CX9" s="252">
        <v>114.26313410293308</v>
      </c>
      <c r="CY9" s="254">
        <v>118.9849497237504</v>
      </c>
      <c r="CZ9" s="254">
        <v>122.25268882473539</v>
      </c>
      <c r="DA9" s="275">
        <v>138.51260836594969</v>
      </c>
      <c r="DB9" s="253">
        <v>110.95359089075183</v>
      </c>
      <c r="DC9" s="253">
        <v>110.51</v>
      </c>
      <c r="DD9" s="254">
        <v>104.24492576302056</v>
      </c>
      <c r="DE9" s="298">
        <v>106.04230935638984</v>
      </c>
      <c r="DF9" s="298">
        <v>120.20640163205869</v>
      </c>
      <c r="DG9" s="254">
        <v>1188.9000000000001</v>
      </c>
      <c r="DH9" s="259">
        <v>1030.5899999999999</v>
      </c>
      <c r="DI9" s="254">
        <v>1019.3908642</v>
      </c>
      <c r="DJ9" s="254">
        <v>1231.2800000000007</v>
      </c>
      <c r="DK9" s="147">
        <v>1384.9157</v>
      </c>
      <c r="DL9" s="147">
        <v>1249.4627754999999</v>
      </c>
      <c r="DM9" s="147">
        <v>1117.0371000000014</v>
      </c>
      <c r="DN9" s="243">
        <v>1281.79</v>
      </c>
      <c r="DO9" s="147">
        <v>1131.54</v>
      </c>
      <c r="DP9" s="253">
        <v>719.77610000000004</v>
      </c>
      <c r="DQ9" s="253">
        <v>492.04870000000051</v>
      </c>
      <c r="DR9" s="253">
        <v>407.32190000000003</v>
      </c>
      <c r="DS9" s="253">
        <v>898.04</v>
      </c>
      <c r="DT9" s="147">
        <v>697.55489999999998</v>
      </c>
      <c r="DU9" s="147">
        <v>800.33788849999996</v>
      </c>
      <c r="DV9" s="147">
        <v>1137.7894999999999</v>
      </c>
      <c r="DW9" s="243">
        <v>1136.7</v>
      </c>
      <c r="DX9" s="147">
        <v>163.86</v>
      </c>
      <c r="DY9" s="260">
        <v>60.541450990749411</v>
      </c>
      <c r="DZ9" s="253">
        <v>47.744374362682997</v>
      </c>
      <c r="EA9" s="253">
        <v>39.957384351516609</v>
      </c>
      <c r="EB9" s="276">
        <v>72.935481775063309</v>
      </c>
      <c r="EC9" s="260">
        <v>50.368040451848437</v>
      </c>
      <c r="ED9" s="260">
        <v>64.05</v>
      </c>
      <c r="EE9" s="254">
        <v>101.85780758759029</v>
      </c>
      <c r="EF9" s="298">
        <v>88.68067312118211</v>
      </c>
      <c r="EG9" s="298">
        <v>14.481149583753117</v>
      </c>
      <c r="EH9" s="259">
        <v>7603.3</v>
      </c>
      <c r="EI9" s="259">
        <v>8816.23</v>
      </c>
      <c r="EJ9" s="254">
        <v>10022.865655200001</v>
      </c>
      <c r="EK9" s="254">
        <v>12032.31</v>
      </c>
      <c r="EL9" s="146">
        <v>12860.984199999999</v>
      </c>
      <c r="EM9" s="146">
        <v>13104.507976699999</v>
      </c>
      <c r="EN9" s="146">
        <v>13744.541800000001</v>
      </c>
      <c r="EO9" s="233">
        <v>13907.93</v>
      </c>
      <c r="EP9" s="146">
        <v>13695.599999999999</v>
      </c>
      <c r="EQ9" s="253">
        <v>6277.378099999999</v>
      </c>
      <c r="ER9" s="253">
        <v>7443.0279</v>
      </c>
      <c r="ES9" s="253">
        <v>8801.0921999999991</v>
      </c>
      <c r="ET9" s="148">
        <v>12881.5</v>
      </c>
      <c r="EU9" s="146">
        <v>12137.814899999999</v>
      </c>
      <c r="EV9" s="146">
        <v>14336.090127000001</v>
      </c>
      <c r="EW9" s="146">
        <v>13945.3105</v>
      </c>
      <c r="EX9" s="233">
        <v>12302.11</v>
      </c>
      <c r="EY9" s="146">
        <v>13500.02</v>
      </c>
      <c r="EZ9" s="254">
        <v>82.561241080204255</v>
      </c>
      <c r="FA9" s="254">
        <v>84.424168024947733</v>
      </c>
      <c r="FB9" s="254">
        <v>87.810139725011766</v>
      </c>
      <c r="FC9" s="275">
        <v>107.0575807970373</v>
      </c>
      <c r="FD9" s="253">
        <v>94.377029869922396</v>
      </c>
      <c r="FE9" s="253">
        <v>109.4</v>
      </c>
      <c r="FF9" s="257">
        <v>101.46071584576212</v>
      </c>
      <c r="FG9" s="257">
        <v>88.453925206698628</v>
      </c>
      <c r="FH9" s="257">
        <v>98.571950115365496</v>
      </c>
    </row>
    <row r="10" spans="1:164" s="112" customFormat="1" ht="17.100000000000001" customHeight="1" x14ac:dyDescent="0.2">
      <c r="A10" s="324"/>
      <c r="B10" s="342" t="s">
        <v>105</v>
      </c>
      <c r="C10" s="129">
        <v>3975.16</v>
      </c>
      <c r="D10" s="129">
        <v>4037.06</v>
      </c>
      <c r="E10" s="129">
        <v>4185.9938392670001</v>
      </c>
      <c r="F10" s="129">
        <v>4142.4699999999993</v>
      </c>
      <c r="G10" s="149">
        <v>4084.4800241214639</v>
      </c>
      <c r="H10" s="149">
        <v>3958.3628450409997</v>
      </c>
      <c r="I10" s="149">
        <v>4564.253362857</v>
      </c>
      <c r="J10" s="234">
        <v>5419.2299569910001</v>
      </c>
      <c r="K10" s="149">
        <v>4134.8646149269998</v>
      </c>
      <c r="L10" s="131">
        <v>3195.6011692000006</v>
      </c>
      <c r="M10" s="131">
        <v>3036.4173000000005</v>
      </c>
      <c r="N10" s="131">
        <v>3182.7032999999997</v>
      </c>
      <c r="O10" s="131">
        <v>3786.1</v>
      </c>
      <c r="P10" s="149">
        <v>3729.4576344130001</v>
      </c>
      <c r="Q10" s="149">
        <v>3892.5224372470002</v>
      </c>
      <c r="R10" s="149">
        <v>3934.5701777839995</v>
      </c>
      <c r="S10" s="234">
        <v>3703.2024167480004</v>
      </c>
      <c r="T10" s="149">
        <v>2768.8089467079976</v>
      </c>
      <c r="U10" s="134">
        <v>80.389269089631568</v>
      </c>
      <c r="V10" s="129">
        <v>75.213498581134814</v>
      </c>
      <c r="W10" s="129">
        <v>76.032201098047452</v>
      </c>
      <c r="X10" s="150">
        <v>91.3971615968251</v>
      </c>
      <c r="Y10" s="134">
        <v>91.308015032223693</v>
      </c>
      <c r="Z10" s="129">
        <v>98.34</v>
      </c>
      <c r="AA10" s="131">
        <v>86.2</v>
      </c>
      <c r="AB10" s="301">
        <v>68.334476413401447</v>
      </c>
      <c r="AC10" s="301">
        <v>66.962505536759394</v>
      </c>
      <c r="AD10" s="140">
        <v>1237.83</v>
      </c>
      <c r="AE10" s="140">
        <v>1417.14</v>
      </c>
      <c r="AF10" s="129">
        <v>1257.66777579</v>
      </c>
      <c r="AG10" s="129">
        <v>1150.54</v>
      </c>
      <c r="AH10" s="149">
        <v>1000.1516641538994</v>
      </c>
      <c r="AI10" s="149">
        <v>994.1104504110001</v>
      </c>
      <c r="AJ10" s="149">
        <v>976.64450166699999</v>
      </c>
      <c r="AK10" s="234">
        <v>948.45697538599995</v>
      </c>
      <c r="AL10" s="149">
        <v>955.96883496100008</v>
      </c>
      <c r="AM10" s="134">
        <v>733.98799570300002</v>
      </c>
      <c r="AN10" s="134">
        <v>819.08300000000008</v>
      </c>
      <c r="AO10" s="134">
        <v>800.64380000000006</v>
      </c>
      <c r="AP10" s="134">
        <v>862.39</v>
      </c>
      <c r="AQ10" s="149">
        <v>640.69795485099996</v>
      </c>
      <c r="AR10" s="149">
        <v>832.14047911800003</v>
      </c>
      <c r="AS10" s="149">
        <v>695.08621568399997</v>
      </c>
      <c r="AT10" s="234">
        <v>659.03762910700004</v>
      </c>
      <c r="AU10" s="149">
        <v>822.36438329799989</v>
      </c>
      <c r="AV10" s="131">
        <v>59.296208811693504</v>
      </c>
      <c r="AW10" s="129">
        <v>57.798210130597319</v>
      </c>
      <c r="AX10" s="129">
        <v>63.66099725706561</v>
      </c>
      <c r="AY10" s="150">
        <v>74.955238409790184</v>
      </c>
      <c r="AZ10" s="134">
        <v>64.060079867288195</v>
      </c>
      <c r="BA10" s="136">
        <v>83.71</v>
      </c>
      <c r="BB10" s="137">
        <v>71.170852290427263</v>
      </c>
      <c r="BC10" s="238">
        <v>69.485242473838838</v>
      </c>
      <c r="BD10" s="238">
        <v>86.024183343963216</v>
      </c>
      <c r="BE10" s="140">
        <v>14387.94</v>
      </c>
      <c r="BF10" s="140">
        <v>16781.03</v>
      </c>
      <c r="BG10" s="129">
        <v>18802.820963324</v>
      </c>
      <c r="BH10" s="129">
        <v>21014</v>
      </c>
      <c r="BI10" s="149">
        <v>23831.075410796271</v>
      </c>
      <c r="BJ10" s="149">
        <v>25199.726274012999</v>
      </c>
      <c r="BK10" s="149">
        <v>24858.766805433996</v>
      </c>
      <c r="BL10" s="234">
        <v>23848.72760174</v>
      </c>
      <c r="BM10" s="149">
        <v>21256.248246437</v>
      </c>
      <c r="BN10" s="134">
        <v>11151.955571343999</v>
      </c>
      <c r="BO10" s="134">
        <v>12146.1844</v>
      </c>
      <c r="BP10" s="134">
        <v>15009.601699999999</v>
      </c>
      <c r="BQ10" s="134">
        <v>19644.45</v>
      </c>
      <c r="BR10" s="149">
        <v>21324.303079758</v>
      </c>
      <c r="BS10" s="149">
        <v>27146.555404629999</v>
      </c>
      <c r="BT10" s="149">
        <v>23998.362953746997</v>
      </c>
      <c r="BU10" s="234">
        <v>18745.170844599001</v>
      </c>
      <c r="BV10" s="149">
        <v>19987.866590677</v>
      </c>
      <c r="BW10" s="131">
        <v>77.509037162428967</v>
      </c>
      <c r="BX10" s="134">
        <v>72.38044021537317</v>
      </c>
      <c r="BY10" s="129">
        <v>79.826328719504374</v>
      </c>
      <c r="BZ10" s="150">
        <v>93.482678214523645</v>
      </c>
      <c r="CA10" s="134">
        <v>89.481077593742924</v>
      </c>
      <c r="CB10" s="140">
        <v>107.73</v>
      </c>
      <c r="CC10" s="129">
        <v>96.53883131684988</v>
      </c>
      <c r="CD10" s="247">
        <v>78.600297498602629</v>
      </c>
      <c r="CE10" s="247">
        <v>94.032899686459913</v>
      </c>
      <c r="CF10" s="129">
        <v>9138.27</v>
      </c>
      <c r="CG10" s="140">
        <v>12014.06</v>
      </c>
      <c r="CH10" s="129">
        <v>14448.350037509001</v>
      </c>
      <c r="CI10" s="129">
        <v>17836.190000000002</v>
      </c>
      <c r="CJ10" s="149">
        <v>18915.132779445892</v>
      </c>
      <c r="CK10" s="149">
        <v>20053.578986989</v>
      </c>
      <c r="CL10" s="149">
        <v>21750.482499999998</v>
      </c>
      <c r="CM10" s="234">
        <v>25040.299845825</v>
      </c>
      <c r="CN10" s="149">
        <v>29231.718242108</v>
      </c>
      <c r="CO10" s="134">
        <v>9704.1166624599991</v>
      </c>
      <c r="CP10" s="134">
        <v>13212.2042</v>
      </c>
      <c r="CQ10" s="134">
        <v>16680.424500000001</v>
      </c>
      <c r="CR10" s="134">
        <v>21430.14</v>
      </c>
      <c r="CS10" s="149">
        <v>20779.408865216999</v>
      </c>
      <c r="CT10" s="149">
        <v>21481.802458524002</v>
      </c>
      <c r="CU10" s="149">
        <v>22383.827099999999</v>
      </c>
      <c r="CV10" s="234">
        <v>25295.226326997999</v>
      </c>
      <c r="CW10" s="149">
        <v>37065.309234422995</v>
      </c>
      <c r="CX10" s="131">
        <v>106.19209268197071</v>
      </c>
      <c r="CY10" s="129">
        <v>109.97280986774133</v>
      </c>
      <c r="CZ10" s="129">
        <v>115.44864718427117</v>
      </c>
      <c r="DA10" s="150">
        <v>120.14976292582662</v>
      </c>
      <c r="DB10" s="134">
        <v>109.8560031669295</v>
      </c>
      <c r="DC10" s="134">
        <v>107.12</v>
      </c>
      <c r="DD10" s="129">
        <v>102.91186459886579</v>
      </c>
      <c r="DE10" s="247">
        <v>101.01806481049589</v>
      </c>
      <c r="DF10" s="247">
        <v>126.79825704200579</v>
      </c>
      <c r="DG10" s="129">
        <v>4697.6099999999997</v>
      </c>
      <c r="DH10" s="140">
        <v>4205.54</v>
      </c>
      <c r="DI10" s="129">
        <v>4103.1431673239995</v>
      </c>
      <c r="DJ10" s="129">
        <v>4890.7800000000007</v>
      </c>
      <c r="DK10" s="151">
        <v>5649.3037280318495</v>
      </c>
      <c r="DL10" s="151">
        <v>5388.0729005030016</v>
      </c>
      <c r="DM10" s="151">
        <v>5730.3953279140005</v>
      </c>
      <c r="DN10" s="244">
        <v>7163.3884704040001</v>
      </c>
      <c r="DO10" s="151">
        <v>7405.573281887001</v>
      </c>
      <c r="DP10" s="134">
        <v>3032.2975111359997</v>
      </c>
      <c r="DQ10" s="134">
        <v>2353.856600000001</v>
      </c>
      <c r="DR10" s="134">
        <v>2430.8991999999998</v>
      </c>
      <c r="DS10" s="134">
        <v>3320.11</v>
      </c>
      <c r="DT10" s="151">
        <v>3652.3046405739997</v>
      </c>
      <c r="DU10" s="151">
        <v>4161.8849460020001</v>
      </c>
      <c r="DV10" s="151">
        <v>5875.6487413200002</v>
      </c>
      <c r="DW10" s="244">
        <v>6202.0120671889999</v>
      </c>
      <c r="DX10" s="151">
        <v>4334.9288114440005</v>
      </c>
      <c r="DY10" s="142">
        <v>64.54977928169636</v>
      </c>
      <c r="DZ10" s="134">
        <v>55.970398463131374</v>
      </c>
      <c r="EA10" s="134">
        <v>59.244805299507917</v>
      </c>
      <c r="EB10" s="152">
        <v>67.885081725205382</v>
      </c>
      <c r="EC10" s="142">
        <v>64.650527151713604</v>
      </c>
      <c r="ED10" s="142">
        <v>77.239999999999995</v>
      </c>
      <c r="EE10" s="129">
        <v>102.53478870294408</v>
      </c>
      <c r="EF10" s="247">
        <v>86.579306606266172</v>
      </c>
      <c r="EG10" s="247">
        <v>58.536032882783452</v>
      </c>
      <c r="EH10" s="140">
        <v>33436.81</v>
      </c>
      <c r="EI10" s="140">
        <v>38454.839999999997</v>
      </c>
      <c r="EJ10" s="129">
        <v>42797.975783214002</v>
      </c>
      <c r="EK10" s="129">
        <v>49033.98</v>
      </c>
      <c r="EL10" s="149">
        <v>53480.143606549376</v>
      </c>
      <c r="EM10" s="149">
        <v>55593.851456956996</v>
      </c>
      <c r="EN10" s="149">
        <v>57880.542497872004</v>
      </c>
      <c r="EO10" s="234">
        <v>62420.102850346004</v>
      </c>
      <c r="EP10" s="149">
        <v>62984.373220319998</v>
      </c>
      <c r="EQ10" s="134">
        <v>27817.958909843001</v>
      </c>
      <c r="ER10" s="134">
        <v>31567.745500000005</v>
      </c>
      <c r="ES10" s="134">
        <v>38104.272499999999</v>
      </c>
      <c r="ET10" s="153">
        <v>49043.19</v>
      </c>
      <c r="EU10" s="149">
        <v>50126.172174813</v>
      </c>
      <c r="EV10" s="149">
        <v>57514.905725520999</v>
      </c>
      <c r="EW10" s="149">
        <v>56887.495188535002</v>
      </c>
      <c r="EX10" s="234">
        <v>54604.649284641004</v>
      </c>
      <c r="EY10" s="149">
        <v>64979.277966549998</v>
      </c>
      <c r="EZ10" s="129">
        <v>83.195608047178311</v>
      </c>
      <c r="FA10" s="129">
        <v>82.090433035466219</v>
      </c>
      <c r="FB10" s="129">
        <v>89.0328850296534</v>
      </c>
      <c r="FC10" s="150">
        <v>100.01878289300603</v>
      </c>
      <c r="FD10" s="134">
        <v>93.728566893141931</v>
      </c>
      <c r="FE10" s="134">
        <v>103.46</v>
      </c>
      <c r="FF10" s="137">
        <v>98.28431582275941</v>
      </c>
      <c r="FG10" s="137">
        <v>87.479268362561385</v>
      </c>
      <c r="FH10" s="137">
        <v>103.167301100627</v>
      </c>
    </row>
    <row r="11" spans="1:164" ht="17.100000000000001" customHeight="1" x14ac:dyDescent="0.2">
      <c r="A11" s="324"/>
      <c r="B11" s="343" t="s">
        <v>106</v>
      </c>
      <c r="C11" s="251"/>
      <c r="D11" s="251"/>
      <c r="E11" s="251"/>
      <c r="F11" s="251"/>
      <c r="G11" s="114"/>
      <c r="H11" s="114"/>
      <c r="I11" s="114"/>
      <c r="J11" s="230"/>
      <c r="K11" s="114"/>
      <c r="L11" s="252"/>
      <c r="M11" s="252"/>
      <c r="N11" s="252"/>
      <c r="O11" s="115"/>
      <c r="P11" s="114"/>
      <c r="Q11" s="114"/>
      <c r="R11" s="114"/>
      <c r="S11" s="230"/>
      <c r="T11" s="114"/>
      <c r="U11" s="253"/>
      <c r="V11" s="254"/>
      <c r="W11" s="254"/>
      <c r="X11" s="116"/>
      <c r="Y11" s="252"/>
      <c r="Z11" s="251"/>
      <c r="AA11" s="252"/>
      <c r="AB11" s="272"/>
      <c r="AC11" s="272"/>
      <c r="AD11" s="254"/>
      <c r="AE11" s="254"/>
      <c r="AF11" s="254"/>
      <c r="AG11" s="254"/>
      <c r="AH11" s="114"/>
      <c r="AI11" s="114"/>
      <c r="AJ11" s="114"/>
      <c r="AK11" s="230"/>
      <c r="AL11" s="114"/>
      <c r="AM11" s="255"/>
      <c r="AN11" s="255"/>
      <c r="AO11" s="255"/>
      <c r="AP11" s="115"/>
      <c r="AQ11" s="114"/>
      <c r="AR11" s="114"/>
      <c r="AS11" s="114"/>
      <c r="AT11" s="230"/>
      <c r="AU11" s="114"/>
      <c r="AV11" s="255"/>
      <c r="AW11" s="255"/>
      <c r="AX11" s="255"/>
      <c r="AY11" s="116"/>
      <c r="AZ11" s="253"/>
      <c r="BA11" s="256"/>
      <c r="BB11" s="257"/>
      <c r="BC11" s="258"/>
      <c r="BD11" s="258"/>
      <c r="BE11" s="254"/>
      <c r="BF11" s="254"/>
      <c r="BG11" s="254"/>
      <c r="BH11" s="254"/>
      <c r="BI11" s="117"/>
      <c r="BJ11" s="117"/>
      <c r="BK11" s="117"/>
      <c r="BL11" s="239"/>
      <c r="BM11" s="117"/>
      <c r="BN11" s="255"/>
      <c r="BO11" s="255"/>
      <c r="BP11" s="255"/>
      <c r="BQ11" s="115"/>
      <c r="BR11" s="117"/>
      <c r="BS11" s="117"/>
      <c r="BT11" s="117"/>
      <c r="BU11" s="239"/>
      <c r="BV11" s="117"/>
      <c r="BW11" s="255"/>
      <c r="BX11" s="255"/>
      <c r="BY11" s="255"/>
      <c r="BZ11" s="116"/>
      <c r="CA11" s="114"/>
      <c r="CB11" s="118"/>
      <c r="CC11" s="254"/>
      <c r="CD11" s="298"/>
      <c r="CE11" s="298"/>
      <c r="CF11" s="254"/>
      <c r="CG11" s="254"/>
      <c r="CH11" s="254"/>
      <c r="CI11" s="254"/>
      <c r="CJ11" s="117"/>
      <c r="CK11" s="117"/>
      <c r="CL11" s="117"/>
      <c r="CM11" s="239"/>
      <c r="CN11" s="117"/>
      <c r="CO11" s="255"/>
      <c r="CP11" s="255"/>
      <c r="CQ11" s="255"/>
      <c r="CR11" s="115"/>
      <c r="CS11" s="117"/>
      <c r="CT11" s="117"/>
      <c r="CU11" s="117"/>
      <c r="CV11" s="239"/>
      <c r="CW11" s="117"/>
      <c r="CX11" s="255"/>
      <c r="CY11" s="255"/>
      <c r="CZ11" s="255"/>
      <c r="DA11" s="116"/>
      <c r="DB11" s="253"/>
      <c r="DC11" s="253"/>
      <c r="DD11" s="254"/>
      <c r="DE11" s="298"/>
      <c r="DF11" s="298"/>
      <c r="DG11" s="254"/>
      <c r="DH11" s="259"/>
      <c r="DI11" s="254"/>
      <c r="DJ11" s="254"/>
      <c r="DK11" s="27"/>
      <c r="DL11" s="27"/>
      <c r="DM11" s="27"/>
      <c r="DN11" s="241"/>
      <c r="DO11" s="27"/>
      <c r="DP11" s="255"/>
      <c r="DQ11" s="255"/>
      <c r="DR11" s="255"/>
      <c r="DS11" s="119"/>
      <c r="DT11" s="27"/>
      <c r="DU11" s="27"/>
      <c r="DV11" s="27"/>
      <c r="DW11" s="241"/>
      <c r="DX11" s="27"/>
      <c r="DY11" s="255"/>
      <c r="DZ11" s="255"/>
      <c r="EA11" s="255"/>
      <c r="EB11" s="120"/>
      <c r="EC11" s="253"/>
      <c r="ED11" s="259"/>
      <c r="EE11" s="254"/>
      <c r="EF11" s="298"/>
      <c r="EG11" s="298"/>
      <c r="EH11" s="259"/>
      <c r="EI11" s="259"/>
      <c r="EJ11" s="254"/>
      <c r="EK11" s="254"/>
      <c r="EL11" s="117"/>
      <c r="EM11" s="117"/>
      <c r="EN11" s="117"/>
      <c r="EO11" s="239"/>
      <c r="EP11" s="117"/>
      <c r="EQ11" s="255"/>
      <c r="ER11" s="255"/>
      <c r="ES11" s="255"/>
      <c r="ET11" s="115"/>
      <c r="EU11" s="117"/>
      <c r="EV11" s="117"/>
      <c r="EW11" s="117"/>
      <c r="EX11" s="239"/>
      <c r="EY11" s="117"/>
      <c r="EZ11" s="255"/>
      <c r="FA11" s="255"/>
      <c r="FB11" s="255"/>
      <c r="FC11" s="116"/>
      <c r="FD11" s="253"/>
      <c r="FE11" s="253"/>
      <c r="FF11" s="257"/>
      <c r="FG11" s="257"/>
      <c r="FH11" s="257"/>
    </row>
    <row r="12" spans="1:164" ht="17.100000000000001" customHeight="1" x14ac:dyDescent="0.2">
      <c r="A12" s="324">
        <v>5</v>
      </c>
      <c r="B12" s="344" t="s">
        <v>18</v>
      </c>
      <c r="C12" s="230">
        <v>0</v>
      </c>
      <c r="D12" s="230">
        <v>0</v>
      </c>
      <c r="E12" s="230">
        <v>0</v>
      </c>
      <c r="F12" s="230">
        <v>0</v>
      </c>
      <c r="G12" s="230">
        <v>0</v>
      </c>
      <c r="H12" s="230">
        <v>0</v>
      </c>
      <c r="I12" s="230">
        <v>0</v>
      </c>
      <c r="J12" s="230">
        <v>4.8999999999999998E-3</v>
      </c>
      <c r="K12" s="114">
        <v>2.3633399999999999E-2</v>
      </c>
      <c r="L12" s="230">
        <v>0</v>
      </c>
      <c r="M12" s="230">
        <v>0</v>
      </c>
      <c r="N12" s="230">
        <v>0</v>
      </c>
      <c r="O12" s="230">
        <v>0</v>
      </c>
      <c r="P12" s="230">
        <v>0</v>
      </c>
      <c r="Q12" s="230">
        <v>0</v>
      </c>
      <c r="R12" s="230">
        <v>0</v>
      </c>
      <c r="S12" s="230">
        <v>4.7000000000000002E-3</v>
      </c>
      <c r="T12" s="114">
        <v>2.2961498E-2</v>
      </c>
      <c r="U12" s="230">
        <v>0</v>
      </c>
      <c r="V12" s="230">
        <v>0</v>
      </c>
      <c r="W12" s="230">
        <v>0</v>
      </c>
      <c r="X12" s="230">
        <v>0</v>
      </c>
      <c r="Y12" s="230">
        <v>0</v>
      </c>
      <c r="Z12" s="230" t="s">
        <v>167</v>
      </c>
      <c r="AA12" s="230" t="s">
        <v>167</v>
      </c>
      <c r="AB12" s="230">
        <v>95.91836734693878</v>
      </c>
      <c r="AC12" s="230">
        <v>97.156981221491606</v>
      </c>
      <c r="AD12" s="230">
        <v>0</v>
      </c>
      <c r="AE12" s="230">
        <v>0</v>
      </c>
      <c r="AF12" s="230">
        <v>0</v>
      </c>
      <c r="AG12" s="230">
        <v>0</v>
      </c>
      <c r="AH12" s="230">
        <v>0</v>
      </c>
      <c r="AI12" s="230">
        <v>0</v>
      </c>
      <c r="AJ12" s="230">
        <v>0</v>
      </c>
      <c r="AK12" s="230">
        <v>0</v>
      </c>
      <c r="AL12" s="114">
        <v>0</v>
      </c>
      <c r="AM12" s="230">
        <v>0</v>
      </c>
      <c r="AN12" s="230">
        <v>0</v>
      </c>
      <c r="AO12" s="230">
        <v>0</v>
      </c>
      <c r="AP12" s="230">
        <v>0</v>
      </c>
      <c r="AQ12" s="230">
        <v>0</v>
      </c>
      <c r="AR12" s="230">
        <v>0</v>
      </c>
      <c r="AS12" s="230">
        <v>0</v>
      </c>
      <c r="AT12" s="230">
        <v>0</v>
      </c>
      <c r="AU12" s="114">
        <v>0</v>
      </c>
      <c r="AV12" s="230">
        <v>0</v>
      </c>
      <c r="AW12" s="230">
        <v>0</v>
      </c>
      <c r="AX12" s="230">
        <v>0</v>
      </c>
      <c r="AY12" s="230">
        <v>0</v>
      </c>
      <c r="AZ12" s="230">
        <v>0</v>
      </c>
      <c r="BA12" s="268" t="s">
        <v>167</v>
      </c>
      <c r="BB12" s="299" t="s">
        <v>402</v>
      </c>
      <c r="BC12" s="299"/>
      <c r="BD12" s="299"/>
      <c r="BE12" s="230">
        <v>0</v>
      </c>
      <c r="BF12" s="230">
        <v>0</v>
      </c>
      <c r="BG12" s="230">
        <v>0</v>
      </c>
      <c r="BH12" s="230">
        <v>0</v>
      </c>
      <c r="BI12" s="239">
        <v>-0.435</v>
      </c>
      <c r="BJ12" s="239">
        <v>14.407254329213201</v>
      </c>
      <c r="BK12" s="239">
        <v>74.444917286219606</v>
      </c>
      <c r="BL12" s="239">
        <v>78.191857600000006</v>
      </c>
      <c r="BM12" s="117">
        <v>134.014860962</v>
      </c>
      <c r="BN12" s="230">
        <v>0</v>
      </c>
      <c r="BO12" s="230">
        <v>0</v>
      </c>
      <c r="BP12" s="230">
        <v>0</v>
      </c>
      <c r="BQ12" s="230">
        <v>0</v>
      </c>
      <c r="BR12" s="230">
        <v>4.87E-2</v>
      </c>
      <c r="BS12" s="230">
        <v>18.6340804649166</v>
      </c>
      <c r="BT12" s="230">
        <v>72.642312615107599</v>
      </c>
      <c r="BU12" s="230">
        <v>64.392116438000002</v>
      </c>
      <c r="BV12" s="114">
        <v>116.415258162</v>
      </c>
      <c r="BW12" s="230">
        <v>0</v>
      </c>
      <c r="BX12" s="230">
        <v>0</v>
      </c>
      <c r="BY12" s="230">
        <v>0</v>
      </c>
      <c r="BZ12" s="230">
        <v>0</v>
      </c>
      <c r="CA12" s="230">
        <v>-11.195402298850574</v>
      </c>
      <c r="CB12" s="289">
        <v>129.34</v>
      </c>
      <c r="CC12" s="298">
        <v>97.578606120037037</v>
      </c>
      <c r="CD12" s="298">
        <v>82.351434553973306</v>
      </c>
      <c r="CE12" s="298">
        <v>86.867424497802304</v>
      </c>
      <c r="CF12" s="230">
        <v>0</v>
      </c>
      <c r="CG12" s="230">
        <v>0</v>
      </c>
      <c r="CH12" s="230">
        <v>0</v>
      </c>
      <c r="CI12" s="230">
        <v>0</v>
      </c>
      <c r="CJ12" s="230">
        <v>8.1199999999999994E-2</v>
      </c>
      <c r="CK12" s="230">
        <v>29.5349744494746</v>
      </c>
      <c r="CL12" s="230">
        <v>75.479769663360102</v>
      </c>
      <c r="CM12" s="230">
        <v>82.290098955999994</v>
      </c>
      <c r="CN12" s="114">
        <v>293.77071816599999</v>
      </c>
      <c r="CO12" s="230">
        <v>0</v>
      </c>
      <c r="CP12" s="230">
        <v>0</v>
      </c>
      <c r="CQ12" s="230">
        <v>0</v>
      </c>
      <c r="CR12" s="230">
        <v>0</v>
      </c>
      <c r="CS12" s="230">
        <v>5.28E-2</v>
      </c>
      <c r="CT12" s="230">
        <v>6.9975013977849301</v>
      </c>
      <c r="CU12" s="230">
        <v>15.9087831391351</v>
      </c>
      <c r="CV12" s="230">
        <v>69.649785093999995</v>
      </c>
      <c r="CW12" s="114">
        <v>304.79625639099999</v>
      </c>
      <c r="CX12" s="230">
        <v>0</v>
      </c>
      <c r="CY12" s="230">
        <v>0</v>
      </c>
      <c r="CZ12" s="230">
        <v>0</v>
      </c>
      <c r="DA12" s="230">
        <v>0</v>
      </c>
      <c r="DB12" s="274">
        <v>65.024630541871929</v>
      </c>
      <c r="DC12" s="274">
        <v>23.69</v>
      </c>
      <c r="DD12" s="298">
        <v>21.076883527981469</v>
      </c>
      <c r="DE12" s="298">
        <v>84.639325967078136</v>
      </c>
      <c r="DF12" s="298">
        <v>103.753110008319</v>
      </c>
      <c r="DG12" s="241">
        <v>0</v>
      </c>
      <c r="DH12" s="241">
        <v>0</v>
      </c>
      <c r="DI12" s="241">
        <v>0</v>
      </c>
      <c r="DJ12" s="241">
        <v>0</v>
      </c>
      <c r="DK12" s="241">
        <v>0</v>
      </c>
      <c r="DL12" s="241">
        <v>4.8687820863268403</v>
      </c>
      <c r="DM12" s="241">
        <v>14.770464235115201</v>
      </c>
      <c r="DN12" s="241">
        <v>13.74</v>
      </c>
      <c r="DO12" s="27">
        <v>18.627713856</v>
      </c>
      <c r="DP12" s="241">
        <v>0</v>
      </c>
      <c r="DQ12" s="241">
        <v>0</v>
      </c>
      <c r="DR12" s="241">
        <v>0</v>
      </c>
      <c r="DS12" s="241">
        <v>0</v>
      </c>
      <c r="DT12" s="241">
        <v>0</v>
      </c>
      <c r="DU12" s="241">
        <v>2.9781751019064902</v>
      </c>
      <c r="DV12" s="241">
        <v>10.811023482064201</v>
      </c>
      <c r="DW12" s="241">
        <v>8.52</v>
      </c>
      <c r="DX12" s="27">
        <v>15.499314885</v>
      </c>
      <c r="DY12" s="241">
        <v>0</v>
      </c>
      <c r="DZ12" s="241">
        <v>0</v>
      </c>
      <c r="EA12" s="241">
        <v>0</v>
      </c>
      <c r="EB12" s="241">
        <v>0</v>
      </c>
      <c r="EC12" s="290" t="s">
        <v>167</v>
      </c>
      <c r="ED12" s="291">
        <v>61.17</v>
      </c>
      <c r="EE12" s="298">
        <v>73.193525335257561</v>
      </c>
      <c r="EF12" s="298">
        <v>62.008733624454152</v>
      </c>
      <c r="EG12" s="298">
        <v>83.205674109105203</v>
      </c>
      <c r="EH12" s="232"/>
      <c r="EI12" s="232"/>
      <c r="EJ12" s="232"/>
      <c r="EK12" s="232"/>
      <c r="EL12" s="230">
        <v>-0.3538</v>
      </c>
      <c r="EM12" s="230">
        <v>48.811010865014637</v>
      </c>
      <c r="EN12" s="230">
        <v>164.69515118469494</v>
      </c>
      <c r="EO12" s="230">
        <v>174.226856556</v>
      </c>
      <c r="EP12" s="114">
        <v>446.436926384</v>
      </c>
      <c r="EQ12" s="232"/>
      <c r="ER12" s="232"/>
      <c r="ES12" s="232"/>
      <c r="ET12" s="232"/>
      <c r="EU12" s="230">
        <v>0.10150000000000001</v>
      </c>
      <c r="EV12" s="230">
        <v>28.609756964608021</v>
      </c>
      <c r="EW12" s="230">
        <v>99.362119236306896</v>
      </c>
      <c r="EX12" s="230">
        <v>142.56660153199999</v>
      </c>
      <c r="EY12" s="114">
        <v>436.73379093599999</v>
      </c>
      <c r="EZ12" s="232"/>
      <c r="FA12" s="232"/>
      <c r="FB12" s="232"/>
      <c r="FC12" s="232"/>
      <c r="FD12" s="274">
        <v>-28.68852459016394</v>
      </c>
      <c r="FE12" s="274">
        <v>58.61</v>
      </c>
      <c r="FF12" s="258">
        <v>60.330931737558387</v>
      </c>
      <c r="FG12" s="258">
        <v>81.828143117634809</v>
      </c>
      <c r="FH12" s="258">
        <v>97.826538336200699</v>
      </c>
    </row>
    <row r="13" spans="1:164" ht="17.100000000000001" customHeight="1" x14ac:dyDescent="0.2">
      <c r="A13" s="324">
        <v>6</v>
      </c>
      <c r="B13" s="341" t="s">
        <v>21</v>
      </c>
      <c r="C13" s="251">
        <v>144.65</v>
      </c>
      <c r="D13" s="251">
        <v>146.62</v>
      </c>
      <c r="E13" s="251">
        <v>165.85</v>
      </c>
      <c r="F13" s="251">
        <v>176.3868353</v>
      </c>
      <c r="G13" s="114">
        <v>179.62899999999999</v>
      </c>
      <c r="H13" s="114">
        <v>187.70627469999999</v>
      </c>
      <c r="I13" s="114">
        <v>267.95569999999998</v>
      </c>
      <c r="J13" s="230">
        <v>269.2</v>
      </c>
      <c r="K13" s="114">
        <v>252.32591070000001</v>
      </c>
      <c r="L13" s="252">
        <v>45.060299999999998</v>
      </c>
      <c r="M13" s="252">
        <v>93.657399999999996</v>
      </c>
      <c r="N13" s="252">
        <v>111.25</v>
      </c>
      <c r="O13" s="115">
        <v>55.032602300000001</v>
      </c>
      <c r="P13" s="114">
        <v>88.642399999999995</v>
      </c>
      <c r="Q13" s="114">
        <v>139.69126069999999</v>
      </c>
      <c r="R13" s="114">
        <v>182.23364129999999</v>
      </c>
      <c r="S13" s="230">
        <v>146.61221309999999</v>
      </c>
      <c r="T13" s="114">
        <v>143.93470099999999</v>
      </c>
      <c r="U13" s="253">
        <v>31.151670848078886</v>
      </c>
      <c r="V13" s="254">
        <v>63.875508184489817</v>
      </c>
      <c r="W13" s="254">
        <v>67.079046585987484</v>
      </c>
      <c r="X13" s="116">
        <v>31.19994879799286</v>
      </c>
      <c r="Y13" s="252">
        <v>49.347488434495546</v>
      </c>
      <c r="Z13" s="251">
        <v>74.42</v>
      </c>
      <c r="AA13" s="252">
        <v>68</v>
      </c>
      <c r="AB13" s="272">
        <v>54.462189115898965</v>
      </c>
      <c r="AC13" s="272">
        <v>57.043171111796596</v>
      </c>
      <c r="AD13" s="254">
        <v>79.89</v>
      </c>
      <c r="AE13" s="259">
        <v>72.010000000000005</v>
      </c>
      <c r="AF13" s="254">
        <v>84.88</v>
      </c>
      <c r="AG13" s="254">
        <v>83.974902599999993</v>
      </c>
      <c r="AH13" s="114">
        <v>88.364200000000011</v>
      </c>
      <c r="AI13" s="114">
        <v>103.8593134</v>
      </c>
      <c r="AJ13" s="114">
        <v>117.39901450000001</v>
      </c>
      <c r="AK13" s="230">
        <v>106.8109887</v>
      </c>
      <c r="AL13" s="114">
        <v>119.8309004</v>
      </c>
      <c r="AM13" s="255">
        <v>29.91</v>
      </c>
      <c r="AN13" s="255">
        <v>64.680000000000007</v>
      </c>
      <c r="AO13" s="255">
        <v>41.35</v>
      </c>
      <c r="AP13" s="115">
        <v>56.670702800000001</v>
      </c>
      <c r="AQ13" s="114">
        <v>55.231499999999997</v>
      </c>
      <c r="AR13" s="114">
        <v>97.4950884</v>
      </c>
      <c r="AS13" s="114">
        <v>78.836609300000006</v>
      </c>
      <c r="AT13" s="230">
        <v>70.342498199999994</v>
      </c>
      <c r="AU13" s="114">
        <v>76.559002800000002</v>
      </c>
      <c r="AV13" s="255">
        <v>37.44</v>
      </c>
      <c r="AW13" s="255">
        <v>89.82</v>
      </c>
      <c r="AX13" s="255">
        <v>48.72</v>
      </c>
      <c r="AY13" s="116">
        <v>67.485285538157925</v>
      </c>
      <c r="AZ13" s="253">
        <v>62.504385260094011</v>
      </c>
      <c r="BA13" s="256">
        <v>93.87</v>
      </c>
      <c r="BB13" s="257">
        <v>67.152701098696184</v>
      </c>
      <c r="BC13" s="258">
        <v>65.856986304631022</v>
      </c>
      <c r="BD13" s="258">
        <v>63.889199317073697</v>
      </c>
      <c r="BE13" s="254">
        <v>2356.27</v>
      </c>
      <c r="BF13" s="259">
        <v>2650.03</v>
      </c>
      <c r="BG13" s="254">
        <v>2885.64</v>
      </c>
      <c r="BH13" s="254">
        <v>3179.3057054000001</v>
      </c>
      <c r="BI13" s="117">
        <v>3662.6709999999998</v>
      </c>
      <c r="BJ13" s="117">
        <v>4216.2533002999999</v>
      </c>
      <c r="BK13" s="117">
        <v>4888.5202614</v>
      </c>
      <c r="BL13" s="239">
        <v>4360.8669392000002</v>
      </c>
      <c r="BM13" s="117">
        <v>4425.9722997999997</v>
      </c>
      <c r="BN13" s="255">
        <v>1781.5</v>
      </c>
      <c r="BO13" s="255">
        <v>1897.64</v>
      </c>
      <c r="BP13" s="255">
        <v>2079.64</v>
      </c>
      <c r="BQ13" s="115">
        <v>2199.7543099</v>
      </c>
      <c r="BR13" s="117">
        <v>2278.0567000000001</v>
      </c>
      <c r="BS13" s="117">
        <v>2629.2948502999998</v>
      </c>
      <c r="BT13" s="117">
        <v>3218.1800687</v>
      </c>
      <c r="BU13" s="239">
        <v>2967.9105506000001</v>
      </c>
      <c r="BV13" s="117">
        <v>3032.9834845999999</v>
      </c>
      <c r="BW13" s="255">
        <v>75.61</v>
      </c>
      <c r="BX13" s="255">
        <v>71.61</v>
      </c>
      <c r="BY13" s="255">
        <v>72.069999999999993</v>
      </c>
      <c r="BZ13" s="116">
        <v>69.189770148990462</v>
      </c>
      <c r="CA13" s="114">
        <v>62.19659641829692</v>
      </c>
      <c r="CB13" s="118">
        <v>62.36</v>
      </c>
      <c r="CC13" s="254">
        <v>65.831374252673356</v>
      </c>
      <c r="CD13" s="298">
        <v>68.057810338612683</v>
      </c>
      <c r="CE13" s="298">
        <v>68.526942311343802</v>
      </c>
      <c r="CF13" s="254">
        <v>655.13</v>
      </c>
      <c r="CG13" s="259">
        <v>695.12</v>
      </c>
      <c r="CH13" s="254">
        <v>793.32</v>
      </c>
      <c r="CI13" s="254">
        <v>1015.0277564</v>
      </c>
      <c r="CJ13" s="117">
        <v>1331.5979</v>
      </c>
      <c r="CK13" s="117">
        <v>1865.8822167000001</v>
      </c>
      <c r="CL13" s="117">
        <v>1978.0554259999999</v>
      </c>
      <c r="CM13" s="239">
        <v>1823.5502326000001</v>
      </c>
      <c r="CN13" s="117">
        <v>2173.4240146000002</v>
      </c>
      <c r="CO13" s="255">
        <v>567.33000000000004</v>
      </c>
      <c r="CP13" s="255">
        <v>511.52</v>
      </c>
      <c r="CQ13" s="255">
        <v>594.5</v>
      </c>
      <c r="CR13" s="115">
        <v>796.75987050000003</v>
      </c>
      <c r="CS13" s="117">
        <v>1033.4666999999999</v>
      </c>
      <c r="CT13" s="117">
        <v>1591.4764052</v>
      </c>
      <c r="CU13" s="117">
        <v>1621.2801674</v>
      </c>
      <c r="CV13" s="239">
        <v>1409.8207568</v>
      </c>
      <c r="CW13" s="117">
        <v>1969.8938860999999</v>
      </c>
      <c r="CX13" s="255">
        <v>86.6</v>
      </c>
      <c r="CY13" s="255">
        <v>73.59</v>
      </c>
      <c r="CZ13" s="255">
        <v>74.94</v>
      </c>
      <c r="DA13" s="116">
        <v>78.496362831088391</v>
      </c>
      <c r="DB13" s="253">
        <v>77.611019062135796</v>
      </c>
      <c r="DC13" s="253">
        <v>85.29</v>
      </c>
      <c r="DD13" s="254">
        <v>81.963333589622081</v>
      </c>
      <c r="DE13" s="298">
        <v>77.311868441917909</v>
      </c>
      <c r="DF13" s="298">
        <v>90.635507515662709</v>
      </c>
      <c r="DG13" s="254">
        <v>257.12</v>
      </c>
      <c r="DH13" s="259">
        <v>268.13</v>
      </c>
      <c r="DI13" s="254">
        <v>293.95</v>
      </c>
      <c r="DJ13" s="254">
        <v>482.35043990000003</v>
      </c>
      <c r="DK13" s="27">
        <v>796.30679999999995</v>
      </c>
      <c r="DL13" s="27">
        <v>636.07575729999996</v>
      </c>
      <c r="DM13" s="27">
        <v>954.16557190000003</v>
      </c>
      <c r="DN13" s="241">
        <v>875.73</v>
      </c>
      <c r="DO13" s="27">
        <v>807.81499099999996</v>
      </c>
      <c r="DP13" s="255">
        <v>101.48</v>
      </c>
      <c r="DQ13" s="255">
        <v>188.5</v>
      </c>
      <c r="DR13" s="255">
        <v>227.12</v>
      </c>
      <c r="DS13" s="119">
        <v>368.07624870000001</v>
      </c>
      <c r="DT13" s="27">
        <v>587.17589999999996</v>
      </c>
      <c r="DU13" s="27">
        <v>352.452788</v>
      </c>
      <c r="DV13" s="27">
        <v>704.25844389999997</v>
      </c>
      <c r="DW13" s="241">
        <v>495.5430758</v>
      </c>
      <c r="DX13" s="27">
        <v>452.61773149999999</v>
      </c>
      <c r="DY13" s="255">
        <v>39.47</v>
      </c>
      <c r="DZ13" s="255">
        <v>70.3</v>
      </c>
      <c r="EA13" s="255">
        <v>77.260000000000005</v>
      </c>
      <c r="EB13" s="120">
        <v>76.308886289459764</v>
      </c>
      <c r="EC13" s="253">
        <v>73.737396189508857</v>
      </c>
      <c r="ED13" s="259">
        <v>55.41</v>
      </c>
      <c r="EE13" s="254">
        <v>73.808829897062012</v>
      </c>
      <c r="EF13" s="298">
        <v>56.586285247736171</v>
      </c>
      <c r="EG13" s="298">
        <v>56.029875224239298</v>
      </c>
      <c r="EH13" s="259">
        <v>3493.06</v>
      </c>
      <c r="EI13" s="259">
        <v>3831.9</v>
      </c>
      <c r="EJ13" s="254">
        <v>4223.6400000000003</v>
      </c>
      <c r="EK13" s="254">
        <v>4937.0456396</v>
      </c>
      <c r="EL13" s="117">
        <v>6058.5689000000002</v>
      </c>
      <c r="EM13" s="117">
        <v>7009.7768624</v>
      </c>
      <c r="EN13" s="117">
        <v>8206.0959738000001</v>
      </c>
      <c r="EO13" s="239">
        <v>7436.1581605000001</v>
      </c>
      <c r="EP13" s="117">
        <v>7779.3681164999998</v>
      </c>
      <c r="EQ13" s="255">
        <v>2525.2800000000002</v>
      </c>
      <c r="ER13" s="255">
        <v>2755.99</v>
      </c>
      <c r="ES13" s="255">
        <v>3053.8599999999997</v>
      </c>
      <c r="ET13" s="115">
        <v>3476.2937342</v>
      </c>
      <c r="EU13" s="117">
        <v>4042.5731999999998</v>
      </c>
      <c r="EV13" s="117">
        <v>4810.4103925999998</v>
      </c>
      <c r="EW13" s="117">
        <v>5804.7889306000006</v>
      </c>
      <c r="EX13" s="239">
        <v>5090.2290944999995</v>
      </c>
      <c r="EY13" s="117">
        <v>5675.9888060000003</v>
      </c>
      <c r="EZ13" s="255">
        <v>72.290000000000006</v>
      </c>
      <c r="FA13" s="255">
        <v>71.92</v>
      </c>
      <c r="FB13" s="255">
        <v>72.3</v>
      </c>
      <c r="FC13" s="116">
        <v>70.412428564902825</v>
      </c>
      <c r="FD13" s="253">
        <v>66.724886136064242</v>
      </c>
      <c r="FE13" s="253">
        <v>68.62</v>
      </c>
      <c r="FF13" s="257">
        <v>70.73752182686178</v>
      </c>
      <c r="FG13" s="257">
        <v>68.45240491977026</v>
      </c>
      <c r="FH13" s="257">
        <v>72.962080222958704</v>
      </c>
    </row>
    <row r="14" spans="1:164" ht="17.100000000000001" customHeight="1" x14ac:dyDescent="0.2">
      <c r="A14" s="324">
        <v>7</v>
      </c>
      <c r="B14" s="341" t="s">
        <v>510</v>
      </c>
      <c r="C14" s="254">
        <v>12.08</v>
      </c>
      <c r="D14" s="254">
        <v>11.43</v>
      </c>
      <c r="E14" s="254">
        <v>9.36</v>
      </c>
      <c r="F14" s="254">
        <v>9.59</v>
      </c>
      <c r="G14" s="114">
        <v>9.4820218407250199</v>
      </c>
      <c r="H14" s="114">
        <v>18.432894877607701</v>
      </c>
      <c r="I14" s="114">
        <v>28.647577856556399</v>
      </c>
      <c r="J14" s="230">
        <v>48.719426912583103</v>
      </c>
      <c r="K14" s="114" t="s">
        <v>130</v>
      </c>
      <c r="L14" s="252">
        <v>16.58183986759251</v>
      </c>
      <c r="M14" s="252">
        <v>9.1549999999999994</v>
      </c>
      <c r="N14" s="252">
        <v>22.21</v>
      </c>
      <c r="O14" s="115">
        <v>8.2899999999999991</v>
      </c>
      <c r="P14" s="114">
        <v>6.0563501103331001</v>
      </c>
      <c r="Q14" s="114">
        <v>12.1562485735361</v>
      </c>
      <c r="R14" s="114">
        <v>21.544731896875199</v>
      </c>
      <c r="S14" s="230">
        <v>42.556059061873</v>
      </c>
      <c r="T14" s="114" t="s">
        <v>130</v>
      </c>
      <c r="U14" s="253">
        <v>137.24446939867099</v>
      </c>
      <c r="V14" s="254">
        <v>80.117266124092055</v>
      </c>
      <c r="W14" s="254">
        <v>237.29</v>
      </c>
      <c r="X14" s="116">
        <v>86.444212721584975</v>
      </c>
      <c r="Y14" s="253">
        <v>63.871927444010353</v>
      </c>
      <c r="Z14" s="254">
        <v>65.95</v>
      </c>
      <c r="AA14" s="252">
        <v>75.2</v>
      </c>
      <c r="AB14" s="272">
        <v>87.349260364312201</v>
      </c>
      <c r="AC14" s="114" t="s">
        <v>130</v>
      </c>
      <c r="AD14" s="254">
        <v>7.16</v>
      </c>
      <c r="AE14" s="259">
        <v>8.08</v>
      </c>
      <c r="AF14" s="254">
        <v>11.81</v>
      </c>
      <c r="AG14" s="254">
        <v>18.52</v>
      </c>
      <c r="AH14" s="114">
        <v>13.987859902434799</v>
      </c>
      <c r="AI14" s="114">
        <v>26.6531135589725</v>
      </c>
      <c r="AJ14" s="114">
        <v>53.197229920088198</v>
      </c>
      <c r="AK14" s="230">
        <v>45.7</v>
      </c>
      <c r="AL14" s="114" t="s">
        <v>130</v>
      </c>
      <c r="AM14" s="253">
        <v>4.365578348721189</v>
      </c>
      <c r="AN14" s="253">
        <v>7.8313999999999995</v>
      </c>
      <c r="AO14" s="253">
        <v>12.373699999999999</v>
      </c>
      <c r="AP14" s="115">
        <v>12.98</v>
      </c>
      <c r="AQ14" s="114">
        <v>13.464240237548101</v>
      </c>
      <c r="AR14" s="114">
        <v>20.816523849702001</v>
      </c>
      <c r="AS14" s="114">
        <v>61.762004433093502</v>
      </c>
      <c r="AT14" s="230">
        <v>37.979999999999997</v>
      </c>
      <c r="AU14" s="114" t="s">
        <v>130</v>
      </c>
      <c r="AV14" s="252">
        <v>60.934906311789227</v>
      </c>
      <c r="AW14" s="253">
        <v>96.884897070467133</v>
      </c>
      <c r="AX14" s="254">
        <v>104.74</v>
      </c>
      <c r="AY14" s="116">
        <v>70.086393088552924</v>
      </c>
      <c r="AZ14" s="253">
        <v>96.256613459536041</v>
      </c>
      <c r="BA14" s="256">
        <v>78.099999999999994</v>
      </c>
      <c r="BB14" s="257">
        <v>116.10003852807962</v>
      </c>
      <c r="BC14" s="258">
        <v>83.107221006564529</v>
      </c>
      <c r="BD14" s="114" t="s">
        <v>130</v>
      </c>
      <c r="BE14" s="254">
        <v>872.2</v>
      </c>
      <c r="BF14" s="259">
        <v>966.69</v>
      </c>
      <c r="BG14" s="254">
        <v>1007.36</v>
      </c>
      <c r="BH14" s="254">
        <v>1003.9</v>
      </c>
      <c r="BI14" s="117">
        <v>1010.07192851461</v>
      </c>
      <c r="BJ14" s="117">
        <v>1015.11795907535</v>
      </c>
      <c r="BK14" s="117">
        <v>1250.7253771585799</v>
      </c>
      <c r="BL14" s="239">
        <v>1241.3179423271999</v>
      </c>
      <c r="BM14" s="114" t="s">
        <v>130</v>
      </c>
      <c r="BN14" s="253">
        <v>685.69683679895684</v>
      </c>
      <c r="BO14" s="253">
        <v>810.00109999999995</v>
      </c>
      <c r="BP14" s="253">
        <v>921.62</v>
      </c>
      <c r="BQ14" s="115">
        <v>894.39</v>
      </c>
      <c r="BR14" s="117">
        <v>825.59532832096102</v>
      </c>
      <c r="BS14" s="117">
        <v>766.14121659191596</v>
      </c>
      <c r="BT14" s="117">
        <v>1024.48765834959</v>
      </c>
      <c r="BU14" s="239">
        <v>797.85533441257405</v>
      </c>
      <c r="BV14" s="114" t="s">
        <v>130</v>
      </c>
      <c r="BW14" s="252">
        <v>78.61648854598937</v>
      </c>
      <c r="BX14" s="253">
        <v>83.791524074720428</v>
      </c>
      <c r="BY14" s="254">
        <v>91.489125989223268</v>
      </c>
      <c r="BZ14" s="116">
        <v>89.091542982368765</v>
      </c>
      <c r="CA14" s="114">
        <v>81.736290754566724</v>
      </c>
      <c r="CB14" s="118">
        <v>75.47</v>
      </c>
      <c r="CC14" s="254">
        <v>81.911479295082273</v>
      </c>
      <c r="CD14" s="298">
        <v>64.274857166470142</v>
      </c>
      <c r="CE14" s="114" t="s">
        <v>130</v>
      </c>
      <c r="CF14" s="254">
        <v>164.53</v>
      </c>
      <c r="CG14" s="259">
        <v>191.17</v>
      </c>
      <c r="CH14" s="254">
        <v>99.87</v>
      </c>
      <c r="CI14" s="254">
        <v>81.62</v>
      </c>
      <c r="CJ14" s="114">
        <v>99.789805161825498</v>
      </c>
      <c r="CK14" s="114">
        <v>222.59840000080001</v>
      </c>
      <c r="CL14" s="114">
        <v>318.34072012134499</v>
      </c>
      <c r="CM14" s="230">
        <v>316.73227187060098</v>
      </c>
      <c r="CN14" s="114" t="s">
        <v>130</v>
      </c>
      <c r="CO14" s="253">
        <v>142.01415685813171</v>
      </c>
      <c r="CP14" s="253">
        <v>186.35849999999999</v>
      </c>
      <c r="CQ14" s="253">
        <v>85.306899999999999</v>
      </c>
      <c r="CR14" s="115">
        <v>62.75</v>
      </c>
      <c r="CS14" s="114">
        <v>98.289774864934898</v>
      </c>
      <c r="CT14" s="114">
        <v>197.11946526371</v>
      </c>
      <c r="CU14" s="114">
        <v>246.72266999892</v>
      </c>
      <c r="CV14" s="230">
        <v>207.037941304409</v>
      </c>
      <c r="CW14" s="114" t="s">
        <v>130</v>
      </c>
      <c r="CX14" s="252">
        <v>86.316949272042891</v>
      </c>
      <c r="CY14" s="254">
        <v>97.484201060952174</v>
      </c>
      <c r="CZ14" s="254">
        <v>85.42</v>
      </c>
      <c r="DA14" s="116">
        <v>76.880666503308007</v>
      </c>
      <c r="DB14" s="253">
        <v>98.496810075480099</v>
      </c>
      <c r="DC14" s="253">
        <v>88.55</v>
      </c>
      <c r="DD14" s="254">
        <v>77.502705247658653</v>
      </c>
      <c r="DE14" s="298">
        <v>65.366860181836188</v>
      </c>
      <c r="DF14" s="114" t="s">
        <v>130</v>
      </c>
      <c r="DG14" s="254">
        <v>36.92</v>
      </c>
      <c r="DH14" s="259">
        <v>26.48</v>
      </c>
      <c r="DI14" s="254">
        <v>29.81</v>
      </c>
      <c r="DJ14" s="254">
        <v>25.16</v>
      </c>
      <c r="DK14" s="27">
        <v>80.093967423857293</v>
      </c>
      <c r="DL14" s="27">
        <v>116.179794224349</v>
      </c>
      <c r="DM14" s="27">
        <v>178.74608910423501</v>
      </c>
      <c r="DN14" s="241">
        <v>181.41657505705501</v>
      </c>
      <c r="DO14" s="114" t="s">
        <v>130</v>
      </c>
      <c r="DP14" s="253">
        <v>23.675055323065632</v>
      </c>
      <c r="DQ14" s="253">
        <v>17.56560000000005</v>
      </c>
      <c r="DR14" s="253">
        <v>30.09</v>
      </c>
      <c r="DS14" s="119">
        <v>10.51</v>
      </c>
      <c r="DT14" s="27">
        <v>63.326840157490402</v>
      </c>
      <c r="DU14" s="27">
        <v>80.445818214551196</v>
      </c>
      <c r="DV14" s="27">
        <v>78.578258770712907</v>
      </c>
      <c r="DW14" s="241">
        <v>74.108127455197703</v>
      </c>
      <c r="DX14" s="114" t="s">
        <v>130</v>
      </c>
      <c r="DY14" s="260">
        <v>64.120469187209778</v>
      </c>
      <c r="DZ14" s="253">
        <v>66.345619978924319</v>
      </c>
      <c r="EA14" s="253">
        <v>100.94</v>
      </c>
      <c r="EB14" s="120">
        <v>41.772655007949119</v>
      </c>
      <c r="EC14" s="253">
        <v>79.065680218292528</v>
      </c>
      <c r="ED14" s="259">
        <v>69.239999999999995</v>
      </c>
      <c r="EE14" s="254">
        <v>43.960826871512879</v>
      </c>
      <c r="EF14" s="298">
        <v>40.849700437730625</v>
      </c>
      <c r="EG14" s="114" t="s">
        <v>130</v>
      </c>
      <c r="EH14" s="259">
        <v>1092.9000000000001</v>
      </c>
      <c r="EI14" s="259">
        <v>1203.8399999999999</v>
      </c>
      <c r="EJ14" s="254">
        <v>1158.21</v>
      </c>
      <c r="EK14" s="254">
        <v>1138.7900000000002</v>
      </c>
      <c r="EL14" s="117">
        <v>1213.4255828434527</v>
      </c>
      <c r="EM14" s="117">
        <v>1398.9821617370792</v>
      </c>
      <c r="EN14" s="117">
        <v>1829.6569941608045</v>
      </c>
      <c r="EO14" s="239">
        <v>1833.886216167439</v>
      </c>
      <c r="EP14" s="114" t="s">
        <v>130</v>
      </c>
      <c r="EQ14" s="253">
        <v>872.33346719646784</v>
      </c>
      <c r="ER14" s="253">
        <v>1030.9116000000001</v>
      </c>
      <c r="ES14" s="253">
        <v>1071.5999999999999</v>
      </c>
      <c r="ET14" s="115">
        <v>988.92</v>
      </c>
      <c r="EU14" s="117">
        <v>1006.7325336912676</v>
      </c>
      <c r="EV14" s="117">
        <v>1076.6792724934153</v>
      </c>
      <c r="EW14" s="117">
        <v>1433.0953234491917</v>
      </c>
      <c r="EX14" s="239">
        <v>1159.5374622340537</v>
      </c>
      <c r="EY14" s="114" t="s">
        <v>130</v>
      </c>
      <c r="EZ14" s="254">
        <v>79.818209038600898</v>
      </c>
      <c r="FA14" s="254">
        <v>85.635252918119875</v>
      </c>
      <c r="FB14" s="254">
        <v>92.522260547480386</v>
      </c>
      <c r="FC14" s="116">
        <v>86.839540213735617</v>
      </c>
      <c r="FD14" s="253">
        <v>82.966153666561425</v>
      </c>
      <c r="FE14" s="253">
        <v>76.959999999999994</v>
      </c>
      <c r="FF14" s="257">
        <v>78.325900866817889</v>
      </c>
      <c r="FG14" s="257">
        <v>63.228429987184363</v>
      </c>
      <c r="FH14" s="114" t="s">
        <v>130</v>
      </c>
    </row>
    <row r="15" spans="1:164" ht="17.100000000000001" customHeight="1" x14ac:dyDescent="0.2">
      <c r="A15" s="324">
        <v>8</v>
      </c>
      <c r="B15" s="341" t="s">
        <v>27</v>
      </c>
      <c r="C15" s="254">
        <v>40.97</v>
      </c>
      <c r="D15" s="254">
        <v>43.41</v>
      </c>
      <c r="E15" s="254">
        <v>46.59</v>
      </c>
      <c r="F15" s="254">
        <v>49.2281689</v>
      </c>
      <c r="G15" s="114">
        <v>81.187671300000005</v>
      </c>
      <c r="H15" s="114">
        <v>92.640858899999998</v>
      </c>
      <c r="I15" s="114">
        <v>95.905675599999995</v>
      </c>
      <c r="J15" s="230">
        <v>123.18840760000001</v>
      </c>
      <c r="K15" s="114">
        <v>148.56303389999999</v>
      </c>
      <c r="L15" s="252">
        <v>27.9373</v>
      </c>
      <c r="M15" s="252">
        <v>27.688499999999998</v>
      </c>
      <c r="N15" s="252">
        <v>17.02</v>
      </c>
      <c r="O15" s="115">
        <v>15.3181177</v>
      </c>
      <c r="P15" s="114">
        <v>12.5949881</v>
      </c>
      <c r="Q15" s="114">
        <v>36.953575800000003</v>
      </c>
      <c r="R15" s="114">
        <v>40.5523259</v>
      </c>
      <c r="S15" s="230">
        <v>41.6579725</v>
      </c>
      <c r="T15" s="114">
        <v>49.7411861</v>
      </c>
      <c r="U15" s="253">
        <v>68.19281343289046</v>
      </c>
      <c r="V15" s="254">
        <v>63.783690393918448</v>
      </c>
      <c r="W15" s="254">
        <v>36.53</v>
      </c>
      <c r="X15" s="116">
        <v>31.116570131049503</v>
      </c>
      <c r="Y15" s="253">
        <v>15.513424511782983</v>
      </c>
      <c r="Z15" s="254">
        <v>39.89</v>
      </c>
      <c r="AA15" s="252">
        <v>42.3</v>
      </c>
      <c r="AB15" s="272">
        <v>33.816471299203641</v>
      </c>
      <c r="AC15" s="272">
        <v>33.481536284107897</v>
      </c>
      <c r="AD15" s="254">
        <v>20.11</v>
      </c>
      <c r="AE15" s="259">
        <v>20.27</v>
      </c>
      <c r="AF15" s="254">
        <v>15.74</v>
      </c>
      <c r="AG15" s="254">
        <v>11.2239266</v>
      </c>
      <c r="AH15" s="114">
        <v>15.849788200000001</v>
      </c>
      <c r="AI15" s="114">
        <v>18.428479400000001</v>
      </c>
      <c r="AJ15" s="114">
        <v>19.986227899999999</v>
      </c>
      <c r="AK15" s="230">
        <v>25.223002999999999</v>
      </c>
      <c r="AL15" s="114">
        <v>34.632189400000001</v>
      </c>
      <c r="AM15" s="253">
        <v>11.5246</v>
      </c>
      <c r="AN15" s="253">
        <v>14.541600000000001</v>
      </c>
      <c r="AO15" s="253">
        <v>8.6369000000000007</v>
      </c>
      <c r="AP15" s="115">
        <v>5.9270471999999996</v>
      </c>
      <c r="AQ15" s="114">
        <v>8.9449947999999999</v>
      </c>
      <c r="AR15" s="114">
        <v>10.8666973</v>
      </c>
      <c r="AS15" s="114">
        <v>11.518037100000001</v>
      </c>
      <c r="AT15" s="230">
        <v>18.543886499999999</v>
      </c>
      <c r="AU15" s="114">
        <v>21.427019999999999</v>
      </c>
      <c r="AV15" s="252">
        <v>57.29840453829059</v>
      </c>
      <c r="AW15" s="253">
        <v>71.73951652688703</v>
      </c>
      <c r="AX15" s="254">
        <v>54.89</v>
      </c>
      <c r="AY15" s="116">
        <v>52.807251964744673</v>
      </c>
      <c r="AZ15" s="253">
        <v>56.436052565043106</v>
      </c>
      <c r="BA15" s="256">
        <v>58.97</v>
      </c>
      <c r="BB15" s="257">
        <v>57.62986971643609</v>
      </c>
      <c r="BC15" s="258">
        <v>73.519741087133838</v>
      </c>
      <c r="BD15" s="258">
        <v>61.870243756520907</v>
      </c>
      <c r="BE15" s="254">
        <v>1080.0899999999999</v>
      </c>
      <c r="BF15" s="259">
        <v>1165.8800000000001</v>
      </c>
      <c r="BG15" s="254">
        <v>1346.87</v>
      </c>
      <c r="BH15" s="254">
        <v>1837.3693994</v>
      </c>
      <c r="BI15" s="117">
        <v>2266.4077492000001</v>
      </c>
      <c r="BJ15" s="117">
        <v>2412.0575224999998</v>
      </c>
      <c r="BK15" s="117">
        <v>2766.8342938999999</v>
      </c>
      <c r="BL15" s="239">
        <v>2516.1588657000002</v>
      </c>
      <c r="BM15" s="117">
        <v>2700.6679613000001</v>
      </c>
      <c r="BN15" s="253">
        <v>931.36310000000003</v>
      </c>
      <c r="BO15" s="253">
        <v>923.73860000000002</v>
      </c>
      <c r="BP15" s="253">
        <v>1056.28</v>
      </c>
      <c r="BQ15" s="115">
        <v>1466.6291968999999</v>
      </c>
      <c r="BR15" s="117">
        <v>1805.234845</v>
      </c>
      <c r="BS15" s="117">
        <v>2031.9722188000001</v>
      </c>
      <c r="BT15" s="117">
        <v>2294.9942572</v>
      </c>
      <c r="BU15" s="239">
        <v>1869.4345357</v>
      </c>
      <c r="BV15" s="117">
        <v>1756.8447291</v>
      </c>
      <c r="BW15" s="252">
        <v>86.230242016234399</v>
      </c>
      <c r="BX15" s="253">
        <v>79.231018629704593</v>
      </c>
      <c r="BY15" s="254">
        <v>78.424913556878579</v>
      </c>
      <c r="BZ15" s="116">
        <v>79.8222283106997</v>
      </c>
      <c r="CA15" s="114">
        <v>79.651812240635621</v>
      </c>
      <c r="CB15" s="118">
        <v>84.24</v>
      </c>
      <c r="CC15" s="254">
        <v>82.946574077809458</v>
      </c>
      <c r="CD15" s="298">
        <v>74.297158306811426</v>
      </c>
      <c r="CE15" s="298">
        <v>65.052229828887292</v>
      </c>
      <c r="CF15" s="254">
        <v>210.02</v>
      </c>
      <c r="CG15" s="259">
        <v>196.35</v>
      </c>
      <c r="CH15" s="254">
        <v>225.51</v>
      </c>
      <c r="CI15" s="254">
        <v>271.95</v>
      </c>
      <c r="CJ15" s="114">
        <v>339.15929999999997</v>
      </c>
      <c r="CK15" s="114">
        <v>428.5</v>
      </c>
      <c r="CL15" s="114">
        <v>480.53500000000003</v>
      </c>
      <c r="CM15" s="230">
        <v>483.45</v>
      </c>
      <c r="CN15" s="114">
        <v>485.75615579999999</v>
      </c>
      <c r="CO15" s="253">
        <v>129.59790000000001</v>
      </c>
      <c r="CP15" s="253">
        <v>102.95190000000001</v>
      </c>
      <c r="CQ15" s="253">
        <v>100.49</v>
      </c>
      <c r="CR15" s="115">
        <v>108.97</v>
      </c>
      <c r="CS15" s="114">
        <v>135.5264</v>
      </c>
      <c r="CT15" s="114">
        <v>151.26</v>
      </c>
      <c r="CU15" s="114">
        <v>195.41380000000001</v>
      </c>
      <c r="CV15" s="230">
        <v>373.93</v>
      </c>
      <c r="CW15" s="114">
        <v>568.7070344</v>
      </c>
      <c r="CX15" s="252">
        <v>61.708025839702238</v>
      </c>
      <c r="CY15" s="254">
        <v>52.432849503437737</v>
      </c>
      <c r="CZ15" s="254">
        <v>44.564579239004729</v>
      </c>
      <c r="DA15" s="116">
        <v>40.069865784151496</v>
      </c>
      <c r="DB15" s="253">
        <v>39.959511651309576</v>
      </c>
      <c r="DC15" s="253">
        <v>35.299999999999997</v>
      </c>
      <c r="DD15" s="254">
        <v>40.665882818108983</v>
      </c>
      <c r="DE15" s="298">
        <v>77.346157823973527</v>
      </c>
      <c r="DF15" s="298">
        <v>117.076650004237</v>
      </c>
      <c r="DG15" s="254">
        <v>80.180000000000007</v>
      </c>
      <c r="DH15" s="259">
        <v>56.19</v>
      </c>
      <c r="DI15" s="254">
        <v>56.09</v>
      </c>
      <c r="DJ15" s="254">
        <v>78.3</v>
      </c>
      <c r="DK15" s="27">
        <v>121.2372</v>
      </c>
      <c r="DL15" s="27">
        <v>98.271299999999997</v>
      </c>
      <c r="DM15" s="27">
        <v>73.741266499999995</v>
      </c>
      <c r="DN15" s="241">
        <v>54.44</v>
      </c>
      <c r="DO15" s="27">
        <v>67.470271999999994</v>
      </c>
      <c r="DP15" s="253">
        <v>36.978200000000001</v>
      </c>
      <c r="DQ15" s="253">
        <v>37.201400000000014</v>
      </c>
      <c r="DR15" s="253">
        <v>41.35</v>
      </c>
      <c r="DS15" s="119">
        <v>42.12</v>
      </c>
      <c r="DT15" s="27">
        <v>86.061499999999995</v>
      </c>
      <c r="DU15" s="27">
        <v>104.44789999999999</v>
      </c>
      <c r="DV15" s="27">
        <v>34.802970699999406</v>
      </c>
      <c r="DW15" s="241">
        <v>16.27</v>
      </c>
      <c r="DX15" s="27">
        <v>19.292438400000002</v>
      </c>
      <c r="DY15" s="260">
        <v>46.121455752802916</v>
      </c>
      <c r="DZ15" s="253">
        <v>66.206442427478223</v>
      </c>
      <c r="EA15" s="253">
        <v>73.72</v>
      </c>
      <c r="EB15" s="120">
        <v>53.793103448275858</v>
      </c>
      <c r="EC15" s="253">
        <v>70.986050486154411</v>
      </c>
      <c r="ED15" s="259">
        <v>106.29</v>
      </c>
      <c r="EE15" s="254">
        <v>47.196057718915647</v>
      </c>
      <c r="EF15" s="298">
        <v>29.886113152094051</v>
      </c>
      <c r="EG15" s="298">
        <v>28.5939834361421</v>
      </c>
      <c r="EH15" s="259">
        <v>1431.36</v>
      </c>
      <c r="EI15" s="259">
        <v>1482.1</v>
      </c>
      <c r="EJ15" s="254">
        <v>1690.7999999999997</v>
      </c>
      <c r="EK15" s="254">
        <v>2248.0714949000003</v>
      </c>
      <c r="EL15" s="117">
        <v>2823.8417086999998</v>
      </c>
      <c r="EM15" s="117">
        <v>3049.8981607999995</v>
      </c>
      <c r="EN15" s="117">
        <v>3437.0024638999998</v>
      </c>
      <c r="EO15" s="239">
        <v>3202.4602763000003</v>
      </c>
      <c r="EP15" s="117">
        <v>3437.0896124000001</v>
      </c>
      <c r="EQ15" s="253">
        <v>1137.4011</v>
      </c>
      <c r="ER15" s="253">
        <v>1106.1220000000001</v>
      </c>
      <c r="ES15" s="253">
        <v>1223.78</v>
      </c>
      <c r="ET15" s="115">
        <v>1638.9643617999998</v>
      </c>
      <c r="EU15" s="117">
        <v>2048.3627278999998</v>
      </c>
      <c r="EV15" s="117">
        <v>2335.5003919000001</v>
      </c>
      <c r="EW15" s="117">
        <v>2577.2813908999997</v>
      </c>
      <c r="EX15" s="239">
        <v>2319.8363947000003</v>
      </c>
      <c r="EY15" s="117">
        <v>2416.0124080000001</v>
      </c>
      <c r="EZ15" s="254">
        <v>79.462759884158046</v>
      </c>
      <c r="FA15" s="254">
        <v>74.632076108224808</v>
      </c>
      <c r="FB15" s="254">
        <v>72.3780778870956</v>
      </c>
      <c r="FC15" s="116">
        <v>72.905348674104559</v>
      </c>
      <c r="FD15" s="253">
        <v>72.53815685168118</v>
      </c>
      <c r="FE15" s="253">
        <v>76.58</v>
      </c>
      <c r="FF15" s="257">
        <v>74.986311996283334</v>
      </c>
      <c r="FG15" s="257">
        <v>72.439193449738909</v>
      </c>
      <c r="FH15" s="257">
        <v>70.292389214518707</v>
      </c>
    </row>
    <row r="16" spans="1:164" ht="17.100000000000001" customHeight="1" x14ac:dyDescent="0.2">
      <c r="A16" s="324">
        <v>9</v>
      </c>
      <c r="B16" s="341" t="s">
        <v>31</v>
      </c>
      <c r="C16" s="114">
        <v>0</v>
      </c>
      <c r="D16" s="114">
        <v>0</v>
      </c>
      <c r="E16" s="114">
        <v>0</v>
      </c>
      <c r="F16" s="114">
        <v>0</v>
      </c>
      <c r="G16" s="114">
        <v>0</v>
      </c>
      <c r="H16" s="114">
        <v>0.616502047000001</v>
      </c>
      <c r="I16" s="114">
        <v>1.5143613</v>
      </c>
      <c r="J16" s="230">
        <v>1.76</v>
      </c>
      <c r="K16" s="114">
        <v>3.3468341210000001</v>
      </c>
      <c r="L16" s="114">
        <v>0</v>
      </c>
      <c r="M16" s="114">
        <v>0</v>
      </c>
      <c r="N16" s="114">
        <v>0</v>
      </c>
      <c r="O16" s="114">
        <v>0</v>
      </c>
      <c r="P16" s="114">
        <v>0</v>
      </c>
      <c r="Q16" s="114">
        <v>1.456529991</v>
      </c>
      <c r="R16" s="114">
        <v>1.8263982000000001</v>
      </c>
      <c r="S16" s="230">
        <v>2.38</v>
      </c>
      <c r="T16" s="114">
        <v>2.6044361</v>
      </c>
      <c r="U16" s="114">
        <v>0</v>
      </c>
      <c r="V16" s="114">
        <v>0</v>
      </c>
      <c r="W16" s="114">
        <v>0</v>
      </c>
      <c r="X16" s="114">
        <v>0</v>
      </c>
      <c r="Y16" s="114">
        <v>0</v>
      </c>
      <c r="Z16" s="123">
        <v>236.26</v>
      </c>
      <c r="AA16" s="252">
        <v>120.6</v>
      </c>
      <c r="AB16" s="272">
        <v>135.22727272727272</v>
      </c>
      <c r="AC16" s="272">
        <v>77.8179021080919</v>
      </c>
      <c r="AD16" s="114">
        <v>0</v>
      </c>
      <c r="AE16" s="114">
        <v>0</v>
      </c>
      <c r="AF16" s="114">
        <v>0</v>
      </c>
      <c r="AG16" s="114">
        <v>0</v>
      </c>
      <c r="AH16" s="114">
        <v>0</v>
      </c>
      <c r="AI16" s="114">
        <v>-2.3064920000000402E-3</v>
      </c>
      <c r="AJ16" s="114">
        <v>-7.9353800000000002E-2</v>
      </c>
      <c r="AK16" s="230">
        <v>0.03</v>
      </c>
      <c r="AL16" s="114">
        <v>0.34892707699999997</v>
      </c>
      <c r="AM16" s="114">
        <v>0</v>
      </c>
      <c r="AN16" s="114">
        <v>0</v>
      </c>
      <c r="AO16" s="114">
        <v>0</v>
      </c>
      <c r="AP16" s="114">
        <v>0</v>
      </c>
      <c r="AQ16" s="114">
        <v>0</v>
      </c>
      <c r="AR16" s="114">
        <v>2.363E-4</v>
      </c>
      <c r="AS16" s="114">
        <v>6.5065799999999993E-2</v>
      </c>
      <c r="AT16" s="230">
        <v>0.57999999999999996</v>
      </c>
      <c r="AU16" s="114">
        <v>0.59639819999999999</v>
      </c>
      <c r="AV16" s="252"/>
      <c r="AW16" s="253"/>
      <c r="AX16" s="254"/>
      <c r="AY16" s="116"/>
      <c r="AZ16" s="253"/>
      <c r="BA16" s="256">
        <v>-10.24</v>
      </c>
      <c r="BB16" s="257">
        <v>-81.994561067018836</v>
      </c>
      <c r="BC16" s="258">
        <v>1933.3333333333333</v>
      </c>
      <c r="BD16" s="258">
        <v>170.92345057531898</v>
      </c>
      <c r="BE16" s="114">
        <v>0</v>
      </c>
      <c r="BF16" s="114">
        <v>0</v>
      </c>
      <c r="BG16" s="114">
        <v>0</v>
      </c>
      <c r="BH16" s="114">
        <v>0</v>
      </c>
      <c r="BI16" s="114">
        <v>0</v>
      </c>
      <c r="BJ16" s="114">
        <v>5.0119879459999996</v>
      </c>
      <c r="BK16" s="114">
        <v>40.371068694999998</v>
      </c>
      <c r="BL16" s="230">
        <v>91.057351362000006</v>
      </c>
      <c r="BM16" s="114">
        <v>128.09686330700001</v>
      </c>
      <c r="BN16" s="114">
        <v>0</v>
      </c>
      <c r="BO16" s="114">
        <v>0</v>
      </c>
      <c r="BP16" s="114">
        <v>0</v>
      </c>
      <c r="BQ16" s="114">
        <v>0</v>
      </c>
      <c r="BR16" s="114">
        <v>0</v>
      </c>
      <c r="BS16" s="114">
        <v>7.2551766999999998</v>
      </c>
      <c r="BT16" s="114">
        <v>46.955592000000003</v>
      </c>
      <c r="BU16" s="230">
        <v>85.027394654999995</v>
      </c>
      <c r="BV16" s="114">
        <v>108.385689903</v>
      </c>
      <c r="BW16" s="114">
        <v>0</v>
      </c>
      <c r="BX16" s="114">
        <v>0</v>
      </c>
      <c r="BY16" s="114">
        <v>0</v>
      </c>
      <c r="BZ16" s="114">
        <v>0</v>
      </c>
      <c r="CA16" s="114">
        <v>0</v>
      </c>
      <c r="CB16" s="118">
        <v>144.76</v>
      </c>
      <c r="CC16" s="254">
        <v>116.31000495613708</v>
      </c>
      <c r="CD16" s="298">
        <v>93.377847458984604</v>
      </c>
      <c r="CE16" s="298">
        <v>84.612290344096991</v>
      </c>
      <c r="CF16" s="114">
        <v>0</v>
      </c>
      <c r="CG16" s="114">
        <v>0</v>
      </c>
      <c r="CH16" s="114">
        <v>0</v>
      </c>
      <c r="CI16" s="114">
        <v>0</v>
      </c>
      <c r="CJ16" s="124">
        <v>2.7312E-3</v>
      </c>
      <c r="CK16" s="124">
        <v>22.766125444999901</v>
      </c>
      <c r="CL16" s="124">
        <v>50.369484106999998</v>
      </c>
      <c r="CM16" s="240">
        <v>69.339478744000004</v>
      </c>
      <c r="CN16" s="124">
        <v>100.415098026</v>
      </c>
      <c r="CO16" s="114">
        <v>0</v>
      </c>
      <c r="CP16" s="114">
        <v>0</v>
      </c>
      <c r="CQ16" s="114">
        <v>0</v>
      </c>
      <c r="CR16" s="114">
        <v>0</v>
      </c>
      <c r="CS16" s="114">
        <v>1.9120000000000001E-3</v>
      </c>
      <c r="CT16" s="114">
        <v>26.260636841</v>
      </c>
      <c r="CU16" s="114">
        <v>56.942267950000002</v>
      </c>
      <c r="CV16" s="230">
        <v>77.36120717</v>
      </c>
      <c r="CW16" s="114">
        <v>112.790750425</v>
      </c>
      <c r="CX16" s="114">
        <v>0</v>
      </c>
      <c r="CY16" s="114">
        <v>0</v>
      </c>
      <c r="CZ16" s="114">
        <v>0</v>
      </c>
      <c r="DA16" s="114">
        <v>0</v>
      </c>
      <c r="DB16" s="253">
        <v>70.005858230814297</v>
      </c>
      <c r="DC16" s="253">
        <v>115.35</v>
      </c>
      <c r="DD16" s="254">
        <v>113.04913869881499</v>
      </c>
      <c r="DE16" s="298">
        <v>111.56877520757844</v>
      </c>
      <c r="DF16" s="298">
        <v>112.32449366906501</v>
      </c>
      <c r="DG16" s="27">
        <v>0</v>
      </c>
      <c r="DH16" s="27">
        <v>0</v>
      </c>
      <c r="DI16" s="27">
        <v>0</v>
      </c>
      <c r="DJ16" s="27">
        <v>0</v>
      </c>
      <c r="DK16" s="27">
        <v>2.2399999999999999E-5</v>
      </c>
      <c r="DL16" s="27">
        <v>0.422066092000001</v>
      </c>
      <c r="DM16" s="27">
        <v>0.37033698199999998</v>
      </c>
      <c r="DN16" s="241">
        <v>0.30583518699999901</v>
      </c>
      <c r="DO16" s="27">
        <v>0.52400403800000095</v>
      </c>
      <c r="DP16" s="27">
        <v>0</v>
      </c>
      <c r="DQ16" s="27">
        <v>0</v>
      </c>
      <c r="DR16" s="27">
        <v>0</v>
      </c>
      <c r="DS16" s="27">
        <v>0</v>
      </c>
      <c r="DT16" s="27">
        <v>1.7900000000000001E-5</v>
      </c>
      <c r="DU16" s="27">
        <v>0.33566150099999997</v>
      </c>
      <c r="DV16" s="27">
        <v>0.36537799999999998</v>
      </c>
      <c r="DW16" s="241">
        <v>0.41252699100000001</v>
      </c>
      <c r="DX16" s="27">
        <v>0.70409630899999998</v>
      </c>
      <c r="DY16" s="27">
        <v>0</v>
      </c>
      <c r="DZ16" s="27">
        <v>0</v>
      </c>
      <c r="EA16" s="27">
        <v>0</v>
      </c>
      <c r="EB16" s="27">
        <v>0</v>
      </c>
      <c r="EC16" s="253">
        <v>79.910714285714292</v>
      </c>
      <c r="ED16" s="259">
        <v>79.53</v>
      </c>
      <c r="EE16" s="254">
        <v>98.660954146891015</v>
      </c>
      <c r="EF16" s="298">
        <v>134.88539204614193</v>
      </c>
      <c r="EG16" s="298">
        <v>134.36848916038301</v>
      </c>
      <c r="EH16" s="254"/>
      <c r="EI16" s="254"/>
      <c r="EJ16" s="254"/>
      <c r="EK16" s="254"/>
      <c r="EL16" s="114">
        <v>2.7536000000000001E-3</v>
      </c>
      <c r="EM16" s="114">
        <v>28.814375037999902</v>
      </c>
      <c r="EN16" s="114">
        <v>92.545897283999992</v>
      </c>
      <c r="EO16" s="230">
        <v>162.49266529299999</v>
      </c>
      <c r="EP16" s="114">
        <v>232.73172656899999</v>
      </c>
      <c r="EQ16" s="253"/>
      <c r="ER16" s="253"/>
      <c r="ES16" s="253"/>
      <c r="ET16" s="115"/>
      <c r="EU16" s="117">
        <v>1.9299E-3</v>
      </c>
      <c r="EV16" s="117">
        <v>35.308241332999998</v>
      </c>
      <c r="EW16" s="117">
        <v>106.15470195000002</v>
      </c>
      <c r="EX16" s="239">
        <v>165.761128816</v>
      </c>
      <c r="EY16" s="117">
        <v>225.081370937</v>
      </c>
      <c r="EZ16" s="254"/>
      <c r="FA16" s="254"/>
      <c r="FB16" s="254"/>
      <c r="FC16" s="116"/>
      <c r="FD16" s="253">
        <v>70.086432306798372</v>
      </c>
      <c r="FE16" s="253">
        <v>122.54</v>
      </c>
      <c r="FF16" s="257">
        <v>114.70492487013016</v>
      </c>
      <c r="FG16" s="257">
        <v>102.0114529582652</v>
      </c>
      <c r="FH16" s="257">
        <v>96.71280072348371</v>
      </c>
    </row>
    <row r="17" spans="1:164" ht="17.100000000000001" customHeight="1" x14ac:dyDescent="0.2">
      <c r="A17" s="324">
        <v>10</v>
      </c>
      <c r="B17" s="341" t="s">
        <v>33</v>
      </c>
      <c r="C17" s="254">
        <v>30.46</v>
      </c>
      <c r="D17" s="254">
        <v>33.47</v>
      </c>
      <c r="E17" s="254">
        <v>43.15</v>
      </c>
      <c r="F17" s="254">
        <v>45.723058299999998</v>
      </c>
      <c r="G17" s="114">
        <v>53.563353300000003</v>
      </c>
      <c r="H17" s="114">
        <v>64.934815799999996</v>
      </c>
      <c r="I17" s="114">
        <v>91.776600000000002</v>
      </c>
      <c r="J17" s="230">
        <v>131.23437580000001</v>
      </c>
      <c r="K17" s="114">
        <v>162.6065533</v>
      </c>
      <c r="L17" s="252">
        <v>20.203499999999998</v>
      </c>
      <c r="M17" s="252">
        <v>16.491600000000002</v>
      </c>
      <c r="N17" s="252">
        <v>34.659999999999997</v>
      </c>
      <c r="O17" s="115">
        <v>32.943210700000002</v>
      </c>
      <c r="P17" s="114">
        <v>30.605519600000001</v>
      </c>
      <c r="Q17" s="114">
        <v>44.7138554</v>
      </c>
      <c r="R17" s="114">
        <v>48.856887499999999</v>
      </c>
      <c r="S17" s="230">
        <v>78.239215900000005</v>
      </c>
      <c r="T17" s="114">
        <v>106.9247924</v>
      </c>
      <c r="U17" s="253">
        <v>66.330802036856454</v>
      </c>
      <c r="V17" s="254">
        <v>49.272781595458618</v>
      </c>
      <c r="W17" s="254">
        <v>80.319999999999993</v>
      </c>
      <c r="X17" s="116">
        <v>72.049447094837063</v>
      </c>
      <c r="Y17" s="253">
        <v>57.138916282151442</v>
      </c>
      <c r="Z17" s="254">
        <v>68.86</v>
      </c>
      <c r="AA17" s="252">
        <v>53.2</v>
      </c>
      <c r="AB17" s="272">
        <v>59.617928170920599</v>
      </c>
      <c r="AC17" s="272">
        <v>65.756754712542104</v>
      </c>
      <c r="AD17" s="254">
        <v>21.24</v>
      </c>
      <c r="AE17" s="259">
        <v>39.99</v>
      </c>
      <c r="AF17" s="254">
        <v>48.66</v>
      </c>
      <c r="AG17" s="254">
        <v>46.996874699999999</v>
      </c>
      <c r="AH17" s="114">
        <v>43.893081799999997</v>
      </c>
      <c r="AI17" s="114">
        <v>48.270480599999999</v>
      </c>
      <c r="AJ17" s="114">
        <v>52.343456799999998</v>
      </c>
      <c r="AK17" s="230">
        <v>49.221978200000002</v>
      </c>
      <c r="AL17" s="114">
        <v>66.857860200000005</v>
      </c>
      <c r="AM17" s="253">
        <v>18.464600000000001</v>
      </c>
      <c r="AN17" s="253">
        <v>26.386100000000003</v>
      </c>
      <c r="AO17" s="253">
        <v>36.729299999999995</v>
      </c>
      <c r="AP17" s="115">
        <v>30.599824900000002</v>
      </c>
      <c r="AQ17" s="114">
        <v>24.476552099999999</v>
      </c>
      <c r="AR17" s="114">
        <v>35.2959788</v>
      </c>
      <c r="AS17" s="114">
        <v>30.6864983</v>
      </c>
      <c r="AT17" s="230">
        <v>41.923333900000003</v>
      </c>
      <c r="AU17" s="114">
        <v>41.365971700000003</v>
      </c>
      <c r="AV17" s="252">
        <v>86.919640545489642</v>
      </c>
      <c r="AW17" s="253">
        <v>65.981745436359091</v>
      </c>
      <c r="AX17" s="254">
        <v>75.48</v>
      </c>
      <c r="AY17" s="116">
        <v>65.110339986075715</v>
      </c>
      <c r="AZ17" s="253">
        <v>55.76403181605717</v>
      </c>
      <c r="BA17" s="256">
        <v>73.12</v>
      </c>
      <c r="BB17" s="257">
        <v>58.625280361689832</v>
      </c>
      <c r="BC17" s="258">
        <v>85.171980958701084</v>
      </c>
      <c r="BD17" s="258">
        <v>61.871516043524203</v>
      </c>
      <c r="BE17" s="254">
        <v>615.11</v>
      </c>
      <c r="BF17" s="259">
        <v>749.33</v>
      </c>
      <c r="BG17" s="254">
        <v>741.06</v>
      </c>
      <c r="BH17" s="254">
        <v>701.8488049</v>
      </c>
      <c r="BI17" s="117">
        <v>818.92015990000004</v>
      </c>
      <c r="BJ17" s="117">
        <v>1013.7306145</v>
      </c>
      <c r="BK17" s="117">
        <v>1165.3589308999999</v>
      </c>
      <c r="BL17" s="239">
        <v>1230.1318423</v>
      </c>
      <c r="BM17" s="117">
        <v>1399.8200715</v>
      </c>
      <c r="BN17" s="253">
        <v>483.4622</v>
      </c>
      <c r="BO17" s="253">
        <v>602.76239999999996</v>
      </c>
      <c r="BP17" s="253">
        <v>586.82000000000005</v>
      </c>
      <c r="BQ17" s="115">
        <v>573.93471869999996</v>
      </c>
      <c r="BR17" s="114">
        <v>626.50416440000004</v>
      </c>
      <c r="BS17" s="114">
        <v>702.82182049999994</v>
      </c>
      <c r="BT17" s="114">
        <v>672.11214440000003</v>
      </c>
      <c r="BU17" s="230">
        <v>813.47418770000002</v>
      </c>
      <c r="BV17" s="114">
        <v>873.92548980000004</v>
      </c>
      <c r="BW17" s="252">
        <v>78.597068384633232</v>
      </c>
      <c r="BX17" s="253">
        <v>80.440179894038678</v>
      </c>
      <c r="BY17" s="254">
        <v>79.185884519618014</v>
      </c>
      <c r="BZ17" s="116">
        <v>81.774694876309525</v>
      </c>
      <c r="CA17" s="114">
        <v>76.503692921237118</v>
      </c>
      <c r="CB17" s="118">
        <v>69.33</v>
      </c>
      <c r="CC17" s="254">
        <v>57.674260399835077</v>
      </c>
      <c r="CD17" s="298">
        <v>66.129024526268054</v>
      </c>
      <c r="CE17" s="298">
        <v>62.4312729609264</v>
      </c>
      <c r="CF17" s="254">
        <v>144.01</v>
      </c>
      <c r="CG17" s="259">
        <v>141.91999999999999</v>
      </c>
      <c r="CH17" s="254">
        <v>150.62</v>
      </c>
      <c r="CI17" s="254">
        <v>174.31425160000001</v>
      </c>
      <c r="CJ17" s="114">
        <v>256.25606620000002</v>
      </c>
      <c r="CK17" s="114">
        <v>238.11155460000001</v>
      </c>
      <c r="CL17" s="114">
        <v>317.77179999999998</v>
      </c>
      <c r="CM17" s="230">
        <v>378.23</v>
      </c>
      <c r="CN17" s="114">
        <v>419.12310739999998</v>
      </c>
      <c r="CO17" s="253">
        <v>122.18170000000001</v>
      </c>
      <c r="CP17" s="253">
        <v>113.44720000000001</v>
      </c>
      <c r="CQ17" s="253">
        <v>122.8107</v>
      </c>
      <c r="CR17" s="115">
        <v>137.59434469999999</v>
      </c>
      <c r="CS17" s="114">
        <v>224.03006060000001</v>
      </c>
      <c r="CT17" s="114">
        <v>174.5692775</v>
      </c>
      <c r="CU17" s="114">
        <v>198.68129999999999</v>
      </c>
      <c r="CV17" s="230">
        <v>340.55550490000002</v>
      </c>
      <c r="CW17" s="114">
        <v>370.68789859999998</v>
      </c>
      <c r="CX17" s="252">
        <v>84.845221081987205</v>
      </c>
      <c r="CY17" s="254">
        <v>79.93742953776777</v>
      </c>
      <c r="CZ17" s="254">
        <v>81.540000000000006</v>
      </c>
      <c r="DA17" s="116">
        <v>78.934650171770571</v>
      </c>
      <c r="DB17" s="253">
        <v>87.424295518979605</v>
      </c>
      <c r="DC17" s="253">
        <v>73.31</v>
      </c>
      <c r="DD17" s="254">
        <v>62.523263549503142</v>
      </c>
      <c r="DE17" s="298">
        <v>90.039263120323611</v>
      </c>
      <c r="DF17" s="298">
        <v>88.443679686270599</v>
      </c>
      <c r="DG17" s="254">
        <v>78.09</v>
      </c>
      <c r="DH17" s="259">
        <v>114.41</v>
      </c>
      <c r="DI17" s="254">
        <v>97.95</v>
      </c>
      <c r="DJ17" s="254">
        <v>119.02090750000001</v>
      </c>
      <c r="DK17" s="27">
        <v>107.5506058</v>
      </c>
      <c r="DL17" s="27">
        <v>209.66743690000001</v>
      </c>
      <c r="DM17" s="27">
        <v>354.33043040000007</v>
      </c>
      <c r="DN17" s="241">
        <v>393.55</v>
      </c>
      <c r="DO17" s="27">
        <v>405.05694679999999</v>
      </c>
      <c r="DP17" s="253">
        <v>39.536700000000003</v>
      </c>
      <c r="DQ17" s="253">
        <v>75.19229999999996</v>
      </c>
      <c r="DR17" s="253">
        <v>97.88</v>
      </c>
      <c r="DS17" s="119">
        <v>66.016173300000005</v>
      </c>
      <c r="DT17" s="27">
        <v>63.735685799999999</v>
      </c>
      <c r="DU17" s="27">
        <v>125.6481493</v>
      </c>
      <c r="DV17" s="27">
        <v>231.78751970000005</v>
      </c>
      <c r="DW17" s="241">
        <v>174.60568749999999</v>
      </c>
      <c r="DX17" s="27">
        <v>290.56521579999998</v>
      </c>
      <c r="DY17" s="260">
        <v>50.627648281346232</v>
      </c>
      <c r="DZ17" s="253">
        <v>65.72179005331698</v>
      </c>
      <c r="EA17" s="253">
        <v>99.927003722299617</v>
      </c>
      <c r="EB17" s="120">
        <v>55.466030873609327</v>
      </c>
      <c r="EC17" s="253">
        <v>59.2611127811983</v>
      </c>
      <c r="ED17" s="259">
        <v>59.93</v>
      </c>
      <c r="EE17" s="254">
        <v>65.415640265030987</v>
      </c>
      <c r="EF17" s="298">
        <v>44.366837123618339</v>
      </c>
      <c r="EG17" s="298">
        <v>71.734411197117097</v>
      </c>
      <c r="EH17" s="259">
        <v>888.92</v>
      </c>
      <c r="EI17" s="259">
        <v>1079.1199999999999</v>
      </c>
      <c r="EJ17" s="254">
        <v>1081.4399999999998</v>
      </c>
      <c r="EK17" s="254">
        <v>1087.9038969999999</v>
      </c>
      <c r="EL17" s="117">
        <v>1280.1832670000001</v>
      </c>
      <c r="EM17" s="117">
        <v>1574.7149024</v>
      </c>
      <c r="EN17" s="117">
        <v>1981.5812180999999</v>
      </c>
      <c r="EO17" s="239">
        <v>2182.3681963000004</v>
      </c>
      <c r="EP17" s="117">
        <v>2453.4645392000002</v>
      </c>
      <c r="EQ17" s="253">
        <v>683.84870000000001</v>
      </c>
      <c r="ER17" s="253">
        <v>834.27959999999996</v>
      </c>
      <c r="ES17" s="253">
        <v>878.9</v>
      </c>
      <c r="ET17" s="115">
        <v>841.08827229999997</v>
      </c>
      <c r="EU17" s="117">
        <v>969.35198250000008</v>
      </c>
      <c r="EV17" s="117">
        <v>1083.0490814999998</v>
      </c>
      <c r="EW17" s="117">
        <v>1182.1243499000002</v>
      </c>
      <c r="EX17" s="239">
        <v>1448.7979299000001</v>
      </c>
      <c r="EY17" s="117">
        <v>1683.4693683</v>
      </c>
      <c r="EZ17" s="254">
        <v>76.930692946785811</v>
      </c>
      <c r="FA17" s="254">
        <v>77.311105345095996</v>
      </c>
      <c r="FB17" s="254">
        <v>81.270730442067574</v>
      </c>
      <c r="FC17" s="116">
        <v>77.312736411679566</v>
      </c>
      <c r="FD17" s="253">
        <v>75.719782275516962</v>
      </c>
      <c r="FE17" s="253">
        <v>68.78</v>
      </c>
      <c r="FF17" s="257">
        <v>59.655609323621704</v>
      </c>
      <c r="FG17" s="257">
        <v>66.386503082124293</v>
      </c>
      <c r="FH17" s="257">
        <v>68.616005709580293</v>
      </c>
    </row>
    <row r="18" spans="1:164" ht="17.100000000000001" customHeight="1" x14ac:dyDescent="0.2">
      <c r="A18" s="324">
        <v>11</v>
      </c>
      <c r="B18" s="341" t="s">
        <v>37</v>
      </c>
      <c r="C18" s="114">
        <v>0</v>
      </c>
      <c r="D18" s="114">
        <v>0</v>
      </c>
      <c r="E18" s="114">
        <v>0</v>
      </c>
      <c r="F18" s="114">
        <v>0</v>
      </c>
      <c r="G18" s="114">
        <v>-0.1</v>
      </c>
      <c r="H18" s="114">
        <v>3.5599864999999999</v>
      </c>
      <c r="I18" s="114">
        <v>15.062200000000001</v>
      </c>
      <c r="J18" s="230">
        <v>37.342090300000002</v>
      </c>
      <c r="K18" s="114">
        <v>56.948418400000001</v>
      </c>
      <c r="L18" s="114">
        <v>0</v>
      </c>
      <c r="M18" s="114">
        <v>0</v>
      </c>
      <c r="N18" s="114">
        <v>0</v>
      </c>
      <c r="O18" s="114">
        <v>0</v>
      </c>
      <c r="P18" s="114">
        <v>0.19</v>
      </c>
      <c r="Q18" s="114">
        <v>7.8452393999999996</v>
      </c>
      <c r="R18" s="114">
        <v>11.765499999999999</v>
      </c>
      <c r="S18" s="230">
        <v>21.751643099999999</v>
      </c>
      <c r="T18" s="114">
        <v>29.389303699999999</v>
      </c>
      <c r="U18" s="114">
        <v>0</v>
      </c>
      <c r="V18" s="114">
        <v>0</v>
      </c>
      <c r="W18" s="114">
        <v>0</v>
      </c>
      <c r="X18" s="114">
        <v>0</v>
      </c>
      <c r="Y18" s="114">
        <v>-184.37</v>
      </c>
      <c r="Z18" s="123">
        <v>220.37</v>
      </c>
      <c r="AA18" s="252">
        <v>78.099999999999994</v>
      </c>
      <c r="AB18" s="272">
        <v>58.249666596730385</v>
      </c>
      <c r="AC18" s="272">
        <v>51.606883080707298</v>
      </c>
      <c r="AD18" s="114">
        <v>0</v>
      </c>
      <c r="AE18" s="114">
        <v>0</v>
      </c>
      <c r="AF18" s="114">
        <v>0</v>
      </c>
      <c r="AG18" s="114">
        <v>0</v>
      </c>
      <c r="AH18" s="114">
        <v>0</v>
      </c>
      <c r="AI18" s="114">
        <v>4.5342000000000004E-3</v>
      </c>
      <c r="AJ18" s="114">
        <v>4.4499999999999998E-2</v>
      </c>
      <c r="AK18" s="230">
        <v>0.88</v>
      </c>
      <c r="AL18" s="114">
        <v>0.98825980000000002</v>
      </c>
      <c r="AM18" s="114">
        <v>0</v>
      </c>
      <c r="AN18" s="114">
        <v>0</v>
      </c>
      <c r="AO18" s="114">
        <v>0</v>
      </c>
      <c r="AP18" s="114">
        <v>0</v>
      </c>
      <c r="AQ18" s="114">
        <v>0</v>
      </c>
      <c r="AR18" s="114">
        <v>4.1564999999999996E-3</v>
      </c>
      <c r="AS18" s="114">
        <v>2.24E-2</v>
      </c>
      <c r="AT18" s="230">
        <v>1.1499999999999999</v>
      </c>
      <c r="AU18" s="114">
        <v>0.31185859999999999</v>
      </c>
      <c r="AV18" s="114">
        <v>0</v>
      </c>
      <c r="AW18" s="114">
        <v>0</v>
      </c>
      <c r="AX18" s="114">
        <v>0</v>
      </c>
      <c r="AY18" s="114">
        <v>0</v>
      </c>
      <c r="AZ18" s="114">
        <v>0</v>
      </c>
      <c r="BA18" s="256">
        <v>91.67</v>
      </c>
      <c r="BB18" s="257">
        <v>50.337078651685395</v>
      </c>
      <c r="BC18" s="258">
        <v>130.68181818181816</v>
      </c>
      <c r="BD18" s="258">
        <v>31.556337716053999</v>
      </c>
      <c r="BE18" s="114">
        <v>0</v>
      </c>
      <c r="BF18" s="114">
        <v>0</v>
      </c>
      <c r="BG18" s="114">
        <v>0</v>
      </c>
      <c r="BH18" s="114">
        <v>0</v>
      </c>
      <c r="BI18" s="117">
        <v>5.7046999999999999</v>
      </c>
      <c r="BJ18" s="117">
        <v>353.11859950000002</v>
      </c>
      <c r="BK18" s="117">
        <v>1149.5662</v>
      </c>
      <c r="BL18" s="239">
        <v>1703.0203434</v>
      </c>
      <c r="BM18" s="117">
        <v>2708.8939970000001</v>
      </c>
      <c r="BN18" s="114">
        <v>0</v>
      </c>
      <c r="BO18" s="114">
        <v>0</v>
      </c>
      <c r="BP18" s="114">
        <v>0</v>
      </c>
      <c r="BQ18" s="114">
        <v>0</v>
      </c>
      <c r="BR18" s="114">
        <v>5.7046999999999999</v>
      </c>
      <c r="BS18" s="114">
        <v>267.98973089999998</v>
      </c>
      <c r="BT18" s="114">
        <v>860.11779999999999</v>
      </c>
      <c r="BU18" s="230">
        <v>1275.6632294000001</v>
      </c>
      <c r="BV18" s="114">
        <v>2154.7169362</v>
      </c>
      <c r="BW18" s="114">
        <v>0</v>
      </c>
      <c r="BX18" s="114">
        <v>0</v>
      </c>
      <c r="BY18" s="114">
        <v>0</v>
      </c>
      <c r="BZ18" s="114">
        <v>0</v>
      </c>
      <c r="CA18" s="114">
        <v>100</v>
      </c>
      <c r="CB18" s="118">
        <v>75.89</v>
      </c>
      <c r="CC18" s="254">
        <v>74.821075985010694</v>
      </c>
      <c r="CD18" s="298">
        <v>74.905930181268317</v>
      </c>
      <c r="CE18" s="298">
        <v>79.542312788402597</v>
      </c>
      <c r="CF18" s="114">
        <v>0</v>
      </c>
      <c r="CG18" s="114">
        <v>0</v>
      </c>
      <c r="CH18" s="114">
        <v>0</v>
      </c>
      <c r="CI18" s="114">
        <v>0</v>
      </c>
      <c r="CJ18" s="114">
        <v>1.7561</v>
      </c>
      <c r="CK18" s="114">
        <v>14.5262061</v>
      </c>
      <c r="CL18" s="114">
        <v>28.2865</v>
      </c>
      <c r="CM18" s="230">
        <v>110.0434978</v>
      </c>
      <c r="CN18" s="114">
        <v>392.855322</v>
      </c>
      <c r="CO18" s="114">
        <v>0</v>
      </c>
      <c r="CP18" s="114">
        <v>0</v>
      </c>
      <c r="CQ18" s="114">
        <v>0</v>
      </c>
      <c r="CR18" s="114">
        <v>0</v>
      </c>
      <c r="CS18" s="114">
        <v>1.0537000000000001</v>
      </c>
      <c r="CT18" s="114">
        <v>1.5628457</v>
      </c>
      <c r="CU18" s="114">
        <v>14.661799999999999</v>
      </c>
      <c r="CV18" s="230">
        <v>70.209256400000001</v>
      </c>
      <c r="CW18" s="114">
        <v>192.2512984</v>
      </c>
      <c r="CX18" s="114">
        <v>0</v>
      </c>
      <c r="CY18" s="114">
        <v>0</v>
      </c>
      <c r="CZ18" s="114">
        <v>0</v>
      </c>
      <c r="DA18" s="114">
        <v>0</v>
      </c>
      <c r="DB18" s="253">
        <v>59.65</v>
      </c>
      <c r="DC18" s="253">
        <v>10.76</v>
      </c>
      <c r="DD18" s="254">
        <v>51.833206653350537</v>
      </c>
      <c r="DE18" s="298">
        <v>63.801367462530798</v>
      </c>
      <c r="DF18" s="298">
        <v>48.936920956361703</v>
      </c>
      <c r="DG18" s="27">
        <v>0</v>
      </c>
      <c r="DH18" s="27">
        <v>0</v>
      </c>
      <c r="DI18" s="27">
        <v>0</v>
      </c>
      <c r="DJ18" s="27">
        <v>0</v>
      </c>
      <c r="DK18" s="27">
        <v>0.1072</v>
      </c>
      <c r="DL18" s="27">
        <v>128.767629</v>
      </c>
      <c r="DM18" s="27">
        <v>48.386799999999923</v>
      </c>
      <c r="DN18" s="241">
        <v>92.406978199999998</v>
      </c>
      <c r="DO18" s="27">
        <v>244.53871129999999</v>
      </c>
      <c r="DP18" s="27">
        <v>0</v>
      </c>
      <c r="DQ18" s="27">
        <v>0</v>
      </c>
      <c r="DR18" s="27">
        <v>0</v>
      </c>
      <c r="DS18" s="27">
        <v>0</v>
      </c>
      <c r="DT18" s="27">
        <v>6.4500000000000002E-2</v>
      </c>
      <c r="DU18" s="27">
        <v>116.7083702</v>
      </c>
      <c r="DV18" s="27">
        <v>44.405100000000147</v>
      </c>
      <c r="DW18" s="241">
        <v>70.1952639</v>
      </c>
      <c r="DX18" s="27">
        <v>143.01016899999999</v>
      </c>
      <c r="DY18" s="27">
        <v>0</v>
      </c>
      <c r="DZ18" s="27">
        <v>0</v>
      </c>
      <c r="EA18" s="27">
        <v>0</v>
      </c>
      <c r="EB18" s="27">
        <v>0</v>
      </c>
      <c r="EC18" s="253">
        <v>60.167910447761194</v>
      </c>
      <c r="ED18" s="259">
        <v>90.63</v>
      </c>
      <c r="EE18" s="254">
        <v>91.771102862764678</v>
      </c>
      <c r="EF18" s="298">
        <v>75.963163461609668</v>
      </c>
      <c r="EG18" s="298">
        <v>58.48160736586</v>
      </c>
      <c r="EH18" s="254"/>
      <c r="EI18" s="254"/>
      <c r="EJ18" s="254"/>
      <c r="EK18" s="254"/>
      <c r="EL18" s="117">
        <v>7.4649999999999999</v>
      </c>
      <c r="EM18" s="117">
        <v>499.97695530000004</v>
      </c>
      <c r="EN18" s="117">
        <v>1241.3462</v>
      </c>
      <c r="EO18" s="239">
        <v>1943.6929097000002</v>
      </c>
      <c r="EP18" s="117">
        <v>3404.2247084999999</v>
      </c>
      <c r="EQ18" s="253"/>
      <c r="ER18" s="253"/>
      <c r="ES18" s="253"/>
      <c r="ET18" s="115"/>
      <c r="EU18" s="117">
        <v>7.0133000000000001</v>
      </c>
      <c r="EV18" s="117">
        <v>394.11034269999999</v>
      </c>
      <c r="EW18" s="117">
        <v>930.97260000000006</v>
      </c>
      <c r="EX18" s="239">
        <v>1438.9693928000002</v>
      </c>
      <c r="EY18" s="117">
        <v>2519.6795658999999</v>
      </c>
      <c r="EZ18" s="254"/>
      <c r="FA18" s="254"/>
      <c r="FB18" s="254"/>
      <c r="FC18" s="116"/>
      <c r="FD18" s="253">
        <v>93.949095780308113</v>
      </c>
      <c r="FE18" s="253">
        <v>78.83</v>
      </c>
      <c r="FF18" s="257">
        <v>74.997015337059082</v>
      </c>
      <c r="FG18" s="257">
        <v>74.032754125861288</v>
      </c>
      <c r="FH18" s="257">
        <v>74.016252793436905</v>
      </c>
    </row>
    <row r="19" spans="1:164" ht="17.100000000000001" customHeight="1" x14ac:dyDescent="0.2">
      <c r="A19" s="324">
        <v>12</v>
      </c>
      <c r="B19" s="349" t="s">
        <v>108</v>
      </c>
      <c r="C19" s="254">
        <v>52.82</v>
      </c>
      <c r="D19" s="254">
        <v>68.400000000000006</v>
      </c>
      <c r="E19" s="254">
        <v>73.3</v>
      </c>
      <c r="F19" s="254">
        <v>61.67</v>
      </c>
      <c r="G19" s="114" t="s">
        <v>130</v>
      </c>
      <c r="H19" s="114" t="s">
        <v>130</v>
      </c>
      <c r="I19" s="114" t="s">
        <v>130</v>
      </c>
      <c r="J19" s="114" t="s">
        <v>130</v>
      </c>
      <c r="K19" s="114" t="s">
        <v>130</v>
      </c>
      <c r="L19" s="252">
        <v>15.2126</v>
      </c>
      <c r="M19" s="252">
        <v>60.152900000000002</v>
      </c>
      <c r="N19" s="252">
        <v>37.18</v>
      </c>
      <c r="O19" s="115">
        <v>34.47</v>
      </c>
      <c r="P19" s="114" t="s">
        <v>130</v>
      </c>
      <c r="Q19" s="114" t="s">
        <v>130</v>
      </c>
      <c r="R19" s="114" t="s">
        <v>130</v>
      </c>
      <c r="S19" s="114" t="s">
        <v>130</v>
      </c>
      <c r="T19" s="114" t="s">
        <v>130</v>
      </c>
      <c r="U19" s="253">
        <v>28.802687034000673</v>
      </c>
      <c r="V19" s="254">
        <v>87.942836257309949</v>
      </c>
      <c r="W19" s="254">
        <v>50.72</v>
      </c>
      <c r="X19" s="116">
        <v>55.89427598508189</v>
      </c>
      <c r="Y19" s="255" t="s">
        <v>130</v>
      </c>
      <c r="Z19" s="255" t="s">
        <v>130</v>
      </c>
      <c r="AA19" s="255" t="s">
        <v>130</v>
      </c>
      <c r="AB19" s="255" t="s">
        <v>130</v>
      </c>
      <c r="AC19" s="255" t="s">
        <v>130</v>
      </c>
      <c r="AD19" s="267">
        <v>52.28</v>
      </c>
      <c r="AE19" s="269">
        <v>71.69</v>
      </c>
      <c r="AF19" s="267">
        <v>74.78</v>
      </c>
      <c r="AG19" s="267">
        <v>44.1</v>
      </c>
      <c r="AH19" s="114" t="s">
        <v>130</v>
      </c>
      <c r="AI19" s="114" t="s">
        <v>130</v>
      </c>
      <c r="AJ19" s="114" t="s">
        <v>130</v>
      </c>
      <c r="AK19" s="114" t="s">
        <v>130</v>
      </c>
      <c r="AL19" s="114" t="s">
        <v>130</v>
      </c>
      <c r="AM19" s="253">
        <v>59.568300000000001</v>
      </c>
      <c r="AN19" s="253">
        <v>81.516999999999996</v>
      </c>
      <c r="AO19" s="253">
        <v>76.153100000000009</v>
      </c>
      <c r="AP19" s="115">
        <v>51.46</v>
      </c>
      <c r="AQ19" s="114" t="s">
        <v>130</v>
      </c>
      <c r="AR19" s="114" t="s">
        <v>130</v>
      </c>
      <c r="AS19" s="114" t="s">
        <v>130</v>
      </c>
      <c r="AT19" s="114" t="s">
        <v>130</v>
      </c>
      <c r="AU19" s="114" t="s">
        <v>130</v>
      </c>
      <c r="AV19" s="252">
        <v>113.94590810230747</v>
      </c>
      <c r="AW19" s="253">
        <v>113.70763007392941</v>
      </c>
      <c r="AX19" s="254">
        <v>101.83005836770988</v>
      </c>
      <c r="AY19" s="116">
        <v>116.68934240362812</v>
      </c>
      <c r="AZ19" s="253" t="s">
        <v>130</v>
      </c>
      <c r="BA19" s="253" t="s">
        <v>130</v>
      </c>
      <c r="BB19" s="253" t="s">
        <v>130</v>
      </c>
      <c r="BC19" s="253" t="s">
        <v>130</v>
      </c>
      <c r="BD19" s="253" t="s">
        <v>130</v>
      </c>
      <c r="BE19" s="267">
        <v>754.12</v>
      </c>
      <c r="BF19" s="269">
        <v>808.6</v>
      </c>
      <c r="BG19" s="267">
        <v>790.25</v>
      </c>
      <c r="BH19" s="267">
        <v>722.19</v>
      </c>
      <c r="BI19" s="117" t="s">
        <v>130</v>
      </c>
      <c r="BJ19" s="117" t="s">
        <v>130</v>
      </c>
      <c r="BK19" s="117" t="s">
        <v>130</v>
      </c>
      <c r="BL19" s="117" t="s">
        <v>130</v>
      </c>
      <c r="BM19" s="117" t="s">
        <v>130</v>
      </c>
      <c r="BN19" s="253">
        <v>691.10699999999997</v>
      </c>
      <c r="BO19" s="253">
        <v>730.57780000000002</v>
      </c>
      <c r="BP19" s="253">
        <v>678.02</v>
      </c>
      <c r="BQ19" s="115">
        <v>645.89</v>
      </c>
      <c r="BR19" s="117" t="s">
        <v>130</v>
      </c>
      <c r="BS19" s="117" t="s">
        <v>130</v>
      </c>
      <c r="BT19" s="117" t="s">
        <v>130</v>
      </c>
      <c r="BU19" s="117" t="s">
        <v>130</v>
      </c>
      <c r="BV19" s="117" t="s">
        <v>130</v>
      </c>
      <c r="BW19" s="252">
        <v>91.644082969742101</v>
      </c>
      <c r="BX19" s="253">
        <v>90.35095226317091</v>
      </c>
      <c r="BY19" s="254">
        <v>85.798671456045611</v>
      </c>
      <c r="BZ19" s="116">
        <v>89.43491324997575</v>
      </c>
      <c r="CA19" s="253" t="s">
        <v>130</v>
      </c>
      <c r="CB19" s="253" t="s">
        <v>130</v>
      </c>
      <c r="CC19" s="253" t="s">
        <v>130</v>
      </c>
      <c r="CD19" s="253" t="s">
        <v>130</v>
      </c>
      <c r="CE19" s="253" t="s">
        <v>130</v>
      </c>
      <c r="CF19" s="267">
        <v>406.06</v>
      </c>
      <c r="CG19" s="269">
        <v>581.45000000000005</v>
      </c>
      <c r="CH19" s="267">
        <v>638.09</v>
      </c>
      <c r="CI19" s="267">
        <v>517.36</v>
      </c>
      <c r="CJ19" s="114" t="s">
        <v>130</v>
      </c>
      <c r="CK19" s="114" t="s">
        <v>130</v>
      </c>
      <c r="CL19" s="114" t="s">
        <v>130</v>
      </c>
      <c r="CM19" s="114" t="s">
        <v>130</v>
      </c>
      <c r="CN19" s="114" t="s">
        <v>130</v>
      </c>
      <c r="CO19" s="253">
        <v>377.24760000000003</v>
      </c>
      <c r="CP19" s="253">
        <v>328.42900000000003</v>
      </c>
      <c r="CQ19" s="253">
        <v>325.42199999999997</v>
      </c>
      <c r="CR19" s="115">
        <v>262.61</v>
      </c>
      <c r="CS19" s="114" t="s">
        <v>130</v>
      </c>
      <c r="CT19" s="114" t="s">
        <v>130</v>
      </c>
      <c r="CU19" s="114" t="s">
        <v>130</v>
      </c>
      <c r="CV19" s="114" t="s">
        <v>130</v>
      </c>
      <c r="CW19" s="114" t="s">
        <v>130</v>
      </c>
      <c r="CX19" s="252">
        <v>92.90545083257112</v>
      </c>
      <c r="CY19" s="254">
        <v>56.484478459024857</v>
      </c>
      <c r="CZ19" s="254">
        <v>50.99956463671613</v>
      </c>
      <c r="DA19" s="116">
        <v>50.759625792484918</v>
      </c>
      <c r="DB19" s="253" t="s">
        <v>130</v>
      </c>
      <c r="DC19" s="253" t="s">
        <v>130</v>
      </c>
      <c r="DD19" s="253" t="s">
        <v>130</v>
      </c>
      <c r="DE19" s="253" t="s">
        <v>130</v>
      </c>
      <c r="DF19" s="253" t="s">
        <v>130</v>
      </c>
      <c r="DG19" s="267">
        <v>319.66000000000003</v>
      </c>
      <c r="DH19" s="269">
        <v>143.94999999999999</v>
      </c>
      <c r="DI19" s="267">
        <v>132.12</v>
      </c>
      <c r="DJ19" s="267">
        <v>306.26</v>
      </c>
      <c r="DK19" s="27" t="s">
        <v>130</v>
      </c>
      <c r="DL19" s="27" t="s">
        <v>130</v>
      </c>
      <c r="DM19" s="27" t="s">
        <v>130</v>
      </c>
      <c r="DN19" s="27" t="s">
        <v>130</v>
      </c>
      <c r="DO19" s="27" t="s">
        <v>130</v>
      </c>
      <c r="DP19" s="253">
        <v>131.88239999999999</v>
      </c>
      <c r="DQ19" s="253">
        <v>117.19909999999996</v>
      </c>
      <c r="DR19" s="253">
        <v>127.38</v>
      </c>
      <c r="DS19" s="119">
        <v>275.64</v>
      </c>
      <c r="DT19" s="27" t="s">
        <v>130</v>
      </c>
      <c r="DU19" s="27" t="s">
        <v>130</v>
      </c>
      <c r="DV19" s="27" t="s">
        <v>130</v>
      </c>
      <c r="DW19" s="27" t="s">
        <v>130</v>
      </c>
      <c r="DX19" s="27" t="s">
        <v>130</v>
      </c>
      <c r="DY19" s="260">
        <v>41.256737179533296</v>
      </c>
      <c r="DZ19" s="253">
        <v>81.41653351858281</v>
      </c>
      <c r="EA19" s="253">
        <v>96.414044085700866</v>
      </c>
      <c r="EB19" s="120">
        <v>90.001959119702207</v>
      </c>
      <c r="EC19" s="255" t="s">
        <v>130</v>
      </c>
      <c r="ED19" s="255" t="s">
        <v>130</v>
      </c>
      <c r="EE19" s="255" t="s">
        <v>130</v>
      </c>
      <c r="EF19" s="255" t="s">
        <v>130</v>
      </c>
      <c r="EG19" s="255" t="s">
        <v>130</v>
      </c>
      <c r="EH19" s="269">
        <v>1584.93</v>
      </c>
      <c r="EI19" s="269">
        <v>1674.09</v>
      </c>
      <c r="EJ19" s="267">
        <v>1708.54</v>
      </c>
      <c r="EK19" s="267">
        <v>1651.5800000000002</v>
      </c>
      <c r="EL19" s="114" t="s">
        <v>130</v>
      </c>
      <c r="EM19" s="114" t="s">
        <v>130</v>
      </c>
      <c r="EN19" s="114" t="s">
        <v>130</v>
      </c>
      <c r="EO19" s="114" t="s">
        <v>130</v>
      </c>
      <c r="EP19" s="114" t="s">
        <v>130</v>
      </c>
      <c r="EQ19" s="253">
        <v>1275.0178999999998</v>
      </c>
      <c r="ER19" s="253">
        <v>1317.8758000000003</v>
      </c>
      <c r="ES19" s="253">
        <v>1244.1500000000001</v>
      </c>
      <c r="ET19" s="115">
        <v>1270.07</v>
      </c>
      <c r="EU19" s="114" t="s">
        <v>130</v>
      </c>
      <c r="EV19" s="114" t="s">
        <v>130</v>
      </c>
      <c r="EW19" s="114" t="s">
        <v>130</v>
      </c>
      <c r="EX19" s="114" t="s">
        <v>130</v>
      </c>
      <c r="EY19" s="114" t="s">
        <v>130</v>
      </c>
      <c r="EZ19" s="254">
        <v>80.446165204070752</v>
      </c>
      <c r="FA19" s="254">
        <v>78.721920565799934</v>
      </c>
      <c r="FB19" s="254">
        <v>72.820044674410838</v>
      </c>
      <c r="FC19" s="116">
        <v>76.900301529444519</v>
      </c>
      <c r="FD19" s="255" t="s">
        <v>130</v>
      </c>
      <c r="FE19" s="255" t="s">
        <v>130</v>
      </c>
      <c r="FF19" s="255" t="s">
        <v>130</v>
      </c>
      <c r="FG19" s="255" t="s">
        <v>130</v>
      </c>
      <c r="FH19" s="255" t="s">
        <v>130</v>
      </c>
    </row>
    <row r="20" spans="1:164" ht="17.100000000000001" customHeight="1" x14ac:dyDescent="0.2">
      <c r="A20" s="648"/>
      <c r="B20" s="349" t="s">
        <v>109</v>
      </c>
      <c r="C20" s="261">
        <v>6.65</v>
      </c>
      <c r="D20" s="261">
        <v>8.48</v>
      </c>
      <c r="E20" s="261">
        <v>7.61</v>
      </c>
      <c r="F20" s="261">
        <v>25.23</v>
      </c>
      <c r="G20" s="262">
        <v>97.36</v>
      </c>
      <c r="H20" s="262">
        <v>99.137</v>
      </c>
      <c r="I20" s="263">
        <v>145.94</v>
      </c>
      <c r="J20" s="264">
        <v>240.11</v>
      </c>
      <c r="K20" s="263">
        <v>284.35108459911402</v>
      </c>
      <c r="L20" s="252">
        <v>6.8873504345026841</v>
      </c>
      <c r="M20" s="252">
        <v>6.9161000000000001</v>
      </c>
      <c r="N20" s="252">
        <v>14.13</v>
      </c>
      <c r="O20" s="265">
        <v>11.98</v>
      </c>
      <c r="P20" s="262">
        <v>64.150000000000006</v>
      </c>
      <c r="Q20" s="262">
        <v>52.874200000000002</v>
      </c>
      <c r="R20" s="262">
        <v>102.13930000000001</v>
      </c>
      <c r="S20" s="300">
        <v>179.56</v>
      </c>
      <c r="T20" s="262">
        <v>178.01484915940199</v>
      </c>
      <c r="U20" s="253">
        <v>103.54168260999907</v>
      </c>
      <c r="V20" s="254">
        <v>81.590496189509949</v>
      </c>
      <c r="W20" s="254">
        <v>185.68</v>
      </c>
      <c r="X20" s="266">
        <v>47.483154974237017</v>
      </c>
      <c r="Y20" s="255">
        <v>65.88</v>
      </c>
      <c r="Z20" s="254">
        <v>53.33</v>
      </c>
      <c r="AA20" s="252">
        <v>70</v>
      </c>
      <c r="AB20" s="272">
        <v>74.782391403939869</v>
      </c>
      <c r="AC20" s="272">
        <v>62.603893145113901</v>
      </c>
      <c r="AD20" s="125">
        <v>4.33</v>
      </c>
      <c r="AE20" s="128">
        <v>4.3600000000000003</v>
      </c>
      <c r="AF20" s="125">
        <v>5.88</v>
      </c>
      <c r="AG20" s="125">
        <v>19.73</v>
      </c>
      <c r="AH20" s="114">
        <v>48.613300000000002</v>
      </c>
      <c r="AI20" s="114">
        <v>60.325200000000002</v>
      </c>
      <c r="AJ20" s="114">
        <v>72.125100000000003</v>
      </c>
      <c r="AK20" s="230">
        <v>79.760000000000005</v>
      </c>
      <c r="AL20" s="114">
        <v>121.556346486504</v>
      </c>
      <c r="AM20" s="253">
        <v>2.3249117697088595</v>
      </c>
      <c r="AN20" s="253">
        <v>5.3946000000000005</v>
      </c>
      <c r="AO20" s="253">
        <v>5.0862999999999996</v>
      </c>
      <c r="AP20" s="115">
        <v>14.47</v>
      </c>
      <c r="AQ20" s="114">
        <v>39.848500000000001</v>
      </c>
      <c r="AR20" s="114">
        <v>56.225999999999999</v>
      </c>
      <c r="AS20" s="114">
        <v>58.9499</v>
      </c>
      <c r="AT20" s="230">
        <v>71.87</v>
      </c>
      <c r="AU20" s="114">
        <v>114.328294266078</v>
      </c>
      <c r="AV20" s="252">
        <v>53.689951229838314</v>
      </c>
      <c r="AW20" s="253">
        <v>123.86287970977892</v>
      </c>
      <c r="AX20" s="254">
        <v>86.56</v>
      </c>
      <c r="AY20" s="116">
        <v>73.340091231626971</v>
      </c>
      <c r="AZ20" s="253">
        <v>81.970366134370636</v>
      </c>
      <c r="BA20" s="256">
        <v>93.2</v>
      </c>
      <c r="BB20" s="257">
        <v>81.732850283743105</v>
      </c>
      <c r="BC20" s="258">
        <v>90.107823470411233</v>
      </c>
      <c r="BD20" s="258">
        <v>94.053743445448603</v>
      </c>
      <c r="BE20" s="125">
        <v>109.03</v>
      </c>
      <c r="BF20" s="128">
        <v>145.9</v>
      </c>
      <c r="BG20" s="125">
        <v>223.46</v>
      </c>
      <c r="BH20" s="125">
        <v>536</v>
      </c>
      <c r="BI20" s="117">
        <v>1516.8688</v>
      </c>
      <c r="BJ20" s="117">
        <v>2021.22</v>
      </c>
      <c r="BK20" s="117">
        <v>2421.9</v>
      </c>
      <c r="BL20" s="239">
        <v>2407.54</v>
      </c>
      <c r="BM20" s="117">
        <v>2558.41434257642</v>
      </c>
      <c r="BN20" s="253">
        <v>95.152242446675359</v>
      </c>
      <c r="BO20" s="253">
        <v>106.12599999999999</v>
      </c>
      <c r="BP20" s="253">
        <v>170.31</v>
      </c>
      <c r="BQ20" s="115">
        <v>487.07</v>
      </c>
      <c r="BR20" s="117">
        <v>1279.8097</v>
      </c>
      <c r="BS20" s="117">
        <v>1653.04</v>
      </c>
      <c r="BT20" s="117">
        <v>1918.3281999999999</v>
      </c>
      <c r="BU20" s="239">
        <v>1685.64</v>
      </c>
      <c r="BV20" s="117">
        <v>1910.20467371052</v>
      </c>
      <c r="BW20" s="252">
        <v>87.273140497884725</v>
      </c>
      <c r="BX20" s="253">
        <v>72.741255366866071</v>
      </c>
      <c r="BY20" s="254">
        <v>76.209999999999994</v>
      </c>
      <c r="BZ20" s="116">
        <v>90.871268656716424</v>
      </c>
      <c r="CA20" s="114">
        <v>84.371812512723594</v>
      </c>
      <c r="CB20" s="118">
        <v>81.78</v>
      </c>
      <c r="CC20" s="254">
        <v>79.207572566992852</v>
      </c>
      <c r="CD20" s="298">
        <v>70.015036094935084</v>
      </c>
      <c r="CE20" s="298">
        <v>74.663616519084698</v>
      </c>
      <c r="CF20" s="125">
        <v>44.04</v>
      </c>
      <c r="CG20" s="128">
        <v>35.020000000000003</v>
      </c>
      <c r="CH20" s="125">
        <v>49.4</v>
      </c>
      <c r="CI20" s="125">
        <v>222.53</v>
      </c>
      <c r="CJ20" s="114">
        <v>805.10739999999998</v>
      </c>
      <c r="CK20" s="114">
        <v>1053.1691000000001</v>
      </c>
      <c r="CL20" s="114">
        <v>1122.6752000000001</v>
      </c>
      <c r="CM20" s="230">
        <v>2963.31</v>
      </c>
      <c r="CN20" s="114">
        <v>3069.6577834360501</v>
      </c>
      <c r="CO20" s="253">
        <v>39.920493610103854</v>
      </c>
      <c r="CP20" s="253">
        <v>18.185099999999998</v>
      </c>
      <c r="CQ20" s="253">
        <v>25.84</v>
      </c>
      <c r="CR20" s="115">
        <v>92.29</v>
      </c>
      <c r="CS20" s="114">
        <v>423.29520000000002</v>
      </c>
      <c r="CT20" s="114">
        <v>656.0023000000001</v>
      </c>
      <c r="CU20" s="114">
        <v>774.73490000000004</v>
      </c>
      <c r="CV20" s="230">
        <v>2349.9499999999998</v>
      </c>
      <c r="CW20" s="114">
        <v>2991.9653355014698</v>
      </c>
      <c r="CX20" s="252">
        <v>90.640655855560169</v>
      </c>
      <c r="CY20" s="254">
        <v>51.926717627003462</v>
      </c>
      <c r="CZ20" s="254">
        <v>52.31</v>
      </c>
      <c r="DA20" s="116">
        <v>41.473059812160159</v>
      </c>
      <c r="DB20" s="253">
        <v>52.58</v>
      </c>
      <c r="DC20" s="253">
        <v>62.29</v>
      </c>
      <c r="DD20" s="254">
        <v>69.007928562063185</v>
      </c>
      <c r="DE20" s="298">
        <v>79.301524308965313</v>
      </c>
      <c r="DF20" s="298">
        <v>97.469019238762897</v>
      </c>
      <c r="DG20" s="126">
        <v>13.98</v>
      </c>
      <c r="DH20" s="127">
        <v>12.39</v>
      </c>
      <c r="DI20" s="126">
        <v>11.48</v>
      </c>
      <c r="DJ20" s="126">
        <v>185.61</v>
      </c>
      <c r="DK20" s="27">
        <v>526.54729999999995</v>
      </c>
      <c r="DL20" s="27">
        <v>576.15869999999973</v>
      </c>
      <c r="DM20" s="27">
        <v>620.84699999999975</v>
      </c>
      <c r="DN20" s="241">
        <v>714.86000000000013</v>
      </c>
      <c r="DO20" s="27">
        <v>844.66798779447595</v>
      </c>
      <c r="DP20" s="253">
        <v>8.213754132574838</v>
      </c>
      <c r="DQ20" s="253">
        <v>11.028100000000016</v>
      </c>
      <c r="DR20" s="253">
        <v>7.3</v>
      </c>
      <c r="DS20" s="119">
        <v>163.99</v>
      </c>
      <c r="DT20" s="27">
        <v>419.58190000000002</v>
      </c>
      <c r="DU20" s="27">
        <v>491.03899999999976</v>
      </c>
      <c r="DV20" s="27">
        <v>529.99270000000013</v>
      </c>
      <c r="DW20" s="241">
        <v>565.02</v>
      </c>
      <c r="DX20" s="27">
        <v>586.54505076719704</v>
      </c>
      <c r="DY20" s="260">
        <v>58.766907946109576</v>
      </c>
      <c r="DZ20" s="253">
        <v>89.022441072005236</v>
      </c>
      <c r="EA20" s="253">
        <v>63.59</v>
      </c>
      <c r="EB20" s="120">
        <v>88.351920693928136</v>
      </c>
      <c r="EC20" s="253">
        <v>79.685509734832948</v>
      </c>
      <c r="ED20" s="259">
        <v>85.23</v>
      </c>
      <c r="EE20" s="254">
        <v>85.366072478404547</v>
      </c>
      <c r="EF20" s="298">
        <v>79.039252441037391</v>
      </c>
      <c r="EG20" s="298">
        <v>69.440899766869705</v>
      </c>
      <c r="EH20" s="128">
        <v>178.03</v>
      </c>
      <c r="EI20" s="128">
        <v>206.14</v>
      </c>
      <c r="EJ20" s="125">
        <v>297.83000000000004</v>
      </c>
      <c r="EK20" s="125">
        <v>989.1</v>
      </c>
      <c r="EL20" s="117">
        <v>2994.4997000000003</v>
      </c>
      <c r="EM20" s="117">
        <v>3810.01</v>
      </c>
      <c r="EN20" s="117">
        <v>4383.4872999999998</v>
      </c>
      <c r="EO20" s="239">
        <v>6405.58</v>
      </c>
      <c r="EP20" s="117">
        <v>6878.6475448925603</v>
      </c>
      <c r="EQ20" s="253">
        <v>152.49875239356558</v>
      </c>
      <c r="ER20" s="253">
        <v>147.6499</v>
      </c>
      <c r="ES20" s="253">
        <v>222.67</v>
      </c>
      <c r="ET20" s="115">
        <v>769.8</v>
      </c>
      <c r="EU20" s="117">
        <v>2226.6806000000001</v>
      </c>
      <c r="EV20" s="117">
        <v>2909.1815000000001</v>
      </c>
      <c r="EW20" s="117">
        <v>3384.145</v>
      </c>
      <c r="EX20" s="239">
        <v>4852.04</v>
      </c>
      <c r="EY20" s="117">
        <v>5781.0582034046602</v>
      </c>
      <c r="EZ20" s="254">
        <v>85.659239477815035</v>
      </c>
      <c r="FA20" s="254">
        <v>71.627490227316173</v>
      </c>
      <c r="FB20" s="254">
        <v>73.516308294813442</v>
      </c>
      <c r="FC20" s="116">
        <v>77.828328783742791</v>
      </c>
      <c r="FD20" s="253">
        <v>74.359018970681475</v>
      </c>
      <c r="FE20" s="253">
        <v>76.36</v>
      </c>
      <c r="FF20" s="257">
        <v>77.202117136280961</v>
      </c>
      <c r="FG20" s="257">
        <v>75.74708301199891</v>
      </c>
      <c r="FH20" s="257">
        <v>84.043529860708304</v>
      </c>
    </row>
    <row r="21" spans="1:164" ht="17.100000000000001" customHeight="1" x14ac:dyDescent="0.2">
      <c r="A21" s="345">
        <v>13</v>
      </c>
      <c r="B21" s="341" t="s">
        <v>42</v>
      </c>
      <c r="C21" s="254">
        <v>153.49</v>
      </c>
      <c r="D21" s="254">
        <v>108.85</v>
      </c>
      <c r="E21" s="254">
        <v>99.5</v>
      </c>
      <c r="F21" s="254">
        <v>123.7078688</v>
      </c>
      <c r="G21" s="114">
        <v>144.09123149999999</v>
      </c>
      <c r="H21" s="114">
        <v>157.88399999999999</v>
      </c>
      <c r="I21" s="114">
        <v>273.58179999999999</v>
      </c>
      <c r="J21" s="230">
        <v>481.34</v>
      </c>
      <c r="K21" s="114">
        <v>674.47</v>
      </c>
      <c r="L21" s="252">
        <v>102.7287</v>
      </c>
      <c r="M21" s="252">
        <v>102.3548</v>
      </c>
      <c r="N21" s="252">
        <v>63.3</v>
      </c>
      <c r="O21" s="115">
        <v>84.650995600000002</v>
      </c>
      <c r="P21" s="114">
        <v>62.075415700000001</v>
      </c>
      <c r="Q21" s="114">
        <v>131.36000000000001</v>
      </c>
      <c r="R21" s="114">
        <v>175.1576</v>
      </c>
      <c r="S21" s="230">
        <v>306.79000000000002</v>
      </c>
      <c r="T21" s="114">
        <v>357.84</v>
      </c>
      <c r="U21" s="253">
        <v>66.926458142908984</v>
      </c>
      <c r="V21" s="254">
        <v>94.032889297197968</v>
      </c>
      <c r="W21" s="254">
        <v>63.618328221167175</v>
      </c>
      <c r="X21" s="116">
        <v>68.4281415734809</v>
      </c>
      <c r="Y21" s="253">
        <v>43.080633744184496</v>
      </c>
      <c r="Z21" s="254">
        <v>83.2</v>
      </c>
      <c r="AA21" s="252">
        <v>64</v>
      </c>
      <c r="AB21" s="272">
        <v>63.736651846927337</v>
      </c>
      <c r="AC21" s="272">
        <v>53.054991326523037</v>
      </c>
      <c r="AD21" s="254">
        <v>156.61000000000001</v>
      </c>
      <c r="AE21" s="259">
        <v>160.11000000000001</v>
      </c>
      <c r="AF21" s="254">
        <v>184.93</v>
      </c>
      <c r="AG21" s="254">
        <v>192.0764618</v>
      </c>
      <c r="AH21" s="114">
        <v>195.75593190000001</v>
      </c>
      <c r="AI21" s="114">
        <v>236.72926340000001</v>
      </c>
      <c r="AJ21" s="114">
        <v>256.31821789999998</v>
      </c>
      <c r="AK21" s="230">
        <v>260.15275530000002</v>
      </c>
      <c r="AL21" s="114">
        <v>376.8</v>
      </c>
      <c r="AM21" s="253">
        <v>152.6326</v>
      </c>
      <c r="AN21" s="253">
        <v>157.99200000000002</v>
      </c>
      <c r="AO21" s="253">
        <v>180.3253</v>
      </c>
      <c r="AP21" s="115">
        <v>161.23726540000001</v>
      </c>
      <c r="AQ21" s="114">
        <v>106.0779587</v>
      </c>
      <c r="AR21" s="114">
        <v>198.85671840000001</v>
      </c>
      <c r="AS21" s="114">
        <v>167.27040700000001</v>
      </c>
      <c r="AT21" s="230">
        <v>216.80461149999999</v>
      </c>
      <c r="AU21" s="114">
        <v>292.39</v>
      </c>
      <c r="AV21" s="252">
        <v>97.460626590340951</v>
      </c>
      <c r="AW21" s="253">
        <v>98.677159452876154</v>
      </c>
      <c r="AX21" s="254">
        <v>97.510189006957773</v>
      </c>
      <c r="AY21" s="116">
        <v>83.944312535228093</v>
      </c>
      <c r="AZ21" s="253">
        <v>54.188885961416929</v>
      </c>
      <c r="BA21" s="256">
        <v>84</v>
      </c>
      <c r="BB21" s="257">
        <v>65.258883418602295</v>
      </c>
      <c r="BC21" s="258">
        <v>83.337426601531746</v>
      </c>
      <c r="BD21" s="258">
        <v>77.598195329087034</v>
      </c>
      <c r="BE21" s="254">
        <v>2294.9499999999998</v>
      </c>
      <c r="BF21" s="259">
        <v>2496.73</v>
      </c>
      <c r="BG21" s="254">
        <v>2959.02</v>
      </c>
      <c r="BH21" s="254">
        <v>3539.7989521999998</v>
      </c>
      <c r="BI21" s="117">
        <v>4142.1879754000001</v>
      </c>
      <c r="BJ21" s="117">
        <v>5035.6489166000001</v>
      </c>
      <c r="BK21" s="117">
        <v>6119.8006919999998</v>
      </c>
      <c r="BL21" s="239">
        <v>6171.8809031000001</v>
      </c>
      <c r="BM21" s="117">
        <v>7853.12</v>
      </c>
      <c r="BN21" s="253">
        <v>1800.5132000000001</v>
      </c>
      <c r="BO21" s="253">
        <v>2000.6</v>
      </c>
      <c r="BP21" s="253">
        <v>2375.46</v>
      </c>
      <c r="BQ21" s="115">
        <v>2793.4286226999998</v>
      </c>
      <c r="BR21" s="117">
        <v>3207.8927394000002</v>
      </c>
      <c r="BS21" s="117">
        <v>3715.4789436000001</v>
      </c>
      <c r="BT21" s="117">
        <v>4683.5787287000003</v>
      </c>
      <c r="BU21" s="239">
        <v>4059.4147263999998</v>
      </c>
      <c r="BV21" s="117">
        <v>5566.49</v>
      </c>
      <c r="BW21" s="252">
        <v>78.455402450387624</v>
      </c>
      <c r="BX21" s="253">
        <v>80.128808481493792</v>
      </c>
      <c r="BY21" s="254">
        <v>80.278744313995858</v>
      </c>
      <c r="BZ21" s="116">
        <v>78.914894897176922</v>
      </c>
      <c r="CA21" s="114">
        <v>77.444402775811312</v>
      </c>
      <c r="CB21" s="118">
        <v>73.78</v>
      </c>
      <c r="CC21" s="254">
        <v>76.531556572136822</v>
      </c>
      <c r="CD21" s="298">
        <v>65.772732658548946</v>
      </c>
      <c r="CE21" s="298">
        <v>70.882528218084019</v>
      </c>
      <c r="CF21" s="254">
        <v>1148.32</v>
      </c>
      <c r="CG21" s="259">
        <v>1061.0999999999999</v>
      </c>
      <c r="CH21" s="254">
        <v>1074.5999999999999</v>
      </c>
      <c r="CI21" s="254">
        <v>1335.3373019999999</v>
      </c>
      <c r="CJ21" s="117">
        <v>1349.3244331999999</v>
      </c>
      <c r="CK21" s="117">
        <v>1826.99</v>
      </c>
      <c r="CL21" s="117">
        <v>2262.1884395000002</v>
      </c>
      <c r="CM21" s="239">
        <v>2561.5820741000002</v>
      </c>
      <c r="CN21" s="117">
        <v>3355.09</v>
      </c>
      <c r="CO21" s="253">
        <v>1068.1636000000001</v>
      </c>
      <c r="CP21" s="253">
        <v>927.19799999999998</v>
      </c>
      <c r="CQ21" s="253">
        <v>882.11649999999997</v>
      </c>
      <c r="CR21" s="115">
        <v>1204.7046015000001</v>
      </c>
      <c r="CS21" s="114">
        <v>920.99504309999998</v>
      </c>
      <c r="CT21" s="114">
        <v>1396.8009</v>
      </c>
      <c r="CU21" s="114">
        <v>1581.1784712000001</v>
      </c>
      <c r="CV21" s="230">
        <v>1997.9452626</v>
      </c>
      <c r="CW21" s="114">
        <v>3075.47</v>
      </c>
      <c r="CX21" s="252">
        <v>93.019721427703701</v>
      </c>
      <c r="CY21" s="254">
        <v>87.380831212892289</v>
      </c>
      <c r="CZ21" s="254">
        <v>82.088221644661331</v>
      </c>
      <c r="DA21" s="116">
        <v>90.217250704796086</v>
      </c>
      <c r="DB21" s="253">
        <v>68.256011707711224</v>
      </c>
      <c r="DC21" s="253">
        <v>76.45</v>
      </c>
      <c r="DD21" s="254">
        <v>69.895966383308007</v>
      </c>
      <c r="DE21" s="298">
        <v>77.99653514135278</v>
      </c>
      <c r="DF21" s="298">
        <v>91.665797340756868</v>
      </c>
      <c r="DG21" s="254">
        <v>599.54</v>
      </c>
      <c r="DH21" s="259">
        <v>408.54</v>
      </c>
      <c r="DI21" s="254">
        <v>503.57</v>
      </c>
      <c r="DJ21" s="254">
        <v>972.68359320000002</v>
      </c>
      <c r="DK21" s="27">
        <v>1080.37527</v>
      </c>
      <c r="DL21" s="27">
        <v>1118.0981999999999</v>
      </c>
      <c r="DM21" s="27">
        <v>491.6279185999997</v>
      </c>
      <c r="DN21" s="241">
        <v>539.07000000000005</v>
      </c>
      <c r="DO21" s="27">
        <v>772.61</v>
      </c>
      <c r="DP21" s="253">
        <v>494.86699999999996</v>
      </c>
      <c r="DQ21" s="253">
        <v>255.29199999999997</v>
      </c>
      <c r="DR21" s="253">
        <v>427.01</v>
      </c>
      <c r="DS21" s="119">
        <v>710.30996349999998</v>
      </c>
      <c r="DT21" s="27">
        <v>1017.682642</v>
      </c>
      <c r="DU21" s="27">
        <v>865.61799999999994</v>
      </c>
      <c r="DV21" s="27">
        <v>244.39170699999954</v>
      </c>
      <c r="DW21" s="241">
        <v>289.88</v>
      </c>
      <c r="DX21" s="27">
        <v>489.71</v>
      </c>
      <c r="DY21" s="260">
        <v>82.541362668800758</v>
      </c>
      <c r="DZ21" s="253">
        <v>62.488862779654376</v>
      </c>
      <c r="EA21" s="253">
        <v>84.795898569952485</v>
      </c>
      <c r="EB21" s="120">
        <v>73.025798776267465</v>
      </c>
      <c r="EC21" s="253">
        <v>94.197143368526014</v>
      </c>
      <c r="ED21" s="259">
        <v>77.42</v>
      </c>
      <c r="EE21" s="254">
        <v>49.710705546574644</v>
      </c>
      <c r="EF21" s="298">
        <v>53.77409241842431</v>
      </c>
      <c r="EG21" s="298">
        <v>63.383854726187849</v>
      </c>
      <c r="EH21" s="259">
        <v>4352.91</v>
      </c>
      <c r="EI21" s="259">
        <v>4235.33</v>
      </c>
      <c r="EJ21" s="254">
        <v>4821.619999999999</v>
      </c>
      <c r="EK21" s="254">
        <v>6163.6041780000005</v>
      </c>
      <c r="EL21" s="117">
        <v>6911.7348419999998</v>
      </c>
      <c r="EM21" s="117">
        <v>8375.3503799999999</v>
      </c>
      <c r="EN21" s="117">
        <v>9403.5170679999992</v>
      </c>
      <c r="EO21" s="239">
        <v>10014.0257325</v>
      </c>
      <c r="EP21" s="117">
        <v>13032.09</v>
      </c>
      <c r="EQ21" s="253">
        <v>3618.9050999999999</v>
      </c>
      <c r="ER21" s="253">
        <v>3443.4367999999999</v>
      </c>
      <c r="ES21" s="253">
        <v>3928.2200000000003</v>
      </c>
      <c r="ET21" s="115">
        <v>4954.3314486999998</v>
      </c>
      <c r="EU21" s="117">
        <v>5314.7237988999996</v>
      </c>
      <c r="EV21" s="117">
        <v>6308.1145620000007</v>
      </c>
      <c r="EW21" s="117">
        <v>6851.5769139000004</v>
      </c>
      <c r="EX21" s="239">
        <v>6870.8346004999994</v>
      </c>
      <c r="EY21" s="117">
        <v>9781.9</v>
      </c>
      <c r="EZ21" s="254">
        <v>83.137541471363562</v>
      </c>
      <c r="FA21" s="254">
        <v>81.302680074516033</v>
      </c>
      <c r="FB21" s="254">
        <v>81.47088322418287</v>
      </c>
      <c r="FC21" s="116">
        <v>80.380428489936023</v>
      </c>
      <c r="FD21" s="253">
        <v>76.894208478664893</v>
      </c>
      <c r="FE21" s="253">
        <v>75.319999999999993</v>
      </c>
      <c r="FF21" s="257">
        <v>72.861854392924911</v>
      </c>
      <c r="FG21" s="257">
        <v>68.612112491393574</v>
      </c>
      <c r="FH21" s="257">
        <v>75.060101641409801</v>
      </c>
    </row>
    <row r="22" spans="1:164" ht="17.100000000000001" customHeight="1" x14ac:dyDescent="0.2">
      <c r="A22" s="345">
        <v>14</v>
      </c>
      <c r="B22" s="341" t="s">
        <v>45</v>
      </c>
      <c r="C22" s="254">
        <v>37.229999999999997</v>
      </c>
      <c r="D22" s="254">
        <v>39.200000000000003</v>
      </c>
      <c r="E22" s="254">
        <v>44.93</v>
      </c>
      <c r="F22" s="254">
        <v>40.3317294</v>
      </c>
      <c r="G22" s="114">
        <v>48.1413224</v>
      </c>
      <c r="H22" s="114">
        <v>47.131439499999999</v>
      </c>
      <c r="I22" s="114">
        <v>59.2286</v>
      </c>
      <c r="J22" s="230">
        <v>83.167456999999999</v>
      </c>
      <c r="K22" s="114">
        <v>124.7112012</v>
      </c>
      <c r="L22" s="252">
        <v>27.8035</v>
      </c>
      <c r="M22" s="252">
        <v>21.546300000000002</v>
      </c>
      <c r="N22" s="252">
        <v>25.08</v>
      </c>
      <c r="O22" s="115">
        <v>21.147670699999999</v>
      </c>
      <c r="P22" s="114">
        <v>47.906436300000003</v>
      </c>
      <c r="Q22" s="114">
        <v>30.581529799999998</v>
      </c>
      <c r="R22" s="114">
        <v>27.05</v>
      </c>
      <c r="S22" s="230">
        <v>51.869272299999999</v>
      </c>
      <c r="T22" s="114">
        <v>79.323819599999993</v>
      </c>
      <c r="U22" s="253">
        <v>74.683173689045518</v>
      </c>
      <c r="V22" s="254">
        <v>54.965051020408161</v>
      </c>
      <c r="W22" s="254">
        <v>55.827737479718046</v>
      </c>
      <c r="X22" s="116">
        <v>52.434326557789511</v>
      </c>
      <c r="Y22" s="253">
        <v>99.512090469704262</v>
      </c>
      <c r="Z22" s="254">
        <v>64.89</v>
      </c>
      <c r="AA22" s="252">
        <v>45.7</v>
      </c>
      <c r="AB22" s="272">
        <v>62.367269808429995</v>
      </c>
      <c r="AC22" s="272">
        <v>63.606010395800809</v>
      </c>
      <c r="AD22" s="254">
        <v>42.92</v>
      </c>
      <c r="AE22" s="259">
        <v>49.09</v>
      </c>
      <c r="AF22" s="254">
        <v>39.61</v>
      </c>
      <c r="AG22" s="254">
        <v>53.427009400000003</v>
      </c>
      <c r="AH22" s="114">
        <v>57.607342899999999</v>
      </c>
      <c r="AI22" s="114">
        <v>68.307078200000007</v>
      </c>
      <c r="AJ22" s="114">
        <v>73.684799999999996</v>
      </c>
      <c r="AK22" s="230">
        <v>75.536392599999999</v>
      </c>
      <c r="AL22" s="114">
        <v>114.9565231</v>
      </c>
      <c r="AM22" s="253">
        <v>40.131799999999998</v>
      </c>
      <c r="AN22" s="253">
        <v>37.7774</v>
      </c>
      <c r="AO22" s="253">
        <v>40.028100000000002</v>
      </c>
      <c r="AP22" s="115">
        <v>38.4062524</v>
      </c>
      <c r="AQ22" s="114">
        <v>31.470350400000001</v>
      </c>
      <c r="AR22" s="114">
        <v>41.310713100000001</v>
      </c>
      <c r="AS22" s="114">
        <v>47.108199999999997</v>
      </c>
      <c r="AT22" s="230">
        <v>51.453290600000003</v>
      </c>
      <c r="AU22" s="114">
        <v>120.269972</v>
      </c>
      <c r="AV22" s="252">
        <v>93.512878706676801</v>
      </c>
      <c r="AW22" s="253">
        <v>76.955388062741903</v>
      </c>
      <c r="AX22" s="254">
        <v>101.06</v>
      </c>
      <c r="AY22" s="116">
        <v>71.88546173800998</v>
      </c>
      <c r="AZ22" s="253">
        <v>54.629060838006474</v>
      </c>
      <c r="BA22" s="256">
        <v>60.48</v>
      </c>
      <c r="BB22" s="257">
        <v>63.932045686491648</v>
      </c>
      <c r="BC22" s="258">
        <v>68.117219831332008</v>
      </c>
      <c r="BD22" s="258">
        <v>104.62213779324001</v>
      </c>
      <c r="BE22" s="254">
        <v>1520.15</v>
      </c>
      <c r="BF22" s="259">
        <v>1747.1</v>
      </c>
      <c r="BG22" s="254">
        <v>2160.92</v>
      </c>
      <c r="BH22" s="254">
        <v>2300.5625780999999</v>
      </c>
      <c r="BI22" s="117">
        <v>2328.5568975000001</v>
      </c>
      <c r="BJ22" s="117">
        <v>2618.0361650999998</v>
      </c>
      <c r="BK22" s="117">
        <v>2847.1385</v>
      </c>
      <c r="BL22" s="239">
        <v>2867.9936668999999</v>
      </c>
      <c r="BM22" s="117">
        <v>3297.6614340000001</v>
      </c>
      <c r="BN22" s="253">
        <v>1127.1251</v>
      </c>
      <c r="BO22" s="253">
        <v>1283.8674000000001</v>
      </c>
      <c r="BP22" s="253">
        <v>1644.15</v>
      </c>
      <c r="BQ22" s="115">
        <v>1941.0329285</v>
      </c>
      <c r="BR22" s="117">
        <v>1843.9182249999999</v>
      </c>
      <c r="BS22" s="117">
        <v>2278.3554668000002</v>
      </c>
      <c r="BT22" s="117">
        <v>2498.8766999999998</v>
      </c>
      <c r="BU22" s="239">
        <v>2410.3146628</v>
      </c>
      <c r="BV22" s="117">
        <v>2774.0560495</v>
      </c>
      <c r="BW22" s="252">
        <v>74.145469632445725</v>
      </c>
      <c r="BX22" s="253">
        <v>73.485627611470434</v>
      </c>
      <c r="BY22" s="254">
        <v>76.085819725136901</v>
      </c>
      <c r="BZ22" s="116">
        <v>84.372098676101643</v>
      </c>
      <c r="CA22" s="114">
        <v>79.187166393901691</v>
      </c>
      <c r="CB22" s="118">
        <v>87.03</v>
      </c>
      <c r="CC22" s="254">
        <v>87.768006368499456</v>
      </c>
      <c r="CD22" s="298">
        <v>84.041840490020931</v>
      </c>
      <c r="CE22" s="298">
        <v>84.121918062859606</v>
      </c>
      <c r="CF22" s="254">
        <v>197.41</v>
      </c>
      <c r="CG22" s="259">
        <v>300.2</v>
      </c>
      <c r="CH22" s="254">
        <v>415.31</v>
      </c>
      <c r="CI22" s="254">
        <v>513.26149480000004</v>
      </c>
      <c r="CJ22" s="117">
        <v>499.07506949999998</v>
      </c>
      <c r="CK22" s="117">
        <v>838.65395750000005</v>
      </c>
      <c r="CL22" s="117">
        <v>1074.8204000000001</v>
      </c>
      <c r="CM22" s="239">
        <v>1350.1027613000001</v>
      </c>
      <c r="CN22" s="117">
        <v>1478.6320498</v>
      </c>
      <c r="CO22" s="253">
        <v>172.0898</v>
      </c>
      <c r="CP22" s="253">
        <v>277.1361</v>
      </c>
      <c r="CQ22" s="253">
        <v>432.95980000000003</v>
      </c>
      <c r="CR22" s="115">
        <v>535.33502239999996</v>
      </c>
      <c r="CS22" s="114">
        <v>452.61948990000002</v>
      </c>
      <c r="CT22" s="114">
        <v>854.71489329999997</v>
      </c>
      <c r="CU22" s="114">
        <v>1028.1664000000001</v>
      </c>
      <c r="CV22" s="230">
        <v>1343.1763515</v>
      </c>
      <c r="CW22" s="114">
        <v>1931.7621773000001</v>
      </c>
      <c r="CX22" s="252">
        <v>87.172520134195892</v>
      </c>
      <c r="CY22" s="254">
        <v>92.412584614358593</v>
      </c>
      <c r="CZ22" s="254">
        <v>104.24993992430704</v>
      </c>
      <c r="DA22" s="116">
        <v>104.30063969801616</v>
      </c>
      <c r="DB22" s="253">
        <v>90.691664954023523</v>
      </c>
      <c r="DC22" s="253">
        <v>101.92</v>
      </c>
      <c r="DD22" s="254">
        <v>95.659367834849434</v>
      </c>
      <c r="DE22" s="298">
        <v>99.486971658858721</v>
      </c>
      <c r="DF22" s="298">
        <v>130.64522560303601</v>
      </c>
      <c r="DG22" s="254">
        <v>155.38999999999999</v>
      </c>
      <c r="DH22" s="259">
        <v>131.86000000000001</v>
      </c>
      <c r="DI22" s="254">
        <v>144.18</v>
      </c>
      <c r="DJ22" s="254">
        <v>603.41576569999995</v>
      </c>
      <c r="DK22" s="27">
        <v>302.92790910000002</v>
      </c>
      <c r="DL22" s="27">
        <v>458.18961239999999</v>
      </c>
      <c r="DM22" s="27">
        <v>570.44899999999916</v>
      </c>
      <c r="DN22" s="241">
        <v>521.95905310000001</v>
      </c>
      <c r="DO22" s="27">
        <v>549.2893732</v>
      </c>
      <c r="DP22" s="253">
        <v>114.58329999999999</v>
      </c>
      <c r="DQ22" s="253">
        <v>61.199100000000037</v>
      </c>
      <c r="DR22" s="253">
        <v>77.44</v>
      </c>
      <c r="DS22" s="119">
        <v>341.79429149999999</v>
      </c>
      <c r="DT22" s="27">
        <v>306.79339060000001</v>
      </c>
      <c r="DU22" s="27">
        <v>353.26031619999998</v>
      </c>
      <c r="DV22" s="27">
        <v>497.17190000000028</v>
      </c>
      <c r="DW22" s="241">
        <v>312.14764839999998</v>
      </c>
      <c r="DX22" s="27">
        <v>331.4879219</v>
      </c>
      <c r="DY22" s="260">
        <v>73.73784370961846</v>
      </c>
      <c r="DZ22" s="253">
        <v>46.412179584407731</v>
      </c>
      <c r="EA22" s="253">
        <v>53.71368606785132</v>
      </c>
      <c r="EB22" s="120">
        <v>56.643248474540151</v>
      </c>
      <c r="EC22" s="253">
        <v>101.27604006890098</v>
      </c>
      <c r="ED22" s="259">
        <v>77.099999999999994</v>
      </c>
      <c r="EE22" s="254">
        <v>87.154487079476169</v>
      </c>
      <c r="EF22" s="298">
        <v>59.803091170869472</v>
      </c>
      <c r="EG22" s="298">
        <v>60.348504462929597</v>
      </c>
      <c r="EH22" s="259">
        <v>1953.1</v>
      </c>
      <c r="EI22" s="259">
        <v>2267.4499999999998</v>
      </c>
      <c r="EJ22" s="254">
        <v>2804.95</v>
      </c>
      <c r="EK22" s="254">
        <v>3510.9985774000002</v>
      </c>
      <c r="EL22" s="117">
        <v>3236.3085414000002</v>
      </c>
      <c r="EM22" s="117">
        <v>4030.3182526999999</v>
      </c>
      <c r="EN22" s="117">
        <v>4625.3212999999996</v>
      </c>
      <c r="EO22" s="239">
        <v>4898.7593308999994</v>
      </c>
      <c r="EP22" s="117">
        <v>5565.2505812999998</v>
      </c>
      <c r="EQ22" s="253">
        <v>1481.7334999999998</v>
      </c>
      <c r="ER22" s="253">
        <v>1681.5263000000004</v>
      </c>
      <c r="ES22" s="253">
        <v>2219.6600000000003</v>
      </c>
      <c r="ET22" s="115">
        <v>2877.7161655</v>
      </c>
      <c r="EU22" s="117">
        <v>2682.7078921999996</v>
      </c>
      <c r="EV22" s="117">
        <v>3558.2229192</v>
      </c>
      <c r="EW22" s="117">
        <v>4098.3732</v>
      </c>
      <c r="EX22" s="239">
        <v>4168.9612256000009</v>
      </c>
      <c r="EY22" s="117">
        <v>5236.8999402999998</v>
      </c>
      <c r="EZ22" s="254">
        <v>75.865578675337161</v>
      </c>
      <c r="FA22" s="254">
        <v>74.169495487706996</v>
      </c>
      <c r="FB22" s="254">
        <v>79.13392631393863</v>
      </c>
      <c r="FC22" s="116">
        <v>81.962897507951567</v>
      </c>
      <c r="FD22" s="253">
        <v>82.894070756290816</v>
      </c>
      <c r="FE22" s="253">
        <v>88.29</v>
      </c>
      <c r="FF22" s="257">
        <v>88.607319020194339</v>
      </c>
      <c r="FG22" s="257">
        <v>85.102389074379786</v>
      </c>
      <c r="FH22" s="257">
        <v>94.099984606204401</v>
      </c>
    </row>
    <row r="23" spans="1:164" ht="17.100000000000001" customHeight="1" x14ac:dyDescent="0.2">
      <c r="A23" s="345">
        <v>15</v>
      </c>
      <c r="B23" s="341" t="s">
        <v>49</v>
      </c>
      <c r="C23" s="116" t="s">
        <v>130</v>
      </c>
      <c r="D23" s="116" t="s">
        <v>130</v>
      </c>
      <c r="E23" s="116" t="s">
        <v>130</v>
      </c>
      <c r="F23" s="254">
        <v>1.4261843999999999</v>
      </c>
      <c r="G23" s="114">
        <v>2.3564167</v>
      </c>
      <c r="H23" s="114">
        <v>4.9760312999999998</v>
      </c>
      <c r="I23" s="114">
        <v>7.3519763999999999</v>
      </c>
      <c r="J23" s="230">
        <v>8.68</v>
      </c>
      <c r="K23" s="114">
        <v>11.688915700000001</v>
      </c>
      <c r="L23" s="116" t="s">
        <v>130</v>
      </c>
      <c r="M23" s="116" t="s">
        <v>130</v>
      </c>
      <c r="N23" s="116" t="s">
        <v>130</v>
      </c>
      <c r="O23" s="115">
        <v>-3.7873900000000002E-2</v>
      </c>
      <c r="P23" s="114">
        <v>0.92258929999999995</v>
      </c>
      <c r="Q23" s="114">
        <v>2.9164096000000002</v>
      </c>
      <c r="R23" s="114">
        <v>5.9547055000000002</v>
      </c>
      <c r="S23" s="230">
        <v>4.76</v>
      </c>
      <c r="T23" s="114">
        <v>3.5017532</v>
      </c>
      <c r="U23" s="116" t="s">
        <v>130</v>
      </c>
      <c r="V23" s="116" t="s">
        <v>130</v>
      </c>
      <c r="W23" s="116" t="s">
        <v>130</v>
      </c>
      <c r="X23" s="116">
        <v>-2.6556103123831676</v>
      </c>
      <c r="Y23" s="253">
        <v>39.15221361315254</v>
      </c>
      <c r="Z23" s="254">
        <v>58.61</v>
      </c>
      <c r="AA23" s="252">
        <v>81</v>
      </c>
      <c r="AB23" s="272">
        <v>54.838709677419352</v>
      </c>
      <c r="AC23" s="272">
        <v>29.9578959235714</v>
      </c>
      <c r="AD23" s="116" t="s">
        <v>130</v>
      </c>
      <c r="AE23" s="116" t="s">
        <v>130</v>
      </c>
      <c r="AF23" s="116" t="s">
        <v>130</v>
      </c>
      <c r="AG23" s="254">
        <v>0</v>
      </c>
      <c r="AH23" s="114">
        <v>0</v>
      </c>
      <c r="AI23" s="114">
        <v>0</v>
      </c>
      <c r="AJ23" s="114">
        <v>0</v>
      </c>
      <c r="AK23" s="230">
        <v>-2.9999999999999997E-4</v>
      </c>
      <c r="AL23" s="114">
        <v>0.18708759999999999</v>
      </c>
      <c r="AM23" s="116" t="s">
        <v>130</v>
      </c>
      <c r="AN23" s="116" t="s">
        <v>130</v>
      </c>
      <c r="AO23" s="116" t="s">
        <v>130</v>
      </c>
      <c r="AP23" s="115">
        <v>0</v>
      </c>
      <c r="AQ23" s="114">
        <v>0</v>
      </c>
      <c r="AR23" s="114">
        <v>0</v>
      </c>
      <c r="AS23" s="114">
        <v>0</v>
      </c>
      <c r="AT23" s="230">
        <v>1.4E-3</v>
      </c>
      <c r="AU23" s="114">
        <v>0.56125970000000003</v>
      </c>
      <c r="AV23" s="116" t="s">
        <v>130</v>
      </c>
      <c r="AW23" s="116" t="s">
        <v>130</v>
      </c>
      <c r="AX23" s="116" t="s">
        <v>130</v>
      </c>
      <c r="AY23" s="116">
        <v>0</v>
      </c>
      <c r="AZ23" s="253"/>
      <c r="BA23" s="256" t="s">
        <v>167</v>
      </c>
      <c r="BB23" s="257"/>
      <c r="BC23" s="258">
        <v>-466.66666666666669</v>
      </c>
      <c r="BD23" s="258">
        <v>299.99834302219898</v>
      </c>
      <c r="BE23" s="254"/>
      <c r="BF23" s="254"/>
      <c r="BG23" s="254">
        <v>0.06</v>
      </c>
      <c r="BH23" s="254">
        <v>27.6689066</v>
      </c>
      <c r="BI23" s="117">
        <v>98.272352299999994</v>
      </c>
      <c r="BJ23" s="117">
        <v>153.51698930000001</v>
      </c>
      <c r="BK23" s="117">
        <v>207.26733630000001</v>
      </c>
      <c r="BL23" s="239">
        <v>242.67104470000001</v>
      </c>
      <c r="BM23" s="117">
        <v>283.12423410000002</v>
      </c>
      <c r="BN23" s="253">
        <v>0</v>
      </c>
      <c r="BO23" s="253">
        <v>0</v>
      </c>
      <c r="BP23" s="253">
        <v>0.21</v>
      </c>
      <c r="BQ23" s="115">
        <v>22.215062</v>
      </c>
      <c r="BR23" s="114">
        <v>74.678386599999996</v>
      </c>
      <c r="BS23" s="114">
        <v>113.1813252</v>
      </c>
      <c r="BT23" s="114">
        <v>156.815472</v>
      </c>
      <c r="BU23" s="230">
        <v>181.12744000000001</v>
      </c>
      <c r="BV23" s="114">
        <v>234.0719058</v>
      </c>
      <c r="BW23" s="252"/>
      <c r="BX23" s="253"/>
      <c r="BY23" s="254">
        <v>350</v>
      </c>
      <c r="BZ23" s="116">
        <v>80.288904513487353</v>
      </c>
      <c r="CA23" s="114">
        <v>75.99124764208986</v>
      </c>
      <c r="CB23" s="118">
        <v>73.73</v>
      </c>
      <c r="CC23" s="254">
        <v>75.658555177755716</v>
      </c>
      <c r="CD23" s="298">
        <v>74.639081981913932</v>
      </c>
      <c r="CE23" s="298">
        <v>82.674627463124693</v>
      </c>
      <c r="CF23" s="116" t="s">
        <v>130</v>
      </c>
      <c r="CG23" s="116" t="s">
        <v>130</v>
      </c>
      <c r="CH23" s="116" t="s">
        <v>130</v>
      </c>
      <c r="CI23" s="254">
        <v>3.5170880000000002</v>
      </c>
      <c r="CJ23" s="117">
        <v>15.100910300000001</v>
      </c>
      <c r="CK23" s="117">
        <v>37.701177000000001</v>
      </c>
      <c r="CL23" s="117">
        <v>72.945840899999993</v>
      </c>
      <c r="CM23" s="239">
        <v>132.99038820000001</v>
      </c>
      <c r="CN23" s="117">
        <v>182.36189580000001</v>
      </c>
      <c r="CO23" s="116" t="s">
        <v>130</v>
      </c>
      <c r="CP23" s="116" t="s">
        <v>130</v>
      </c>
      <c r="CQ23" s="116" t="s">
        <v>130</v>
      </c>
      <c r="CR23" s="115">
        <v>1.8131785</v>
      </c>
      <c r="CS23" s="114">
        <v>7.2797166000000004</v>
      </c>
      <c r="CT23" s="114">
        <v>17.795123199999999</v>
      </c>
      <c r="CU23" s="114">
        <v>35.907297300000003</v>
      </c>
      <c r="CV23" s="230">
        <v>73.368883400000001</v>
      </c>
      <c r="CW23" s="114">
        <v>131.50536930000001</v>
      </c>
      <c r="CX23" s="116" t="s">
        <v>130</v>
      </c>
      <c r="CY23" s="116" t="s">
        <v>130</v>
      </c>
      <c r="CZ23" s="116" t="s">
        <v>130</v>
      </c>
      <c r="DA23" s="116">
        <v>51.553401564021136</v>
      </c>
      <c r="DB23" s="253">
        <v>48.207137552495759</v>
      </c>
      <c r="DC23" s="253">
        <v>47.2</v>
      </c>
      <c r="DD23" s="254">
        <v>49.224598492496099</v>
      </c>
      <c r="DE23" s="298">
        <v>55.168560971235657</v>
      </c>
      <c r="DF23" s="298">
        <v>72.112306533720499</v>
      </c>
      <c r="DG23" s="120" t="s">
        <v>130</v>
      </c>
      <c r="DH23" s="120" t="s">
        <v>130</v>
      </c>
      <c r="DI23" s="120" t="s">
        <v>130</v>
      </c>
      <c r="DJ23" s="254">
        <v>0.24514040000000001</v>
      </c>
      <c r="DK23" s="27">
        <v>0.145147</v>
      </c>
      <c r="DL23" s="27">
        <v>1.1607537000000001</v>
      </c>
      <c r="DM23" s="27">
        <v>3.3243564999999999</v>
      </c>
      <c r="DN23" s="241">
        <v>4.9800000000000004</v>
      </c>
      <c r="DO23" s="27">
        <v>4.9799061</v>
      </c>
      <c r="DP23" s="120" t="s">
        <v>130</v>
      </c>
      <c r="DQ23" s="120" t="s">
        <v>130</v>
      </c>
      <c r="DR23" s="120" t="s">
        <v>130</v>
      </c>
      <c r="DS23" s="119">
        <v>2.39855E-2</v>
      </c>
      <c r="DT23" s="27">
        <v>0.14969859999999999</v>
      </c>
      <c r="DU23" s="27">
        <v>0.4269346</v>
      </c>
      <c r="DV23" s="27">
        <v>1.4568219</v>
      </c>
      <c r="DW23" s="241">
        <v>1.55</v>
      </c>
      <c r="DX23" s="27">
        <v>1.8043646</v>
      </c>
      <c r="DY23" s="120" t="s">
        <v>130</v>
      </c>
      <c r="DZ23" s="120" t="s">
        <v>130</v>
      </c>
      <c r="EA23" s="120" t="s">
        <v>130</v>
      </c>
      <c r="EB23" s="120">
        <v>9.7843929437987356</v>
      </c>
      <c r="EC23" s="253">
        <v>103.13585537420684</v>
      </c>
      <c r="ED23" s="259">
        <v>36.78</v>
      </c>
      <c r="EE23" s="254">
        <v>43.822673651276574</v>
      </c>
      <c r="EF23" s="298">
        <v>31.124497991967871</v>
      </c>
      <c r="EG23" s="298">
        <v>36.232904070219298</v>
      </c>
      <c r="EH23" s="116" t="s">
        <v>130</v>
      </c>
      <c r="EI23" s="116" t="s">
        <v>130</v>
      </c>
      <c r="EJ23" s="254">
        <v>0.06</v>
      </c>
      <c r="EK23" s="254">
        <v>32.857319399999994</v>
      </c>
      <c r="EL23" s="114">
        <v>115.87482629999998</v>
      </c>
      <c r="EM23" s="114">
        <v>197.35495129999998</v>
      </c>
      <c r="EN23" s="114">
        <v>290.88951010000005</v>
      </c>
      <c r="EO23" s="230">
        <v>389.32113290000007</v>
      </c>
      <c r="EP23" s="114">
        <v>482.34203930000001</v>
      </c>
      <c r="EQ23" s="116" t="s">
        <v>130</v>
      </c>
      <c r="ER23" s="116" t="s">
        <v>130</v>
      </c>
      <c r="ES23" s="253">
        <v>0.21</v>
      </c>
      <c r="ET23" s="115">
        <v>24.014352099999996</v>
      </c>
      <c r="EU23" s="117">
        <v>83.030391099999989</v>
      </c>
      <c r="EV23" s="117">
        <v>134.3197926</v>
      </c>
      <c r="EW23" s="117">
        <v>200.13429669999999</v>
      </c>
      <c r="EX23" s="239">
        <v>260.80772339999999</v>
      </c>
      <c r="EY23" s="117">
        <v>371.44465259999998</v>
      </c>
      <c r="EZ23" s="116" t="s">
        <v>130</v>
      </c>
      <c r="FA23" s="116" t="s">
        <v>130</v>
      </c>
      <c r="FB23" s="254">
        <v>347.60330578512401</v>
      </c>
      <c r="FC23" s="116">
        <v>73.086765866846704</v>
      </c>
      <c r="FD23" s="253">
        <v>71.655245363677409</v>
      </c>
      <c r="FE23" s="253">
        <v>68.06</v>
      </c>
      <c r="FF23" s="257">
        <v>68.800795405512957</v>
      </c>
      <c r="FG23" s="257">
        <v>66.990384379414181</v>
      </c>
      <c r="FH23" s="257">
        <v>77.008558727134798</v>
      </c>
    </row>
    <row r="24" spans="1:164" ht="17.100000000000001" customHeight="1" x14ac:dyDescent="0.2">
      <c r="A24" s="345">
        <v>16</v>
      </c>
      <c r="B24" s="341" t="s">
        <v>52</v>
      </c>
      <c r="C24" s="254">
        <v>1.64</v>
      </c>
      <c r="D24" s="254">
        <v>3.63</v>
      </c>
      <c r="E24" s="254">
        <v>4.54</v>
      </c>
      <c r="F24" s="254">
        <v>3.482297033</v>
      </c>
      <c r="G24" s="114">
        <v>2.9889452580000002</v>
      </c>
      <c r="H24" s="114">
        <v>3.7497418969999998</v>
      </c>
      <c r="I24" s="114">
        <v>8.7645501729999999</v>
      </c>
      <c r="J24" s="230">
        <v>18.106269523000002</v>
      </c>
      <c r="K24" s="114">
        <v>25.073641806000001</v>
      </c>
      <c r="L24" s="252">
        <v>0.79049999999999998</v>
      </c>
      <c r="M24" s="252">
        <v>3.7086999999999999</v>
      </c>
      <c r="N24" s="252">
        <v>8.06</v>
      </c>
      <c r="O24" s="115">
        <v>11.545406083</v>
      </c>
      <c r="P24" s="114">
        <v>1.853240617</v>
      </c>
      <c r="Q24" s="114">
        <v>7.9501565479999998</v>
      </c>
      <c r="R24" s="114">
        <v>0.17981784000000101</v>
      </c>
      <c r="S24" s="230">
        <v>12.065975932000001</v>
      </c>
      <c r="T24" s="114">
        <v>2.16384569</v>
      </c>
      <c r="U24" s="253">
        <v>48.33975417354614</v>
      </c>
      <c r="V24" s="254">
        <v>102.16804407713498</v>
      </c>
      <c r="W24" s="254">
        <v>177.53</v>
      </c>
      <c r="X24" s="116">
        <v>331.54570025445611</v>
      </c>
      <c r="Y24" s="253">
        <v>62.003163558775356</v>
      </c>
      <c r="Z24" s="254">
        <v>212.02</v>
      </c>
      <c r="AA24" s="252">
        <v>2.1</v>
      </c>
      <c r="AB24" s="272">
        <v>66.639767604656782</v>
      </c>
      <c r="AC24" s="272">
        <v>8.6299617213252198</v>
      </c>
      <c r="AD24" s="253">
        <v>-0.1</v>
      </c>
      <c r="AE24" s="259">
        <v>1.05</v>
      </c>
      <c r="AF24" s="254">
        <v>3.31</v>
      </c>
      <c r="AG24" s="254">
        <v>6.302894201</v>
      </c>
      <c r="AH24" s="114">
        <v>10.419771912</v>
      </c>
      <c r="AI24" s="114">
        <v>16.325578295</v>
      </c>
      <c r="AJ24" s="114">
        <v>23.357238285000001</v>
      </c>
      <c r="AK24" s="230">
        <v>22.642833718999999</v>
      </c>
      <c r="AL24" s="114">
        <v>33.276795659000001</v>
      </c>
      <c r="AM24" s="253">
        <v>0.15029999999999999</v>
      </c>
      <c r="AN24" s="253">
        <v>2.0913999999999997</v>
      </c>
      <c r="AO24" s="253">
        <v>3.0139</v>
      </c>
      <c r="AP24" s="115">
        <v>5.926695176</v>
      </c>
      <c r="AQ24" s="114">
        <v>8.8910475760000001</v>
      </c>
      <c r="AR24" s="114">
        <v>19.419295909999999</v>
      </c>
      <c r="AS24" s="114">
        <v>13.868257528999999</v>
      </c>
      <c r="AT24" s="230">
        <v>15.210939497</v>
      </c>
      <c r="AU24" s="114">
        <v>35.238331043999999</v>
      </c>
      <c r="AV24" s="252">
        <v>-155.10835913312692</v>
      </c>
      <c r="AW24" s="253">
        <v>199.18095238095236</v>
      </c>
      <c r="AX24" s="254">
        <v>90.94</v>
      </c>
      <c r="AY24" s="116">
        <v>94.031328894267119</v>
      </c>
      <c r="AZ24" s="253">
        <v>85.328619964901208</v>
      </c>
      <c r="BA24" s="256">
        <v>118.95</v>
      </c>
      <c r="BB24" s="254">
        <v>59.374560295966937</v>
      </c>
      <c r="BC24" s="298">
        <v>67.177720270216156</v>
      </c>
      <c r="BD24" s="298">
        <v>105.89460417132901</v>
      </c>
      <c r="BE24" s="254">
        <v>35.799999999999997</v>
      </c>
      <c r="BF24" s="259">
        <v>145.69999999999999</v>
      </c>
      <c r="BG24" s="254">
        <v>212.95</v>
      </c>
      <c r="BH24" s="254">
        <v>318.522936109</v>
      </c>
      <c r="BI24" s="117">
        <v>441.83862768699998</v>
      </c>
      <c r="BJ24" s="117">
        <v>597.49371677299996</v>
      </c>
      <c r="BK24" s="117">
        <v>844.74977924699999</v>
      </c>
      <c r="BL24" s="239">
        <v>907.81794985399995</v>
      </c>
      <c r="BM24" s="117">
        <v>927.03115632599997</v>
      </c>
      <c r="BN24" s="253">
        <v>38.1417</v>
      </c>
      <c r="BO24" s="253">
        <v>133.44999999999999</v>
      </c>
      <c r="BP24" s="253">
        <v>181.69</v>
      </c>
      <c r="BQ24" s="115">
        <v>246.20132530242401</v>
      </c>
      <c r="BR24" s="114">
        <v>307.61381226700001</v>
      </c>
      <c r="BS24" s="114">
        <v>417.91010422300002</v>
      </c>
      <c r="BT24" s="114">
        <v>599.31355062499995</v>
      </c>
      <c r="BU24" s="230">
        <v>543.83668219900005</v>
      </c>
      <c r="BV24" s="114">
        <v>582.53495819499994</v>
      </c>
      <c r="BW24" s="252">
        <v>106.55594356753737</v>
      </c>
      <c r="BX24" s="253">
        <v>91.592312971859997</v>
      </c>
      <c r="BY24" s="254">
        <v>85.317858164214528</v>
      </c>
      <c r="BZ24" s="116">
        <v>77.29469290656445</v>
      </c>
      <c r="CA24" s="114">
        <v>69.621303568984175</v>
      </c>
      <c r="CB24" s="118">
        <v>69.94</v>
      </c>
      <c r="CC24" s="254">
        <v>70.945688930421625</v>
      </c>
      <c r="CD24" s="298">
        <v>59.905918613579153</v>
      </c>
      <c r="CE24" s="298">
        <v>62.838768062952298</v>
      </c>
      <c r="CF24" s="254">
        <v>0.41</v>
      </c>
      <c r="CG24" s="259">
        <v>37.47</v>
      </c>
      <c r="CH24" s="254">
        <v>66.77</v>
      </c>
      <c r="CI24" s="254">
        <v>73.397973124999993</v>
      </c>
      <c r="CJ24" s="117">
        <v>101.247463692</v>
      </c>
      <c r="CK24" s="117">
        <v>151.037137895</v>
      </c>
      <c r="CL24" s="117">
        <v>241.22028619700001</v>
      </c>
      <c r="CM24" s="239">
        <v>248.11771326100001</v>
      </c>
      <c r="CN24" s="117">
        <v>235.443763765</v>
      </c>
      <c r="CO24" s="253">
        <v>0.35810000000000003</v>
      </c>
      <c r="CP24" s="253">
        <v>38.429200000000002</v>
      </c>
      <c r="CQ24" s="253">
        <v>70.792400000000001</v>
      </c>
      <c r="CR24" s="115">
        <v>54.583864003999999</v>
      </c>
      <c r="CS24" s="114">
        <v>75.514588075000006</v>
      </c>
      <c r="CT24" s="114">
        <v>123.304312564</v>
      </c>
      <c r="CU24" s="114">
        <v>211.73244391</v>
      </c>
      <c r="CV24" s="230">
        <v>190.994828528</v>
      </c>
      <c r="CW24" s="114">
        <v>210.25583857000001</v>
      </c>
      <c r="CX24" s="252">
        <v>88.288954635108482</v>
      </c>
      <c r="CY24" s="254">
        <v>102.55991459834534</v>
      </c>
      <c r="CZ24" s="254">
        <v>106.0229920863611</v>
      </c>
      <c r="DA24" s="116">
        <v>74.366990912734423</v>
      </c>
      <c r="DB24" s="253">
        <v>74.584177540209083</v>
      </c>
      <c r="DC24" s="253">
        <v>81.64</v>
      </c>
      <c r="DD24" s="254">
        <v>87.775554555590801</v>
      </c>
      <c r="DE24" s="298">
        <v>76.977506368958316</v>
      </c>
      <c r="DF24" s="298">
        <v>89.301935718229302</v>
      </c>
      <c r="DG24" s="254">
        <v>3.03</v>
      </c>
      <c r="DH24" s="259">
        <v>4.1500000000000004</v>
      </c>
      <c r="DI24" s="254">
        <v>8.7200000000000006</v>
      </c>
      <c r="DJ24" s="254">
        <v>15.263273547000001</v>
      </c>
      <c r="DK24" s="27">
        <v>22.637523858000002</v>
      </c>
      <c r="DL24" s="27">
        <v>36.835317340000003</v>
      </c>
      <c r="DM24" s="27">
        <v>42.615109621000002</v>
      </c>
      <c r="DN24" s="241">
        <v>42.208115532999997</v>
      </c>
      <c r="DO24" s="27">
        <v>40.058278946000001</v>
      </c>
      <c r="DP24" s="253">
        <v>3.9319999999999999</v>
      </c>
      <c r="DQ24" s="253">
        <v>3.7996999999999934</v>
      </c>
      <c r="DR24" s="253">
        <v>8.3800000000000008</v>
      </c>
      <c r="DS24" s="119">
        <v>11.7363787399805</v>
      </c>
      <c r="DT24" s="27">
        <v>9.2207864800195107</v>
      </c>
      <c r="DU24" s="27">
        <v>22.465083365000002</v>
      </c>
      <c r="DV24" s="27">
        <v>15.49419657</v>
      </c>
      <c r="DW24" s="241">
        <v>24.270638122000001</v>
      </c>
      <c r="DX24" s="27">
        <v>11.371994276000001</v>
      </c>
      <c r="DY24" s="260">
        <v>129.85040124170271</v>
      </c>
      <c r="DZ24" s="253">
        <v>91.559036144578158</v>
      </c>
      <c r="EA24" s="253">
        <v>96.1</v>
      </c>
      <c r="EB24" s="120">
        <v>76.892933248171317</v>
      </c>
      <c r="EC24" s="253">
        <v>40.732310379259637</v>
      </c>
      <c r="ED24" s="259">
        <v>60.99</v>
      </c>
      <c r="EE24" s="254">
        <v>36.358457617024932</v>
      </c>
      <c r="EF24" s="298">
        <v>57.502302141454862</v>
      </c>
      <c r="EG24" s="298">
        <v>28.388624212562501</v>
      </c>
      <c r="EH24" s="259">
        <v>40.770000000000003</v>
      </c>
      <c r="EI24" s="259">
        <v>191.99</v>
      </c>
      <c r="EJ24" s="254">
        <v>296.29000000000002</v>
      </c>
      <c r="EK24" s="254">
        <v>416.96937401500003</v>
      </c>
      <c r="EL24" s="114">
        <v>579.13233240700004</v>
      </c>
      <c r="EM24" s="114">
        <v>805.44149219999997</v>
      </c>
      <c r="EN24" s="114">
        <v>1160.706963523</v>
      </c>
      <c r="EO24" s="230">
        <v>1238.8928818900001</v>
      </c>
      <c r="EP24" s="114">
        <v>1260.8836365019999</v>
      </c>
      <c r="EQ24" s="253">
        <v>43.372600000000006</v>
      </c>
      <c r="ER24" s="253">
        <v>181.47900000000001</v>
      </c>
      <c r="ES24" s="253">
        <v>271.93</v>
      </c>
      <c r="ET24" s="115">
        <v>329.99366930540452</v>
      </c>
      <c r="EU24" s="117">
        <v>403.09347501501952</v>
      </c>
      <c r="EV24" s="117">
        <v>591.04895261000013</v>
      </c>
      <c r="EW24" s="117">
        <v>840.58826647399997</v>
      </c>
      <c r="EX24" s="239">
        <v>786.3790642780001</v>
      </c>
      <c r="EY24" s="117">
        <v>841.56496777500001</v>
      </c>
      <c r="EZ24" s="254">
        <v>106.39118308636131</v>
      </c>
      <c r="FA24" s="254">
        <v>94.520312500000003</v>
      </c>
      <c r="FB24" s="254">
        <v>91.776134942719196</v>
      </c>
      <c r="FC24" s="116">
        <v>79.140984894860253</v>
      </c>
      <c r="FD24" s="253">
        <v>69.602999601088626</v>
      </c>
      <c r="FE24" s="253">
        <v>73.38</v>
      </c>
      <c r="FF24" s="257">
        <v>72.420369041521937</v>
      </c>
      <c r="FG24" s="257">
        <v>63.474338723969012</v>
      </c>
      <c r="FH24" s="257">
        <v>66.744062926354403</v>
      </c>
    </row>
    <row r="25" spans="1:164" ht="17.100000000000001" customHeight="1" x14ac:dyDescent="0.2">
      <c r="A25" s="345">
        <v>17</v>
      </c>
      <c r="B25" s="341" t="s">
        <v>56</v>
      </c>
      <c r="C25" s="254">
        <v>0.12</v>
      </c>
      <c r="D25" s="254">
        <v>1.48</v>
      </c>
      <c r="E25" s="254">
        <v>1.9</v>
      </c>
      <c r="F25" s="254">
        <v>7.0528753489999998</v>
      </c>
      <c r="G25" s="114">
        <v>5.0438999999999998</v>
      </c>
      <c r="H25" s="114">
        <v>6.1969927</v>
      </c>
      <c r="I25" s="114">
        <v>8.1154960999999997</v>
      </c>
      <c r="J25" s="230">
        <v>20.83</v>
      </c>
      <c r="K25" s="114">
        <v>27.733350600000001</v>
      </c>
      <c r="L25" s="252">
        <v>0.21832262184109297</v>
      </c>
      <c r="M25" s="252">
        <v>5.8426</v>
      </c>
      <c r="N25" s="252">
        <v>4.41</v>
      </c>
      <c r="O25" s="115">
        <v>2.3368972639192398</v>
      </c>
      <c r="P25" s="114">
        <v>6.8353999674902104</v>
      </c>
      <c r="Q25" s="114">
        <v>5.7523720291057501</v>
      </c>
      <c r="R25" s="114">
        <v>5.750241880321</v>
      </c>
      <c r="S25" s="230">
        <v>19.0699083474112</v>
      </c>
      <c r="T25" s="114">
        <v>9.69923628978</v>
      </c>
      <c r="U25" s="253">
        <v>175.31588266463208</v>
      </c>
      <c r="V25" s="254">
        <v>394.77027027027026</v>
      </c>
      <c r="W25" s="254">
        <v>232.11</v>
      </c>
      <c r="X25" s="116">
        <v>33.133965202583362</v>
      </c>
      <c r="Y25" s="253">
        <v>135.51814999286685</v>
      </c>
      <c r="Z25" s="254">
        <v>92.83</v>
      </c>
      <c r="AA25" s="252">
        <v>70.900000000000006</v>
      </c>
      <c r="AB25" s="272">
        <v>91.550208100869909</v>
      </c>
      <c r="AC25" s="272">
        <v>34.973186001477899</v>
      </c>
      <c r="AD25" s="253">
        <v>-0.45</v>
      </c>
      <c r="AE25" s="259">
        <v>-1.21</v>
      </c>
      <c r="AF25" s="254">
        <v>1.05</v>
      </c>
      <c r="AG25" s="254">
        <v>1.4972382959999999</v>
      </c>
      <c r="AH25" s="114">
        <v>0.9577</v>
      </c>
      <c r="AI25" s="114">
        <v>1.1394569000000001</v>
      </c>
      <c r="AJ25" s="114">
        <v>0.93563039999999997</v>
      </c>
      <c r="AK25" s="230">
        <v>0.82</v>
      </c>
      <c r="AL25" s="114">
        <v>1.0583254</v>
      </c>
      <c r="AM25" s="253">
        <v>4.7594316403726446E-2</v>
      </c>
      <c r="AN25" s="253">
        <v>0.99790000000000001</v>
      </c>
      <c r="AO25" s="253">
        <v>3.3041</v>
      </c>
      <c r="AP25" s="115">
        <v>2.0947393763409301</v>
      </c>
      <c r="AQ25" s="114">
        <v>0.55919996557413898</v>
      </c>
      <c r="AR25" s="114">
        <v>2.19712401960544</v>
      </c>
      <c r="AS25" s="114">
        <v>1.6308911451382899</v>
      </c>
      <c r="AT25" s="230">
        <v>3.93</v>
      </c>
      <c r="AU25" s="114">
        <v>0.11899639365240899</v>
      </c>
      <c r="AV25" s="252">
        <v>-10.640333109858116</v>
      </c>
      <c r="AW25" s="253">
        <v>-82.471074380165305</v>
      </c>
      <c r="AX25" s="254">
        <v>314.29000000000002</v>
      </c>
      <c r="AY25" s="116">
        <v>139.90687934827778</v>
      </c>
      <c r="AZ25" s="253">
        <v>58.389888856023695</v>
      </c>
      <c r="BA25" s="256">
        <v>192.82</v>
      </c>
      <c r="BB25" s="254">
        <v>174.30933679990409</v>
      </c>
      <c r="BC25" s="298">
        <v>479.26829268292687</v>
      </c>
      <c r="BD25" s="298">
        <v>11.243838015454399</v>
      </c>
      <c r="BE25" s="254">
        <v>227.94</v>
      </c>
      <c r="BF25" s="259">
        <v>388.07</v>
      </c>
      <c r="BG25" s="254">
        <v>356.81</v>
      </c>
      <c r="BH25" s="254">
        <v>310.10516065392102</v>
      </c>
      <c r="BI25" s="117">
        <v>320.48965466952899</v>
      </c>
      <c r="BJ25" s="117">
        <v>318.43320119999998</v>
      </c>
      <c r="BK25" s="117">
        <v>661.82358160000001</v>
      </c>
      <c r="BL25" s="239">
        <v>684.33566910000002</v>
      </c>
      <c r="BM25" s="117">
        <v>793.99683600000003</v>
      </c>
      <c r="BN25" s="253">
        <v>190.91581977861631</v>
      </c>
      <c r="BO25" s="253">
        <v>316.68959999999998</v>
      </c>
      <c r="BP25" s="253">
        <v>292.7</v>
      </c>
      <c r="BQ25" s="115">
        <v>243.402739242846</v>
      </c>
      <c r="BR25" s="114">
        <v>261.86262076653998</v>
      </c>
      <c r="BS25" s="114">
        <v>207.549182501166</v>
      </c>
      <c r="BT25" s="114">
        <v>563.44052775915702</v>
      </c>
      <c r="BU25" s="230">
        <v>540.03427811268705</v>
      </c>
      <c r="BV25" s="114">
        <v>550.80442945085497</v>
      </c>
      <c r="BW25" s="252">
        <v>83.755871968658852</v>
      </c>
      <c r="BX25" s="253">
        <v>81.606308140283971</v>
      </c>
      <c r="BY25" s="254">
        <v>82.032591733965887</v>
      </c>
      <c r="BZ25" s="116">
        <v>78.490386528744267</v>
      </c>
      <c r="CA25" s="114">
        <v>81.707043254347184</v>
      </c>
      <c r="CB25" s="118">
        <v>65.180000000000007</v>
      </c>
      <c r="CC25" s="254">
        <v>85.134549965264796</v>
      </c>
      <c r="CD25" s="298">
        <v>78.913653415568703</v>
      </c>
      <c r="CE25" s="298">
        <v>69.371111379448209</v>
      </c>
      <c r="CF25" s="254">
        <v>0</v>
      </c>
      <c r="CG25" s="259">
        <v>0.66</v>
      </c>
      <c r="CH25" s="254">
        <v>1.25</v>
      </c>
      <c r="CI25" s="254">
        <v>1.6276510310310499</v>
      </c>
      <c r="CJ25" s="117">
        <v>3.3765000000000001</v>
      </c>
      <c r="CK25" s="117">
        <v>54.797985199999999</v>
      </c>
      <c r="CL25" s="117">
        <v>32.947647600000003</v>
      </c>
      <c r="CM25" s="239">
        <v>51.591206200000002</v>
      </c>
      <c r="CN25" s="117">
        <v>86.164814100000001</v>
      </c>
      <c r="CO25" s="270" t="s">
        <v>167</v>
      </c>
      <c r="CP25" s="253">
        <v>0.61159999999999992</v>
      </c>
      <c r="CQ25" s="253">
        <v>2.4197000000000002</v>
      </c>
      <c r="CR25" s="115">
        <v>2.9493271468225299</v>
      </c>
      <c r="CS25" s="114">
        <v>1.17948455076776</v>
      </c>
      <c r="CT25" s="114">
        <v>49.5722715656619</v>
      </c>
      <c r="CU25" s="114">
        <v>24.007476209316899</v>
      </c>
      <c r="CV25" s="230">
        <v>32.346320676303002</v>
      </c>
      <c r="CW25" s="114">
        <v>57.233288189938598</v>
      </c>
      <c r="CX25" s="270" t="s">
        <v>167</v>
      </c>
      <c r="CY25" s="254">
        <v>92.666666666666657</v>
      </c>
      <c r="CZ25" s="254">
        <v>193.6</v>
      </c>
      <c r="DA25" s="116">
        <v>181.20144248329771</v>
      </c>
      <c r="DB25" s="253">
        <v>34.932164986458169</v>
      </c>
      <c r="DC25" s="253">
        <v>90.46</v>
      </c>
      <c r="DD25" s="254">
        <v>72.865524424623544</v>
      </c>
      <c r="DE25" s="298">
        <v>62.697353015760662</v>
      </c>
      <c r="DF25" s="298">
        <v>66.4230391346467</v>
      </c>
      <c r="DG25" s="254">
        <v>0.56999999999999995</v>
      </c>
      <c r="DH25" s="259">
        <v>17.18</v>
      </c>
      <c r="DI25" s="254">
        <v>12.21</v>
      </c>
      <c r="DJ25" s="254">
        <v>6.8065093328724302</v>
      </c>
      <c r="DK25" s="27">
        <v>4.7079000000000004</v>
      </c>
      <c r="DL25" s="27">
        <v>4.3786835000000002</v>
      </c>
      <c r="DM25" s="27">
        <v>4.4746598000000004</v>
      </c>
      <c r="DN25" s="241">
        <v>4.12</v>
      </c>
      <c r="DO25" s="27">
        <v>5.2586911000000001</v>
      </c>
      <c r="DP25" s="253">
        <v>2.4613182941683398</v>
      </c>
      <c r="DQ25" s="253">
        <v>16.387800000000023</v>
      </c>
      <c r="DR25" s="253">
        <v>15.99</v>
      </c>
      <c r="DS25" s="119">
        <v>7.9521031269489004</v>
      </c>
      <c r="DT25" s="27">
        <v>6.9835217941265597</v>
      </c>
      <c r="DU25" s="27">
        <v>6.61431580206541</v>
      </c>
      <c r="DV25" s="27">
        <v>2.5926872449295599</v>
      </c>
      <c r="DW25" s="241">
        <v>11.22</v>
      </c>
      <c r="DX25" s="27">
        <v>9.7839949293091806</v>
      </c>
      <c r="DY25" s="260">
        <v>435.0094544736624</v>
      </c>
      <c r="DZ25" s="253">
        <v>95.3888242142027</v>
      </c>
      <c r="EA25" s="253">
        <v>130.96</v>
      </c>
      <c r="EB25" s="120">
        <v>116.83085614154321</v>
      </c>
      <c r="EC25" s="253">
        <v>148.33623896273411</v>
      </c>
      <c r="ED25" s="259">
        <v>151.06</v>
      </c>
      <c r="EE25" s="254">
        <v>57.941549990673245</v>
      </c>
      <c r="EF25" s="298">
        <v>272.33009708737865</v>
      </c>
      <c r="EG25" s="298">
        <v>186.053805847413</v>
      </c>
      <c r="EH25" s="259">
        <v>228.19</v>
      </c>
      <c r="EI25" s="259">
        <v>406.17</v>
      </c>
      <c r="EJ25" s="254">
        <v>373.21999999999997</v>
      </c>
      <c r="EK25" s="254">
        <v>327.08943466282454</v>
      </c>
      <c r="EL25" s="114">
        <v>334.575654669529</v>
      </c>
      <c r="EM25" s="114">
        <v>384.94631950000002</v>
      </c>
      <c r="EN25" s="114">
        <v>708.29701550000004</v>
      </c>
      <c r="EO25" s="230">
        <v>761.6968753000001</v>
      </c>
      <c r="EP25" s="114">
        <v>914.21201719999999</v>
      </c>
      <c r="EQ25" s="253">
        <v>193.64305501102947</v>
      </c>
      <c r="ER25" s="253">
        <v>340.52949999999998</v>
      </c>
      <c r="ES25" s="253">
        <v>318.82000000000005</v>
      </c>
      <c r="ET25" s="115">
        <v>258.73580615687757</v>
      </c>
      <c r="EU25" s="117">
        <v>277.42022704449863</v>
      </c>
      <c r="EV25" s="117">
        <v>271.68526591760445</v>
      </c>
      <c r="EW25" s="117">
        <v>597.42182423886277</v>
      </c>
      <c r="EX25" s="239">
        <v>606.60050713640123</v>
      </c>
      <c r="EY25" s="117">
        <v>627.63994525353496</v>
      </c>
      <c r="EZ25" s="254">
        <v>84.861844262193756</v>
      </c>
      <c r="FA25" s="254">
        <v>83.837091929686338</v>
      </c>
      <c r="FB25" s="254">
        <v>85.42584958918826</v>
      </c>
      <c r="FC25" s="116">
        <v>79.102465178550233</v>
      </c>
      <c r="FD25" s="253">
        <v>82.917039292208926</v>
      </c>
      <c r="FE25" s="253">
        <v>70.58</v>
      </c>
      <c r="FF25" s="257">
        <v>84.346229218138319</v>
      </c>
      <c r="FG25" s="257">
        <v>79.638045895552224</v>
      </c>
      <c r="FH25" s="257">
        <v>68.653652921325303</v>
      </c>
    </row>
    <row r="26" spans="1:164" ht="17.100000000000001" customHeight="1" x14ac:dyDescent="0.2">
      <c r="A26" s="345">
        <v>18</v>
      </c>
      <c r="B26" s="341" t="s">
        <v>417</v>
      </c>
      <c r="C26" s="114">
        <v>0</v>
      </c>
      <c r="D26" s="114">
        <v>0</v>
      </c>
      <c r="E26" s="114">
        <v>0</v>
      </c>
      <c r="F26" s="114">
        <v>0</v>
      </c>
      <c r="G26" s="114">
        <v>27.707746808</v>
      </c>
      <c r="H26" s="114">
        <v>52.235793153000003</v>
      </c>
      <c r="I26" s="114">
        <v>30.457917722000001</v>
      </c>
      <c r="J26" s="230">
        <v>6.162861554</v>
      </c>
      <c r="K26" s="114">
        <v>9.49</v>
      </c>
      <c r="L26" s="114">
        <v>0</v>
      </c>
      <c r="M26" s="114">
        <v>0</v>
      </c>
      <c r="N26" s="114">
        <v>0</v>
      </c>
      <c r="O26" s="114">
        <v>0</v>
      </c>
      <c r="P26" s="114">
        <v>0.493021547</v>
      </c>
      <c r="Q26" s="114">
        <v>6.4694385140000001</v>
      </c>
      <c r="R26" s="114">
        <v>-4.0782051109999999</v>
      </c>
      <c r="S26" s="230">
        <v>0.96063419100000003</v>
      </c>
      <c r="T26" s="114">
        <v>-0.79</v>
      </c>
      <c r="U26" s="114">
        <v>0</v>
      </c>
      <c r="V26" s="114">
        <v>0</v>
      </c>
      <c r="W26" s="114">
        <v>0</v>
      </c>
      <c r="X26" s="114">
        <v>0</v>
      </c>
      <c r="Y26" s="253">
        <v>1.7793635491777013</v>
      </c>
      <c r="Z26" s="254">
        <v>12.39</v>
      </c>
      <c r="AA26" s="252">
        <v>-13.4</v>
      </c>
      <c r="AB26" s="272">
        <v>15.587469920957437</v>
      </c>
      <c r="AC26" s="272">
        <v>-8.324552160168599</v>
      </c>
      <c r="AD26" s="114">
        <v>0</v>
      </c>
      <c r="AE26" s="114">
        <v>0</v>
      </c>
      <c r="AF26" s="114">
        <v>0</v>
      </c>
      <c r="AG26" s="114">
        <v>0</v>
      </c>
      <c r="AH26" s="114">
        <v>0</v>
      </c>
      <c r="AI26" s="114">
        <v>0</v>
      </c>
      <c r="AJ26" s="114">
        <v>0</v>
      </c>
      <c r="AK26" s="230">
        <v>0</v>
      </c>
      <c r="AL26" s="114">
        <v>0</v>
      </c>
      <c r="AM26" s="114">
        <v>0</v>
      </c>
      <c r="AN26" s="114">
        <v>0</v>
      </c>
      <c r="AO26" s="114">
        <v>0</v>
      </c>
      <c r="AP26" s="114">
        <v>0</v>
      </c>
      <c r="AQ26" s="114">
        <v>0</v>
      </c>
      <c r="AR26" s="114">
        <v>0</v>
      </c>
      <c r="AS26" s="114">
        <v>0</v>
      </c>
      <c r="AT26" s="230">
        <v>0</v>
      </c>
      <c r="AU26" s="230">
        <v>0</v>
      </c>
      <c r="AV26" s="114">
        <v>0</v>
      </c>
      <c r="AW26" s="114">
        <v>0</v>
      </c>
      <c r="AX26" s="114">
        <v>0</v>
      </c>
      <c r="AY26" s="114">
        <v>0</v>
      </c>
      <c r="AZ26" s="114">
        <v>0</v>
      </c>
      <c r="BA26" s="256" t="s">
        <v>167</v>
      </c>
      <c r="BB26" s="257"/>
      <c r="BC26" s="258"/>
      <c r="BD26" s="258"/>
      <c r="BE26" s="114">
        <v>0</v>
      </c>
      <c r="BF26" s="114">
        <v>0</v>
      </c>
      <c r="BG26" s="114">
        <v>0</v>
      </c>
      <c r="BH26" s="114">
        <v>0</v>
      </c>
      <c r="BI26" s="114">
        <v>0</v>
      </c>
      <c r="BJ26" s="114">
        <v>8.8760454860000007</v>
      </c>
      <c r="BK26" s="114">
        <v>45.052174821999998</v>
      </c>
      <c r="BL26" s="230">
        <v>49.984851837999997</v>
      </c>
      <c r="BM26" s="114">
        <v>37.619999999999997</v>
      </c>
      <c r="BN26" s="114">
        <v>0</v>
      </c>
      <c r="BO26" s="114">
        <v>0</v>
      </c>
      <c r="BP26" s="114">
        <v>0</v>
      </c>
      <c r="BQ26" s="114">
        <v>0</v>
      </c>
      <c r="BR26" s="114">
        <v>0</v>
      </c>
      <c r="BS26" s="114">
        <v>2.5877133460000001</v>
      </c>
      <c r="BT26" s="114">
        <v>67.890312651000002</v>
      </c>
      <c r="BU26" s="230">
        <v>41.444084441999998</v>
      </c>
      <c r="BV26" s="114">
        <v>44.38</v>
      </c>
      <c r="BW26" s="114">
        <v>0</v>
      </c>
      <c r="BX26" s="114">
        <v>0</v>
      </c>
      <c r="BY26" s="114">
        <v>0</v>
      </c>
      <c r="BZ26" s="114">
        <v>0</v>
      </c>
      <c r="CA26" s="114">
        <v>0</v>
      </c>
      <c r="CB26" s="118">
        <v>29.15</v>
      </c>
      <c r="CC26" s="254">
        <v>150.69264229581128</v>
      </c>
      <c r="CD26" s="298">
        <v>82.913288562541965</v>
      </c>
      <c r="CE26" s="298">
        <v>117.96916533758642</v>
      </c>
      <c r="CF26" s="114">
        <v>0</v>
      </c>
      <c r="CG26" s="114">
        <v>0</v>
      </c>
      <c r="CH26" s="114">
        <v>0</v>
      </c>
      <c r="CI26" s="114">
        <v>0</v>
      </c>
      <c r="CJ26" s="114">
        <v>16.872341507000002</v>
      </c>
      <c r="CK26" s="114">
        <v>46.955288975000002</v>
      </c>
      <c r="CL26" s="114">
        <v>44.022413641999997</v>
      </c>
      <c r="CM26" s="230">
        <v>28.436999245999999</v>
      </c>
      <c r="CN26" s="114">
        <v>36.979999999999997</v>
      </c>
      <c r="CO26" s="114">
        <v>0</v>
      </c>
      <c r="CP26" s="114">
        <v>0</v>
      </c>
      <c r="CQ26" s="114">
        <v>0</v>
      </c>
      <c r="CR26" s="114">
        <v>0</v>
      </c>
      <c r="CS26" s="114">
        <v>1.331406232</v>
      </c>
      <c r="CT26" s="114">
        <v>21.633176443</v>
      </c>
      <c r="CU26" s="114">
        <v>15.270389157</v>
      </c>
      <c r="CV26" s="230">
        <v>7.6162558320000002</v>
      </c>
      <c r="CW26" s="114">
        <v>10.56</v>
      </c>
      <c r="CX26" s="114">
        <v>0</v>
      </c>
      <c r="CY26" s="114">
        <v>0</v>
      </c>
      <c r="CZ26" s="114">
        <v>0</v>
      </c>
      <c r="DA26" s="114">
        <v>0</v>
      </c>
      <c r="DB26" s="253">
        <v>7.8910578679765679</v>
      </c>
      <c r="DC26" s="253">
        <v>46.07</v>
      </c>
      <c r="DD26" s="254">
        <v>34.68775992425627</v>
      </c>
      <c r="DE26" s="298">
        <v>26.782909708981752</v>
      </c>
      <c r="DF26" s="298">
        <v>28.555976203353168</v>
      </c>
      <c r="DG26" s="27">
        <v>0</v>
      </c>
      <c r="DH26" s="27">
        <v>0</v>
      </c>
      <c r="DI26" s="27">
        <v>0</v>
      </c>
      <c r="DJ26" s="27">
        <v>0</v>
      </c>
      <c r="DK26" s="27">
        <v>0</v>
      </c>
      <c r="DL26" s="27">
        <v>0.245311737</v>
      </c>
      <c r="DM26" s="27">
        <v>2.8966804000000002</v>
      </c>
      <c r="DN26" s="241">
        <v>3.8004653390000001</v>
      </c>
      <c r="DO26" s="27">
        <v>4.3899999999999997</v>
      </c>
      <c r="DP26" s="27">
        <v>0</v>
      </c>
      <c r="DQ26" s="27">
        <v>0</v>
      </c>
      <c r="DR26" s="27">
        <v>0</v>
      </c>
      <c r="DS26" s="27">
        <v>0</v>
      </c>
      <c r="DT26" s="27">
        <v>0</v>
      </c>
      <c r="DU26" s="27">
        <v>7.7291738999999998E-2</v>
      </c>
      <c r="DV26" s="27">
        <v>2.3513975619999998</v>
      </c>
      <c r="DW26" s="241">
        <v>6.2868406429999997</v>
      </c>
      <c r="DX26" s="27">
        <v>4.5</v>
      </c>
      <c r="DY26" s="27">
        <v>0</v>
      </c>
      <c r="DZ26" s="27">
        <v>0</v>
      </c>
      <c r="EA26" s="27">
        <v>0</v>
      </c>
      <c r="EB26" s="27">
        <v>0</v>
      </c>
      <c r="EC26" s="121" t="s">
        <v>167</v>
      </c>
      <c r="ED26" s="122">
        <v>31.51</v>
      </c>
      <c r="EE26" s="254">
        <v>81.175595416049333</v>
      </c>
      <c r="EF26" s="298">
        <v>165.42291751710144</v>
      </c>
      <c r="EG26" s="298">
        <v>102.50569476082005</v>
      </c>
      <c r="EH26" s="254"/>
      <c r="EI26" s="254"/>
      <c r="EJ26" s="254"/>
      <c r="EK26" s="254"/>
      <c r="EL26" s="114">
        <v>44.580088314999998</v>
      </c>
      <c r="EM26" s="114">
        <v>108.31243935100001</v>
      </c>
      <c r="EN26" s="114">
        <v>122.429186586</v>
      </c>
      <c r="EO26" s="230">
        <v>88.385177976999998</v>
      </c>
      <c r="EP26" s="114">
        <v>88.48</v>
      </c>
      <c r="EQ26" s="253"/>
      <c r="ER26" s="253"/>
      <c r="ES26" s="253"/>
      <c r="ET26" s="115"/>
      <c r="EU26" s="117">
        <v>1.8244277790000001</v>
      </c>
      <c r="EV26" s="117">
        <v>30.767620042000001</v>
      </c>
      <c r="EW26" s="117">
        <v>81.433894258999999</v>
      </c>
      <c r="EX26" s="239">
        <v>56.307815107999993</v>
      </c>
      <c r="EY26" s="117">
        <v>58.650000000000006</v>
      </c>
      <c r="EZ26" s="254"/>
      <c r="FA26" s="254"/>
      <c r="FB26" s="254"/>
      <c r="FC26" s="116"/>
      <c r="FD26" s="253">
        <v>4.0924723300427592</v>
      </c>
      <c r="FE26" s="253">
        <v>28.41</v>
      </c>
      <c r="FF26" s="257">
        <v>66.515098670362406</v>
      </c>
      <c r="FG26" s="257">
        <v>63.707305225603186</v>
      </c>
      <c r="FH26" s="257">
        <v>66.286166365280295</v>
      </c>
    </row>
    <row r="27" spans="1:164" ht="17.100000000000001" customHeight="1" x14ac:dyDescent="0.2">
      <c r="A27" s="345">
        <v>19</v>
      </c>
      <c r="B27" s="341" t="s">
        <v>60</v>
      </c>
      <c r="C27" s="254">
        <v>0.46</v>
      </c>
      <c r="D27" s="254">
        <v>0.47</v>
      </c>
      <c r="E27" s="254">
        <v>0.35</v>
      </c>
      <c r="F27" s="254">
        <v>0.32530170000000003</v>
      </c>
      <c r="G27" s="114">
        <v>0.5776</v>
      </c>
      <c r="H27" s="114">
        <v>0.48807820000000002</v>
      </c>
      <c r="I27" s="114">
        <v>0.8694923</v>
      </c>
      <c r="J27" s="230">
        <v>3.05</v>
      </c>
      <c r="K27" s="114">
        <v>2.7466381000000002</v>
      </c>
      <c r="L27" s="252">
        <v>0.24547306999999999</v>
      </c>
      <c r="M27" s="252">
        <v>0.72809999999999997</v>
      </c>
      <c r="N27" s="252">
        <v>0.22</v>
      </c>
      <c r="O27" s="115">
        <v>1.0436076999999999</v>
      </c>
      <c r="P27" s="114">
        <v>-0.42409999999999998</v>
      </c>
      <c r="Q27" s="114">
        <v>2.24636E-2</v>
      </c>
      <c r="R27" s="114">
        <v>0.32170910000000003</v>
      </c>
      <c r="S27" s="230">
        <v>0.97</v>
      </c>
      <c r="T27" s="114">
        <v>2.5493096</v>
      </c>
      <c r="U27" s="253">
        <v>53.658324583607765</v>
      </c>
      <c r="V27" s="254">
        <v>154.91489361702128</v>
      </c>
      <c r="W27" s="254">
        <v>62.86</v>
      </c>
      <c r="X27" s="116">
        <v>320.81224905987267</v>
      </c>
      <c r="Y27" s="253">
        <v>-73.424515235457051</v>
      </c>
      <c r="Z27" s="254">
        <v>4.5999999999999996</v>
      </c>
      <c r="AA27" s="252">
        <v>37</v>
      </c>
      <c r="AB27" s="272">
        <v>31.803278688524589</v>
      </c>
      <c r="AC27" s="272">
        <v>92.815635230575197</v>
      </c>
      <c r="AD27" s="254">
        <v>0.03</v>
      </c>
      <c r="AE27" s="259">
        <v>0.01</v>
      </c>
      <c r="AF27" s="254">
        <v>0.02</v>
      </c>
      <c r="AG27" s="254">
        <v>7.0245000000000004E-3</v>
      </c>
      <c r="AH27" s="114">
        <v>3.3599999999999998E-2</v>
      </c>
      <c r="AI27" s="114">
        <v>5.5852600000000002E-2</v>
      </c>
      <c r="AJ27" s="114">
        <v>2.64491E-2</v>
      </c>
      <c r="AK27" s="230">
        <v>0.21</v>
      </c>
      <c r="AL27" s="114">
        <v>1.29882E-2</v>
      </c>
      <c r="AM27" s="253">
        <v>-9.0628899999999988E-3</v>
      </c>
      <c r="AN27" s="253">
        <v>-8.5000000000000006E-3</v>
      </c>
      <c r="AO27" s="253">
        <v>-2.5999999999999999E-3</v>
      </c>
      <c r="AP27" s="115">
        <v>-4.9125000000000002E-3</v>
      </c>
      <c r="AQ27" s="114">
        <v>8.6E-3</v>
      </c>
      <c r="AR27" s="114">
        <v>7.8744999999999996E-3</v>
      </c>
      <c r="AS27" s="114">
        <v>-5.3420999999999998E-3</v>
      </c>
      <c r="AT27" s="230">
        <v>0.05</v>
      </c>
      <c r="AU27" s="114">
        <v>-3.1946200000000001E-2</v>
      </c>
      <c r="AV27" s="252">
        <v>-33.661062525096149</v>
      </c>
      <c r="AW27" s="253">
        <v>-85</v>
      </c>
      <c r="AX27" s="271">
        <v>0</v>
      </c>
      <c r="AY27" s="116">
        <v>-69.933803117659622</v>
      </c>
      <c r="AZ27" s="253">
        <v>25.595238095238098</v>
      </c>
      <c r="BA27" s="256">
        <v>14.1</v>
      </c>
      <c r="BB27" s="257">
        <v>-20.197662680393659</v>
      </c>
      <c r="BC27" s="258">
        <v>23.80952380952381</v>
      </c>
      <c r="BD27" s="258">
        <v>-245.96325895813101</v>
      </c>
      <c r="BE27" s="254">
        <v>0.46</v>
      </c>
      <c r="BF27" s="259">
        <v>0.39</v>
      </c>
      <c r="BG27" s="254">
        <v>1.1399999999999999</v>
      </c>
      <c r="BH27" s="254">
        <v>12.984908600000001</v>
      </c>
      <c r="BI27" s="117">
        <v>33.1233</v>
      </c>
      <c r="BJ27" s="117">
        <v>59.030044799999999</v>
      </c>
      <c r="BK27" s="117">
        <v>74.758491199999995</v>
      </c>
      <c r="BL27" s="239">
        <v>123.3013905</v>
      </c>
      <c r="BM27" s="117">
        <v>226.6425213</v>
      </c>
      <c r="BN27" s="253">
        <v>1.4314920599999994</v>
      </c>
      <c r="BO27" s="253">
        <v>-0.45600000000000002</v>
      </c>
      <c r="BP27" s="253">
        <v>1.23</v>
      </c>
      <c r="BQ27" s="115">
        <v>15.7674916</v>
      </c>
      <c r="BR27" s="114">
        <v>37.9377</v>
      </c>
      <c r="BS27" s="114">
        <v>60.470289600000001</v>
      </c>
      <c r="BT27" s="114">
        <v>77.671164000000005</v>
      </c>
      <c r="BU27" s="230">
        <v>123.92675130000001</v>
      </c>
      <c r="BV27" s="114">
        <v>209.7486261</v>
      </c>
      <c r="BW27" s="252">
        <v>313.06280280888706</v>
      </c>
      <c r="BX27" s="253">
        <v>-116.92307692307693</v>
      </c>
      <c r="BY27" s="254">
        <v>107.89</v>
      </c>
      <c r="BZ27" s="116">
        <v>121.42936146658745</v>
      </c>
      <c r="CA27" s="114">
        <v>114.53478367191674</v>
      </c>
      <c r="CB27" s="118">
        <v>102.44</v>
      </c>
      <c r="CC27" s="254">
        <v>103.89610966359366</v>
      </c>
      <c r="CD27" s="298">
        <v>100.50718065503081</v>
      </c>
      <c r="CE27" s="298">
        <v>92.546016915493993</v>
      </c>
      <c r="CF27" s="254">
        <v>0.02</v>
      </c>
      <c r="CG27" s="259">
        <v>0.35</v>
      </c>
      <c r="CH27" s="254">
        <v>0.19</v>
      </c>
      <c r="CI27" s="254">
        <v>8.9443800000000004E-2</v>
      </c>
      <c r="CJ27" s="117">
        <v>0.1303</v>
      </c>
      <c r="CK27" s="117">
        <v>0.1260348</v>
      </c>
      <c r="CL27" s="117">
        <v>0.28437659999999998</v>
      </c>
      <c r="CM27" s="239">
        <v>11.85</v>
      </c>
      <c r="CN27" s="117">
        <v>9.9918522000000003</v>
      </c>
      <c r="CO27" s="253">
        <v>1.4892900000000001E-2</v>
      </c>
      <c r="CP27" s="253">
        <v>0.40789999999999998</v>
      </c>
      <c r="CQ27" s="253">
        <v>0.18009999999999998</v>
      </c>
      <c r="CR27" s="115">
        <v>0.11332739999999999</v>
      </c>
      <c r="CS27" s="114">
        <v>2.3699999999999999E-2</v>
      </c>
      <c r="CT27" s="114">
        <v>4.1425400000000001E-2</v>
      </c>
      <c r="CU27" s="114">
        <v>0.24193049999999999</v>
      </c>
      <c r="CV27" s="230">
        <v>11.52</v>
      </c>
      <c r="CW27" s="114">
        <v>10.9450539</v>
      </c>
      <c r="CX27" s="252">
        <v>96.453520204729216</v>
      </c>
      <c r="CY27" s="254">
        <v>116.54285714285714</v>
      </c>
      <c r="CZ27" s="254">
        <v>94.74</v>
      </c>
      <c r="DA27" s="116">
        <v>126.70235388031365</v>
      </c>
      <c r="DB27" s="253">
        <v>18.188795088257866</v>
      </c>
      <c r="DC27" s="253">
        <v>32.869999999999997</v>
      </c>
      <c r="DD27" s="254">
        <v>85.073982880447971</v>
      </c>
      <c r="DE27" s="298">
        <v>97.215189873417714</v>
      </c>
      <c r="DF27" s="298">
        <v>109.539789829958</v>
      </c>
      <c r="DG27" s="254">
        <v>17.510000000000002</v>
      </c>
      <c r="DH27" s="259">
        <v>18.309999999999999</v>
      </c>
      <c r="DI27" s="254">
        <v>19.79</v>
      </c>
      <c r="DJ27" s="254">
        <v>24.056805399999998</v>
      </c>
      <c r="DK27" s="27">
        <v>26.326599999999999</v>
      </c>
      <c r="DL27" s="27">
        <v>29.8663439</v>
      </c>
      <c r="DM27" s="27">
        <v>38.363284800000002</v>
      </c>
      <c r="DN27" s="241">
        <v>44.489797500000002</v>
      </c>
      <c r="DO27" s="27">
        <v>57.648555899999998</v>
      </c>
      <c r="DP27" s="253">
        <v>9.7765863830000015</v>
      </c>
      <c r="DQ27" s="253">
        <v>4.7443999999999997</v>
      </c>
      <c r="DR27" s="253">
        <v>3.73</v>
      </c>
      <c r="DS27" s="119">
        <v>8.9191728999999995</v>
      </c>
      <c r="DT27" s="27">
        <v>8.4779999999999998</v>
      </c>
      <c r="DU27" s="27">
        <v>14.2421738</v>
      </c>
      <c r="DV27" s="27">
        <v>7.7119166999999997</v>
      </c>
      <c r="DW27" s="241">
        <v>22.623314799999999</v>
      </c>
      <c r="DX27" s="27">
        <v>18.0098503</v>
      </c>
      <c r="DY27" s="260">
        <v>55.82921883773033</v>
      </c>
      <c r="DZ27" s="253">
        <v>25.911523757509556</v>
      </c>
      <c r="EA27" s="253">
        <v>18.850000000000001</v>
      </c>
      <c r="EB27" s="120">
        <v>37.075466803252269</v>
      </c>
      <c r="EC27" s="253">
        <v>32.203170937378928</v>
      </c>
      <c r="ED27" s="259">
        <v>47.69</v>
      </c>
      <c r="EE27" s="254">
        <v>20.102336752977941</v>
      </c>
      <c r="EF27" s="298">
        <v>50.850568155541723</v>
      </c>
      <c r="EG27" s="298">
        <v>31.240765737897704</v>
      </c>
      <c r="EH27" s="259">
        <v>18.47</v>
      </c>
      <c r="EI27" s="259">
        <v>19.52</v>
      </c>
      <c r="EJ27" s="254">
        <v>21.49</v>
      </c>
      <c r="EK27" s="254">
        <v>37.463484000000001</v>
      </c>
      <c r="EL27" s="114">
        <v>60.191399999999994</v>
      </c>
      <c r="EM27" s="114">
        <v>89.5663543</v>
      </c>
      <c r="EN27" s="114">
        <v>114.302094</v>
      </c>
      <c r="EO27" s="230">
        <v>182.90118800000002</v>
      </c>
      <c r="EP27" s="114">
        <v>297.04255569999998</v>
      </c>
      <c r="EQ27" s="253">
        <v>11.459381523000001</v>
      </c>
      <c r="ER27" s="253">
        <v>5.4159000000000006</v>
      </c>
      <c r="ES27" s="253">
        <v>5.36</v>
      </c>
      <c r="ET27" s="115">
        <v>25.838687099999998</v>
      </c>
      <c r="EU27" s="117">
        <v>46.023899999999998</v>
      </c>
      <c r="EV27" s="117">
        <v>74.784226900000007</v>
      </c>
      <c r="EW27" s="117">
        <v>85.941378200000003</v>
      </c>
      <c r="EX27" s="239">
        <v>159.09006610000003</v>
      </c>
      <c r="EY27" s="117">
        <v>241.2208937</v>
      </c>
      <c r="EZ27" s="254">
        <v>62.04762363196275</v>
      </c>
      <c r="FA27" s="254">
        <v>27.731182795698928</v>
      </c>
      <c r="FB27" s="254">
        <v>24.895535722594992</v>
      </c>
      <c r="FC27" s="116">
        <v>68.970326144786739</v>
      </c>
      <c r="FD27" s="253">
        <v>76.462584355904667</v>
      </c>
      <c r="FE27" s="253">
        <v>83.5</v>
      </c>
      <c r="FF27" s="257">
        <v>75.187929802930825</v>
      </c>
      <c r="FG27" s="257">
        <v>86.981428518660039</v>
      </c>
      <c r="FH27" s="257">
        <v>81.207520293362506</v>
      </c>
    </row>
    <row r="28" spans="1:164" ht="17.100000000000001" customHeight="1" x14ac:dyDescent="0.2">
      <c r="A28" s="345">
        <v>20</v>
      </c>
      <c r="B28" s="341" t="s">
        <v>63</v>
      </c>
      <c r="C28" s="254">
        <v>41.09</v>
      </c>
      <c r="D28" s="254">
        <v>48.39</v>
      </c>
      <c r="E28" s="254">
        <v>56.04</v>
      </c>
      <c r="F28" s="254">
        <v>63.267848151524298</v>
      </c>
      <c r="G28" s="114">
        <v>76.8400727752676</v>
      </c>
      <c r="H28" s="114">
        <v>103.837787381298</v>
      </c>
      <c r="I28" s="114">
        <v>167.558005646102</v>
      </c>
      <c r="J28" s="230">
        <v>243.64839467488099</v>
      </c>
      <c r="K28" s="114">
        <v>344.13865161467203</v>
      </c>
      <c r="L28" s="252">
        <v>36.549199999999999</v>
      </c>
      <c r="M28" s="252">
        <v>36.498400000000004</v>
      </c>
      <c r="N28" s="252">
        <v>36.270000000000003</v>
      </c>
      <c r="O28" s="115">
        <v>67.704437200000001</v>
      </c>
      <c r="P28" s="114">
        <v>47.153129681999999</v>
      </c>
      <c r="Q28" s="114">
        <v>56.424006957330199</v>
      </c>
      <c r="R28" s="114">
        <v>62.580977287491798</v>
      </c>
      <c r="S28" s="230">
        <v>136.29277282124201</v>
      </c>
      <c r="T28" s="114">
        <v>131.44134187017099</v>
      </c>
      <c r="U28" s="253">
        <v>88.950651386127291</v>
      </c>
      <c r="V28" s="254">
        <v>75.42550113659847</v>
      </c>
      <c r="W28" s="254">
        <v>64.715885265646605</v>
      </c>
      <c r="X28" s="116">
        <v>107.01239125100355</v>
      </c>
      <c r="Y28" s="253">
        <v>61.365285038065586</v>
      </c>
      <c r="Z28" s="254">
        <v>54.34</v>
      </c>
      <c r="AA28" s="252">
        <v>37.299999999999997</v>
      </c>
      <c r="AB28" s="272">
        <v>55.938301174981298</v>
      </c>
      <c r="AC28" s="272">
        <v>38.194297924240203</v>
      </c>
      <c r="AD28" s="254">
        <v>19.309999999999999</v>
      </c>
      <c r="AE28" s="259">
        <v>21.87</v>
      </c>
      <c r="AF28" s="254">
        <v>26.83</v>
      </c>
      <c r="AG28" s="254">
        <v>17.719740123573398</v>
      </c>
      <c r="AH28" s="114">
        <v>5.4138979039379</v>
      </c>
      <c r="AI28" s="114">
        <v>5.7903180494175004</v>
      </c>
      <c r="AJ28" s="114">
        <v>6.4009165634256</v>
      </c>
      <c r="AK28" s="230">
        <v>10.82</v>
      </c>
      <c r="AL28" s="114">
        <v>18.691081480245899</v>
      </c>
      <c r="AM28" s="253">
        <v>17.977999999999998</v>
      </c>
      <c r="AN28" s="253">
        <v>18.605499999999999</v>
      </c>
      <c r="AO28" s="253">
        <v>31.424199999999999</v>
      </c>
      <c r="AP28" s="115">
        <v>18.4029892</v>
      </c>
      <c r="AQ28" s="114">
        <v>6.2781743861533101</v>
      </c>
      <c r="AR28" s="114">
        <v>13.016229877873</v>
      </c>
      <c r="AS28" s="114">
        <v>7.0034109921655796</v>
      </c>
      <c r="AT28" s="230">
        <v>14.43</v>
      </c>
      <c r="AU28" s="114">
        <v>17.439843431855099</v>
      </c>
      <c r="AV28" s="252">
        <v>93.103948295148527</v>
      </c>
      <c r="AW28" s="253">
        <v>85.073159579332412</v>
      </c>
      <c r="AX28" s="254">
        <v>117.11</v>
      </c>
      <c r="AY28" s="116">
        <v>103.85586397803681</v>
      </c>
      <c r="AZ28" s="253">
        <v>115.96403363252865</v>
      </c>
      <c r="BA28" s="256">
        <v>224.79</v>
      </c>
      <c r="BB28" s="257">
        <v>109.41262743811708</v>
      </c>
      <c r="BC28" s="258">
        <v>133.36414048059149</v>
      </c>
      <c r="BD28" s="258">
        <v>93.305694752263804</v>
      </c>
      <c r="BE28" s="254">
        <v>1258.28</v>
      </c>
      <c r="BF28" s="259">
        <v>1330.26</v>
      </c>
      <c r="BG28" s="254">
        <v>1296.25</v>
      </c>
      <c r="BH28" s="254">
        <v>1450.4775839956201</v>
      </c>
      <c r="BI28" s="117">
        <v>1735.5216655834699</v>
      </c>
      <c r="BJ28" s="117">
        <v>2118.5762595853898</v>
      </c>
      <c r="BK28" s="117">
        <v>2163.1618397785301</v>
      </c>
      <c r="BL28" s="239">
        <v>2032.6008373136499</v>
      </c>
      <c r="BM28" s="117">
        <v>2746.53102335115</v>
      </c>
      <c r="BN28" s="253">
        <v>1148.2856999999997</v>
      </c>
      <c r="BO28" s="253">
        <v>1212.8887</v>
      </c>
      <c r="BP28" s="253">
        <v>1131.56</v>
      </c>
      <c r="BQ28" s="115">
        <v>1325.6444838</v>
      </c>
      <c r="BR28" s="117">
        <v>1413.86869206594</v>
      </c>
      <c r="BS28" s="117">
        <v>1799.59481060847</v>
      </c>
      <c r="BT28" s="117">
        <v>1830.6722521664301</v>
      </c>
      <c r="BU28" s="239">
        <v>1562.8607020560901</v>
      </c>
      <c r="BV28" s="117">
        <v>2075.5564197281101</v>
      </c>
      <c r="BW28" s="252">
        <v>91.258034252190157</v>
      </c>
      <c r="BX28" s="253">
        <v>91.176815058710332</v>
      </c>
      <c r="BY28" s="254">
        <v>87.29</v>
      </c>
      <c r="BZ28" s="116">
        <v>91.393655333042574</v>
      </c>
      <c r="CA28" s="114">
        <v>81.466496218622979</v>
      </c>
      <c r="CB28" s="118">
        <v>84.94</v>
      </c>
      <c r="CC28" s="254">
        <v>84.629463154447052</v>
      </c>
      <c r="CD28" s="298">
        <v>76.889700789537045</v>
      </c>
      <c r="CE28" s="298">
        <v>75.570106511873405</v>
      </c>
      <c r="CF28" s="254">
        <v>376.63</v>
      </c>
      <c r="CG28" s="259">
        <v>449.27</v>
      </c>
      <c r="CH28" s="254">
        <v>549.48</v>
      </c>
      <c r="CI28" s="254">
        <v>333.31022543493498</v>
      </c>
      <c r="CJ28" s="117">
        <v>671.15745363380302</v>
      </c>
      <c r="CK28" s="117">
        <v>893.78789338932597</v>
      </c>
      <c r="CL28" s="117">
        <v>1248.4180582251299</v>
      </c>
      <c r="CM28" s="239">
        <v>712.32606632575198</v>
      </c>
      <c r="CN28" s="117">
        <v>826.819963636647</v>
      </c>
      <c r="CO28" s="253">
        <v>368.27389999999997</v>
      </c>
      <c r="CP28" s="253">
        <v>482.9076</v>
      </c>
      <c r="CQ28" s="253">
        <v>526.79160000000002</v>
      </c>
      <c r="CR28" s="115">
        <v>328.29015450000003</v>
      </c>
      <c r="CS28" s="114">
        <v>715.08311839203998</v>
      </c>
      <c r="CT28" s="114">
        <v>836.10435683393098</v>
      </c>
      <c r="CU28" s="114">
        <v>1115.57749055317</v>
      </c>
      <c r="CV28" s="230">
        <v>669.31695705720995</v>
      </c>
      <c r="CW28" s="114">
        <v>816.60127163100401</v>
      </c>
      <c r="CX28" s="252">
        <v>97.781298472613202</v>
      </c>
      <c r="CY28" s="254">
        <v>107.4871680726512</v>
      </c>
      <c r="CZ28" s="254">
        <v>95.870566120352237</v>
      </c>
      <c r="DA28" s="116">
        <v>98.4938743093212</v>
      </c>
      <c r="DB28" s="253">
        <v>106.54476300909917</v>
      </c>
      <c r="DC28" s="253">
        <v>93.55</v>
      </c>
      <c r="DD28" s="254">
        <v>89.359288197030821</v>
      </c>
      <c r="DE28" s="298">
        <v>93.962159844804333</v>
      </c>
      <c r="DF28" s="298">
        <v>98.764097088234507</v>
      </c>
      <c r="DG28" s="254">
        <v>44.44</v>
      </c>
      <c r="DH28" s="259">
        <v>68.680000000000007</v>
      </c>
      <c r="DI28" s="254">
        <v>70.8</v>
      </c>
      <c r="DJ28" s="254">
        <v>224.17328931415599</v>
      </c>
      <c r="DK28" s="27">
        <v>366.72757502559398</v>
      </c>
      <c r="DL28" s="27">
        <v>410.25719378308798</v>
      </c>
      <c r="DM28" s="27">
        <v>493.07149685243797</v>
      </c>
      <c r="DN28" s="241">
        <v>661.71450170647199</v>
      </c>
      <c r="DO28" s="27">
        <v>1197.6175725844701</v>
      </c>
      <c r="DP28" s="253">
        <v>32.535199999999911</v>
      </c>
      <c r="DQ28" s="253">
        <v>53.404000000000018</v>
      </c>
      <c r="DR28" s="253">
        <v>61.47</v>
      </c>
      <c r="DS28" s="119">
        <v>186.67775970000099</v>
      </c>
      <c r="DT28" s="27">
        <v>236.753206996713</v>
      </c>
      <c r="DU28" s="27">
        <v>326.164219934789</v>
      </c>
      <c r="DV28" s="27">
        <v>396.08879793934398</v>
      </c>
      <c r="DW28" s="241">
        <v>530.52651982412101</v>
      </c>
      <c r="DX28" s="27">
        <v>938.94023149627003</v>
      </c>
      <c r="DY28" s="260">
        <v>73.204108494864187</v>
      </c>
      <c r="DZ28" s="253">
        <v>77.757716948165424</v>
      </c>
      <c r="EA28" s="253">
        <v>86.822155457716065</v>
      </c>
      <c r="EB28" s="120">
        <v>83.273863835932374</v>
      </c>
      <c r="EC28" s="253">
        <v>64.558332429785239</v>
      </c>
      <c r="ED28" s="259">
        <v>79.5</v>
      </c>
      <c r="EE28" s="254">
        <v>80.330905450387831</v>
      </c>
      <c r="EF28" s="298">
        <v>80.174534252455558</v>
      </c>
      <c r="EG28" s="298">
        <v>78.400672551090594</v>
      </c>
      <c r="EH28" s="259">
        <v>1739.76</v>
      </c>
      <c r="EI28" s="259">
        <v>1918.46</v>
      </c>
      <c r="EJ28" s="254">
        <v>1999.3999999999999</v>
      </c>
      <c r="EK28" s="254">
        <v>2088.9486870198089</v>
      </c>
      <c r="EL28" s="117">
        <v>2855.6606649220721</v>
      </c>
      <c r="EM28" s="117">
        <v>3532.2494521885192</v>
      </c>
      <c r="EN28" s="117">
        <v>4078.6103170656261</v>
      </c>
      <c r="EO28" s="239">
        <v>3661.1098000207548</v>
      </c>
      <c r="EP28" s="117">
        <v>5133.7982926671903</v>
      </c>
      <c r="EQ28" s="253">
        <v>1603.6219999999996</v>
      </c>
      <c r="ER28" s="253">
        <v>1804.3041999999998</v>
      </c>
      <c r="ES28" s="253">
        <v>1787.51</v>
      </c>
      <c r="ET28" s="115">
        <v>1926.719824400001</v>
      </c>
      <c r="EU28" s="117">
        <v>2419.1363215228462</v>
      </c>
      <c r="EV28" s="117">
        <v>3031.3036242123931</v>
      </c>
      <c r="EW28" s="117">
        <v>3411.9229289386012</v>
      </c>
      <c r="EX28" s="239">
        <v>2913.4269517586627</v>
      </c>
      <c r="EY28" s="117">
        <v>3979.9791081574099</v>
      </c>
      <c r="EZ28" s="254">
        <v>92.174998351782321</v>
      </c>
      <c r="FA28" s="254">
        <v>94.049122477807828</v>
      </c>
      <c r="FB28" s="254">
        <v>89.402565470924017</v>
      </c>
      <c r="FC28" s="116">
        <v>92.233946978790996</v>
      </c>
      <c r="FD28" s="253">
        <v>84.713717958112568</v>
      </c>
      <c r="FE28" s="253">
        <v>85.82</v>
      </c>
      <c r="FF28" s="257">
        <v>83.654055271289664</v>
      </c>
      <c r="FG28" s="257">
        <v>79.577699410767366</v>
      </c>
      <c r="FH28" s="257">
        <v>77.525038602357597</v>
      </c>
    </row>
    <row r="29" spans="1:164" ht="17.100000000000001" customHeight="1" x14ac:dyDescent="0.2">
      <c r="A29" s="324">
        <v>21</v>
      </c>
      <c r="B29" s="341" t="s">
        <v>111</v>
      </c>
      <c r="C29" s="254">
        <v>16.78</v>
      </c>
      <c r="D29" s="254">
        <v>18.239999999999998</v>
      </c>
      <c r="E29" s="254">
        <v>21.74</v>
      </c>
      <c r="F29" s="254">
        <v>24.290380500000001</v>
      </c>
      <c r="G29" s="114">
        <v>29.9240681</v>
      </c>
      <c r="H29" s="114">
        <v>30.819494599999999</v>
      </c>
      <c r="I29" s="114">
        <v>38.071195500000002</v>
      </c>
      <c r="J29" s="230">
        <v>55.096461400000003</v>
      </c>
      <c r="K29" s="114">
        <v>61.233792700000002</v>
      </c>
      <c r="L29" s="252">
        <v>7.7704999999999993</v>
      </c>
      <c r="M29" s="252">
        <v>9.3298000000000005</v>
      </c>
      <c r="N29" s="252">
        <v>10.96</v>
      </c>
      <c r="O29" s="115">
        <v>11.683117899999999</v>
      </c>
      <c r="P29" s="114">
        <v>13.3895473</v>
      </c>
      <c r="Q29" s="114">
        <v>24.040823799999998</v>
      </c>
      <c r="R29" s="114">
        <v>19.9735233</v>
      </c>
      <c r="S29" s="230">
        <v>33.314873800000001</v>
      </c>
      <c r="T29" s="114">
        <v>18.672437200000001</v>
      </c>
      <c r="U29" s="253">
        <v>46.316661600176424</v>
      </c>
      <c r="V29" s="254">
        <v>51.154145603280952</v>
      </c>
      <c r="W29" s="254">
        <v>50.410345113120911</v>
      </c>
      <c r="X29" s="116">
        <v>48.097714648809223</v>
      </c>
      <c r="Y29" s="253">
        <v>44.745076956966287</v>
      </c>
      <c r="Z29" s="254">
        <v>78.010000000000005</v>
      </c>
      <c r="AA29" s="252">
        <v>52.5</v>
      </c>
      <c r="AB29" s="272">
        <v>60.466449121177135</v>
      </c>
      <c r="AC29" s="272">
        <v>30.493680656824601</v>
      </c>
      <c r="AD29" s="254">
        <v>9.58</v>
      </c>
      <c r="AE29" s="259">
        <v>12.13</v>
      </c>
      <c r="AF29" s="254">
        <v>14.12</v>
      </c>
      <c r="AG29" s="254">
        <v>14.7584286</v>
      </c>
      <c r="AH29" s="114">
        <v>16.069952900000001</v>
      </c>
      <c r="AI29" s="114">
        <v>18.350930099999999</v>
      </c>
      <c r="AJ29" s="114">
        <v>19.9702415</v>
      </c>
      <c r="AK29" s="230">
        <v>19.66</v>
      </c>
      <c r="AL29" s="114">
        <v>21.981143899999999</v>
      </c>
      <c r="AM29" s="253">
        <v>7.3170999999999999</v>
      </c>
      <c r="AN29" s="253">
        <v>9.8600999999999992</v>
      </c>
      <c r="AO29" s="253">
        <v>10.863399999999999</v>
      </c>
      <c r="AP29" s="115">
        <v>7.4477190000000002</v>
      </c>
      <c r="AQ29" s="114">
        <v>7.4548959000000004</v>
      </c>
      <c r="AR29" s="114">
        <v>15.838263700000001</v>
      </c>
      <c r="AS29" s="114">
        <v>11.7758626</v>
      </c>
      <c r="AT29" s="230">
        <v>9.3800000000000008</v>
      </c>
      <c r="AU29" s="114">
        <v>17.7990052</v>
      </c>
      <c r="AV29" s="252">
        <v>76.416404707946484</v>
      </c>
      <c r="AW29" s="253">
        <v>81.262774444517703</v>
      </c>
      <c r="AX29" s="254">
        <v>76.91</v>
      </c>
      <c r="AY29" s="116">
        <v>50.464173401225111</v>
      </c>
      <c r="AZ29" s="253">
        <v>46.390278468084375</v>
      </c>
      <c r="BA29" s="256">
        <v>86.31</v>
      </c>
      <c r="BB29" s="257">
        <v>58.967051550177793</v>
      </c>
      <c r="BC29" s="258">
        <v>47.711088504577823</v>
      </c>
      <c r="BD29" s="258">
        <v>80.973971513830094</v>
      </c>
      <c r="BE29" s="254">
        <v>1023.1</v>
      </c>
      <c r="BF29" s="259">
        <v>1030.45</v>
      </c>
      <c r="BG29" s="254">
        <v>1120.8699999999999</v>
      </c>
      <c r="BH29" s="254">
        <v>1436.1787380999999</v>
      </c>
      <c r="BI29" s="117">
        <v>1619.7758874000001</v>
      </c>
      <c r="BJ29" s="117">
        <v>1731.4760409</v>
      </c>
      <c r="BK29" s="117">
        <v>1691.4086248000001</v>
      </c>
      <c r="BL29" s="239">
        <v>1620.9667795</v>
      </c>
      <c r="BM29" s="117">
        <v>1711.2439216</v>
      </c>
      <c r="BN29" s="253">
        <v>851.91649999999993</v>
      </c>
      <c r="BO29" s="253">
        <v>874.37880000000007</v>
      </c>
      <c r="BP29" s="253">
        <v>927.85</v>
      </c>
      <c r="BQ29" s="115">
        <v>1179.81</v>
      </c>
      <c r="BR29" s="117">
        <v>1376.5781646</v>
      </c>
      <c r="BS29" s="117">
        <v>1540.252954</v>
      </c>
      <c r="BT29" s="117">
        <v>1559.9379196</v>
      </c>
      <c r="BU29" s="239">
        <v>1424.6174715</v>
      </c>
      <c r="BV29" s="117">
        <v>1467.5763554</v>
      </c>
      <c r="BW29" s="252">
        <v>83.268326520853961</v>
      </c>
      <c r="BX29" s="253">
        <v>84.853892300875287</v>
      </c>
      <c r="BY29" s="254">
        <v>82.779513389058664</v>
      </c>
      <c r="BZ29" s="116">
        <v>82.149245682388781</v>
      </c>
      <c r="CA29" s="114">
        <v>84.985717796406306</v>
      </c>
      <c r="CB29" s="118">
        <v>88.96</v>
      </c>
      <c r="CC29" s="254">
        <v>92.227147049368639</v>
      </c>
      <c r="CD29" s="298">
        <v>87.886901170142082</v>
      </c>
      <c r="CE29" s="298">
        <v>85.760792887306607</v>
      </c>
      <c r="CF29" s="254">
        <v>206.03</v>
      </c>
      <c r="CG29" s="259">
        <v>225.77</v>
      </c>
      <c r="CH29" s="254">
        <v>215.65</v>
      </c>
      <c r="CI29" s="254">
        <v>226.22</v>
      </c>
      <c r="CJ29" s="117">
        <v>251.7611</v>
      </c>
      <c r="CK29" s="117">
        <v>306.50079249999999</v>
      </c>
      <c r="CL29" s="117">
        <v>348.44379559999999</v>
      </c>
      <c r="CM29" s="239">
        <v>339.10574889999998</v>
      </c>
      <c r="CN29" s="117">
        <v>354.6374055</v>
      </c>
      <c r="CO29" s="253">
        <v>117.61280000000001</v>
      </c>
      <c r="CP29" s="253">
        <v>119.41630000000001</v>
      </c>
      <c r="CQ29" s="253">
        <v>126.31059999999999</v>
      </c>
      <c r="CR29" s="115">
        <v>140.46</v>
      </c>
      <c r="CS29" s="114">
        <v>154.5992</v>
      </c>
      <c r="CT29" s="114">
        <v>185.50467570000001</v>
      </c>
      <c r="CU29" s="114">
        <v>221.42704169999999</v>
      </c>
      <c r="CV29" s="230">
        <v>230.17127249999999</v>
      </c>
      <c r="CW29" s="114">
        <v>319.94752540000002</v>
      </c>
      <c r="CX29" s="252">
        <v>57.085916117104645</v>
      </c>
      <c r="CY29" s="254">
        <v>52.89252501200329</v>
      </c>
      <c r="CZ29" s="254">
        <v>58.570978776641645</v>
      </c>
      <c r="DA29" s="116">
        <v>62.090000884095133</v>
      </c>
      <c r="DB29" s="253">
        <v>61.407103798005323</v>
      </c>
      <c r="DC29" s="253">
        <v>60.52</v>
      </c>
      <c r="DD29" s="254">
        <v>63.547419841043649</v>
      </c>
      <c r="DE29" s="298">
        <v>67.875957056651359</v>
      </c>
      <c r="DF29" s="298">
        <v>90.218211739088503</v>
      </c>
      <c r="DG29" s="254">
        <v>60.24</v>
      </c>
      <c r="DH29" s="259">
        <v>16.86</v>
      </c>
      <c r="DI29" s="254">
        <v>17.64</v>
      </c>
      <c r="DJ29" s="254">
        <v>19.54</v>
      </c>
      <c r="DK29" s="27">
        <v>22.91</v>
      </c>
      <c r="DL29" s="27">
        <v>99.041844299999994</v>
      </c>
      <c r="DM29" s="27">
        <v>182.22181749999999</v>
      </c>
      <c r="DN29" s="241">
        <v>80.3767718</v>
      </c>
      <c r="DO29" s="27">
        <v>22.123873700000001</v>
      </c>
      <c r="DP29" s="253">
        <v>19.5688</v>
      </c>
      <c r="DQ29" s="253">
        <v>3.662399999999943</v>
      </c>
      <c r="DR29" s="253">
        <v>4.2</v>
      </c>
      <c r="DS29" s="119">
        <v>5.27</v>
      </c>
      <c r="DT29" s="27">
        <v>8.3513999999999999</v>
      </c>
      <c r="DU29" s="27">
        <v>89.215305700000002</v>
      </c>
      <c r="DV29" s="27">
        <v>125.7598654</v>
      </c>
      <c r="DW29" s="241">
        <v>3.1586218000000001</v>
      </c>
      <c r="DX29" s="27">
        <v>4.3990796999999997</v>
      </c>
      <c r="DY29" s="260">
        <v>32.484619904980399</v>
      </c>
      <c r="DZ29" s="253">
        <v>21.719328209507278</v>
      </c>
      <c r="EA29" s="253">
        <v>23.807391198363291</v>
      </c>
      <c r="EB29" s="120">
        <v>26.97031729785056</v>
      </c>
      <c r="EC29" s="253">
        <v>36.453077258838931</v>
      </c>
      <c r="ED29" s="259">
        <v>90.08</v>
      </c>
      <c r="EE29" s="254">
        <v>69.014713564691561</v>
      </c>
      <c r="EF29" s="298">
        <v>3.9297694212695418</v>
      </c>
      <c r="EG29" s="298">
        <v>19.8838583136551</v>
      </c>
      <c r="EH29" s="259">
        <v>1315.72</v>
      </c>
      <c r="EI29" s="259">
        <v>1303.46</v>
      </c>
      <c r="EJ29" s="254">
        <v>1390.02</v>
      </c>
      <c r="EK29" s="254">
        <v>1720.9875471999999</v>
      </c>
      <c r="EL29" s="117">
        <v>1940.4410084000001</v>
      </c>
      <c r="EM29" s="117">
        <v>2186.1891023999997</v>
      </c>
      <c r="EN29" s="117">
        <v>2280.1156749000002</v>
      </c>
      <c r="EO29" s="239">
        <v>2115.2057615999997</v>
      </c>
      <c r="EP29" s="117">
        <v>2171.2201374000001</v>
      </c>
      <c r="EQ29" s="253">
        <v>1004.1856999999999</v>
      </c>
      <c r="ER29" s="253">
        <v>1016.6474000000001</v>
      </c>
      <c r="ES29" s="253">
        <v>1080.18</v>
      </c>
      <c r="ET29" s="115">
        <v>1344.6708369</v>
      </c>
      <c r="EU29" s="117">
        <v>1560.3732078000003</v>
      </c>
      <c r="EV29" s="117">
        <v>1854.8520229000001</v>
      </c>
      <c r="EW29" s="117">
        <v>1938.8742126000002</v>
      </c>
      <c r="EX29" s="239">
        <v>1700.6422396</v>
      </c>
      <c r="EY29" s="117">
        <v>1828.3944028999999</v>
      </c>
      <c r="EZ29" s="254">
        <v>76.322259025110242</v>
      </c>
      <c r="FA29" s="254">
        <v>77.996152389673512</v>
      </c>
      <c r="FB29" s="254">
        <v>77.709785832927579</v>
      </c>
      <c r="FC29" s="116">
        <v>78.133676160977643</v>
      </c>
      <c r="FD29" s="253">
        <v>80.413328776565777</v>
      </c>
      <c r="FE29" s="253">
        <v>84.84</v>
      </c>
      <c r="FF29" s="257">
        <v>85.034028490025364</v>
      </c>
      <c r="FG29" s="257">
        <v>80.400794592843184</v>
      </c>
      <c r="FH29" s="257">
        <v>84.210457125249008</v>
      </c>
    </row>
    <row r="30" spans="1:164" ht="17.100000000000001" customHeight="1" x14ac:dyDescent="0.2">
      <c r="A30" s="324">
        <v>22</v>
      </c>
      <c r="B30" s="341" t="s">
        <v>66</v>
      </c>
      <c r="C30" s="254">
        <v>111.48</v>
      </c>
      <c r="D30" s="254">
        <v>139.41999999999999</v>
      </c>
      <c r="E30" s="254">
        <v>152.78</v>
      </c>
      <c r="F30" s="254">
        <v>171.922863871</v>
      </c>
      <c r="G30" s="114">
        <v>138.34468191799999</v>
      </c>
      <c r="H30" s="114">
        <v>153.61818451900001</v>
      </c>
      <c r="I30" s="114">
        <v>199.04244499000001</v>
      </c>
      <c r="J30" s="230">
        <v>281.9719824</v>
      </c>
      <c r="K30" s="114">
        <v>347.95062460000003</v>
      </c>
      <c r="L30" s="252">
        <v>55.818599999999996</v>
      </c>
      <c r="M30" s="252">
        <v>57.0276</v>
      </c>
      <c r="N30" s="252">
        <v>99</v>
      </c>
      <c r="O30" s="115">
        <v>69.265978782999994</v>
      </c>
      <c r="P30" s="114">
        <v>58.366383059999997</v>
      </c>
      <c r="Q30" s="114">
        <v>113.692365599</v>
      </c>
      <c r="R30" s="114">
        <v>110.186253459</v>
      </c>
      <c r="S30" s="230">
        <v>150.64053995</v>
      </c>
      <c r="T30" s="114">
        <v>187.5804</v>
      </c>
      <c r="U30" s="253">
        <v>50.069383087031596</v>
      </c>
      <c r="V30" s="254">
        <v>40.903457179744656</v>
      </c>
      <c r="W30" s="254">
        <v>64.798433309966512</v>
      </c>
      <c r="X30" s="116">
        <v>40.288986132160282</v>
      </c>
      <c r="Y30" s="253">
        <v>42.189104959303798</v>
      </c>
      <c r="Z30" s="254">
        <v>74.010000000000005</v>
      </c>
      <c r="AA30" s="252">
        <v>55.4</v>
      </c>
      <c r="AB30" s="272">
        <v>53.423939026787501</v>
      </c>
      <c r="AC30" s="272">
        <v>53.910062732504102</v>
      </c>
      <c r="AD30" s="254">
        <v>4.1399999999999997</v>
      </c>
      <c r="AE30" s="259">
        <v>7.63</v>
      </c>
      <c r="AF30" s="254">
        <v>15.88</v>
      </c>
      <c r="AG30" s="254">
        <v>14.081150378</v>
      </c>
      <c r="AH30" s="114">
        <v>10.785736925</v>
      </c>
      <c r="AI30" s="114">
        <v>12.059974744</v>
      </c>
      <c r="AJ30" s="114">
        <v>17.740958385999999</v>
      </c>
      <c r="AK30" s="230">
        <v>23.26</v>
      </c>
      <c r="AL30" s="114">
        <v>41.256635199999998</v>
      </c>
      <c r="AM30" s="253">
        <v>2.7798000000000003</v>
      </c>
      <c r="AN30" s="253">
        <v>10.7515</v>
      </c>
      <c r="AO30" s="253">
        <v>15.5496</v>
      </c>
      <c r="AP30" s="115">
        <v>13.794513945</v>
      </c>
      <c r="AQ30" s="114">
        <v>8.8793855879999999</v>
      </c>
      <c r="AR30" s="114">
        <v>13.769299132</v>
      </c>
      <c r="AS30" s="114">
        <v>12.805819199</v>
      </c>
      <c r="AT30" s="230">
        <v>31.05</v>
      </c>
      <c r="AU30" s="114">
        <v>55.1312</v>
      </c>
      <c r="AV30" s="252">
        <v>67.068786643182861</v>
      </c>
      <c r="AW30" s="253">
        <v>140.91087811271299</v>
      </c>
      <c r="AX30" s="254">
        <v>97.92</v>
      </c>
      <c r="AY30" s="116">
        <v>97.964396194164422</v>
      </c>
      <c r="AZ30" s="253">
        <v>82.325256491456656</v>
      </c>
      <c r="BA30" s="256">
        <v>114.17</v>
      </c>
      <c r="BB30" s="257">
        <v>72.182228943761643</v>
      </c>
      <c r="BC30" s="258">
        <v>133.49097162510748</v>
      </c>
      <c r="BD30" s="258">
        <v>133.629899124687</v>
      </c>
      <c r="BE30" s="254">
        <v>364.21</v>
      </c>
      <c r="BF30" s="259">
        <v>482.92</v>
      </c>
      <c r="BG30" s="254">
        <v>600.54</v>
      </c>
      <c r="BH30" s="254">
        <v>675.41812569900003</v>
      </c>
      <c r="BI30" s="117">
        <v>738.08814019600004</v>
      </c>
      <c r="BJ30" s="117">
        <v>929.63704590299994</v>
      </c>
      <c r="BK30" s="117">
        <v>845.43458179000004</v>
      </c>
      <c r="BL30" s="239">
        <v>980.01372389999995</v>
      </c>
      <c r="BM30" s="117">
        <v>1345.6156622999999</v>
      </c>
      <c r="BN30" s="253">
        <v>305.66570000000002</v>
      </c>
      <c r="BO30" s="253">
        <v>498.66879999999998</v>
      </c>
      <c r="BP30" s="253">
        <v>648.13</v>
      </c>
      <c r="BQ30" s="115">
        <v>689.42577574899997</v>
      </c>
      <c r="BR30" s="114">
        <v>677.20551614700003</v>
      </c>
      <c r="BS30" s="114">
        <v>809.12018660700005</v>
      </c>
      <c r="BT30" s="114">
        <v>778.23908899599996</v>
      </c>
      <c r="BU30" s="230">
        <v>843.80790760900004</v>
      </c>
      <c r="BV30" s="114">
        <v>1259.2660000000001</v>
      </c>
      <c r="BW30" s="252">
        <v>83.924568688587058</v>
      </c>
      <c r="BX30" s="253">
        <v>103.26116126894722</v>
      </c>
      <c r="BY30" s="254">
        <v>107.92302124287461</v>
      </c>
      <c r="BZ30" s="116">
        <v>102.07392273275214</v>
      </c>
      <c r="CA30" s="114">
        <v>91.751307095541108</v>
      </c>
      <c r="CB30" s="118">
        <v>87.04</v>
      </c>
      <c r="CC30" s="254">
        <v>92.051958337009339</v>
      </c>
      <c r="CD30" s="298">
        <v>86.101641949567409</v>
      </c>
      <c r="CE30" s="298">
        <v>93.582888136690798</v>
      </c>
      <c r="CF30" s="254">
        <v>9.1199999999999992</v>
      </c>
      <c r="CG30" s="259">
        <v>242.52</v>
      </c>
      <c r="CH30" s="254">
        <v>388.93</v>
      </c>
      <c r="CI30" s="254">
        <v>548.33764405899899</v>
      </c>
      <c r="CJ30" s="117">
        <v>806.21009755865703</v>
      </c>
      <c r="CK30" s="117">
        <v>978.66612632209296</v>
      </c>
      <c r="CL30" s="117">
        <v>1290.6279730869301</v>
      </c>
      <c r="CM30" s="239">
        <v>1718.2412555902499</v>
      </c>
      <c r="CN30" s="117">
        <v>1935.2047216000001</v>
      </c>
      <c r="CO30" s="253">
        <v>4.4329000000000001</v>
      </c>
      <c r="CP30" s="253">
        <v>194.92449999999999</v>
      </c>
      <c r="CQ30" s="253">
        <v>211.61270000000002</v>
      </c>
      <c r="CR30" s="115">
        <v>292.997678452</v>
      </c>
      <c r="CS30" s="114">
        <v>426.75578790935703</v>
      </c>
      <c r="CT30" s="114">
        <v>509.21270705750101</v>
      </c>
      <c r="CU30" s="114">
        <v>652.32113233570703</v>
      </c>
      <c r="CV30" s="230">
        <v>1043.35717824687</v>
      </c>
      <c r="CW30" s="114">
        <v>1585.26323370505</v>
      </c>
      <c r="CX30" s="252">
        <v>48.630888386686273</v>
      </c>
      <c r="CY30" s="254">
        <v>80.374608279729514</v>
      </c>
      <c r="CZ30" s="254">
        <v>54.40951605434352</v>
      </c>
      <c r="DA30" s="116">
        <v>53.433807003130831</v>
      </c>
      <c r="DB30" s="253">
        <v>52.933570194871912</v>
      </c>
      <c r="DC30" s="253">
        <v>52.03</v>
      </c>
      <c r="DD30" s="254">
        <v>50.54292529980443</v>
      </c>
      <c r="DE30" s="298">
        <v>60.722391273771173</v>
      </c>
      <c r="DF30" s="298">
        <v>81.91708174390881</v>
      </c>
      <c r="DG30" s="254">
        <v>141.77000000000001</v>
      </c>
      <c r="DH30" s="259">
        <v>38.840000000000003</v>
      </c>
      <c r="DI30" s="254">
        <v>48.76</v>
      </c>
      <c r="DJ30" s="254">
        <v>66.664545661000005</v>
      </c>
      <c r="DK30" s="27">
        <v>148.44395512899999</v>
      </c>
      <c r="DL30" s="27">
        <v>314.40235777499998</v>
      </c>
      <c r="DM30" s="27">
        <v>677.84868927100001</v>
      </c>
      <c r="DN30" s="241">
        <v>487.09243859999998</v>
      </c>
      <c r="DO30" s="27">
        <v>593.92952700000001</v>
      </c>
      <c r="DP30" s="253">
        <v>166.18770000000001</v>
      </c>
      <c r="DQ30" s="253">
        <v>20.356600000000071</v>
      </c>
      <c r="DR30" s="253">
        <v>26.98</v>
      </c>
      <c r="DS30" s="119">
        <v>42.038698480000001</v>
      </c>
      <c r="DT30" s="27">
        <v>145.23983103500001</v>
      </c>
      <c r="DU30" s="27">
        <v>274.776590591</v>
      </c>
      <c r="DV30" s="27">
        <v>601.73533202099998</v>
      </c>
      <c r="DW30" s="241">
        <v>517.88894970000001</v>
      </c>
      <c r="DX30" s="27">
        <v>592.94529999999997</v>
      </c>
      <c r="DY30" s="260">
        <v>117.21957443747016</v>
      </c>
      <c r="DZ30" s="253">
        <v>52.411431513903374</v>
      </c>
      <c r="EA30" s="253">
        <v>55.33</v>
      </c>
      <c r="EB30" s="120">
        <v>63.060053980977507</v>
      </c>
      <c r="EC30" s="253">
        <v>97.841526055260687</v>
      </c>
      <c r="ED30" s="259">
        <v>87.4</v>
      </c>
      <c r="EE30" s="254">
        <v>88.771335188114477</v>
      </c>
      <c r="EF30" s="298">
        <v>106.32251881973683</v>
      </c>
      <c r="EG30" s="298">
        <v>99.834285558259495</v>
      </c>
      <c r="EH30" s="259">
        <v>630.73</v>
      </c>
      <c r="EI30" s="259">
        <v>911.32</v>
      </c>
      <c r="EJ30" s="254">
        <v>1206.8899999999999</v>
      </c>
      <c r="EK30" s="254">
        <v>1476.4243296679988</v>
      </c>
      <c r="EL30" s="117">
        <v>1841.8726117266572</v>
      </c>
      <c r="EM30" s="117">
        <v>2388.3836892630929</v>
      </c>
      <c r="EN30" s="117">
        <v>3030.6946475239301</v>
      </c>
      <c r="EO30" s="239">
        <v>3490.57940049025</v>
      </c>
      <c r="EP30" s="117">
        <v>4263.9571706999996</v>
      </c>
      <c r="EQ30" s="253">
        <v>534.88470000000007</v>
      </c>
      <c r="ER30" s="253">
        <v>781.72899999999993</v>
      </c>
      <c r="ES30" s="253">
        <v>1001.27</v>
      </c>
      <c r="ET30" s="115">
        <v>1107.522645409</v>
      </c>
      <c r="EU30" s="117">
        <v>1316.4469037393569</v>
      </c>
      <c r="EV30" s="117">
        <v>1720.5711489865012</v>
      </c>
      <c r="EW30" s="117">
        <v>2155.2876260107068</v>
      </c>
      <c r="EX30" s="239">
        <v>2586.7445755058702</v>
      </c>
      <c r="EY30" s="117">
        <v>3680.18613370505</v>
      </c>
      <c r="EZ30" s="254">
        <v>84.803785949692426</v>
      </c>
      <c r="FA30" s="254">
        <v>85.778916528590074</v>
      </c>
      <c r="FB30" s="254">
        <v>82.962714451808083</v>
      </c>
      <c r="FC30" s="116">
        <v>75.013844133687968</v>
      </c>
      <c r="FD30" s="253">
        <v>71.47328731411335</v>
      </c>
      <c r="FE30" s="253">
        <v>72.040000000000006</v>
      </c>
      <c r="FF30" s="257">
        <v>71.115301166073309</v>
      </c>
      <c r="FG30" s="257">
        <v>74.106452789544434</v>
      </c>
      <c r="FH30" s="257">
        <v>86.309172122873107</v>
      </c>
    </row>
    <row r="31" spans="1:164" ht="17.100000000000001" customHeight="1" x14ac:dyDescent="0.2">
      <c r="A31" s="324">
        <v>23</v>
      </c>
      <c r="B31" s="341" t="s">
        <v>70</v>
      </c>
      <c r="C31" s="254">
        <v>4.8899999999999997</v>
      </c>
      <c r="D31" s="254">
        <v>6.6</v>
      </c>
      <c r="E31" s="254">
        <v>7.48</v>
      </c>
      <c r="F31" s="254">
        <v>12.02</v>
      </c>
      <c r="G31" s="114">
        <v>17.9317122</v>
      </c>
      <c r="H31" s="114">
        <v>19.0107967</v>
      </c>
      <c r="I31" s="114">
        <v>16.043296699999999</v>
      </c>
      <c r="J31" s="230">
        <v>18.611893999999999</v>
      </c>
      <c r="K31" s="114">
        <v>22.37</v>
      </c>
      <c r="L31" s="252">
        <v>3.666222848807184</v>
      </c>
      <c r="M31" s="252">
        <v>4.2788000000000004</v>
      </c>
      <c r="N31" s="252">
        <v>4</v>
      </c>
      <c r="O31" s="115">
        <v>5.72</v>
      </c>
      <c r="P31" s="114">
        <v>8.6816613999999994</v>
      </c>
      <c r="Q31" s="114">
        <v>9.8681994999999993</v>
      </c>
      <c r="R31" s="114">
        <v>0.73079479999999997</v>
      </c>
      <c r="S31" s="230">
        <v>8.7221790000000006</v>
      </c>
      <c r="T31" s="114">
        <v>8.77</v>
      </c>
      <c r="U31" s="253">
        <v>75.000000000000014</v>
      </c>
      <c r="V31" s="254">
        <v>64.830303030303028</v>
      </c>
      <c r="W31" s="254">
        <v>53.48</v>
      </c>
      <c r="X31" s="116">
        <v>47.587354409317804</v>
      </c>
      <c r="Y31" s="253">
        <v>48.415127920690139</v>
      </c>
      <c r="Z31" s="254">
        <v>51.91</v>
      </c>
      <c r="AA31" s="252">
        <v>4.5999999999999996</v>
      </c>
      <c r="AB31" s="272">
        <v>46.863468059725683</v>
      </c>
      <c r="AC31" s="272">
        <v>39.204291461779164</v>
      </c>
      <c r="AD31" s="254">
        <v>0.18</v>
      </c>
      <c r="AE31" s="259">
        <v>0.26</v>
      </c>
      <c r="AF31" s="254">
        <v>0.56000000000000005</v>
      </c>
      <c r="AG31" s="254">
        <v>0.76</v>
      </c>
      <c r="AH31" s="114">
        <v>1.2640100000000001</v>
      </c>
      <c r="AI31" s="114">
        <v>1.3008667</v>
      </c>
      <c r="AJ31" s="114">
        <v>0.94798789999999999</v>
      </c>
      <c r="AK31" s="230">
        <v>0.72</v>
      </c>
      <c r="AL31" s="114">
        <v>0.5</v>
      </c>
      <c r="AM31" s="253">
        <v>0.15850576000723193</v>
      </c>
      <c r="AN31" s="253">
        <v>-0.2394</v>
      </c>
      <c r="AO31" s="253">
        <v>0.50829999999999997</v>
      </c>
      <c r="AP31" s="115">
        <v>1.21</v>
      </c>
      <c r="AQ31" s="114">
        <v>1.0702735999999999</v>
      </c>
      <c r="AR31" s="114">
        <v>0.68517280000000003</v>
      </c>
      <c r="AS31" s="114">
        <v>-0.20255380000000001</v>
      </c>
      <c r="AT31" s="230">
        <v>-0.2</v>
      </c>
      <c r="AU31" s="114">
        <v>0.12</v>
      </c>
      <c r="AV31" s="252">
        <v>87.999999999999957</v>
      </c>
      <c r="AW31" s="253">
        <v>-92.07692307692308</v>
      </c>
      <c r="AX31" s="254">
        <v>91.07</v>
      </c>
      <c r="AY31" s="116">
        <v>159.21052631578948</v>
      </c>
      <c r="AZ31" s="253">
        <v>84.672874423461835</v>
      </c>
      <c r="BA31" s="256">
        <v>52.67</v>
      </c>
      <c r="BB31" s="257">
        <v>-21.36670731767779</v>
      </c>
      <c r="BC31" s="258">
        <v>-27.777777777777779</v>
      </c>
      <c r="BD31" s="258">
        <v>24</v>
      </c>
      <c r="BE31" s="254">
        <v>1413.06</v>
      </c>
      <c r="BF31" s="259">
        <v>1377.21</v>
      </c>
      <c r="BG31" s="254">
        <v>1462.04</v>
      </c>
      <c r="BH31" s="254">
        <v>1639.73</v>
      </c>
      <c r="BI31" s="117">
        <v>1815.3150467999999</v>
      </c>
      <c r="BJ31" s="117">
        <v>2015.8195475</v>
      </c>
      <c r="BK31" s="117">
        <v>2225.1126396999998</v>
      </c>
      <c r="BL31" s="239">
        <v>2095.6495564000002</v>
      </c>
      <c r="BM31" s="117">
        <v>1733.72</v>
      </c>
      <c r="BN31" s="253">
        <v>1277.1071842266781</v>
      </c>
      <c r="BO31" s="253">
        <v>1356.8991000000001</v>
      </c>
      <c r="BP31" s="253">
        <v>1484.82</v>
      </c>
      <c r="BQ31" s="115">
        <v>1691.88</v>
      </c>
      <c r="BR31" s="117">
        <v>1716.5568748000001</v>
      </c>
      <c r="BS31" s="117">
        <v>1383.1146047</v>
      </c>
      <c r="BT31" s="117">
        <v>1455.8713686000001</v>
      </c>
      <c r="BU31" s="239">
        <v>1664.4780949999999</v>
      </c>
      <c r="BV31" s="117">
        <v>1265.01</v>
      </c>
      <c r="BW31" s="252">
        <v>90.378750756868925</v>
      </c>
      <c r="BX31" s="253">
        <v>98.525214019648416</v>
      </c>
      <c r="BY31" s="254">
        <v>101.55818335240605</v>
      </c>
      <c r="BZ31" s="116">
        <v>103.18040165149141</v>
      </c>
      <c r="CA31" s="114">
        <v>94.559722722835986</v>
      </c>
      <c r="CB31" s="118">
        <v>68.61</v>
      </c>
      <c r="CC31" s="254">
        <v>65.429108739245109</v>
      </c>
      <c r="CD31" s="298">
        <v>79.425402492357279</v>
      </c>
      <c r="CE31" s="298">
        <v>72.965069330687768</v>
      </c>
      <c r="CF31" s="254">
        <v>1.43</v>
      </c>
      <c r="CG31" s="259">
        <v>2.14</v>
      </c>
      <c r="CH31" s="254">
        <v>2.19</v>
      </c>
      <c r="CI31" s="254">
        <v>2.23</v>
      </c>
      <c r="CJ31" s="117">
        <v>2.2717366000000001</v>
      </c>
      <c r="CK31" s="117">
        <v>3.5667502999999998</v>
      </c>
      <c r="CL31" s="117">
        <v>5.6427683000000002</v>
      </c>
      <c r="CM31" s="239">
        <v>5.58</v>
      </c>
      <c r="CN31" s="117">
        <v>8.1999999999999993</v>
      </c>
      <c r="CO31" s="253">
        <v>1.2862728854264762</v>
      </c>
      <c r="CP31" s="253">
        <v>1.5174000000000001</v>
      </c>
      <c r="CQ31" s="253">
        <v>1.4103999999999999</v>
      </c>
      <c r="CR31" s="115">
        <v>0.86</v>
      </c>
      <c r="CS31" s="114">
        <v>1.1546327000000001</v>
      </c>
      <c r="CT31" s="114">
        <v>1.8730070000000001</v>
      </c>
      <c r="CU31" s="114">
        <v>5.4531435999999998</v>
      </c>
      <c r="CV31" s="230">
        <v>0.27</v>
      </c>
      <c r="CW31" s="114">
        <v>3.04</v>
      </c>
      <c r="CX31" s="252">
        <v>90</v>
      </c>
      <c r="CY31" s="254">
        <v>70.90654205607477</v>
      </c>
      <c r="CZ31" s="254">
        <v>64.38</v>
      </c>
      <c r="DA31" s="116">
        <v>38.565022421524667</v>
      </c>
      <c r="DB31" s="253">
        <v>50.825993647326897</v>
      </c>
      <c r="DC31" s="253">
        <v>52.51</v>
      </c>
      <c r="DD31" s="254">
        <v>96.63950936989562</v>
      </c>
      <c r="DE31" s="298">
        <v>4.838709677419355</v>
      </c>
      <c r="DF31" s="298">
        <v>37.073170731707322</v>
      </c>
      <c r="DG31" s="254">
        <v>6.07</v>
      </c>
      <c r="DH31" s="259">
        <v>8.0299999999999994</v>
      </c>
      <c r="DI31" s="254">
        <v>8.8000000000000007</v>
      </c>
      <c r="DJ31" s="254">
        <v>27.59</v>
      </c>
      <c r="DK31" s="27">
        <v>18.111227599999999</v>
      </c>
      <c r="DL31" s="27">
        <v>19.729857899999999</v>
      </c>
      <c r="DM31" s="27">
        <v>22.295595200000001</v>
      </c>
      <c r="DN31" s="241">
        <v>21.204583899999999</v>
      </c>
      <c r="DO31" s="27">
        <v>29.860000000000174</v>
      </c>
      <c r="DP31" s="253">
        <v>7.7865255816067043</v>
      </c>
      <c r="DQ31" s="253">
        <v>3.3461999999998602</v>
      </c>
      <c r="DR31" s="253">
        <v>3.41</v>
      </c>
      <c r="DS31" s="119">
        <v>25.82</v>
      </c>
      <c r="DT31" s="27">
        <v>11.5340696</v>
      </c>
      <c r="DU31" s="27">
        <v>10.7796398</v>
      </c>
      <c r="DV31" s="27">
        <v>14.5386267</v>
      </c>
      <c r="DW31" s="241">
        <v>8.9670670999999995</v>
      </c>
      <c r="DX31" s="27">
        <v>21.530000000000165</v>
      </c>
      <c r="DY31" s="260">
        <v>128.30854759132762</v>
      </c>
      <c r="DZ31" s="253">
        <v>41.67123287671059</v>
      </c>
      <c r="EA31" s="253">
        <v>38.75</v>
      </c>
      <c r="EB31" s="120">
        <v>93.584632113084453</v>
      </c>
      <c r="EC31" s="253">
        <v>63.684637257830055</v>
      </c>
      <c r="ED31" s="259">
        <v>54.64</v>
      </c>
      <c r="EE31" s="254">
        <v>65.208515716144674</v>
      </c>
      <c r="EF31" s="298">
        <v>42.288342663493623</v>
      </c>
      <c r="EG31" s="298">
        <v>72.103148024112656</v>
      </c>
      <c r="EH31" s="259">
        <v>1425.63</v>
      </c>
      <c r="EI31" s="259">
        <v>1394.23</v>
      </c>
      <c r="EJ31" s="254">
        <v>1481.07</v>
      </c>
      <c r="EK31" s="254">
        <v>1682.33</v>
      </c>
      <c r="EL31" s="117">
        <v>1854.8937331999998</v>
      </c>
      <c r="EM31" s="117">
        <v>2059.4278190999999</v>
      </c>
      <c r="EN31" s="117">
        <v>2270.0422878000004</v>
      </c>
      <c r="EO31" s="239">
        <v>2141.7660343000002</v>
      </c>
      <c r="EP31" s="117">
        <v>1794.65</v>
      </c>
      <c r="EQ31" s="253">
        <v>1290.0047113025257</v>
      </c>
      <c r="ER31" s="253">
        <v>1365.8020999999999</v>
      </c>
      <c r="ES31" s="253">
        <v>1494.1499999999999</v>
      </c>
      <c r="ET31" s="115">
        <v>1725.49</v>
      </c>
      <c r="EU31" s="117">
        <v>1738.9975121000002</v>
      </c>
      <c r="EV31" s="117">
        <v>1406.3206238</v>
      </c>
      <c r="EW31" s="117">
        <v>1476.3913798999999</v>
      </c>
      <c r="EX31" s="239"/>
      <c r="EY31" s="117">
        <v>1298.47</v>
      </c>
      <c r="EZ31" s="254">
        <v>90.486797833461978</v>
      </c>
      <c r="FA31" s="254">
        <v>97.960329641955468</v>
      </c>
      <c r="FB31" s="254">
        <v>100.88399578382794</v>
      </c>
      <c r="FC31" s="116">
        <v>102.56548952940267</v>
      </c>
      <c r="FD31" s="253">
        <v>93.751867342822962</v>
      </c>
      <c r="FE31" s="253">
        <v>68.290000000000006</v>
      </c>
      <c r="FF31" s="257">
        <v>65.038056243914156</v>
      </c>
      <c r="FG31" s="257">
        <v>78.544402804007049</v>
      </c>
      <c r="FH31" s="257">
        <v>72.352269244699499</v>
      </c>
    </row>
    <row r="32" spans="1:164" ht="17.100000000000001" customHeight="1" x14ac:dyDescent="0.2">
      <c r="A32" s="324">
        <v>24</v>
      </c>
      <c r="B32" s="341" t="s">
        <v>112</v>
      </c>
      <c r="C32" s="254">
        <v>26.82</v>
      </c>
      <c r="D32" s="254">
        <v>24.23</v>
      </c>
      <c r="E32" s="254">
        <v>26.76</v>
      </c>
      <c r="F32" s="254">
        <v>33.74</v>
      </c>
      <c r="G32" s="114">
        <v>66.066599999999994</v>
      </c>
      <c r="H32" s="114">
        <v>106.4416792</v>
      </c>
      <c r="I32" s="114">
        <v>158.02080000000001</v>
      </c>
      <c r="J32" s="230">
        <v>244.30082659999999</v>
      </c>
      <c r="K32" s="114">
        <v>409.327322111</v>
      </c>
      <c r="L32" s="252">
        <v>16.728899999999999</v>
      </c>
      <c r="M32" s="252">
        <v>20.319100000000002</v>
      </c>
      <c r="N32" s="252">
        <v>25.55</v>
      </c>
      <c r="O32" s="115">
        <v>27.16</v>
      </c>
      <c r="P32" s="114">
        <v>24.177299999999999</v>
      </c>
      <c r="Q32" s="114">
        <v>79.756027500000002</v>
      </c>
      <c r="R32" s="114">
        <v>97.207800000000006</v>
      </c>
      <c r="S32" s="230">
        <v>96.253304999999997</v>
      </c>
      <c r="T32" s="114">
        <v>230.829924578</v>
      </c>
      <c r="U32" s="253">
        <v>62.383559191831807</v>
      </c>
      <c r="V32" s="254">
        <v>83.843347940547815</v>
      </c>
      <c r="W32" s="254">
        <v>95.48</v>
      </c>
      <c r="X32" s="116">
        <v>80.497925311203318</v>
      </c>
      <c r="Y32" s="253">
        <v>36.595344697623311</v>
      </c>
      <c r="Z32" s="254">
        <v>74.930000000000007</v>
      </c>
      <c r="AA32" s="252">
        <v>61.5</v>
      </c>
      <c r="AB32" s="272">
        <v>39.399500337179781</v>
      </c>
      <c r="AC32" s="272">
        <v>56.392503531783397</v>
      </c>
      <c r="AD32" s="254">
        <v>218.56</v>
      </c>
      <c r="AE32" s="259">
        <v>210.88</v>
      </c>
      <c r="AF32" s="254">
        <v>225.82</v>
      </c>
      <c r="AG32" s="254">
        <v>231.9275188</v>
      </c>
      <c r="AH32" s="114">
        <v>247.70959880000001</v>
      </c>
      <c r="AI32" s="114">
        <v>280.37645830000002</v>
      </c>
      <c r="AJ32" s="114">
        <v>298.76900000000001</v>
      </c>
      <c r="AK32" s="230">
        <v>297.28544340000002</v>
      </c>
      <c r="AL32" s="114">
        <v>419.43888896099998</v>
      </c>
      <c r="AM32" s="253">
        <v>104.3258</v>
      </c>
      <c r="AN32" s="253">
        <v>154.58280000000002</v>
      </c>
      <c r="AO32" s="253">
        <v>182.47709999999998</v>
      </c>
      <c r="AP32" s="115">
        <v>149.35720237000001</v>
      </c>
      <c r="AQ32" s="114">
        <v>191.79529765699999</v>
      </c>
      <c r="AR32" s="114">
        <v>240.17824229999999</v>
      </c>
      <c r="AS32" s="114">
        <v>220.84</v>
      </c>
      <c r="AT32" s="230">
        <v>232.81773630000001</v>
      </c>
      <c r="AU32" s="114">
        <v>383.80155869800001</v>
      </c>
      <c r="AV32" s="252">
        <v>47.733712668359274</v>
      </c>
      <c r="AW32" s="253">
        <v>73.304548849450512</v>
      </c>
      <c r="AX32" s="254">
        <v>80.807369139844837</v>
      </c>
      <c r="AY32" s="116">
        <v>64.398223696255911</v>
      </c>
      <c r="AZ32" s="253">
        <v>77.427479026299238</v>
      </c>
      <c r="BA32" s="256">
        <v>85.66</v>
      </c>
      <c r="BB32" s="257">
        <v>73.916637937670913</v>
      </c>
      <c r="BC32" s="258">
        <v>78.314542964938184</v>
      </c>
      <c r="BD32" s="258">
        <v>91.503570317173498</v>
      </c>
      <c r="BE32" s="254">
        <v>998.82</v>
      </c>
      <c r="BF32" s="259">
        <v>1047.57</v>
      </c>
      <c r="BG32" s="254">
        <v>1272.8800000000001</v>
      </c>
      <c r="BH32" s="254">
        <v>1529.5031792</v>
      </c>
      <c r="BI32" s="117">
        <v>2310.4392825</v>
      </c>
      <c r="BJ32" s="117">
        <v>2790.2082107000001</v>
      </c>
      <c r="BK32" s="117">
        <v>3199.7353355</v>
      </c>
      <c r="BL32" s="239">
        <v>3342.748799</v>
      </c>
      <c r="BM32" s="117">
        <v>4265.6087149360001</v>
      </c>
      <c r="BN32" s="253">
        <v>746.4636999999999</v>
      </c>
      <c r="BO32" s="253">
        <v>792.32550000000003</v>
      </c>
      <c r="BP32" s="253">
        <v>1065.74</v>
      </c>
      <c r="BQ32" s="115">
        <v>1213.09368709</v>
      </c>
      <c r="BR32" s="117">
        <v>1585.4300964649999</v>
      </c>
      <c r="BS32" s="117">
        <v>1957.0916717</v>
      </c>
      <c r="BT32" s="117">
        <v>2569.1255999999998</v>
      </c>
      <c r="BU32" s="239">
        <v>2520.6849631</v>
      </c>
      <c r="BV32" s="117">
        <v>3178.4720236009998</v>
      </c>
      <c r="BW32" s="252">
        <v>74.73422755791708</v>
      </c>
      <c r="BX32" s="253">
        <v>75.634409369926374</v>
      </c>
      <c r="BY32" s="254">
        <v>83.73</v>
      </c>
      <c r="BZ32" s="116">
        <v>79.312923541911402</v>
      </c>
      <c r="CA32" s="114">
        <v>68.620288292081526</v>
      </c>
      <c r="CB32" s="118">
        <v>70.14</v>
      </c>
      <c r="CC32" s="254">
        <v>80.29181574789655</v>
      </c>
      <c r="CD32" s="298">
        <v>75.407549734340662</v>
      </c>
      <c r="CE32" s="298">
        <v>74.5139143323578</v>
      </c>
      <c r="CF32" s="254">
        <v>179.06</v>
      </c>
      <c r="CG32" s="259">
        <v>355.91</v>
      </c>
      <c r="CH32" s="254">
        <v>374.06</v>
      </c>
      <c r="CI32" s="254">
        <v>343.93703640000001</v>
      </c>
      <c r="CJ32" s="117">
        <v>418.2836259</v>
      </c>
      <c r="CK32" s="117">
        <v>665.71715040000004</v>
      </c>
      <c r="CL32" s="117">
        <v>809.81150000000002</v>
      </c>
      <c r="CM32" s="239">
        <v>910.97449119999999</v>
      </c>
      <c r="CN32" s="117">
        <v>1342.1677664700001</v>
      </c>
      <c r="CO32" s="253">
        <v>154.48519999999999</v>
      </c>
      <c r="CP32" s="253">
        <v>248.92160000000001</v>
      </c>
      <c r="CQ32" s="253">
        <v>245.3</v>
      </c>
      <c r="CR32" s="115">
        <v>196.74172798399999</v>
      </c>
      <c r="CS32" s="114">
        <v>253.816654083</v>
      </c>
      <c r="CT32" s="114">
        <v>518.52639959999999</v>
      </c>
      <c r="CU32" s="114">
        <v>539.43899999999996</v>
      </c>
      <c r="CV32" s="230">
        <v>612.81375490000005</v>
      </c>
      <c r="CW32" s="114">
        <v>1161.4104925029999</v>
      </c>
      <c r="CX32" s="252">
        <v>86.278070983775933</v>
      </c>
      <c r="CY32" s="254">
        <v>69.939361176655041</v>
      </c>
      <c r="CZ32" s="254">
        <v>65.58</v>
      </c>
      <c r="DA32" s="116">
        <v>57.202832833387752</v>
      </c>
      <c r="DB32" s="253">
        <v>60.68051397825468</v>
      </c>
      <c r="DC32" s="253">
        <v>77.89</v>
      </c>
      <c r="DD32" s="254">
        <v>66.612909300497705</v>
      </c>
      <c r="DE32" s="298">
        <v>67.270133337406463</v>
      </c>
      <c r="DF32" s="298">
        <v>86.53243815842751</v>
      </c>
      <c r="DG32" s="254">
        <v>249.53</v>
      </c>
      <c r="DH32" s="259">
        <v>163.65</v>
      </c>
      <c r="DI32" s="254">
        <v>167.64</v>
      </c>
      <c r="DJ32" s="254">
        <v>268.33999999999997</v>
      </c>
      <c r="DK32" s="27">
        <v>284.46730000000002</v>
      </c>
      <c r="DL32" s="27">
        <v>735.47060439999996</v>
      </c>
      <c r="DM32" s="27">
        <v>386.46136449999926</v>
      </c>
      <c r="DN32" s="241">
        <v>140.12292650000001</v>
      </c>
      <c r="DO32" s="27">
        <v>195.00613177700001</v>
      </c>
      <c r="DP32" s="253">
        <v>118.48729999999999</v>
      </c>
      <c r="DQ32" s="253">
        <v>60.008900000000033</v>
      </c>
      <c r="DR32" s="253">
        <v>74.86</v>
      </c>
      <c r="DS32" s="119">
        <v>154.77000000000001</v>
      </c>
      <c r="DT32" s="27">
        <v>310.85160000000002</v>
      </c>
      <c r="DU32" s="27">
        <v>790.81437089999997</v>
      </c>
      <c r="DV32" s="27">
        <v>331.59749999999974</v>
      </c>
      <c r="DW32" s="241">
        <v>-73.472110400000005</v>
      </c>
      <c r="DX32" s="27">
        <v>19.6064771819999</v>
      </c>
      <c r="DY32" s="260">
        <v>47.484570869802184</v>
      </c>
      <c r="DZ32" s="253">
        <v>36.669296280023865</v>
      </c>
      <c r="EA32" s="253">
        <v>44.66</v>
      </c>
      <c r="EB32" s="120">
        <v>57.676827904896776</v>
      </c>
      <c r="EC32" s="253">
        <v>109.27498520919627</v>
      </c>
      <c r="ED32" s="259">
        <v>107.52</v>
      </c>
      <c r="EE32" s="254">
        <v>85.803531856028613</v>
      </c>
      <c r="EF32" s="298">
        <v>-52.434039336168162</v>
      </c>
      <c r="EG32" s="298">
        <v>10.054287525902501</v>
      </c>
      <c r="EH32" s="259">
        <v>1672.78</v>
      </c>
      <c r="EI32" s="259">
        <v>1802.24</v>
      </c>
      <c r="EJ32" s="254">
        <v>2067.16</v>
      </c>
      <c r="EK32" s="254">
        <v>2407.4477344000002</v>
      </c>
      <c r="EL32" s="117">
        <v>3326.9664071999996</v>
      </c>
      <c r="EM32" s="117">
        <v>4578.2141030000003</v>
      </c>
      <c r="EN32" s="117">
        <v>4852.7979999999998</v>
      </c>
      <c r="EO32" s="239">
        <v>4935.4324866999996</v>
      </c>
      <c r="EP32" s="117">
        <v>6631.548824255</v>
      </c>
      <c r="EQ32" s="253">
        <v>1140.4909</v>
      </c>
      <c r="ER32" s="253">
        <v>1276.1579000000002</v>
      </c>
      <c r="ES32" s="253">
        <v>1593.93</v>
      </c>
      <c r="ET32" s="115">
        <v>1741.1226174439998</v>
      </c>
      <c r="EU32" s="117">
        <v>2366.0709482049997</v>
      </c>
      <c r="EV32" s="117">
        <v>3586.366712</v>
      </c>
      <c r="EW32" s="117">
        <v>3758.2098999999998</v>
      </c>
      <c r="EX32" s="239">
        <v>3389.0976489</v>
      </c>
      <c r="EY32" s="117">
        <v>4974.1204765619996</v>
      </c>
      <c r="EZ32" s="254">
        <v>68.179310926143074</v>
      </c>
      <c r="FA32" s="254">
        <v>70.809369694809433</v>
      </c>
      <c r="FB32" s="254">
        <v>77.094823325045965</v>
      </c>
      <c r="FC32" s="116">
        <v>72.322343391514323</v>
      </c>
      <c r="FD32" s="253">
        <v>71.117969303342107</v>
      </c>
      <c r="FE32" s="253">
        <v>78.34</v>
      </c>
      <c r="FF32" s="257">
        <v>77.44418580785765</v>
      </c>
      <c r="FG32" s="257">
        <v>68.668706502073292</v>
      </c>
      <c r="FH32" s="257">
        <v>75.006919324322496</v>
      </c>
    </row>
    <row r="33" spans="1:164" ht="17.100000000000001" customHeight="1" x14ac:dyDescent="0.2">
      <c r="A33" s="324">
        <v>25</v>
      </c>
      <c r="B33" s="341" t="s">
        <v>76</v>
      </c>
      <c r="C33" s="251">
        <v>44.85</v>
      </c>
      <c r="D33" s="251">
        <v>58.34</v>
      </c>
      <c r="E33" s="251">
        <v>55.18</v>
      </c>
      <c r="F33" s="251">
        <v>58.552140199999997</v>
      </c>
      <c r="G33" s="114">
        <v>58.946599999999997</v>
      </c>
      <c r="H33" s="114">
        <v>58.242337200000001</v>
      </c>
      <c r="I33" s="114">
        <v>58.825169299999999</v>
      </c>
      <c r="J33" s="230">
        <v>56.2721205</v>
      </c>
      <c r="K33" s="114">
        <v>59.659630300000003</v>
      </c>
      <c r="L33" s="252">
        <v>18.6374</v>
      </c>
      <c r="M33" s="252">
        <v>27.793800000000001</v>
      </c>
      <c r="N33" s="252">
        <v>28.5</v>
      </c>
      <c r="O33" s="115">
        <v>15.227913900000001</v>
      </c>
      <c r="P33" s="114">
        <v>17.101900000000001</v>
      </c>
      <c r="Q33" s="114">
        <v>20.739636600000001</v>
      </c>
      <c r="R33" s="114">
        <v>24.8992112</v>
      </c>
      <c r="S33" s="230">
        <v>32.305463500000002</v>
      </c>
      <c r="T33" s="114">
        <v>10.5111767</v>
      </c>
      <c r="U33" s="253">
        <v>41.555238942512432</v>
      </c>
      <c r="V33" s="254">
        <v>47.641069592046627</v>
      </c>
      <c r="W33" s="254">
        <v>51.651103665354093</v>
      </c>
      <c r="X33" s="116">
        <v>26.007441996116825</v>
      </c>
      <c r="Y33" s="252">
        <v>29.012529984765877</v>
      </c>
      <c r="Z33" s="251">
        <v>35.61</v>
      </c>
      <c r="AA33" s="252">
        <v>42.3</v>
      </c>
      <c r="AB33" s="272">
        <v>57.409358689441959</v>
      </c>
      <c r="AC33" s="272">
        <v>17.618574984699499</v>
      </c>
      <c r="AD33" s="254">
        <v>4.26</v>
      </c>
      <c r="AE33" s="259">
        <v>6.72</v>
      </c>
      <c r="AF33" s="254">
        <v>7.26</v>
      </c>
      <c r="AG33" s="254">
        <v>6.622242</v>
      </c>
      <c r="AH33" s="114">
        <v>5.6909999999999998</v>
      </c>
      <c r="AI33" s="114">
        <v>5.5531081000000002</v>
      </c>
      <c r="AJ33" s="114">
        <v>6.2642449999999998</v>
      </c>
      <c r="AK33" s="230">
        <v>3.73</v>
      </c>
      <c r="AL33" s="114">
        <v>4.6696517999999996</v>
      </c>
      <c r="AM33" s="253">
        <v>4.3166000000000002</v>
      </c>
      <c r="AN33" s="253">
        <v>5.7242999999999995</v>
      </c>
      <c r="AO33" s="253">
        <v>6.0328999999999997</v>
      </c>
      <c r="AP33" s="115">
        <v>2.9043416999999998</v>
      </c>
      <c r="AQ33" s="114">
        <v>5.8719999999999999</v>
      </c>
      <c r="AR33" s="114">
        <v>4.9958936999999999</v>
      </c>
      <c r="AS33" s="114">
        <v>3.5131188</v>
      </c>
      <c r="AT33" s="230">
        <v>3.93</v>
      </c>
      <c r="AU33" s="114">
        <v>3.7639993999999999</v>
      </c>
      <c r="AV33" s="252">
        <v>101.37385218759542</v>
      </c>
      <c r="AW33" s="253">
        <v>85.165292944922186</v>
      </c>
      <c r="AX33" s="254">
        <v>83.06</v>
      </c>
      <c r="AY33" s="116">
        <v>43.857377909173358</v>
      </c>
      <c r="AZ33" s="253">
        <v>103.18046037603233</v>
      </c>
      <c r="BA33" s="256">
        <v>89.97</v>
      </c>
      <c r="BB33" s="257">
        <v>56.082078526622126</v>
      </c>
      <c r="BC33" s="258">
        <v>105.36193029490617</v>
      </c>
      <c r="BD33" s="258">
        <v>80.605568920577795</v>
      </c>
      <c r="BE33" s="254">
        <v>241.95</v>
      </c>
      <c r="BF33" s="259">
        <v>225.84</v>
      </c>
      <c r="BG33" s="254">
        <v>253.09</v>
      </c>
      <c r="BH33" s="254">
        <v>357.87898030000002</v>
      </c>
      <c r="BI33" s="117">
        <v>454.75420000000003</v>
      </c>
      <c r="BJ33" s="117">
        <v>584.63749429999996</v>
      </c>
      <c r="BK33" s="117">
        <v>732.30961990000003</v>
      </c>
      <c r="BL33" s="239">
        <v>659.56909929999995</v>
      </c>
      <c r="BM33" s="117">
        <v>677.6233234</v>
      </c>
      <c r="BN33" s="253">
        <v>188.2115</v>
      </c>
      <c r="BO33" s="253">
        <v>186.69130000000001</v>
      </c>
      <c r="BP33" s="253">
        <v>183.16</v>
      </c>
      <c r="BQ33" s="115">
        <v>282.33849650000002</v>
      </c>
      <c r="BR33" s="117">
        <v>366.81290000000001</v>
      </c>
      <c r="BS33" s="117">
        <v>513.85530459999995</v>
      </c>
      <c r="BT33" s="117">
        <v>655.71750870000005</v>
      </c>
      <c r="BU33" s="239">
        <v>580.16778539999996</v>
      </c>
      <c r="BV33" s="117">
        <v>618.81760389999999</v>
      </c>
      <c r="BW33" s="252">
        <v>77.790898277049294</v>
      </c>
      <c r="BX33" s="253">
        <v>82.666721573743089</v>
      </c>
      <c r="BY33" s="254">
        <v>72.36947226263355</v>
      </c>
      <c r="BZ33" s="116">
        <v>78.892170829179037</v>
      </c>
      <c r="CA33" s="114">
        <v>80.661794877320531</v>
      </c>
      <c r="CB33" s="118">
        <v>87.89</v>
      </c>
      <c r="CC33" s="254">
        <v>89.541020748783978</v>
      </c>
      <c r="CD33" s="298">
        <v>87.961638290170271</v>
      </c>
      <c r="CE33" s="298">
        <v>91.321768677479994</v>
      </c>
      <c r="CF33" s="254">
        <v>64.81</v>
      </c>
      <c r="CG33" s="259">
        <v>99.55</v>
      </c>
      <c r="CH33" s="254">
        <v>137.31</v>
      </c>
      <c r="CI33" s="254">
        <v>98.068528299999997</v>
      </c>
      <c r="CJ33" s="117">
        <v>133.06020000000001</v>
      </c>
      <c r="CK33" s="117">
        <v>133.39969049999999</v>
      </c>
      <c r="CL33" s="117">
        <v>203.66704490000001</v>
      </c>
      <c r="CM33" s="239">
        <v>315.98530240000002</v>
      </c>
      <c r="CN33" s="117">
        <v>345.30490220000002</v>
      </c>
      <c r="CO33" s="253">
        <v>70.599800000000002</v>
      </c>
      <c r="CP33" s="253">
        <v>101.75569999999999</v>
      </c>
      <c r="CQ33" s="253">
        <v>116.807</v>
      </c>
      <c r="CR33" s="115">
        <v>84.474546599999996</v>
      </c>
      <c r="CS33" s="114">
        <v>138.60390000000001</v>
      </c>
      <c r="CT33" s="114">
        <v>122.985572</v>
      </c>
      <c r="CU33" s="114">
        <v>156.17392810000001</v>
      </c>
      <c r="CV33" s="230">
        <v>351.48027839999997</v>
      </c>
      <c r="CW33" s="114">
        <v>391.54188620000002</v>
      </c>
      <c r="CX33" s="252">
        <v>108.93702773890219</v>
      </c>
      <c r="CY33" s="254">
        <v>102.21988047724717</v>
      </c>
      <c r="CZ33" s="254">
        <v>85.07075816954432</v>
      </c>
      <c r="DA33" s="116">
        <v>86.138283162142642</v>
      </c>
      <c r="DB33" s="253">
        <v>104.16630968539052</v>
      </c>
      <c r="DC33" s="253">
        <v>92.19</v>
      </c>
      <c r="DD33" s="254">
        <v>76.681000687509865</v>
      </c>
      <c r="DE33" s="298">
        <v>111.23310980935042</v>
      </c>
      <c r="DF33" s="298">
        <v>113.39019043906301</v>
      </c>
      <c r="DG33" s="254">
        <v>56.08</v>
      </c>
      <c r="DH33" s="259">
        <v>65.790000000000006</v>
      </c>
      <c r="DI33" s="254">
        <v>77.72</v>
      </c>
      <c r="DJ33" s="254">
        <v>141.33010680000001</v>
      </c>
      <c r="DK33" s="27">
        <v>544.8356</v>
      </c>
      <c r="DL33" s="27">
        <v>467.2265744</v>
      </c>
      <c r="DM33" s="27">
        <v>311.50036060000002</v>
      </c>
      <c r="DN33" s="241">
        <v>275.79123010000001</v>
      </c>
      <c r="DO33" s="27">
        <v>269.94808940000001</v>
      </c>
      <c r="DP33" s="253">
        <v>23.668899999999997</v>
      </c>
      <c r="DQ33" s="253">
        <v>18.632599999999982</v>
      </c>
      <c r="DR33" s="253">
        <v>41.11</v>
      </c>
      <c r="DS33" s="119">
        <v>84.799826199999998</v>
      </c>
      <c r="DT33" s="27">
        <v>145.64269999999999</v>
      </c>
      <c r="DU33" s="27">
        <v>217.09730769999999</v>
      </c>
      <c r="DV33" s="27">
        <v>123.2372572</v>
      </c>
      <c r="DW33" s="241">
        <v>218.05259369999999</v>
      </c>
      <c r="DX33" s="27">
        <v>30.843852099999999</v>
      </c>
      <c r="DY33" s="260">
        <v>42.204470279860558</v>
      </c>
      <c r="DZ33" s="253">
        <v>28.321842015662213</v>
      </c>
      <c r="EA33" s="253">
        <v>52.9</v>
      </c>
      <c r="EB33" s="120">
        <v>60.001246811482623</v>
      </c>
      <c r="EC33" s="253">
        <v>26.731494784848859</v>
      </c>
      <c r="ED33" s="259">
        <v>46.47</v>
      </c>
      <c r="EE33" s="254">
        <v>39.562476577113792</v>
      </c>
      <c r="EF33" s="298">
        <v>79.064368225536256</v>
      </c>
      <c r="EG33" s="298">
        <v>11.425845675942799</v>
      </c>
      <c r="EH33" s="259">
        <v>411.94</v>
      </c>
      <c r="EI33" s="259">
        <v>456.23</v>
      </c>
      <c r="EJ33" s="254">
        <v>530.55999999999995</v>
      </c>
      <c r="EK33" s="254">
        <v>662.45199760000014</v>
      </c>
      <c r="EL33" s="117">
        <v>1197.2876000000001</v>
      </c>
      <c r="EM33" s="117">
        <v>1249.0592044999999</v>
      </c>
      <c r="EN33" s="117">
        <v>1312.5664397</v>
      </c>
      <c r="EO33" s="239">
        <v>1311.3477522999999</v>
      </c>
      <c r="EP33" s="117">
        <v>1357.2055971</v>
      </c>
      <c r="EQ33" s="253">
        <v>305.43420000000003</v>
      </c>
      <c r="ER33" s="253">
        <v>340.59770000000003</v>
      </c>
      <c r="ES33" s="253">
        <v>375.61</v>
      </c>
      <c r="ET33" s="115">
        <v>469.74512490000001</v>
      </c>
      <c r="EU33" s="117">
        <v>674.03340000000003</v>
      </c>
      <c r="EV33" s="117">
        <v>879.67371460000004</v>
      </c>
      <c r="EW33" s="117">
        <v>963.54102400000011</v>
      </c>
      <c r="EX33" s="239">
        <v>1185.9361210000002</v>
      </c>
      <c r="EY33" s="117">
        <v>1055.4785182999999</v>
      </c>
      <c r="EZ33" s="254">
        <v>74.144844451629908</v>
      </c>
      <c r="FA33" s="254">
        <v>74.654463231661424</v>
      </c>
      <c r="FB33" s="254">
        <v>70.79579098470964</v>
      </c>
      <c r="FC33" s="116">
        <v>70.910062404799362</v>
      </c>
      <c r="FD33" s="253">
        <v>56.29669930599799</v>
      </c>
      <c r="FE33" s="253">
        <v>70.430000000000007</v>
      </c>
      <c r="FF33" s="257">
        <v>73.40893343427453</v>
      </c>
      <c r="FG33" s="257">
        <v>90.436432206480873</v>
      </c>
      <c r="FH33" s="257">
        <v>77.7685061537682</v>
      </c>
    </row>
    <row r="34" spans="1:164" s="112" customFormat="1" ht="17.100000000000001" customHeight="1" x14ac:dyDescent="0.2">
      <c r="A34" s="324"/>
      <c r="B34" s="342" t="s">
        <v>113</v>
      </c>
      <c r="C34" s="129">
        <v>726.48</v>
      </c>
      <c r="D34" s="129">
        <v>760.65</v>
      </c>
      <c r="E34" s="129">
        <v>817.06</v>
      </c>
      <c r="F34" s="129">
        <v>907.94755190452429</v>
      </c>
      <c r="G34" s="130">
        <v>1040.0828440999926</v>
      </c>
      <c r="H34" s="130">
        <v>1211.6606891749057</v>
      </c>
      <c r="I34" s="130">
        <v>1672.7328595876579</v>
      </c>
      <c r="J34" s="231">
        <v>2372.7974682644644</v>
      </c>
      <c r="K34" s="130">
        <v>3028.7592371517858</v>
      </c>
      <c r="L34" s="131">
        <v>402.84020884274338</v>
      </c>
      <c r="M34" s="131">
        <v>503.48950000000013</v>
      </c>
      <c r="N34" s="131">
        <v>541.79999999999995</v>
      </c>
      <c r="O34" s="132">
        <v>475.48208192991927</v>
      </c>
      <c r="P34" s="133">
        <v>490.76638268382322</v>
      </c>
      <c r="Q34" s="133">
        <v>785.264339911972</v>
      </c>
      <c r="R34" s="133">
        <f>SUM(R12:R33)</f>
        <v>934.83321405268805</v>
      </c>
      <c r="S34" s="235">
        <v>1366.7767285035263</v>
      </c>
      <c r="T34" s="133">
        <v>1552.7254746853532</v>
      </c>
      <c r="U34" s="134">
        <v>55.451814357356731</v>
      </c>
      <c r="V34" s="129">
        <v>66.190988714168213</v>
      </c>
      <c r="W34" s="129">
        <v>66.310076982396779</v>
      </c>
      <c r="X34" s="135">
        <v>52.368892997457948</v>
      </c>
      <c r="Y34" s="134">
        <v>47.185316580093634</v>
      </c>
      <c r="Z34" s="129">
        <v>64.81</v>
      </c>
      <c r="AA34" s="131">
        <v>55.89</v>
      </c>
      <c r="AB34" s="301">
        <v>57.601912796342788</v>
      </c>
      <c r="AC34" s="301">
        <v>51.266058247189051</v>
      </c>
      <c r="AD34" s="129">
        <v>640.04999999999995</v>
      </c>
      <c r="AE34" s="140">
        <v>684.93</v>
      </c>
      <c r="AF34" s="129">
        <v>761.13999999999987</v>
      </c>
      <c r="AG34" s="129">
        <v>763.72541199857335</v>
      </c>
      <c r="AH34" s="133">
        <v>762.41677314337267</v>
      </c>
      <c r="AI34" s="133">
        <v>903.52770005539003</v>
      </c>
      <c r="AJ34" s="133">
        <v>1019.4318603545139</v>
      </c>
      <c r="AK34" s="235">
        <v>1022.4630949190002</v>
      </c>
      <c r="AL34" s="133">
        <v>1377.0436046637499</v>
      </c>
      <c r="AM34" s="134">
        <v>455.98942730484106</v>
      </c>
      <c r="AN34" s="134">
        <v>598.48429999999996</v>
      </c>
      <c r="AO34" s="134">
        <v>653.85009999999988</v>
      </c>
      <c r="AP34" s="132">
        <v>572.88438096734103</v>
      </c>
      <c r="AQ34" s="133">
        <v>510.32347091027549</v>
      </c>
      <c r="AR34" s="133">
        <v>770.97950858918045</v>
      </c>
      <c r="AS34" s="133">
        <v>727.44858629839746</v>
      </c>
      <c r="AT34" s="235">
        <v>821.24769649699965</v>
      </c>
      <c r="AU34" s="133">
        <v>1181.1907652335858</v>
      </c>
      <c r="AV34" s="131">
        <v>71.242511804096225</v>
      </c>
      <c r="AW34" s="134">
        <v>87.377662588400113</v>
      </c>
      <c r="AX34" s="129">
        <v>85.903916382400524</v>
      </c>
      <c r="AY34" s="135">
        <v>75.011826497716598</v>
      </c>
      <c r="AZ34" s="134">
        <v>66.934974266930126</v>
      </c>
      <c r="BA34" s="136">
        <v>85.33</v>
      </c>
      <c r="BB34" s="137">
        <v>71.358235365080958</v>
      </c>
      <c r="BC34" s="238">
        <v>80.320522136993034</v>
      </c>
      <c r="BD34" s="238">
        <v>85.777295739448434</v>
      </c>
      <c r="BE34" s="129">
        <v>15165.55</v>
      </c>
      <c r="BF34" s="140">
        <v>16758.66</v>
      </c>
      <c r="BG34" s="129">
        <v>18691.210000000003</v>
      </c>
      <c r="BH34" s="129">
        <v>21579.443959257544</v>
      </c>
      <c r="BI34" s="130">
        <v>25318.572367650606</v>
      </c>
      <c r="BJ34" s="130">
        <v>30012.306916297948</v>
      </c>
      <c r="BK34" s="130">
        <v>35415.474245977326</v>
      </c>
      <c r="BL34" s="231">
        <v>35407.819413294856</v>
      </c>
      <c r="BM34" s="130">
        <v>39955.419223758574</v>
      </c>
      <c r="BN34" s="134">
        <v>12344.056075310926</v>
      </c>
      <c r="BO34" s="134">
        <v>13726.850099999998</v>
      </c>
      <c r="BP34" s="134">
        <v>15429.389999999998</v>
      </c>
      <c r="BQ34" s="132">
        <v>17911.908837984269</v>
      </c>
      <c r="BR34" s="130">
        <v>19691.309865832442</v>
      </c>
      <c r="BS34" s="130">
        <v>22875.711651742469</v>
      </c>
      <c r="BT34" s="130">
        <v>27604.968227062287</v>
      </c>
      <c r="BU34" s="231">
        <v>26056.112898824347</v>
      </c>
      <c r="BV34" s="130">
        <v>29780.260633150479</v>
      </c>
      <c r="BW34" s="131">
        <v>81.395346962729377</v>
      </c>
      <c r="BX34" s="134">
        <v>81.908995707293997</v>
      </c>
      <c r="BY34" s="129">
        <v>82.545064513456921</v>
      </c>
      <c r="BZ34" s="135">
        <v>83.004496648766008</v>
      </c>
      <c r="CA34" s="133">
        <v>77.774171386503284</v>
      </c>
      <c r="CB34" s="138">
        <v>76.22</v>
      </c>
      <c r="CC34" s="129">
        <v>77.946064015217303</v>
      </c>
      <c r="CD34" s="247">
        <v>73.588583907657551</v>
      </c>
      <c r="CE34" s="247">
        <v>74.533720861180029</v>
      </c>
      <c r="CF34" s="129">
        <v>3807.0299999999993</v>
      </c>
      <c r="CG34" s="140">
        <v>4615.95</v>
      </c>
      <c r="CH34" s="129">
        <v>5182.5500000000011</v>
      </c>
      <c r="CI34" s="129">
        <v>5762.1363949499646</v>
      </c>
      <c r="CJ34" s="130">
        <v>7101.6217344532843</v>
      </c>
      <c r="CK34" s="130">
        <v>9812.9885620766927</v>
      </c>
      <c r="CL34" s="130">
        <v>12006.554444442763</v>
      </c>
      <c r="CM34" s="231">
        <v>14613.829586693604</v>
      </c>
      <c r="CN34" s="130">
        <v>17132.001334499702</v>
      </c>
      <c r="CO34" s="134">
        <v>3335.6094162536615</v>
      </c>
      <c r="CP34" s="134">
        <v>3654.1164000000003</v>
      </c>
      <c r="CQ34" s="134">
        <v>3871.07</v>
      </c>
      <c r="CR34" s="139">
        <v>4304.297643686823</v>
      </c>
      <c r="CS34" s="130">
        <v>5064.6732690071003</v>
      </c>
      <c r="CT34" s="130">
        <v>7443.3172525665868</v>
      </c>
      <c r="CU34" s="130">
        <v>8711.2418330532491</v>
      </c>
      <c r="CV34" s="231">
        <v>11462.891795308793</v>
      </c>
      <c r="CW34" s="130">
        <v>16216.628596516464</v>
      </c>
      <c r="CX34" s="131">
        <v>87.61795715138048</v>
      </c>
      <c r="CY34" s="129">
        <v>79.167894372680934</v>
      </c>
      <c r="CZ34" s="129">
        <v>74.69</v>
      </c>
      <c r="DA34" s="135">
        <v>74.699683392763546</v>
      </c>
      <c r="DB34" s="134">
        <v>71.317136541305842</v>
      </c>
      <c r="DC34" s="134">
        <v>75.849999999999994</v>
      </c>
      <c r="DD34" s="129">
        <v>72.554052649844508</v>
      </c>
      <c r="DE34" s="247">
        <v>78.438657898037562</v>
      </c>
      <c r="DF34" s="247">
        <v>94.656942174409593</v>
      </c>
      <c r="DG34" s="129">
        <v>2120.13</v>
      </c>
      <c r="DH34" s="140">
        <v>1563.43</v>
      </c>
      <c r="DI34" s="129">
        <v>1701.2300000000002</v>
      </c>
      <c r="DJ34" s="129">
        <v>3566.8103767550288</v>
      </c>
      <c r="DK34" s="141">
        <v>4454.4591033364513</v>
      </c>
      <c r="DL34" s="141">
        <v>5465.314120737763</v>
      </c>
      <c r="DM34" s="141">
        <v>5472.5082927657859</v>
      </c>
      <c r="DN34" s="242">
        <v>5153.3792725225267</v>
      </c>
      <c r="DO34" s="141">
        <v>6131.4206264959457</v>
      </c>
      <c r="DP34" s="134">
        <v>1335.6180397144155</v>
      </c>
      <c r="DQ34" s="134">
        <v>947.51689999999962</v>
      </c>
      <c r="DR34" s="134">
        <v>1275.7</v>
      </c>
      <c r="DS34" s="129">
        <v>2506.4646016469305</v>
      </c>
      <c r="DT34" s="141">
        <v>3427.6271909633488</v>
      </c>
      <c r="DU34" s="141">
        <v>4245.6074124493116</v>
      </c>
      <c r="DV34" s="141">
        <v>3999.1294007900487</v>
      </c>
      <c r="DW34" s="242">
        <v>3277.774765335319</v>
      </c>
      <c r="DX34" s="141">
        <v>3983.1670831447759</v>
      </c>
      <c r="DY34" s="142">
        <v>62.997035278773751</v>
      </c>
      <c r="DZ34" s="134">
        <v>60.605017251174289</v>
      </c>
      <c r="EA34" s="134">
        <v>74.989999999999995</v>
      </c>
      <c r="EB34" s="143">
        <v>70.271877024402755</v>
      </c>
      <c r="EC34" s="134">
        <v>76.948224497021627</v>
      </c>
      <c r="ED34" s="140">
        <v>77.680000000000007</v>
      </c>
      <c r="EE34" s="129">
        <v>73.076717052700943</v>
      </c>
      <c r="EF34" s="247">
        <v>63.604376701171496</v>
      </c>
      <c r="EG34" s="247">
        <v>64.963200631386499</v>
      </c>
      <c r="EH34" s="140">
        <v>22459.200000000001</v>
      </c>
      <c r="EI34" s="140">
        <v>24383.61</v>
      </c>
      <c r="EJ34" s="129">
        <v>27153.190000000006</v>
      </c>
      <c r="EK34" s="129">
        <v>32580.063694865628</v>
      </c>
      <c r="EL34" s="130">
        <v>38677.152822683725</v>
      </c>
      <c r="EM34" s="130">
        <v>47405.797988342703</v>
      </c>
      <c r="EN34" s="130">
        <v>55586.701703128063</v>
      </c>
      <c r="EO34" s="231">
        <v>58570.288835694453</v>
      </c>
      <c r="EP34" s="130">
        <v>67624.644026569746</v>
      </c>
      <c r="EQ34" s="134">
        <v>17874.113167426593</v>
      </c>
      <c r="ER34" s="134">
        <v>19430.457200000001</v>
      </c>
      <c r="ES34" s="134">
        <v>21771.81</v>
      </c>
      <c r="ET34" s="132">
        <v>25771.037546215288</v>
      </c>
      <c r="EU34" s="130">
        <v>29184.700179396987</v>
      </c>
      <c r="EV34" s="130">
        <v>36120.880165259521</v>
      </c>
      <c r="EW34" s="130">
        <v>41977.621261256674</v>
      </c>
      <c r="EX34" s="231">
        <v>42984.803884468995</v>
      </c>
      <c r="EY34" s="130">
        <v>52713.972552730651</v>
      </c>
      <c r="EZ34" s="129">
        <v>79.58482512321423</v>
      </c>
      <c r="FA34" s="129">
        <v>79.687412542764406</v>
      </c>
      <c r="FB34" s="129">
        <v>80.167283391739872</v>
      </c>
      <c r="FC34" s="135">
        <v>79.100635859949548</v>
      </c>
      <c r="FD34" s="134">
        <v>75.457209358700467</v>
      </c>
      <c r="FE34" s="134">
        <v>76.2</v>
      </c>
      <c r="FF34" s="137">
        <v>75.51738091143919</v>
      </c>
      <c r="FG34" s="137">
        <v>73.390117650013693</v>
      </c>
      <c r="FH34" s="137">
        <v>77.950831847660893</v>
      </c>
    </row>
    <row r="35" spans="1:164" s="112" customFormat="1" ht="17.100000000000001" customHeight="1" x14ac:dyDescent="0.2">
      <c r="A35" s="324"/>
      <c r="B35" s="346" t="s">
        <v>114</v>
      </c>
      <c r="C35" s="129"/>
      <c r="D35" s="129"/>
      <c r="E35" s="129"/>
      <c r="F35" s="129"/>
      <c r="G35" s="144"/>
      <c r="H35" s="144"/>
      <c r="I35" s="144"/>
      <c r="J35" s="232"/>
      <c r="K35" s="144"/>
      <c r="L35" s="252"/>
      <c r="M35" s="252"/>
      <c r="N35" s="252"/>
      <c r="O35" s="252"/>
      <c r="P35" s="252"/>
      <c r="Q35" s="252"/>
      <c r="R35" s="252"/>
      <c r="S35" s="272"/>
      <c r="T35" s="252"/>
      <c r="U35" s="253"/>
      <c r="V35" s="144"/>
      <c r="W35" s="129"/>
      <c r="X35" s="144"/>
      <c r="Y35" s="144"/>
      <c r="Z35" s="145"/>
      <c r="AA35" s="252"/>
      <c r="AB35" s="272"/>
      <c r="AC35" s="272"/>
      <c r="AD35" s="129"/>
      <c r="AE35" s="129"/>
      <c r="AF35" s="129"/>
      <c r="AG35" s="129"/>
      <c r="AH35" s="145"/>
      <c r="AI35" s="145"/>
      <c r="AJ35" s="145"/>
      <c r="AK35" s="236"/>
      <c r="AL35" s="145"/>
      <c r="AM35" s="253"/>
      <c r="AN35" s="253"/>
      <c r="AO35" s="253"/>
      <c r="AP35" s="134"/>
      <c r="AQ35" s="134"/>
      <c r="AR35" s="134"/>
      <c r="AS35" s="134"/>
      <c r="AT35" s="237"/>
      <c r="AU35" s="134"/>
      <c r="AV35" s="252"/>
      <c r="AW35" s="145"/>
      <c r="AX35" s="129"/>
      <c r="AY35" s="145"/>
      <c r="AZ35" s="145"/>
      <c r="BA35" s="256"/>
      <c r="BB35" s="279"/>
      <c r="BC35" s="280"/>
      <c r="BD35" s="280"/>
      <c r="BE35" s="129"/>
      <c r="BF35" s="129"/>
      <c r="BG35" s="129"/>
      <c r="BH35" s="129"/>
      <c r="BI35" s="144"/>
      <c r="BJ35" s="144"/>
      <c r="BK35" s="144"/>
      <c r="BL35" s="232"/>
      <c r="BM35" s="144"/>
      <c r="BN35" s="253"/>
      <c r="BO35" s="253"/>
      <c r="BP35" s="253"/>
      <c r="BQ35" s="134"/>
      <c r="BR35" s="134"/>
      <c r="BS35" s="134"/>
      <c r="BT35" s="134"/>
      <c r="BU35" s="237"/>
      <c r="BV35" s="134"/>
      <c r="BW35" s="252"/>
      <c r="BX35" s="134"/>
      <c r="BY35" s="144"/>
      <c r="BZ35" s="144"/>
      <c r="CA35" s="134"/>
      <c r="CB35" s="140"/>
      <c r="CC35" s="129"/>
      <c r="CD35" s="247"/>
      <c r="CE35" s="247"/>
      <c r="CF35" s="129"/>
      <c r="CG35" s="129"/>
      <c r="CH35" s="129"/>
      <c r="CI35" s="129"/>
      <c r="CJ35" s="149"/>
      <c r="CK35" s="149"/>
      <c r="CL35" s="149"/>
      <c r="CM35" s="234"/>
      <c r="CN35" s="149"/>
      <c r="CO35" s="134"/>
      <c r="CP35" s="134"/>
      <c r="CQ35" s="134"/>
      <c r="CR35" s="134"/>
      <c r="CS35" s="149"/>
      <c r="CT35" s="149"/>
      <c r="CU35" s="149"/>
      <c r="CV35" s="234"/>
      <c r="CW35" s="149"/>
      <c r="CX35" s="131"/>
      <c r="CY35" s="129"/>
      <c r="CZ35" s="129"/>
      <c r="DA35" s="150"/>
      <c r="DB35" s="134"/>
      <c r="DC35" s="134"/>
      <c r="DD35" s="129"/>
      <c r="DE35" s="247"/>
      <c r="DF35" s="247"/>
      <c r="DG35" s="129"/>
      <c r="DH35" s="129"/>
      <c r="DI35" s="129"/>
      <c r="DJ35" s="129"/>
      <c r="DK35" s="144"/>
      <c r="DL35" s="144"/>
      <c r="DM35" s="144"/>
      <c r="DN35" s="232"/>
      <c r="DO35" s="144"/>
      <c r="DP35" s="253"/>
      <c r="DQ35" s="253"/>
      <c r="DR35" s="253"/>
      <c r="DS35" s="134"/>
      <c r="DT35" s="134"/>
      <c r="DU35" s="134"/>
      <c r="DV35" s="134"/>
      <c r="DW35" s="237"/>
      <c r="DX35" s="134"/>
      <c r="DY35" s="260"/>
      <c r="DZ35" s="134"/>
      <c r="EA35" s="134"/>
      <c r="EB35" s="134"/>
      <c r="EC35" s="134"/>
      <c r="ED35" s="134"/>
      <c r="EE35" s="129"/>
      <c r="EF35" s="247"/>
      <c r="EG35" s="247"/>
      <c r="EH35" s="129"/>
      <c r="EI35" s="129"/>
      <c r="EJ35" s="129"/>
      <c r="EK35" s="129"/>
      <c r="EL35" s="144"/>
      <c r="EM35" s="144"/>
      <c r="EN35" s="144"/>
      <c r="EO35" s="232"/>
      <c r="EP35" s="144"/>
      <c r="EQ35" s="253"/>
      <c r="ER35" s="253"/>
      <c r="ES35" s="253"/>
      <c r="ET35" s="134"/>
      <c r="EU35" s="134"/>
      <c r="EV35" s="134"/>
      <c r="EW35" s="134"/>
      <c r="EX35" s="237"/>
      <c r="EY35" s="134"/>
      <c r="EZ35" s="254"/>
      <c r="FA35" s="144"/>
      <c r="FB35" s="129"/>
      <c r="FC35" s="144"/>
      <c r="FD35" s="134"/>
      <c r="FE35" s="134"/>
      <c r="FF35" s="137"/>
      <c r="FG35" s="137"/>
      <c r="FH35" s="137"/>
    </row>
    <row r="36" spans="1:164" s="112" customFormat="1" ht="17.100000000000001" customHeight="1" x14ac:dyDescent="0.2">
      <c r="A36" s="324">
        <v>26</v>
      </c>
      <c r="B36" s="341" t="s">
        <v>80</v>
      </c>
      <c r="C36" s="254" t="s">
        <v>130</v>
      </c>
      <c r="D36" s="254" t="s">
        <v>130</v>
      </c>
      <c r="E36" s="254" t="s">
        <v>130</v>
      </c>
      <c r="F36" s="254" t="s">
        <v>130</v>
      </c>
      <c r="G36" s="254" t="s">
        <v>130</v>
      </c>
      <c r="H36" s="254" t="s">
        <v>130</v>
      </c>
      <c r="I36" s="254" t="s">
        <v>130</v>
      </c>
      <c r="J36" s="254" t="s">
        <v>130</v>
      </c>
      <c r="K36" s="254" t="s">
        <v>130</v>
      </c>
      <c r="L36" s="254" t="s">
        <v>130</v>
      </c>
      <c r="M36" s="254" t="s">
        <v>130</v>
      </c>
      <c r="N36" s="254" t="s">
        <v>130</v>
      </c>
      <c r="O36" s="254" t="s">
        <v>130</v>
      </c>
      <c r="P36" s="254" t="s">
        <v>130</v>
      </c>
      <c r="Q36" s="254" t="s">
        <v>130</v>
      </c>
      <c r="R36" s="254" t="s">
        <v>130</v>
      </c>
      <c r="S36" s="254" t="s">
        <v>130</v>
      </c>
      <c r="T36" s="254" t="s">
        <v>130</v>
      </c>
      <c r="U36" s="254" t="s">
        <v>130</v>
      </c>
      <c r="V36" s="254" t="s">
        <v>130</v>
      </c>
      <c r="W36" s="254" t="s">
        <v>130</v>
      </c>
      <c r="X36" s="254" t="s">
        <v>130</v>
      </c>
      <c r="Y36" s="254" t="s">
        <v>130</v>
      </c>
      <c r="Z36" s="254" t="s">
        <v>130</v>
      </c>
      <c r="AA36" s="254" t="s">
        <v>130</v>
      </c>
      <c r="AB36" s="254" t="s">
        <v>130</v>
      </c>
      <c r="AC36" s="254" t="s">
        <v>130</v>
      </c>
      <c r="AD36" s="254" t="s">
        <v>130</v>
      </c>
      <c r="AE36" s="254" t="s">
        <v>130</v>
      </c>
      <c r="AF36" s="254" t="s">
        <v>130</v>
      </c>
      <c r="AG36" s="254" t="s">
        <v>130</v>
      </c>
      <c r="AH36" s="254" t="s">
        <v>130</v>
      </c>
      <c r="AI36" s="254" t="s">
        <v>130</v>
      </c>
      <c r="AJ36" s="254" t="s">
        <v>130</v>
      </c>
      <c r="AK36" s="254" t="s">
        <v>130</v>
      </c>
      <c r="AL36" s="254" t="s">
        <v>130</v>
      </c>
      <c r="AM36" s="254" t="s">
        <v>130</v>
      </c>
      <c r="AN36" s="254" t="s">
        <v>130</v>
      </c>
      <c r="AO36" s="254" t="s">
        <v>130</v>
      </c>
      <c r="AP36" s="254" t="s">
        <v>130</v>
      </c>
      <c r="AQ36" s="254" t="s">
        <v>130</v>
      </c>
      <c r="AR36" s="254" t="s">
        <v>130</v>
      </c>
      <c r="AS36" s="254" t="s">
        <v>130</v>
      </c>
      <c r="AT36" s="254" t="s">
        <v>130</v>
      </c>
      <c r="AU36" s="254" t="s">
        <v>130</v>
      </c>
      <c r="AV36" s="254" t="s">
        <v>130</v>
      </c>
      <c r="AW36" s="254" t="s">
        <v>130</v>
      </c>
      <c r="AX36" s="254" t="s">
        <v>130</v>
      </c>
      <c r="AY36" s="254" t="s">
        <v>130</v>
      </c>
      <c r="AZ36" s="254" t="s">
        <v>130</v>
      </c>
      <c r="BA36" s="254" t="s">
        <v>130</v>
      </c>
      <c r="BB36" s="254" t="s">
        <v>130</v>
      </c>
      <c r="BC36" s="254" t="s">
        <v>130</v>
      </c>
      <c r="BD36" s="254" t="s">
        <v>130</v>
      </c>
      <c r="BE36" s="254" t="s">
        <v>130</v>
      </c>
      <c r="BF36" s="254" t="s">
        <v>130</v>
      </c>
      <c r="BG36" s="254" t="s">
        <v>130</v>
      </c>
      <c r="BH36" s="254" t="s">
        <v>130</v>
      </c>
      <c r="BI36" s="254" t="s">
        <v>130</v>
      </c>
      <c r="BJ36" s="254" t="s">
        <v>130</v>
      </c>
      <c r="BK36" s="254" t="s">
        <v>130</v>
      </c>
      <c r="BL36" s="254" t="s">
        <v>130</v>
      </c>
      <c r="BM36" s="254" t="s">
        <v>130</v>
      </c>
      <c r="BN36" s="254" t="s">
        <v>130</v>
      </c>
      <c r="BO36" s="254" t="s">
        <v>130</v>
      </c>
      <c r="BP36" s="254" t="s">
        <v>130</v>
      </c>
      <c r="BQ36" s="254" t="s">
        <v>130</v>
      </c>
      <c r="BR36" s="254" t="s">
        <v>130</v>
      </c>
      <c r="BS36" s="254" t="s">
        <v>130</v>
      </c>
      <c r="BT36" s="254" t="s">
        <v>130</v>
      </c>
      <c r="BU36" s="254" t="s">
        <v>130</v>
      </c>
      <c r="BV36" s="254" t="s">
        <v>130</v>
      </c>
      <c r="BW36" s="254" t="s">
        <v>130</v>
      </c>
      <c r="BX36" s="254" t="s">
        <v>130</v>
      </c>
      <c r="BY36" s="254" t="s">
        <v>130</v>
      </c>
      <c r="BZ36" s="254" t="s">
        <v>130</v>
      </c>
      <c r="CA36" s="254" t="s">
        <v>130</v>
      </c>
      <c r="CB36" s="254" t="s">
        <v>130</v>
      </c>
      <c r="CC36" s="254" t="s">
        <v>130</v>
      </c>
      <c r="CD36" s="254" t="s">
        <v>130</v>
      </c>
      <c r="CE36" s="254" t="s">
        <v>130</v>
      </c>
      <c r="CF36" s="254" t="s">
        <v>130</v>
      </c>
      <c r="CG36" s="254" t="s">
        <v>130</v>
      </c>
      <c r="CH36" s="254" t="s">
        <v>130</v>
      </c>
      <c r="CI36" s="254" t="s">
        <v>130</v>
      </c>
      <c r="CJ36" s="254" t="s">
        <v>130</v>
      </c>
      <c r="CK36" s="254" t="s">
        <v>130</v>
      </c>
      <c r="CL36" s="254" t="s">
        <v>130</v>
      </c>
      <c r="CM36" s="254" t="s">
        <v>130</v>
      </c>
      <c r="CN36" s="254" t="s">
        <v>130</v>
      </c>
      <c r="CO36" s="254" t="s">
        <v>130</v>
      </c>
      <c r="CP36" s="254" t="s">
        <v>130</v>
      </c>
      <c r="CQ36" s="254" t="s">
        <v>130</v>
      </c>
      <c r="CR36" s="254" t="s">
        <v>130</v>
      </c>
      <c r="CS36" s="254" t="s">
        <v>130</v>
      </c>
      <c r="CT36" s="254" t="s">
        <v>130</v>
      </c>
      <c r="CU36" s="254" t="s">
        <v>130</v>
      </c>
      <c r="CV36" s="254" t="s">
        <v>130</v>
      </c>
      <c r="CW36" s="254" t="s">
        <v>130</v>
      </c>
      <c r="CX36" s="254" t="s">
        <v>130</v>
      </c>
      <c r="CY36" s="254" t="s">
        <v>130</v>
      </c>
      <c r="CZ36" s="254" t="s">
        <v>130</v>
      </c>
      <c r="DA36" s="254" t="s">
        <v>130</v>
      </c>
      <c r="DB36" s="254" t="s">
        <v>130</v>
      </c>
      <c r="DC36" s="254" t="s">
        <v>130</v>
      </c>
      <c r="DD36" s="254" t="s">
        <v>130</v>
      </c>
      <c r="DE36" s="254" t="s">
        <v>130</v>
      </c>
      <c r="DF36" s="254" t="s">
        <v>130</v>
      </c>
      <c r="DG36" s="254">
        <v>1647.86</v>
      </c>
      <c r="DH36" s="259">
        <v>1598.38</v>
      </c>
      <c r="DI36" s="254">
        <v>1862.2303999994999</v>
      </c>
      <c r="DJ36" s="254">
        <v>2002.98</v>
      </c>
      <c r="DK36" s="147">
        <v>1779.5231541000001</v>
      </c>
      <c r="DL36" s="147">
        <v>1651.657159394</v>
      </c>
      <c r="DM36" s="147">
        <v>1846.3089009</v>
      </c>
      <c r="DN36" s="243">
        <v>6816.43</v>
      </c>
      <c r="DO36" s="147">
        <v>6846.4290062999999</v>
      </c>
      <c r="DP36" s="260">
        <v>1724.45</v>
      </c>
      <c r="DQ36" s="253">
        <v>1733.71</v>
      </c>
      <c r="DR36" s="281">
        <v>1855.942243559</v>
      </c>
      <c r="DS36" s="154">
        <v>2399.2199999999998</v>
      </c>
      <c r="DT36" s="147">
        <v>1819.2294858</v>
      </c>
      <c r="DU36" s="147">
        <v>1523.6370838253799</v>
      </c>
      <c r="DV36" s="147">
        <v>2131.0881900680001</v>
      </c>
      <c r="DW36" s="243">
        <v>6296.77</v>
      </c>
      <c r="DX36" s="147">
        <v>6600.7517600000001</v>
      </c>
      <c r="DY36" s="255">
        <v>104.65</v>
      </c>
      <c r="DZ36" s="255">
        <v>108.47</v>
      </c>
      <c r="EA36" s="155">
        <v>99.662331984243096</v>
      </c>
      <c r="EB36" s="253">
        <v>119.78252403918161</v>
      </c>
      <c r="EC36" s="260">
        <v>102.23129053468718</v>
      </c>
      <c r="ED36" s="260">
        <v>92.25</v>
      </c>
      <c r="EE36" s="254">
        <v>115.42424937826937</v>
      </c>
      <c r="EF36" s="298">
        <v>92.376361233079479</v>
      </c>
      <c r="EG36" s="298">
        <v>96.411600177641105</v>
      </c>
      <c r="EH36" s="259">
        <v>1647.86</v>
      </c>
      <c r="EI36" s="259">
        <v>1598.38</v>
      </c>
      <c r="EJ36" s="254">
        <v>1862.2303999994999</v>
      </c>
      <c r="EK36" s="254">
        <v>2002.98</v>
      </c>
      <c r="EL36" s="146">
        <v>1779.5231541000001</v>
      </c>
      <c r="EM36" s="146">
        <v>1651.657159394</v>
      </c>
      <c r="EN36" s="146">
        <v>1846.3089009</v>
      </c>
      <c r="EO36" s="233">
        <v>6816.43</v>
      </c>
      <c r="EP36" s="146">
        <v>6846.4290062999999</v>
      </c>
      <c r="EQ36" s="282">
        <v>1724.45</v>
      </c>
      <c r="ER36" s="253">
        <v>1733.71</v>
      </c>
      <c r="ES36" s="281">
        <v>1855.942243559</v>
      </c>
      <c r="ET36" s="148">
        <v>2399.2199999999998</v>
      </c>
      <c r="EU36" s="146">
        <v>1819.2294858</v>
      </c>
      <c r="EV36" s="146">
        <v>1523.6370838253799</v>
      </c>
      <c r="EW36" s="146">
        <v>2131.0881900680001</v>
      </c>
      <c r="EX36" s="233">
        <v>6296.77</v>
      </c>
      <c r="EY36" s="146">
        <v>6600.7517600000001</v>
      </c>
      <c r="EZ36" s="255">
        <v>104.65</v>
      </c>
      <c r="FA36" s="255">
        <v>108.47</v>
      </c>
      <c r="FB36" s="156">
        <v>99.662331984243096</v>
      </c>
      <c r="FC36" s="283">
        <v>119.78252403918161</v>
      </c>
      <c r="FD36" s="253">
        <v>102.23129053468718</v>
      </c>
      <c r="FE36" s="253">
        <v>92.25</v>
      </c>
      <c r="FF36" s="257">
        <v>115.42424937826937</v>
      </c>
      <c r="FG36" s="257">
        <v>92.376361233079479</v>
      </c>
      <c r="FH36" s="257">
        <v>96.411600177641105</v>
      </c>
    </row>
    <row r="37" spans="1:164" s="112" customFormat="1" ht="17.100000000000001" customHeight="1" x14ac:dyDescent="0.2">
      <c r="A37" s="324">
        <v>27</v>
      </c>
      <c r="B37" s="341" t="s">
        <v>82</v>
      </c>
      <c r="C37" s="254" t="s">
        <v>130</v>
      </c>
      <c r="D37" s="254" t="s">
        <v>130</v>
      </c>
      <c r="E37" s="254" t="s">
        <v>130</v>
      </c>
      <c r="F37" s="254" t="s">
        <v>130</v>
      </c>
      <c r="G37" s="254" t="s">
        <v>130</v>
      </c>
      <c r="H37" s="254" t="s">
        <v>130</v>
      </c>
      <c r="I37" s="254" t="s">
        <v>130</v>
      </c>
      <c r="J37" s="254" t="s">
        <v>130</v>
      </c>
      <c r="K37" s="254" t="s">
        <v>130</v>
      </c>
      <c r="L37" s="254" t="s">
        <v>130</v>
      </c>
      <c r="M37" s="254" t="s">
        <v>130</v>
      </c>
      <c r="N37" s="254" t="s">
        <v>130</v>
      </c>
      <c r="O37" s="254" t="s">
        <v>130</v>
      </c>
      <c r="P37" s="254" t="s">
        <v>130</v>
      </c>
      <c r="Q37" s="254" t="s">
        <v>130</v>
      </c>
      <c r="R37" s="254" t="s">
        <v>130</v>
      </c>
      <c r="S37" s="254" t="s">
        <v>130</v>
      </c>
      <c r="T37" s="254" t="s">
        <v>130</v>
      </c>
      <c r="U37" s="254" t="s">
        <v>130</v>
      </c>
      <c r="V37" s="254" t="s">
        <v>130</v>
      </c>
      <c r="W37" s="254" t="s">
        <v>130</v>
      </c>
      <c r="X37" s="254" t="s">
        <v>130</v>
      </c>
      <c r="Y37" s="254" t="s">
        <v>130</v>
      </c>
      <c r="Z37" s="254" t="s">
        <v>130</v>
      </c>
      <c r="AA37" s="254" t="s">
        <v>130</v>
      </c>
      <c r="AB37" s="254" t="s">
        <v>130</v>
      </c>
      <c r="AC37" s="254" t="s">
        <v>130</v>
      </c>
      <c r="AD37" s="254" t="s">
        <v>130</v>
      </c>
      <c r="AE37" s="254" t="s">
        <v>130</v>
      </c>
      <c r="AF37" s="254" t="s">
        <v>130</v>
      </c>
      <c r="AG37" s="254" t="s">
        <v>130</v>
      </c>
      <c r="AH37" s="254" t="s">
        <v>130</v>
      </c>
      <c r="AI37" s="254" t="s">
        <v>130</v>
      </c>
      <c r="AJ37" s="254" t="s">
        <v>130</v>
      </c>
      <c r="AK37" s="254" t="s">
        <v>130</v>
      </c>
      <c r="AL37" s="254" t="s">
        <v>130</v>
      </c>
      <c r="AM37" s="254" t="s">
        <v>130</v>
      </c>
      <c r="AN37" s="254" t="s">
        <v>130</v>
      </c>
      <c r="AO37" s="254" t="s">
        <v>130</v>
      </c>
      <c r="AP37" s="254" t="s">
        <v>130</v>
      </c>
      <c r="AQ37" s="254" t="s">
        <v>130</v>
      </c>
      <c r="AR37" s="254" t="s">
        <v>130</v>
      </c>
      <c r="AS37" s="254" t="s">
        <v>130</v>
      </c>
      <c r="AT37" s="254" t="s">
        <v>130</v>
      </c>
      <c r="AU37" s="254" t="s">
        <v>130</v>
      </c>
      <c r="AV37" s="254" t="s">
        <v>130</v>
      </c>
      <c r="AW37" s="254" t="s">
        <v>130</v>
      </c>
      <c r="AX37" s="254" t="s">
        <v>130</v>
      </c>
      <c r="AY37" s="254" t="s">
        <v>130</v>
      </c>
      <c r="AZ37" s="254" t="s">
        <v>130</v>
      </c>
      <c r="BA37" s="254" t="s">
        <v>130</v>
      </c>
      <c r="BB37" s="254" t="s">
        <v>130</v>
      </c>
      <c r="BC37" s="254" t="s">
        <v>130</v>
      </c>
      <c r="BD37" s="254" t="s">
        <v>130</v>
      </c>
      <c r="BE37" s="254" t="s">
        <v>130</v>
      </c>
      <c r="BF37" s="254" t="s">
        <v>130</v>
      </c>
      <c r="BG37" s="254" t="s">
        <v>130</v>
      </c>
      <c r="BH37" s="254" t="s">
        <v>130</v>
      </c>
      <c r="BI37" s="254" t="s">
        <v>130</v>
      </c>
      <c r="BJ37" s="254" t="s">
        <v>130</v>
      </c>
      <c r="BK37" s="254" t="s">
        <v>130</v>
      </c>
      <c r="BL37" s="254" t="s">
        <v>130</v>
      </c>
      <c r="BM37" s="254" t="s">
        <v>130</v>
      </c>
      <c r="BN37" s="254" t="s">
        <v>130</v>
      </c>
      <c r="BO37" s="254" t="s">
        <v>130</v>
      </c>
      <c r="BP37" s="254" t="s">
        <v>130</v>
      </c>
      <c r="BQ37" s="254" t="s">
        <v>130</v>
      </c>
      <c r="BR37" s="254" t="s">
        <v>130</v>
      </c>
      <c r="BS37" s="254" t="s">
        <v>130</v>
      </c>
      <c r="BT37" s="254" t="s">
        <v>130</v>
      </c>
      <c r="BU37" s="254" t="s">
        <v>130</v>
      </c>
      <c r="BV37" s="254" t="s">
        <v>130</v>
      </c>
      <c r="BW37" s="254" t="s">
        <v>130</v>
      </c>
      <c r="BX37" s="254" t="s">
        <v>130</v>
      </c>
      <c r="BY37" s="254" t="s">
        <v>130</v>
      </c>
      <c r="BZ37" s="254" t="s">
        <v>130</v>
      </c>
      <c r="CA37" s="254" t="s">
        <v>130</v>
      </c>
      <c r="CB37" s="254" t="s">
        <v>130</v>
      </c>
      <c r="CC37" s="254" t="s">
        <v>130</v>
      </c>
      <c r="CD37" s="254" t="s">
        <v>130</v>
      </c>
      <c r="CE37" s="254" t="s">
        <v>130</v>
      </c>
      <c r="CF37" s="254" t="s">
        <v>130</v>
      </c>
      <c r="CG37" s="254" t="s">
        <v>130</v>
      </c>
      <c r="CH37" s="254" t="s">
        <v>130</v>
      </c>
      <c r="CI37" s="254" t="s">
        <v>130</v>
      </c>
      <c r="CJ37" s="254" t="s">
        <v>130</v>
      </c>
      <c r="CK37" s="254" t="s">
        <v>130</v>
      </c>
      <c r="CL37" s="254" t="s">
        <v>130</v>
      </c>
      <c r="CM37" s="254" t="s">
        <v>130</v>
      </c>
      <c r="CN37" s="254" t="s">
        <v>130</v>
      </c>
      <c r="CO37" s="254" t="s">
        <v>130</v>
      </c>
      <c r="CP37" s="254" t="s">
        <v>130</v>
      </c>
      <c r="CQ37" s="254" t="s">
        <v>130</v>
      </c>
      <c r="CR37" s="254" t="s">
        <v>130</v>
      </c>
      <c r="CS37" s="254" t="s">
        <v>130</v>
      </c>
      <c r="CT37" s="254" t="s">
        <v>130</v>
      </c>
      <c r="CU37" s="254" t="s">
        <v>130</v>
      </c>
      <c r="CV37" s="254" t="s">
        <v>130</v>
      </c>
      <c r="CW37" s="254" t="s">
        <v>130</v>
      </c>
      <c r="CX37" s="254" t="s">
        <v>130</v>
      </c>
      <c r="CY37" s="254" t="s">
        <v>130</v>
      </c>
      <c r="CZ37" s="254" t="s">
        <v>130</v>
      </c>
      <c r="DA37" s="254" t="s">
        <v>130</v>
      </c>
      <c r="DB37" s="254" t="s">
        <v>130</v>
      </c>
      <c r="DC37" s="254" t="s">
        <v>130</v>
      </c>
      <c r="DD37" s="254" t="s">
        <v>130</v>
      </c>
      <c r="DE37" s="254" t="s">
        <v>130</v>
      </c>
      <c r="DF37" s="254" t="s">
        <v>130</v>
      </c>
      <c r="DG37" s="254">
        <v>907.35</v>
      </c>
      <c r="DH37" s="259">
        <v>1019.27</v>
      </c>
      <c r="DI37" s="254">
        <v>978.93811410000001</v>
      </c>
      <c r="DJ37" s="254">
        <v>871.57</v>
      </c>
      <c r="DK37" s="147">
        <v>839.23701600000004</v>
      </c>
      <c r="DL37" s="147">
        <v>854.42280440000002</v>
      </c>
      <c r="DM37" s="147">
        <v>831.15511860000004</v>
      </c>
      <c r="DN37" s="243">
        <v>827.31</v>
      </c>
      <c r="DO37" s="147">
        <v>882.16362249999997</v>
      </c>
      <c r="DP37" s="260">
        <v>746.07</v>
      </c>
      <c r="DQ37" s="253">
        <v>1163.5</v>
      </c>
      <c r="DR37" s="281">
        <v>1000.6250179</v>
      </c>
      <c r="DS37" s="154">
        <v>1056.6500000000001</v>
      </c>
      <c r="DT37" s="147">
        <v>1138.588199</v>
      </c>
      <c r="DU37" s="147">
        <v>1141.1619575</v>
      </c>
      <c r="DV37" s="147">
        <v>958.62040049999996</v>
      </c>
      <c r="DW37" s="243">
        <v>884.52</v>
      </c>
      <c r="DX37" s="147">
        <v>546.19293570000002</v>
      </c>
      <c r="DY37" s="255">
        <v>82.23</v>
      </c>
      <c r="DZ37" s="255">
        <v>114.15</v>
      </c>
      <c r="EA37" s="155">
        <v>102.21534982524796</v>
      </c>
      <c r="EB37" s="253">
        <v>121.23524214922496</v>
      </c>
      <c r="EC37" s="260">
        <v>135.66944466138753</v>
      </c>
      <c r="ED37" s="260">
        <v>133.56</v>
      </c>
      <c r="EE37" s="254">
        <v>115.33591973959119</v>
      </c>
      <c r="EF37" s="298">
        <v>106.915182942307</v>
      </c>
      <c r="EG37" s="298">
        <v>61.915150632954195</v>
      </c>
      <c r="EH37" s="259">
        <v>907.35</v>
      </c>
      <c r="EI37" s="259">
        <v>1019.27</v>
      </c>
      <c r="EJ37" s="254">
        <v>978.93811410000001</v>
      </c>
      <c r="EK37" s="254">
        <v>871.57</v>
      </c>
      <c r="EL37" s="146">
        <v>839.23701600000004</v>
      </c>
      <c r="EM37" s="146">
        <v>854.42280440000002</v>
      </c>
      <c r="EN37" s="146">
        <v>831.15511860000004</v>
      </c>
      <c r="EO37" s="233">
        <v>827.31</v>
      </c>
      <c r="EP37" s="146">
        <v>882.16362249999997</v>
      </c>
      <c r="EQ37" s="282">
        <v>746.07</v>
      </c>
      <c r="ER37" s="253">
        <v>1163.5</v>
      </c>
      <c r="ES37" s="281">
        <v>1000.6250179</v>
      </c>
      <c r="ET37" s="148">
        <v>1056.6500000000001</v>
      </c>
      <c r="EU37" s="146">
        <v>1138.588199</v>
      </c>
      <c r="EV37" s="146">
        <v>1141.1619575</v>
      </c>
      <c r="EW37" s="146">
        <v>958.62040049999996</v>
      </c>
      <c r="EX37" s="233">
        <v>884.52</v>
      </c>
      <c r="EY37" s="146">
        <v>546.19293570000002</v>
      </c>
      <c r="EZ37" s="255">
        <v>82.23</v>
      </c>
      <c r="FA37" s="255">
        <v>114.15</v>
      </c>
      <c r="FB37" s="156">
        <v>102.21534982524796</v>
      </c>
      <c r="FC37" s="283">
        <v>121.23524214922496</v>
      </c>
      <c r="FD37" s="253">
        <v>135.66944466138753</v>
      </c>
      <c r="FE37" s="253">
        <v>133.56</v>
      </c>
      <c r="FF37" s="257">
        <v>115.33591973959119</v>
      </c>
      <c r="FG37" s="257">
        <v>106.915182942307</v>
      </c>
      <c r="FH37" s="257">
        <v>61.915150632954195</v>
      </c>
    </row>
    <row r="38" spans="1:164" s="164" customFormat="1" ht="17.100000000000001" customHeight="1" x14ac:dyDescent="0.2">
      <c r="A38" s="324"/>
      <c r="B38" s="342" t="s">
        <v>115</v>
      </c>
      <c r="C38" s="129" t="s">
        <v>130</v>
      </c>
      <c r="D38" s="129" t="s">
        <v>130</v>
      </c>
      <c r="E38" s="129" t="s">
        <v>130</v>
      </c>
      <c r="F38" s="129" t="s">
        <v>130</v>
      </c>
      <c r="G38" s="144" t="s">
        <v>130</v>
      </c>
      <c r="H38" s="144" t="s">
        <v>130</v>
      </c>
      <c r="I38" s="144" t="s">
        <v>130</v>
      </c>
      <c r="J38" s="232" t="s">
        <v>130</v>
      </c>
      <c r="K38" s="144" t="s">
        <v>130</v>
      </c>
      <c r="L38" s="252" t="s">
        <v>130</v>
      </c>
      <c r="M38" s="252" t="s">
        <v>130</v>
      </c>
      <c r="N38" s="252" t="s">
        <v>130</v>
      </c>
      <c r="O38" s="252" t="s">
        <v>130</v>
      </c>
      <c r="P38" s="252" t="s">
        <v>130</v>
      </c>
      <c r="Q38" s="252" t="s">
        <v>130</v>
      </c>
      <c r="R38" s="252" t="s">
        <v>130</v>
      </c>
      <c r="S38" s="272" t="s">
        <v>130</v>
      </c>
      <c r="T38" s="252" t="s">
        <v>130</v>
      </c>
      <c r="U38" s="253" t="s">
        <v>130</v>
      </c>
      <c r="V38" s="144" t="s">
        <v>130</v>
      </c>
      <c r="W38" s="129" t="s">
        <v>130</v>
      </c>
      <c r="X38" s="144" t="s">
        <v>130</v>
      </c>
      <c r="Y38" s="144" t="s">
        <v>130</v>
      </c>
      <c r="Z38" s="145" t="s">
        <v>130</v>
      </c>
      <c r="AA38" s="252" t="s">
        <v>130</v>
      </c>
      <c r="AB38" s="272" t="s">
        <v>130</v>
      </c>
      <c r="AC38" s="272" t="s">
        <v>130</v>
      </c>
      <c r="AD38" s="129" t="s">
        <v>130</v>
      </c>
      <c r="AE38" s="129" t="s">
        <v>130</v>
      </c>
      <c r="AF38" s="129" t="s">
        <v>130</v>
      </c>
      <c r="AG38" s="129" t="s">
        <v>130</v>
      </c>
      <c r="AH38" s="145" t="s">
        <v>130</v>
      </c>
      <c r="AI38" s="145" t="s">
        <v>130</v>
      </c>
      <c r="AJ38" s="145" t="s">
        <v>130</v>
      </c>
      <c r="AK38" s="236" t="s">
        <v>130</v>
      </c>
      <c r="AL38" s="145" t="s">
        <v>130</v>
      </c>
      <c r="AM38" s="253" t="s">
        <v>130</v>
      </c>
      <c r="AN38" s="253" t="s">
        <v>130</v>
      </c>
      <c r="AO38" s="253" t="s">
        <v>130</v>
      </c>
      <c r="AP38" s="134" t="s">
        <v>130</v>
      </c>
      <c r="AQ38" s="134" t="s">
        <v>130</v>
      </c>
      <c r="AR38" s="134" t="s">
        <v>130</v>
      </c>
      <c r="AS38" s="134" t="s">
        <v>130</v>
      </c>
      <c r="AT38" s="237" t="s">
        <v>130</v>
      </c>
      <c r="AU38" s="134" t="s">
        <v>130</v>
      </c>
      <c r="AV38" s="252" t="s">
        <v>130</v>
      </c>
      <c r="AW38" s="145" t="s">
        <v>130</v>
      </c>
      <c r="AX38" s="129" t="s">
        <v>130</v>
      </c>
      <c r="AY38" s="145" t="s">
        <v>130</v>
      </c>
      <c r="AZ38" s="145" t="s">
        <v>130</v>
      </c>
      <c r="BA38" s="256" t="s">
        <v>130</v>
      </c>
      <c r="BB38" s="279" t="s">
        <v>130</v>
      </c>
      <c r="BC38" s="280" t="s">
        <v>130</v>
      </c>
      <c r="BD38" s="280" t="s">
        <v>130</v>
      </c>
      <c r="BE38" s="129" t="s">
        <v>130</v>
      </c>
      <c r="BF38" s="129" t="s">
        <v>130</v>
      </c>
      <c r="BG38" s="129" t="s">
        <v>130</v>
      </c>
      <c r="BH38" s="129" t="s">
        <v>130</v>
      </c>
      <c r="BI38" s="144" t="s">
        <v>130</v>
      </c>
      <c r="BJ38" s="144" t="s">
        <v>130</v>
      </c>
      <c r="BK38" s="144" t="s">
        <v>130</v>
      </c>
      <c r="BL38" s="232" t="s">
        <v>130</v>
      </c>
      <c r="BM38" s="144" t="s">
        <v>130</v>
      </c>
      <c r="BN38" s="253" t="s">
        <v>130</v>
      </c>
      <c r="BO38" s="253" t="s">
        <v>130</v>
      </c>
      <c r="BP38" s="253" t="s">
        <v>130</v>
      </c>
      <c r="BQ38" s="134" t="s">
        <v>130</v>
      </c>
      <c r="BR38" s="134" t="s">
        <v>130</v>
      </c>
      <c r="BS38" s="134" t="s">
        <v>130</v>
      </c>
      <c r="BT38" s="134" t="s">
        <v>130</v>
      </c>
      <c r="BU38" s="237" t="s">
        <v>130</v>
      </c>
      <c r="BV38" s="134" t="s">
        <v>130</v>
      </c>
      <c r="BW38" s="131" t="s">
        <v>130</v>
      </c>
      <c r="BX38" s="134" t="s">
        <v>130</v>
      </c>
      <c r="BY38" s="144" t="s">
        <v>130</v>
      </c>
      <c r="BZ38" s="144" t="s">
        <v>130</v>
      </c>
      <c r="CA38" s="134" t="s">
        <v>130</v>
      </c>
      <c r="CB38" s="140" t="s">
        <v>130</v>
      </c>
      <c r="CC38" s="129" t="s">
        <v>130</v>
      </c>
      <c r="CD38" s="247" t="s">
        <v>130</v>
      </c>
      <c r="CE38" s="247" t="s">
        <v>130</v>
      </c>
      <c r="CF38" s="129" t="s">
        <v>130</v>
      </c>
      <c r="CG38" s="129" t="s">
        <v>130</v>
      </c>
      <c r="CH38" s="129" t="s">
        <v>130</v>
      </c>
      <c r="CI38" s="129" t="s">
        <v>130</v>
      </c>
      <c r="CJ38" s="144" t="s">
        <v>130</v>
      </c>
      <c r="CK38" s="144" t="s">
        <v>130</v>
      </c>
      <c r="CL38" s="144" t="s">
        <v>130</v>
      </c>
      <c r="CM38" s="232" t="s">
        <v>130</v>
      </c>
      <c r="CN38" s="144" t="s">
        <v>130</v>
      </c>
      <c r="CO38" s="253" t="s">
        <v>130</v>
      </c>
      <c r="CP38" s="253" t="s">
        <v>130</v>
      </c>
      <c r="CQ38" s="253" t="s">
        <v>130</v>
      </c>
      <c r="CR38" s="134" t="s">
        <v>130</v>
      </c>
      <c r="CS38" s="134" t="s">
        <v>130</v>
      </c>
      <c r="CT38" s="134" t="s">
        <v>130</v>
      </c>
      <c r="CU38" s="134" t="s">
        <v>130</v>
      </c>
      <c r="CV38" s="237" t="s">
        <v>130</v>
      </c>
      <c r="CW38" s="134" t="s">
        <v>130</v>
      </c>
      <c r="CX38" s="252" t="s">
        <v>130</v>
      </c>
      <c r="CY38" s="144" t="s">
        <v>130</v>
      </c>
      <c r="CZ38" s="129" t="s">
        <v>130</v>
      </c>
      <c r="DA38" s="144" t="s">
        <v>130</v>
      </c>
      <c r="DB38" s="144" t="s">
        <v>130</v>
      </c>
      <c r="DC38" s="144" t="s">
        <v>130</v>
      </c>
      <c r="DD38" s="129" t="s">
        <v>130</v>
      </c>
      <c r="DE38" s="247" t="s">
        <v>130</v>
      </c>
      <c r="DF38" s="247" t="s">
        <v>130</v>
      </c>
      <c r="DG38" s="129">
        <v>2555.21</v>
      </c>
      <c r="DH38" s="140">
        <v>2617.65</v>
      </c>
      <c r="DI38" s="129">
        <v>2841.1685140995</v>
      </c>
      <c r="DJ38" s="129">
        <v>2874.55</v>
      </c>
      <c r="DK38" s="151">
        <v>2618.7601701000003</v>
      </c>
      <c r="DL38" s="151">
        <v>2506.0799637939999</v>
      </c>
      <c r="DM38" s="151">
        <f>SUM(DM36:DM37)</f>
        <v>2677.4640195000002</v>
      </c>
      <c r="DN38" s="244">
        <v>7643.74</v>
      </c>
      <c r="DO38" s="151">
        <v>7728.5926288000001</v>
      </c>
      <c r="DP38" s="142">
        <v>2470.52</v>
      </c>
      <c r="DQ38" s="134">
        <v>2897.21</v>
      </c>
      <c r="DR38" s="157">
        <v>2856.5672614589998</v>
      </c>
      <c r="DS38" s="157">
        <v>3455.87</v>
      </c>
      <c r="DT38" s="151">
        <v>2957.8176848000003</v>
      </c>
      <c r="DU38" s="151">
        <v>2664.7990413253801</v>
      </c>
      <c r="DV38" s="151">
        <f>SUM(DV36:DV37)</f>
        <v>3089.7085905680001</v>
      </c>
      <c r="DW38" s="244">
        <v>7181.2900000000009</v>
      </c>
      <c r="DX38" s="151">
        <v>7146.9446957</v>
      </c>
      <c r="DY38" s="158">
        <v>96.69</v>
      </c>
      <c r="DZ38" s="158">
        <v>110.68</v>
      </c>
      <c r="EA38" s="159">
        <v>100.54198641450103</v>
      </c>
      <c r="EB38" s="134">
        <v>120.22299142474473</v>
      </c>
      <c r="EC38" s="142">
        <v>112.94725338239174</v>
      </c>
      <c r="ED38" s="142">
        <v>106.33</v>
      </c>
      <c r="EE38" s="129">
        <v>115.39682953965462</v>
      </c>
      <c r="EF38" s="247">
        <v>93.949951201898557</v>
      </c>
      <c r="EG38" s="247">
        <v>92.474076962828462</v>
      </c>
      <c r="EH38" s="140">
        <v>2555.21</v>
      </c>
      <c r="EI38" s="140">
        <v>2617.65</v>
      </c>
      <c r="EJ38" s="129">
        <v>2841.1685140995</v>
      </c>
      <c r="EK38" s="129">
        <v>2874.55</v>
      </c>
      <c r="EL38" s="149">
        <v>2618.7601701000003</v>
      </c>
      <c r="EM38" s="149">
        <v>2506.0799637939999</v>
      </c>
      <c r="EN38" s="149">
        <v>2677.4640195000002</v>
      </c>
      <c r="EO38" s="234">
        <v>7643.74</v>
      </c>
      <c r="EP38" s="149">
        <v>7728.5926288000001</v>
      </c>
      <c r="EQ38" s="160">
        <v>2470.52</v>
      </c>
      <c r="ER38" s="134">
        <v>2897.21</v>
      </c>
      <c r="ES38" s="153">
        <v>2856.5672614589998</v>
      </c>
      <c r="ET38" s="153">
        <v>3455.87</v>
      </c>
      <c r="EU38" s="149">
        <v>2957.8176848000003</v>
      </c>
      <c r="EV38" s="149">
        <v>2664.7990413253801</v>
      </c>
      <c r="EW38" s="149">
        <v>3089.7085905680001</v>
      </c>
      <c r="EX38" s="234">
        <v>7181.2900000000009</v>
      </c>
      <c r="EY38" s="149">
        <v>7146.9446957</v>
      </c>
      <c r="EZ38" s="158">
        <v>96.69</v>
      </c>
      <c r="FA38" s="158">
        <v>110.68</v>
      </c>
      <c r="FB38" s="161">
        <v>100.54198641450103</v>
      </c>
      <c r="FC38" s="162">
        <v>120.22299142474473</v>
      </c>
      <c r="FD38" s="134">
        <v>112.94725338239174</v>
      </c>
      <c r="FE38" s="134">
        <v>106.33</v>
      </c>
      <c r="FF38" s="163">
        <v>115.39682953965462</v>
      </c>
      <c r="FG38" s="163">
        <v>93.949951201898557</v>
      </c>
      <c r="FH38" s="163">
        <v>92.474076962828505</v>
      </c>
    </row>
    <row r="39" spans="1:164" s="164" customFormat="1" ht="17.100000000000001" customHeight="1" x14ac:dyDescent="0.2">
      <c r="A39" s="324"/>
      <c r="B39" s="346" t="s">
        <v>117</v>
      </c>
      <c r="C39" s="129"/>
      <c r="D39" s="129"/>
      <c r="E39" s="129"/>
      <c r="F39" s="129"/>
      <c r="G39" s="144"/>
      <c r="H39" s="144"/>
      <c r="I39" s="144"/>
      <c r="J39" s="232"/>
      <c r="K39" s="144"/>
      <c r="L39" s="252"/>
      <c r="M39" s="252"/>
      <c r="N39" s="252"/>
      <c r="O39" s="252"/>
      <c r="P39" s="252"/>
      <c r="Q39" s="252"/>
      <c r="R39" s="252"/>
      <c r="S39" s="272"/>
      <c r="T39" s="252"/>
      <c r="U39" s="253"/>
      <c r="V39" s="144"/>
      <c r="W39" s="129"/>
      <c r="X39" s="144"/>
      <c r="Y39" s="144"/>
      <c r="Z39" s="145"/>
      <c r="AA39" s="252"/>
      <c r="AB39" s="272"/>
      <c r="AC39" s="272"/>
      <c r="AD39" s="129"/>
      <c r="AE39" s="129"/>
      <c r="AF39" s="129"/>
      <c r="AG39" s="129"/>
      <c r="AH39" s="145"/>
      <c r="AI39" s="145"/>
      <c r="AJ39" s="145"/>
      <c r="AK39" s="236"/>
      <c r="AL39" s="145"/>
      <c r="AM39" s="253"/>
      <c r="AN39" s="253"/>
      <c r="AO39" s="253"/>
      <c r="AP39" s="134"/>
      <c r="AQ39" s="134"/>
      <c r="AR39" s="134"/>
      <c r="AS39" s="134"/>
      <c r="AT39" s="237"/>
      <c r="AU39" s="134"/>
      <c r="AV39" s="252"/>
      <c r="AW39" s="145"/>
      <c r="AX39" s="129"/>
      <c r="AY39" s="145"/>
      <c r="AZ39" s="145"/>
      <c r="BA39" s="256"/>
      <c r="BB39" s="279"/>
      <c r="BC39" s="280"/>
      <c r="BD39" s="280"/>
      <c r="BE39" s="129"/>
      <c r="BF39" s="129"/>
      <c r="BG39" s="129"/>
      <c r="BH39" s="129"/>
      <c r="BI39" s="144"/>
      <c r="BJ39" s="144"/>
      <c r="BK39" s="144"/>
      <c r="BL39" s="232"/>
      <c r="BM39" s="144"/>
      <c r="BN39" s="253"/>
      <c r="BO39" s="253"/>
      <c r="BP39" s="253"/>
      <c r="BQ39" s="134"/>
      <c r="BR39" s="134"/>
      <c r="BS39" s="134"/>
      <c r="BT39" s="134"/>
      <c r="BU39" s="237"/>
      <c r="BV39" s="134"/>
      <c r="BW39" s="252"/>
      <c r="BX39" s="134"/>
      <c r="BY39" s="144"/>
      <c r="BZ39" s="144"/>
      <c r="CA39" s="134"/>
      <c r="CB39" s="140"/>
      <c r="CC39" s="129"/>
      <c r="CD39" s="247"/>
      <c r="CE39" s="247"/>
      <c r="CF39" s="129"/>
      <c r="CG39" s="129"/>
      <c r="CH39" s="129"/>
      <c r="CI39" s="129"/>
      <c r="CJ39" s="144"/>
      <c r="CK39" s="144"/>
      <c r="CL39" s="144"/>
      <c r="CM39" s="232"/>
      <c r="CN39" s="144"/>
      <c r="CO39" s="253"/>
      <c r="CP39" s="253"/>
      <c r="CQ39" s="253"/>
      <c r="CR39" s="134"/>
      <c r="CS39" s="134"/>
      <c r="CT39" s="134"/>
      <c r="CU39" s="134"/>
      <c r="CV39" s="237"/>
      <c r="CW39" s="134"/>
      <c r="CX39" s="252"/>
      <c r="CY39" s="144"/>
      <c r="CZ39" s="129"/>
      <c r="DA39" s="144"/>
      <c r="DB39" s="144"/>
      <c r="DC39" s="144"/>
      <c r="DD39" s="129"/>
      <c r="DE39" s="247"/>
      <c r="DF39" s="247"/>
      <c r="DG39" s="165"/>
      <c r="DH39" s="165"/>
      <c r="DI39" s="165"/>
      <c r="DJ39" s="165"/>
      <c r="DK39" s="158"/>
      <c r="DL39" s="158"/>
      <c r="DM39" s="158"/>
      <c r="DN39" s="245"/>
      <c r="DO39" s="158"/>
      <c r="DP39" s="253"/>
      <c r="DQ39" s="253"/>
      <c r="DR39" s="157"/>
      <c r="DS39" s="157"/>
      <c r="DT39" s="157"/>
      <c r="DU39" s="157"/>
      <c r="DV39" s="157"/>
      <c r="DW39" s="246"/>
      <c r="DX39" s="157"/>
      <c r="DY39" s="260"/>
      <c r="DZ39" s="134"/>
      <c r="EA39" s="155"/>
      <c r="EB39" s="253"/>
      <c r="EC39" s="144"/>
      <c r="ED39" s="144"/>
      <c r="EE39" s="144"/>
      <c r="EF39" s="232"/>
      <c r="EG39" s="232"/>
      <c r="EH39" s="165"/>
      <c r="EI39" s="165"/>
      <c r="EJ39" s="165"/>
      <c r="EK39" s="165"/>
      <c r="EL39" s="158"/>
      <c r="EM39" s="158"/>
      <c r="EN39" s="158"/>
      <c r="EO39" s="245"/>
      <c r="EP39" s="158"/>
      <c r="EQ39" s="260"/>
      <c r="ER39" s="260"/>
      <c r="ES39" s="153"/>
      <c r="ET39" s="153"/>
      <c r="EU39" s="153"/>
      <c r="EV39" s="153"/>
      <c r="EW39" s="153"/>
      <c r="EX39" s="248"/>
      <c r="EY39" s="153"/>
      <c r="EZ39" s="282"/>
      <c r="FA39" s="134"/>
      <c r="FB39" s="161"/>
      <c r="FC39" s="162"/>
      <c r="FD39" s="158"/>
      <c r="FE39" s="158"/>
      <c r="FF39" s="163"/>
      <c r="FG39" s="163"/>
      <c r="FH39" s="163"/>
    </row>
    <row r="40" spans="1:164" s="164" customFormat="1" ht="17.100000000000001" customHeight="1" x14ac:dyDescent="0.2">
      <c r="A40" s="324">
        <v>28</v>
      </c>
      <c r="B40" s="341" t="s">
        <v>118</v>
      </c>
      <c r="C40" s="254" t="s">
        <v>130</v>
      </c>
      <c r="D40" s="254" t="s">
        <v>130</v>
      </c>
      <c r="E40" s="254" t="s">
        <v>130</v>
      </c>
      <c r="F40" s="254" t="s">
        <v>130</v>
      </c>
      <c r="G40" s="254" t="s">
        <v>130</v>
      </c>
      <c r="H40" s="254" t="s">
        <v>130</v>
      </c>
      <c r="I40" s="254" t="s">
        <v>130</v>
      </c>
      <c r="J40" s="254" t="s">
        <v>130</v>
      </c>
      <c r="K40" s="254" t="s">
        <v>130</v>
      </c>
      <c r="L40" s="254" t="s">
        <v>130</v>
      </c>
      <c r="M40" s="254" t="s">
        <v>130</v>
      </c>
      <c r="N40" s="254" t="s">
        <v>130</v>
      </c>
      <c r="O40" s="254" t="s">
        <v>130</v>
      </c>
      <c r="P40" s="254" t="s">
        <v>130</v>
      </c>
      <c r="Q40" s="254" t="s">
        <v>130</v>
      </c>
      <c r="R40" s="254" t="s">
        <v>130</v>
      </c>
      <c r="S40" s="254" t="s">
        <v>130</v>
      </c>
      <c r="T40" s="254" t="s">
        <v>130</v>
      </c>
      <c r="U40" s="254" t="s">
        <v>130</v>
      </c>
      <c r="V40" s="254" t="s">
        <v>130</v>
      </c>
      <c r="W40" s="254" t="s">
        <v>130</v>
      </c>
      <c r="X40" s="254" t="s">
        <v>130</v>
      </c>
      <c r="Y40" s="254" t="s">
        <v>130</v>
      </c>
      <c r="Z40" s="254" t="s">
        <v>130</v>
      </c>
      <c r="AA40" s="254" t="s">
        <v>130</v>
      </c>
      <c r="AB40" s="254" t="s">
        <v>130</v>
      </c>
      <c r="AC40" s="254" t="s">
        <v>130</v>
      </c>
      <c r="AD40" s="254" t="s">
        <v>130</v>
      </c>
      <c r="AE40" s="254" t="s">
        <v>130</v>
      </c>
      <c r="AF40" s="254" t="s">
        <v>130</v>
      </c>
      <c r="AG40" s="254" t="s">
        <v>130</v>
      </c>
      <c r="AH40" s="254" t="s">
        <v>130</v>
      </c>
      <c r="AI40" s="254" t="s">
        <v>130</v>
      </c>
      <c r="AJ40" s="254" t="s">
        <v>130</v>
      </c>
      <c r="AK40" s="254" t="s">
        <v>130</v>
      </c>
      <c r="AL40" s="254" t="s">
        <v>130</v>
      </c>
      <c r="AM40" s="254" t="s">
        <v>130</v>
      </c>
      <c r="AN40" s="254" t="s">
        <v>130</v>
      </c>
      <c r="AO40" s="254" t="s">
        <v>130</v>
      </c>
      <c r="AP40" s="254" t="s">
        <v>130</v>
      </c>
      <c r="AQ40" s="254" t="s">
        <v>130</v>
      </c>
      <c r="AR40" s="254" t="s">
        <v>130</v>
      </c>
      <c r="AS40" s="254" t="s">
        <v>130</v>
      </c>
      <c r="AT40" s="254" t="s">
        <v>130</v>
      </c>
      <c r="AU40" s="254" t="s">
        <v>130</v>
      </c>
      <c r="AV40" s="254" t="s">
        <v>130</v>
      </c>
      <c r="AW40" s="254" t="s">
        <v>130</v>
      </c>
      <c r="AX40" s="254" t="s">
        <v>130</v>
      </c>
      <c r="AY40" s="254" t="s">
        <v>130</v>
      </c>
      <c r="AZ40" s="254" t="s">
        <v>130</v>
      </c>
      <c r="BA40" s="254" t="s">
        <v>130</v>
      </c>
      <c r="BB40" s="254" t="s">
        <v>130</v>
      </c>
      <c r="BC40" s="254" t="s">
        <v>130</v>
      </c>
      <c r="BD40" s="254" t="s">
        <v>130</v>
      </c>
      <c r="BE40" s="254" t="s">
        <v>130</v>
      </c>
      <c r="BF40" s="254" t="s">
        <v>130</v>
      </c>
      <c r="BG40" s="254" t="s">
        <v>130</v>
      </c>
      <c r="BH40" s="254" t="s">
        <v>130</v>
      </c>
      <c r="BI40" s="254" t="s">
        <v>130</v>
      </c>
      <c r="BJ40" s="254" t="s">
        <v>130</v>
      </c>
      <c r="BK40" s="254" t="s">
        <v>130</v>
      </c>
      <c r="BL40" s="254" t="s">
        <v>130</v>
      </c>
      <c r="BM40" s="254" t="s">
        <v>130</v>
      </c>
      <c r="BN40" s="254" t="s">
        <v>130</v>
      </c>
      <c r="BO40" s="254" t="s">
        <v>130</v>
      </c>
      <c r="BP40" s="254" t="s">
        <v>130</v>
      </c>
      <c r="BQ40" s="254" t="s">
        <v>130</v>
      </c>
      <c r="BR40" s="254" t="s">
        <v>130</v>
      </c>
      <c r="BS40" s="254" t="s">
        <v>130</v>
      </c>
      <c r="BT40" s="254" t="s">
        <v>130</v>
      </c>
      <c r="BU40" s="254" t="s">
        <v>130</v>
      </c>
      <c r="BV40" s="254" t="s">
        <v>130</v>
      </c>
      <c r="BW40" s="254" t="s">
        <v>130</v>
      </c>
      <c r="BX40" s="254" t="s">
        <v>130</v>
      </c>
      <c r="BY40" s="254" t="s">
        <v>130</v>
      </c>
      <c r="BZ40" s="254" t="s">
        <v>130</v>
      </c>
      <c r="CA40" s="254" t="s">
        <v>130</v>
      </c>
      <c r="CB40" s="254" t="s">
        <v>130</v>
      </c>
      <c r="CC40" s="254" t="s">
        <v>130</v>
      </c>
      <c r="CD40" s="254" t="s">
        <v>130</v>
      </c>
      <c r="CE40" s="254" t="s">
        <v>130</v>
      </c>
      <c r="CF40" s="116" t="s">
        <v>130</v>
      </c>
      <c r="CG40" s="116" t="s">
        <v>130</v>
      </c>
      <c r="CH40" s="116" t="s">
        <v>130</v>
      </c>
      <c r="CI40" s="115">
        <v>13.483144100000001</v>
      </c>
      <c r="CJ40" s="117">
        <v>151.9812225</v>
      </c>
      <c r="CK40" s="117">
        <v>348.22797802636899</v>
      </c>
      <c r="CL40" s="117">
        <v>585.40792752321397</v>
      </c>
      <c r="CM40" s="239">
        <v>847.23</v>
      </c>
      <c r="CN40" s="117">
        <v>1189.2881143411801</v>
      </c>
      <c r="CO40" s="116" t="s">
        <v>130</v>
      </c>
      <c r="CP40" s="116" t="s">
        <v>130</v>
      </c>
      <c r="CQ40" s="116" t="s">
        <v>130</v>
      </c>
      <c r="CR40" s="115">
        <v>14.92324101855</v>
      </c>
      <c r="CS40" s="114">
        <v>135.34671080045001</v>
      </c>
      <c r="CT40" s="114">
        <v>204.11105727573801</v>
      </c>
      <c r="CU40" s="114">
        <v>287.32571140312302</v>
      </c>
      <c r="CV40" s="230">
        <v>423.56797403219502</v>
      </c>
      <c r="CW40" s="114">
        <v>827.286140860611</v>
      </c>
      <c r="CX40" s="116" t="s">
        <v>130</v>
      </c>
      <c r="CY40" s="116" t="s">
        <v>130</v>
      </c>
      <c r="CZ40" s="116" t="s">
        <v>130</v>
      </c>
      <c r="DA40" s="253">
        <v>110.68072037107429</v>
      </c>
      <c r="DB40" s="253">
        <v>89.054890185825428</v>
      </c>
      <c r="DC40" s="253">
        <v>58.61</v>
      </c>
      <c r="DD40" s="254">
        <v>49.081281256091174</v>
      </c>
      <c r="DE40" s="298">
        <v>49.994449444919923</v>
      </c>
      <c r="DF40" s="298">
        <v>69.561457050203103</v>
      </c>
      <c r="DG40" s="254" t="s">
        <v>130</v>
      </c>
      <c r="DH40" s="254" t="s">
        <v>130</v>
      </c>
      <c r="DI40" s="254" t="s">
        <v>130</v>
      </c>
      <c r="DJ40" s="254" t="s">
        <v>130</v>
      </c>
      <c r="DK40" s="254" t="s">
        <v>130</v>
      </c>
      <c r="DL40" s="254" t="s">
        <v>130</v>
      </c>
      <c r="DM40" s="254" t="s">
        <v>130</v>
      </c>
      <c r="DN40" s="254" t="s">
        <v>130</v>
      </c>
      <c r="DO40" s="254" t="s">
        <v>130</v>
      </c>
      <c r="DP40" s="254" t="s">
        <v>130</v>
      </c>
      <c r="DQ40" s="254" t="s">
        <v>130</v>
      </c>
      <c r="DR40" s="254" t="s">
        <v>130</v>
      </c>
      <c r="DS40" s="254" t="s">
        <v>130</v>
      </c>
      <c r="DT40" s="254" t="s">
        <v>130</v>
      </c>
      <c r="DU40" s="254" t="s">
        <v>130</v>
      </c>
      <c r="DV40" s="254" t="s">
        <v>130</v>
      </c>
      <c r="DW40" s="254" t="s">
        <v>130</v>
      </c>
      <c r="DX40" s="254" t="s">
        <v>130</v>
      </c>
      <c r="DY40" s="254" t="s">
        <v>130</v>
      </c>
      <c r="DZ40" s="254" t="s">
        <v>130</v>
      </c>
      <c r="EA40" s="254" t="s">
        <v>130</v>
      </c>
      <c r="EB40" s="254" t="s">
        <v>130</v>
      </c>
      <c r="EC40" s="254" t="s">
        <v>130</v>
      </c>
      <c r="ED40" s="254" t="s">
        <v>130</v>
      </c>
      <c r="EE40" s="254" t="s">
        <v>130</v>
      </c>
      <c r="EF40" s="254" t="s">
        <v>130</v>
      </c>
      <c r="EG40" s="254" t="s">
        <v>130</v>
      </c>
      <c r="EH40" s="277">
        <v>0</v>
      </c>
      <c r="EI40" s="277">
        <v>0</v>
      </c>
      <c r="EJ40" s="277">
        <v>0</v>
      </c>
      <c r="EK40" s="277">
        <v>13.483144100000001</v>
      </c>
      <c r="EL40" s="117">
        <v>151.9812225</v>
      </c>
      <c r="EM40" s="117">
        <v>348.22797802636899</v>
      </c>
      <c r="EN40" s="117">
        <v>585.40792752321397</v>
      </c>
      <c r="EO40" s="239">
        <v>847.23</v>
      </c>
      <c r="EP40" s="117">
        <v>1189.2881143411801</v>
      </c>
      <c r="EQ40" s="260" t="s">
        <v>167</v>
      </c>
      <c r="ER40" s="260" t="s">
        <v>167</v>
      </c>
      <c r="ES40" s="148" t="s">
        <v>167</v>
      </c>
      <c r="ET40" s="148">
        <v>14.92324101855</v>
      </c>
      <c r="EU40" s="117">
        <v>135.34671080045001</v>
      </c>
      <c r="EV40" s="117">
        <v>204.11105727573801</v>
      </c>
      <c r="EW40" s="117">
        <v>287.32571140312302</v>
      </c>
      <c r="EX40" s="239">
        <v>423.56797403219502</v>
      </c>
      <c r="EY40" s="117">
        <v>827.286140860611</v>
      </c>
      <c r="EZ40" s="282" t="s">
        <v>167</v>
      </c>
      <c r="FA40" s="134" t="s">
        <v>167</v>
      </c>
      <c r="FB40" s="161" t="s">
        <v>167</v>
      </c>
      <c r="FC40" s="283">
        <v>110.68072037107429</v>
      </c>
      <c r="FD40" s="260">
        <v>89.054890185825428</v>
      </c>
      <c r="FE40" s="260">
        <v>58.61</v>
      </c>
      <c r="FF40" s="284">
        <v>49.081281256091174</v>
      </c>
      <c r="FG40" s="284">
        <v>49.994449444919923</v>
      </c>
      <c r="FH40" s="284">
        <v>69.561457050203103</v>
      </c>
    </row>
    <row r="41" spans="1:164" s="164" customFormat="1" ht="17.100000000000001" customHeight="1" x14ac:dyDescent="0.2">
      <c r="A41" s="324">
        <v>29</v>
      </c>
      <c r="B41" s="341" t="s">
        <v>412</v>
      </c>
      <c r="C41" s="254" t="s">
        <v>130</v>
      </c>
      <c r="D41" s="254" t="s">
        <v>130</v>
      </c>
      <c r="E41" s="254" t="s">
        <v>130</v>
      </c>
      <c r="F41" s="254" t="s">
        <v>130</v>
      </c>
      <c r="G41" s="254" t="s">
        <v>130</v>
      </c>
      <c r="H41" s="254" t="s">
        <v>130</v>
      </c>
      <c r="I41" s="254" t="s">
        <v>130</v>
      </c>
      <c r="J41" s="254" t="s">
        <v>130</v>
      </c>
      <c r="K41" s="254" t="s">
        <v>130</v>
      </c>
      <c r="L41" s="254" t="s">
        <v>130</v>
      </c>
      <c r="M41" s="254" t="s">
        <v>130</v>
      </c>
      <c r="N41" s="254" t="s">
        <v>130</v>
      </c>
      <c r="O41" s="254" t="s">
        <v>130</v>
      </c>
      <c r="P41" s="254" t="s">
        <v>130</v>
      </c>
      <c r="Q41" s="254" t="s">
        <v>130</v>
      </c>
      <c r="R41" s="254" t="s">
        <v>130</v>
      </c>
      <c r="S41" s="254" t="s">
        <v>130</v>
      </c>
      <c r="T41" s="254" t="s">
        <v>130</v>
      </c>
      <c r="U41" s="254" t="s">
        <v>130</v>
      </c>
      <c r="V41" s="254" t="s">
        <v>130</v>
      </c>
      <c r="W41" s="254" t="s">
        <v>130</v>
      </c>
      <c r="X41" s="254" t="s">
        <v>130</v>
      </c>
      <c r="Y41" s="254" t="s">
        <v>130</v>
      </c>
      <c r="Z41" s="254" t="s">
        <v>130</v>
      </c>
      <c r="AA41" s="254" t="s">
        <v>130</v>
      </c>
      <c r="AB41" s="254" t="s">
        <v>130</v>
      </c>
      <c r="AC41" s="254" t="s">
        <v>130</v>
      </c>
      <c r="AD41" s="254" t="s">
        <v>130</v>
      </c>
      <c r="AE41" s="254" t="s">
        <v>130</v>
      </c>
      <c r="AF41" s="254" t="s">
        <v>130</v>
      </c>
      <c r="AG41" s="254" t="s">
        <v>130</v>
      </c>
      <c r="AH41" s="254" t="s">
        <v>130</v>
      </c>
      <c r="AI41" s="254" t="s">
        <v>130</v>
      </c>
      <c r="AJ41" s="254" t="s">
        <v>130</v>
      </c>
      <c r="AK41" s="254" t="s">
        <v>130</v>
      </c>
      <c r="AL41" s="254" t="s">
        <v>130</v>
      </c>
      <c r="AM41" s="254" t="s">
        <v>130</v>
      </c>
      <c r="AN41" s="254" t="s">
        <v>130</v>
      </c>
      <c r="AO41" s="254" t="s">
        <v>130</v>
      </c>
      <c r="AP41" s="254" t="s">
        <v>130</v>
      </c>
      <c r="AQ41" s="254" t="s">
        <v>130</v>
      </c>
      <c r="AR41" s="254" t="s">
        <v>130</v>
      </c>
      <c r="AS41" s="254" t="s">
        <v>130</v>
      </c>
      <c r="AT41" s="254" t="s">
        <v>130</v>
      </c>
      <c r="AU41" s="254" t="s">
        <v>130</v>
      </c>
      <c r="AV41" s="254" t="s">
        <v>130</v>
      </c>
      <c r="AW41" s="254" t="s">
        <v>130</v>
      </c>
      <c r="AX41" s="254" t="s">
        <v>130</v>
      </c>
      <c r="AY41" s="254" t="s">
        <v>130</v>
      </c>
      <c r="AZ41" s="254" t="s">
        <v>130</v>
      </c>
      <c r="BA41" s="254" t="s">
        <v>130</v>
      </c>
      <c r="BB41" s="254" t="s">
        <v>130</v>
      </c>
      <c r="BC41" s="254" t="s">
        <v>130</v>
      </c>
      <c r="BD41" s="254" t="s">
        <v>130</v>
      </c>
      <c r="BE41" s="254" t="s">
        <v>130</v>
      </c>
      <c r="BF41" s="254" t="s">
        <v>130</v>
      </c>
      <c r="BG41" s="254" t="s">
        <v>130</v>
      </c>
      <c r="BH41" s="254" t="s">
        <v>130</v>
      </c>
      <c r="BI41" s="254" t="s">
        <v>130</v>
      </c>
      <c r="BJ41" s="254" t="s">
        <v>130</v>
      </c>
      <c r="BK41" s="254" t="s">
        <v>130</v>
      </c>
      <c r="BL41" s="254" t="s">
        <v>130</v>
      </c>
      <c r="BM41" s="254" t="s">
        <v>130</v>
      </c>
      <c r="BN41" s="254" t="s">
        <v>130</v>
      </c>
      <c r="BO41" s="254" t="s">
        <v>130</v>
      </c>
      <c r="BP41" s="254" t="s">
        <v>130</v>
      </c>
      <c r="BQ41" s="254" t="s">
        <v>130</v>
      </c>
      <c r="BR41" s="254" t="s">
        <v>130</v>
      </c>
      <c r="BS41" s="254" t="s">
        <v>130</v>
      </c>
      <c r="BT41" s="254" t="s">
        <v>130</v>
      </c>
      <c r="BU41" s="254" t="s">
        <v>130</v>
      </c>
      <c r="BV41" s="254" t="s">
        <v>130</v>
      </c>
      <c r="BW41" s="254" t="s">
        <v>130</v>
      </c>
      <c r="BX41" s="254" t="s">
        <v>130</v>
      </c>
      <c r="BY41" s="254" t="s">
        <v>130</v>
      </c>
      <c r="BZ41" s="254" t="s">
        <v>130</v>
      </c>
      <c r="CA41" s="254" t="s">
        <v>130</v>
      </c>
      <c r="CB41" s="254" t="s">
        <v>130</v>
      </c>
      <c r="CC41" s="254" t="s">
        <v>130</v>
      </c>
      <c r="CD41" s="254" t="s">
        <v>130</v>
      </c>
      <c r="CE41" s="254" t="s">
        <v>130</v>
      </c>
      <c r="CF41" s="115">
        <v>81.64</v>
      </c>
      <c r="CG41" s="350">
        <v>153.72</v>
      </c>
      <c r="CH41" s="115">
        <v>287.73</v>
      </c>
      <c r="CI41" s="115">
        <v>484.00153619999998</v>
      </c>
      <c r="CJ41" s="117">
        <v>679.67463859999998</v>
      </c>
      <c r="CK41" s="117">
        <v>1091.2035243</v>
      </c>
      <c r="CL41" s="117">
        <v>1508.4505773999999</v>
      </c>
      <c r="CM41" s="239">
        <v>1729.4695033</v>
      </c>
      <c r="CN41" s="117">
        <v>2510.8424301810001</v>
      </c>
      <c r="CO41" s="253">
        <v>65.25</v>
      </c>
      <c r="CP41" s="255">
        <v>93.97</v>
      </c>
      <c r="CQ41" s="253">
        <v>164.72</v>
      </c>
      <c r="CR41" s="115">
        <v>244.50428640000001</v>
      </c>
      <c r="CS41" s="114">
        <v>353.21027600000002</v>
      </c>
      <c r="CT41" s="114">
        <v>602.67146059999993</v>
      </c>
      <c r="CU41" s="114">
        <v>891.94470709999996</v>
      </c>
      <c r="CV41" s="230">
        <v>953.8162701</v>
      </c>
      <c r="CW41" s="114">
        <v>1633.7330562</v>
      </c>
      <c r="CX41" s="252">
        <v>79.92</v>
      </c>
      <c r="CY41" s="255">
        <v>61.13</v>
      </c>
      <c r="CZ41" s="253">
        <v>57.248114551836792</v>
      </c>
      <c r="DA41" s="253">
        <v>50.517254205359698</v>
      </c>
      <c r="DB41" s="253">
        <v>51.967552699560159</v>
      </c>
      <c r="DC41" s="253">
        <v>55.23</v>
      </c>
      <c r="DD41" s="254">
        <v>59.129859503741663</v>
      </c>
      <c r="DE41" s="298">
        <v>55.150800189307972</v>
      </c>
      <c r="DF41" s="298">
        <v>65.067127931330504</v>
      </c>
      <c r="DG41" s="254" t="s">
        <v>130</v>
      </c>
      <c r="DH41" s="254" t="s">
        <v>130</v>
      </c>
      <c r="DI41" s="254" t="s">
        <v>130</v>
      </c>
      <c r="DJ41" s="254" t="s">
        <v>130</v>
      </c>
      <c r="DK41" s="254" t="s">
        <v>130</v>
      </c>
      <c r="DL41" s="254" t="s">
        <v>130</v>
      </c>
      <c r="DM41" s="254" t="s">
        <v>130</v>
      </c>
      <c r="DN41" s="254" t="s">
        <v>130</v>
      </c>
      <c r="DO41" s="254" t="s">
        <v>130</v>
      </c>
      <c r="DP41" s="254" t="s">
        <v>130</v>
      </c>
      <c r="DQ41" s="254" t="s">
        <v>130</v>
      </c>
      <c r="DR41" s="254" t="s">
        <v>130</v>
      </c>
      <c r="DS41" s="254" t="s">
        <v>130</v>
      </c>
      <c r="DT41" s="254" t="s">
        <v>130</v>
      </c>
      <c r="DU41" s="254" t="s">
        <v>130</v>
      </c>
      <c r="DV41" s="254" t="s">
        <v>130</v>
      </c>
      <c r="DW41" s="254" t="s">
        <v>130</v>
      </c>
      <c r="DX41" s="254" t="s">
        <v>130</v>
      </c>
      <c r="DY41" s="254" t="s">
        <v>130</v>
      </c>
      <c r="DZ41" s="254" t="s">
        <v>130</v>
      </c>
      <c r="EA41" s="254" t="s">
        <v>130</v>
      </c>
      <c r="EB41" s="254" t="s">
        <v>130</v>
      </c>
      <c r="EC41" s="254" t="s">
        <v>130</v>
      </c>
      <c r="ED41" s="254" t="s">
        <v>130</v>
      </c>
      <c r="EE41" s="254" t="s">
        <v>130</v>
      </c>
      <c r="EF41" s="254" t="s">
        <v>130</v>
      </c>
      <c r="EG41" s="254" t="s">
        <v>130</v>
      </c>
      <c r="EH41" s="278">
        <v>81.64</v>
      </c>
      <c r="EI41" s="278">
        <v>153.72</v>
      </c>
      <c r="EJ41" s="277">
        <v>287.73</v>
      </c>
      <c r="EK41" s="277">
        <v>484.00153619999998</v>
      </c>
      <c r="EL41" s="117">
        <v>679.67463859999998</v>
      </c>
      <c r="EM41" s="117">
        <v>1091.2035243</v>
      </c>
      <c r="EN41" s="117">
        <v>1508.4505773999999</v>
      </c>
      <c r="EO41" s="239">
        <v>1729.4695033</v>
      </c>
      <c r="EP41" s="117">
        <v>2510.8424301810001</v>
      </c>
      <c r="EQ41" s="260">
        <v>65.25</v>
      </c>
      <c r="ER41" s="260">
        <v>93.97</v>
      </c>
      <c r="ES41" s="148">
        <v>164.72</v>
      </c>
      <c r="ET41" s="148">
        <v>244.50428640000001</v>
      </c>
      <c r="EU41" s="117">
        <v>353.21027600000002</v>
      </c>
      <c r="EV41" s="117">
        <v>602.67146059999993</v>
      </c>
      <c r="EW41" s="117">
        <v>891.94470709999996</v>
      </c>
      <c r="EX41" s="239">
        <v>953.8162701</v>
      </c>
      <c r="EY41" s="117">
        <v>1633.7330562</v>
      </c>
      <c r="EZ41" s="282">
        <v>79.92</v>
      </c>
      <c r="FA41" s="253">
        <v>61.13</v>
      </c>
      <c r="FB41" s="156">
        <v>57.248114551836792</v>
      </c>
      <c r="FC41" s="283">
        <v>50.517254205359698</v>
      </c>
      <c r="FD41" s="260">
        <v>51.967552699560159</v>
      </c>
      <c r="FE41" s="260">
        <v>55.23</v>
      </c>
      <c r="FF41" s="284">
        <v>59.129859503741663</v>
      </c>
      <c r="FG41" s="284">
        <v>55.150800189307972</v>
      </c>
      <c r="FH41" s="284">
        <v>65.067127931330504</v>
      </c>
    </row>
    <row r="42" spans="1:164" s="164" customFormat="1" ht="17.100000000000001" customHeight="1" x14ac:dyDescent="0.2">
      <c r="A42" s="324">
        <v>30</v>
      </c>
      <c r="B42" s="341" t="s">
        <v>423</v>
      </c>
      <c r="C42" s="254" t="s">
        <v>130</v>
      </c>
      <c r="D42" s="254" t="s">
        <v>130</v>
      </c>
      <c r="E42" s="254" t="s">
        <v>130</v>
      </c>
      <c r="F42" s="254" t="s">
        <v>130</v>
      </c>
      <c r="G42" s="254" t="s">
        <v>130</v>
      </c>
      <c r="H42" s="254" t="s">
        <v>130</v>
      </c>
      <c r="I42" s="254" t="s">
        <v>130</v>
      </c>
      <c r="J42" s="254" t="s">
        <v>130</v>
      </c>
      <c r="K42" s="254" t="s">
        <v>130</v>
      </c>
      <c r="L42" s="254" t="s">
        <v>130</v>
      </c>
      <c r="M42" s="254" t="s">
        <v>130</v>
      </c>
      <c r="N42" s="254" t="s">
        <v>130</v>
      </c>
      <c r="O42" s="254" t="s">
        <v>130</v>
      </c>
      <c r="P42" s="254" t="s">
        <v>130</v>
      </c>
      <c r="Q42" s="254" t="s">
        <v>130</v>
      </c>
      <c r="R42" s="254" t="s">
        <v>130</v>
      </c>
      <c r="S42" s="254" t="s">
        <v>130</v>
      </c>
      <c r="T42" s="254" t="s">
        <v>130</v>
      </c>
      <c r="U42" s="254" t="s">
        <v>130</v>
      </c>
      <c r="V42" s="254" t="s">
        <v>130</v>
      </c>
      <c r="W42" s="254" t="s">
        <v>130</v>
      </c>
      <c r="X42" s="254" t="s">
        <v>130</v>
      </c>
      <c r="Y42" s="254" t="s">
        <v>130</v>
      </c>
      <c r="Z42" s="254" t="s">
        <v>130</v>
      </c>
      <c r="AA42" s="254" t="s">
        <v>130</v>
      </c>
      <c r="AB42" s="254" t="s">
        <v>130</v>
      </c>
      <c r="AC42" s="254" t="s">
        <v>130</v>
      </c>
      <c r="AD42" s="254" t="s">
        <v>130</v>
      </c>
      <c r="AE42" s="254" t="s">
        <v>130</v>
      </c>
      <c r="AF42" s="254" t="s">
        <v>130</v>
      </c>
      <c r="AG42" s="254" t="s">
        <v>130</v>
      </c>
      <c r="AH42" s="254" t="s">
        <v>130</v>
      </c>
      <c r="AI42" s="254" t="s">
        <v>130</v>
      </c>
      <c r="AJ42" s="254" t="s">
        <v>130</v>
      </c>
      <c r="AK42" s="254" t="s">
        <v>130</v>
      </c>
      <c r="AL42" s="254" t="s">
        <v>130</v>
      </c>
      <c r="AM42" s="254" t="s">
        <v>130</v>
      </c>
      <c r="AN42" s="254" t="s">
        <v>130</v>
      </c>
      <c r="AO42" s="254" t="s">
        <v>130</v>
      </c>
      <c r="AP42" s="254" t="s">
        <v>130</v>
      </c>
      <c r="AQ42" s="254" t="s">
        <v>130</v>
      </c>
      <c r="AR42" s="254" t="s">
        <v>130</v>
      </c>
      <c r="AS42" s="254" t="s">
        <v>130</v>
      </c>
      <c r="AT42" s="254" t="s">
        <v>130</v>
      </c>
      <c r="AU42" s="254" t="s">
        <v>130</v>
      </c>
      <c r="AV42" s="254" t="s">
        <v>130</v>
      </c>
      <c r="AW42" s="254" t="s">
        <v>130</v>
      </c>
      <c r="AX42" s="254" t="s">
        <v>130</v>
      </c>
      <c r="AY42" s="254" t="s">
        <v>130</v>
      </c>
      <c r="AZ42" s="254" t="s">
        <v>130</v>
      </c>
      <c r="BA42" s="254" t="s">
        <v>130</v>
      </c>
      <c r="BB42" s="254" t="s">
        <v>130</v>
      </c>
      <c r="BC42" s="254" t="s">
        <v>130</v>
      </c>
      <c r="BD42" s="254" t="s">
        <v>130</v>
      </c>
      <c r="BE42" s="254" t="s">
        <v>130</v>
      </c>
      <c r="BF42" s="254" t="s">
        <v>130</v>
      </c>
      <c r="BG42" s="254" t="s">
        <v>130</v>
      </c>
      <c r="BH42" s="254" t="s">
        <v>130</v>
      </c>
      <c r="BI42" s="254" t="s">
        <v>130</v>
      </c>
      <c r="BJ42" s="254" t="s">
        <v>130</v>
      </c>
      <c r="BK42" s="254" t="s">
        <v>130</v>
      </c>
      <c r="BL42" s="254" t="s">
        <v>130</v>
      </c>
      <c r="BM42" s="254" t="s">
        <v>130</v>
      </c>
      <c r="BN42" s="254" t="s">
        <v>130</v>
      </c>
      <c r="BO42" s="254" t="s">
        <v>130</v>
      </c>
      <c r="BP42" s="254" t="s">
        <v>130</v>
      </c>
      <c r="BQ42" s="254" t="s">
        <v>130</v>
      </c>
      <c r="BR42" s="254" t="s">
        <v>130</v>
      </c>
      <c r="BS42" s="254" t="s">
        <v>130</v>
      </c>
      <c r="BT42" s="254" t="s">
        <v>130</v>
      </c>
      <c r="BU42" s="254" t="s">
        <v>130</v>
      </c>
      <c r="BV42" s="254" t="s">
        <v>130</v>
      </c>
      <c r="BW42" s="254" t="s">
        <v>130</v>
      </c>
      <c r="BX42" s="254" t="s">
        <v>130</v>
      </c>
      <c r="BY42" s="254" t="s">
        <v>130</v>
      </c>
      <c r="BZ42" s="254" t="s">
        <v>130</v>
      </c>
      <c r="CA42" s="254" t="s">
        <v>130</v>
      </c>
      <c r="CB42" s="254" t="s">
        <v>130</v>
      </c>
      <c r="CC42" s="254" t="s">
        <v>130</v>
      </c>
      <c r="CD42" s="254" t="s">
        <v>130</v>
      </c>
      <c r="CE42" s="254" t="s">
        <v>130</v>
      </c>
      <c r="CF42" s="115">
        <v>543.4</v>
      </c>
      <c r="CG42" s="350">
        <v>655.88</v>
      </c>
      <c r="CH42" s="115">
        <v>774.9</v>
      </c>
      <c r="CI42" s="115">
        <v>1101.3078442000001</v>
      </c>
      <c r="CJ42" s="117">
        <v>1264.3408324</v>
      </c>
      <c r="CK42" s="117">
        <v>1672.8992931</v>
      </c>
      <c r="CL42" s="117">
        <v>1908.3356848000001</v>
      </c>
      <c r="CM42" s="239" t="s">
        <v>130</v>
      </c>
      <c r="CN42" s="239" t="s">
        <v>130</v>
      </c>
      <c r="CO42" s="253">
        <v>356.44</v>
      </c>
      <c r="CP42" s="255">
        <v>413.43</v>
      </c>
      <c r="CQ42" s="253">
        <v>500.65</v>
      </c>
      <c r="CR42" s="115">
        <v>605.59393820000003</v>
      </c>
      <c r="CS42" s="114">
        <v>789.87512949999996</v>
      </c>
      <c r="CT42" s="114">
        <v>1047.093292</v>
      </c>
      <c r="CU42" s="114">
        <v>1406.2274288000001</v>
      </c>
      <c r="CV42" s="230" t="s">
        <v>130</v>
      </c>
      <c r="CW42" s="230" t="s">
        <v>130</v>
      </c>
      <c r="CX42" s="252">
        <v>65.59</v>
      </c>
      <c r="CY42" s="255">
        <v>63.03</v>
      </c>
      <c r="CZ42" s="253">
        <v>64.608336559556065</v>
      </c>
      <c r="DA42" s="253">
        <v>54.988615707164868</v>
      </c>
      <c r="DB42" s="253">
        <v>62.473275343060884</v>
      </c>
      <c r="DC42" s="253">
        <v>62.59</v>
      </c>
      <c r="DD42" s="254">
        <v>73.688682761669227</v>
      </c>
      <c r="DE42" s="298" t="s">
        <v>130</v>
      </c>
      <c r="DF42" s="298">
        <v>0</v>
      </c>
      <c r="DG42" s="254" t="s">
        <v>130</v>
      </c>
      <c r="DH42" s="254" t="s">
        <v>130</v>
      </c>
      <c r="DI42" s="254" t="s">
        <v>130</v>
      </c>
      <c r="DJ42" s="254" t="s">
        <v>130</v>
      </c>
      <c r="DK42" s="254" t="s">
        <v>130</v>
      </c>
      <c r="DL42" s="254" t="s">
        <v>130</v>
      </c>
      <c r="DM42" s="254" t="s">
        <v>130</v>
      </c>
      <c r="DN42" s="254" t="s">
        <v>130</v>
      </c>
      <c r="DO42" s="254" t="s">
        <v>130</v>
      </c>
      <c r="DP42" s="254" t="s">
        <v>130</v>
      </c>
      <c r="DQ42" s="254" t="s">
        <v>130</v>
      </c>
      <c r="DR42" s="254" t="s">
        <v>130</v>
      </c>
      <c r="DS42" s="254" t="s">
        <v>130</v>
      </c>
      <c r="DT42" s="254" t="s">
        <v>130</v>
      </c>
      <c r="DU42" s="254" t="s">
        <v>130</v>
      </c>
      <c r="DV42" s="254" t="s">
        <v>130</v>
      </c>
      <c r="DW42" s="254" t="s">
        <v>130</v>
      </c>
      <c r="DX42" s="254" t="s">
        <v>130</v>
      </c>
      <c r="DY42" s="254" t="s">
        <v>130</v>
      </c>
      <c r="DZ42" s="254" t="s">
        <v>130</v>
      </c>
      <c r="EA42" s="254" t="s">
        <v>130</v>
      </c>
      <c r="EB42" s="254" t="s">
        <v>130</v>
      </c>
      <c r="EC42" s="254" t="s">
        <v>130</v>
      </c>
      <c r="ED42" s="254" t="s">
        <v>130</v>
      </c>
      <c r="EE42" s="254" t="s">
        <v>130</v>
      </c>
      <c r="EF42" s="254" t="s">
        <v>130</v>
      </c>
      <c r="EG42" s="254" t="s">
        <v>130</v>
      </c>
      <c r="EH42" s="278">
        <v>543.4</v>
      </c>
      <c r="EI42" s="278">
        <v>655.88</v>
      </c>
      <c r="EJ42" s="277">
        <v>774.9</v>
      </c>
      <c r="EK42" s="277">
        <v>1101.3078442000001</v>
      </c>
      <c r="EL42" s="117">
        <v>1264.3408324</v>
      </c>
      <c r="EM42" s="117">
        <v>1672.8992931</v>
      </c>
      <c r="EN42" s="117">
        <v>1908.3356848000001</v>
      </c>
      <c r="EO42" s="239" t="s">
        <v>130</v>
      </c>
      <c r="EP42" s="239" t="s">
        <v>130</v>
      </c>
      <c r="EQ42" s="260">
        <v>356.44</v>
      </c>
      <c r="ER42" s="260">
        <v>413.43</v>
      </c>
      <c r="ES42" s="148">
        <v>500.65</v>
      </c>
      <c r="ET42" s="148">
        <v>605.59393820000003</v>
      </c>
      <c r="EU42" s="117">
        <v>789.87512949999996</v>
      </c>
      <c r="EV42" s="117">
        <v>1047.093292</v>
      </c>
      <c r="EW42" s="117">
        <v>1406.2274288000001</v>
      </c>
      <c r="EX42" s="239" t="s">
        <v>130</v>
      </c>
      <c r="EY42" s="239" t="s">
        <v>130</v>
      </c>
      <c r="EZ42" s="282">
        <v>65.59</v>
      </c>
      <c r="FA42" s="253">
        <v>63.03</v>
      </c>
      <c r="FB42" s="156">
        <v>64.608336559556065</v>
      </c>
      <c r="FC42" s="283">
        <v>54.988615707164868</v>
      </c>
      <c r="FD42" s="260">
        <v>62.473275343060884</v>
      </c>
      <c r="FE42" s="260">
        <v>62.59</v>
      </c>
      <c r="FF42" s="284">
        <v>73.688682761669227</v>
      </c>
      <c r="FG42" s="284" t="s">
        <v>130</v>
      </c>
      <c r="FH42" s="284" t="s">
        <v>130</v>
      </c>
    </row>
    <row r="43" spans="1:164" s="164" customFormat="1" ht="17.100000000000001" customHeight="1" x14ac:dyDescent="0.2">
      <c r="A43" s="324">
        <v>31</v>
      </c>
      <c r="B43" s="341" t="s">
        <v>88</v>
      </c>
      <c r="C43" s="254" t="s">
        <v>130</v>
      </c>
      <c r="D43" s="254" t="s">
        <v>130</v>
      </c>
      <c r="E43" s="254" t="s">
        <v>130</v>
      </c>
      <c r="F43" s="254" t="s">
        <v>130</v>
      </c>
      <c r="G43" s="254" t="s">
        <v>130</v>
      </c>
      <c r="H43" s="254" t="s">
        <v>130</v>
      </c>
      <c r="I43" s="254" t="s">
        <v>130</v>
      </c>
      <c r="J43" s="254" t="s">
        <v>130</v>
      </c>
      <c r="K43" s="254" t="s">
        <v>130</v>
      </c>
      <c r="L43" s="254" t="s">
        <v>130</v>
      </c>
      <c r="M43" s="254" t="s">
        <v>130</v>
      </c>
      <c r="N43" s="254" t="s">
        <v>130</v>
      </c>
      <c r="O43" s="254" t="s">
        <v>130</v>
      </c>
      <c r="P43" s="254" t="s">
        <v>130</v>
      </c>
      <c r="Q43" s="254" t="s">
        <v>130</v>
      </c>
      <c r="R43" s="254" t="s">
        <v>130</v>
      </c>
      <c r="S43" s="254" t="s">
        <v>130</v>
      </c>
      <c r="T43" s="254" t="s">
        <v>130</v>
      </c>
      <c r="U43" s="254" t="s">
        <v>130</v>
      </c>
      <c r="V43" s="254" t="s">
        <v>130</v>
      </c>
      <c r="W43" s="254" t="s">
        <v>130</v>
      </c>
      <c r="X43" s="254" t="s">
        <v>130</v>
      </c>
      <c r="Y43" s="254" t="s">
        <v>130</v>
      </c>
      <c r="Z43" s="254" t="s">
        <v>130</v>
      </c>
      <c r="AA43" s="254" t="s">
        <v>130</v>
      </c>
      <c r="AB43" s="254" t="s">
        <v>130</v>
      </c>
      <c r="AC43" s="254" t="s">
        <v>130</v>
      </c>
      <c r="AD43" s="254" t="s">
        <v>130</v>
      </c>
      <c r="AE43" s="254" t="s">
        <v>130</v>
      </c>
      <c r="AF43" s="254" t="s">
        <v>130</v>
      </c>
      <c r="AG43" s="254" t="s">
        <v>130</v>
      </c>
      <c r="AH43" s="254" t="s">
        <v>130</v>
      </c>
      <c r="AI43" s="254" t="s">
        <v>130</v>
      </c>
      <c r="AJ43" s="254" t="s">
        <v>130</v>
      </c>
      <c r="AK43" s="254" t="s">
        <v>130</v>
      </c>
      <c r="AL43" s="254" t="s">
        <v>130</v>
      </c>
      <c r="AM43" s="254" t="s">
        <v>130</v>
      </c>
      <c r="AN43" s="254" t="s">
        <v>130</v>
      </c>
      <c r="AO43" s="254" t="s">
        <v>130</v>
      </c>
      <c r="AP43" s="254" t="s">
        <v>130</v>
      </c>
      <c r="AQ43" s="254" t="s">
        <v>130</v>
      </c>
      <c r="AR43" s="254" t="s">
        <v>130</v>
      </c>
      <c r="AS43" s="254" t="s">
        <v>130</v>
      </c>
      <c r="AT43" s="254" t="s">
        <v>130</v>
      </c>
      <c r="AU43" s="254" t="s">
        <v>130</v>
      </c>
      <c r="AV43" s="254" t="s">
        <v>130</v>
      </c>
      <c r="AW43" s="254" t="s">
        <v>130</v>
      </c>
      <c r="AX43" s="254" t="s">
        <v>130</v>
      </c>
      <c r="AY43" s="254" t="s">
        <v>130</v>
      </c>
      <c r="AZ43" s="254" t="s">
        <v>130</v>
      </c>
      <c r="BA43" s="254" t="s">
        <v>130</v>
      </c>
      <c r="BB43" s="254" t="s">
        <v>130</v>
      </c>
      <c r="BC43" s="254" t="s">
        <v>130</v>
      </c>
      <c r="BD43" s="254" t="s">
        <v>130</v>
      </c>
      <c r="BE43" s="254" t="s">
        <v>130</v>
      </c>
      <c r="BF43" s="254" t="s">
        <v>130</v>
      </c>
      <c r="BG43" s="254" t="s">
        <v>130</v>
      </c>
      <c r="BH43" s="254" t="s">
        <v>130</v>
      </c>
      <c r="BI43" s="254" t="s">
        <v>130</v>
      </c>
      <c r="BJ43" s="254" t="s">
        <v>130</v>
      </c>
      <c r="BK43" s="254" t="s">
        <v>130</v>
      </c>
      <c r="BL43" s="254" t="s">
        <v>130</v>
      </c>
      <c r="BM43" s="254" t="s">
        <v>130</v>
      </c>
      <c r="BN43" s="254" t="s">
        <v>130</v>
      </c>
      <c r="BO43" s="254" t="s">
        <v>130</v>
      </c>
      <c r="BP43" s="254" t="s">
        <v>130</v>
      </c>
      <c r="BQ43" s="254" t="s">
        <v>130</v>
      </c>
      <c r="BR43" s="254" t="s">
        <v>130</v>
      </c>
      <c r="BS43" s="254" t="s">
        <v>130</v>
      </c>
      <c r="BT43" s="254" t="s">
        <v>130</v>
      </c>
      <c r="BU43" s="254" t="s">
        <v>130</v>
      </c>
      <c r="BV43" s="254" t="s">
        <v>130</v>
      </c>
      <c r="BW43" s="254" t="s">
        <v>130</v>
      </c>
      <c r="BX43" s="254" t="s">
        <v>130</v>
      </c>
      <c r="BY43" s="254" t="s">
        <v>130</v>
      </c>
      <c r="BZ43" s="254" t="s">
        <v>130</v>
      </c>
      <c r="CA43" s="254" t="s">
        <v>130</v>
      </c>
      <c r="CB43" s="254" t="s">
        <v>130</v>
      </c>
      <c r="CC43" s="254" t="s">
        <v>130</v>
      </c>
      <c r="CD43" s="254" t="s">
        <v>130</v>
      </c>
      <c r="CE43" s="254" t="s">
        <v>130</v>
      </c>
      <c r="CF43" s="115">
        <v>0.01</v>
      </c>
      <c r="CG43" s="350">
        <v>6.67</v>
      </c>
      <c r="CH43" s="115">
        <v>70.959999999999994</v>
      </c>
      <c r="CI43" s="115">
        <v>181.76866519000001</v>
      </c>
      <c r="CJ43" s="117">
        <v>266.139088614</v>
      </c>
      <c r="CK43" s="117">
        <v>392.517280562</v>
      </c>
      <c r="CL43" s="117">
        <v>503.43570946800003</v>
      </c>
      <c r="CM43" s="239">
        <v>631.36670046499898</v>
      </c>
      <c r="CN43" s="117">
        <v>824.98445128000105</v>
      </c>
      <c r="CO43" s="253">
        <v>0.01</v>
      </c>
      <c r="CP43" s="255">
        <v>4.29</v>
      </c>
      <c r="CQ43" s="253">
        <v>55.81</v>
      </c>
      <c r="CR43" s="115">
        <v>87.499887209999997</v>
      </c>
      <c r="CS43" s="114">
        <v>123.20124903999999</v>
      </c>
      <c r="CT43" s="114">
        <v>243.13930084399999</v>
      </c>
      <c r="CU43" s="114">
        <v>310.31696837290002</v>
      </c>
      <c r="CV43" s="230">
        <v>385.954633339</v>
      </c>
      <c r="CW43" s="114">
        <v>628.38354219200005</v>
      </c>
      <c r="CX43" s="252">
        <v>59.68</v>
      </c>
      <c r="CY43" s="255">
        <v>64.33</v>
      </c>
      <c r="CZ43" s="253">
        <v>78.64994363021421</v>
      </c>
      <c r="DA43" s="253">
        <v>48.138047951519972</v>
      </c>
      <c r="DB43" s="253">
        <v>46.292053407715436</v>
      </c>
      <c r="DC43" s="253">
        <v>61.94</v>
      </c>
      <c r="DD43" s="254">
        <v>61.639840507306076</v>
      </c>
      <c r="DE43" s="298">
        <v>61.13002682193185</v>
      </c>
      <c r="DF43" s="298">
        <v>76.169137638537904</v>
      </c>
      <c r="DG43" s="254" t="s">
        <v>130</v>
      </c>
      <c r="DH43" s="254" t="s">
        <v>130</v>
      </c>
      <c r="DI43" s="254" t="s">
        <v>130</v>
      </c>
      <c r="DJ43" s="254" t="s">
        <v>130</v>
      </c>
      <c r="DK43" s="254" t="s">
        <v>130</v>
      </c>
      <c r="DL43" s="254" t="s">
        <v>130</v>
      </c>
      <c r="DM43" s="254" t="s">
        <v>130</v>
      </c>
      <c r="DN43" s="254" t="s">
        <v>130</v>
      </c>
      <c r="DO43" s="254" t="s">
        <v>130</v>
      </c>
      <c r="DP43" s="254" t="s">
        <v>130</v>
      </c>
      <c r="DQ43" s="254" t="s">
        <v>130</v>
      </c>
      <c r="DR43" s="254" t="s">
        <v>130</v>
      </c>
      <c r="DS43" s="254" t="s">
        <v>130</v>
      </c>
      <c r="DT43" s="254" t="s">
        <v>130</v>
      </c>
      <c r="DU43" s="254" t="s">
        <v>130</v>
      </c>
      <c r="DV43" s="254" t="s">
        <v>130</v>
      </c>
      <c r="DW43" s="254" t="s">
        <v>130</v>
      </c>
      <c r="DX43" s="254" t="s">
        <v>130</v>
      </c>
      <c r="DY43" s="254" t="s">
        <v>130</v>
      </c>
      <c r="DZ43" s="254" t="s">
        <v>130</v>
      </c>
      <c r="EA43" s="254" t="s">
        <v>130</v>
      </c>
      <c r="EB43" s="254" t="s">
        <v>130</v>
      </c>
      <c r="EC43" s="254" t="s">
        <v>130</v>
      </c>
      <c r="ED43" s="254" t="s">
        <v>130</v>
      </c>
      <c r="EE43" s="254" t="s">
        <v>130</v>
      </c>
      <c r="EF43" s="254" t="s">
        <v>130</v>
      </c>
      <c r="EG43" s="254" t="s">
        <v>130</v>
      </c>
      <c r="EH43" s="278">
        <v>0.01</v>
      </c>
      <c r="EI43" s="278">
        <v>6.67</v>
      </c>
      <c r="EJ43" s="277">
        <v>70.959999999999994</v>
      </c>
      <c r="EK43" s="277">
        <v>181.76866519000001</v>
      </c>
      <c r="EL43" s="117">
        <v>266.139088614</v>
      </c>
      <c r="EM43" s="117">
        <v>392.517280562</v>
      </c>
      <c r="EN43" s="117">
        <v>503.43570946800003</v>
      </c>
      <c r="EO43" s="239">
        <v>631.36670046499898</v>
      </c>
      <c r="EP43" s="117">
        <v>824.98445128000105</v>
      </c>
      <c r="EQ43" s="260">
        <v>0.01</v>
      </c>
      <c r="ER43" s="260">
        <v>4.29</v>
      </c>
      <c r="ES43" s="148">
        <v>55.81</v>
      </c>
      <c r="ET43" s="148">
        <v>87.499887209999997</v>
      </c>
      <c r="EU43" s="117">
        <v>123.20124903999999</v>
      </c>
      <c r="EV43" s="117">
        <v>243.13930084399999</v>
      </c>
      <c r="EW43" s="117">
        <v>310.31696837290002</v>
      </c>
      <c r="EX43" s="239">
        <v>385.954633339</v>
      </c>
      <c r="EY43" s="117">
        <v>628.38354219200005</v>
      </c>
      <c r="EZ43" s="282">
        <v>59.68</v>
      </c>
      <c r="FA43" s="253">
        <v>64.33</v>
      </c>
      <c r="FB43" s="156">
        <v>78.64994363021421</v>
      </c>
      <c r="FC43" s="283">
        <v>48.138047951519972</v>
      </c>
      <c r="FD43" s="260">
        <v>46.292053407715436</v>
      </c>
      <c r="FE43" s="260">
        <v>61.94</v>
      </c>
      <c r="FF43" s="284">
        <v>61.639840507306076</v>
      </c>
      <c r="FG43" s="284">
        <v>61.13002682193185</v>
      </c>
      <c r="FH43" s="284">
        <v>76.169137638537904</v>
      </c>
    </row>
    <row r="44" spans="1:164" s="164" customFormat="1" ht="17.100000000000001" customHeight="1" x14ac:dyDescent="0.2">
      <c r="A44" s="324">
        <v>32</v>
      </c>
      <c r="B44" s="191" t="s">
        <v>502</v>
      </c>
      <c r="C44" s="254" t="s">
        <v>130</v>
      </c>
      <c r="D44" s="254" t="s">
        <v>130</v>
      </c>
      <c r="E44" s="254" t="s">
        <v>130</v>
      </c>
      <c r="F44" s="254" t="s">
        <v>130</v>
      </c>
      <c r="G44" s="254" t="s">
        <v>130</v>
      </c>
      <c r="H44" s="254" t="s">
        <v>130</v>
      </c>
      <c r="I44" s="254" t="s">
        <v>130</v>
      </c>
      <c r="J44" s="254" t="s">
        <v>130</v>
      </c>
      <c r="K44" s="254" t="s">
        <v>130</v>
      </c>
      <c r="L44" s="254" t="s">
        <v>130</v>
      </c>
      <c r="M44" s="254" t="s">
        <v>130</v>
      </c>
      <c r="N44" s="254" t="s">
        <v>130</v>
      </c>
      <c r="O44" s="254" t="s">
        <v>130</v>
      </c>
      <c r="P44" s="254" t="s">
        <v>130</v>
      </c>
      <c r="Q44" s="254" t="s">
        <v>130</v>
      </c>
      <c r="R44" s="254" t="s">
        <v>130</v>
      </c>
      <c r="S44" s="254" t="s">
        <v>130</v>
      </c>
      <c r="T44" s="254" t="s">
        <v>130</v>
      </c>
      <c r="U44" s="254" t="s">
        <v>130</v>
      </c>
      <c r="V44" s="254" t="s">
        <v>130</v>
      </c>
      <c r="W44" s="254" t="s">
        <v>130</v>
      </c>
      <c r="X44" s="254" t="s">
        <v>130</v>
      </c>
      <c r="Y44" s="254" t="s">
        <v>130</v>
      </c>
      <c r="Z44" s="254" t="s">
        <v>130</v>
      </c>
      <c r="AA44" s="254" t="s">
        <v>130</v>
      </c>
      <c r="AB44" s="254" t="s">
        <v>130</v>
      </c>
      <c r="AC44" s="254" t="s">
        <v>130</v>
      </c>
      <c r="AD44" s="254" t="s">
        <v>130</v>
      </c>
      <c r="AE44" s="254" t="s">
        <v>130</v>
      </c>
      <c r="AF44" s="254" t="s">
        <v>130</v>
      </c>
      <c r="AG44" s="254" t="s">
        <v>130</v>
      </c>
      <c r="AH44" s="254" t="s">
        <v>130</v>
      </c>
      <c r="AI44" s="254" t="s">
        <v>130</v>
      </c>
      <c r="AJ44" s="254" t="s">
        <v>130</v>
      </c>
      <c r="AK44" s="254" t="s">
        <v>130</v>
      </c>
      <c r="AL44" s="254" t="s">
        <v>130</v>
      </c>
      <c r="AM44" s="254" t="s">
        <v>130</v>
      </c>
      <c r="AN44" s="254" t="s">
        <v>130</v>
      </c>
      <c r="AO44" s="254" t="s">
        <v>130</v>
      </c>
      <c r="AP44" s="254" t="s">
        <v>130</v>
      </c>
      <c r="AQ44" s="254" t="s">
        <v>130</v>
      </c>
      <c r="AR44" s="254" t="s">
        <v>130</v>
      </c>
      <c r="AS44" s="254" t="s">
        <v>130</v>
      </c>
      <c r="AT44" s="254" t="s">
        <v>130</v>
      </c>
      <c r="AU44" s="254" t="s">
        <v>130</v>
      </c>
      <c r="AV44" s="254" t="s">
        <v>130</v>
      </c>
      <c r="AW44" s="254" t="s">
        <v>130</v>
      </c>
      <c r="AX44" s="254" t="s">
        <v>130</v>
      </c>
      <c r="AY44" s="254" t="s">
        <v>130</v>
      </c>
      <c r="AZ44" s="254" t="s">
        <v>130</v>
      </c>
      <c r="BA44" s="254" t="s">
        <v>130</v>
      </c>
      <c r="BB44" s="254" t="s">
        <v>130</v>
      </c>
      <c r="BC44" s="254" t="s">
        <v>130</v>
      </c>
      <c r="BD44" s="254" t="s">
        <v>130</v>
      </c>
      <c r="BE44" s="254" t="s">
        <v>130</v>
      </c>
      <c r="BF44" s="254" t="s">
        <v>130</v>
      </c>
      <c r="BG44" s="254" t="s">
        <v>130</v>
      </c>
      <c r="BH44" s="254" t="s">
        <v>130</v>
      </c>
      <c r="BI44" s="254" t="s">
        <v>130</v>
      </c>
      <c r="BJ44" s="254" t="s">
        <v>130</v>
      </c>
      <c r="BK44" s="254" t="s">
        <v>130</v>
      </c>
      <c r="BL44" s="254" t="s">
        <v>130</v>
      </c>
      <c r="BM44" s="254" t="s">
        <v>130</v>
      </c>
      <c r="BN44" s="254" t="s">
        <v>130</v>
      </c>
      <c r="BO44" s="254" t="s">
        <v>130</v>
      </c>
      <c r="BP44" s="254" t="s">
        <v>130</v>
      </c>
      <c r="BQ44" s="254" t="s">
        <v>130</v>
      </c>
      <c r="BR44" s="254" t="s">
        <v>130</v>
      </c>
      <c r="BS44" s="254" t="s">
        <v>130</v>
      </c>
      <c r="BT44" s="254" t="s">
        <v>130</v>
      </c>
      <c r="BU44" s="254" t="s">
        <v>130</v>
      </c>
      <c r="BV44" s="254" t="s">
        <v>130</v>
      </c>
      <c r="BW44" s="254" t="s">
        <v>130</v>
      </c>
      <c r="BX44" s="254" t="s">
        <v>130</v>
      </c>
      <c r="BY44" s="254" t="s">
        <v>130</v>
      </c>
      <c r="BZ44" s="254" t="s">
        <v>130</v>
      </c>
      <c r="CA44" s="254" t="s">
        <v>130</v>
      </c>
      <c r="CB44" s="254" t="s">
        <v>130</v>
      </c>
      <c r="CC44" s="254" t="s">
        <v>130</v>
      </c>
      <c r="CD44" s="254" t="s">
        <v>130</v>
      </c>
      <c r="CE44" s="254" t="s">
        <v>130</v>
      </c>
      <c r="CF44" s="115">
        <v>237.66</v>
      </c>
      <c r="CG44" s="350">
        <v>315.24</v>
      </c>
      <c r="CH44" s="115">
        <v>393.11</v>
      </c>
      <c r="CI44" s="115">
        <v>544.281049994917</v>
      </c>
      <c r="CJ44" s="117">
        <v>575.85420467993401</v>
      </c>
      <c r="CK44" s="117">
        <v>659.478846823852</v>
      </c>
      <c r="CL44" s="117">
        <v>841.06912445399996</v>
      </c>
      <c r="CM44" s="239">
        <v>1150.8666242920001</v>
      </c>
      <c r="CN44" s="117">
        <v>1752.5097814012599</v>
      </c>
      <c r="CO44" s="253">
        <v>140.4</v>
      </c>
      <c r="CP44" s="255">
        <v>173.88</v>
      </c>
      <c r="CQ44" s="253">
        <v>234.02</v>
      </c>
      <c r="CR44" s="115">
        <v>282.81198452149999</v>
      </c>
      <c r="CS44" s="114">
        <v>289.02258867289999</v>
      </c>
      <c r="CT44" s="114">
        <v>355.64263044283399</v>
      </c>
      <c r="CU44" s="114">
        <v>450.069100116524</v>
      </c>
      <c r="CV44" s="230">
        <v>645.55510480099997</v>
      </c>
      <c r="CW44" s="114">
        <v>1088.62589494545</v>
      </c>
      <c r="CX44" s="252">
        <v>59.07</v>
      </c>
      <c r="CY44" s="255">
        <v>55.16</v>
      </c>
      <c r="CZ44" s="253">
        <v>59.530411335249681</v>
      </c>
      <c r="DA44" s="253">
        <v>51.960652410026242</v>
      </c>
      <c r="DB44" s="253">
        <v>50.190236751599627</v>
      </c>
      <c r="DC44" s="253">
        <v>53.93</v>
      </c>
      <c r="DD44" s="254">
        <v>53.511547033508933</v>
      </c>
      <c r="DE44" s="298">
        <v>56.092955619261097</v>
      </c>
      <c r="DF44" s="298">
        <v>62.118106643319905</v>
      </c>
      <c r="DG44" s="254" t="s">
        <v>130</v>
      </c>
      <c r="DH44" s="254" t="s">
        <v>130</v>
      </c>
      <c r="DI44" s="254" t="s">
        <v>130</v>
      </c>
      <c r="DJ44" s="254" t="s">
        <v>130</v>
      </c>
      <c r="DK44" s="254" t="s">
        <v>130</v>
      </c>
      <c r="DL44" s="254" t="s">
        <v>130</v>
      </c>
      <c r="DM44" s="254" t="s">
        <v>130</v>
      </c>
      <c r="DN44" s="254" t="s">
        <v>130</v>
      </c>
      <c r="DO44" s="254" t="s">
        <v>130</v>
      </c>
      <c r="DP44" s="254" t="s">
        <v>130</v>
      </c>
      <c r="DQ44" s="254" t="s">
        <v>130</v>
      </c>
      <c r="DR44" s="254" t="s">
        <v>130</v>
      </c>
      <c r="DS44" s="254" t="s">
        <v>130</v>
      </c>
      <c r="DT44" s="254" t="s">
        <v>130</v>
      </c>
      <c r="DU44" s="254" t="s">
        <v>130</v>
      </c>
      <c r="DV44" s="254" t="s">
        <v>130</v>
      </c>
      <c r="DW44" s="254" t="s">
        <v>130</v>
      </c>
      <c r="DX44" s="254" t="s">
        <v>130</v>
      </c>
      <c r="DY44" s="254" t="s">
        <v>130</v>
      </c>
      <c r="DZ44" s="254" t="s">
        <v>130</v>
      </c>
      <c r="EA44" s="254" t="s">
        <v>130</v>
      </c>
      <c r="EB44" s="254" t="s">
        <v>130</v>
      </c>
      <c r="EC44" s="254" t="s">
        <v>130</v>
      </c>
      <c r="ED44" s="254" t="s">
        <v>130</v>
      </c>
      <c r="EE44" s="254" t="s">
        <v>130</v>
      </c>
      <c r="EF44" s="254" t="s">
        <v>130</v>
      </c>
      <c r="EG44" s="254" t="s">
        <v>130</v>
      </c>
      <c r="EH44" s="278">
        <v>237.66</v>
      </c>
      <c r="EI44" s="278">
        <v>315.24</v>
      </c>
      <c r="EJ44" s="277">
        <v>393.11</v>
      </c>
      <c r="EK44" s="277">
        <v>544.281049994917</v>
      </c>
      <c r="EL44" s="117">
        <v>575.85420467993401</v>
      </c>
      <c r="EM44" s="117">
        <v>659.478846823852</v>
      </c>
      <c r="EN44" s="117">
        <v>841.06912445399996</v>
      </c>
      <c r="EO44" s="239">
        <v>1150.8666242920001</v>
      </c>
      <c r="EP44" s="117">
        <v>1752.5097814012599</v>
      </c>
      <c r="EQ44" s="260">
        <v>140.4</v>
      </c>
      <c r="ER44" s="260">
        <v>173.88</v>
      </c>
      <c r="ES44" s="148">
        <v>234.02</v>
      </c>
      <c r="ET44" s="148">
        <v>282.81198452149999</v>
      </c>
      <c r="EU44" s="117">
        <v>289.02258867289999</v>
      </c>
      <c r="EV44" s="117">
        <v>355.64263044283399</v>
      </c>
      <c r="EW44" s="117">
        <v>450.069100116524</v>
      </c>
      <c r="EX44" s="239">
        <v>645.55510480099997</v>
      </c>
      <c r="EY44" s="117">
        <v>1088.62589494545</v>
      </c>
      <c r="EZ44" s="282">
        <v>59.07</v>
      </c>
      <c r="FA44" s="253">
        <v>55.16</v>
      </c>
      <c r="FB44" s="156">
        <v>59.530411335249681</v>
      </c>
      <c r="FC44" s="283">
        <v>51.960652410026242</v>
      </c>
      <c r="FD44" s="260">
        <v>50.190236751599627</v>
      </c>
      <c r="FE44" s="260">
        <v>53.93</v>
      </c>
      <c r="FF44" s="284">
        <v>53.511547033508933</v>
      </c>
      <c r="FG44" s="284">
        <v>56.092955619261097</v>
      </c>
      <c r="FH44" s="284">
        <v>62.118106643319905</v>
      </c>
    </row>
    <row r="45" spans="1:164" s="164" customFormat="1" ht="17.100000000000001" customHeight="1" x14ac:dyDescent="0.2">
      <c r="A45" s="324">
        <v>33</v>
      </c>
      <c r="B45" s="341" t="s">
        <v>413</v>
      </c>
      <c r="C45" s="254" t="s">
        <v>130</v>
      </c>
      <c r="D45" s="254" t="s">
        <v>130</v>
      </c>
      <c r="E45" s="254" t="s">
        <v>130</v>
      </c>
      <c r="F45" s="254" t="s">
        <v>130</v>
      </c>
      <c r="G45" s="254" t="s">
        <v>130</v>
      </c>
      <c r="H45" s="254" t="s">
        <v>130</v>
      </c>
      <c r="I45" s="254" t="s">
        <v>130</v>
      </c>
      <c r="J45" s="254" t="s">
        <v>130</v>
      </c>
      <c r="K45" s="254" t="s">
        <v>130</v>
      </c>
      <c r="L45" s="254" t="s">
        <v>130</v>
      </c>
      <c r="M45" s="254" t="s">
        <v>130</v>
      </c>
      <c r="N45" s="254" t="s">
        <v>130</v>
      </c>
      <c r="O45" s="254" t="s">
        <v>130</v>
      </c>
      <c r="P45" s="254" t="s">
        <v>130</v>
      </c>
      <c r="Q45" s="254" t="s">
        <v>130</v>
      </c>
      <c r="R45" s="254" t="s">
        <v>130</v>
      </c>
      <c r="S45" s="254" t="s">
        <v>130</v>
      </c>
      <c r="T45" s="254" t="s">
        <v>130</v>
      </c>
      <c r="U45" s="254" t="s">
        <v>130</v>
      </c>
      <c r="V45" s="254" t="s">
        <v>130</v>
      </c>
      <c r="W45" s="254" t="s">
        <v>130</v>
      </c>
      <c r="X45" s="254" t="s">
        <v>130</v>
      </c>
      <c r="Y45" s="254" t="s">
        <v>130</v>
      </c>
      <c r="Z45" s="254" t="s">
        <v>130</v>
      </c>
      <c r="AA45" s="254" t="s">
        <v>130</v>
      </c>
      <c r="AB45" s="254" t="s">
        <v>130</v>
      </c>
      <c r="AC45" s="254" t="s">
        <v>130</v>
      </c>
      <c r="AD45" s="254" t="s">
        <v>130</v>
      </c>
      <c r="AE45" s="254" t="s">
        <v>130</v>
      </c>
      <c r="AF45" s="254" t="s">
        <v>130</v>
      </c>
      <c r="AG45" s="254" t="s">
        <v>130</v>
      </c>
      <c r="AH45" s="254" t="s">
        <v>130</v>
      </c>
      <c r="AI45" s="254" t="s">
        <v>130</v>
      </c>
      <c r="AJ45" s="254" t="s">
        <v>130</v>
      </c>
      <c r="AK45" s="254" t="s">
        <v>130</v>
      </c>
      <c r="AL45" s="254" t="s">
        <v>130</v>
      </c>
      <c r="AM45" s="254" t="s">
        <v>130</v>
      </c>
      <c r="AN45" s="254" t="s">
        <v>130</v>
      </c>
      <c r="AO45" s="254" t="s">
        <v>130</v>
      </c>
      <c r="AP45" s="254" t="s">
        <v>130</v>
      </c>
      <c r="AQ45" s="254" t="s">
        <v>130</v>
      </c>
      <c r="AR45" s="254" t="s">
        <v>130</v>
      </c>
      <c r="AS45" s="254" t="s">
        <v>130</v>
      </c>
      <c r="AT45" s="254" t="s">
        <v>130</v>
      </c>
      <c r="AU45" s="254" t="s">
        <v>130</v>
      </c>
      <c r="AV45" s="254" t="s">
        <v>130</v>
      </c>
      <c r="AW45" s="254" t="s">
        <v>130</v>
      </c>
      <c r="AX45" s="254" t="s">
        <v>130</v>
      </c>
      <c r="AY45" s="254" t="s">
        <v>130</v>
      </c>
      <c r="AZ45" s="254" t="s">
        <v>130</v>
      </c>
      <c r="BA45" s="254" t="s">
        <v>130</v>
      </c>
      <c r="BB45" s="254" t="s">
        <v>130</v>
      </c>
      <c r="BC45" s="254" t="s">
        <v>130</v>
      </c>
      <c r="BD45" s="254" t="s">
        <v>130</v>
      </c>
      <c r="BE45" s="254" t="s">
        <v>130</v>
      </c>
      <c r="BF45" s="254" t="s">
        <v>130</v>
      </c>
      <c r="BG45" s="254" t="s">
        <v>130</v>
      </c>
      <c r="BH45" s="254" t="s">
        <v>130</v>
      </c>
      <c r="BI45" s="254" t="s">
        <v>130</v>
      </c>
      <c r="BJ45" s="254" t="s">
        <v>130</v>
      </c>
      <c r="BK45" s="254" t="s">
        <v>130</v>
      </c>
      <c r="BL45" s="254" t="s">
        <v>130</v>
      </c>
      <c r="BM45" s="254" t="s">
        <v>130</v>
      </c>
      <c r="BN45" s="254" t="s">
        <v>130</v>
      </c>
      <c r="BO45" s="254" t="s">
        <v>130</v>
      </c>
      <c r="BP45" s="254" t="s">
        <v>130</v>
      </c>
      <c r="BQ45" s="254" t="s">
        <v>130</v>
      </c>
      <c r="BR45" s="254" t="s">
        <v>130</v>
      </c>
      <c r="BS45" s="254" t="s">
        <v>130</v>
      </c>
      <c r="BT45" s="254" t="s">
        <v>130</v>
      </c>
      <c r="BU45" s="254" t="s">
        <v>130</v>
      </c>
      <c r="BV45" s="254" t="s">
        <v>130</v>
      </c>
      <c r="BW45" s="254" t="s">
        <v>130</v>
      </c>
      <c r="BX45" s="254" t="s">
        <v>130</v>
      </c>
      <c r="BY45" s="254" t="s">
        <v>130</v>
      </c>
      <c r="BZ45" s="254" t="s">
        <v>130</v>
      </c>
      <c r="CA45" s="254" t="s">
        <v>130</v>
      </c>
      <c r="CB45" s="254" t="s">
        <v>130</v>
      </c>
      <c r="CC45" s="254" t="s">
        <v>130</v>
      </c>
      <c r="CD45" s="254" t="s">
        <v>130</v>
      </c>
      <c r="CE45" s="254" t="s">
        <v>130</v>
      </c>
      <c r="CF45" s="115"/>
      <c r="CG45" s="115"/>
      <c r="CH45" s="115"/>
      <c r="CI45" s="115"/>
      <c r="CJ45" s="117"/>
      <c r="CK45" s="117">
        <v>1.3579209999999999</v>
      </c>
      <c r="CL45" s="117">
        <v>3.41</v>
      </c>
      <c r="CM45" s="239">
        <v>1.62</v>
      </c>
      <c r="CN45" s="117">
        <v>0.28999999999999998</v>
      </c>
      <c r="CO45" s="253"/>
      <c r="CP45" s="255"/>
      <c r="CQ45" s="253"/>
      <c r="CR45" s="115"/>
      <c r="CS45" s="114"/>
      <c r="CT45" s="114">
        <v>0.1842617</v>
      </c>
      <c r="CU45" s="114">
        <v>2.1198999999999999</v>
      </c>
      <c r="CV45" s="230">
        <v>0.74</v>
      </c>
      <c r="CW45" s="114">
        <v>0.56999999999999995</v>
      </c>
      <c r="CX45" s="252"/>
      <c r="CY45" s="255"/>
      <c r="CZ45" s="253"/>
      <c r="DA45" s="253"/>
      <c r="DB45" s="253"/>
      <c r="DC45" s="253">
        <v>13.57</v>
      </c>
      <c r="DD45" s="254">
        <v>62.167155425219931</v>
      </c>
      <c r="DE45" s="298">
        <v>45.679012345679013</v>
      </c>
      <c r="DF45" s="298">
        <v>196.55172413793102</v>
      </c>
      <c r="DG45" s="254" t="s">
        <v>130</v>
      </c>
      <c r="DH45" s="254" t="s">
        <v>130</v>
      </c>
      <c r="DI45" s="254" t="s">
        <v>130</v>
      </c>
      <c r="DJ45" s="254" t="s">
        <v>130</v>
      </c>
      <c r="DK45" s="254" t="s">
        <v>130</v>
      </c>
      <c r="DL45" s="254" t="s">
        <v>130</v>
      </c>
      <c r="DM45" s="254" t="s">
        <v>130</v>
      </c>
      <c r="DN45" s="254" t="s">
        <v>130</v>
      </c>
      <c r="DO45" s="254" t="s">
        <v>130</v>
      </c>
      <c r="DP45" s="254" t="s">
        <v>130</v>
      </c>
      <c r="DQ45" s="254" t="s">
        <v>130</v>
      </c>
      <c r="DR45" s="254" t="s">
        <v>130</v>
      </c>
      <c r="DS45" s="254" t="s">
        <v>130</v>
      </c>
      <c r="DT45" s="254" t="s">
        <v>130</v>
      </c>
      <c r="DU45" s="254" t="s">
        <v>130</v>
      </c>
      <c r="DV45" s="254" t="s">
        <v>130</v>
      </c>
      <c r="DW45" s="254" t="s">
        <v>130</v>
      </c>
      <c r="DX45" s="254" t="s">
        <v>130</v>
      </c>
      <c r="DY45" s="254" t="s">
        <v>130</v>
      </c>
      <c r="DZ45" s="254" t="s">
        <v>130</v>
      </c>
      <c r="EA45" s="254" t="s">
        <v>130</v>
      </c>
      <c r="EB45" s="254" t="s">
        <v>130</v>
      </c>
      <c r="EC45" s="254" t="s">
        <v>130</v>
      </c>
      <c r="ED45" s="254" t="s">
        <v>130</v>
      </c>
      <c r="EE45" s="254" t="s">
        <v>130</v>
      </c>
      <c r="EF45" s="254" t="s">
        <v>130</v>
      </c>
      <c r="EG45" s="254" t="s">
        <v>130</v>
      </c>
      <c r="EH45" s="277"/>
      <c r="EI45" s="277"/>
      <c r="EJ45" s="277"/>
      <c r="EK45" s="277"/>
      <c r="EL45" s="117"/>
      <c r="EM45" s="117">
        <v>1.3579209999999999</v>
      </c>
      <c r="EN45" s="117">
        <v>3.41</v>
      </c>
      <c r="EO45" s="239">
        <v>1.62</v>
      </c>
      <c r="EP45" s="117">
        <v>0.28999999999999998</v>
      </c>
      <c r="EQ45" s="260"/>
      <c r="ER45" s="260"/>
      <c r="ES45" s="148"/>
      <c r="ET45" s="148"/>
      <c r="EU45" s="117"/>
      <c r="EV45" s="117">
        <v>0.1842617</v>
      </c>
      <c r="EW45" s="117">
        <v>2.1198999999999999</v>
      </c>
      <c r="EX45" s="239">
        <v>0.74</v>
      </c>
      <c r="EY45" s="117">
        <v>0.56999999999999995</v>
      </c>
      <c r="EZ45" s="282"/>
      <c r="FA45" s="253"/>
      <c r="FB45" s="156"/>
      <c r="FC45" s="283"/>
      <c r="FD45" s="260"/>
      <c r="FE45" s="260">
        <v>13.57</v>
      </c>
      <c r="FF45" s="284">
        <v>62.167155425219931</v>
      </c>
      <c r="FG45" s="284" t="s">
        <v>130</v>
      </c>
      <c r="FH45" s="284">
        <v>196.55172413793102</v>
      </c>
    </row>
    <row r="46" spans="1:164" s="164" customFormat="1" ht="17.100000000000001" customHeight="1" x14ac:dyDescent="0.2">
      <c r="A46" s="324">
        <v>34</v>
      </c>
      <c r="B46" s="341" t="s">
        <v>95</v>
      </c>
      <c r="C46" s="254" t="s">
        <v>130</v>
      </c>
      <c r="D46" s="254" t="s">
        <v>130</v>
      </c>
      <c r="E46" s="254" t="s">
        <v>130</v>
      </c>
      <c r="F46" s="254" t="s">
        <v>130</v>
      </c>
      <c r="G46" s="254" t="s">
        <v>130</v>
      </c>
      <c r="H46" s="254" t="s">
        <v>130</v>
      </c>
      <c r="I46" s="254" t="s">
        <v>130</v>
      </c>
      <c r="J46" s="254" t="s">
        <v>130</v>
      </c>
      <c r="K46" s="254" t="s">
        <v>130</v>
      </c>
      <c r="L46" s="254" t="s">
        <v>130</v>
      </c>
      <c r="M46" s="254" t="s">
        <v>130</v>
      </c>
      <c r="N46" s="254" t="s">
        <v>130</v>
      </c>
      <c r="O46" s="254" t="s">
        <v>130</v>
      </c>
      <c r="P46" s="254" t="s">
        <v>130</v>
      </c>
      <c r="Q46" s="254" t="s">
        <v>130</v>
      </c>
      <c r="R46" s="254" t="s">
        <v>130</v>
      </c>
      <c r="S46" s="254" t="s">
        <v>130</v>
      </c>
      <c r="T46" s="254" t="s">
        <v>130</v>
      </c>
      <c r="U46" s="254" t="s">
        <v>130</v>
      </c>
      <c r="V46" s="254" t="s">
        <v>130</v>
      </c>
      <c r="W46" s="254" t="s">
        <v>130</v>
      </c>
      <c r="X46" s="254" t="s">
        <v>130</v>
      </c>
      <c r="Y46" s="254" t="s">
        <v>130</v>
      </c>
      <c r="Z46" s="254" t="s">
        <v>130</v>
      </c>
      <c r="AA46" s="254" t="s">
        <v>130</v>
      </c>
      <c r="AB46" s="254" t="s">
        <v>130</v>
      </c>
      <c r="AC46" s="254" t="s">
        <v>130</v>
      </c>
      <c r="AD46" s="254" t="s">
        <v>130</v>
      </c>
      <c r="AE46" s="254" t="s">
        <v>130</v>
      </c>
      <c r="AF46" s="254" t="s">
        <v>130</v>
      </c>
      <c r="AG46" s="254" t="s">
        <v>130</v>
      </c>
      <c r="AH46" s="254" t="s">
        <v>130</v>
      </c>
      <c r="AI46" s="254" t="s">
        <v>130</v>
      </c>
      <c r="AJ46" s="254" t="s">
        <v>130</v>
      </c>
      <c r="AK46" s="254" t="s">
        <v>130</v>
      </c>
      <c r="AL46" s="254" t="s">
        <v>130</v>
      </c>
      <c r="AM46" s="254" t="s">
        <v>130</v>
      </c>
      <c r="AN46" s="254" t="s">
        <v>130</v>
      </c>
      <c r="AO46" s="254" t="s">
        <v>130</v>
      </c>
      <c r="AP46" s="254" t="s">
        <v>130</v>
      </c>
      <c r="AQ46" s="254" t="s">
        <v>130</v>
      </c>
      <c r="AR46" s="254" t="s">
        <v>130</v>
      </c>
      <c r="AS46" s="254" t="s">
        <v>130</v>
      </c>
      <c r="AT46" s="254" t="s">
        <v>130</v>
      </c>
      <c r="AU46" s="254" t="s">
        <v>130</v>
      </c>
      <c r="AV46" s="254" t="s">
        <v>130</v>
      </c>
      <c r="AW46" s="254" t="s">
        <v>130</v>
      </c>
      <c r="AX46" s="254" t="s">
        <v>130</v>
      </c>
      <c r="AY46" s="254" t="s">
        <v>130</v>
      </c>
      <c r="AZ46" s="254" t="s">
        <v>130</v>
      </c>
      <c r="BA46" s="254" t="s">
        <v>130</v>
      </c>
      <c r="BB46" s="254" t="s">
        <v>130</v>
      </c>
      <c r="BC46" s="254" t="s">
        <v>130</v>
      </c>
      <c r="BD46" s="254" t="s">
        <v>130</v>
      </c>
      <c r="BE46" s="254" t="s">
        <v>130</v>
      </c>
      <c r="BF46" s="254" t="s">
        <v>130</v>
      </c>
      <c r="BG46" s="254" t="s">
        <v>130</v>
      </c>
      <c r="BH46" s="254" t="s">
        <v>130</v>
      </c>
      <c r="BI46" s="254" t="s">
        <v>130</v>
      </c>
      <c r="BJ46" s="254" t="s">
        <v>130</v>
      </c>
      <c r="BK46" s="254" t="s">
        <v>130</v>
      </c>
      <c r="BL46" s="254" t="s">
        <v>130</v>
      </c>
      <c r="BM46" s="254" t="s">
        <v>130</v>
      </c>
      <c r="BN46" s="254" t="s">
        <v>130</v>
      </c>
      <c r="BO46" s="254" t="s">
        <v>130</v>
      </c>
      <c r="BP46" s="254" t="s">
        <v>130</v>
      </c>
      <c r="BQ46" s="254" t="s">
        <v>130</v>
      </c>
      <c r="BR46" s="254" t="s">
        <v>130</v>
      </c>
      <c r="BS46" s="254" t="s">
        <v>130</v>
      </c>
      <c r="BT46" s="254" t="s">
        <v>130</v>
      </c>
      <c r="BU46" s="254" t="s">
        <v>130</v>
      </c>
      <c r="BV46" s="254" t="s">
        <v>130</v>
      </c>
      <c r="BW46" s="254" t="s">
        <v>130</v>
      </c>
      <c r="BX46" s="254" t="s">
        <v>130</v>
      </c>
      <c r="BY46" s="254" t="s">
        <v>130</v>
      </c>
      <c r="BZ46" s="254" t="s">
        <v>130</v>
      </c>
      <c r="CA46" s="254" t="s">
        <v>130</v>
      </c>
      <c r="CB46" s="254" t="s">
        <v>130</v>
      </c>
      <c r="CC46" s="254" t="s">
        <v>130</v>
      </c>
      <c r="CD46" s="254" t="s">
        <v>130</v>
      </c>
      <c r="CE46" s="254" t="s">
        <v>130</v>
      </c>
      <c r="CF46" s="115">
        <v>675.4</v>
      </c>
      <c r="CG46" s="350">
        <v>1017.93</v>
      </c>
      <c r="CH46" s="115">
        <v>1513.87</v>
      </c>
      <c r="CI46" s="115">
        <v>1911.4547511778101</v>
      </c>
      <c r="CJ46" s="117">
        <v>2739.5999578579999</v>
      </c>
      <c r="CK46" s="117">
        <v>3662.3737375790402</v>
      </c>
      <c r="CL46" s="117">
        <v>4684.0921342217198</v>
      </c>
      <c r="CM46" s="239">
        <v>4626.6308937229996</v>
      </c>
      <c r="CN46" s="117">
        <v>9809.1621779962206</v>
      </c>
      <c r="CO46" s="253">
        <v>453.95</v>
      </c>
      <c r="CP46" s="255">
        <v>651.05999999999995</v>
      </c>
      <c r="CQ46" s="253">
        <v>814.55</v>
      </c>
      <c r="CR46" s="115">
        <v>1156.708499823</v>
      </c>
      <c r="CS46" s="117">
        <v>1692.0158192629999</v>
      </c>
      <c r="CT46" s="117">
        <v>2297.5894655330198</v>
      </c>
      <c r="CU46" s="117">
        <v>3087.4266756587999</v>
      </c>
      <c r="CV46" s="239">
        <v>4369.4548134999995</v>
      </c>
      <c r="CW46" s="117">
        <v>8539.9875094742401</v>
      </c>
      <c r="CX46" s="252">
        <v>67.209999999999994</v>
      </c>
      <c r="CY46" s="255">
        <v>63.96</v>
      </c>
      <c r="CZ46" s="253">
        <v>53.805808953212633</v>
      </c>
      <c r="DA46" s="253">
        <v>60.514563533887134</v>
      </c>
      <c r="DB46" s="253">
        <v>61.761419378394557</v>
      </c>
      <c r="DC46" s="253">
        <v>62.73</v>
      </c>
      <c r="DD46" s="254">
        <v>65.913021930167218</v>
      </c>
      <c r="DE46" s="298">
        <v>94.44139620967141</v>
      </c>
      <c r="DF46" s="298">
        <v>87.061334643146409</v>
      </c>
      <c r="DG46" s="254" t="s">
        <v>130</v>
      </c>
      <c r="DH46" s="254" t="s">
        <v>130</v>
      </c>
      <c r="DI46" s="254" t="s">
        <v>130</v>
      </c>
      <c r="DJ46" s="254" t="s">
        <v>130</v>
      </c>
      <c r="DK46" s="254" t="s">
        <v>130</v>
      </c>
      <c r="DL46" s="254" t="s">
        <v>130</v>
      </c>
      <c r="DM46" s="254" t="s">
        <v>130</v>
      </c>
      <c r="DN46" s="254" t="s">
        <v>130</v>
      </c>
      <c r="DO46" s="254" t="s">
        <v>130</v>
      </c>
      <c r="DP46" s="254" t="s">
        <v>130</v>
      </c>
      <c r="DQ46" s="254" t="s">
        <v>130</v>
      </c>
      <c r="DR46" s="254" t="s">
        <v>130</v>
      </c>
      <c r="DS46" s="254" t="s">
        <v>130</v>
      </c>
      <c r="DT46" s="254" t="s">
        <v>130</v>
      </c>
      <c r="DU46" s="254" t="s">
        <v>130</v>
      </c>
      <c r="DV46" s="254" t="s">
        <v>130</v>
      </c>
      <c r="DW46" s="254" t="s">
        <v>130</v>
      </c>
      <c r="DX46" s="254" t="s">
        <v>130</v>
      </c>
      <c r="DY46" s="254" t="s">
        <v>130</v>
      </c>
      <c r="DZ46" s="254" t="s">
        <v>130</v>
      </c>
      <c r="EA46" s="254" t="s">
        <v>130</v>
      </c>
      <c r="EB46" s="254" t="s">
        <v>130</v>
      </c>
      <c r="EC46" s="254" t="s">
        <v>130</v>
      </c>
      <c r="ED46" s="254" t="s">
        <v>130</v>
      </c>
      <c r="EE46" s="254" t="s">
        <v>130</v>
      </c>
      <c r="EF46" s="254" t="s">
        <v>130</v>
      </c>
      <c r="EG46" s="254" t="s">
        <v>130</v>
      </c>
      <c r="EH46" s="278">
        <v>675.4</v>
      </c>
      <c r="EI46" s="278">
        <v>1017.93</v>
      </c>
      <c r="EJ46" s="277">
        <v>1513.87</v>
      </c>
      <c r="EK46" s="277">
        <v>1911.4547511778101</v>
      </c>
      <c r="EL46" s="117">
        <v>2739.5999578579999</v>
      </c>
      <c r="EM46" s="117">
        <v>3662.3737375790402</v>
      </c>
      <c r="EN46" s="117">
        <v>4684.0921342217198</v>
      </c>
      <c r="EO46" s="239">
        <v>4626.6308937229996</v>
      </c>
      <c r="EP46" s="117">
        <v>9809.1621779962206</v>
      </c>
      <c r="EQ46" s="260">
        <v>453.95</v>
      </c>
      <c r="ER46" s="260">
        <v>651.05999999999995</v>
      </c>
      <c r="ES46" s="148">
        <v>814.55</v>
      </c>
      <c r="ET46" s="148">
        <v>1156.708499823</v>
      </c>
      <c r="EU46" s="117">
        <v>1692.0158192629999</v>
      </c>
      <c r="EV46" s="117">
        <v>2297.5894655330198</v>
      </c>
      <c r="EW46" s="117">
        <v>3087.4266756587999</v>
      </c>
      <c r="EX46" s="239">
        <v>4369.4548134999995</v>
      </c>
      <c r="EY46" s="117">
        <v>8539.9875094742401</v>
      </c>
      <c r="EZ46" s="282">
        <v>67.209999999999994</v>
      </c>
      <c r="FA46" s="253">
        <v>63.96</v>
      </c>
      <c r="FB46" s="156">
        <v>53.805808953212633</v>
      </c>
      <c r="FC46" s="283">
        <v>60.514563533887134</v>
      </c>
      <c r="FD46" s="260">
        <v>61.761419378394557</v>
      </c>
      <c r="FE46" s="260">
        <v>62.73</v>
      </c>
      <c r="FF46" s="284">
        <v>65.913021930167218</v>
      </c>
      <c r="FG46" s="284">
        <v>94.44139620967141</v>
      </c>
      <c r="FH46" s="284">
        <v>87.061334643146409</v>
      </c>
    </row>
    <row r="47" spans="1:164" s="164" customFormat="1" ht="17.100000000000001" customHeight="1" x14ac:dyDescent="0.2">
      <c r="A47" s="324"/>
      <c r="B47" s="342" t="s">
        <v>119</v>
      </c>
      <c r="C47" s="129" t="s">
        <v>130</v>
      </c>
      <c r="D47" s="129" t="s">
        <v>130</v>
      </c>
      <c r="E47" s="129" t="s">
        <v>130</v>
      </c>
      <c r="F47" s="129" t="s">
        <v>130</v>
      </c>
      <c r="G47" s="144" t="s">
        <v>130</v>
      </c>
      <c r="H47" s="144" t="s">
        <v>130</v>
      </c>
      <c r="I47" s="144" t="s">
        <v>130</v>
      </c>
      <c r="J47" s="232" t="s">
        <v>130</v>
      </c>
      <c r="K47" s="144" t="s">
        <v>130</v>
      </c>
      <c r="L47" s="252" t="s">
        <v>130</v>
      </c>
      <c r="M47" s="252" t="s">
        <v>130</v>
      </c>
      <c r="N47" s="252" t="s">
        <v>130</v>
      </c>
      <c r="O47" s="252" t="s">
        <v>130</v>
      </c>
      <c r="P47" s="252" t="s">
        <v>130</v>
      </c>
      <c r="Q47" s="252" t="s">
        <v>130</v>
      </c>
      <c r="R47" s="252" t="s">
        <v>130</v>
      </c>
      <c r="S47" s="272" t="s">
        <v>130</v>
      </c>
      <c r="T47" s="252" t="s">
        <v>130</v>
      </c>
      <c r="U47" s="253" t="s">
        <v>130</v>
      </c>
      <c r="V47" s="144" t="s">
        <v>130</v>
      </c>
      <c r="W47" s="129" t="s">
        <v>130</v>
      </c>
      <c r="X47" s="144" t="s">
        <v>130</v>
      </c>
      <c r="Y47" s="144" t="s">
        <v>130</v>
      </c>
      <c r="Z47" s="145" t="s">
        <v>130</v>
      </c>
      <c r="AA47" s="252" t="s">
        <v>130</v>
      </c>
      <c r="AB47" s="272" t="s">
        <v>130</v>
      </c>
      <c r="AC47" s="272" t="s">
        <v>130</v>
      </c>
      <c r="AD47" s="129" t="s">
        <v>130</v>
      </c>
      <c r="AE47" s="129" t="s">
        <v>130</v>
      </c>
      <c r="AF47" s="129" t="s">
        <v>130</v>
      </c>
      <c r="AG47" s="129" t="s">
        <v>130</v>
      </c>
      <c r="AH47" s="145" t="s">
        <v>130</v>
      </c>
      <c r="AI47" s="145" t="s">
        <v>130</v>
      </c>
      <c r="AJ47" s="145" t="s">
        <v>130</v>
      </c>
      <c r="AK47" s="236" t="s">
        <v>130</v>
      </c>
      <c r="AL47" s="145" t="s">
        <v>130</v>
      </c>
      <c r="AM47" s="253" t="s">
        <v>130</v>
      </c>
      <c r="AN47" s="253" t="s">
        <v>130</v>
      </c>
      <c r="AO47" s="253" t="s">
        <v>130</v>
      </c>
      <c r="AP47" s="134" t="s">
        <v>130</v>
      </c>
      <c r="AQ47" s="134" t="s">
        <v>130</v>
      </c>
      <c r="AR47" s="134" t="s">
        <v>130</v>
      </c>
      <c r="AS47" s="134" t="s">
        <v>130</v>
      </c>
      <c r="AT47" s="237" t="s">
        <v>130</v>
      </c>
      <c r="AU47" s="134" t="s">
        <v>130</v>
      </c>
      <c r="AV47" s="252" t="s">
        <v>130</v>
      </c>
      <c r="AW47" s="145" t="s">
        <v>130</v>
      </c>
      <c r="AX47" s="129" t="s">
        <v>130</v>
      </c>
      <c r="AY47" s="145" t="s">
        <v>130</v>
      </c>
      <c r="AZ47" s="145" t="s">
        <v>130</v>
      </c>
      <c r="BA47" s="256" t="s">
        <v>130</v>
      </c>
      <c r="BB47" s="279" t="s">
        <v>130</v>
      </c>
      <c r="BC47" s="280" t="s">
        <v>130</v>
      </c>
      <c r="BD47" s="280" t="s">
        <v>130</v>
      </c>
      <c r="BE47" s="129" t="s">
        <v>130</v>
      </c>
      <c r="BF47" s="129" t="s">
        <v>130</v>
      </c>
      <c r="BG47" s="129" t="s">
        <v>130</v>
      </c>
      <c r="BH47" s="129" t="s">
        <v>130</v>
      </c>
      <c r="BI47" s="144" t="s">
        <v>130</v>
      </c>
      <c r="BJ47" s="144" t="s">
        <v>130</v>
      </c>
      <c r="BK47" s="144" t="s">
        <v>130</v>
      </c>
      <c r="BL47" s="232" t="s">
        <v>130</v>
      </c>
      <c r="BM47" s="144" t="s">
        <v>130</v>
      </c>
      <c r="BN47" s="253" t="s">
        <v>130</v>
      </c>
      <c r="BO47" s="253" t="s">
        <v>130</v>
      </c>
      <c r="BP47" s="253" t="s">
        <v>130</v>
      </c>
      <c r="BQ47" s="134" t="s">
        <v>130</v>
      </c>
      <c r="BR47" s="134" t="s">
        <v>130</v>
      </c>
      <c r="BS47" s="134" t="s">
        <v>130</v>
      </c>
      <c r="BT47" s="134" t="s">
        <v>130</v>
      </c>
      <c r="BU47" s="237" t="s">
        <v>130</v>
      </c>
      <c r="BV47" s="134" t="s">
        <v>130</v>
      </c>
      <c r="BW47" s="131" t="s">
        <v>130</v>
      </c>
      <c r="BX47" s="134" t="s">
        <v>130</v>
      </c>
      <c r="BY47" s="144" t="s">
        <v>130</v>
      </c>
      <c r="BZ47" s="144" t="s">
        <v>130</v>
      </c>
      <c r="CA47" s="134" t="s">
        <v>130</v>
      </c>
      <c r="CB47" s="140" t="s">
        <v>130</v>
      </c>
      <c r="CC47" s="129" t="s">
        <v>130</v>
      </c>
      <c r="CD47" s="247" t="s">
        <v>130</v>
      </c>
      <c r="CE47" s="247" t="s">
        <v>130</v>
      </c>
      <c r="CF47" s="166">
        <v>1538.11</v>
      </c>
      <c r="CG47" s="351">
        <v>2149.4499999999998</v>
      </c>
      <c r="CH47" s="166">
        <v>3040.5699999999997</v>
      </c>
      <c r="CI47" s="166">
        <v>4236.2969908627274</v>
      </c>
      <c r="CJ47" s="130">
        <v>5677.5899446519343</v>
      </c>
      <c r="CK47" s="130">
        <v>7828.0585813912621</v>
      </c>
      <c r="CL47" s="130">
        <v>10034.201157866933</v>
      </c>
      <c r="CM47" s="231">
        <v>8987.1837217799985</v>
      </c>
      <c r="CN47" s="130">
        <v>16087.076955199662</v>
      </c>
      <c r="CO47" s="134">
        <v>1016.03</v>
      </c>
      <c r="CP47" s="144">
        <v>1336.62</v>
      </c>
      <c r="CQ47" s="134">
        <v>1769.75</v>
      </c>
      <c r="CR47" s="132">
        <v>2392.0418371730502</v>
      </c>
      <c r="CS47" s="130">
        <v>3382.67177327635</v>
      </c>
      <c r="CT47" s="130">
        <v>4750.4314683955918</v>
      </c>
      <c r="CU47" s="130">
        <v>6435.4304914513468</v>
      </c>
      <c r="CV47" s="231">
        <v>6779.0887957721943</v>
      </c>
      <c r="CW47" s="130">
        <v>12718.586143672301</v>
      </c>
      <c r="CX47" s="131">
        <v>66.06</v>
      </c>
      <c r="CY47" s="144">
        <v>62.18</v>
      </c>
      <c r="CZ47" s="134">
        <v>58.204547173720719</v>
      </c>
      <c r="DA47" s="134">
        <v>56.465395186703084</v>
      </c>
      <c r="DB47" s="134">
        <v>59.579360366852377</v>
      </c>
      <c r="DC47" s="134">
        <v>60.68</v>
      </c>
      <c r="DD47" s="129">
        <v>64.134955939226828</v>
      </c>
      <c r="DE47" s="247">
        <v>75.430624382846489</v>
      </c>
      <c r="DF47" s="247">
        <v>79.060889551854856</v>
      </c>
      <c r="DG47" s="246" t="s">
        <v>130</v>
      </c>
      <c r="DH47" s="246" t="s">
        <v>130</v>
      </c>
      <c r="DI47" s="246" t="s">
        <v>130</v>
      </c>
      <c r="DJ47" s="246" t="s">
        <v>130</v>
      </c>
      <c r="DK47" s="246" t="s">
        <v>130</v>
      </c>
      <c r="DL47" s="246" t="s">
        <v>130</v>
      </c>
      <c r="DM47" s="246" t="s">
        <v>130</v>
      </c>
      <c r="DN47" s="246" t="s">
        <v>130</v>
      </c>
      <c r="DO47" s="157" t="s">
        <v>130</v>
      </c>
      <c r="DP47" s="246" t="s">
        <v>130</v>
      </c>
      <c r="DQ47" s="246" t="s">
        <v>130</v>
      </c>
      <c r="DR47" s="246" t="s">
        <v>130</v>
      </c>
      <c r="DS47" s="246" t="s">
        <v>130</v>
      </c>
      <c r="DT47" s="246" t="s">
        <v>130</v>
      </c>
      <c r="DU47" s="246" t="s">
        <v>130</v>
      </c>
      <c r="DV47" s="246" t="s">
        <v>130</v>
      </c>
      <c r="DW47" s="246" t="s">
        <v>130</v>
      </c>
      <c r="DX47" s="157" t="s">
        <v>130</v>
      </c>
      <c r="DY47" s="246" t="s">
        <v>130</v>
      </c>
      <c r="DZ47" s="246" t="s">
        <v>130</v>
      </c>
      <c r="EA47" s="246" t="s">
        <v>130</v>
      </c>
      <c r="EB47" s="246" t="s">
        <v>130</v>
      </c>
      <c r="EC47" s="246" t="s">
        <v>130</v>
      </c>
      <c r="ED47" s="246" t="s">
        <v>130</v>
      </c>
      <c r="EE47" s="246" t="s">
        <v>130</v>
      </c>
      <c r="EF47" s="246" t="s">
        <v>130</v>
      </c>
      <c r="EG47" s="246" t="s">
        <v>130</v>
      </c>
      <c r="EH47" s="167">
        <v>1538.11</v>
      </c>
      <c r="EI47" s="167">
        <v>2149.4499999999998</v>
      </c>
      <c r="EJ47" s="165">
        <v>3040.5699999999997</v>
      </c>
      <c r="EK47" s="165">
        <v>4236.2969908627274</v>
      </c>
      <c r="EL47" s="130">
        <v>5677.5899446519343</v>
      </c>
      <c r="EM47" s="130">
        <v>7828.0585813912621</v>
      </c>
      <c r="EN47" s="130">
        <v>10034.201157866933</v>
      </c>
      <c r="EO47" s="231">
        <v>8987.1837217799985</v>
      </c>
      <c r="EP47" s="130">
        <v>16087.076955199662</v>
      </c>
      <c r="EQ47" s="142">
        <v>1016.03</v>
      </c>
      <c r="ER47" s="142">
        <v>1336.62</v>
      </c>
      <c r="ES47" s="153">
        <v>1769.75</v>
      </c>
      <c r="ET47" s="153">
        <v>2392.0418371730502</v>
      </c>
      <c r="EU47" s="130">
        <v>3382.67177327635</v>
      </c>
      <c r="EV47" s="130">
        <v>4750.4314683955918</v>
      </c>
      <c r="EW47" s="130">
        <v>6435.4304914513468</v>
      </c>
      <c r="EX47" s="231">
        <v>6779.0887957721943</v>
      </c>
      <c r="EY47" s="130">
        <v>12718.586143672301</v>
      </c>
      <c r="EZ47" s="160">
        <v>66.06</v>
      </c>
      <c r="FA47" s="134">
        <v>62.18</v>
      </c>
      <c r="FB47" s="161">
        <v>58.204547173720719</v>
      </c>
      <c r="FC47" s="162">
        <v>56.465395186703084</v>
      </c>
      <c r="FD47" s="142">
        <v>59.579360366852377</v>
      </c>
      <c r="FE47" s="142">
        <v>60.68</v>
      </c>
      <c r="FF47" s="142">
        <v>64.134955939226828</v>
      </c>
      <c r="FG47" s="142">
        <v>75.430624382846489</v>
      </c>
      <c r="FH47" s="142">
        <v>79.060889551854899</v>
      </c>
    </row>
    <row r="48" spans="1:164" s="112" customFormat="1" ht="17.100000000000001" customHeight="1" x14ac:dyDescent="0.2">
      <c r="A48" s="347"/>
      <c r="B48" s="348" t="s">
        <v>120</v>
      </c>
      <c r="C48" s="168">
        <v>4701.6399999999994</v>
      </c>
      <c r="D48" s="168">
        <v>4797.71</v>
      </c>
      <c r="E48" s="168">
        <v>5003.0538392670005</v>
      </c>
      <c r="F48" s="168">
        <v>5050.4175519045239</v>
      </c>
      <c r="G48" s="169">
        <v>5124.5628682214565</v>
      </c>
      <c r="H48" s="169">
        <v>5170.0235342159049</v>
      </c>
      <c r="I48" s="169">
        <v>6236.9862224446579</v>
      </c>
      <c r="J48" s="169">
        <v>7792.0274252554645</v>
      </c>
      <c r="K48" s="169">
        <v>7163.6238520787856</v>
      </c>
      <c r="L48" s="170">
        <v>3598.441378042744</v>
      </c>
      <c r="M48" s="170">
        <v>3539.9068000000007</v>
      </c>
      <c r="N48" s="169">
        <v>3724.5032999999994</v>
      </c>
      <c r="O48" s="169">
        <v>4261.5820819299188</v>
      </c>
      <c r="P48" s="169">
        <v>4220.2240170968234</v>
      </c>
      <c r="Q48" s="169">
        <v>4677.7867771589717</v>
      </c>
      <c r="R48" s="169">
        <v>5612.62</v>
      </c>
      <c r="S48" s="169">
        <v>5069.9791452515265</v>
      </c>
      <c r="T48" s="169">
        <v>4321.5344213933513</v>
      </c>
      <c r="U48" s="169">
        <v>76.536074615224891</v>
      </c>
      <c r="V48" s="113">
        <v>73.78</v>
      </c>
      <c r="W48" s="168">
        <v>74.444421880551587</v>
      </c>
      <c r="X48" s="113">
        <v>84.38</v>
      </c>
      <c r="Y48" s="113">
        <v>82.35</v>
      </c>
      <c r="Z48" s="171">
        <v>90.47</v>
      </c>
      <c r="AA48" s="171">
        <v>89.98</v>
      </c>
      <c r="AB48" s="168">
        <v>65.066238458282953</v>
      </c>
      <c r="AC48" s="168">
        <v>60.326093477664955</v>
      </c>
      <c r="AD48" s="168">
        <v>1877.8799999999999</v>
      </c>
      <c r="AE48" s="168">
        <v>2102.0700000000002</v>
      </c>
      <c r="AF48" s="168">
        <v>2018.8077757899998</v>
      </c>
      <c r="AG48" s="168">
        <v>1914.2654119985732</v>
      </c>
      <c r="AH48" s="168">
        <v>1762.5684372972721</v>
      </c>
      <c r="AI48" s="168">
        <f>AI34+AI10</f>
        <v>1897.63815046639</v>
      </c>
      <c r="AJ48" s="168">
        <f>AJ34+AJ10</f>
        <v>1996.0763620215139</v>
      </c>
      <c r="AK48" s="168">
        <v>1970.9200703050001</v>
      </c>
      <c r="AL48" s="168">
        <v>2333.0124396247502</v>
      </c>
      <c r="AM48" s="169">
        <v>1189.977423007841</v>
      </c>
      <c r="AN48" s="169">
        <v>1417.5673000000002</v>
      </c>
      <c r="AO48" s="169">
        <v>1454.4938999999999</v>
      </c>
      <c r="AP48" s="169">
        <v>1435.2743809673411</v>
      </c>
      <c r="AQ48" s="168">
        <v>1151.0214257612754</v>
      </c>
      <c r="AR48" s="168">
        <f>AR34+AR10</f>
        <v>1603.1199877071804</v>
      </c>
      <c r="AS48" s="168">
        <f>AS34+AS10</f>
        <v>1422.5348019823973</v>
      </c>
      <c r="AT48" s="168">
        <v>1480.2853256039998</v>
      </c>
      <c r="AU48" s="168">
        <v>2003.5551485315857</v>
      </c>
      <c r="AV48" s="170">
        <v>63.367948459428867</v>
      </c>
      <c r="AW48" s="168">
        <v>67.44</v>
      </c>
      <c r="AX48" s="168">
        <v>72.047131355523547</v>
      </c>
      <c r="AY48" s="168">
        <v>74.98</v>
      </c>
      <c r="AZ48" s="169">
        <v>65.303644465928102</v>
      </c>
      <c r="BA48" s="172">
        <f>AR48/AI48*100</f>
        <v>84.479751174541633</v>
      </c>
      <c r="BB48" s="172">
        <v>71.260000000000005</v>
      </c>
      <c r="BC48" s="172">
        <v>75.106309378387195</v>
      </c>
      <c r="BD48" s="172">
        <v>85.878459733109892</v>
      </c>
      <c r="BE48" s="51">
        <v>29553.49</v>
      </c>
      <c r="BF48" s="51">
        <v>33539.69</v>
      </c>
      <c r="BG48" s="51">
        <v>37494.030963324003</v>
      </c>
      <c r="BH48" s="51">
        <v>42593.443959257544</v>
      </c>
      <c r="BI48" s="169">
        <v>49149.647778446873</v>
      </c>
      <c r="BJ48" s="169">
        <f>BJ10+BJ34</f>
        <v>55212.033190310947</v>
      </c>
      <c r="BK48" s="169">
        <f>BK10+BK34</f>
        <v>60274.241051411322</v>
      </c>
      <c r="BL48" s="169">
        <v>59256.547015034856</v>
      </c>
      <c r="BM48" s="169">
        <v>61211.667470195578</v>
      </c>
      <c r="BN48" s="169">
        <v>23496.011646654923</v>
      </c>
      <c r="BO48" s="169">
        <v>25873.034499999998</v>
      </c>
      <c r="BP48" s="169">
        <v>30438.991699999999</v>
      </c>
      <c r="BQ48" s="169">
        <v>37556.358837984269</v>
      </c>
      <c r="BR48" s="169">
        <v>41015.612945590445</v>
      </c>
      <c r="BS48" s="169">
        <f>BS34+BS10</f>
        <v>50022.267056372468</v>
      </c>
      <c r="BT48" s="169">
        <f>BT34+BT10</f>
        <v>51603.331180809284</v>
      </c>
      <c r="BU48" s="169">
        <v>44801.283743423352</v>
      </c>
      <c r="BV48" s="169">
        <v>49768.127223827483</v>
      </c>
      <c r="BW48" s="170">
        <v>79.503320420084734</v>
      </c>
      <c r="BX48" s="169">
        <v>77.14</v>
      </c>
      <c r="BY48" s="168">
        <v>81.181644418406066</v>
      </c>
      <c r="BZ48" s="113">
        <v>88.17</v>
      </c>
      <c r="CA48" s="169">
        <v>83.450471772407354</v>
      </c>
      <c r="CB48" s="168">
        <f>BS48/BJ48*100</f>
        <v>90.600298822450867</v>
      </c>
      <c r="CC48" s="168">
        <v>85.61</v>
      </c>
      <c r="CD48" s="168">
        <v>75.605626720126224</v>
      </c>
      <c r="CE48" s="168">
        <v>81.304968939230349</v>
      </c>
      <c r="CF48" s="168">
        <v>14483.41</v>
      </c>
      <c r="CG48" s="171">
        <v>18779.46</v>
      </c>
      <c r="CH48" s="168">
        <v>22671.87</v>
      </c>
      <c r="CI48" s="168">
        <v>27834.63</v>
      </c>
      <c r="CJ48" s="169">
        <v>31694.34445855111</v>
      </c>
      <c r="CK48" s="169">
        <f>CK47+CK10+CK34</f>
        <v>37694.626130456956</v>
      </c>
      <c r="CL48" s="169">
        <f>CL47+CL10+CL34</f>
        <v>43791.238102309697</v>
      </c>
      <c r="CM48" s="169">
        <v>48641.313154298601</v>
      </c>
      <c r="CN48" s="169">
        <v>62450.796531807362</v>
      </c>
      <c r="CO48" s="169">
        <v>14055.76</v>
      </c>
      <c r="CP48" s="169">
        <v>18202.939999999999</v>
      </c>
      <c r="CQ48" s="169">
        <v>22321.24</v>
      </c>
      <c r="CR48" s="169">
        <v>28126.48</v>
      </c>
      <c r="CS48" s="169">
        <v>29226.75390750045</v>
      </c>
      <c r="CT48" s="169">
        <f>CT47+CT10+CT34</f>
        <v>33675.551179486181</v>
      </c>
      <c r="CU48" s="169">
        <f>CU47+CU10+CU34</f>
        <v>37530.499424504596</v>
      </c>
      <c r="CV48" s="169">
        <v>43537.206918078984</v>
      </c>
      <c r="CW48" s="169">
        <v>66000.523974611759</v>
      </c>
      <c r="CX48" s="170">
        <v>97.05</v>
      </c>
      <c r="CY48" s="169">
        <v>96.93</v>
      </c>
      <c r="CZ48" s="169">
        <v>98.45</v>
      </c>
      <c r="DA48" s="169">
        <v>101.05</v>
      </c>
      <c r="DB48" s="169">
        <v>92.214413665259116</v>
      </c>
      <c r="DC48" s="168">
        <f>CT48/CK48*100</f>
        <v>89.337803916502054</v>
      </c>
      <c r="DD48" s="113">
        <v>85.7</v>
      </c>
      <c r="DE48" s="168">
        <v>89.506643827586402</v>
      </c>
      <c r="DF48" s="168">
        <v>105.68403869916447</v>
      </c>
      <c r="DG48" s="168">
        <v>9372.9500000000007</v>
      </c>
      <c r="DH48" s="171">
        <v>8386.6200000000008</v>
      </c>
      <c r="DI48" s="168">
        <v>8645.5400000000009</v>
      </c>
      <c r="DJ48" s="168">
        <v>11332.14</v>
      </c>
      <c r="DK48" s="169">
        <v>12722.523001468302</v>
      </c>
      <c r="DL48" s="169">
        <f>DL38+DL10+DL34</f>
        <v>13359.466985034764</v>
      </c>
      <c r="DM48" s="169">
        <f>DM38+DM10+DM34</f>
        <v>13880.367640179786</v>
      </c>
      <c r="DN48" s="169">
        <v>19960.507742926529</v>
      </c>
      <c r="DO48" s="169">
        <v>21265.586537182946</v>
      </c>
      <c r="DP48" s="169">
        <v>6838.4355508504159</v>
      </c>
      <c r="DQ48" s="169">
        <v>6198.5835000000006</v>
      </c>
      <c r="DR48" s="169">
        <v>6563.166461458999</v>
      </c>
      <c r="DS48" s="169">
        <v>9282.4446016469301</v>
      </c>
      <c r="DT48" s="169">
        <v>10037.74951633735</v>
      </c>
      <c r="DU48" s="169">
        <f>DU38+DU10+DU34</f>
        <v>11072.291399776692</v>
      </c>
      <c r="DV48" s="169">
        <f>DV38+DV10+DV34</f>
        <v>12964.48673267805</v>
      </c>
      <c r="DW48" s="169">
        <v>16661.076832524319</v>
      </c>
      <c r="DX48" s="169">
        <v>15465.040590288776</v>
      </c>
      <c r="DY48" s="173">
        <v>72.959999999999994</v>
      </c>
      <c r="DZ48" s="169">
        <v>73.910389405982386</v>
      </c>
      <c r="EA48" s="169">
        <v>75.913898512516269</v>
      </c>
      <c r="EB48" s="169">
        <v>81.912547865159894</v>
      </c>
      <c r="EC48" s="169">
        <v>78.897475879421847</v>
      </c>
      <c r="ED48" s="169">
        <v>83</v>
      </c>
      <c r="EE48" s="169">
        <v>93.4</v>
      </c>
      <c r="EF48" s="169">
        <v>83.470205503307199</v>
      </c>
      <c r="EG48" s="169">
        <v>72.723320202093205</v>
      </c>
      <c r="EH48" s="174">
        <v>59989.329999999994</v>
      </c>
      <c r="EI48" s="174">
        <v>67605.55</v>
      </c>
      <c r="EJ48" s="174">
        <v>75832.904297313507</v>
      </c>
      <c r="EK48" s="174">
        <v>88724.890685728358</v>
      </c>
      <c r="EL48" s="169">
        <v>100453.64654398503</v>
      </c>
      <c r="EM48" s="169">
        <f>EM47+EM38+EM10+EM34</f>
        <v>113333.78799048497</v>
      </c>
      <c r="EN48" s="169">
        <f>EN47+EN38+EN10+EN34</f>
        <v>126178.90937836701</v>
      </c>
      <c r="EO48" s="169">
        <v>137621.31540782045</v>
      </c>
      <c r="EP48" s="169">
        <v>154424.6868308894</v>
      </c>
      <c r="EQ48" s="169">
        <v>49178.622077269589</v>
      </c>
      <c r="ER48" s="169">
        <v>55232.032700000011</v>
      </c>
      <c r="ES48" s="169">
        <v>64502.399761459004</v>
      </c>
      <c r="ET48" s="169">
        <v>80662.139383388334</v>
      </c>
      <c r="EU48" s="169">
        <v>85651.361812286341</v>
      </c>
      <c r="EV48" s="169">
        <f>EV47+EV38+EV10+EV34</f>
        <v>101051.01640050148</v>
      </c>
      <c r="EW48" s="169">
        <f>EW47+EW38+EW10+EW34</f>
        <v>108390.25553181102</v>
      </c>
      <c r="EX48" s="169">
        <v>111549.83196488219</v>
      </c>
      <c r="EY48" s="169">
        <v>137558.78135865295</v>
      </c>
      <c r="EZ48" s="169">
        <v>81.978948718496426</v>
      </c>
      <c r="FA48" s="169">
        <v>81.697482972921605</v>
      </c>
      <c r="FB48" s="169">
        <v>85.058590804551443</v>
      </c>
      <c r="FC48" s="169">
        <v>90.912638787125672</v>
      </c>
      <c r="FD48" s="169">
        <v>85.264562073197311</v>
      </c>
      <c r="FE48" s="169">
        <v>89</v>
      </c>
      <c r="FF48" s="169">
        <v>85.9</v>
      </c>
      <c r="FG48" s="169">
        <v>81.055635629059879</v>
      </c>
      <c r="FH48" s="169">
        <v>89.078232361444691</v>
      </c>
    </row>
    <row r="49" spans="1:164" x14ac:dyDescent="0.2">
      <c r="A49" s="320" t="s">
        <v>504</v>
      </c>
      <c r="L49" s="288"/>
      <c r="M49" s="288"/>
      <c r="N49" s="288"/>
      <c r="O49" s="288"/>
      <c r="P49" s="288"/>
      <c r="Q49" s="288"/>
      <c r="R49" s="288"/>
      <c r="S49" s="288"/>
      <c r="T49" s="288"/>
      <c r="AM49" s="176"/>
      <c r="AN49" s="176"/>
      <c r="AO49" s="176"/>
      <c r="AP49" s="176"/>
      <c r="AQ49" s="176"/>
      <c r="AR49" s="176"/>
      <c r="AS49" s="176"/>
      <c r="AT49" s="176"/>
      <c r="AU49" s="176"/>
      <c r="BN49" s="288"/>
      <c r="BO49" s="288"/>
      <c r="BP49" s="288"/>
      <c r="BQ49" s="288"/>
      <c r="BR49" s="288"/>
      <c r="BS49" s="288"/>
      <c r="BT49" s="288"/>
      <c r="BU49" s="288"/>
      <c r="BV49" s="288"/>
      <c r="CO49" s="288"/>
      <c r="CP49" s="288"/>
      <c r="CQ49" s="288"/>
      <c r="CR49" s="288"/>
      <c r="CS49" s="288"/>
      <c r="CT49" s="288"/>
      <c r="CU49" s="288"/>
      <c r="CV49" s="288"/>
      <c r="CW49" s="288"/>
      <c r="DP49" s="179"/>
      <c r="DQ49" s="179"/>
      <c r="DR49" s="179"/>
      <c r="DS49" s="179"/>
      <c r="DT49" s="179"/>
      <c r="DU49" s="179"/>
      <c r="DV49" s="179"/>
      <c r="DW49" s="179"/>
      <c r="DX49" s="179"/>
      <c r="DY49" s="303"/>
      <c r="EQ49" s="178"/>
      <c r="ER49" s="178"/>
      <c r="ES49" s="178"/>
      <c r="ET49" s="178"/>
      <c r="EU49" s="178"/>
      <c r="EV49" s="178"/>
      <c r="EW49" s="178"/>
      <c r="EX49" s="178"/>
      <c r="EY49" s="178"/>
      <c r="FH49" s="286"/>
    </row>
    <row r="50" spans="1:164" x14ac:dyDescent="0.2">
      <c r="A50" s="215" t="s">
        <v>418</v>
      </c>
      <c r="L50" s="288"/>
      <c r="M50" s="288"/>
      <c r="N50" s="288"/>
      <c r="O50" s="288"/>
      <c r="P50" s="288"/>
      <c r="Q50" s="288"/>
      <c r="R50" s="288"/>
      <c r="S50" s="288"/>
      <c r="T50" s="288"/>
      <c r="U50" s="183"/>
      <c r="AM50" s="176"/>
      <c r="AN50" s="176"/>
      <c r="AO50" s="176"/>
      <c r="AP50" s="176"/>
      <c r="AQ50" s="176"/>
      <c r="AR50" s="176"/>
      <c r="AS50" s="176"/>
      <c r="AT50" s="176"/>
      <c r="AU50" s="176"/>
      <c r="BN50" s="288"/>
      <c r="BO50" s="288"/>
      <c r="BP50" s="288"/>
      <c r="BQ50" s="288"/>
      <c r="BR50" s="288"/>
      <c r="BS50" s="288"/>
      <c r="BT50" s="288"/>
      <c r="BU50" s="288"/>
      <c r="BV50" s="288"/>
      <c r="CO50" s="288"/>
      <c r="CP50" s="288"/>
      <c r="CQ50" s="288"/>
      <c r="CR50" s="288"/>
      <c r="CS50" s="288"/>
      <c r="CT50" s="288"/>
      <c r="CU50" s="288"/>
      <c r="CV50" s="288"/>
      <c r="CW50" s="288"/>
      <c r="DP50" s="177"/>
      <c r="DQ50" s="177"/>
      <c r="DR50" s="177"/>
      <c r="DS50" s="177"/>
      <c r="DT50" s="177"/>
      <c r="DU50" s="177"/>
      <c r="DV50" s="177"/>
      <c r="DW50" s="177"/>
      <c r="DX50" s="177"/>
      <c r="DY50" s="303"/>
      <c r="EQ50" s="178"/>
      <c r="ER50" s="178"/>
      <c r="ES50" s="178"/>
      <c r="ET50" s="178"/>
      <c r="EU50" s="178"/>
      <c r="EV50" s="178"/>
      <c r="EW50" s="178"/>
      <c r="EX50" s="178"/>
      <c r="EY50" s="178"/>
      <c r="FH50" s="286"/>
    </row>
    <row r="51" spans="1:164" x14ac:dyDescent="0.2">
      <c r="A51" s="215" t="s">
        <v>419</v>
      </c>
      <c r="L51" s="183"/>
      <c r="M51" s="183"/>
      <c r="N51" s="183"/>
      <c r="O51" s="183"/>
      <c r="P51" s="183"/>
      <c r="Q51" s="183"/>
      <c r="R51" s="183"/>
      <c r="S51" s="183"/>
      <c r="T51" s="183"/>
      <c r="U51" s="288"/>
      <c r="AM51" s="176"/>
      <c r="AN51" s="176"/>
      <c r="AO51" s="176"/>
      <c r="AP51" s="176"/>
      <c r="AQ51" s="176"/>
      <c r="AR51" s="176"/>
      <c r="AS51" s="176"/>
      <c r="AT51" s="176"/>
      <c r="AU51" s="176"/>
      <c r="BN51" s="288"/>
      <c r="BO51" s="288"/>
      <c r="BP51" s="288"/>
      <c r="BQ51" s="288"/>
      <c r="BR51" s="288"/>
      <c r="BS51" s="288"/>
      <c r="BT51" s="288"/>
      <c r="BU51" s="288"/>
      <c r="BV51" s="288"/>
      <c r="CO51" s="288"/>
      <c r="CP51" s="288"/>
      <c r="CQ51" s="288"/>
      <c r="CR51" s="288"/>
      <c r="CS51" s="288"/>
      <c r="CT51" s="288"/>
      <c r="CU51" s="288"/>
      <c r="CV51" s="288"/>
      <c r="CW51" s="288"/>
      <c r="DP51" s="177"/>
      <c r="DQ51" s="177"/>
      <c r="DR51" s="177"/>
      <c r="DS51" s="177"/>
      <c r="DT51" s="177"/>
      <c r="DU51" s="177"/>
      <c r="DV51" s="177"/>
      <c r="DW51" s="177"/>
      <c r="DX51" s="177"/>
      <c r="DY51" s="303"/>
      <c r="EQ51" s="178"/>
      <c r="ER51" s="178"/>
      <c r="ES51" s="178"/>
      <c r="ET51" s="178"/>
      <c r="EU51" s="178"/>
      <c r="EV51" s="178"/>
      <c r="EW51" s="178"/>
      <c r="EX51" s="178"/>
      <c r="EY51" s="178"/>
      <c r="FH51" s="286"/>
    </row>
    <row r="52" spans="1:164" x14ac:dyDescent="0.2">
      <c r="A52" s="632" t="s">
        <v>411</v>
      </c>
      <c r="L52" s="183"/>
      <c r="M52" s="183"/>
      <c r="N52" s="183"/>
      <c r="O52" s="183"/>
      <c r="P52" s="183"/>
      <c r="Q52" s="183"/>
      <c r="R52" s="183"/>
      <c r="S52" s="183"/>
      <c r="T52" s="183"/>
      <c r="U52" s="288"/>
      <c r="AM52" s="176"/>
      <c r="AN52" s="176"/>
      <c r="AO52" s="176"/>
      <c r="AP52" s="176"/>
      <c r="AQ52" s="176"/>
      <c r="AR52" s="176"/>
      <c r="AS52" s="176"/>
      <c r="AT52" s="176"/>
      <c r="AU52" s="176"/>
      <c r="BN52" s="288"/>
      <c r="BO52" s="288"/>
      <c r="BP52" s="288"/>
      <c r="BQ52" s="288"/>
      <c r="BR52" s="288"/>
      <c r="BS52" s="288"/>
      <c r="BT52" s="288"/>
      <c r="BU52" s="288"/>
      <c r="BV52" s="288"/>
      <c r="CO52" s="288"/>
      <c r="CP52" s="288"/>
      <c r="CQ52" s="288"/>
      <c r="CR52" s="288"/>
      <c r="CS52" s="288"/>
      <c r="CT52" s="288"/>
      <c r="CU52" s="288"/>
      <c r="CV52" s="288"/>
      <c r="CW52" s="288"/>
      <c r="DP52" s="177"/>
      <c r="DQ52" s="177"/>
      <c r="DR52" s="177"/>
      <c r="DS52" s="177"/>
      <c r="DT52" s="177"/>
      <c r="DU52" s="177"/>
      <c r="DV52" s="177"/>
      <c r="DW52" s="177"/>
      <c r="DX52" s="177"/>
      <c r="DY52" s="303"/>
      <c r="EQ52" s="180"/>
      <c r="ER52" s="180"/>
      <c r="ES52" s="180"/>
      <c r="ET52" s="180"/>
      <c r="EU52" s="180"/>
      <c r="EV52" s="180"/>
      <c r="EW52" s="180"/>
      <c r="EX52" s="180"/>
      <c r="EY52" s="180"/>
      <c r="FH52" s="286"/>
    </row>
    <row r="53" spans="1:164" x14ac:dyDescent="0.2">
      <c r="A53" s="319" t="s">
        <v>505</v>
      </c>
      <c r="L53" s="288"/>
      <c r="M53" s="288"/>
      <c r="N53" s="288"/>
      <c r="O53" s="288"/>
      <c r="P53" s="288"/>
      <c r="Q53" s="288"/>
      <c r="R53" s="288"/>
      <c r="S53" s="288"/>
      <c r="T53" s="288"/>
      <c r="BN53" s="288"/>
      <c r="BO53" s="288"/>
      <c r="BP53" s="288"/>
      <c r="BQ53" s="288"/>
      <c r="BR53" s="288"/>
      <c r="BS53" s="288"/>
      <c r="BT53" s="288"/>
      <c r="BU53" s="288"/>
      <c r="BV53" s="288"/>
      <c r="CO53" s="288"/>
      <c r="CP53" s="288"/>
      <c r="CQ53" s="288"/>
      <c r="CR53" s="288"/>
      <c r="CS53" s="288"/>
      <c r="CT53" s="288"/>
      <c r="CU53" s="288"/>
      <c r="CV53" s="288"/>
      <c r="CW53" s="288"/>
      <c r="DP53" s="181"/>
      <c r="DQ53" s="181"/>
      <c r="DR53" s="181"/>
      <c r="DS53" s="181"/>
      <c r="DT53" s="181"/>
      <c r="DU53" s="181"/>
      <c r="DV53" s="181"/>
      <c r="DW53" s="181"/>
      <c r="DX53" s="181"/>
      <c r="DY53" s="303"/>
      <c r="FH53" s="286"/>
    </row>
    <row r="54" spans="1:164" x14ac:dyDescent="0.2">
      <c r="A54" s="315" t="s">
        <v>441</v>
      </c>
      <c r="L54" s="288"/>
      <c r="M54" s="288"/>
      <c r="N54" s="288"/>
      <c r="O54" s="288"/>
      <c r="P54" s="288"/>
      <c r="Q54" s="288"/>
      <c r="R54" s="288"/>
      <c r="S54" s="288"/>
      <c r="T54" s="288"/>
      <c r="BN54" s="288"/>
      <c r="BO54" s="288"/>
      <c r="BP54" s="288"/>
      <c r="BQ54" s="288"/>
      <c r="BR54" s="288"/>
      <c r="BS54" s="288"/>
      <c r="BT54" s="288"/>
      <c r="BU54" s="288"/>
      <c r="BV54" s="288"/>
      <c r="CO54" s="288"/>
      <c r="CP54" s="288"/>
      <c r="CQ54" s="288"/>
      <c r="CR54" s="288"/>
      <c r="CS54" s="288"/>
      <c r="CT54" s="288"/>
      <c r="CU54" s="288"/>
      <c r="CV54" s="288"/>
      <c r="CW54" s="288"/>
      <c r="DP54" s="182"/>
      <c r="DQ54" s="182"/>
      <c r="DR54" s="182"/>
      <c r="DS54" s="182"/>
      <c r="DT54" s="182"/>
      <c r="DU54" s="182"/>
      <c r="DV54" s="182"/>
      <c r="DW54" s="182"/>
      <c r="DX54" s="182"/>
      <c r="DY54" s="303"/>
    </row>
    <row r="55" spans="1:164" x14ac:dyDescent="0.2">
      <c r="A55" s="249" t="s">
        <v>520</v>
      </c>
      <c r="L55" s="288"/>
      <c r="M55" s="288"/>
      <c r="N55" s="288"/>
      <c r="O55" s="288"/>
      <c r="P55" s="288"/>
      <c r="Q55" s="288"/>
      <c r="R55" s="288"/>
      <c r="S55" s="288"/>
      <c r="T55" s="288"/>
      <c r="BN55" s="288"/>
      <c r="BO55" s="288"/>
      <c r="BP55" s="288"/>
      <c r="BQ55" s="288"/>
      <c r="BR55" s="288"/>
      <c r="BS55" s="288"/>
      <c r="BT55" s="288"/>
      <c r="BU55" s="288"/>
      <c r="BV55" s="288"/>
      <c r="CO55" s="288"/>
      <c r="CP55" s="288"/>
      <c r="CQ55" s="288"/>
      <c r="CR55" s="288"/>
      <c r="CS55" s="288"/>
      <c r="CT55" s="288"/>
      <c r="CU55" s="288"/>
      <c r="CV55" s="288"/>
      <c r="CW55" s="288"/>
      <c r="DP55" s="182"/>
      <c r="DQ55" s="182"/>
      <c r="DR55" s="182"/>
      <c r="DS55" s="182"/>
      <c r="DT55" s="182"/>
      <c r="DU55" s="182"/>
      <c r="DV55" s="182"/>
      <c r="DW55" s="182"/>
      <c r="DX55" s="182"/>
      <c r="DY55" s="303"/>
    </row>
    <row r="56" spans="1:164" x14ac:dyDescent="0.2">
      <c r="L56" s="183"/>
      <c r="M56" s="183"/>
      <c r="N56" s="183"/>
      <c r="O56" s="183"/>
      <c r="P56" s="183"/>
      <c r="Q56" s="183"/>
      <c r="R56" s="183"/>
      <c r="S56" s="183"/>
      <c r="T56" s="183"/>
      <c r="BN56" s="288"/>
      <c r="BO56" s="288"/>
      <c r="BP56" s="288"/>
      <c r="BQ56" s="288"/>
      <c r="BR56" s="288"/>
      <c r="BS56" s="288"/>
      <c r="BT56" s="288"/>
      <c r="BU56" s="288"/>
      <c r="BV56" s="288"/>
      <c r="CO56" s="288"/>
      <c r="CP56" s="288"/>
      <c r="CQ56" s="288"/>
      <c r="CR56" s="288"/>
      <c r="CS56" s="288"/>
      <c r="CT56" s="288"/>
      <c r="CU56" s="288"/>
      <c r="CV56" s="288"/>
      <c r="CW56" s="288"/>
      <c r="DP56" s="182"/>
      <c r="DQ56" s="182"/>
      <c r="DR56" s="182"/>
      <c r="DS56" s="182"/>
      <c r="DT56" s="182"/>
      <c r="DU56" s="182"/>
      <c r="DV56" s="182"/>
      <c r="DW56" s="182"/>
      <c r="DX56" s="182"/>
      <c r="DY56" s="303"/>
    </row>
    <row r="57" spans="1:164" x14ac:dyDescent="0.2">
      <c r="BN57" s="288"/>
      <c r="BO57" s="288"/>
      <c r="BP57" s="288"/>
      <c r="BQ57" s="288"/>
      <c r="BR57" s="288"/>
      <c r="BS57" s="288"/>
      <c r="BT57" s="288"/>
      <c r="BU57" s="288"/>
      <c r="BV57" s="288"/>
      <c r="CO57" s="288"/>
      <c r="CP57" s="288"/>
      <c r="CQ57" s="288"/>
      <c r="CR57" s="288"/>
      <c r="CS57" s="288"/>
      <c r="CT57" s="288"/>
      <c r="CU57" s="288"/>
      <c r="CV57" s="288"/>
      <c r="CW57" s="288"/>
      <c r="DP57" s="182"/>
      <c r="DQ57" s="182"/>
      <c r="DR57" s="182"/>
      <c r="DS57" s="182"/>
      <c r="DT57" s="182"/>
      <c r="DU57" s="182"/>
      <c r="DV57" s="182"/>
      <c r="DW57" s="182"/>
      <c r="DX57" s="182"/>
      <c r="DY57" s="303"/>
    </row>
    <row r="58" spans="1:164" x14ac:dyDescent="0.2">
      <c r="BN58" s="288"/>
      <c r="BO58" s="288"/>
      <c r="BP58" s="288"/>
      <c r="BQ58" s="288"/>
      <c r="BR58" s="288"/>
      <c r="BS58" s="288"/>
      <c r="BT58" s="288"/>
      <c r="BU58" s="288"/>
      <c r="BV58" s="288"/>
      <c r="CO58" s="288"/>
      <c r="CP58" s="288"/>
      <c r="CQ58" s="288"/>
      <c r="CR58" s="288"/>
      <c r="CS58" s="288"/>
      <c r="CT58" s="288"/>
      <c r="CU58" s="288"/>
      <c r="CV58" s="288"/>
      <c r="CW58" s="288"/>
      <c r="DP58" s="182"/>
      <c r="DQ58" s="182"/>
      <c r="DR58" s="182"/>
      <c r="DS58" s="182"/>
      <c r="DT58" s="182"/>
      <c r="DU58" s="182"/>
      <c r="DV58" s="182"/>
      <c r="DW58" s="182"/>
      <c r="DX58" s="182"/>
      <c r="DY58" s="303"/>
    </row>
    <row r="59" spans="1:164" x14ac:dyDescent="0.2">
      <c r="BN59" s="288"/>
      <c r="BO59" s="288"/>
      <c r="BP59" s="288"/>
      <c r="BQ59" s="288"/>
      <c r="BR59" s="288"/>
      <c r="BS59" s="288"/>
      <c r="BT59" s="288"/>
      <c r="BU59" s="288"/>
      <c r="BV59" s="288"/>
      <c r="CO59" s="288"/>
      <c r="CP59" s="288"/>
      <c r="CQ59" s="288"/>
      <c r="CR59" s="288"/>
      <c r="CS59" s="288"/>
      <c r="CT59" s="288"/>
      <c r="CU59" s="288"/>
      <c r="CV59" s="288"/>
      <c r="CW59" s="288"/>
      <c r="DP59" s="182"/>
      <c r="DQ59" s="182"/>
      <c r="DR59" s="182"/>
      <c r="DS59" s="182"/>
      <c r="DT59" s="182"/>
      <c r="DU59" s="182"/>
      <c r="DV59" s="182"/>
      <c r="DW59" s="182"/>
      <c r="DX59" s="182"/>
      <c r="DY59" s="303"/>
    </row>
    <row r="60" spans="1:164" x14ac:dyDescent="0.2">
      <c r="A60" s="327"/>
      <c r="U60" s="305"/>
      <c r="BN60" s="288"/>
      <c r="BO60" s="288"/>
      <c r="BP60" s="288"/>
      <c r="BQ60" s="288"/>
      <c r="BR60" s="288"/>
      <c r="BS60" s="288"/>
      <c r="BT60" s="288"/>
      <c r="BU60" s="288"/>
      <c r="BV60" s="288"/>
      <c r="CO60" s="288"/>
      <c r="CP60" s="288"/>
      <c r="CQ60" s="288"/>
      <c r="CR60" s="288"/>
      <c r="CS60" s="288"/>
      <c r="CT60" s="288"/>
      <c r="CU60" s="288"/>
      <c r="CV60" s="288"/>
      <c r="CW60" s="288"/>
      <c r="DP60" s="182"/>
      <c r="DQ60" s="182"/>
      <c r="DR60" s="182"/>
      <c r="DS60" s="182"/>
      <c r="DT60" s="182"/>
      <c r="DU60" s="182"/>
      <c r="DV60" s="182"/>
      <c r="DW60" s="182"/>
      <c r="DX60" s="182"/>
      <c r="DY60" s="303"/>
    </row>
    <row r="61" spans="1:164" x14ac:dyDescent="0.2">
      <c r="A61" s="327"/>
      <c r="BN61" s="288"/>
      <c r="BO61" s="288"/>
      <c r="BP61" s="288"/>
      <c r="BQ61" s="288"/>
      <c r="BR61" s="288"/>
      <c r="BS61" s="288"/>
      <c r="BT61" s="288"/>
      <c r="BU61" s="288"/>
      <c r="BV61" s="288"/>
      <c r="CO61" s="288"/>
      <c r="CP61" s="288"/>
      <c r="CQ61" s="288"/>
      <c r="CR61" s="288"/>
      <c r="CS61" s="288"/>
      <c r="CT61" s="288"/>
      <c r="CU61" s="288"/>
      <c r="CV61" s="288"/>
      <c r="CW61" s="288"/>
      <c r="DP61" s="182"/>
      <c r="DQ61" s="182"/>
      <c r="DR61" s="182"/>
      <c r="DS61" s="182"/>
      <c r="DT61" s="182"/>
      <c r="DU61" s="182"/>
      <c r="DV61" s="182"/>
      <c r="DW61" s="182"/>
      <c r="DX61" s="182"/>
      <c r="DY61" s="303"/>
    </row>
    <row r="62" spans="1:164" x14ac:dyDescent="0.2">
      <c r="A62" s="327"/>
      <c r="BN62" s="288"/>
      <c r="BO62" s="288"/>
      <c r="BP62" s="288"/>
      <c r="BQ62" s="288"/>
      <c r="BR62" s="288"/>
      <c r="BS62" s="288"/>
      <c r="BT62" s="288"/>
      <c r="BU62" s="288"/>
      <c r="BV62" s="288"/>
      <c r="CO62" s="288"/>
      <c r="CP62" s="288"/>
      <c r="CQ62" s="288"/>
      <c r="CR62" s="288"/>
      <c r="CS62" s="288"/>
      <c r="CT62" s="288"/>
      <c r="CU62" s="288"/>
      <c r="CV62" s="288"/>
      <c r="CW62" s="288"/>
      <c r="DP62" s="182"/>
      <c r="DQ62" s="182"/>
      <c r="DR62" s="182"/>
      <c r="DS62" s="182"/>
      <c r="DT62" s="182"/>
      <c r="DU62" s="182"/>
      <c r="DV62" s="182"/>
      <c r="DW62" s="182"/>
      <c r="DX62" s="182"/>
      <c r="DY62" s="303"/>
    </row>
    <row r="63" spans="1:164" x14ac:dyDescent="0.2">
      <c r="A63" s="327"/>
      <c r="BN63" s="288"/>
      <c r="BO63" s="288"/>
      <c r="BP63" s="288"/>
      <c r="BQ63" s="288"/>
      <c r="BR63" s="288"/>
      <c r="BS63" s="288"/>
      <c r="BT63" s="288"/>
      <c r="BU63" s="288"/>
      <c r="BV63" s="288"/>
      <c r="CO63" s="288"/>
      <c r="CP63" s="288"/>
      <c r="CQ63" s="288"/>
      <c r="CR63" s="288"/>
      <c r="CS63" s="288"/>
      <c r="CT63" s="288"/>
      <c r="CU63" s="288"/>
      <c r="CV63" s="288"/>
      <c r="CW63" s="288"/>
      <c r="DP63" s="182"/>
      <c r="DQ63" s="182"/>
      <c r="DR63" s="182"/>
      <c r="DS63" s="182"/>
      <c r="DT63" s="182"/>
      <c r="DU63" s="182"/>
      <c r="DV63" s="182"/>
      <c r="DW63" s="182"/>
      <c r="DX63" s="182"/>
      <c r="DY63" s="303"/>
    </row>
    <row r="64" spans="1:164" x14ac:dyDescent="0.2">
      <c r="A64" s="327"/>
      <c r="BN64" s="288"/>
      <c r="BO64" s="288"/>
      <c r="BP64" s="288"/>
      <c r="BQ64" s="288"/>
      <c r="BR64" s="288"/>
      <c r="BS64" s="288"/>
      <c r="BT64" s="288"/>
      <c r="BU64" s="288"/>
      <c r="BV64" s="288"/>
      <c r="CO64" s="288"/>
      <c r="CP64" s="288"/>
      <c r="CQ64" s="288"/>
      <c r="CR64" s="288"/>
      <c r="CS64" s="288"/>
      <c r="CT64" s="288"/>
      <c r="CU64" s="288"/>
      <c r="CV64" s="288"/>
      <c r="CW64" s="288"/>
      <c r="DP64" s="182"/>
      <c r="DQ64" s="182"/>
      <c r="DR64" s="182"/>
      <c r="DS64" s="182"/>
      <c r="DT64" s="182"/>
      <c r="DU64" s="182"/>
      <c r="DV64" s="182"/>
      <c r="DW64" s="182"/>
      <c r="DX64" s="182"/>
      <c r="DY64" s="303"/>
    </row>
    <row r="65" spans="1:129" x14ac:dyDescent="0.2">
      <c r="A65" s="327"/>
      <c r="BN65" s="288"/>
      <c r="BO65" s="288"/>
      <c r="BP65" s="288"/>
      <c r="BQ65" s="288"/>
      <c r="BR65" s="288"/>
      <c r="BS65" s="288"/>
      <c r="BT65" s="288"/>
      <c r="BU65" s="288"/>
      <c r="BV65" s="288"/>
      <c r="CO65" s="288"/>
      <c r="CP65" s="288"/>
      <c r="CQ65" s="288"/>
      <c r="CR65" s="288"/>
      <c r="CS65" s="288"/>
      <c r="CT65" s="288"/>
      <c r="CU65" s="288"/>
      <c r="CV65" s="288"/>
      <c r="CW65" s="288"/>
      <c r="DP65" s="182"/>
      <c r="DQ65" s="182"/>
      <c r="DR65" s="182"/>
      <c r="DS65" s="182"/>
      <c r="DT65" s="182"/>
      <c r="DU65" s="182"/>
      <c r="DV65" s="182"/>
      <c r="DW65" s="182"/>
      <c r="DX65" s="182"/>
      <c r="DY65" s="303"/>
    </row>
    <row r="66" spans="1:129" x14ac:dyDescent="0.2">
      <c r="A66" s="327"/>
      <c r="BN66" s="288"/>
      <c r="BO66" s="288"/>
      <c r="BP66" s="288"/>
      <c r="BQ66" s="288"/>
      <c r="BR66" s="288"/>
      <c r="BS66" s="288"/>
      <c r="BT66" s="288"/>
      <c r="BU66" s="288"/>
      <c r="BV66" s="288"/>
      <c r="CO66" s="288"/>
      <c r="CP66" s="288"/>
      <c r="CQ66" s="288"/>
      <c r="CR66" s="288"/>
      <c r="CS66" s="288"/>
      <c r="CT66" s="288"/>
      <c r="CU66" s="288"/>
      <c r="CV66" s="288"/>
      <c r="CW66" s="288"/>
      <c r="DP66" s="182"/>
      <c r="DQ66" s="182"/>
      <c r="DR66" s="182"/>
      <c r="DS66" s="182"/>
      <c r="DT66" s="182"/>
      <c r="DU66" s="182"/>
      <c r="DV66" s="182"/>
      <c r="DW66" s="182"/>
      <c r="DX66" s="182"/>
      <c r="DY66" s="303"/>
    </row>
    <row r="67" spans="1:129" x14ac:dyDescent="0.2">
      <c r="A67" s="327"/>
      <c r="BN67" s="288"/>
      <c r="BO67" s="288"/>
      <c r="BP67" s="288"/>
      <c r="BQ67" s="288"/>
      <c r="BR67" s="288"/>
      <c r="BS67" s="288"/>
      <c r="BT67" s="288"/>
      <c r="BU67" s="288"/>
      <c r="BV67" s="288"/>
      <c r="CO67" s="288"/>
      <c r="CP67" s="288"/>
      <c r="CQ67" s="288"/>
      <c r="CR67" s="288"/>
      <c r="CS67" s="288"/>
      <c r="CT67" s="288"/>
      <c r="CU67" s="288"/>
      <c r="CV67" s="288"/>
      <c r="CW67" s="288"/>
      <c r="DP67" s="182"/>
      <c r="DQ67" s="182"/>
      <c r="DR67" s="182"/>
      <c r="DS67" s="182"/>
      <c r="DT67" s="182"/>
      <c r="DU67" s="182"/>
      <c r="DV67" s="182"/>
      <c r="DW67" s="182"/>
      <c r="DX67" s="182"/>
      <c r="DY67" s="303"/>
    </row>
    <row r="68" spans="1:129" x14ac:dyDescent="0.2">
      <c r="A68" s="327"/>
      <c r="BN68" s="288"/>
      <c r="BO68" s="288"/>
      <c r="BP68" s="288"/>
      <c r="BQ68" s="288"/>
      <c r="BR68" s="288"/>
      <c r="BS68" s="288"/>
      <c r="BT68" s="288"/>
      <c r="BU68" s="288"/>
      <c r="BV68" s="288"/>
      <c r="CO68" s="288"/>
      <c r="CP68" s="288"/>
      <c r="CQ68" s="288"/>
      <c r="CR68" s="288"/>
      <c r="CS68" s="288"/>
      <c r="CT68" s="288"/>
      <c r="CU68" s="288"/>
      <c r="CV68" s="288"/>
      <c r="CW68" s="288"/>
      <c r="DP68" s="182"/>
      <c r="DQ68" s="182"/>
      <c r="DR68" s="182"/>
      <c r="DS68" s="182"/>
      <c r="DT68" s="182"/>
      <c r="DU68" s="182"/>
      <c r="DV68" s="182"/>
      <c r="DW68" s="182"/>
      <c r="DX68" s="182"/>
      <c r="DY68" s="303"/>
    </row>
    <row r="69" spans="1:129" x14ac:dyDescent="0.2">
      <c r="A69" s="327"/>
      <c r="BN69" s="288"/>
      <c r="BO69" s="288"/>
      <c r="BP69" s="288"/>
      <c r="BQ69" s="288"/>
      <c r="BR69" s="288"/>
      <c r="BS69" s="288"/>
      <c r="BT69" s="288"/>
      <c r="BU69" s="288"/>
      <c r="BV69" s="288"/>
      <c r="CO69" s="288"/>
      <c r="CP69" s="288"/>
      <c r="CQ69" s="288"/>
      <c r="CR69" s="288"/>
      <c r="CS69" s="288"/>
      <c r="CT69" s="288"/>
      <c r="CU69" s="288"/>
      <c r="CV69" s="288"/>
      <c r="CW69" s="288"/>
      <c r="DP69" s="182"/>
      <c r="DQ69" s="182"/>
      <c r="DR69" s="182"/>
      <c r="DS69" s="182"/>
      <c r="DT69" s="182"/>
      <c r="DU69" s="182"/>
      <c r="DV69" s="182"/>
      <c r="DW69" s="182"/>
      <c r="DX69" s="182"/>
      <c r="DY69" s="303"/>
    </row>
    <row r="70" spans="1:129" x14ac:dyDescent="0.2">
      <c r="A70" s="327"/>
      <c r="BN70" s="288"/>
      <c r="BO70" s="288"/>
      <c r="BP70" s="288"/>
      <c r="BQ70" s="288"/>
      <c r="BR70" s="288"/>
      <c r="BS70" s="288"/>
      <c r="BT70" s="288"/>
      <c r="BU70" s="288"/>
      <c r="BV70" s="288"/>
      <c r="CO70" s="288"/>
      <c r="CP70" s="288"/>
      <c r="CQ70" s="288"/>
      <c r="CR70" s="288"/>
      <c r="CS70" s="288"/>
      <c r="CT70" s="288"/>
      <c r="CU70" s="288"/>
      <c r="CV70" s="288"/>
      <c r="CW70" s="288"/>
      <c r="DP70" s="182"/>
      <c r="DQ70" s="182"/>
      <c r="DR70" s="182"/>
      <c r="DS70" s="182"/>
      <c r="DT70" s="182"/>
      <c r="DU70" s="182"/>
      <c r="DV70" s="182"/>
      <c r="DW70" s="182"/>
      <c r="DX70" s="182"/>
      <c r="DY70" s="303"/>
    </row>
    <row r="71" spans="1:129" x14ac:dyDescent="0.2">
      <c r="A71" s="327"/>
      <c r="BN71" s="288"/>
      <c r="BO71" s="288"/>
      <c r="BP71" s="288"/>
      <c r="BQ71" s="288"/>
      <c r="BR71" s="288"/>
      <c r="BS71" s="288"/>
      <c r="BT71" s="288"/>
      <c r="BU71" s="288"/>
      <c r="BV71" s="288"/>
      <c r="CO71" s="288"/>
      <c r="CP71" s="288"/>
      <c r="CQ71" s="288"/>
      <c r="CR71" s="288"/>
      <c r="CS71" s="288"/>
      <c r="CT71" s="288"/>
      <c r="CU71" s="288"/>
      <c r="CV71" s="288"/>
      <c r="CW71" s="288"/>
      <c r="DP71" s="182"/>
      <c r="DQ71" s="182"/>
      <c r="DR71" s="182"/>
      <c r="DS71" s="182"/>
      <c r="DT71" s="182"/>
      <c r="DU71" s="182"/>
      <c r="DV71" s="182"/>
      <c r="DW71" s="182"/>
      <c r="DX71" s="182"/>
      <c r="DY71" s="303"/>
    </row>
    <row r="72" spans="1:129" x14ac:dyDescent="0.2">
      <c r="A72" s="327"/>
      <c r="BN72" s="288"/>
      <c r="BO72" s="288"/>
      <c r="BP72" s="288"/>
      <c r="BQ72" s="288"/>
      <c r="BR72" s="288"/>
      <c r="BS72" s="288"/>
      <c r="BT72" s="288"/>
      <c r="BU72" s="288"/>
      <c r="BV72" s="288"/>
      <c r="BW72" s="297"/>
      <c r="CO72" s="288"/>
      <c r="CP72" s="288"/>
      <c r="CQ72" s="288"/>
      <c r="CR72" s="288"/>
      <c r="CS72" s="288"/>
      <c r="CT72" s="288"/>
      <c r="CU72" s="288"/>
      <c r="CV72" s="288"/>
      <c r="CW72" s="288"/>
      <c r="DP72" s="182"/>
      <c r="DQ72" s="182"/>
      <c r="DR72" s="182"/>
      <c r="DS72" s="182"/>
      <c r="DT72" s="182"/>
      <c r="DU72" s="182"/>
      <c r="DV72" s="182"/>
      <c r="DW72" s="182"/>
      <c r="DX72" s="182"/>
      <c r="DY72" s="303"/>
    </row>
    <row r="73" spans="1:129" x14ac:dyDescent="0.2">
      <c r="A73" s="327"/>
      <c r="BN73" s="183"/>
      <c r="BO73" s="183"/>
      <c r="BP73" s="183"/>
      <c r="BQ73" s="183"/>
      <c r="BR73" s="183"/>
      <c r="BS73" s="183"/>
      <c r="BT73" s="183"/>
      <c r="BU73" s="183"/>
      <c r="BV73" s="183"/>
      <c r="CO73" s="288"/>
      <c r="CP73" s="288"/>
      <c r="CQ73" s="288"/>
      <c r="CR73" s="288"/>
      <c r="CS73" s="288"/>
      <c r="CT73" s="288"/>
      <c r="CU73" s="288"/>
      <c r="CV73" s="288"/>
      <c r="CW73" s="288"/>
      <c r="DP73" s="182"/>
      <c r="DQ73" s="182"/>
      <c r="DR73" s="182"/>
      <c r="DS73" s="182"/>
      <c r="DT73" s="182"/>
      <c r="DU73" s="182"/>
      <c r="DV73" s="182"/>
      <c r="DW73" s="182"/>
      <c r="DX73" s="182"/>
      <c r="DY73" s="303"/>
    </row>
    <row r="74" spans="1:129" x14ac:dyDescent="0.2">
      <c r="A74" s="327"/>
      <c r="BN74" s="288"/>
      <c r="BO74" s="288"/>
      <c r="BP74" s="288"/>
      <c r="BQ74" s="288"/>
      <c r="BR74" s="288"/>
      <c r="BS74" s="288"/>
      <c r="BT74" s="288"/>
      <c r="BU74" s="288"/>
      <c r="BV74" s="288"/>
      <c r="CO74" s="183"/>
      <c r="CP74" s="183"/>
      <c r="CQ74" s="183"/>
      <c r="CR74" s="183"/>
      <c r="CS74" s="183"/>
      <c r="CT74" s="183"/>
      <c r="CU74" s="183"/>
      <c r="CV74" s="183"/>
      <c r="CW74" s="183"/>
      <c r="DP74" s="182"/>
      <c r="DQ74" s="182"/>
      <c r="DR74" s="182"/>
      <c r="DS74" s="182"/>
      <c r="DT74" s="182"/>
      <c r="DU74" s="182"/>
      <c r="DV74" s="182"/>
      <c r="DW74" s="182"/>
      <c r="DX74" s="182"/>
      <c r="DY74" s="303"/>
    </row>
    <row r="75" spans="1:129" x14ac:dyDescent="0.2">
      <c r="A75" s="327"/>
      <c r="BN75" s="288"/>
      <c r="BO75" s="288"/>
      <c r="BP75" s="288"/>
      <c r="BQ75" s="288"/>
      <c r="BR75" s="288"/>
      <c r="BS75" s="288"/>
      <c r="BT75" s="288"/>
      <c r="BU75" s="288"/>
      <c r="BV75" s="288"/>
      <c r="CO75" s="288"/>
      <c r="CP75" s="288"/>
      <c r="CQ75" s="288"/>
      <c r="CR75" s="288"/>
      <c r="CS75" s="288"/>
      <c r="CT75" s="288"/>
      <c r="CU75" s="288"/>
      <c r="CV75" s="288"/>
      <c r="CW75" s="288"/>
      <c r="DP75" s="182"/>
      <c r="DQ75" s="182"/>
      <c r="DR75" s="182"/>
      <c r="DS75" s="182"/>
      <c r="DT75" s="182"/>
      <c r="DU75" s="182"/>
      <c r="DV75" s="182"/>
      <c r="DW75" s="182"/>
      <c r="DX75" s="182"/>
      <c r="DY75" s="303"/>
    </row>
    <row r="76" spans="1:129" x14ac:dyDescent="0.2">
      <c r="A76" s="327"/>
      <c r="BN76" s="288"/>
      <c r="BO76" s="288"/>
      <c r="BP76" s="288"/>
      <c r="BQ76" s="288"/>
      <c r="BR76" s="288"/>
      <c r="BS76" s="288"/>
      <c r="BT76" s="288"/>
      <c r="BU76" s="288"/>
      <c r="BV76" s="288"/>
      <c r="CO76" s="288"/>
      <c r="CP76" s="288"/>
      <c r="CQ76" s="288"/>
      <c r="CR76" s="288"/>
      <c r="CS76" s="288"/>
      <c r="CT76" s="288"/>
      <c r="CU76" s="288"/>
      <c r="CV76" s="288"/>
      <c r="CW76" s="288"/>
      <c r="DP76" s="182"/>
      <c r="DQ76" s="182"/>
      <c r="DR76" s="182"/>
      <c r="DS76" s="182"/>
      <c r="DT76" s="182"/>
      <c r="DU76" s="182"/>
      <c r="DV76" s="182"/>
      <c r="DW76" s="182"/>
      <c r="DX76" s="182"/>
      <c r="DY76" s="303"/>
    </row>
    <row r="77" spans="1:129" x14ac:dyDescent="0.2">
      <c r="A77" s="327"/>
      <c r="BN77" s="288"/>
      <c r="BO77" s="288"/>
      <c r="BP77" s="288"/>
      <c r="BQ77" s="288"/>
      <c r="BR77" s="288"/>
      <c r="BS77" s="288"/>
      <c r="BT77" s="288"/>
      <c r="BU77" s="288"/>
      <c r="BV77" s="288"/>
      <c r="CO77" s="288"/>
      <c r="CP77" s="288"/>
      <c r="CQ77" s="288"/>
      <c r="CR77" s="288"/>
      <c r="CS77" s="288"/>
      <c r="CT77" s="288"/>
      <c r="CU77" s="288"/>
      <c r="CV77" s="288"/>
      <c r="CW77" s="288"/>
      <c r="DP77" s="182"/>
      <c r="DQ77" s="182"/>
      <c r="DR77" s="182"/>
      <c r="DS77" s="182"/>
      <c r="DT77" s="182"/>
      <c r="DU77" s="182"/>
      <c r="DV77" s="182"/>
      <c r="DW77" s="182"/>
      <c r="DX77" s="182"/>
      <c r="DY77" s="303"/>
    </row>
    <row r="78" spans="1:129" x14ac:dyDescent="0.2">
      <c r="A78" s="327"/>
      <c r="BN78" s="288"/>
      <c r="BO78" s="288"/>
      <c r="BP78" s="288"/>
      <c r="BQ78" s="288"/>
      <c r="BR78" s="288"/>
      <c r="BS78" s="288"/>
      <c r="BT78" s="288"/>
      <c r="BU78" s="288"/>
      <c r="BV78" s="288"/>
      <c r="CO78" s="288"/>
      <c r="CP78" s="288"/>
      <c r="CQ78" s="288"/>
      <c r="CR78" s="288"/>
      <c r="CS78" s="288"/>
      <c r="CT78" s="288"/>
      <c r="CU78" s="288"/>
      <c r="CV78" s="288"/>
      <c r="CW78" s="288"/>
      <c r="DP78" s="182"/>
      <c r="DQ78" s="182"/>
      <c r="DR78" s="182"/>
      <c r="DS78" s="182"/>
      <c r="DT78" s="182"/>
      <c r="DU78" s="182"/>
      <c r="DV78" s="182"/>
      <c r="DW78" s="182"/>
      <c r="DX78" s="182"/>
      <c r="DY78" s="303"/>
    </row>
    <row r="79" spans="1:129" x14ac:dyDescent="0.2">
      <c r="A79" s="327"/>
      <c r="BN79" s="288"/>
      <c r="BO79" s="288"/>
      <c r="BP79" s="288"/>
      <c r="BQ79" s="288"/>
      <c r="BR79" s="288"/>
      <c r="BS79" s="288"/>
      <c r="BT79" s="288"/>
      <c r="BU79" s="288"/>
      <c r="BV79" s="288"/>
      <c r="CO79" s="288"/>
      <c r="CP79" s="288"/>
      <c r="CQ79" s="288"/>
      <c r="CR79" s="288"/>
      <c r="CS79" s="288"/>
      <c r="CT79" s="288"/>
      <c r="CU79" s="288"/>
      <c r="CV79" s="288"/>
      <c r="CW79" s="288"/>
      <c r="DP79" s="182"/>
      <c r="DQ79" s="182"/>
      <c r="DR79" s="182"/>
      <c r="DS79" s="182"/>
      <c r="DT79" s="182"/>
      <c r="DU79" s="182"/>
      <c r="DV79" s="182"/>
      <c r="DW79" s="182"/>
      <c r="DX79" s="182"/>
      <c r="DY79" s="303"/>
    </row>
    <row r="80" spans="1:129" x14ac:dyDescent="0.2">
      <c r="A80" s="327"/>
      <c r="BN80" s="288"/>
      <c r="BO80" s="288"/>
      <c r="BP80" s="288"/>
      <c r="BQ80" s="288"/>
      <c r="BR80" s="288"/>
      <c r="BS80" s="288"/>
      <c r="BT80" s="288"/>
      <c r="BU80" s="288"/>
      <c r="BV80" s="288"/>
      <c r="CO80" s="288"/>
      <c r="CP80" s="288"/>
      <c r="CQ80" s="288"/>
      <c r="CR80" s="288"/>
      <c r="CS80" s="288"/>
      <c r="CT80" s="288"/>
      <c r="CU80" s="288"/>
      <c r="CV80" s="288"/>
      <c r="CW80" s="288"/>
      <c r="DP80" s="182"/>
      <c r="DQ80" s="182"/>
      <c r="DR80" s="182"/>
      <c r="DS80" s="182"/>
      <c r="DT80" s="182"/>
      <c r="DU80" s="182"/>
      <c r="DV80" s="182"/>
      <c r="DW80" s="182"/>
      <c r="DX80" s="182"/>
      <c r="DY80" s="303"/>
    </row>
    <row r="81" spans="1:129" x14ac:dyDescent="0.2">
      <c r="A81" s="327"/>
      <c r="CO81" s="288"/>
      <c r="CP81" s="288"/>
      <c r="CQ81" s="288"/>
      <c r="CR81" s="288"/>
      <c r="CS81" s="288"/>
      <c r="CT81" s="288"/>
      <c r="CU81" s="288"/>
      <c r="CV81" s="288"/>
      <c r="CW81" s="288"/>
      <c r="DP81" s="182"/>
      <c r="DQ81" s="182"/>
      <c r="DR81" s="182"/>
      <c r="DS81" s="182"/>
      <c r="DT81" s="182"/>
      <c r="DU81" s="182"/>
      <c r="DV81" s="182"/>
      <c r="DW81" s="182"/>
      <c r="DX81" s="182"/>
      <c r="DY81" s="303"/>
    </row>
    <row r="82" spans="1:129" x14ac:dyDescent="0.2">
      <c r="A82" s="327"/>
      <c r="CO82" s="288"/>
      <c r="CP82" s="288"/>
      <c r="CQ82" s="288"/>
      <c r="CR82" s="288"/>
      <c r="CS82" s="288"/>
      <c r="CT82" s="288"/>
      <c r="CU82" s="288"/>
      <c r="CV82" s="288"/>
      <c r="CW82" s="288"/>
      <c r="DP82" s="182"/>
      <c r="DQ82" s="182"/>
      <c r="DR82" s="182"/>
      <c r="DS82" s="182"/>
      <c r="DT82" s="182"/>
      <c r="DU82" s="182"/>
      <c r="DV82" s="182"/>
      <c r="DW82" s="182"/>
      <c r="DX82" s="182"/>
      <c r="DY82" s="303"/>
    </row>
    <row r="83" spans="1:129" x14ac:dyDescent="0.2">
      <c r="A83" s="327"/>
      <c r="CO83" s="288"/>
      <c r="CP83" s="288"/>
      <c r="CQ83" s="288"/>
      <c r="CR83" s="288"/>
      <c r="CS83" s="288"/>
      <c r="CT83" s="288"/>
      <c r="CU83" s="288"/>
      <c r="CV83" s="288"/>
      <c r="CW83" s="288"/>
      <c r="DP83" s="182"/>
      <c r="DQ83" s="182"/>
      <c r="DR83" s="182"/>
      <c r="DS83" s="182"/>
      <c r="DT83" s="182"/>
      <c r="DU83" s="182"/>
      <c r="DV83" s="182"/>
      <c r="DW83" s="182"/>
      <c r="DX83" s="182"/>
      <c r="DY83" s="303"/>
    </row>
    <row r="84" spans="1:129" x14ac:dyDescent="0.2">
      <c r="A84" s="327"/>
      <c r="CO84" s="288"/>
      <c r="CP84" s="288"/>
      <c r="CQ84" s="288"/>
      <c r="CR84" s="288"/>
      <c r="CS84" s="288"/>
      <c r="CT84" s="288"/>
      <c r="CU84" s="288"/>
      <c r="CV84" s="288"/>
      <c r="CW84" s="288"/>
      <c r="DP84" s="182"/>
      <c r="DQ84" s="182"/>
      <c r="DR84" s="182"/>
      <c r="DS84" s="182"/>
      <c r="DT84" s="182"/>
      <c r="DU84" s="182"/>
      <c r="DV84" s="182"/>
      <c r="DW84" s="182"/>
      <c r="DX84" s="182"/>
      <c r="DY84" s="303"/>
    </row>
    <row r="85" spans="1:129" x14ac:dyDescent="0.2">
      <c r="A85" s="327"/>
      <c r="CO85" s="288"/>
      <c r="CP85" s="288"/>
      <c r="CQ85" s="288"/>
      <c r="CR85" s="288"/>
      <c r="CS85" s="288"/>
      <c r="CT85" s="288"/>
      <c r="CU85" s="288"/>
      <c r="CV85" s="288"/>
      <c r="CW85" s="288"/>
      <c r="DP85" s="182"/>
      <c r="DQ85" s="182"/>
      <c r="DR85" s="182"/>
      <c r="DS85" s="182"/>
      <c r="DT85" s="182"/>
      <c r="DU85" s="182"/>
      <c r="DV85" s="182"/>
      <c r="DW85" s="182"/>
      <c r="DX85" s="182"/>
      <c r="DY85" s="303"/>
    </row>
    <row r="86" spans="1:129" x14ac:dyDescent="0.2">
      <c r="A86" s="327"/>
      <c r="CO86" s="288"/>
      <c r="CP86" s="288"/>
      <c r="CQ86" s="288"/>
      <c r="CR86" s="288"/>
      <c r="CS86" s="288"/>
      <c r="CT86" s="288"/>
      <c r="CU86" s="288"/>
      <c r="CV86" s="288"/>
      <c r="CW86" s="288"/>
      <c r="DP86" s="182"/>
      <c r="DQ86" s="182"/>
      <c r="DR86" s="182"/>
      <c r="DS86" s="182"/>
      <c r="DT86" s="182"/>
      <c r="DU86" s="182"/>
      <c r="DV86" s="182"/>
      <c r="DW86" s="182"/>
      <c r="DX86" s="182"/>
      <c r="DY86" s="303"/>
    </row>
    <row r="87" spans="1:129" x14ac:dyDescent="0.2">
      <c r="A87" s="327"/>
      <c r="CO87" s="288"/>
      <c r="CP87" s="288"/>
      <c r="CQ87" s="288"/>
      <c r="CR87" s="288"/>
      <c r="CS87" s="288"/>
      <c r="CT87" s="288"/>
      <c r="CU87" s="288"/>
      <c r="CV87" s="288"/>
      <c r="CW87" s="288"/>
      <c r="DP87" s="182"/>
      <c r="DQ87" s="182"/>
      <c r="DR87" s="182"/>
      <c r="DS87" s="182"/>
      <c r="DT87" s="182"/>
      <c r="DU87" s="182"/>
      <c r="DV87" s="182"/>
      <c r="DW87" s="182"/>
      <c r="DX87" s="182"/>
      <c r="DY87" s="303"/>
    </row>
    <row r="88" spans="1:129" x14ac:dyDescent="0.2">
      <c r="A88" s="327"/>
      <c r="CO88" s="288"/>
      <c r="CP88" s="288"/>
      <c r="CQ88" s="288"/>
      <c r="CR88" s="288"/>
      <c r="CS88" s="288"/>
      <c r="CT88" s="288"/>
      <c r="CU88" s="288"/>
      <c r="CV88" s="288"/>
      <c r="CW88" s="288"/>
      <c r="DP88" s="182"/>
      <c r="DQ88" s="182"/>
      <c r="DR88" s="182"/>
      <c r="DS88" s="182"/>
      <c r="DT88" s="182"/>
      <c r="DU88" s="182"/>
      <c r="DV88" s="182"/>
      <c r="DW88" s="182"/>
      <c r="DX88" s="182"/>
      <c r="DY88" s="303"/>
    </row>
    <row r="89" spans="1:129" x14ac:dyDescent="0.2">
      <c r="A89" s="327"/>
      <c r="CO89" s="288"/>
      <c r="CP89" s="288"/>
      <c r="CQ89" s="288"/>
      <c r="CR89" s="288"/>
      <c r="CS89" s="288"/>
      <c r="CT89" s="288"/>
      <c r="CU89" s="288"/>
      <c r="CV89" s="288"/>
      <c r="CW89" s="288"/>
      <c r="DP89" s="182"/>
      <c r="DQ89" s="182"/>
      <c r="DR89" s="182"/>
      <c r="DS89" s="182"/>
      <c r="DT89" s="182"/>
      <c r="DU89" s="182"/>
      <c r="DV89" s="182"/>
      <c r="DW89" s="182"/>
      <c r="DX89" s="182"/>
      <c r="DY89" s="303"/>
    </row>
    <row r="90" spans="1:129" x14ac:dyDescent="0.2">
      <c r="A90" s="327"/>
      <c r="CO90" s="288"/>
      <c r="CP90" s="288"/>
      <c r="CQ90" s="288"/>
      <c r="CR90" s="288"/>
      <c r="CS90" s="288"/>
      <c r="CT90" s="288"/>
      <c r="CU90" s="288"/>
      <c r="CV90" s="288"/>
      <c r="CW90" s="288"/>
      <c r="DP90" s="182"/>
      <c r="DQ90" s="182"/>
      <c r="DR90" s="182"/>
      <c r="DS90" s="182"/>
      <c r="DT90" s="182"/>
      <c r="DU90" s="182"/>
      <c r="DV90" s="182"/>
      <c r="DW90" s="182"/>
      <c r="DX90" s="182"/>
      <c r="DY90" s="303"/>
    </row>
    <row r="91" spans="1:129" x14ac:dyDescent="0.2">
      <c r="A91" s="327"/>
      <c r="CO91" s="288"/>
      <c r="CP91" s="288"/>
      <c r="CQ91" s="288"/>
      <c r="CR91" s="288"/>
      <c r="CS91" s="288"/>
      <c r="CT91" s="288"/>
      <c r="CU91" s="288"/>
      <c r="CV91" s="288"/>
      <c r="CW91" s="288"/>
      <c r="DP91" s="182"/>
      <c r="DQ91" s="182"/>
      <c r="DR91" s="182"/>
      <c r="DS91" s="182"/>
      <c r="DT91" s="182"/>
      <c r="DU91" s="182"/>
      <c r="DV91" s="182"/>
      <c r="DW91" s="182"/>
      <c r="DX91" s="182"/>
      <c r="DY91" s="303"/>
    </row>
    <row r="92" spans="1:129" x14ac:dyDescent="0.2">
      <c r="A92" s="327"/>
      <c r="CO92" s="288"/>
      <c r="CP92" s="288"/>
      <c r="CQ92" s="288"/>
      <c r="CR92" s="288"/>
      <c r="CS92" s="288"/>
      <c r="CT92" s="288"/>
      <c r="CU92" s="288"/>
      <c r="CV92" s="288"/>
      <c r="CW92" s="288"/>
      <c r="DP92" s="182"/>
      <c r="DQ92" s="182"/>
      <c r="DR92" s="182"/>
      <c r="DS92" s="182"/>
      <c r="DT92" s="182"/>
      <c r="DU92" s="182"/>
      <c r="DV92" s="182"/>
      <c r="DW92" s="182"/>
      <c r="DX92" s="182"/>
      <c r="DY92" s="303"/>
    </row>
    <row r="93" spans="1:129" x14ac:dyDescent="0.2">
      <c r="A93" s="327"/>
      <c r="CO93" s="288"/>
      <c r="CP93" s="288"/>
      <c r="CQ93" s="288"/>
      <c r="CR93" s="288"/>
      <c r="CS93" s="288"/>
      <c r="CT93" s="288"/>
      <c r="CU93" s="288"/>
      <c r="CV93" s="288"/>
      <c r="CW93" s="288"/>
      <c r="DP93" s="182"/>
      <c r="DQ93" s="182"/>
      <c r="DR93" s="182"/>
      <c r="DS93" s="182"/>
      <c r="DT93" s="182"/>
      <c r="DU93" s="182"/>
      <c r="DV93" s="182"/>
      <c r="DW93" s="182"/>
      <c r="DX93" s="182"/>
      <c r="DY93" s="303"/>
    </row>
    <row r="94" spans="1:129" x14ac:dyDescent="0.2">
      <c r="A94" s="327"/>
      <c r="CO94" s="288"/>
      <c r="CP94" s="288"/>
      <c r="CQ94" s="288"/>
      <c r="CR94" s="288"/>
      <c r="CS94" s="288"/>
      <c r="CT94" s="288"/>
      <c r="CU94" s="288"/>
      <c r="CV94" s="288"/>
      <c r="CW94" s="288"/>
    </row>
    <row r="95" spans="1:129" x14ac:dyDescent="0.2">
      <c r="A95" s="327"/>
      <c r="CO95" s="288"/>
      <c r="CP95" s="288"/>
      <c r="CQ95" s="288"/>
      <c r="CR95" s="288"/>
      <c r="CS95" s="288"/>
      <c r="CT95" s="288"/>
      <c r="CU95" s="288"/>
      <c r="CV95" s="288"/>
      <c r="CW95" s="288"/>
    </row>
    <row r="96" spans="1:129" x14ac:dyDescent="0.2">
      <c r="A96" s="327"/>
      <c r="CO96" s="288"/>
      <c r="CP96" s="288"/>
      <c r="CQ96" s="288"/>
      <c r="CR96" s="288"/>
      <c r="CS96" s="288"/>
      <c r="CT96" s="288"/>
      <c r="CU96" s="288"/>
      <c r="CV96" s="288"/>
      <c r="CW96" s="288"/>
    </row>
    <row r="97" spans="1:101" x14ac:dyDescent="0.2">
      <c r="A97" s="327"/>
      <c r="U97" s="308"/>
      <c r="CO97" s="288"/>
      <c r="CP97" s="288"/>
      <c r="CQ97" s="288"/>
      <c r="CR97" s="288"/>
      <c r="CS97" s="288"/>
      <c r="CT97" s="288"/>
      <c r="CU97" s="288"/>
      <c r="CV97" s="288"/>
      <c r="CW97" s="288"/>
    </row>
    <row r="98" spans="1:101" x14ac:dyDescent="0.2">
      <c r="A98" s="327"/>
      <c r="CO98" s="288"/>
      <c r="CP98" s="288"/>
      <c r="CQ98" s="288"/>
      <c r="CR98" s="288"/>
      <c r="CS98" s="288"/>
      <c r="CT98" s="288"/>
      <c r="CU98" s="288"/>
      <c r="CV98" s="288"/>
      <c r="CW98" s="288"/>
    </row>
    <row r="99" spans="1:101" x14ac:dyDescent="0.2">
      <c r="A99" s="327"/>
      <c r="CO99" s="288"/>
      <c r="CP99" s="288"/>
      <c r="CQ99" s="288"/>
      <c r="CR99" s="288"/>
      <c r="CS99" s="288"/>
      <c r="CT99" s="288"/>
      <c r="CU99" s="288"/>
      <c r="CV99" s="288"/>
      <c r="CW99" s="288"/>
    </row>
    <row r="100" spans="1:101" x14ac:dyDescent="0.2">
      <c r="A100" s="327"/>
      <c r="CO100" s="288"/>
      <c r="CP100" s="288"/>
      <c r="CQ100" s="288"/>
      <c r="CR100" s="288"/>
      <c r="CS100" s="288"/>
      <c r="CT100" s="288"/>
      <c r="CU100" s="288"/>
      <c r="CV100" s="288"/>
      <c r="CW100" s="288"/>
    </row>
    <row r="101" spans="1:101" x14ac:dyDescent="0.2">
      <c r="A101" s="327"/>
      <c r="CO101" s="288"/>
      <c r="CP101" s="288"/>
      <c r="CQ101" s="288"/>
      <c r="CR101" s="288"/>
      <c r="CS101" s="288"/>
      <c r="CT101" s="288"/>
      <c r="CU101" s="288"/>
      <c r="CV101" s="288"/>
      <c r="CW101" s="288"/>
    </row>
    <row r="102" spans="1:101" x14ac:dyDescent="0.2">
      <c r="A102" s="327"/>
      <c r="CO102" s="288"/>
      <c r="CP102" s="288"/>
      <c r="CQ102" s="288"/>
      <c r="CR102" s="288"/>
      <c r="CS102" s="288"/>
      <c r="CT102" s="288"/>
      <c r="CU102" s="288"/>
      <c r="CV102" s="288"/>
      <c r="CW102" s="288"/>
    </row>
    <row r="103" spans="1:101" x14ac:dyDescent="0.2">
      <c r="A103" s="327"/>
      <c r="CO103" s="288"/>
      <c r="CP103" s="288"/>
      <c r="CQ103" s="288"/>
      <c r="CR103" s="288"/>
      <c r="CS103" s="288"/>
      <c r="CT103" s="288"/>
      <c r="CU103" s="288"/>
      <c r="CV103" s="288"/>
      <c r="CW103" s="288"/>
    </row>
    <row r="104" spans="1:101" x14ac:dyDescent="0.2">
      <c r="A104" s="327"/>
      <c r="CO104" s="288"/>
      <c r="CP104" s="288"/>
      <c r="CQ104" s="288"/>
      <c r="CR104" s="288"/>
      <c r="CS104" s="288"/>
      <c r="CT104" s="288"/>
      <c r="CU104" s="288"/>
      <c r="CV104" s="288"/>
      <c r="CW104" s="288"/>
    </row>
    <row r="105" spans="1:101" x14ac:dyDescent="0.2">
      <c r="A105" s="327"/>
      <c r="CO105" s="288"/>
      <c r="CP105" s="288"/>
      <c r="CQ105" s="288"/>
      <c r="CR105" s="288"/>
      <c r="CS105" s="288"/>
      <c r="CT105" s="288"/>
      <c r="CU105" s="288"/>
      <c r="CV105" s="288"/>
      <c r="CW105" s="288"/>
    </row>
    <row r="106" spans="1:101" x14ac:dyDescent="0.2">
      <c r="A106" s="327"/>
      <c r="CO106" s="288"/>
      <c r="CP106" s="288"/>
      <c r="CQ106" s="288"/>
      <c r="CR106" s="288"/>
      <c r="CS106" s="288"/>
      <c r="CT106" s="288"/>
      <c r="CU106" s="288"/>
      <c r="CV106" s="288"/>
      <c r="CW106" s="288"/>
    </row>
    <row r="107" spans="1:101" x14ac:dyDescent="0.2">
      <c r="A107" s="327"/>
      <c r="U107" s="297"/>
      <c r="CO107" s="288"/>
      <c r="CP107" s="288"/>
      <c r="CQ107" s="288"/>
      <c r="CR107" s="288"/>
      <c r="CS107" s="288"/>
      <c r="CT107" s="288"/>
      <c r="CU107" s="288"/>
      <c r="CV107" s="288"/>
      <c r="CW107" s="288"/>
    </row>
    <row r="108" spans="1:101" x14ac:dyDescent="0.2">
      <c r="A108" s="327"/>
      <c r="U108" s="183"/>
      <c r="CO108" s="288"/>
      <c r="CP108" s="288"/>
      <c r="CQ108" s="288"/>
      <c r="CR108" s="288"/>
      <c r="CS108" s="288"/>
      <c r="CT108" s="288"/>
      <c r="CU108" s="288"/>
      <c r="CV108" s="288"/>
      <c r="CW108" s="288"/>
    </row>
    <row r="109" spans="1:101" x14ac:dyDescent="0.2">
      <c r="A109" s="327"/>
      <c r="CO109" s="288"/>
      <c r="CP109" s="288"/>
      <c r="CQ109" s="288"/>
      <c r="CR109" s="288"/>
      <c r="CS109" s="288"/>
      <c r="CT109" s="288"/>
      <c r="CU109" s="288"/>
      <c r="CV109" s="288"/>
      <c r="CW109" s="288"/>
    </row>
    <row r="110" spans="1:101" x14ac:dyDescent="0.2">
      <c r="A110" s="327"/>
      <c r="CO110" s="288"/>
      <c r="CP110" s="288"/>
      <c r="CQ110" s="288"/>
      <c r="CR110" s="288"/>
      <c r="CS110" s="288"/>
      <c r="CT110" s="288"/>
      <c r="CU110" s="288"/>
      <c r="CV110" s="288"/>
      <c r="CW110" s="288"/>
    </row>
    <row r="111" spans="1:101" x14ac:dyDescent="0.2">
      <c r="A111" s="327"/>
      <c r="CO111" s="288"/>
      <c r="CP111" s="288"/>
      <c r="CQ111" s="288"/>
      <c r="CR111" s="288"/>
      <c r="CS111" s="288"/>
      <c r="CT111" s="288"/>
      <c r="CU111" s="288"/>
      <c r="CV111" s="288"/>
      <c r="CW111" s="288"/>
    </row>
    <row r="112" spans="1:101" x14ac:dyDescent="0.2">
      <c r="A112" s="327"/>
      <c r="CO112" s="288"/>
      <c r="CP112" s="288"/>
      <c r="CQ112" s="288"/>
      <c r="CR112" s="288"/>
      <c r="CS112" s="288"/>
      <c r="CT112" s="288"/>
      <c r="CU112" s="288"/>
      <c r="CV112" s="288"/>
      <c r="CW112" s="288"/>
    </row>
    <row r="113" spans="1:101" x14ac:dyDescent="0.2">
      <c r="A113" s="327"/>
      <c r="CO113" s="288"/>
      <c r="CP113" s="288"/>
      <c r="CQ113" s="288"/>
      <c r="CR113" s="288"/>
      <c r="CS113" s="288"/>
      <c r="CT113" s="288"/>
      <c r="CU113" s="288"/>
      <c r="CV113" s="288"/>
      <c r="CW113" s="288"/>
    </row>
    <row r="114" spans="1:101" x14ac:dyDescent="0.2">
      <c r="A114" s="327"/>
      <c r="CO114" s="288"/>
      <c r="CP114" s="288"/>
      <c r="CQ114" s="288"/>
      <c r="CR114" s="288"/>
      <c r="CS114" s="288"/>
      <c r="CT114" s="288"/>
      <c r="CU114" s="288"/>
      <c r="CV114" s="288"/>
      <c r="CW114" s="288"/>
    </row>
    <row r="115" spans="1:101" x14ac:dyDescent="0.2">
      <c r="A115" s="327"/>
      <c r="CO115" s="288"/>
      <c r="CP115" s="288"/>
      <c r="CQ115" s="288"/>
      <c r="CR115" s="288"/>
      <c r="CS115" s="288"/>
      <c r="CT115" s="288"/>
      <c r="CU115" s="288"/>
      <c r="CV115" s="288"/>
      <c r="CW115" s="288"/>
    </row>
    <row r="116" spans="1:101" x14ac:dyDescent="0.2">
      <c r="A116" s="327"/>
      <c r="CO116" s="288"/>
      <c r="CP116" s="288"/>
      <c r="CQ116" s="288"/>
      <c r="CR116" s="288"/>
      <c r="CS116" s="288"/>
      <c r="CT116" s="288"/>
      <c r="CU116" s="288"/>
      <c r="CV116" s="288"/>
      <c r="CW116" s="288"/>
    </row>
    <row r="117" spans="1:101" x14ac:dyDescent="0.2">
      <c r="A117" s="327"/>
      <c r="U117" s="297"/>
      <c r="CO117" s="288"/>
      <c r="CP117" s="288"/>
      <c r="CQ117" s="288"/>
      <c r="CR117" s="288"/>
      <c r="CS117" s="288"/>
      <c r="CT117" s="288"/>
      <c r="CU117" s="288"/>
      <c r="CV117" s="288"/>
      <c r="CW117" s="288"/>
    </row>
    <row r="118" spans="1:101" x14ac:dyDescent="0.2">
      <c r="A118" s="327"/>
      <c r="U118" s="183"/>
      <c r="CO118" s="288"/>
      <c r="CP118" s="288"/>
      <c r="CQ118" s="288"/>
      <c r="CR118" s="288"/>
      <c r="CS118" s="288"/>
      <c r="CT118" s="288"/>
      <c r="CU118" s="288"/>
      <c r="CV118" s="288"/>
      <c r="CW118" s="288"/>
    </row>
    <row r="119" spans="1:101" x14ac:dyDescent="0.2">
      <c r="A119" s="327"/>
      <c r="CO119" s="288"/>
      <c r="CP119" s="288"/>
      <c r="CQ119" s="288"/>
      <c r="CR119" s="288"/>
      <c r="CS119" s="288"/>
      <c r="CT119" s="288"/>
      <c r="CU119" s="288"/>
      <c r="CV119" s="288"/>
      <c r="CW119" s="288"/>
    </row>
    <row r="120" spans="1:101" x14ac:dyDescent="0.2">
      <c r="A120" s="327"/>
    </row>
    <row r="121" spans="1:101" x14ac:dyDescent="0.2">
      <c r="A121" s="327"/>
    </row>
    <row r="122" spans="1:101" x14ac:dyDescent="0.2">
      <c r="A122" s="327"/>
    </row>
    <row r="123" spans="1:101" x14ac:dyDescent="0.2">
      <c r="A123" s="327"/>
    </row>
    <row r="124" spans="1:101" x14ac:dyDescent="0.2">
      <c r="A124" s="327"/>
    </row>
    <row r="125" spans="1:101" x14ac:dyDescent="0.2">
      <c r="A125" s="327"/>
    </row>
    <row r="126" spans="1:101" x14ac:dyDescent="0.2">
      <c r="A126" s="327"/>
    </row>
    <row r="127" spans="1:101" x14ac:dyDescent="0.2">
      <c r="A127" s="327"/>
    </row>
    <row r="128" spans="1:101" x14ac:dyDescent="0.2">
      <c r="A128" s="327"/>
    </row>
    <row r="129" spans="1:1" x14ac:dyDescent="0.2">
      <c r="A129" s="327"/>
    </row>
    <row r="130" spans="1:1" x14ac:dyDescent="0.2">
      <c r="A130" s="327"/>
    </row>
    <row r="131" spans="1:1" x14ac:dyDescent="0.2">
      <c r="A131" s="327"/>
    </row>
    <row r="132" spans="1:1" x14ac:dyDescent="0.2">
      <c r="A132" s="327"/>
    </row>
    <row r="133" spans="1:1" x14ac:dyDescent="0.2">
      <c r="A133" s="327"/>
    </row>
    <row r="134" spans="1:1" x14ac:dyDescent="0.2">
      <c r="A134" s="327"/>
    </row>
    <row r="135" spans="1:1" x14ac:dyDescent="0.2">
      <c r="A135" s="327"/>
    </row>
    <row r="136" spans="1:1" x14ac:dyDescent="0.2">
      <c r="A136" s="327"/>
    </row>
    <row r="137" spans="1:1" x14ac:dyDescent="0.2">
      <c r="A137" s="327"/>
    </row>
    <row r="138" spans="1:1" x14ac:dyDescent="0.2">
      <c r="A138" s="327"/>
    </row>
    <row r="139" spans="1:1" x14ac:dyDescent="0.2">
      <c r="A139" s="327"/>
    </row>
    <row r="140" spans="1:1" x14ac:dyDescent="0.2">
      <c r="A140" s="318"/>
    </row>
    <row r="141" spans="1:1" x14ac:dyDescent="0.2">
      <c r="A141" s="318"/>
    </row>
    <row r="142" spans="1:1" x14ac:dyDescent="0.2">
      <c r="A142" s="318"/>
    </row>
    <row r="143" spans="1:1" x14ac:dyDescent="0.2">
      <c r="A143" s="318"/>
    </row>
    <row r="144" spans="1:1" x14ac:dyDescent="0.2">
      <c r="A144" s="318"/>
    </row>
    <row r="145" spans="1:1" x14ac:dyDescent="0.2">
      <c r="A145" s="318"/>
    </row>
    <row r="146" spans="1:1" x14ac:dyDescent="0.2">
      <c r="A146" s="318"/>
    </row>
    <row r="147" spans="1:1" x14ac:dyDescent="0.2">
      <c r="A147" s="318"/>
    </row>
    <row r="148" spans="1:1" x14ac:dyDescent="0.2">
      <c r="A148" s="318"/>
    </row>
    <row r="149" spans="1:1" x14ac:dyDescent="0.2">
      <c r="A149" s="318"/>
    </row>
    <row r="150" spans="1:1" x14ac:dyDescent="0.2">
      <c r="A150" s="318"/>
    </row>
    <row r="151" spans="1:1" x14ac:dyDescent="0.2">
      <c r="A151" s="318"/>
    </row>
    <row r="152" spans="1:1" x14ac:dyDescent="0.2">
      <c r="A152" s="318"/>
    </row>
    <row r="153" spans="1:1" x14ac:dyDescent="0.2">
      <c r="A153" s="318"/>
    </row>
    <row r="154" spans="1:1" x14ac:dyDescent="0.2">
      <c r="A154" s="318"/>
    </row>
    <row r="155" spans="1:1" x14ac:dyDescent="0.2">
      <c r="A155" s="318"/>
    </row>
    <row r="156" spans="1:1" x14ac:dyDescent="0.2">
      <c r="A156" s="318"/>
    </row>
    <row r="157" spans="1:1" x14ac:dyDescent="0.2">
      <c r="A157" s="318"/>
    </row>
    <row r="158" spans="1:1" x14ac:dyDescent="0.2">
      <c r="A158" s="318"/>
    </row>
    <row r="159" spans="1:1" x14ac:dyDescent="0.2">
      <c r="A159" s="318"/>
    </row>
    <row r="160" spans="1:1" x14ac:dyDescent="0.2">
      <c r="A160" s="318"/>
    </row>
    <row r="161" spans="1:1" x14ac:dyDescent="0.2">
      <c r="A161" s="318"/>
    </row>
    <row r="162" spans="1:1" x14ac:dyDescent="0.2">
      <c r="A162" s="318"/>
    </row>
    <row r="163" spans="1:1" x14ac:dyDescent="0.2">
      <c r="A163" s="318"/>
    </row>
    <row r="164" spans="1:1" x14ac:dyDescent="0.2">
      <c r="A164" s="318"/>
    </row>
  </sheetData>
  <mergeCells count="26">
    <mergeCell ref="A2:A4"/>
    <mergeCell ref="B2:B4"/>
    <mergeCell ref="C3:K3"/>
    <mergeCell ref="L3:T3"/>
    <mergeCell ref="U3:AC3"/>
    <mergeCell ref="C2:AC2"/>
    <mergeCell ref="AD3:AL3"/>
    <mergeCell ref="AM3:AU3"/>
    <mergeCell ref="AV3:BD3"/>
    <mergeCell ref="AD2:BD2"/>
    <mergeCell ref="BE3:BM3"/>
    <mergeCell ref="BN3:BV3"/>
    <mergeCell ref="BW3:CE3"/>
    <mergeCell ref="BE2:CE2"/>
    <mergeCell ref="CF3:CN3"/>
    <mergeCell ref="CO3:CW3"/>
    <mergeCell ref="CX3:DF3"/>
    <mergeCell ref="CF2:DF2"/>
    <mergeCell ref="DG3:DO3"/>
    <mergeCell ref="EZ3:FH3"/>
    <mergeCell ref="EH2:FH2"/>
    <mergeCell ref="DP3:DX3"/>
    <mergeCell ref="DY3:EG3"/>
    <mergeCell ref="DG2:EG2"/>
    <mergeCell ref="EH3:EP3"/>
    <mergeCell ref="EQ3:EY3"/>
  </mergeCells>
  <printOptions horizontalCentered="1" verticalCentered="1"/>
  <pageMargins left="0.25" right="0.25" top="0.45" bottom="0.25" header="0.17" footer="0.21"/>
  <pageSetup paperSize="9" scale="63" orientation="landscape" horizontalDpi="4294967295" verticalDpi="4294967295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17"/>
  <sheetViews>
    <sheetView zoomScaleNormal="100" workbookViewId="0">
      <pane xSplit="1" ySplit="4" topLeftCell="B5" activePane="bottomRight" state="frozen"/>
      <selection activeCell="A32" sqref="A32"/>
      <selection pane="topRight" activeCell="A32" sqref="A32"/>
      <selection pane="bottomLeft" activeCell="A32" sqref="A32"/>
      <selection pane="bottomRight"/>
    </sheetView>
  </sheetViews>
  <sheetFormatPr defaultRowHeight="12.75" x14ac:dyDescent="0.2"/>
  <cols>
    <col min="1" max="1" width="34.5703125" style="657" customWidth="1"/>
    <col min="2" max="3" width="10.140625" style="657" bestFit="1" customWidth="1"/>
    <col min="4" max="5" width="10.140625" style="657" customWidth="1"/>
    <col min="6" max="7" width="10.140625" style="657" bestFit="1" customWidth="1"/>
    <col min="8" max="9" width="10.140625" style="657" customWidth="1"/>
    <col min="10" max="11" width="10.140625" style="657" bestFit="1" customWidth="1"/>
    <col min="12" max="13" width="10.140625" style="657" customWidth="1"/>
    <col min="14" max="15" width="10.140625" style="657" bestFit="1" customWidth="1"/>
    <col min="16" max="17" width="10.140625" style="657" customWidth="1"/>
    <col min="18" max="19" width="12.42578125" style="657" bestFit="1" customWidth="1"/>
    <col min="20" max="21" width="12.42578125" style="657" customWidth="1"/>
    <col min="22" max="23" width="9.28515625" style="657" bestFit="1" customWidth="1"/>
    <col min="24" max="25" width="9.28515625" style="657" customWidth="1"/>
    <col min="26" max="27" width="9.28515625" style="657" bestFit="1" customWidth="1"/>
    <col min="28" max="29" width="9.28515625" style="657" customWidth="1"/>
    <col min="30" max="31" width="9.28515625" style="657" bestFit="1" customWidth="1"/>
    <col min="32" max="33" width="9.28515625" style="657" customWidth="1"/>
    <col min="34" max="35" width="9.28515625" style="657" bestFit="1" customWidth="1"/>
    <col min="36" max="37" width="9.28515625" style="657" customWidth="1"/>
    <col min="38" max="39" width="9.28515625" style="657" bestFit="1" customWidth="1"/>
    <col min="40" max="41" width="9.28515625" style="657" customWidth="1"/>
    <col min="42" max="43" width="9.28515625" style="657" bestFit="1" customWidth="1"/>
    <col min="44" max="45" width="9.28515625" style="657" customWidth="1"/>
    <col min="46" max="47" width="9.28515625" style="657" bestFit="1" customWidth="1"/>
    <col min="48" max="49" width="9.28515625" style="657" customWidth="1"/>
    <col min="50" max="51" width="9.28515625" style="657" bestFit="1" customWidth="1"/>
    <col min="52" max="53" width="9.28515625" style="657" customWidth="1"/>
    <col min="54" max="55" width="9.28515625" style="657" bestFit="1" customWidth="1"/>
    <col min="56" max="57" width="12.42578125" style="657" customWidth="1"/>
    <col min="58" max="59" width="9.28515625" style="657" bestFit="1" customWidth="1"/>
    <col min="60" max="61" width="9.28515625" style="657" customWidth="1"/>
    <col min="62" max="63" width="9.28515625" style="657" bestFit="1" customWidth="1"/>
    <col min="64" max="65" width="9.28515625" style="657" customWidth="1"/>
    <col min="66" max="67" width="9.28515625" style="657" bestFit="1" customWidth="1"/>
    <col min="68" max="69" width="9.28515625" style="657" customWidth="1"/>
    <col min="70" max="71" width="9.28515625" style="657" bestFit="1" customWidth="1"/>
    <col min="72" max="73" width="9.28515625" style="657" customWidth="1"/>
    <col min="74" max="75" width="9.28515625" style="657" bestFit="1" customWidth="1"/>
    <col min="76" max="77" width="9.28515625" style="657" customWidth="1"/>
    <col min="78" max="79" width="9.28515625" style="657" bestFit="1" customWidth="1"/>
    <col min="80" max="81" width="9.28515625" style="657" customWidth="1"/>
    <col min="82" max="83" width="9.28515625" style="657" bestFit="1" customWidth="1"/>
    <col min="84" max="85" width="9.28515625" style="657" customWidth="1"/>
    <col min="86" max="87" width="9.28515625" style="657" bestFit="1" customWidth="1"/>
    <col min="88" max="89" width="9.28515625" style="657" customWidth="1"/>
    <col min="90" max="91" width="9.28515625" style="657" bestFit="1" customWidth="1"/>
    <col min="92" max="93" width="9.28515625" style="657" customWidth="1"/>
    <col min="94" max="95" width="9.28515625" style="657" bestFit="1" customWidth="1"/>
    <col min="96" max="97" width="9.28515625" style="657" customWidth="1"/>
    <col min="98" max="99" width="9.28515625" style="657" bestFit="1" customWidth="1"/>
    <col min="100" max="101" width="9.28515625" style="657" customWidth="1"/>
    <col min="102" max="103" width="9.28515625" style="657" bestFit="1" customWidth="1"/>
    <col min="104" max="105" width="9.28515625" style="657" customWidth="1"/>
    <col min="106" max="107" width="10.28515625" style="657" bestFit="1" customWidth="1"/>
    <col min="108" max="109" width="10.28515625" style="657" customWidth="1"/>
    <col min="110" max="111" width="9.140625" style="657" bestFit="1" customWidth="1"/>
    <col min="112" max="113" width="9.140625" style="657" customWidth="1"/>
    <col min="114" max="115" width="9.140625" style="657" bestFit="1" customWidth="1"/>
    <col min="116" max="117" width="9.140625" style="657" customWidth="1"/>
    <col min="118" max="119" width="10.5703125" style="657" bestFit="1" customWidth="1"/>
    <col min="120" max="121" width="10.5703125" style="657" customWidth="1"/>
    <col min="122" max="123" width="9.28515625" style="657" bestFit="1" customWidth="1"/>
    <col min="124" max="125" width="9.28515625" style="657" customWidth="1"/>
    <col min="126" max="127" width="9.28515625" style="657" bestFit="1" customWidth="1"/>
    <col min="128" max="129" width="9.28515625" style="657" customWidth="1"/>
    <col min="130" max="131" width="9.28515625" style="657" bestFit="1" customWidth="1"/>
    <col min="132" max="133" width="9.28515625" style="657" customWidth="1"/>
    <col min="134" max="135" width="9.28515625" style="657" bestFit="1" customWidth="1"/>
    <col min="136" max="137" width="9.28515625" style="657" customWidth="1"/>
    <col min="138" max="139" width="9.28515625" style="657" bestFit="1" customWidth="1"/>
    <col min="140" max="141" width="9.28515625" style="657" customWidth="1"/>
    <col min="142" max="143" width="9.28515625" style="657" bestFit="1" customWidth="1"/>
    <col min="144" max="145" width="9.28515625" style="657" customWidth="1"/>
    <col min="146" max="147" width="9.28515625" style="657" bestFit="1" customWidth="1"/>
    <col min="148" max="149" width="11.85546875" style="657" customWidth="1"/>
    <col min="150" max="150" width="9.28515625" style="657" bestFit="1" customWidth="1"/>
    <col min="151" max="152" width="10.28515625" style="657" bestFit="1" customWidth="1"/>
    <col min="153" max="153" width="10.42578125" style="657" customWidth="1"/>
    <col min="154" max="16384" width="9.140625" style="657"/>
  </cols>
  <sheetData>
    <row r="1" spans="1:153" x14ac:dyDescent="0.2">
      <c r="A1" s="651" t="s">
        <v>553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2"/>
      <c r="P1" s="652"/>
      <c r="Q1" s="652"/>
      <c r="R1" s="653"/>
      <c r="S1" s="653"/>
      <c r="T1" s="653"/>
      <c r="U1" s="653"/>
      <c r="V1" s="654"/>
      <c r="W1" s="654"/>
      <c r="X1" s="654"/>
      <c r="Y1" s="654"/>
      <c r="Z1" s="654"/>
      <c r="AA1" s="654"/>
      <c r="AB1" s="654"/>
      <c r="AC1" s="654"/>
      <c r="AD1" s="654"/>
      <c r="AE1" s="654"/>
      <c r="AF1" s="654"/>
      <c r="AG1" s="654"/>
      <c r="AH1" s="654"/>
      <c r="AI1" s="654"/>
      <c r="AJ1" s="654"/>
      <c r="AK1" s="654"/>
      <c r="AL1" s="654"/>
      <c r="AM1" s="654"/>
      <c r="AN1" s="654"/>
      <c r="AO1" s="654"/>
      <c r="AP1" s="654"/>
      <c r="AQ1" s="654"/>
      <c r="AR1" s="654"/>
      <c r="AS1" s="654"/>
      <c r="AT1" s="654"/>
      <c r="AU1" s="654"/>
      <c r="AV1" s="654"/>
      <c r="AW1" s="654"/>
      <c r="AX1" s="654"/>
      <c r="AY1" s="654"/>
      <c r="AZ1" s="654"/>
      <c r="BA1" s="654"/>
      <c r="BB1" s="654"/>
      <c r="BC1" s="654"/>
      <c r="BD1" s="654"/>
      <c r="BE1" s="654"/>
      <c r="BF1" s="654"/>
      <c r="BG1" s="654"/>
      <c r="BH1" s="654"/>
      <c r="BI1" s="654"/>
      <c r="BJ1" s="654"/>
      <c r="BK1" s="654"/>
      <c r="BL1" s="654"/>
      <c r="BM1" s="654"/>
      <c r="BN1" s="654"/>
      <c r="BO1" s="654"/>
      <c r="BP1" s="654"/>
      <c r="BQ1" s="654"/>
      <c r="BR1" s="654"/>
      <c r="BS1" s="654"/>
      <c r="BT1" s="654"/>
      <c r="BU1" s="654"/>
      <c r="BV1" s="654"/>
      <c r="BW1" s="654"/>
      <c r="BX1" s="654"/>
      <c r="BY1" s="654"/>
      <c r="BZ1" s="654"/>
      <c r="CA1" s="654"/>
      <c r="CB1" s="654"/>
      <c r="CC1" s="654"/>
      <c r="CD1" s="654"/>
      <c r="CE1" s="654"/>
      <c r="CF1" s="654"/>
      <c r="CG1" s="654"/>
      <c r="CH1" s="654"/>
      <c r="CI1" s="654"/>
      <c r="CJ1" s="654"/>
      <c r="CK1" s="654"/>
      <c r="CL1" s="654"/>
      <c r="CM1" s="654"/>
      <c r="CN1" s="654"/>
      <c r="CO1" s="654"/>
      <c r="CP1" s="654"/>
      <c r="CQ1" s="654"/>
      <c r="CR1" s="654"/>
      <c r="CS1" s="654"/>
      <c r="CT1" s="654"/>
      <c r="CU1" s="654"/>
      <c r="CV1" s="654"/>
      <c r="CW1" s="654"/>
      <c r="CX1" s="654"/>
      <c r="CY1" s="654"/>
      <c r="CZ1" s="654"/>
      <c r="DA1" s="654"/>
      <c r="DB1" s="654"/>
      <c r="DC1" s="654"/>
      <c r="DD1" s="654"/>
      <c r="DE1" s="654"/>
      <c r="DF1" s="652"/>
      <c r="DG1" s="652"/>
      <c r="DH1" s="652"/>
      <c r="DI1" s="652"/>
      <c r="DJ1" s="652"/>
      <c r="DK1" s="652"/>
      <c r="DL1" s="652"/>
      <c r="DM1" s="652"/>
      <c r="DN1" s="655"/>
      <c r="DO1" s="656"/>
      <c r="DP1" s="656"/>
      <c r="DQ1" s="656"/>
      <c r="DR1" s="654"/>
      <c r="DS1" s="654"/>
      <c r="DT1" s="654"/>
      <c r="DU1" s="654"/>
      <c r="DV1" s="654"/>
      <c r="DW1" s="654"/>
      <c r="DX1" s="654"/>
      <c r="DY1" s="654"/>
      <c r="DZ1" s="654"/>
      <c r="EA1" s="654"/>
      <c r="EB1" s="654"/>
      <c r="EC1" s="654"/>
      <c r="ED1" s="654"/>
      <c r="EE1" s="654"/>
      <c r="EF1" s="654"/>
      <c r="EG1" s="654"/>
      <c r="EH1" s="654"/>
      <c r="EI1" s="654"/>
      <c r="EJ1" s="654"/>
      <c r="EK1" s="654"/>
      <c r="EL1" s="654"/>
      <c r="EM1" s="654"/>
      <c r="EN1" s="654"/>
      <c r="EO1" s="654"/>
      <c r="EP1" s="654"/>
      <c r="EQ1" s="654"/>
      <c r="ER1" s="654"/>
      <c r="ES1" s="654"/>
      <c r="ET1" s="654"/>
      <c r="EU1" s="654"/>
      <c r="EV1" s="654"/>
      <c r="EW1" s="654"/>
    </row>
    <row r="2" spans="1:153" ht="15" customHeight="1" x14ac:dyDescent="0.2">
      <c r="A2" s="964" t="s">
        <v>474</v>
      </c>
      <c r="B2" s="964"/>
      <c r="C2" s="964"/>
      <c r="D2" s="964"/>
      <c r="E2" s="964"/>
      <c r="F2" s="964"/>
      <c r="G2" s="964"/>
      <c r="H2" s="964"/>
      <c r="I2" s="964"/>
      <c r="J2" s="964"/>
      <c r="K2" s="964"/>
      <c r="L2" s="964"/>
      <c r="M2" s="964"/>
      <c r="N2" s="964"/>
      <c r="O2" s="964"/>
      <c r="P2" s="964"/>
      <c r="Q2" s="964"/>
      <c r="R2" s="964"/>
      <c r="S2" s="964"/>
      <c r="T2" s="964"/>
      <c r="U2" s="964"/>
      <c r="V2" s="964"/>
      <c r="W2" s="964"/>
      <c r="X2" s="964"/>
      <c r="Y2" s="964"/>
      <c r="Z2" s="964"/>
      <c r="AA2" s="964"/>
      <c r="AB2" s="964"/>
      <c r="AC2" s="964"/>
      <c r="AD2" s="964"/>
      <c r="AE2" s="964"/>
      <c r="AF2" s="964"/>
      <c r="AG2" s="964"/>
      <c r="AH2" s="964"/>
      <c r="AI2" s="964"/>
      <c r="AJ2" s="964"/>
      <c r="AK2" s="964"/>
      <c r="AL2" s="964"/>
      <c r="AM2" s="964"/>
      <c r="AN2" s="964"/>
      <c r="AO2" s="964"/>
      <c r="AP2" s="964"/>
      <c r="AQ2" s="964"/>
      <c r="AR2" s="964"/>
      <c r="AS2" s="964"/>
      <c r="AT2" s="964"/>
      <c r="AU2" s="964"/>
      <c r="AV2" s="964"/>
      <c r="AW2" s="964"/>
      <c r="AX2" s="964"/>
      <c r="AY2" s="964"/>
      <c r="AZ2" s="964"/>
      <c r="BA2" s="964"/>
      <c r="BB2" s="964"/>
      <c r="BC2" s="964"/>
      <c r="BD2" s="964"/>
      <c r="BE2" s="964"/>
      <c r="BF2" s="964"/>
      <c r="BG2" s="964"/>
      <c r="BH2" s="964"/>
      <c r="BI2" s="964"/>
      <c r="BJ2" s="964"/>
      <c r="BK2" s="964"/>
      <c r="BL2" s="964"/>
      <c r="BM2" s="964"/>
      <c r="BN2" s="964"/>
      <c r="BO2" s="964"/>
      <c r="BP2" s="964"/>
      <c r="BQ2" s="964"/>
      <c r="BR2" s="964"/>
      <c r="BS2" s="964"/>
      <c r="BT2" s="964"/>
      <c r="BU2" s="964"/>
      <c r="BV2" s="964"/>
      <c r="BW2" s="964"/>
      <c r="BX2" s="964"/>
      <c r="BY2" s="964"/>
      <c r="BZ2" s="964"/>
      <c r="CA2" s="964"/>
      <c r="CB2" s="964"/>
      <c r="CC2" s="964"/>
      <c r="CD2" s="964"/>
      <c r="CE2" s="964"/>
      <c r="CF2" s="964"/>
      <c r="CG2" s="964"/>
      <c r="CH2" s="964"/>
      <c r="CI2" s="964"/>
      <c r="CJ2" s="964"/>
      <c r="CK2" s="964"/>
      <c r="CL2" s="964"/>
      <c r="CM2" s="964"/>
      <c r="CN2" s="964"/>
      <c r="CO2" s="964"/>
      <c r="CP2" s="964"/>
      <c r="CQ2" s="964"/>
      <c r="CR2" s="964"/>
      <c r="CS2" s="964"/>
      <c r="CT2" s="964"/>
      <c r="CU2" s="964"/>
      <c r="CV2" s="964"/>
      <c r="CW2" s="964"/>
      <c r="CX2" s="964"/>
      <c r="CY2" s="964"/>
      <c r="CZ2" s="964"/>
      <c r="DA2" s="964"/>
      <c r="DB2" s="964"/>
      <c r="DC2" s="964"/>
      <c r="DD2" s="964"/>
      <c r="DE2" s="964"/>
      <c r="DF2" s="964"/>
      <c r="DG2" s="964"/>
      <c r="DH2" s="964"/>
      <c r="DI2" s="964"/>
      <c r="DJ2" s="964"/>
      <c r="DK2" s="964"/>
      <c r="DL2" s="964"/>
      <c r="DM2" s="964"/>
      <c r="DN2" s="964"/>
      <c r="DO2" s="964"/>
      <c r="DP2" s="964"/>
      <c r="DQ2" s="964"/>
      <c r="DR2" s="964"/>
      <c r="DS2" s="964"/>
      <c r="DT2" s="964"/>
      <c r="DU2" s="964"/>
      <c r="DV2" s="964"/>
      <c r="DW2" s="964"/>
      <c r="DX2" s="964"/>
      <c r="DY2" s="964"/>
      <c r="DZ2" s="964"/>
      <c r="EA2" s="964"/>
      <c r="EB2" s="964"/>
      <c r="EC2" s="964"/>
      <c r="ED2" s="964"/>
      <c r="EE2" s="964"/>
      <c r="EF2" s="964"/>
      <c r="EG2" s="964"/>
      <c r="EH2" s="964"/>
      <c r="EI2" s="964"/>
      <c r="EJ2" s="964"/>
      <c r="EK2" s="964"/>
      <c r="EL2" s="964"/>
      <c r="EM2" s="964"/>
      <c r="EN2" s="964"/>
      <c r="EO2" s="964"/>
      <c r="EP2" s="964"/>
      <c r="EQ2" s="964"/>
      <c r="ER2" s="964"/>
      <c r="ES2" s="964"/>
      <c r="ET2" s="964"/>
      <c r="EU2" s="964"/>
      <c r="EV2" s="964"/>
      <c r="EW2" s="964"/>
    </row>
    <row r="3" spans="1:153" s="659" customFormat="1" ht="15" customHeight="1" x14ac:dyDescent="0.25">
      <c r="A3" s="960" t="s">
        <v>0</v>
      </c>
      <c r="B3" s="961" t="s">
        <v>356</v>
      </c>
      <c r="C3" s="962"/>
      <c r="D3" s="962"/>
      <c r="E3" s="963"/>
      <c r="F3" s="961" t="s">
        <v>234</v>
      </c>
      <c r="G3" s="962"/>
      <c r="H3" s="962"/>
      <c r="I3" s="963"/>
      <c r="J3" s="961" t="s">
        <v>344</v>
      </c>
      <c r="K3" s="962"/>
      <c r="L3" s="962"/>
      <c r="M3" s="963"/>
      <c r="N3" s="961" t="s">
        <v>236</v>
      </c>
      <c r="O3" s="962"/>
      <c r="P3" s="962"/>
      <c r="Q3" s="963"/>
      <c r="R3" s="961" t="s">
        <v>105</v>
      </c>
      <c r="S3" s="962"/>
      <c r="T3" s="962"/>
      <c r="U3" s="963"/>
      <c r="V3" s="957" t="s">
        <v>296</v>
      </c>
      <c r="W3" s="958"/>
      <c r="X3" s="958"/>
      <c r="Y3" s="959"/>
      <c r="Z3" s="957" t="s">
        <v>297</v>
      </c>
      <c r="AA3" s="958"/>
      <c r="AB3" s="958"/>
      <c r="AC3" s="959"/>
      <c r="AD3" s="957" t="s">
        <v>517</v>
      </c>
      <c r="AE3" s="958"/>
      <c r="AF3" s="958"/>
      <c r="AG3" s="959"/>
      <c r="AH3" s="957" t="s">
        <v>299</v>
      </c>
      <c r="AI3" s="958"/>
      <c r="AJ3" s="958"/>
      <c r="AK3" s="959"/>
      <c r="AL3" s="957" t="s">
        <v>300</v>
      </c>
      <c r="AM3" s="958"/>
      <c r="AN3" s="958"/>
      <c r="AO3" s="959"/>
      <c r="AP3" s="957" t="s">
        <v>301</v>
      </c>
      <c r="AQ3" s="958"/>
      <c r="AR3" s="958"/>
      <c r="AS3" s="959"/>
      <c r="AT3" s="957" t="s">
        <v>302</v>
      </c>
      <c r="AU3" s="958"/>
      <c r="AV3" s="958"/>
      <c r="AW3" s="959"/>
      <c r="AX3" s="957" t="s">
        <v>303</v>
      </c>
      <c r="AY3" s="958"/>
      <c r="AZ3" s="958"/>
      <c r="BA3" s="959"/>
      <c r="BB3" s="957" t="s">
        <v>337</v>
      </c>
      <c r="BC3" s="958"/>
      <c r="BD3" s="958"/>
      <c r="BE3" s="959"/>
      <c r="BF3" s="957" t="s">
        <v>305</v>
      </c>
      <c r="BG3" s="958"/>
      <c r="BH3" s="958"/>
      <c r="BI3" s="959"/>
      <c r="BJ3" s="957" t="s">
        <v>306</v>
      </c>
      <c r="BK3" s="958"/>
      <c r="BL3" s="958"/>
      <c r="BM3" s="959"/>
      <c r="BN3" s="957" t="s">
        <v>317</v>
      </c>
      <c r="BO3" s="958"/>
      <c r="BP3" s="959"/>
      <c r="BQ3" s="658"/>
      <c r="BR3" s="957" t="s">
        <v>318</v>
      </c>
      <c r="BS3" s="958"/>
      <c r="BT3" s="959"/>
      <c r="BU3" s="658"/>
      <c r="BV3" s="957" t="s">
        <v>340</v>
      </c>
      <c r="BW3" s="958"/>
      <c r="BX3" s="959"/>
      <c r="BY3" s="658"/>
      <c r="BZ3" s="957" t="s">
        <v>308</v>
      </c>
      <c r="CA3" s="958"/>
      <c r="CB3" s="958"/>
      <c r="CC3" s="959"/>
      <c r="CD3" s="957" t="s">
        <v>309</v>
      </c>
      <c r="CE3" s="958"/>
      <c r="CF3" s="958"/>
      <c r="CG3" s="959"/>
      <c r="CH3" s="957" t="s">
        <v>310</v>
      </c>
      <c r="CI3" s="958"/>
      <c r="CJ3" s="958"/>
      <c r="CK3" s="959"/>
      <c r="CL3" s="957" t="s">
        <v>311</v>
      </c>
      <c r="CM3" s="958"/>
      <c r="CN3" s="958"/>
      <c r="CO3" s="959"/>
      <c r="CP3" s="957" t="s">
        <v>319</v>
      </c>
      <c r="CQ3" s="958"/>
      <c r="CR3" s="958"/>
      <c r="CS3" s="959"/>
      <c r="CT3" s="957" t="s">
        <v>312</v>
      </c>
      <c r="CU3" s="958"/>
      <c r="CV3" s="958"/>
      <c r="CW3" s="959"/>
      <c r="CX3" s="957" t="s">
        <v>320</v>
      </c>
      <c r="CY3" s="958"/>
      <c r="CZ3" s="958"/>
      <c r="DA3" s="959"/>
      <c r="DB3" s="957" t="s">
        <v>113</v>
      </c>
      <c r="DC3" s="958"/>
      <c r="DD3" s="958"/>
      <c r="DE3" s="959"/>
      <c r="DF3" s="961" t="s">
        <v>346</v>
      </c>
      <c r="DG3" s="962"/>
      <c r="DH3" s="962"/>
      <c r="DI3" s="963"/>
      <c r="DJ3" s="961" t="s">
        <v>347</v>
      </c>
      <c r="DK3" s="962"/>
      <c r="DL3" s="962"/>
      <c r="DM3" s="963"/>
      <c r="DN3" s="961" t="s">
        <v>115</v>
      </c>
      <c r="DO3" s="962"/>
      <c r="DP3" s="962"/>
      <c r="DQ3" s="963"/>
      <c r="DR3" s="957" t="s">
        <v>328</v>
      </c>
      <c r="DS3" s="958"/>
      <c r="DT3" s="958"/>
      <c r="DU3" s="959"/>
      <c r="DV3" s="957" t="s">
        <v>469</v>
      </c>
      <c r="DW3" s="958"/>
      <c r="DX3" s="958"/>
      <c r="DY3" s="959"/>
      <c r="DZ3" s="957" t="s">
        <v>518</v>
      </c>
      <c r="EA3" s="958"/>
      <c r="EB3" s="958"/>
      <c r="EC3" s="959"/>
      <c r="ED3" s="957" t="s">
        <v>325</v>
      </c>
      <c r="EE3" s="958"/>
      <c r="EF3" s="958"/>
      <c r="EG3" s="959"/>
      <c r="EH3" s="957" t="s">
        <v>506</v>
      </c>
      <c r="EI3" s="958"/>
      <c r="EJ3" s="958"/>
      <c r="EK3" s="959"/>
      <c r="EL3" s="957" t="s">
        <v>516</v>
      </c>
      <c r="EM3" s="958"/>
      <c r="EN3" s="958"/>
      <c r="EO3" s="959"/>
      <c r="EP3" s="957" t="s">
        <v>327</v>
      </c>
      <c r="EQ3" s="958"/>
      <c r="ER3" s="958"/>
      <c r="ES3" s="959"/>
      <c r="ET3" s="957" t="s">
        <v>119</v>
      </c>
      <c r="EU3" s="958"/>
      <c r="EV3" s="958"/>
      <c r="EW3" s="959"/>
    </row>
    <row r="4" spans="1:153" s="666" customFormat="1" ht="15" customHeight="1" x14ac:dyDescent="0.25">
      <c r="A4" s="960"/>
      <c r="B4" s="660" t="s">
        <v>99</v>
      </c>
      <c r="C4" s="660" t="s">
        <v>103</v>
      </c>
      <c r="D4" s="660" t="s">
        <v>415</v>
      </c>
      <c r="E4" s="660" t="s">
        <v>507</v>
      </c>
      <c r="F4" s="660" t="s">
        <v>99</v>
      </c>
      <c r="G4" s="660" t="s">
        <v>103</v>
      </c>
      <c r="H4" s="660" t="s">
        <v>415</v>
      </c>
      <c r="I4" s="660" t="s">
        <v>507</v>
      </c>
      <c r="J4" s="660" t="s">
        <v>99</v>
      </c>
      <c r="K4" s="660" t="s">
        <v>103</v>
      </c>
      <c r="L4" s="660" t="s">
        <v>415</v>
      </c>
      <c r="M4" s="660" t="s">
        <v>507</v>
      </c>
      <c r="N4" s="660" t="s">
        <v>99</v>
      </c>
      <c r="O4" s="660" t="s">
        <v>103</v>
      </c>
      <c r="P4" s="660" t="s">
        <v>415</v>
      </c>
      <c r="Q4" s="660" t="s">
        <v>507</v>
      </c>
      <c r="R4" s="660" t="s">
        <v>99</v>
      </c>
      <c r="S4" s="660" t="s">
        <v>103</v>
      </c>
      <c r="T4" s="660" t="s">
        <v>415</v>
      </c>
      <c r="U4" s="660" t="s">
        <v>507</v>
      </c>
      <c r="V4" s="661" t="s">
        <v>99</v>
      </c>
      <c r="W4" s="661" t="s">
        <v>103</v>
      </c>
      <c r="X4" s="660" t="s">
        <v>415</v>
      </c>
      <c r="Y4" s="660" t="s">
        <v>507</v>
      </c>
      <c r="Z4" s="661" t="s">
        <v>99</v>
      </c>
      <c r="AA4" s="661" t="s">
        <v>103</v>
      </c>
      <c r="AB4" s="660" t="s">
        <v>415</v>
      </c>
      <c r="AC4" s="660" t="s">
        <v>507</v>
      </c>
      <c r="AD4" s="661" t="s">
        <v>99</v>
      </c>
      <c r="AE4" s="661" t="s">
        <v>103</v>
      </c>
      <c r="AF4" s="660" t="s">
        <v>415</v>
      </c>
      <c r="AG4" s="660" t="s">
        <v>507</v>
      </c>
      <c r="AH4" s="662" t="s">
        <v>99</v>
      </c>
      <c r="AI4" s="662" t="s">
        <v>103</v>
      </c>
      <c r="AJ4" s="660" t="s">
        <v>415</v>
      </c>
      <c r="AK4" s="660" t="s">
        <v>507</v>
      </c>
      <c r="AL4" s="662" t="s">
        <v>99</v>
      </c>
      <c r="AM4" s="662" t="s">
        <v>103</v>
      </c>
      <c r="AN4" s="660" t="s">
        <v>415</v>
      </c>
      <c r="AO4" s="660" t="s">
        <v>507</v>
      </c>
      <c r="AP4" s="661" t="s">
        <v>99</v>
      </c>
      <c r="AQ4" s="661" t="s">
        <v>103</v>
      </c>
      <c r="AR4" s="660" t="s">
        <v>415</v>
      </c>
      <c r="AS4" s="660" t="s">
        <v>507</v>
      </c>
      <c r="AT4" s="662" t="s">
        <v>99</v>
      </c>
      <c r="AU4" s="662" t="s">
        <v>103</v>
      </c>
      <c r="AV4" s="660" t="s">
        <v>415</v>
      </c>
      <c r="AW4" s="660" t="s">
        <v>507</v>
      </c>
      <c r="AX4" s="662" t="s">
        <v>99</v>
      </c>
      <c r="AY4" s="662" t="s">
        <v>103</v>
      </c>
      <c r="AZ4" s="660" t="s">
        <v>415</v>
      </c>
      <c r="BA4" s="660" t="s">
        <v>507</v>
      </c>
      <c r="BB4" s="662" t="s">
        <v>99</v>
      </c>
      <c r="BC4" s="662" t="s">
        <v>103</v>
      </c>
      <c r="BD4" s="660" t="s">
        <v>415</v>
      </c>
      <c r="BE4" s="660" t="s">
        <v>507</v>
      </c>
      <c r="BF4" s="662" t="s">
        <v>99</v>
      </c>
      <c r="BG4" s="662" t="s">
        <v>103</v>
      </c>
      <c r="BH4" s="660" t="s">
        <v>415</v>
      </c>
      <c r="BI4" s="660" t="s">
        <v>507</v>
      </c>
      <c r="BJ4" s="662" t="s">
        <v>99</v>
      </c>
      <c r="BK4" s="662" t="s">
        <v>103</v>
      </c>
      <c r="BL4" s="660" t="s">
        <v>415</v>
      </c>
      <c r="BM4" s="660" t="s">
        <v>507</v>
      </c>
      <c r="BN4" s="662" t="s">
        <v>99</v>
      </c>
      <c r="BO4" s="662" t="s">
        <v>103</v>
      </c>
      <c r="BP4" s="660" t="s">
        <v>415</v>
      </c>
      <c r="BQ4" s="660" t="s">
        <v>507</v>
      </c>
      <c r="BR4" s="662" t="s">
        <v>99</v>
      </c>
      <c r="BS4" s="662" t="s">
        <v>103</v>
      </c>
      <c r="BT4" s="660" t="s">
        <v>415</v>
      </c>
      <c r="BU4" s="660" t="s">
        <v>507</v>
      </c>
      <c r="BV4" s="662" t="s">
        <v>99</v>
      </c>
      <c r="BW4" s="662" t="s">
        <v>103</v>
      </c>
      <c r="BX4" s="660" t="s">
        <v>415</v>
      </c>
      <c r="BY4" s="660" t="s">
        <v>507</v>
      </c>
      <c r="BZ4" s="662" t="s">
        <v>99</v>
      </c>
      <c r="CA4" s="662" t="s">
        <v>103</v>
      </c>
      <c r="CB4" s="660" t="s">
        <v>415</v>
      </c>
      <c r="CC4" s="660" t="s">
        <v>507</v>
      </c>
      <c r="CD4" s="662" t="s">
        <v>99</v>
      </c>
      <c r="CE4" s="662" t="s">
        <v>103</v>
      </c>
      <c r="CF4" s="660" t="s">
        <v>415</v>
      </c>
      <c r="CG4" s="660" t="s">
        <v>507</v>
      </c>
      <c r="CH4" s="662" t="s">
        <v>99</v>
      </c>
      <c r="CI4" s="662" t="s">
        <v>103</v>
      </c>
      <c r="CJ4" s="660" t="s">
        <v>415</v>
      </c>
      <c r="CK4" s="660" t="s">
        <v>507</v>
      </c>
      <c r="CL4" s="662" t="s">
        <v>99</v>
      </c>
      <c r="CM4" s="662" t="s">
        <v>103</v>
      </c>
      <c r="CN4" s="660" t="s">
        <v>415</v>
      </c>
      <c r="CO4" s="660" t="s">
        <v>507</v>
      </c>
      <c r="CP4" s="662" t="s">
        <v>99</v>
      </c>
      <c r="CQ4" s="662" t="s">
        <v>103</v>
      </c>
      <c r="CR4" s="660" t="s">
        <v>415</v>
      </c>
      <c r="CS4" s="660" t="s">
        <v>507</v>
      </c>
      <c r="CT4" s="662" t="s">
        <v>99</v>
      </c>
      <c r="CU4" s="662" t="s">
        <v>103</v>
      </c>
      <c r="CV4" s="660" t="s">
        <v>415</v>
      </c>
      <c r="CW4" s="660" t="s">
        <v>507</v>
      </c>
      <c r="CX4" s="662" t="s">
        <v>99</v>
      </c>
      <c r="CY4" s="662" t="s">
        <v>103</v>
      </c>
      <c r="CZ4" s="660" t="s">
        <v>415</v>
      </c>
      <c r="DA4" s="660" t="s">
        <v>507</v>
      </c>
      <c r="DB4" s="662" t="s">
        <v>99</v>
      </c>
      <c r="DC4" s="662" t="s">
        <v>103</v>
      </c>
      <c r="DD4" s="660" t="s">
        <v>415</v>
      </c>
      <c r="DE4" s="660" t="s">
        <v>507</v>
      </c>
      <c r="DF4" s="663" t="s">
        <v>99</v>
      </c>
      <c r="DG4" s="663" t="s">
        <v>103</v>
      </c>
      <c r="DH4" s="660" t="s">
        <v>415</v>
      </c>
      <c r="DI4" s="660" t="s">
        <v>507</v>
      </c>
      <c r="DJ4" s="663" t="s">
        <v>99</v>
      </c>
      <c r="DK4" s="663" t="s">
        <v>103</v>
      </c>
      <c r="DL4" s="660" t="s">
        <v>415</v>
      </c>
      <c r="DM4" s="660" t="s">
        <v>507</v>
      </c>
      <c r="DN4" s="663" t="s">
        <v>99</v>
      </c>
      <c r="DO4" s="663" t="s">
        <v>103</v>
      </c>
      <c r="DP4" s="660" t="s">
        <v>415</v>
      </c>
      <c r="DQ4" s="660" t="s">
        <v>507</v>
      </c>
      <c r="DR4" s="662" t="s">
        <v>99</v>
      </c>
      <c r="DS4" s="662" t="s">
        <v>103</v>
      </c>
      <c r="DT4" s="660" t="s">
        <v>415</v>
      </c>
      <c r="DU4" s="660" t="s">
        <v>507</v>
      </c>
      <c r="DV4" s="662" t="s">
        <v>99</v>
      </c>
      <c r="DW4" s="662" t="s">
        <v>103</v>
      </c>
      <c r="DX4" s="660" t="s">
        <v>415</v>
      </c>
      <c r="DY4" s="660" t="s">
        <v>507</v>
      </c>
      <c r="DZ4" s="662" t="s">
        <v>99</v>
      </c>
      <c r="EA4" s="662" t="s">
        <v>103</v>
      </c>
      <c r="EB4" s="660" t="s">
        <v>415</v>
      </c>
      <c r="EC4" s="660" t="s">
        <v>507</v>
      </c>
      <c r="ED4" s="662" t="s">
        <v>99</v>
      </c>
      <c r="EE4" s="662" t="s">
        <v>103</v>
      </c>
      <c r="EF4" s="660" t="s">
        <v>415</v>
      </c>
      <c r="EG4" s="660" t="s">
        <v>507</v>
      </c>
      <c r="EH4" s="662" t="s">
        <v>99</v>
      </c>
      <c r="EI4" s="662" t="s">
        <v>103</v>
      </c>
      <c r="EJ4" s="660" t="s">
        <v>415</v>
      </c>
      <c r="EK4" s="660" t="s">
        <v>507</v>
      </c>
      <c r="EL4" s="662" t="s">
        <v>99</v>
      </c>
      <c r="EM4" s="662" t="s">
        <v>103</v>
      </c>
      <c r="EN4" s="660" t="s">
        <v>415</v>
      </c>
      <c r="EO4" s="660" t="s">
        <v>507</v>
      </c>
      <c r="EP4" s="662" t="s">
        <v>99</v>
      </c>
      <c r="EQ4" s="662" t="s">
        <v>103</v>
      </c>
      <c r="ER4" s="660" t="s">
        <v>415</v>
      </c>
      <c r="ES4" s="660" t="s">
        <v>507</v>
      </c>
      <c r="ET4" s="664" t="s">
        <v>99</v>
      </c>
      <c r="EU4" s="664" t="s">
        <v>103</v>
      </c>
      <c r="EV4" s="665" t="s">
        <v>415</v>
      </c>
      <c r="EW4" s="665" t="s">
        <v>507</v>
      </c>
    </row>
    <row r="5" spans="1:153" ht="15" customHeight="1" x14ac:dyDescent="0.2">
      <c r="A5" s="667" t="s">
        <v>403</v>
      </c>
      <c r="B5" s="668">
        <v>10400.220000000001</v>
      </c>
      <c r="C5" s="668">
        <v>9682.714899999999</v>
      </c>
      <c r="D5" s="669">
        <v>11241.490000000002</v>
      </c>
      <c r="E5" s="670">
        <v>12322.67</v>
      </c>
      <c r="F5" s="668">
        <v>21487.591929257</v>
      </c>
      <c r="G5" s="668">
        <v>23528.844097871999</v>
      </c>
      <c r="H5" s="669">
        <v>26233.722850345999</v>
      </c>
      <c r="I5" s="670">
        <v>28905.277636586001</v>
      </c>
      <c r="J5" s="668">
        <v>10601.525750999999</v>
      </c>
      <c r="K5" s="668">
        <v>10924.441699999999</v>
      </c>
      <c r="L5" s="669">
        <v>11036.98</v>
      </c>
      <c r="M5" s="670">
        <v>11638.368630499999</v>
      </c>
      <c r="N5" s="668">
        <v>13104.507976699999</v>
      </c>
      <c r="O5" s="668">
        <v>13744.541799999999</v>
      </c>
      <c r="P5" s="669">
        <v>13907.93</v>
      </c>
      <c r="Q5" s="670">
        <v>13695.6</v>
      </c>
      <c r="R5" s="671">
        <f>+B5+F5+J5+N5</f>
        <v>55593.845656956997</v>
      </c>
      <c r="S5" s="671">
        <v>57880.542497871989</v>
      </c>
      <c r="T5" s="672">
        <v>62420.122850345993</v>
      </c>
      <c r="U5" s="673">
        <v>66561.916267085995</v>
      </c>
      <c r="V5" s="674">
        <v>48.811010865014701</v>
      </c>
      <c r="W5" s="674">
        <v>164.69515118469499</v>
      </c>
      <c r="X5" s="670">
        <v>174.22347345599999</v>
      </c>
      <c r="Y5" s="670">
        <v>446.436926384</v>
      </c>
      <c r="Z5" s="674">
        <v>7009.7768624</v>
      </c>
      <c r="AA5" s="674">
        <v>8206.1822154999991</v>
      </c>
      <c r="AB5" s="670">
        <v>7436.1302332999994</v>
      </c>
      <c r="AC5" s="670">
        <v>7779.3681164999998</v>
      </c>
      <c r="AD5" s="674">
        <v>1398.9821617370801</v>
      </c>
      <c r="AE5" s="674">
        <v>1829.6569941608045</v>
      </c>
      <c r="AF5" s="670">
        <v>1833.8848761460438</v>
      </c>
      <c r="AG5" s="670">
        <v>0</v>
      </c>
      <c r="AH5" s="674">
        <v>3049.8941793999998</v>
      </c>
      <c r="AI5" s="674">
        <v>3437.0064278999998</v>
      </c>
      <c r="AJ5" s="670">
        <v>3202.4361596999997</v>
      </c>
      <c r="AK5" s="670">
        <v>3437.0896124000001</v>
      </c>
      <c r="AL5" s="674">
        <v>28.814375037999902</v>
      </c>
      <c r="AM5" s="674">
        <v>92.545897283999992</v>
      </c>
      <c r="AN5" s="670">
        <v>162.49060141799998</v>
      </c>
      <c r="AO5" s="670">
        <v>232.73172656899999</v>
      </c>
      <c r="AP5" s="674">
        <v>1574.7149024</v>
      </c>
      <c r="AQ5" s="674">
        <v>1981.5811567999999</v>
      </c>
      <c r="AR5" s="670">
        <v>2182.3270782</v>
      </c>
      <c r="AS5" s="670">
        <v>2453.4645392000002</v>
      </c>
      <c r="AT5" s="674">
        <v>499.97695529999999</v>
      </c>
      <c r="AU5" s="674">
        <v>1241.3451</v>
      </c>
      <c r="AV5" s="670">
        <v>1943.6885792999999</v>
      </c>
      <c r="AW5" s="670">
        <v>3404.2247084999999</v>
      </c>
      <c r="AX5" s="674">
        <v>3810.0106999999998</v>
      </c>
      <c r="AY5" s="674">
        <v>4383.4873000000007</v>
      </c>
      <c r="AZ5" s="670">
        <v>6405.59</v>
      </c>
      <c r="BA5" s="670">
        <v>6878.6475448925603</v>
      </c>
      <c r="BB5" s="674">
        <v>8375.3477633999992</v>
      </c>
      <c r="BC5" s="674">
        <v>9403.5170178999997</v>
      </c>
      <c r="BD5" s="670">
        <v>10013.9940437</v>
      </c>
      <c r="BE5" s="670">
        <v>13032.08</v>
      </c>
      <c r="BF5" s="674">
        <v>4030.3182526999999</v>
      </c>
      <c r="BG5" s="674">
        <v>4625.3213000000005</v>
      </c>
      <c r="BH5" s="670">
        <v>4898.7593309000004</v>
      </c>
      <c r="BI5" s="670">
        <v>5565.2505812999998</v>
      </c>
      <c r="BJ5" s="674">
        <v>197.35495129999998</v>
      </c>
      <c r="BK5" s="674">
        <v>290.8895101</v>
      </c>
      <c r="BL5" s="670">
        <v>389.3125483</v>
      </c>
      <c r="BM5" s="670">
        <v>482.34203930000001</v>
      </c>
      <c r="BN5" s="674">
        <v>805.44149220000008</v>
      </c>
      <c r="BO5" s="674">
        <v>1160.706963523</v>
      </c>
      <c r="BP5" s="670">
        <v>1238.8928818900001</v>
      </c>
      <c r="BQ5" s="670">
        <v>1260.8836365019999</v>
      </c>
      <c r="BR5" s="674">
        <v>384.94631949999996</v>
      </c>
      <c r="BS5" s="674">
        <v>708.29701550000004</v>
      </c>
      <c r="BT5" s="670">
        <v>761.69737250000003</v>
      </c>
      <c r="BU5" s="670">
        <v>914.21201719999999</v>
      </c>
      <c r="BV5" s="674">
        <v>108.31243935099999</v>
      </c>
      <c r="BW5" s="674">
        <v>122.429186586</v>
      </c>
      <c r="BX5" s="670">
        <v>88.385177976999998</v>
      </c>
      <c r="BY5" s="670">
        <v>88.47999999999999</v>
      </c>
      <c r="BZ5" s="674">
        <v>89.5663543</v>
      </c>
      <c r="CA5" s="674">
        <v>114.302094</v>
      </c>
      <c r="CB5" s="670">
        <v>182.90163519999999</v>
      </c>
      <c r="CC5" s="670">
        <v>297.04255569999998</v>
      </c>
      <c r="CD5" s="674">
        <v>3532.2494521885155</v>
      </c>
      <c r="CE5" s="674">
        <v>4078.6103170656279</v>
      </c>
      <c r="CF5" s="670">
        <v>3661.1131425581234</v>
      </c>
      <c r="CG5" s="670">
        <v>5133.7982926671903</v>
      </c>
      <c r="CH5" s="674">
        <v>2186.1891023999997</v>
      </c>
      <c r="CI5" s="674">
        <v>2280.1156748999997</v>
      </c>
      <c r="CJ5" s="670">
        <v>2115.2008731000001</v>
      </c>
      <c r="CK5" s="670">
        <v>2171.2201374000001</v>
      </c>
      <c r="CL5" s="674">
        <v>2388.3836892630902</v>
      </c>
      <c r="CM5" s="674">
        <v>3030.6946475239301</v>
      </c>
      <c r="CN5" s="670">
        <v>3490.5823650902498</v>
      </c>
      <c r="CO5" s="670">
        <v>4263.9571706999996</v>
      </c>
      <c r="CP5" s="674">
        <v>2059.4278190999999</v>
      </c>
      <c r="CQ5" s="674">
        <v>2270.0422878000004</v>
      </c>
      <c r="CR5" s="670">
        <v>2141.7730548999998</v>
      </c>
      <c r="CS5" s="670">
        <v>1794.6499999999999</v>
      </c>
      <c r="CT5" s="674">
        <v>4578.2141030000003</v>
      </c>
      <c r="CU5" s="674">
        <v>4852.7945463000005</v>
      </c>
      <c r="CV5" s="670">
        <v>4935.4324866999996</v>
      </c>
      <c r="CW5" s="670">
        <v>6631.548824255</v>
      </c>
      <c r="CX5" s="674">
        <v>1249.0592045000001</v>
      </c>
      <c r="CY5" s="674">
        <v>1312.5664397</v>
      </c>
      <c r="CZ5" s="670">
        <v>1311.3520960000001</v>
      </c>
      <c r="DA5" s="670">
        <v>1357.2055971</v>
      </c>
      <c r="DB5" s="675">
        <f>+CX5+CT5+CP5+CL5+CH5+CD5+BZ5+BR5+BN5+BJ5+BF5+BB5+AX5+AT5+AP5+AL5+BV5+AH5+AD5+Z5+V5</f>
        <v>47405.7920903427</v>
      </c>
      <c r="DC5" s="675">
        <v>55586.787243728046</v>
      </c>
      <c r="DD5" s="673">
        <v>58570.168010335416</v>
      </c>
      <c r="DE5" s="673">
        <v>67624.634026569751</v>
      </c>
      <c r="DF5" s="668">
        <v>1651.657159394</v>
      </c>
      <c r="DG5" s="668">
        <v>1846.3089009</v>
      </c>
      <c r="DH5" s="669">
        <v>6816.43</v>
      </c>
      <c r="DI5" s="670">
        <v>6846.4290062999999</v>
      </c>
      <c r="DJ5" s="668">
        <v>854.42280440000002</v>
      </c>
      <c r="DK5" s="668">
        <v>831.15511860000004</v>
      </c>
      <c r="DL5" s="669">
        <v>827.30635749999999</v>
      </c>
      <c r="DM5" s="670">
        <v>882.16362249999997</v>
      </c>
      <c r="DN5" s="676">
        <f>+DJ5+DF5</f>
        <v>2506.0799637939999</v>
      </c>
      <c r="DO5" s="676">
        <v>2677.4640195000002</v>
      </c>
      <c r="DP5" s="677">
        <v>7643.7363574999999</v>
      </c>
      <c r="DQ5" s="673">
        <v>7728.5926288000001</v>
      </c>
      <c r="DR5" s="674">
        <v>348.22797802636899</v>
      </c>
      <c r="DS5" s="674">
        <v>585.40792752321397</v>
      </c>
      <c r="DT5" s="670">
        <v>847.23288126103296</v>
      </c>
      <c r="DU5" s="670">
        <v>1189.2881143411801</v>
      </c>
      <c r="DV5" s="674">
        <v>1091.2035243</v>
      </c>
      <c r="DW5" s="674">
        <v>1508.4505773999999</v>
      </c>
      <c r="DX5" s="670">
        <v>1729.4695033</v>
      </c>
      <c r="DY5" s="670">
        <v>2510.8424301810001</v>
      </c>
      <c r="DZ5" s="674">
        <v>1672.8992931</v>
      </c>
      <c r="EA5" s="674">
        <v>1908.3356848000001</v>
      </c>
      <c r="EB5" s="670">
        <v>0</v>
      </c>
      <c r="EC5" s="670">
        <v>0</v>
      </c>
      <c r="ED5" s="674">
        <v>392.517280562</v>
      </c>
      <c r="EE5" s="674">
        <v>503.43570946800003</v>
      </c>
      <c r="EF5" s="670">
        <v>631.36670046499898</v>
      </c>
      <c r="EG5" s="670">
        <v>824.98445128000105</v>
      </c>
      <c r="EH5" s="674">
        <v>659.478846823852</v>
      </c>
      <c r="EI5" s="674">
        <v>841.06912445399996</v>
      </c>
      <c r="EJ5" s="670">
        <v>1150.8666242920001</v>
      </c>
      <c r="EK5" s="670">
        <v>1752.5097814012599</v>
      </c>
      <c r="EL5" s="674">
        <v>1.3579209999999999</v>
      </c>
      <c r="EM5" s="674">
        <v>3.4119000000000002</v>
      </c>
      <c r="EN5" s="670">
        <v>1.62</v>
      </c>
      <c r="EO5" s="670">
        <v>0.28999999999999998</v>
      </c>
      <c r="EP5" s="674">
        <v>3662.3737375790402</v>
      </c>
      <c r="EQ5" s="674">
        <v>4684.0920999999998</v>
      </c>
      <c r="ER5" s="670">
        <v>4626.63</v>
      </c>
      <c r="ES5" s="670">
        <v>9809.1621779962297</v>
      </c>
      <c r="ET5" s="675">
        <f>+EP5+DV5+EL5+EH5+ED5+DZ5+DR5</f>
        <v>7828.0585813912612</v>
      </c>
      <c r="EU5" s="675">
        <v>10034.203023645216</v>
      </c>
      <c r="EV5" s="673">
        <v>8987.1857093180315</v>
      </c>
      <c r="EW5" s="673">
        <v>16087.076955199671</v>
      </c>
    </row>
    <row r="6" spans="1:153" ht="15" customHeight="1" x14ac:dyDescent="0.2">
      <c r="A6" s="667" t="s">
        <v>404</v>
      </c>
      <c r="B6" s="668">
        <v>11434.02</v>
      </c>
      <c r="C6" s="668">
        <v>10249.947499999998</v>
      </c>
      <c r="D6" s="669">
        <v>9693.91</v>
      </c>
      <c r="E6" s="670">
        <v>12841.33</v>
      </c>
      <c r="F6" s="668">
        <v>20496.702615021</v>
      </c>
      <c r="G6" s="668">
        <v>21512.618788535001</v>
      </c>
      <c r="H6" s="669">
        <v>22086.959284641001</v>
      </c>
      <c r="I6" s="670">
        <v>28750.136112798999</v>
      </c>
      <c r="J6" s="668">
        <v>11248.0829835</v>
      </c>
      <c r="K6" s="668">
        <v>11179.618400000001</v>
      </c>
      <c r="L6" s="669">
        <v>10521.69</v>
      </c>
      <c r="M6" s="670">
        <v>12894.973413</v>
      </c>
      <c r="N6" s="668">
        <v>14336.090126999999</v>
      </c>
      <c r="O6" s="668">
        <v>13945.3105</v>
      </c>
      <c r="P6" s="669">
        <v>12302.119999999999</v>
      </c>
      <c r="Q6" s="670">
        <v>13500.019999999999</v>
      </c>
      <c r="R6" s="671">
        <v>57514.895725520997</v>
      </c>
      <c r="S6" s="671">
        <v>56887.495188535002</v>
      </c>
      <c r="T6" s="672">
        <v>54604.679284640995</v>
      </c>
      <c r="U6" s="673">
        <v>67986.459525799</v>
      </c>
      <c r="V6" s="674">
        <v>28.609756964608099</v>
      </c>
      <c r="W6" s="674">
        <v>99.362119236306896</v>
      </c>
      <c r="X6" s="670">
        <v>142.565910164</v>
      </c>
      <c r="Y6" s="670">
        <v>436.73379093599999</v>
      </c>
      <c r="Z6" s="674">
        <v>4810.4103925999998</v>
      </c>
      <c r="AA6" s="674">
        <v>5804.7889306000006</v>
      </c>
      <c r="AB6" s="670">
        <v>5090.2290944999995</v>
      </c>
      <c r="AC6" s="670">
        <v>5675.9888060000003</v>
      </c>
      <c r="AD6" s="674">
        <v>1076.6792724934201</v>
      </c>
      <c r="AE6" s="674">
        <v>1433.0953234491888</v>
      </c>
      <c r="AF6" s="670">
        <v>1159.539732123766</v>
      </c>
      <c r="AG6" s="670">
        <v>0</v>
      </c>
      <c r="AH6" s="674">
        <v>2335.4994790999999</v>
      </c>
      <c r="AI6" s="674">
        <v>2577.2769033999998</v>
      </c>
      <c r="AJ6" s="670">
        <v>2319.8276682000001</v>
      </c>
      <c r="AK6" s="670">
        <v>2416.0124080000001</v>
      </c>
      <c r="AL6" s="674">
        <v>35.308241332999998</v>
      </c>
      <c r="AM6" s="674">
        <v>106.15470195</v>
      </c>
      <c r="AN6" s="670">
        <v>165.76133631599998</v>
      </c>
      <c r="AO6" s="670">
        <v>225.081370937</v>
      </c>
      <c r="AP6" s="674">
        <v>1083.0490815000001</v>
      </c>
      <c r="AQ6" s="674">
        <v>1182.1243983000002</v>
      </c>
      <c r="AR6" s="670">
        <v>1448.7979339000001</v>
      </c>
      <c r="AS6" s="670">
        <v>1683.4693683</v>
      </c>
      <c r="AT6" s="674">
        <v>394.11034269999999</v>
      </c>
      <c r="AU6" s="674">
        <v>930.97260000000006</v>
      </c>
      <c r="AV6" s="670">
        <v>1438.9645177</v>
      </c>
      <c r="AW6" s="670">
        <v>2519.6795658999999</v>
      </c>
      <c r="AX6" s="674">
        <v>2909.1801999999998</v>
      </c>
      <c r="AY6" s="674">
        <v>3384.1451000000002</v>
      </c>
      <c r="AZ6" s="670">
        <v>4852.05</v>
      </c>
      <c r="BA6" s="670">
        <v>5781.0582034046602</v>
      </c>
      <c r="BB6" s="674">
        <v>6308.1175601000004</v>
      </c>
      <c r="BC6" s="674">
        <v>6851.5769070000006</v>
      </c>
      <c r="BD6" s="670">
        <v>6870.8131897000003</v>
      </c>
      <c r="BE6" s="670">
        <v>9781.9</v>
      </c>
      <c r="BF6" s="674">
        <v>3558.2229192</v>
      </c>
      <c r="BG6" s="674">
        <v>4098.3764000000001</v>
      </c>
      <c r="BH6" s="670">
        <v>4168.9612256</v>
      </c>
      <c r="BI6" s="670">
        <v>5236.8999402999998</v>
      </c>
      <c r="BJ6" s="674">
        <v>134.3197926</v>
      </c>
      <c r="BK6" s="674">
        <v>200.13429669999999</v>
      </c>
      <c r="BL6" s="670">
        <v>260.80572169999999</v>
      </c>
      <c r="BM6" s="670">
        <v>371.44465259999998</v>
      </c>
      <c r="BN6" s="674">
        <v>591.04895261000001</v>
      </c>
      <c r="BO6" s="674">
        <v>840.58826647399997</v>
      </c>
      <c r="BP6" s="670">
        <v>786.37906427799999</v>
      </c>
      <c r="BQ6" s="670">
        <v>841.56496777500001</v>
      </c>
      <c r="BR6" s="674">
        <v>271.68526591760502</v>
      </c>
      <c r="BS6" s="674">
        <v>597.4218242388622</v>
      </c>
      <c r="BT6" s="670">
        <v>606.60415575088882</v>
      </c>
      <c r="BU6" s="670">
        <v>627.63994525353496</v>
      </c>
      <c r="BV6" s="674">
        <v>30.767620042000001</v>
      </c>
      <c r="BW6" s="674">
        <v>81.433894258999999</v>
      </c>
      <c r="BX6" s="670">
        <v>56.307815108</v>
      </c>
      <c r="BY6" s="670">
        <v>58.65</v>
      </c>
      <c r="BZ6" s="674">
        <v>74.784226899999993</v>
      </c>
      <c r="CA6" s="674">
        <v>85.941378200000003</v>
      </c>
      <c r="CB6" s="670">
        <v>159.09314699999999</v>
      </c>
      <c r="CC6" s="670">
        <v>241.2208937</v>
      </c>
      <c r="CD6" s="674">
        <v>3031.3036242123999</v>
      </c>
      <c r="CE6" s="674">
        <v>3411.9229289385976</v>
      </c>
      <c r="CF6" s="670">
        <v>2913.4254109058957</v>
      </c>
      <c r="CG6" s="670">
        <v>3979.9791081574099</v>
      </c>
      <c r="CH6" s="674">
        <v>1854.8520229000001</v>
      </c>
      <c r="CI6" s="674">
        <v>1938.8742126000002</v>
      </c>
      <c r="CJ6" s="670">
        <v>1700.6412212999999</v>
      </c>
      <c r="CK6" s="670">
        <v>1828.3944028999999</v>
      </c>
      <c r="CL6" s="674">
        <v>1720.5711489865</v>
      </c>
      <c r="CM6" s="674">
        <v>2155.28762601071</v>
      </c>
      <c r="CN6" s="670">
        <v>2586.74381910587</v>
      </c>
      <c r="CO6" s="670">
        <v>3680.18613370505</v>
      </c>
      <c r="CP6" s="674">
        <v>1406.3206238</v>
      </c>
      <c r="CQ6" s="674">
        <v>1476.3913798999999</v>
      </c>
      <c r="CR6" s="670">
        <v>1682.2322609</v>
      </c>
      <c r="CS6" s="670">
        <v>1298.47</v>
      </c>
      <c r="CT6" s="674">
        <v>3586.366712</v>
      </c>
      <c r="CU6" s="674">
        <v>3758.2098999999998</v>
      </c>
      <c r="CV6" s="670">
        <v>3389.0976489</v>
      </c>
      <c r="CW6" s="670">
        <v>4974.1204765619996</v>
      </c>
      <c r="CX6" s="674">
        <v>879.67371460000004</v>
      </c>
      <c r="CY6" s="674">
        <v>963.54102399999999</v>
      </c>
      <c r="CZ6" s="670">
        <v>1185.9389361000001</v>
      </c>
      <c r="DA6" s="670">
        <v>1055.4785182999999</v>
      </c>
      <c r="DB6" s="675">
        <v>36120.880950559535</v>
      </c>
      <c r="DC6" s="675">
        <v>41977.620115256665</v>
      </c>
      <c r="DD6" s="673">
        <v>42984.779809252417</v>
      </c>
      <c r="DE6" s="673">
        <v>52713.972552730651</v>
      </c>
      <c r="DF6" s="668">
        <v>1523.6370838253799</v>
      </c>
      <c r="DG6" s="668">
        <v>2131.0881900680001</v>
      </c>
      <c r="DH6" s="669">
        <v>6296.77</v>
      </c>
      <c r="DI6" s="670">
        <v>6600.7517600000001</v>
      </c>
      <c r="DJ6" s="668">
        <v>1141.1619575</v>
      </c>
      <c r="DK6" s="668">
        <v>958.62040049999996</v>
      </c>
      <c r="DL6" s="669">
        <v>884.52054859999998</v>
      </c>
      <c r="DM6" s="670">
        <v>546.19293570000002</v>
      </c>
      <c r="DN6" s="671">
        <v>2664.7990413253801</v>
      </c>
      <c r="DO6" s="676">
        <v>3089.7085905680001</v>
      </c>
      <c r="DP6" s="677">
        <v>7181.2905486</v>
      </c>
      <c r="DQ6" s="673">
        <v>7146.9446957</v>
      </c>
      <c r="DR6" s="674">
        <v>204.11105727573801</v>
      </c>
      <c r="DS6" s="674">
        <v>287.32571140312302</v>
      </c>
      <c r="DT6" s="670">
        <v>423.56797403219502</v>
      </c>
      <c r="DU6" s="670">
        <v>827.286140860611</v>
      </c>
      <c r="DV6" s="674">
        <v>602.67146060000005</v>
      </c>
      <c r="DW6" s="674">
        <v>891.94470709999996</v>
      </c>
      <c r="DX6" s="670">
        <v>953.8162701</v>
      </c>
      <c r="DY6" s="670">
        <v>1633.7330562</v>
      </c>
      <c r="DZ6" s="674">
        <v>1047.093292</v>
      </c>
      <c r="EA6" s="674">
        <v>1406.2274288000001</v>
      </c>
      <c r="EB6" s="670">
        <v>0</v>
      </c>
      <c r="EC6" s="670">
        <v>0</v>
      </c>
      <c r="ED6" s="674">
        <v>243.13930084399999</v>
      </c>
      <c r="EE6" s="674">
        <v>310.31696837290002</v>
      </c>
      <c r="EF6" s="670">
        <v>385.954633339</v>
      </c>
      <c r="EG6" s="670">
        <v>628.38354219200005</v>
      </c>
      <c r="EH6" s="674">
        <v>355.64263044283399</v>
      </c>
      <c r="EI6" s="674">
        <v>450.069100116524</v>
      </c>
      <c r="EJ6" s="670">
        <v>645.55510480099997</v>
      </c>
      <c r="EK6" s="670">
        <v>1088.62589494545</v>
      </c>
      <c r="EL6" s="674">
        <v>0.1842617</v>
      </c>
      <c r="EM6" s="674">
        <v>2.1198999999999999</v>
      </c>
      <c r="EN6" s="670">
        <v>0.74</v>
      </c>
      <c r="EO6" s="670">
        <v>0.56999999999999995</v>
      </c>
      <c r="EP6" s="674">
        <v>2297.5894655330198</v>
      </c>
      <c r="EQ6" s="674">
        <v>3087.4266756587999</v>
      </c>
      <c r="ER6" s="670">
        <v>4369.4548134999995</v>
      </c>
      <c r="ES6" s="670">
        <v>8539.9875094742401</v>
      </c>
      <c r="ET6" s="675">
        <v>4750.4314683955918</v>
      </c>
      <c r="EU6" s="675">
        <v>6435.4304914513477</v>
      </c>
      <c r="EV6" s="673">
        <v>6779.0887957721943</v>
      </c>
      <c r="EW6" s="673">
        <v>12718.586143672301</v>
      </c>
    </row>
    <row r="7" spans="1:153" ht="15" customHeight="1" x14ac:dyDescent="0.2">
      <c r="A7" s="684" t="s">
        <v>485</v>
      </c>
      <c r="B7" s="668">
        <v>3422.61</v>
      </c>
      <c r="C7" s="668">
        <v>5192.1759999999995</v>
      </c>
      <c r="D7" s="669">
        <v>4402.08</v>
      </c>
      <c r="E7" s="670">
        <v>3636.96</v>
      </c>
      <c r="F7" s="668">
        <v>6237.0187238340104</v>
      </c>
      <c r="G7" s="668">
        <v>6120.9860629429777</v>
      </c>
      <c r="H7" s="669">
        <v>7843.2052147429986</v>
      </c>
      <c r="I7" s="670">
        <v>6306.7312669250005</v>
      </c>
      <c r="J7" s="668">
        <v>3124.0619796999999</v>
      </c>
      <c r="K7" s="668">
        <v>4259.6514000000006</v>
      </c>
      <c r="L7" s="669">
        <v>3944.33</v>
      </c>
      <c r="M7" s="670">
        <v>4115.9342176</v>
      </c>
      <c r="N7" s="668">
        <v>3792.1105045999998</v>
      </c>
      <c r="O7" s="668">
        <v>4197.6840000000002</v>
      </c>
      <c r="P7" s="669">
        <v>4823.3500000000004</v>
      </c>
      <c r="Q7" s="670">
        <v>5043.42</v>
      </c>
      <c r="R7" s="671">
        <v>16575.801208134009</v>
      </c>
      <c r="S7" s="671">
        <v>19770.497462942978</v>
      </c>
      <c r="T7" s="672">
        <v>21012.965214742999</v>
      </c>
      <c r="U7" s="673">
        <v>19103.045484525002</v>
      </c>
      <c r="V7" s="674">
        <v>161.01948100036699</v>
      </c>
      <c r="W7" s="674">
        <v>283.38540678825422</v>
      </c>
      <c r="X7" s="670">
        <v>198.43253654099973</v>
      </c>
      <c r="Y7" s="670">
        <v>432.50055629299999</v>
      </c>
      <c r="Z7" s="674">
        <v>2181.8241226999999</v>
      </c>
      <c r="AA7" s="674">
        <v>2411.9291652000029</v>
      </c>
      <c r="AB7" s="670">
        <v>2109.1439067999963</v>
      </c>
      <c r="AC7" s="670">
        <v>2070.5815074000002</v>
      </c>
      <c r="AD7" s="674">
        <v>575.59171761921402</v>
      </c>
      <c r="AE7" s="674">
        <v>844.16896658839437</v>
      </c>
      <c r="AF7" s="670">
        <v>887.05791320056017</v>
      </c>
      <c r="AG7" s="670">
        <v>0</v>
      </c>
      <c r="AH7" s="674">
        <v>939.60511770000005</v>
      </c>
      <c r="AI7" s="674">
        <v>1107.2393294000001</v>
      </c>
      <c r="AJ7" s="670">
        <v>1169.6961881739051</v>
      </c>
      <c r="AK7" s="670">
        <v>1454.0043734159269</v>
      </c>
      <c r="AL7" s="674">
        <v>51.984680443000002</v>
      </c>
      <c r="AM7" s="674">
        <v>92.832570886272464</v>
      </c>
      <c r="AN7" s="670">
        <v>121.79833833500001</v>
      </c>
      <c r="AO7" s="670">
        <v>146.74541723646212</v>
      </c>
      <c r="AP7" s="674">
        <v>656.01435809999998</v>
      </c>
      <c r="AQ7" s="674">
        <v>944.86526119999996</v>
      </c>
      <c r="AR7" s="670">
        <v>944.83748360000004</v>
      </c>
      <c r="AS7" s="670">
        <v>1034.5528306000001</v>
      </c>
      <c r="AT7" s="674">
        <v>430.63368152999999</v>
      </c>
      <c r="AU7" s="674">
        <v>661.90660000000003</v>
      </c>
      <c r="AV7" s="670">
        <v>931.518405726011</v>
      </c>
      <c r="AW7" s="670">
        <v>1614.9835128</v>
      </c>
      <c r="AX7" s="674">
        <v>978.73699999999985</v>
      </c>
      <c r="AY7" s="674">
        <v>1177.1384</v>
      </c>
      <c r="AZ7" s="670">
        <v>1788.56</v>
      </c>
      <c r="BA7" s="670">
        <v>1665.428620252751</v>
      </c>
      <c r="BB7" s="674">
        <v>2212.6834638</v>
      </c>
      <c r="BC7" s="674">
        <v>2657.0954389000003</v>
      </c>
      <c r="BD7" s="670">
        <v>3335.1178655000003</v>
      </c>
      <c r="BE7" s="670">
        <v>4554</v>
      </c>
      <c r="BF7" s="674">
        <v>770.61755449999998</v>
      </c>
      <c r="BG7" s="674">
        <v>909.57349999999997</v>
      </c>
      <c r="BH7" s="670">
        <v>995.54161290000002</v>
      </c>
      <c r="BI7" s="670">
        <v>1321.9417384000001</v>
      </c>
      <c r="BJ7" s="674">
        <v>124.4589895</v>
      </c>
      <c r="BK7" s="674">
        <v>164.6418936</v>
      </c>
      <c r="BL7" s="670">
        <v>191.7667338</v>
      </c>
      <c r="BM7" s="670">
        <v>260.88469683903202</v>
      </c>
      <c r="BN7" s="674">
        <v>460.55709271810099</v>
      </c>
      <c r="BO7" s="674">
        <v>606.33886731281291</v>
      </c>
      <c r="BP7" s="670">
        <v>612.73911932708359</v>
      </c>
      <c r="BQ7" s="670">
        <v>608.70230684983596</v>
      </c>
      <c r="BR7" s="674">
        <v>215.64493111455002</v>
      </c>
      <c r="BS7" s="674">
        <v>287.63351310000002</v>
      </c>
      <c r="BT7" s="670">
        <v>322.03636484367019</v>
      </c>
      <c r="BU7" s="670">
        <v>548.48788009999998</v>
      </c>
      <c r="BV7" s="674">
        <v>89.899640046000002</v>
      </c>
      <c r="BW7" s="674">
        <v>114.50127484799999</v>
      </c>
      <c r="BX7" s="670">
        <v>91.45117046899999</v>
      </c>
      <c r="BY7" s="670">
        <v>135.59</v>
      </c>
      <c r="BZ7" s="674">
        <v>56.947817999999998</v>
      </c>
      <c r="CA7" s="674">
        <v>105.8839116</v>
      </c>
      <c r="CB7" s="670">
        <v>145.20845500000001</v>
      </c>
      <c r="CC7" s="670">
        <v>196.04970839999999</v>
      </c>
      <c r="CD7" s="674">
        <v>962.89341993499897</v>
      </c>
      <c r="CE7" s="674">
        <v>1039.3475543836928</v>
      </c>
      <c r="CF7" s="670">
        <v>1401.9420385959972</v>
      </c>
      <c r="CG7" s="670">
        <v>1682.305367663241</v>
      </c>
      <c r="CH7" s="674">
        <v>515.14805820000004</v>
      </c>
      <c r="CI7" s="674">
        <v>613.98107030000006</v>
      </c>
      <c r="CJ7" s="670">
        <v>637.00186194774801</v>
      </c>
      <c r="CK7" s="670">
        <v>712.96189759999993</v>
      </c>
      <c r="CL7" s="674">
        <v>585.58641425232202</v>
      </c>
      <c r="CM7" s="674">
        <v>800.5632025196054</v>
      </c>
      <c r="CN7" s="670">
        <v>886.97289999999987</v>
      </c>
      <c r="CO7" s="670">
        <v>1205.4614998086379</v>
      </c>
      <c r="CP7" s="674">
        <v>363.96642759999997</v>
      </c>
      <c r="CQ7" s="674">
        <v>596.71493569999996</v>
      </c>
      <c r="CR7" s="670">
        <v>510.58285960000001</v>
      </c>
      <c r="CS7" s="670">
        <v>562.03</v>
      </c>
      <c r="CT7" s="674">
        <v>1477.1589131000001</v>
      </c>
      <c r="CU7" s="674">
        <v>1517.7735711949999</v>
      </c>
      <c r="CV7" s="670">
        <v>2046.7376050510002</v>
      </c>
      <c r="CW7" s="670">
        <v>2468.244556127318</v>
      </c>
      <c r="CX7" s="674">
        <v>326.38236000000001</v>
      </c>
      <c r="CY7" s="674">
        <v>336.20522820000002</v>
      </c>
      <c r="CZ7" s="670">
        <v>309.49303639999999</v>
      </c>
      <c r="DA7" s="670">
        <v>397.42602455700001</v>
      </c>
      <c r="DB7" s="675">
        <v>14137.355241858551</v>
      </c>
      <c r="DC7" s="675">
        <v>17273.719661722036</v>
      </c>
      <c r="DD7" s="673">
        <v>19637.636395810972</v>
      </c>
      <c r="DE7" s="673">
        <v>23072.882494343201</v>
      </c>
      <c r="DF7" s="668">
        <v>-50.083650902999999</v>
      </c>
      <c r="DG7" s="668">
        <v>18.434395600000016</v>
      </c>
      <c r="DH7" s="669">
        <v>125.07</v>
      </c>
      <c r="DI7" s="670">
        <v>205.97151859999997</v>
      </c>
      <c r="DJ7" s="668">
        <v>191.4879597</v>
      </c>
      <c r="DK7" s="668">
        <v>230.47547839999999</v>
      </c>
      <c r="DL7" s="669">
        <v>244.72715600000001</v>
      </c>
      <c r="DM7" s="670">
        <v>250.13722000000001</v>
      </c>
      <c r="DN7" s="671">
        <v>141.404308797</v>
      </c>
      <c r="DO7" s="676">
        <v>248.909874</v>
      </c>
      <c r="DP7" s="677">
        <v>369.79715599999997</v>
      </c>
      <c r="DQ7" s="673">
        <v>456.10873859999998</v>
      </c>
      <c r="DR7" s="674">
        <v>418.98407442444397</v>
      </c>
      <c r="DS7" s="674">
        <v>581.08636301799993</v>
      </c>
      <c r="DT7" s="670">
        <v>697.02882079361154</v>
      </c>
      <c r="DU7" s="670">
        <v>765.16233230053479</v>
      </c>
      <c r="DV7" s="674">
        <v>500.8101231</v>
      </c>
      <c r="DW7" s="674">
        <v>638.46587809999994</v>
      </c>
      <c r="DX7" s="670">
        <v>747.65046570000004</v>
      </c>
      <c r="DY7" s="670">
        <v>1180.9806696999999</v>
      </c>
      <c r="DZ7" s="674">
        <v>691.60592589999999</v>
      </c>
      <c r="EA7" s="674">
        <v>749.60466439999993</v>
      </c>
      <c r="EB7" s="670">
        <v>0</v>
      </c>
      <c r="EC7" s="670">
        <v>0</v>
      </c>
      <c r="ED7" s="674">
        <v>343.27915170274201</v>
      </c>
      <c r="EE7" s="674">
        <v>351.13831678306099</v>
      </c>
      <c r="EF7" s="670">
        <v>411.28278025659597</v>
      </c>
      <c r="EG7" s="670">
        <v>498.44259088635602</v>
      </c>
      <c r="EH7" s="674">
        <v>388.32276236600001</v>
      </c>
      <c r="EI7" s="674">
        <v>462.33333783887377</v>
      </c>
      <c r="EJ7" s="670">
        <v>613.02261492699949</v>
      </c>
      <c r="EK7" s="670">
        <v>977.81404482000096</v>
      </c>
      <c r="EL7" s="674">
        <v>56.789751600000002</v>
      </c>
      <c r="EM7" s="674">
        <v>1.395</v>
      </c>
      <c r="EN7" s="670">
        <v>12.53</v>
      </c>
      <c r="EO7" s="670">
        <v>14.6</v>
      </c>
      <c r="EP7" s="674">
        <v>1245.817304849</v>
      </c>
      <c r="EQ7" s="674">
        <v>1441.7361587999999</v>
      </c>
      <c r="ER7" s="670">
        <v>1988.8130404000001</v>
      </c>
      <c r="ES7" s="670">
        <v>3330.70798284784</v>
      </c>
      <c r="ET7" s="675">
        <v>3645.6090939421861</v>
      </c>
      <c r="EU7" s="675">
        <v>4225.7597189399339</v>
      </c>
      <c r="EV7" s="673">
        <v>4470.327722077207</v>
      </c>
      <c r="EW7" s="673">
        <v>6767.7076205547301</v>
      </c>
    </row>
    <row r="8" spans="1:153" ht="15" customHeight="1" x14ac:dyDescent="0.2">
      <c r="A8" s="667" t="s">
        <v>389</v>
      </c>
      <c r="B8" s="668">
        <v>0</v>
      </c>
      <c r="C8" s="668">
        <v>0</v>
      </c>
      <c r="D8" s="669">
        <v>0</v>
      </c>
      <c r="E8" s="670"/>
      <c r="F8" s="668">
        <v>0</v>
      </c>
      <c r="G8" s="668">
        <v>0</v>
      </c>
      <c r="H8" s="669">
        <v>0</v>
      </c>
      <c r="I8" s="670">
        <v>0</v>
      </c>
      <c r="J8" s="668">
        <v>36.1036</v>
      </c>
      <c r="K8" s="668">
        <v>-36.1036</v>
      </c>
      <c r="L8" s="669">
        <v>300.23</v>
      </c>
      <c r="M8" s="670">
        <v>-84.034734</v>
      </c>
      <c r="N8" s="668">
        <v>0</v>
      </c>
      <c r="O8" s="668">
        <v>0</v>
      </c>
      <c r="P8" s="669">
        <v>0</v>
      </c>
      <c r="Q8" s="670" t="s">
        <v>167</v>
      </c>
      <c r="R8" s="671">
        <v>36.1036</v>
      </c>
      <c r="S8" s="671">
        <v>-36.1036</v>
      </c>
      <c r="T8" s="672">
        <v>300.23</v>
      </c>
      <c r="U8" s="673">
        <v>-84.034734</v>
      </c>
      <c r="V8" s="674">
        <v>3.4526287860645102</v>
      </c>
      <c r="W8" s="674">
        <v>-3.4526286999999898</v>
      </c>
      <c r="X8" s="670">
        <v>0</v>
      </c>
      <c r="Y8" s="670">
        <v>0</v>
      </c>
      <c r="Z8" s="674">
        <v>-4.4070796999999997</v>
      </c>
      <c r="AA8" s="674">
        <v>0</v>
      </c>
      <c r="AB8" s="670">
        <v>0</v>
      </c>
      <c r="AC8" s="670">
        <v>0</v>
      </c>
      <c r="AD8" s="674">
        <v>0.64983816900000002</v>
      </c>
      <c r="AE8" s="674">
        <v>-1.4158905656106098</v>
      </c>
      <c r="AF8" s="670">
        <v>0.64694252613182701</v>
      </c>
      <c r="AG8" s="670">
        <v>0</v>
      </c>
      <c r="AH8" s="674">
        <v>0</v>
      </c>
      <c r="AI8" s="674">
        <v>0</v>
      </c>
      <c r="AJ8" s="670">
        <v>0</v>
      </c>
      <c r="AK8" s="670">
        <v>0</v>
      </c>
      <c r="AL8" s="674">
        <v>7.277771531</v>
      </c>
      <c r="AM8" s="674">
        <v>-3.3006251</v>
      </c>
      <c r="AN8" s="670">
        <v>-0.1409048</v>
      </c>
      <c r="AO8" s="670">
        <v>-3.8362416000000001</v>
      </c>
      <c r="AP8" s="674">
        <v>0</v>
      </c>
      <c r="AQ8" s="674">
        <v>0</v>
      </c>
      <c r="AR8" s="670">
        <v>0</v>
      </c>
      <c r="AS8" s="670">
        <v>0</v>
      </c>
      <c r="AT8" s="674">
        <v>1.0955017</v>
      </c>
      <c r="AU8" s="674">
        <v>-1.0954999999999999</v>
      </c>
      <c r="AV8" s="670">
        <v>5.0599999999999999E-2</v>
      </c>
      <c r="AW8" s="670">
        <v>-5.0599999999999999E-2</v>
      </c>
      <c r="AX8" s="674">
        <v>0</v>
      </c>
      <c r="AY8" s="674">
        <v>0</v>
      </c>
      <c r="AZ8" s="670">
        <v>0</v>
      </c>
      <c r="BA8" s="670">
        <v>0</v>
      </c>
      <c r="BB8" s="674">
        <v>0</v>
      </c>
      <c r="BC8" s="674">
        <v>0</v>
      </c>
      <c r="BD8" s="670">
        <v>0</v>
      </c>
      <c r="BE8" s="670">
        <v>0</v>
      </c>
      <c r="BF8" s="674">
        <v>0</v>
      </c>
      <c r="BG8" s="674">
        <v>0</v>
      </c>
      <c r="BH8" s="670">
        <v>0</v>
      </c>
      <c r="BI8" s="670">
        <v>0</v>
      </c>
      <c r="BJ8" s="674">
        <v>0</v>
      </c>
      <c r="BK8" s="674">
        <v>0</v>
      </c>
      <c r="BL8" s="670">
        <v>0</v>
      </c>
      <c r="BM8" s="670">
        <v>0</v>
      </c>
      <c r="BN8" s="674">
        <v>0</v>
      </c>
      <c r="BO8" s="674">
        <v>0</v>
      </c>
      <c r="BP8" s="670">
        <v>0</v>
      </c>
      <c r="BQ8" s="670">
        <v>0</v>
      </c>
      <c r="BR8" s="674">
        <v>-0.23569370000000001</v>
      </c>
      <c r="BS8" s="674">
        <v>3.3799999999999997E-2</v>
      </c>
      <c r="BT8" s="670">
        <v>2.8718E-2</v>
      </c>
      <c r="BU8" s="670">
        <v>-8.1637399999999999E-2</v>
      </c>
      <c r="BV8" s="674">
        <v>29.555835841</v>
      </c>
      <c r="BW8" s="674">
        <v>-8.0032152610000011</v>
      </c>
      <c r="BX8" s="670">
        <v>0</v>
      </c>
      <c r="BY8" s="670"/>
      <c r="BZ8" s="674">
        <v>3.6143399999999999E-2</v>
      </c>
      <c r="CA8" s="674">
        <v>-9.0318300000000004E-2</v>
      </c>
      <c r="CB8" s="670">
        <v>0</v>
      </c>
      <c r="CC8" s="670">
        <v>0</v>
      </c>
      <c r="CD8" s="674">
        <v>0</v>
      </c>
      <c r="CE8" s="674">
        <v>0</v>
      </c>
      <c r="CF8" s="670">
        <v>0</v>
      </c>
      <c r="CG8" s="670">
        <v>0</v>
      </c>
      <c r="CH8" s="674">
        <v>0</v>
      </c>
      <c r="CI8" s="674">
        <v>0</v>
      </c>
      <c r="CJ8" s="670">
        <v>0</v>
      </c>
      <c r="CK8" s="670"/>
      <c r="CL8" s="674">
        <v>0</v>
      </c>
      <c r="CM8" s="674">
        <v>0</v>
      </c>
      <c r="CN8" s="670">
        <v>0</v>
      </c>
      <c r="CO8" s="670">
        <v>0</v>
      </c>
      <c r="CP8" s="674">
        <v>0</v>
      </c>
      <c r="CQ8" s="674">
        <v>0</v>
      </c>
      <c r="CR8" s="670">
        <v>0</v>
      </c>
      <c r="CS8" s="670"/>
      <c r="CT8" s="674">
        <v>0</v>
      </c>
      <c r="CU8" s="674">
        <v>0</v>
      </c>
      <c r="CV8" s="670">
        <v>0</v>
      </c>
      <c r="CW8" s="670">
        <v>0</v>
      </c>
      <c r="CX8" s="674">
        <v>0</v>
      </c>
      <c r="CY8" s="674">
        <v>0</v>
      </c>
      <c r="CZ8" s="670">
        <v>0</v>
      </c>
      <c r="DA8" s="670">
        <v>0</v>
      </c>
      <c r="DB8" s="675">
        <v>37.424946027064514</v>
      </c>
      <c r="DC8" s="675">
        <v>-17.324377926610602</v>
      </c>
      <c r="DD8" s="673">
        <v>0.58535572613182696</v>
      </c>
      <c r="DE8" s="673">
        <v>-3.9684790000000003</v>
      </c>
      <c r="DF8" s="668">
        <v>0</v>
      </c>
      <c r="DG8" s="668">
        <v>0</v>
      </c>
      <c r="DH8" s="669">
        <v>101</v>
      </c>
      <c r="DI8" s="670">
        <v>78</v>
      </c>
      <c r="DJ8" s="668">
        <v>28.33</v>
      </c>
      <c r="DK8" s="668">
        <v>18.920000000000002</v>
      </c>
      <c r="DL8" s="669">
        <v>106.24</v>
      </c>
      <c r="DM8" s="670">
        <v>-8.02</v>
      </c>
      <c r="DN8" s="671">
        <v>28.33</v>
      </c>
      <c r="DO8" s="676">
        <v>18.920000000000002</v>
      </c>
      <c r="DP8" s="677">
        <v>207.24</v>
      </c>
      <c r="DQ8" s="673">
        <v>69.98</v>
      </c>
      <c r="DR8" s="674">
        <v>0</v>
      </c>
      <c r="DS8" s="674">
        <v>0</v>
      </c>
      <c r="DT8" s="670">
        <v>0</v>
      </c>
      <c r="DU8" s="670">
        <v>0</v>
      </c>
      <c r="DV8" s="674">
        <v>0</v>
      </c>
      <c r="DW8" s="674">
        <v>24.4561919</v>
      </c>
      <c r="DX8" s="670">
        <v>111.4220507</v>
      </c>
      <c r="DY8" s="670">
        <v>-135.87824259999999</v>
      </c>
      <c r="DZ8" s="674">
        <v>0</v>
      </c>
      <c r="EA8" s="674">
        <v>0</v>
      </c>
      <c r="EB8" s="670">
        <v>0</v>
      </c>
      <c r="EC8" s="670">
        <v>0</v>
      </c>
      <c r="ED8" s="674">
        <v>0</v>
      </c>
      <c r="EE8" s="674">
        <v>0</v>
      </c>
      <c r="EF8" s="670">
        <v>0</v>
      </c>
      <c r="EG8" s="670">
        <v>0</v>
      </c>
      <c r="EH8" s="674">
        <v>0</v>
      </c>
      <c r="EI8" s="674">
        <v>0</v>
      </c>
      <c r="EJ8" s="670">
        <v>0</v>
      </c>
      <c r="EK8" s="670">
        <v>0</v>
      </c>
      <c r="EL8" s="674">
        <v>0.24003659999999999</v>
      </c>
      <c r="EM8" s="674">
        <v>-0.24</v>
      </c>
      <c r="EN8" s="670">
        <v>0</v>
      </c>
      <c r="EO8" s="670">
        <v>0</v>
      </c>
      <c r="EP8" s="674">
        <v>0</v>
      </c>
      <c r="EQ8" s="674">
        <v>0</v>
      </c>
      <c r="ER8" s="670">
        <v>0</v>
      </c>
      <c r="ES8" s="670">
        <v>0</v>
      </c>
      <c r="ET8" s="675">
        <v>0.24003659999999999</v>
      </c>
      <c r="EU8" s="675">
        <v>24.216191900000002</v>
      </c>
      <c r="EV8" s="673">
        <v>111.4220507</v>
      </c>
      <c r="EW8" s="673">
        <v>-135.87824259999999</v>
      </c>
    </row>
    <row r="9" spans="1:153" s="683" customFormat="1" ht="15" customHeight="1" x14ac:dyDescent="0.2">
      <c r="A9" s="682" t="s">
        <v>447</v>
      </c>
      <c r="B9" s="671">
        <v>-4456.41</v>
      </c>
      <c r="C9" s="671">
        <v>-5759.4085999999988</v>
      </c>
      <c r="D9" s="672">
        <v>-2854.4999999999982</v>
      </c>
      <c r="E9" s="673">
        <v>-4155.62</v>
      </c>
      <c r="F9" s="671">
        <v>-5246.1294095980002</v>
      </c>
      <c r="G9" s="671">
        <v>-4104.7607536059795</v>
      </c>
      <c r="H9" s="672">
        <v>-3696.4416490380008</v>
      </c>
      <c r="I9" s="673">
        <v>-6151.5897431379963</v>
      </c>
      <c r="J9" s="671">
        <v>-3806.7228122000001</v>
      </c>
      <c r="K9" s="671">
        <v>-4478.7245000000021</v>
      </c>
      <c r="L9" s="672">
        <v>-3729.2700000000009</v>
      </c>
      <c r="M9" s="673">
        <v>-5288.5042660999989</v>
      </c>
      <c r="N9" s="671">
        <v>-5023.6926549</v>
      </c>
      <c r="O9" s="671">
        <v>-4398.4527000000007</v>
      </c>
      <c r="P9" s="672">
        <v>-3217.5399999999991</v>
      </c>
      <c r="Q9" s="673">
        <v>-4847.8399999999983</v>
      </c>
      <c r="R9" s="671">
        <v>-18532.954876698001</v>
      </c>
      <c r="S9" s="671">
        <v>-18741.346553605992</v>
      </c>
      <c r="T9" s="672">
        <v>-13497.751649038</v>
      </c>
      <c r="U9" s="673">
        <v>-20443.554009237992</v>
      </c>
      <c r="V9" s="675">
        <v>-144.270855886025</v>
      </c>
      <c r="W9" s="675">
        <v>-214.59974613986611</v>
      </c>
      <c r="X9" s="673">
        <v>-166.77497324899974</v>
      </c>
      <c r="Y9" s="673">
        <v>-422.79742084499992</v>
      </c>
      <c r="Z9" s="675">
        <v>21.949426800000101</v>
      </c>
      <c r="AA9" s="675">
        <v>-10.535880300004465</v>
      </c>
      <c r="AB9" s="673">
        <v>236.75723200000357</v>
      </c>
      <c r="AC9" s="673">
        <v>32.797803099999328</v>
      </c>
      <c r="AD9" s="675">
        <v>-253.93866654454601</v>
      </c>
      <c r="AE9" s="675">
        <v>-446.19140531116801</v>
      </c>
      <c r="AF9" s="673">
        <v>-213.35971170441425</v>
      </c>
      <c r="AG9" s="673">
        <v>0</v>
      </c>
      <c r="AH9" s="675">
        <v>-225.21039010000001</v>
      </c>
      <c r="AI9" s="675">
        <v>-247.50980490000006</v>
      </c>
      <c r="AJ9" s="673">
        <v>-287.08769667390538</v>
      </c>
      <c r="AK9" s="673">
        <v>-432.92716901592667</v>
      </c>
      <c r="AL9" s="675">
        <v>-65.756318269000104</v>
      </c>
      <c r="AM9" s="675">
        <v>-103.14075045227247</v>
      </c>
      <c r="AN9" s="673">
        <v>-124.92816843300001</v>
      </c>
      <c r="AO9" s="673">
        <v>-135.25882000446211</v>
      </c>
      <c r="AP9" s="675">
        <v>-164.34853720000001</v>
      </c>
      <c r="AQ9" s="675">
        <v>-145.40850270000021</v>
      </c>
      <c r="AR9" s="673">
        <v>-211.30833930000017</v>
      </c>
      <c r="AS9" s="673">
        <v>-264.55765969999993</v>
      </c>
      <c r="AT9" s="675">
        <v>-325.86257062999999</v>
      </c>
      <c r="AU9" s="675">
        <v>-350.43860000000006</v>
      </c>
      <c r="AV9" s="673">
        <v>-426.84494412601106</v>
      </c>
      <c r="AW9" s="673">
        <v>-730.38777019999998</v>
      </c>
      <c r="AX9" s="675">
        <v>-77.906499999999482</v>
      </c>
      <c r="AY9" s="675">
        <v>-177.79619999999954</v>
      </c>
      <c r="AZ9" s="673">
        <v>-235.01999999999998</v>
      </c>
      <c r="BA9" s="673">
        <v>-567.83927876485086</v>
      </c>
      <c r="BB9" s="675">
        <v>-145.45326410000001</v>
      </c>
      <c r="BC9" s="675">
        <v>-105.15532800000119</v>
      </c>
      <c r="BD9" s="673">
        <v>-191.93701150000015</v>
      </c>
      <c r="BE9" s="673">
        <v>-1303.8199999999997</v>
      </c>
      <c r="BF9" s="675">
        <v>-298.522221</v>
      </c>
      <c r="BG9" s="675">
        <v>-382.62859999999955</v>
      </c>
      <c r="BH9" s="673">
        <v>-265.7435075999997</v>
      </c>
      <c r="BI9" s="673">
        <v>-993.59109739999985</v>
      </c>
      <c r="BJ9" s="675">
        <v>-61.423830799999998</v>
      </c>
      <c r="BK9" s="675">
        <v>-73.886680200000001</v>
      </c>
      <c r="BL9" s="673">
        <v>-63.259907199999986</v>
      </c>
      <c r="BM9" s="673">
        <v>-149.98731013903205</v>
      </c>
      <c r="BN9" s="675">
        <v>-246.16455312810101</v>
      </c>
      <c r="BO9" s="675">
        <v>-286.22017026381286</v>
      </c>
      <c r="BP9" s="673">
        <v>-160.22530171508345</v>
      </c>
      <c r="BQ9" s="673">
        <v>-189.38363812283592</v>
      </c>
      <c r="BR9" s="675">
        <v>-102.148183832155</v>
      </c>
      <c r="BS9" s="675">
        <v>-176.79212183886219</v>
      </c>
      <c r="BT9" s="673">
        <v>-166.97186609455898</v>
      </c>
      <c r="BU9" s="673">
        <v>-261.83417075353486</v>
      </c>
      <c r="BV9" s="675">
        <v>-41.910656578000001</v>
      </c>
      <c r="BW9" s="675">
        <v>-65.502767259999985</v>
      </c>
      <c r="BX9" s="673">
        <v>-59.373807599999992</v>
      </c>
      <c r="BY9" s="673">
        <v>-105.76000000000002</v>
      </c>
      <c r="BZ9" s="675">
        <v>-42.201833999999998</v>
      </c>
      <c r="CA9" s="675">
        <v>-77.432877500000004</v>
      </c>
      <c r="CB9" s="673">
        <v>-121.39996680000002</v>
      </c>
      <c r="CC9" s="673">
        <v>-140.22804640000004</v>
      </c>
      <c r="CD9" s="675">
        <v>-461.94759195887798</v>
      </c>
      <c r="CE9" s="675">
        <v>-372.66016625666248</v>
      </c>
      <c r="CF9" s="673">
        <v>-654.25430694376951</v>
      </c>
      <c r="CG9" s="673">
        <v>-528.48618315346084</v>
      </c>
      <c r="CH9" s="675">
        <v>-183.81097869999999</v>
      </c>
      <c r="CI9" s="675">
        <v>-272.73960800000054</v>
      </c>
      <c r="CJ9" s="673">
        <v>-222.4422101477478</v>
      </c>
      <c r="CK9" s="673">
        <v>-370.13616309999975</v>
      </c>
      <c r="CL9" s="675">
        <v>82.226126024268595</v>
      </c>
      <c r="CM9" s="675">
        <v>74.843818993614718</v>
      </c>
      <c r="CN9" s="673">
        <v>16.865645984379967</v>
      </c>
      <c r="CO9" s="673">
        <v>-621.6904628136881</v>
      </c>
      <c r="CP9" s="675">
        <v>289.14076770000003</v>
      </c>
      <c r="CQ9" s="675">
        <v>196.93597220000049</v>
      </c>
      <c r="CR9" s="673">
        <v>-51.042065600000228</v>
      </c>
      <c r="CS9" s="673">
        <v>-65.850000000000136</v>
      </c>
      <c r="CT9" s="675">
        <v>-485.31152209999999</v>
      </c>
      <c r="CU9" s="675">
        <v>-423.18892489499922</v>
      </c>
      <c r="CV9" s="673">
        <v>-500.40276725100057</v>
      </c>
      <c r="CW9" s="673">
        <v>-810.81620843431756</v>
      </c>
      <c r="CX9" s="675">
        <v>43.003129899999898</v>
      </c>
      <c r="CY9" s="675">
        <v>12.820187500000031</v>
      </c>
      <c r="CZ9" s="673">
        <v>-184.07987650000001</v>
      </c>
      <c r="DA9" s="673">
        <v>-95.698945756999819</v>
      </c>
      <c r="DB9" s="675">
        <v>-2889.8690244024351</v>
      </c>
      <c r="DC9" s="675">
        <v>-3647.2281553240446</v>
      </c>
      <c r="DD9" s="673">
        <v>-4052.8335504541055</v>
      </c>
      <c r="DE9" s="673">
        <v>-8158.25254150411</v>
      </c>
      <c r="DF9" s="671">
        <v>178.10372647162001</v>
      </c>
      <c r="DG9" s="671">
        <v>-303.21368476800012</v>
      </c>
      <c r="DH9" s="672">
        <v>293.58999999999986</v>
      </c>
      <c r="DI9" s="673">
        <v>-38.294272300000557</v>
      </c>
      <c r="DJ9" s="671">
        <v>-506.55711280000003</v>
      </c>
      <c r="DK9" s="671">
        <v>-376.86076029999992</v>
      </c>
      <c r="DL9" s="672">
        <v>-408.18134710000004</v>
      </c>
      <c r="DM9" s="673">
        <v>93.853466799999978</v>
      </c>
      <c r="DN9" s="671">
        <v>-328.45338632838002</v>
      </c>
      <c r="DO9" s="676">
        <v>-680.07444506799982</v>
      </c>
      <c r="DP9" s="677">
        <v>-114.59134710000001</v>
      </c>
      <c r="DQ9" s="673">
        <v>55.559194499999421</v>
      </c>
      <c r="DR9" s="675">
        <v>-274.86715367381402</v>
      </c>
      <c r="DS9" s="675">
        <v>-283.00414689790898</v>
      </c>
      <c r="DT9" s="673">
        <v>-273.36391356477361</v>
      </c>
      <c r="DU9" s="673">
        <v>-403.16035881996572</v>
      </c>
      <c r="DV9" s="675">
        <v>-12.2780594000001</v>
      </c>
      <c r="DW9" s="675">
        <v>-46.416199699999972</v>
      </c>
      <c r="DX9" s="673">
        <v>-83.419283199999995</v>
      </c>
      <c r="DY9" s="673">
        <v>-167.99305311900025</v>
      </c>
      <c r="DZ9" s="675">
        <v>-65.7999247999998</v>
      </c>
      <c r="EA9" s="675">
        <v>-247.49640839999995</v>
      </c>
      <c r="EB9" s="673">
        <v>0</v>
      </c>
      <c r="EC9" s="673">
        <v>0</v>
      </c>
      <c r="ED9" s="675">
        <v>-193.90117198474201</v>
      </c>
      <c r="EE9" s="675">
        <v>-158.01957568796098</v>
      </c>
      <c r="EF9" s="673">
        <v>-165.87071313059698</v>
      </c>
      <c r="EG9" s="673">
        <v>-301.84168179835513</v>
      </c>
      <c r="EH9" s="675">
        <v>-84.486545984982484</v>
      </c>
      <c r="EI9" s="675">
        <v>-71.333313501397811</v>
      </c>
      <c r="EJ9" s="673">
        <v>-107.71109543599937</v>
      </c>
      <c r="EK9" s="673">
        <v>-313.93015836419113</v>
      </c>
      <c r="EL9" s="675">
        <v>-55.856128900000002</v>
      </c>
      <c r="EM9" s="675">
        <v>0.13700000000000023</v>
      </c>
      <c r="EN9" s="673">
        <v>-11.649999999999999</v>
      </c>
      <c r="EO9" s="673">
        <v>-14.879999999999999</v>
      </c>
      <c r="EP9" s="675">
        <v>118.966967197022</v>
      </c>
      <c r="EQ9" s="675">
        <v>154.92926554120004</v>
      </c>
      <c r="ER9" s="673">
        <v>-1731.6378538999995</v>
      </c>
      <c r="ES9" s="673">
        <v>-2061.5333143258499</v>
      </c>
      <c r="ET9" s="675">
        <v>-568.22201754651655</v>
      </c>
      <c r="EU9" s="675">
        <v>-651.20337864606608</v>
      </c>
      <c r="EV9" s="673">
        <v>-2373.6528592313698</v>
      </c>
      <c r="EW9" s="673">
        <v>-3263.3385664273628</v>
      </c>
    </row>
    <row r="10" spans="1:153" x14ac:dyDescent="0.2">
      <c r="A10" s="685" t="s">
        <v>484</v>
      </c>
      <c r="U10" s="678"/>
      <c r="DL10" s="679"/>
      <c r="DM10" s="679"/>
      <c r="DN10" s="680"/>
    </row>
    <row r="11" spans="1:153" x14ac:dyDescent="0.2">
      <c r="A11" s="685" t="s">
        <v>504</v>
      </c>
      <c r="DL11" s="679"/>
      <c r="DM11" s="679"/>
      <c r="DN11" s="680"/>
    </row>
    <row r="12" spans="1:153" x14ac:dyDescent="0.2">
      <c r="A12" s="685" t="s">
        <v>519</v>
      </c>
      <c r="DL12" s="679"/>
      <c r="DM12" s="679"/>
      <c r="DN12" s="681"/>
    </row>
    <row r="13" spans="1:153" x14ac:dyDescent="0.2">
      <c r="A13" s="685" t="s">
        <v>505</v>
      </c>
    </row>
    <row r="14" spans="1:153" x14ac:dyDescent="0.2">
      <c r="A14" s="686" t="s">
        <v>131</v>
      </c>
    </row>
    <row r="15" spans="1:153" x14ac:dyDescent="0.2">
      <c r="A15" s="685" t="s">
        <v>390</v>
      </c>
      <c r="DL15" s="679"/>
      <c r="DM15" s="679"/>
      <c r="DN15" s="680"/>
    </row>
    <row r="16" spans="1:153" x14ac:dyDescent="0.2">
      <c r="A16" s="685" t="s">
        <v>483</v>
      </c>
      <c r="DL16" s="679"/>
      <c r="DM16" s="679"/>
      <c r="DN16" s="680"/>
    </row>
    <row r="17" spans="1:1" x14ac:dyDescent="0.2">
      <c r="A17" s="657" t="s">
        <v>521</v>
      </c>
    </row>
  </sheetData>
  <mergeCells count="40">
    <mergeCell ref="EL3:EO3"/>
    <mergeCell ref="EP3:ES3"/>
    <mergeCell ref="ET3:EW3"/>
    <mergeCell ref="A2:EW2"/>
    <mergeCell ref="DN3:DQ3"/>
    <mergeCell ref="DR3:DU3"/>
    <mergeCell ref="DV3:DY3"/>
    <mergeCell ref="DZ3:EC3"/>
    <mergeCell ref="ED3:EG3"/>
    <mergeCell ref="EH3:EK3"/>
    <mergeCell ref="CP3:CS3"/>
    <mergeCell ref="CT3:CW3"/>
    <mergeCell ref="CX3:DA3"/>
    <mergeCell ref="DB3:DE3"/>
    <mergeCell ref="DF3:DI3"/>
    <mergeCell ref="DJ3:DM3"/>
    <mergeCell ref="CL3:CO3"/>
    <mergeCell ref="AT3:AW3"/>
    <mergeCell ref="AX3:BA3"/>
    <mergeCell ref="BB3:BE3"/>
    <mergeCell ref="BF3:BI3"/>
    <mergeCell ref="BJ3:BM3"/>
    <mergeCell ref="BN3:BP3"/>
    <mergeCell ref="BR3:BT3"/>
    <mergeCell ref="BV3:BX3"/>
    <mergeCell ref="BZ3:CC3"/>
    <mergeCell ref="CD3:CG3"/>
    <mergeCell ref="CH3:CK3"/>
    <mergeCell ref="AP3:AS3"/>
    <mergeCell ref="A3:A4"/>
    <mergeCell ref="B3:E3"/>
    <mergeCell ref="F3:I3"/>
    <mergeCell ref="J3:M3"/>
    <mergeCell ref="N3:Q3"/>
    <mergeCell ref="R3:U3"/>
    <mergeCell ref="V3:Y3"/>
    <mergeCell ref="Z3:AC3"/>
    <mergeCell ref="AD3:AG3"/>
    <mergeCell ref="AH3:AK3"/>
    <mergeCell ref="AL3:AO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5"/>
  <sheetViews>
    <sheetView zoomScaleNormal="100" workbookViewId="0">
      <selection sqref="A1:K1"/>
    </sheetView>
  </sheetViews>
  <sheetFormatPr defaultRowHeight="24" customHeight="1" x14ac:dyDescent="0.2"/>
  <cols>
    <col min="1" max="1" width="27.85546875" style="565" customWidth="1"/>
    <col min="2" max="2" width="15.85546875" style="565" bestFit="1" customWidth="1"/>
    <col min="3" max="8" width="11.85546875" style="565" bestFit="1" customWidth="1"/>
    <col min="9" max="9" width="11.85546875" style="565" customWidth="1"/>
    <col min="10" max="11" width="12.42578125" style="565" customWidth="1"/>
    <col min="12" max="16384" width="9.140625" style="565"/>
  </cols>
  <sheetData>
    <row r="1" spans="1:11" ht="24" customHeight="1" x14ac:dyDescent="0.2">
      <c r="A1" s="965" t="s">
        <v>554</v>
      </c>
      <c r="B1" s="965"/>
      <c r="C1" s="965"/>
      <c r="D1" s="965"/>
      <c r="E1" s="965"/>
      <c r="F1" s="965"/>
      <c r="G1" s="965"/>
      <c r="H1" s="965"/>
      <c r="I1" s="965"/>
      <c r="J1" s="965"/>
      <c r="K1" s="965"/>
    </row>
    <row r="2" spans="1:11" ht="14.25" x14ac:dyDescent="0.2">
      <c r="A2" s="966" t="s">
        <v>497</v>
      </c>
      <c r="B2" s="966"/>
      <c r="C2" s="966"/>
      <c r="D2" s="966"/>
      <c r="E2" s="966"/>
      <c r="F2" s="966"/>
      <c r="G2" s="966"/>
      <c r="H2" s="966"/>
      <c r="I2" s="966"/>
      <c r="J2" s="966"/>
      <c r="K2" s="966"/>
    </row>
    <row r="3" spans="1:11" ht="24" customHeight="1" x14ac:dyDescent="0.2">
      <c r="A3" s="358" t="s">
        <v>192</v>
      </c>
      <c r="B3" s="551" t="s">
        <v>446</v>
      </c>
      <c r="C3" s="43">
        <v>2014</v>
      </c>
      <c r="D3" s="43">
        <v>2015</v>
      </c>
      <c r="E3" s="43">
        <v>2016</v>
      </c>
      <c r="F3" s="43">
        <v>2017</v>
      </c>
      <c r="G3" s="43">
        <v>2018</v>
      </c>
      <c r="H3" s="43">
        <v>2019</v>
      </c>
      <c r="I3" s="43">
        <v>2020</v>
      </c>
      <c r="J3" s="43">
        <v>2021</v>
      </c>
      <c r="K3" s="43">
        <v>2022</v>
      </c>
    </row>
    <row r="4" spans="1:11" ht="24" customHeight="1" x14ac:dyDescent="0.2">
      <c r="A4" s="967" t="s">
        <v>193</v>
      </c>
      <c r="B4" s="356" t="s">
        <v>443</v>
      </c>
      <c r="C4" s="566">
        <v>38072.92</v>
      </c>
      <c r="D4" s="566">
        <v>45416.55</v>
      </c>
      <c r="E4" s="566">
        <v>49993.53</v>
      </c>
      <c r="F4" s="566">
        <v>54753.740000000005</v>
      </c>
      <c r="G4" s="566">
        <v>69314.94</v>
      </c>
      <c r="H4" s="566">
        <v>81755.44</v>
      </c>
      <c r="I4" s="566">
        <v>94199.14</v>
      </c>
      <c r="J4" s="566">
        <v>120533.34</v>
      </c>
      <c r="K4" s="566">
        <v>139166.47</v>
      </c>
    </row>
    <row r="5" spans="1:11" ht="18" customHeight="1" x14ac:dyDescent="0.2">
      <c r="A5" s="968"/>
      <c r="B5" s="355" t="s">
        <v>444</v>
      </c>
      <c r="C5" s="567">
        <v>17.03</v>
      </c>
      <c r="D5" s="567">
        <v>19.288328817437701</v>
      </c>
      <c r="E5" s="567">
        <v>10.0777800163156</v>
      </c>
      <c r="F5" s="567">
        <v>9.5216521017819709</v>
      </c>
      <c r="G5" s="567">
        <v>26.59</v>
      </c>
      <c r="H5" s="567">
        <v>17.95</v>
      </c>
      <c r="I5" s="567">
        <v>15.220638528763301</v>
      </c>
      <c r="J5" s="567">
        <v>27.955881550510963</v>
      </c>
      <c r="K5" s="567">
        <v>15.458901246742185</v>
      </c>
    </row>
    <row r="6" spans="1:11" ht="18" customHeight="1" x14ac:dyDescent="0.2">
      <c r="A6" s="969"/>
      <c r="B6" s="357" t="s">
        <v>445</v>
      </c>
      <c r="C6" s="568">
        <v>25.460696601254345</v>
      </c>
      <c r="D6" s="568">
        <v>26.382827761536891</v>
      </c>
      <c r="E6" s="568">
        <v>26.574532179863553</v>
      </c>
      <c r="F6" s="569">
        <v>24.625726887185671</v>
      </c>
      <c r="G6" s="569">
        <v>25.77</v>
      </c>
      <c r="H6" s="569">
        <v>26.009319529173247</v>
      </c>
      <c r="I6" s="569">
        <v>25.97481589009255</v>
      </c>
      <c r="J6" s="570">
        <v>27.817438652858133</v>
      </c>
      <c r="K6" s="570">
        <v>28.72</v>
      </c>
    </row>
    <row r="7" spans="1:11" ht="24" customHeight="1" x14ac:dyDescent="0.2">
      <c r="A7" s="968" t="s">
        <v>194</v>
      </c>
      <c r="B7" s="355" t="s">
        <v>443</v>
      </c>
      <c r="C7" s="566">
        <v>15647.05</v>
      </c>
      <c r="D7" s="566">
        <v>18613.3</v>
      </c>
      <c r="E7" s="566">
        <v>22160.01</v>
      </c>
      <c r="F7" s="566">
        <v>28238.65</v>
      </c>
      <c r="G7" s="566">
        <v>36548.74</v>
      </c>
      <c r="H7" s="566">
        <v>48948.160000000003</v>
      </c>
      <c r="I7" s="566">
        <v>62104.72</v>
      </c>
      <c r="J7" s="566">
        <v>87976.91</v>
      </c>
      <c r="K7" s="566">
        <v>104645.32</v>
      </c>
    </row>
    <row r="8" spans="1:11" ht="14.25" customHeight="1" x14ac:dyDescent="0.2">
      <c r="A8" s="968"/>
      <c r="B8" s="355" t="s">
        <v>444</v>
      </c>
      <c r="C8" s="571">
        <v>10.32</v>
      </c>
      <c r="D8" s="571">
        <v>18.957247532282501</v>
      </c>
      <c r="E8" s="571">
        <v>19.054708192528999</v>
      </c>
      <c r="F8" s="571">
        <v>27.4306735421148</v>
      </c>
      <c r="G8" s="571">
        <v>29.42</v>
      </c>
      <c r="H8" s="571">
        <v>33.93</v>
      </c>
      <c r="I8" s="571">
        <v>26.878558867176999</v>
      </c>
      <c r="J8" s="571">
        <v>41.658975356462435</v>
      </c>
      <c r="K8" s="567">
        <v>18.946346262900128</v>
      </c>
    </row>
    <row r="9" spans="1:11" ht="17.25" customHeight="1" x14ac:dyDescent="0.2">
      <c r="A9" s="968"/>
      <c r="B9" s="357" t="s">
        <v>445</v>
      </c>
      <c r="C9" s="568">
        <v>10.463730986608248</v>
      </c>
      <c r="D9" s="568">
        <v>10.812610996956277</v>
      </c>
      <c r="E9" s="568">
        <v>11.779362226494069</v>
      </c>
      <c r="F9" s="569">
        <v>12.700452655157907</v>
      </c>
      <c r="G9" s="569">
        <v>13.590566567860094</v>
      </c>
      <c r="H9" s="569">
        <v>15.57215438881005</v>
      </c>
      <c r="I9" s="569">
        <v>17.124982965935239</v>
      </c>
      <c r="J9" s="570">
        <v>20.303861958799295</v>
      </c>
      <c r="K9" s="570">
        <v>21.6</v>
      </c>
    </row>
    <row r="10" spans="1:11" ht="24" customHeight="1" x14ac:dyDescent="0.2">
      <c r="A10" s="967" t="s">
        <v>195</v>
      </c>
      <c r="B10" s="355" t="s">
        <v>443</v>
      </c>
      <c r="C10" s="566">
        <v>13717.32</v>
      </c>
      <c r="D10" s="566">
        <v>16088.12</v>
      </c>
      <c r="E10" s="566">
        <v>19503.48</v>
      </c>
      <c r="F10" s="566">
        <v>23480.1</v>
      </c>
      <c r="G10" s="566">
        <v>27554.19</v>
      </c>
      <c r="H10" s="566">
        <v>31769.63</v>
      </c>
      <c r="I10" s="566">
        <v>33175.85</v>
      </c>
      <c r="J10" s="566">
        <v>34666.959999999999</v>
      </c>
      <c r="K10" s="566">
        <v>38469.520000000004</v>
      </c>
    </row>
    <row r="11" spans="1:11" ht="16.5" customHeight="1" x14ac:dyDescent="0.2">
      <c r="A11" s="968"/>
      <c r="B11" s="355" t="s">
        <v>444</v>
      </c>
      <c r="C11" s="571">
        <v>24.02</v>
      </c>
      <c r="D11" s="571">
        <v>17.2832594121884</v>
      </c>
      <c r="E11" s="571">
        <v>21.229080837288599</v>
      </c>
      <c r="F11" s="571">
        <v>20.3892843738656</v>
      </c>
      <c r="G11" s="571">
        <v>17.350000000000001</v>
      </c>
      <c r="H11" s="571">
        <v>15.3</v>
      </c>
      <c r="I11" s="571">
        <v>4.4263027299971602</v>
      </c>
      <c r="J11" s="571">
        <v>4.4945645703124537</v>
      </c>
      <c r="K11" s="567">
        <v>10.968830263743934</v>
      </c>
    </row>
    <row r="12" spans="1:11" ht="15" customHeight="1" x14ac:dyDescent="0.2">
      <c r="A12" s="968"/>
      <c r="B12" s="357" t="s">
        <v>445</v>
      </c>
      <c r="C12" s="568">
        <v>9.1732528711304067</v>
      </c>
      <c r="D12" s="568">
        <v>9.3457142598223957</v>
      </c>
      <c r="E12" s="568">
        <v>10.367258660857217</v>
      </c>
      <c r="F12" s="569">
        <v>10.560274601950628</v>
      </c>
      <c r="G12" s="569">
        <v>10.245883047109597</v>
      </c>
      <c r="H12" s="569">
        <v>10.107051689693165</v>
      </c>
      <c r="I12" s="569">
        <v>9.1480303933488862</v>
      </c>
      <c r="J12" s="570">
        <v>8.0006580177823565</v>
      </c>
      <c r="K12" s="570">
        <v>7.94</v>
      </c>
    </row>
    <row r="13" spans="1:11" ht="24" customHeight="1" x14ac:dyDescent="0.2">
      <c r="A13" s="967" t="s">
        <v>196</v>
      </c>
      <c r="B13" s="355" t="s">
        <v>443</v>
      </c>
      <c r="C13" s="566">
        <v>25849.96</v>
      </c>
      <c r="D13" s="566">
        <v>29017.84</v>
      </c>
      <c r="E13" s="566">
        <v>31945.7</v>
      </c>
      <c r="F13" s="566">
        <v>38171.549999999996</v>
      </c>
      <c r="G13" s="566">
        <v>42321.99</v>
      </c>
      <c r="H13" s="566">
        <v>50069.53</v>
      </c>
      <c r="I13" s="566">
        <v>54930.66</v>
      </c>
      <c r="J13" s="566">
        <v>65930.570000000007</v>
      </c>
      <c r="K13" s="566">
        <v>68181.100000000006</v>
      </c>
    </row>
    <row r="14" spans="1:11" ht="15.75" customHeight="1" x14ac:dyDescent="0.2">
      <c r="A14" s="968"/>
      <c r="B14" s="355" t="s">
        <v>444</v>
      </c>
      <c r="C14" s="571">
        <v>29.2</v>
      </c>
      <c r="D14" s="571">
        <v>12.2548738953561</v>
      </c>
      <c r="E14" s="571">
        <v>10.08986196078</v>
      </c>
      <c r="F14" s="571">
        <v>19.488851394710402</v>
      </c>
      <c r="G14" s="571">
        <v>10.87</v>
      </c>
      <c r="H14" s="571">
        <v>18.309999999999999</v>
      </c>
      <c r="I14" s="571">
        <v>9.7087589997349806</v>
      </c>
      <c r="J14" s="571">
        <v>20.025082531322226</v>
      </c>
      <c r="K14" s="567">
        <v>3.4134848219877334</v>
      </c>
    </row>
    <row r="15" spans="1:11" ht="18" customHeight="1" x14ac:dyDescent="0.2">
      <c r="A15" s="968"/>
      <c r="B15" s="357" t="s">
        <v>445</v>
      </c>
      <c r="C15" s="568">
        <v>17.286774660692188</v>
      </c>
      <c r="D15" s="568">
        <v>16.856689350728658</v>
      </c>
      <c r="E15" s="568">
        <v>16.981037999482474</v>
      </c>
      <c r="F15" s="569">
        <v>17.167816575827551</v>
      </c>
      <c r="G15" s="569">
        <v>15.737348690816638</v>
      </c>
      <c r="H15" s="569">
        <v>15.928902155569411</v>
      </c>
      <c r="I15" s="569">
        <v>15.146781384854163</v>
      </c>
      <c r="J15" s="570">
        <v>15.21586962016459</v>
      </c>
      <c r="K15" s="570">
        <v>14.07</v>
      </c>
    </row>
    <row r="16" spans="1:11" ht="24" customHeight="1" x14ac:dyDescent="0.2">
      <c r="A16" s="967" t="s">
        <v>197</v>
      </c>
      <c r="B16" s="355" t="s">
        <v>443</v>
      </c>
      <c r="C16" s="566">
        <v>53044.6</v>
      </c>
      <c r="D16" s="566">
        <v>58129.81</v>
      </c>
      <c r="E16" s="566">
        <v>58311.4</v>
      </c>
      <c r="F16" s="566">
        <v>67903.34</v>
      </c>
      <c r="G16" s="566">
        <v>85387.63</v>
      </c>
      <c r="H16" s="566">
        <v>90162.25</v>
      </c>
      <c r="I16" s="566">
        <v>102536.44</v>
      </c>
      <c r="J16" s="566">
        <v>110065.76</v>
      </c>
      <c r="K16" s="566">
        <v>116712.62</v>
      </c>
    </row>
    <row r="17" spans="1:11" ht="15.75" customHeight="1" x14ac:dyDescent="0.2">
      <c r="A17" s="968"/>
      <c r="B17" s="355" t="s">
        <v>444</v>
      </c>
      <c r="C17" s="571">
        <v>11.47</v>
      </c>
      <c r="D17" s="571">
        <v>9.5866685770087798</v>
      </c>
      <c r="E17" s="571">
        <v>0.31238705235747899</v>
      </c>
      <c r="F17" s="571">
        <v>16.449510730320299</v>
      </c>
      <c r="G17" s="571">
        <v>25.74</v>
      </c>
      <c r="H17" s="571">
        <v>5.59</v>
      </c>
      <c r="I17" s="571">
        <v>13.7243580323251</v>
      </c>
      <c r="J17" s="571">
        <v>7.3430674987350786</v>
      </c>
      <c r="K17" s="567">
        <v>6.0389897821084393</v>
      </c>
    </row>
    <row r="18" spans="1:11" ht="18.75" customHeight="1" x14ac:dyDescent="0.2">
      <c r="A18" s="968"/>
      <c r="B18" s="357" t="s">
        <v>445</v>
      </c>
      <c r="C18" s="568">
        <v>35.472783987540133</v>
      </c>
      <c r="D18" s="568">
        <v>33.768059551878437</v>
      </c>
      <c r="E18" s="568">
        <v>30.995974394144511</v>
      </c>
      <c r="F18" s="569">
        <v>30.539815281434841</v>
      </c>
      <c r="G18" s="569">
        <v>31.75091849357683</v>
      </c>
      <c r="H18" s="569">
        <v>28.683825439863085</v>
      </c>
      <c r="I18" s="569">
        <v>28.273773529413553</v>
      </c>
      <c r="J18" s="570">
        <v>25.401665021314489</v>
      </c>
      <c r="K18" s="570">
        <v>24.09</v>
      </c>
    </row>
    <row r="19" spans="1:11" ht="24" customHeight="1" x14ac:dyDescent="0.2">
      <c r="A19" s="967" t="s">
        <v>198</v>
      </c>
      <c r="B19" s="355" t="s">
        <v>443</v>
      </c>
      <c r="C19" s="566">
        <v>3204.2</v>
      </c>
      <c r="D19" s="566">
        <v>4878.74</v>
      </c>
      <c r="E19" s="566">
        <v>6211.6</v>
      </c>
      <c r="F19" s="566">
        <v>9796.27</v>
      </c>
      <c r="G19" s="566">
        <v>7801.3</v>
      </c>
      <c r="H19" s="566">
        <v>11626.32</v>
      </c>
      <c r="I19" s="566">
        <v>15708.85</v>
      </c>
      <c r="J19" s="566">
        <v>14127.82</v>
      </c>
      <c r="K19" s="566">
        <v>17365.18</v>
      </c>
    </row>
    <row r="20" spans="1:11" ht="16.5" customHeight="1" x14ac:dyDescent="0.2">
      <c r="A20" s="968"/>
      <c r="B20" s="355" t="s">
        <v>444</v>
      </c>
      <c r="C20" s="572">
        <v>-48.05</v>
      </c>
      <c r="D20" s="571">
        <v>52.260782722676502</v>
      </c>
      <c r="E20" s="571">
        <v>27.319758790179399</v>
      </c>
      <c r="F20" s="571">
        <v>57.709285852276402</v>
      </c>
      <c r="G20" s="572">
        <v>-20.36</v>
      </c>
      <c r="H20" s="571">
        <v>49.03</v>
      </c>
      <c r="I20" s="571">
        <v>35.114550433843199</v>
      </c>
      <c r="J20" s="572">
        <v>-10.064581430212904</v>
      </c>
      <c r="K20" s="567">
        <v>22.914787985690644</v>
      </c>
    </row>
    <row r="21" spans="1:11" ht="18" customHeight="1" x14ac:dyDescent="0.2">
      <c r="A21" s="968"/>
      <c r="B21" s="357" t="s">
        <v>445</v>
      </c>
      <c r="C21" s="568">
        <v>2.1427608927746857</v>
      </c>
      <c r="D21" s="568">
        <v>2.8340980790773509</v>
      </c>
      <c r="E21" s="568">
        <v>3.3018345391581758</v>
      </c>
      <c r="F21" s="569">
        <v>4.4059139984434008</v>
      </c>
      <c r="G21" s="569">
        <v>2.9007455783575673</v>
      </c>
      <c r="H21" s="569">
        <v>3.6987467968910384</v>
      </c>
      <c r="I21" s="569">
        <v>4.3316158363556223</v>
      </c>
      <c r="J21" s="570">
        <v>3.2605067290811176</v>
      </c>
      <c r="K21" s="570">
        <v>3.58</v>
      </c>
    </row>
    <row r="22" spans="1:11" ht="24" customHeight="1" x14ac:dyDescent="0.2">
      <c r="A22" s="967" t="s">
        <v>199</v>
      </c>
      <c r="B22" s="352" t="s">
        <v>443</v>
      </c>
      <c r="C22" s="359">
        <v>149536.04999999999</v>
      </c>
      <c r="D22" s="359">
        <v>172144.36</v>
      </c>
      <c r="E22" s="359">
        <v>188125.72</v>
      </c>
      <c r="F22" s="359">
        <v>222343.65</v>
      </c>
      <c r="G22" s="359">
        <v>268928.78999999998</v>
      </c>
      <c r="H22" s="359">
        <v>314331.33</v>
      </c>
      <c r="I22" s="359">
        <v>362655.66</v>
      </c>
      <c r="J22" s="359">
        <v>433301.36000000004</v>
      </c>
      <c r="K22" s="359">
        <v>484540.20999999996</v>
      </c>
    </row>
    <row r="23" spans="1:11" ht="16.5" customHeight="1" x14ac:dyDescent="0.2">
      <c r="A23" s="968"/>
      <c r="B23" s="352" t="s">
        <v>444</v>
      </c>
      <c r="C23" s="354">
        <v>13.67</v>
      </c>
      <c r="D23" s="354">
        <v>15.118969639762399</v>
      </c>
      <c r="E23" s="354">
        <v>9.2836965439936598</v>
      </c>
      <c r="F23" s="354">
        <v>18.188863277174399</v>
      </c>
      <c r="G23" s="354">
        <v>20.95</v>
      </c>
      <c r="H23" s="354">
        <v>16.88</v>
      </c>
      <c r="I23" s="354">
        <v>15.3736918302098</v>
      </c>
      <c r="J23" s="353">
        <v>19.480104074482128</v>
      </c>
      <c r="K23" s="353">
        <v>11.825222519495426</v>
      </c>
    </row>
    <row r="24" spans="1:11" ht="15.75" customHeight="1" x14ac:dyDescent="0.2">
      <c r="A24" s="969"/>
      <c r="B24" s="50" t="s">
        <v>445</v>
      </c>
      <c r="C24" s="51">
        <v>100</v>
      </c>
      <c r="D24" s="51">
        <v>99.999999999999986</v>
      </c>
      <c r="E24" s="51">
        <v>100</v>
      </c>
      <c r="F24" s="51">
        <v>100</v>
      </c>
      <c r="G24" s="51">
        <v>100</v>
      </c>
      <c r="H24" s="51">
        <v>100</v>
      </c>
      <c r="I24" s="51">
        <v>100.00000000000001</v>
      </c>
      <c r="J24" s="51">
        <v>100</v>
      </c>
      <c r="K24" s="51">
        <v>100</v>
      </c>
    </row>
    <row r="25" spans="1:11" ht="24" customHeight="1" x14ac:dyDescent="0.2">
      <c r="A25" s="573"/>
      <c r="B25" s="573"/>
      <c r="C25" s="573"/>
      <c r="D25" s="573"/>
      <c r="E25" s="573"/>
      <c r="F25" s="573"/>
      <c r="G25" s="573"/>
      <c r="H25" s="574"/>
      <c r="I25" s="574"/>
    </row>
  </sheetData>
  <mergeCells count="9">
    <mergeCell ref="A1:K1"/>
    <mergeCell ref="A2:K2"/>
    <mergeCell ref="A22:A24"/>
    <mergeCell ref="A4:A6"/>
    <mergeCell ref="A7:A9"/>
    <mergeCell ref="A10:A12"/>
    <mergeCell ref="A13:A15"/>
    <mergeCell ref="A16:A18"/>
    <mergeCell ref="A19:A21"/>
  </mergeCells>
  <pageMargins left="0.7" right="0.7" top="0.75" bottom="0.75" header="0.3" footer="0.3"/>
  <pageSetup paperSize="9" scale="94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zoomScale="90" zoomScaleNormal="90" workbookViewId="0"/>
  </sheetViews>
  <sheetFormatPr defaultRowHeight="12.75" x14ac:dyDescent="0.2"/>
  <cols>
    <col min="1" max="1" width="4.42578125" style="539" customWidth="1"/>
    <col min="2" max="2" width="21.42578125" style="539" customWidth="1"/>
    <col min="3" max="3" width="13" style="539" bestFit="1" customWidth="1"/>
    <col min="4" max="4" width="13.7109375" style="539" bestFit="1" customWidth="1"/>
    <col min="5" max="5" width="13.140625" style="539" customWidth="1"/>
    <col min="6" max="6" width="13.7109375" style="539" bestFit="1" customWidth="1"/>
    <col min="7" max="8" width="13.5703125" style="539" customWidth="1"/>
    <col min="9" max="9" width="13.28515625" style="539" customWidth="1"/>
    <col min="10" max="10" width="13.42578125" style="539" customWidth="1"/>
    <col min="11" max="11" width="13" style="539" customWidth="1"/>
    <col min="12" max="12" width="13.85546875" style="539" customWidth="1"/>
    <col min="13" max="13" width="13.42578125" style="539" customWidth="1"/>
    <col min="14" max="14" width="13.85546875" style="539" customWidth="1"/>
    <col min="15" max="15" width="13.28515625" style="539" customWidth="1"/>
    <col min="16" max="16" width="13.42578125" style="539" customWidth="1"/>
    <col min="17" max="18" width="10.140625" style="539" bestFit="1" customWidth="1"/>
    <col min="19" max="16384" width="9.140625" style="539"/>
  </cols>
  <sheetData>
    <row r="1" spans="1:17" s="1057" customFormat="1" ht="23.25" customHeight="1" x14ac:dyDescent="0.25">
      <c r="A1" s="1057" t="s">
        <v>556</v>
      </c>
    </row>
    <row r="2" spans="1:17" x14ac:dyDescent="0.2">
      <c r="A2" s="1057" t="s">
        <v>191</v>
      </c>
      <c r="B2" s="1057"/>
      <c r="C2" s="1057"/>
      <c r="D2" s="1057"/>
      <c r="E2" s="1057"/>
      <c r="F2" s="1057"/>
      <c r="G2" s="1057"/>
      <c r="H2" s="1057"/>
      <c r="I2" s="1057"/>
      <c r="J2" s="1057"/>
      <c r="K2" s="1057"/>
      <c r="L2" s="1057"/>
      <c r="M2" s="1057"/>
      <c r="N2" s="1057"/>
      <c r="O2" s="1057"/>
      <c r="P2" s="1057"/>
    </row>
    <row r="3" spans="1:17" ht="15" customHeight="1" x14ac:dyDescent="0.2">
      <c r="A3" s="1058" t="s">
        <v>557</v>
      </c>
      <c r="B3" s="1058"/>
      <c r="C3" s="1058"/>
      <c r="D3" s="1058"/>
      <c r="E3" s="1058"/>
      <c r="F3" s="1058"/>
      <c r="G3" s="1058"/>
      <c r="H3" s="1058"/>
      <c r="I3" s="1058"/>
      <c r="J3" s="1058"/>
      <c r="K3" s="1058"/>
      <c r="L3" s="1058"/>
      <c r="M3" s="1058"/>
      <c r="N3" s="1058"/>
      <c r="O3" s="1058"/>
      <c r="P3" s="1058"/>
    </row>
    <row r="4" spans="1:17" ht="43.5" customHeight="1" x14ac:dyDescent="0.2">
      <c r="A4" s="1059" t="s">
        <v>2</v>
      </c>
      <c r="B4" s="1060" t="s">
        <v>101</v>
      </c>
      <c r="C4" s="1061" t="s">
        <v>558</v>
      </c>
      <c r="D4" s="1062"/>
      <c r="E4" s="1061" t="s">
        <v>559</v>
      </c>
      <c r="F4" s="1062"/>
      <c r="G4" s="1061" t="s">
        <v>560</v>
      </c>
      <c r="H4" s="1062"/>
      <c r="I4" s="1061" t="s">
        <v>196</v>
      </c>
      <c r="J4" s="1062"/>
      <c r="K4" s="1061" t="s">
        <v>561</v>
      </c>
      <c r="L4" s="1062"/>
      <c r="M4" s="1063" t="s">
        <v>198</v>
      </c>
      <c r="N4" s="1044"/>
      <c r="O4" s="1061" t="s">
        <v>562</v>
      </c>
      <c r="P4" s="1062"/>
    </row>
    <row r="5" spans="1:17" x14ac:dyDescent="0.2">
      <c r="A5" s="1059"/>
      <c r="B5" s="1064"/>
      <c r="C5" s="1065">
        <v>2021</v>
      </c>
      <c r="D5" s="1065">
        <v>2022</v>
      </c>
      <c r="E5" s="1065">
        <v>2021</v>
      </c>
      <c r="F5" s="1065">
        <v>2022</v>
      </c>
      <c r="G5" s="1065">
        <v>2021</v>
      </c>
      <c r="H5" s="1065">
        <v>2022</v>
      </c>
      <c r="I5" s="1065">
        <v>2021</v>
      </c>
      <c r="J5" s="1065">
        <v>2022</v>
      </c>
      <c r="K5" s="1065">
        <v>2021</v>
      </c>
      <c r="L5" s="1065">
        <v>2022</v>
      </c>
      <c r="M5" s="1065">
        <v>2021</v>
      </c>
      <c r="N5" s="1065">
        <v>2022</v>
      </c>
      <c r="O5" s="1065">
        <v>2021</v>
      </c>
      <c r="P5" s="1065">
        <v>2022</v>
      </c>
    </row>
    <row r="6" spans="1:17" ht="15" customHeight="1" x14ac:dyDescent="0.2">
      <c r="A6" s="542"/>
      <c r="B6" s="1066" t="s">
        <v>104</v>
      </c>
      <c r="C6" s="1067"/>
      <c r="D6" s="1067"/>
      <c r="E6" s="1067"/>
      <c r="F6" s="1067"/>
      <c r="G6" s="1067"/>
      <c r="H6" s="1067"/>
      <c r="I6" s="1067"/>
      <c r="J6" s="1067"/>
      <c r="K6" s="1067"/>
      <c r="L6" s="1067"/>
      <c r="M6" s="1067"/>
      <c r="N6" s="1067"/>
      <c r="O6" s="1067"/>
      <c r="P6" s="1067"/>
    </row>
    <row r="7" spans="1:17" ht="15" customHeight="1" x14ac:dyDescent="0.2">
      <c r="A7" s="1068">
        <v>1</v>
      </c>
      <c r="B7" s="542" t="s">
        <v>356</v>
      </c>
      <c r="C7" s="1069">
        <v>5928.26</v>
      </c>
      <c r="D7" s="1069">
        <v>6493.52</v>
      </c>
      <c r="E7" s="1069">
        <v>4880.47</v>
      </c>
      <c r="F7" s="1069">
        <v>6195.82</v>
      </c>
      <c r="G7" s="1069">
        <v>1904.86</v>
      </c>
      <c r="H7" s="1069">
        <v>1928.82</v>
      </c>
      <c r="I7" s="1069">
        <v>3567.79</v>
      </c>
      <c r="J7" s="1069">
        <v>2908.65</v>
      </c>
      <c r="K7" s="1069">
        <v>10166.25</v>
      </c>
      <c r="L7" s="1069">
        <v>12307.5</v>
      </c>
      <c r="M7" s="1069">
        <v>1066.51</v>
      </c>
      <c r="N7" s="1069">
        <v>885.06</v>
      </c>
      <c r="O7" s="1069">
        <v>27514.14</v>
      </c>
      <c r="P7" s="1069">
        <v>30719.37</v>
      </c>
    </row>
    <row r="8" spans="1:17" ht="15" customHeight="1" x14ac:dyDescent="0.2">
      <c r="A8" s="1068">
        <v>2</v>
      </c>
      <c r="B8" s="542" t="s">
        <v>234</v>
      </c>
      <c r="C8" s="1069">
        <v>12432.11</v>
      </c>
      <c r="D8" s="1069">
        <v>12945.82</v>
      </c>
      <c r="E8" s="1069">
        <v>15665.91</v>
      </c>
      <c r="F8" s="1069">
        <v>18995.099999999999</v>
      </c>
      <c r="G8" s="1069">
        <v>2676.94</v>
      </c>
      <c r="H8" s="1069">
        <v>2494.31</v>
      </c>
      <c r="I8" s="1069">
        <v>6497.83</v>
      </c>
      <c r="J8" s="1069">
        <v>6342.21</v>
      </c>
      <c r="K8" s="1069">
        <v>10878.94</v>
      </c>
      <c r="L8" s="1069">
        <v>9710.2000000000007</v>
      </c>
      <c r="M8" s="1069">
        <v>1769.05</v>
      </c>
      <c r="N8" s="1069">
        <v>2402.2199999999998</v>
      </c>
      <c r="O8" s="1069">
        <v>49920.78</v>
      </c>
      <c r="P8" s="1069">
        <v>52889.86</v>
      </c>
    </row>
    <row r="9" spans="1:17" ht="15" customHeight="1" x14ac:dyDescent="0.2">
      <c r="A9" s="1068">
        <v>3</v>
      </c>
      <c r="B9" s="1070" t="s">
        <v>344</v>
      </c>
      <c r="C9" s="1069">
        <v>4364.75</v>
      </c>
      <c r="D9" s="1069">
        <v>4609.49</v>
      </c>
      <c r="E9" s="1069">
        <v>7206.27</v>
      </c>
      <c r="F9" s="1069">
        <v>8272.58</v>
      </c>
      <c r="G9" s="1069">
        <v>914.67</v>
      </c>
      <c r="H9" s="1069">
        <v>1187.28</v>
      </c>
      <c r="I9" s="1069">
        <v>2439.0300000000002</v>
      </c>
      <c r="J9" s="1069">
        <v>2360.89</v>
      </c>
      <c r="K9" s="1069">
        <v>3861.4</v>
      </c>
      <c r="L9" s="1069">
        <v>5143.8999999999996</v>
      </c>
      <c r="M9" s="1069">
        <v>968.17</v>
      </c>
      <c r="N9" s="1069">
        <v>1116.07</v>
      </c>
      <c r="O9" s="1069">
        <v>19754.29</v>
      </c>
      <c r="P9" s="1069">
        <v>22690.21</v>
      </c>
    </row>
    <row r="10" spans="1:17" ht="15" customHeight="1" x14ac:dyDescent="0.2">
      <c r="A10" s="1068">
        <v>4</v>
      </c>
      <c r="B10" s="1070" t="s">
        <v>236</v>
      </c>
      <c r="C10" s="1069">
        <v>7531.73</v>
      </c>
      <c r="D10" s="1069">
        <v>8099.2</v>
      </c>
      <c r="E10" s="1069">
        <v>8196.39</v>
      </c>
      <c r="F10" s="1069">
        <v>8938.01</v>
      </c>
      <c r="G10" s="1069">
        <v>2402.4499999999998</v>
      </c>
      <c r="H10" s="1069">
        <v>2320.63</v>
      </c>
      <c r="I10" s="1069">
        <v>3182.69</v>
      </c>
      <c r="J10" s="1069">
        <v>3271.4</v>
      </c>
      <c r="K10" s="1069">
        <v>11289.56</v>
      </c>
      <c r="L10" s="1069">
        <v>9862</v>
      </c>
      <c r="M10" s="1069">
        <v>1886.22</v>
      </c>
      <c r="N10" s="1069">
        <v>2253.94</v>
      </c>
      <c r="O10" s="1069">
        <v>34489.040000000001</v>
      </c>
      <c r="P10" s="1069">
        <v>34745.18</v>
      </c>
    </row>
    <row r="11" spans="1:17" ht="15" customHeight="1" x14ac:dyDescent="0.2">
      <c r="A11" s="1068"/>
      <c r="B11" s="1071" t="s">
        <v>563</v>
      </c>
      <c r="C11" s="1072">
        <v>30256.850000000002</v>
      </c>
      <c r="D11" s="1072">
        <v>32148.030000000002</v>
      </c>
      <c r="E11" s="1072">
        <v>35949.040000000001</v>
      </c>
      <c r="F11" s="1072">
        <v>42401.51</v>
      </c>
      <c r="G11" s="1072">
        <v>7898.92</v>
      </c>
      <c r="H11" s="1072">
        <v>7931.04</v>
      </c>
      <c r="I11" s="1072">
        <v>15687.34</v>
      </c>
      <c r="J11" s="1072">
        <v>14883.15</v>
      </c>
      <c r="K11" s="1072">
        <v>36196.15</v>
      </c>
      <c r="L11" s="1072">
        <v>37023.599999999999</v>
      </c>
      <c r="M11" s="1072">
        <v>5689.95</v>
      </c>
      <c r="N11" s="1072">
        <v>6657.2899999999991</v>
      </c>
      <c r="O11" s="1072">
        <v>131678.25</v>
      </c>
      <c r="P11" s="1072">
        <v>141044.62</v>
      </c>
      <c r="Q11" s="1073"/>
    </row>
    <row r="12" spans="1:17" ht="15" customHeight="1" x14ac:dyDescent="0.2">
      <c r="A12" s="1068"/>
      <c r="B12" s="1071" t="s">
        <v>106</v>
      </c>
      <c r="C12" s="1074"/>
      <c r="D12" s="1074"/>
      <c r="E12" s="1074"/>
      <c r="F12" s="1074"/>
      <c r="G12" s="1074"/>
      <c r="H12" s="1074"/>
      <c r="I12" s="1074"/>
      <c r="J12" s="1074"/>
      <c r="K12" s="1074"/>
      <c r="L12" s="1074"/>
      <c r="M12" s="1074"/>
      <c r="N12" s="1074"/>
      <c r="O12" s="1074"/>
      <c r="P12" s="1074"/>
    </row>
    <row r="13" spans="1:17" ht="15" customHeight="1" x14ac:dyDescent="0.2">
      <c r="A13" s="1068">
        <v>5</v>
      </c>
      <c r="B13" s="1075" t="s">
        <v>296</v>
      </c>
      <c r="C13" s="1076">
        <v>221.7</v>
      </c>
      <c r="D13" s="1076">
        <v>326.2</v>
      </c>
      <c r="E13" s="1076">
        <v>0</v>
      </c>
      <c r="F13" s="1076">
        <v>131.19999999999999</v>
      </c>
      <c r="G13" s="1076">
        <v>51.2</v>
      </c>
      <c r="H13" s="1076">
        <v>108.6</v>
      </c>
      <c r="I13" s="1076">
        <v>109.8</v>
      </c>
      <c r="J13" s="1076">
        <v>145.5</v>
      </c>
      <c r="K13" s="1076">
        <v>63.5</v>
      </c>
      <c r="L13" s="1076">
        <v>196.3</v>
      </c>
      <c r="M13" s="1076">
        <v>12.2</v>
      </c>
      <c r="N13" s="1076">
        <v>0</v>
      </c>
      <c r="O13" s="1076">
        <v>458.36</v>
      </c>
      <c r="P13" s="1076">
        <v>907.8</v>
      </c>
    </row>
    <row r="14" spans="1:17" ht="15" customHeight="1" x14ac:dyDescent="0.2">
      <c r="A14" s="1068">
        <v>6</v>
      </c>
      <c r="B14" s="1077" t="s">
        <v>297</v>
      </c>
      <c r="C14" s="1076">
        <v>6774.8</v>
      </c>
      <c r="D14" s="1076">
        <v>9041.7000000000007</v>
      </c>
      <c r="E14" s="1076">
        <v>3718.5</v>
      </c>
      <c r="F14" s="1076">
        <v>3264.6</v>
      </c>
      <c r="G14" s="1076">
        <v>1637.2</v>
      </c>
      <c r="H14" s="1076">
        <v>1747.2</v>
      </c>
      <c r="I14" s="1076">
        <v>4516.8999999999996</v>
      </c>
      <c r="J14" s="1076">
        <v>3193.6</v>
      </c>
      <c r="K14" s="1076">
        <v>5319.2</v>
      </c>
      <c r="L14" s="1076">
        <v>6126</v>
      </c>
      <c r="M14" s="1076">
        <v>119.3</v>
      </c>
      <c r="N14" s="1076">
        <v>381.3</v>
      </c>
      <c r="O14" s="1076">
        <v>22085.9</v>
      </c>
      <c r="P14" s="1076">
        <v>23754.400000000001</v>
      </c>
    </row>
    <row r="15" spans="1:17" ht="15" customHeight="1" x14ac:dyDescent="0.2">
      <c r="A15" s="1068">
        <v>7</v>
      </c>
      <c r="B15" s="1070" t="s">
        <v>564</v>
      </c>
      <c r="C15" s="1076">
        <v>1591.44</v>
      </c>
      <c r="D15" s="1076">
        <v>0</v>
      </c>
      <c r="E15" s="1076">
        <v>598.69000000000005</v>
      </c>
      <c r="F15" s="1076">
        <v>0</v>
      </c>
      <c r="G15" s="1076">
        <v>617.86</v>
      </c>
      <c r="H15" s="1076">
        <v>0</v>
      </c>
      <c r="I15" s="1076">
        <v>1581.48</v>
      </c>
      <c r="J15" s="1076">
        <v>0</v>
      </c>
      <c r="K15" s="1076">
        <v>1046.78</v>
      </c>
      <c r="L15" s="1076">
        <v>0</v>
      </c>
      <c r="M15" s="1076">
        <v>120</v>
      </c>
      <c r="N15" s="1076">
        <v>0</v>
      </c>
      <c r="O15" s="1076">
        <v>5556.25</v>
      </c>
      <c r="P15" s="1076">
        <v>0</v>
      </c>
    </row>
    <row r="16" spans="1:17" ht="15" customHeight="1" x14ac:dyDescent="0.2">
      <c r="A16" s="1068">
        <v>8</v>
      </c>
      <c r="B16" s="542" t="s">
        <v>498</v>
      </c>
      <c r="C16" s="1076">
        <v>4154.91</v>
      </c>
      <c r="D16" s="1076">
        <v>5165.3999999999996</v>
      </c>
      <c r="E16" s="1076">
        <v>3507.79</v>
      </c>
      <c r="F16" s="1076">
        <v>3124.9</v>
      </c>
      <c r="G16" s="1076">
        <v>991.91</v>
      </c>
      <c r="H16" s="1076">
        <v>1036.28</v>
      </c>
      <c r="I16" s="1076">
        <v>799.68</v>
      </c>
      <c r="J16" s="1076">
        <v>1569.92</v>
      </c>
      <c r="K16" s="1076">
        <v>1491.49</v>
      </c>
      <c r="L16" s="1076">
        <v>1546.07</v>
      </c>
      <c r="M16" s="1076">
        <v>87.78</v>
      </c>
      <c r="N16" s="1076">
        <v>61.65</v>
      </c>
      <c r="O16" s="1076">
        <v>11033.56</v>
      </c>
      <c r="P16" s="1076">
        <v>12504.22</v>
      </c>
    </row>
    <row r="17" spans="1:17" ht="15" customHeight="1" x14ac:dyDescent="0.2">
      <c r="A17" s="1068">
        <v>9</v>
      </c>
      <c r="B17" s="1075" t="s">
        <v>565</v>
      </c>
      <c r="C17" s="1078">
        <v>85.6</v>
      </c>
      <c r="D17" s="1078">
        <v>109</v>
      </c>
      <c r="E17" s="1078">
        <v>48.05</v>
      </c>
      <c r="F17" s="1078">
        <v>109.54</v>
      </c>
      <c r="G17" s="1078">
        <v>52.54</v>
      </c>
      <c r="H17" s="1078">
        <v>40.89</v>
      </c>
      <c r="I17" s="1078">
        <v>54.83</v>
      </c>
      <c r="J17" s="1078">
        <v>59.82</v>
      </c>
      <c r="K17" s="1078">
        <v>106.3</v>
      </c>
      <c r="L17" s="1078">
        <v>76.39</v>
      </c>
      <c r="M17" s="1078">
        <v>10.75</v>
      </c>
      <c r="N17" s="1078">
        <v>47.89</v>
      </c>
      <c r="O17" s="1078">
        <v>358.07</v>
      </c>
      <c r="P17" s="1078">
        <v>443.53000000000003</v>
      </c>
    </row>
    <row r="18" spans="1:17" ht="15" customHeight="1" x14ac:dyDescent="0.2">
      <c r="A18" s="1068">
        <v>10</v>
      </c>
      <c r="B18" s="542" t="s">
        <v>301</v>
      </c>
      <c r="C18" s="1069">
        <v>1302.3</v>
      </c>
      <c r="D18" s="1069">
        <v>1368.9</v>
      </c>
      <c r="E18" s="1069">
        <v>1211.94</v>
      </c>
      <c r="F18" s="1069">
        <v>1593.61</v>
      </c>
      <c r="G18" s="1069">
        <v>707.52</v>
      </c>
      <c r="H18" s="1069">
        <v>673.31</v>
      </c>
      <c r="I18" s="1069">
        <v>1267.68</v>
      </c>
      <c r="J18" s="1069">
        <v>1081.18</v>
      </c>
      <c r="K18" s="1069">
        <v>989.97</v>
      </c>
      <c r="L18" s="1069">
        <v>986.58</v>
      </c>
      <c r="M18" s="1069">
        <v>73.03</v>
      </c>
      <c r="N18" s="1069">
        <v>51.61</v>
      </c>
      <c r="O18" s="1069">
        <v>5552.44</v>
      </c>
      <c r="P18" s="1069">
        <v>5755.1900000000005</v>
      </c>
    </row>
    <row r="19" spans="1:17" ht="15" customHeight="1" x14ac:dyDescent="0.2">
      <c r="A19" s="1068">
        <v>11</v>
      </c>
      <c r="B19" s="1075" t="s">
        <v>302</v>
      </c>
      <c r="C19" s="1076">
        <v>2707.33</v>
      </c>
      <c r="D19" s="1076">
        <v>4613.6000000000004</v>
      </c>
      <c r="E19" s="1076">
        <v>193.1</v>
      </c>
      <c r="F19" s="1076">
        <v>313.36</v>
      </c>
      <c r="G19" s="1076">
        <v>657.92</v>
      </c>
      <c r="H19" s="1076">
        <v>1089.83</v>
      </c>
      <c r="I19" s="1076">
        <v>938.31</v>
      </c>
      <c r="J19" s="1076">
        <v>1618.87</v>
      </c>
      <c r="K19" s="1076">
        <v>867.11</v>
      </c>
      <c r="L19" s="1076">
        <v>1512.56</v>
      </c>
      <c r="M19" s="1076">
        <v>13.36</v>
      </c>
      <c r="N19" s="1076">
        <v>13.86</v>
      </c>
      <c r="O19" s="1076">
        <v>5377.13</v>
      </c>
      <c r="P19" s="1076">
        <v>9162.08</v>
      </c>
    </row>
    <row r="20" spans="1:17" ht="15" customHeight="1" x14ac:dyDescent="0.2">
      <c r="A20" s="1068">
        <v>12</v>
      </c>
      <c r="B20" s="1079" t="s">
        <v>336</v>
      </c>
      <c r="C20" s="1076">
        <v>4644.62</v>
      </c>
      <c r="D20" s="1076">
        <v>3848.8</v>
      </c>
      <c r="E20" s="1076">
        <v>2144.21</v>
      </c>
      <c r="F20" s="1076">
        <v>4297.7</v>
      </c>
      <c r="G20" s="1076">
        <v>1504.64</v>
      </c>
      <c r="H20" s="1076">
        <v>1497.82</v>
      </c>
      <c r="I20" s="1076">
        <v>3418.64</v>
      </c>
      <c r="J20" s="1076">
        <v>3954.21</v>
      </c>
      <c r="K20" s="1076">
        <v>4752.8100000000004</v>
      </c>
      <c r="L20" s="1076">
        <v>4524.82</v>
      </c>
      <c r="M20" s="1076">
        <v>152.63</v>
      </c>
      <c r="N20" s="1076">
        <v>208.42</v>
      </c>
      <c r="O20" s="1076">
        <v>16617.55</v>
      </c>
      <c r="P20" s="1076">
        <v>18331.77</v>
      </c>
    </row>
    <row r="21" spans="1:17" ht="15" customHeight="1" x14ac:dyDescent="0.2">
      <c r="A21" s="1068">
        <v>13</v>
      </c>
      <c r="B21" s="542" t="s">
        <v>337</v>
      </c>
      <c r="C21" s="1076">
        <v>8138.54</v>
      </c>
      <c r="D21" s="1076">
        <v>11151</v>
      </c>
      <c r="E21" s="1076">
        <v>3535.47</v>
      </c>
      <c r="F21" s="1076">
        <v>5193.8999999999996</v>
      </c>
      <c r="G21" s="1076">
        <v>2074.1999999999998</v>
      </c>
      <c r="H21" s="1076">
        <v>2856.21</v>
      </c>
      <c r="I21" s="1076">
        <v>4875.53</v>
      </c>
      <c r="J21" s="1076">
        <v>6370.6</v>
      </c>
      <c r="K21" s="1076">
        <v>9851.27</v>
      </c>
      <c r="L21" s="1076">
        <v>10194.36</v>
      </c>
      <c r="M21" s="1076">
        <v>1741.3</v>
      </c>
      <c r="N21" s="1076">
        <v>2666.36</v>
      </c>
      <c r="O21" s="1076">
        <v>30216.31</v>
      </c>
      <c r="P21" s="1076">
        <v>38432.43</v>
      </c>
      <c r="Q21" s="1080"/>
    </row>
    <row r="22" spans="1:17" ht="15" customHeight="1" x14ac:dyDescent="0.2">
      <c r="A22" s="1068">
        <v>14</v>
      </c>
      <c r="B22" s="1070" t="s">
        <v>305</v>
      </c>
      <c r="C22" s="1076">
        <v>2731.8</v>
      </c>
      <c r="D22" s="1076">
        <v>3214.7</v>
      </c>
      <c r="E22" s="1076">
        <v>2006.38</v>
      </c>
      <c r="F22" s="1076">
        <v>2305.65</v>
      </c>
      <c r="G22" s="1076">
        <v>1560.52</v>
      </c>
      <c r="H22" s="1076">
        <v>1830.23</v>
      </c>
      <c r="I22" s="1076">
        <v>3450.48</v>
      </c>
      <c r="J22" s="1076">
        <v>3702.67</v>
      </c>
      <c r="K22" s="1076">
        <v>2346.89</v>
      </c>
      <c r="L22" s="1076">
        <v>2389.8200000000002</v>
      </c>
      <c r="M22" s="1076">
        <v>2.34</v>
      </c>
      <c r="N22" s="1076">
        <v>3.17</v>
      </c>
      <c r="O22" s="1076">
        <v>12098.41</v>
      </c>
      <c r="P22" s="1076">
        <v>13446.239999999998</v>
      </c>
      <c r="Q22" s="1080"/>
    </row>
    <row r="23" spans="1:17" ht="15" customHeight="1" x14ac:dyDescent="0.2">
      <c r="A23" s="1068">
        <v>15</v>
      </c>
      <c r="B23" s="1070" t="s">
        <v>306</v>
      </c>
      <c r="C23" s="1078">
        <v>597.29999999999995</v>
      </c>
      <c r="D23" s="1078">
        <v>796.8</v>
      </c>
      <c r="E23" s="1078">
        <v>25.97</v>
      </c>
      <c r="F23" s="1078">
        <v>136.6</v>
      </c>
      <c r="G23" s="1078">
        <v>86.56</v>
      </c>
      <c r="H23" s="1078">
        <v>116.74</v>
      </c>
      <c r="I23" s="1078">
        <v>103.83</v>
      </c>
      <c r="J23" s="1078">
        <v>92.14</v>
      </c>
      <c r="K23" s="1078">
        <v>116.69</v>
      </c>
      <c r="L23" s="1078">
        <v>60.49</v>
      </c>
      <c r="M23" s="1078">
        <v>1.54</v>
      </c>
      <c r="N23" s="1078">
        <v>26.71</v>
      </c>
      <c r="O23" s="1078">
        <v>931.89</v>
      </c>
      <c r="P23" s="1078">
        <v>1229.48</v>
      </c>
      <c r="Q23" s="1080"/>
    </row>
    <row r="24" spans="1:17" ht="15" customHeight="1" x14ac:dyDescent="0.2">
      <c r="A24" s="1068">
        <v>16</v>
      </c>
      <c r="B24" s="1079" t="s">
        <v>339</v>
      </c>
      <c r="C24" s="1069">
        <v>732.93</v>
      </c>
      <c r="D24" s="1069">
        <v>765</v>
      </c>
      <c r="E24" s="1069">
        <v>540.70000000000005</v>
      </c>
      <c r="F24" s="1069">
        <v>674.71</v>
      </c>
      <c r="G24" s="1069">
        <v>321.45</v>
      </c>
      <c r="H24" s="1069">
        <v>436.32</v>
      </c>
      <c r="I24" s="1069">
        <v>676.8</v>
      </c>
      <c r="J24" s="1069">
        <v>644.67999999999995</v>
      </c>
      <c r="K24" s="1069">
        <v>856.34</v>
      </c>
      <c r="L24" s="1069">
        <v>805.87</v>
      </c>
      <c r="M24" s="1069">
        <v>0</v>
      </c>
      <c r="N24" s="1069">
        <v>0</v>
      </c>
      <c r="O24" s="1069">
        <v>3128.22</v>
      </c>
      <c r="P24" s="1069">
        <v>3326.58</v>
      </c>
      <c r="Q24" s="1080"/>
    </row>
    <row r="25" spans="1:17" ht="15" customHeight="1" x14ac:dyDescent="0.2">
      <c r="A25" s="1068">
        <v>17</v>
      </c>
      <c r="B25" s="1079" t="s">
        <v>318</v>
      </c>
      <c r="C25" s="1069">
        <v>1098.74</v>
      </c>
      <c r="D25" s="1069">
        <v>1648.9</v>
      </c>
      <c r="E25" s="1069">
        <v>294.23</v>
      </c>
      <c r="F25" s="1069">
        <v>545.79</v>
      </c>
      <c r="G25" s="1069">
        <v>241.22</v>
      </c>
      <c r="H25" s="1069">
        <v>294.64</v>
      </c>
      <c r="I25" s="1069">
        <v>491.83</v>
      </c>
      <c r="J25" s="1069">
        <v>448.65</v>
      </c>
      <c r="K25" s="1069">
        <v>736.45</v>
      </c>
      <c r="L25" s="1069">
        <v>816.45</v>
      </c>
      <c r="M25" s="1069">
        <v>131.19</v>
      </c>
      <c r="N25" s="1069">
        <v>89.95</v>
      </c>
      <c r="O25" s="1069">
        <v>2993.66</v>
      </c>
      <c r="P25" s="1069">
        <v>3844.38</v>
      </c>
      <c r="Q25" s="1080"/>
    </row>
    <row r="26" spans="1:17" ht="15" customHeight="1" x14ac:dyDescent="0.2">
      <c r="A26" s="1068">
        <v>18</v>
      </c>
      <c r="B26" s="1075" t="s">
        <v>566</v>
      </c>
      <c r="C26" s="1069">
        <v>106.11</v>
      </c>
      <c r="D26" s="1069">
        <v>174.6</v>
      </c>
      <c r="E26" s="1069">
        <v>143.46</v>
      </c>
      <c r="F26" s="1069">
        <v>67.819999999999993</v>
      </c>
      <c r="G26" s="1069">
        <v>25.04</v>
      </c>
      <c r="H26" s="1069">
        <v>34.840000000000003</v>
      </c>
      <c r="I26" s="1069">
        <v>95.03</v>
      </c>
      <c r="J26" s="1069">
        <v>89.78</v>
      </c>
      <c r="K26" s="1069">
        <v>219.27</v>
      </c>
      <c r="L26" s="1069">
        <v>138.99</v>
      </c>
      <c r="M26" s="1069">
        <v>10.02</v>
      </c>
      <c r="N26" s="1069">
        <v>47.63</v>
      </c>
      <c r="O26" s="1069">
        <v>598.92999999999995</v>
      </c>
      <c r="P26" s="1069">
        <v>553.66</v>
      </c>
      <c r="Q26" s="1080"/>
    </row>
    <row r="27" spans="1:17" ht="15" customHeight="1" x14ac:dyDescent="0.2">
      <c r="A27" s="1068">
        <v>19</v>
      </c>
      <c r="B27" s="1070" t="s">
        <v>308</v>
      </c>
      <c r="C27" s="1076">
        <v>300.56</v>
      </c>
      <c r="D27" s="1076">
        <v>294</v>
      </c>
      <c r="E27" s="1076">
        <v>0</v>
      </c>
      <c r="F27" s="1076">
        <v>0</v>
      </c>
      <c r="G27" s="1076">
        <v>96.82</v>
      </c>
      <c r="H27" s="1076">
        <v>110.63</v>
      </c>
      <c r="I27" s="1076">
        <v>124.03</v>
      </c>
      <c r="J27" s="1076">
        <v>217.74</v>
      </c>
      <c r="K27" s="1076">
        <v>173.3</v>
      </c>
      <c r="L27" s="1076">
        <v>192.17</v>
      </c>
      <c r="M27" s="1076">
        <v>20</v>
      </c>
      <c r="N27" s="1076">
        <v>10</v>
      </c>
      <c r="O27" s="1076">
        <v>714.71</v>
      </c>
      <c r="P27" s="1076">
        <v>824.54</v>
      </c>
    </row>
    <row r="28" spans="1:17" ht="15" customHeight="1" x14ac:dyDescent="0.2">
      <c r="A28" s="1068">
        <v>20</v>
      </c>
      <c r="B28" s="1070" t="s">
        <v>567</v>
      </c>
      <c r="C28" s="1069">
        <v>3195</v>
      </c>
      <c r="D28" s="1069">
        <v>3975.9</v>
      </c>
      <c r="E28" s="1069">
        <v>2765.83</v>
      </c>
      <c r="F28" s="1069">
        <v>2670.14</v>
      </c>
      <c r="G28" s="1069">
        <v>1160.6300000000001</v>
      </c>
      <c r="H28" s="1069">
        <v>1355.5</v>
      </c>
      <c r="I28" s="1069">
        <v>908.71</v>
      </c>
      <c r="J28" s="1069">
        <v>1233.95</v>
      </c>
      <c r="K28" s="1069">
        <v>4632.95</v>
      </c>
      <c r="L28" s="1069">
        <v>4895.93</v>
      </c>
      <c r="M28" s="1069">
        <v>431.09</v>
      </c>
      <c r="N28" s="1069">
        <v>345.59</v>
      </c>
      <c r="O28" s="1069">
        <v>13094.21</v>
      </c>
      <c r="P28" s="1069">
        <v>14477.01</v>
      </c>
    </row>
    <row r="29" spans="1:17" ht="15" customHeight="1" x14ac:dyDescent="0.2">
      <c r="A29" s="1068">
        <v>21</v>
      </c>
      <c r="B29" s="1070" t="s">
        <v>310</v>
      </c>
      <c r="C29" s="1069">
        <v>2325.7199999999998</v>
      </c>
      <c r="D29" s="1069">
        <v>1666.1</v>
      </c>
      <c r="E29" s="1069">
        <v>431.45</v>
      </c>
      <c r="F29" s="1069">
        <v>1081.06</v>
      </c>
      <c r="G29" s="1069">
        <v>832.84</v>
      </c>
      <c r="H29" s="1069">
        <v>764.87</v>
      </c>
      <c r="I29" s="1069">
        <v>1306.55</v>
      </c>
      <c r="J29" s="1069">
        <v>1635.19</v>
      </c>
      <c r="K29" s="1069">
        <v>1286.3900000000001</v>
      </c>
      <c r="L29" s="1069">
        <v>1566.27</v>
      </c>
      <c r="M29" s="1069">
        <v>265.94</v>
      </c>
      <c r="N29" s="1069">
        <v>272.16000000000003</v>
      </c>
      <c r="O29" s="1069">
        <v>6448.89</v>
      </c>
      <c r="P29" s="1069">
        <v>6985.65</v>
      </c>
    </row>
    <row r="30" spans="1:17" ht="15" customHeight="1" x14ac:dyDescent="0.2">
      <c r="A30" s="1068">
        <v>22</v>
      </c>
      <c r="B30" s="1070" t="s">
        <v>311</v>
      </c>
      <c r="C30" s="1076">
        <v>2613.6</v>
      </c>
      <c r="D30" s="1076">
        <v>2550</v>
      </c>
      <c r="E30" s="1076">
        <v>1122.8499999999999</v>
      </c>
      <c r="F30" s="1076">
        <v>1233.75</v>
      </c>
      <c r="G30" s="1076">
        <v>1216.43</v>
      </c>
      <c r="H30" s="1076">
        <v>1331.78</v>
      </c>
      <c r="I30" s="1076">
        <v>1908.42</v>
      </c>
      <c r="J30" s="1076">
        <v>2310.92</v>
      </c>
      <c r="K30" s="1076">
        <v>2425.79</v>
      </c>
      <c r="L30" s="1076">
        <v>2919.1</v>
      </c>
      <c r="M30" s="1076">
        <v>211.5</v>
      </c>
      <c r="N30" s="1076">
        <v>480.62</v>
      </c>
      <c r="O30" s="1076">
        <v>9498.59</v>
      </c>
      <c r="P30" s="1076">
        <v>10826.169999999998</v>
      </c>
    </row>
    <row r="31" spans="1:17" ht="15" customHeight="1" x14ac:dyDescent="0.2">
      <c r="A31" s="1068">
        <v>23</v>
      </c>
      <c r="B31" s="1070" t="s">
        <v>342</v>
      </c>
      <c r="C31" s="1076">
        <v>3602.25</v>
      </c>
      <c r="D31" s="1076">
        <v>3630.9</v>
      </c>
      <c r="E31" s="1076">
        <v>19.22</v>
      </c>
      <c r="F31" s="1076">
        <v>5.26</v>
      </c>
      <c r="G31" s="1076">
        <v>2243.16</v>
      </c>
      <c r="H31" s="1076">
        <v>2331.4899999999998</v>
      </c>
      <c r="I31" s="1076">
        <v>3753.28</v>
      </c>
      <c r="J31" s="1076">
        <v>3790.76</v>
      </c>
      <c r="K31" s="1076">
        <v>942.34</v>
      </c>
      <c r="L31" s="1076">
        <v>1089.71</v>
      </c>
      <c r="M31" s="1076">
        <v>8.49</v>
      </c>
      <c r="N31" s="1076">
        <v>13.14</v>
      </c>
      <c r="O31" s="1076">
        <v>10568.74</v>
      </c>
      <c r="P31" s="1076">
        <v>10861.26</v>
      </c>
    </row>
    <row r="32" spans="1:17" ht="15" customHeight="1" x14ac:dyDescent="0.2">
      <c r="A32" s="1068">
        <v>24</v>
      </c>
      <c r="B32" s="1070" t="s">
        <v>312</v>
      </c>
      <c r="C32" s="1069">
        <v>3658.93</v>
      </c>
      <c r="D32" s="1069">
        <v>4513.7</v>
      </c>
      <c r="E32" s="1069">
        <v>2264.5700000000002</v>
      </c>
      <c r="F32" s="1069">
        <v>3411.71</v>
      </c>
      <c r="G32" s="1069">
        <v>981.63</v>
      </c>
      <c r="H32" s="1069">
        <v>980.52</v>
      </c>
      <c r="I32" s="1069">
        <v>2304.1799999999998</v>
      </c>
      <c r="J32" s="1069">
        <v>2660.95</v>
      </c>
      <c r="K32" s="1069">
        <v>5795.21</v>
      </c>
      <c r="L32" s="1069">
        <v>5970.05</v>
      </c>
      <c r="M32" s="1069">
        <v>680.21</v>
      </c>
      <c r="N32" s="1069">
        <v>1297.71</v>
      </c>
      <c r="O32" s="1069">
        <v>15684.73</v>
      </c>
      <c r="P32" s="1069">
        <v>18834.64</v>
      </c>
    </row>
    <row r="33" spans="1:18" ht="15" customHeight="1" x14ac:dyDescent="0.2">
      <c r="A33" s="1068">
        <v>25</v>
      </c>
      <c r="B33" s="1070" t="s">
        <v>320</v>
      </c>
      <c r="C33" s="1076">
        <v>916.46</v>
      </c>
      <c r="D33" s="1076">
        <v>1188.0999999999999</v>
      </c>
      <c r="E33" s="1076">
        <v>507.05</v>
      </c>
      <c r="F33" s="1076">
        <v>476.77</v>
      </c>
      <c r="G33" s="1076">
        <v>408.97</v>
      </c>
      <c r="H33" s="1076">
        <v>504.35</v>
      </c>
      <c r="I33" s="1076">
        <v>832.72</v>
      </c>
      <c r="J33" s="1076">
        <v>723.84</v>
      </c>
      <c r="K33" s="1076">
        <v>878.5</v>
      </c>
      <c r="L33" s="1076">
        <v>833.7</v>
      </c>
      <c r="M33" s="1076">
        <v>16.27</v>
      </c>
      <c r="N33" s="1076">
        <v>21.94</v>
      </c>
      <c r="O33" s="1076">
        <v>3559.97</v>
      </c>
      <c r="P33" s="1076">
        <v>3748.7</v>
      </c>
    </row>
    <row r="34" spans="1:18" ht="15" customHeight="1" x14ac:dyDescent="0.2">
      <c r="A34" s="1068"/>
      <c r="B34" s="1071" t="s">
        <v>568</v>
      </c>
      <c r="C34" s="1072">
        <v>51500.639999999999</v>
      </c>
      <c r="D34" s="1072">
        <v>60043.3</v>
      </c>
      <c r="E34" s="1072">
        <v>25079.46</v>
      </c>
      <c r="F34" s="1072">
        <v>30638.069999999996</v>
      </c>
      <c r="G34" s="1072">
        <v>17470.260000000002</v>
      </c>
      <c r="H34" s="1072">
        <v>19142.05</v>
      </c>
      <c r="I34" s="1072">
        <v>33518.71</v>
      </c>
      <c r="J34" s="1072">
        <v>35544.97</v>
      </c>
      <c r="K34" s="1072">
        <v>44898.549999999996</v>
      </c>
      <c r="L34" s="1072">
        <v>46841.63</v>
      </c>
      <c r="M34" s="1072">
        <v>4108.9400000000005</v>
      </c>
      <c r="N34" s="1072">
        <v>6039.71</v>
      </c>
      <c r="O34" s="1072">
        <v>176576.52</v>
      </c>
      <c r="P34" s="1072">
        <v>198249.73000000004</v>
      </c>
    </row>
    <row r="35" spans="1:18" ht="15" customHeight="1" x14ac:dyDescent="0.2">
      <c r="A35" s="1068"/>
      <c r="B35" s="1081" t="s">
        <v>569</v>
      </c>
      <c r="C35" s="1082"/>
      <c r="D35" s="1082"/>
      <c r="E35" s="1082"/>
      <c r="F35" s="1082"/>
      <c r="G35" s="1082"/>
      <c r="H35" s="1082"/>
      <c r="I35" s="1082"/>
      <c r="J35" s="1082"/>
      <c r="K35" s="1082"/>
      <c r="L35" s="1082"/>
      <c r="M35" s="1082"/>
      <c r="N35" s="1082"/>
      <c r="O35" s="1082"/>
      <c r="P35" s="1082"/>
    </row>
    <row r="36" spans="1:18" ht="15" customHeight="1" x14ac:dyDescent="0.2">
      <c r="A36" s="1068">
        <v>26</v>
      </c>
      <c r="B36" s="1077" t="s">
        <v>346</v>
      </c>
      <c r="C36" s="1076">
        <v>2851.7</v>
      </c>
      <c r="D36" s="1076">
        <v>2789.73</v>
      </c>
      <c r="E36" s="1076">
        <v>4790.66</v>
      </c>
      <c r="F36" s="1076">
        <v>4508.87</v>
      </c>
      <c r="G36" s="1076">
        <v>1030.04</v>
      </c>
      <c r="H36" s="1076">
        <v>1724.27</v>
      </c>
      <c r="I36" s="1076">
        <v>1073.28</v>
      </c>
      <c r="J36" s="1076">
        <v>877</v>
      </c>
      <c r="K36" s="1076">
        <v>3942.89</v>
      </c>
      <c r="L36" s="1076">
        <v>2190.52</v>
      </c>
      <c r="M36" s="1076">
        <v>4.24</v>
      </c>
      <c r="N36" s="1076">
        <v>53.08</v>
      </c>
      <c r="O36" s="1076">
        <v>13692.81</v>
      </c>
      <c r="P36" s="1076">
        <v>12143.47</v>
      </c>
    </row>
    <row r="37" spans="1:18" ht="15" customHeight="1" x14ac:dyDescent="0.2">
      <c r="A37" s="1068">
        <v>27</v>
      </c>
      <c r="B37" s="1077" t="s">
        <v>347</v>
      </c>
      <c r="C37" s="1076">
        <v>2882.83</v>
      </c>
      <c r="D37" s="1076">
        <v>3188.19</v>
      </c>
      <c r="E37" s="1076">
        <v>1981.95</v>
      </c>
      <c r="F37" s="1076">
        <v>3080.85</v>
      </c>
      <c r="G37" s="1076">
        <v>1023.95</v>
      </c>
      <c r="H37" s="1076">
        <v>831</v>
      </c>
      <c r="I37" s="1076">
        <v>3401.92</v>
      </c>
      <c r="J37" s="1076">
        <v>3293</v>
      </c>
      <c r="K37" s="1076">
        <v>3944.75</v>
      </c>
      <c r="L37" s="1076">
        <v>4248.3900000000003</v>
      </c>
      <c r="M37" s="1076">
        <v>96.63</v>
      </c>
      <c r="N37" s="1076">
        <v>163.16</v>
      </c>
      <c r="O37" s="1076">
        <v>13332.03</v>
      </c>
      <c r="P37" s="1076">
        <v>14804.59</v>
      </c>
    </row>
    <row r="38" spans="1:18" ht="15" customHeight="1" x14ac:dyDescent="0.2">
      <c r="A38" s="1068"/>
      <c r="B38" s="1081" t="s">
        <v>570</v>
      </c>
      <c r="C38" s="1072">
        <v>5734.53</v>
      </c>
      <c r="D38" s="1072">
        <v>5977.92</v>
      </c>
      <c r="E38" s="1072">
        <v>6772.61</v>
      </c>
      <c r="F38" s="1072">
        <v>7589.7199999999993</v>
      </c>
      <c r="G38" s="1072">
        <v>2053.9899999999998</v>
      </c>
      <c r="H38" s="1072">
        <v>2555.27</v>
      </c>
      <c r="I38" s="1072">
        <v>4475.2</v>
      </c>
      <c r="J38" s="1072">
        <v>4170</v>
      </c>
      <c r="K38" s="1072">
        <v>7887.6399999999994</v>
      </c>
      <c r="L38" s="1072">
        <v>6438.91</v>
      </c>
      <c r="M38" s="1072">
        <v>100.86999999999999</v>
      </c>
      <c r="N38" s="1072">
        <v>216.24</v>
      </c>
      <c r="O38" s="1072">
        <v>27024.84</v>
      </c>
      <c r="P38" s="1072">
        <v>26948.059999999998</v>
      </c>
    </row>
    <row r="39" spans="1:18" ht="15" customHeight="1" x14ac:dyDescent="0.2">
      <c r="A39" s="1068"/>
      <c r="B39" s="1071" t="s">
        <v>117</v>
      </c>
      <c r="C39" s="1072"/>
      <c r="D39" s="1072"/>
      <c r="E39" s="1072"/>
      <c r="F39" s="1072"/>
      <c r="G39" s="1072"/>
      <c r="H39" s="1072"/>
      <c r="I39" s="1072"/>
      <c r="J39" s="1072"/>
      <c r="K39" s="1072"/>
      <c r="L39" s="1072"/>
      <c r="M39" s="1072"/>
      <c r="N39" s="1072"/>
      <c r="O39" s="1072"/>
      <c r="P39" s="1072"/>
    </row>
    <row r="40" spans="1:18" ht="15" customHeight="1" x14ac:dyDescent="0.2">
      <c r="A40" s="1068">
        <v>28</v>
      </c>
      <c r="B40" s="1083" t="s">
        <v>499</v>
      </c>
      <c r="C40" s="1069">
        <v>490.6</v>
      </c>
      <c r="D40" s="1069">
        <v>570.79999999999995</v>
      </c>
      <c r="E40" s="1069">
        <v>408.2</v>
      </c>
      <c r="F40" s="1069">
        <v>571.29999999999995</v>
      </c>
      <c r="G40" s="1069">
        <v>75.599999999999994</v>
      </c>
      <c r="H40" s="1069">
        <v>65</v>
      </c>
      <c r="I40" s="1069">
        <v>81.3</v>
      </c>
      <c r="J40" s="1069">
        <v>93.9</v>
      </c>
      <c r="K40" s="1069">
        <v>190.6</v>
      </c>
      <c r="L40" s="1069">
        <v>224.5</v>
      </c>
      <c r="M40" s="1069">
        <v>0</v>
      </c>
      <c r="N40" s="1069">
        <v>0</v>
      </c>
      <c r="O40" s="1069">
        <v>1246.2</v>
      </c>
      <c r="P40" s="1069">
        <v>1525.5</v>
      </c>
      <c r="Q40" s="1073"/>
    </row>
    <row r="41" spans="1:18" ht="15" customHeight="1" x14ac:dyDescent="0.2">
      <c r="A41" s="1068">
        <v>29</v>
      </c>
      <c r="B41" s="1079" t="s">
        <v>469</v>
      </c>
      <c r="C41" s="1069">
        <v>726.1</v>
      </c>
      <c r="D41" s="1069">
        <v>1002</v>
      </c>
      <c r="E41" s="1069">
        <v>122.6</v>
      </c>
      <c r="F41" s="1069">
        <v>122.2</v>
      </c>
      <c r="G41" s="1069">
        <v>194.2</v>
      </c>
      <c r="H41" s="1069">
        <v>203.9</v>
      </c>
      <c r="I41" s="1069">
        <v>910.1</v>
      </c>
      <c r="J41" s="1069">
        <v>1191.9000000000001</v>
      </c>
      <c r="K41" s="1069">
        <v>678.6</v>
      </c>
      <c r="L41" s="1069">
        <v>1032.2</v>
      </c>
      <c r="M41" s="1069">
        <v>5.2</v>
      </c>
      <c r="N41" s="1069">
        <v>14.3</v>
      </c>
      <c r="O41" s="1069">
        <v>2636.7</v>
      </c>
      <c r="P41" s="1069">
        <v>3566.5</v>
      </c>
    </row>
    <row r="42" spans="1:18" ht="15" customHeight="1" x14ac:dyDescent="0.2">
      <c r="A42" s="1068">
        <v>30</v>
      </c>
      <c r="B42" s="542" t="s">
        <v>482</v>
      </c>
      <c r="C42" s="1069">
        <v>188</v>
      </c>
      <c r="D42" s="1069">
        <v>233.1</v>
      </c>
      <c r="E42" s="1069">
        <v>145.19999999999999</v>
      </c>
      <c r="F42" s="1069">
        <v>220.1</v>
      </c>
      <c r="G42" s="1069">
        <v>61.8</v>
      </c>
      <c r="H42" s="1069">
        <v>102.4</v>
      </c>
      <c r="I42" s="1069">
        <v>226.3</v>
      </c>
      <c r="J42" s="1069">
        <v>226.3</v>
      </c>
      <c r="K42" s="1069">
        <v>226.5</v>
      </c>
      <c r="L42" s="1069">
        <v>222.3</v>
      </c>
      <c r="M42" s="1069">
        <v>1.6</v>
      </c>
      <c r="N42" s="1069">
        <v>1.3</v>
      </c>
      <c r="O42" s="1069">
        <v>849.4</v>
      </c>
      <c r="P42" s="1069">
        <v>1005.5000000000001</v>
      </c>
      <c r="R42" s="1073"/>
    </row>
    <row r="43" spans="1:18" ht="15" customHeight="1" x14ac:dyDescent="0.2">
      <c r="A43" s="1068">
        <v>31</v>
      </c>
      <c r="B43" s="1070" t="s">
        <v>571</v>
      </c>
      <c r="C43" s="1069">
        <v>347.8</v>
      </c>
      <c r="D43" s="1069">
        <v>503.3</v>
      </c>
      <c r="E43" s="1069">
        <v>167.7</v>
      </c>
      <c r="F43" s="1069">
        <v>276.60000000000002</v>
      </c>
      <c r="G43" s="1069">
        <v>171.3</v>
      </c>
      <c r="H43" s="1069">
        <v>279.60000000000002</v>
      </c>
      <c r="I43" s="1069">
        <v>451.8</v>
      </c>
      <c r="J43" s="1069">
        <v>588.4</v>
      </c>
      <c r="K43" s="1069">
        <v>492.8</v>
      </c>
      <c r="L43" s="1069">
        <v>744.9</v>
      </c>
      <c r="M43" s="1069">
        <v>10</v>
      </c>
      <c r="N43" s="1069">
        <v>10.5</v>
      </c>
      <c r="O43" s="1069">
        <v>1641.4</v>
      </c>
      <c r="P43" s="1069">
        <v>2403.3000000000002</v>
      </c>
    </row>
    <row r="44" spans="1:18" ht="15" customHeight="1" x14ac:dyDescent="0.2">
      <c r="A44" s="1068">
        <v>32</v>
      </c>
      <c r="B44" s="1070" t="s">
        <v>327</v>
      </c>
      <c r="C44" s="1069">
        <v>1844</v>
      </c>
      <c r="D44" s="1069">
        <v>2651.1</v>
      </c>
      <c r="E44" s="1069">
        <v>939.8</v>
      </c>
      <c r="F44" s="1069">
        <v>1671.7</v>
      </c>
      <c r="G44" s="1069">
        <v>478.4</v>
      </c>
      <c r="H44" s="1069">
        <v>843</v>
      </c>
      <c r="I44" s="1069">
        <v>2220.9</v>
      </c>
      <c r="J44" s="1069">
        <v>1703.2</v>
      </c>
      <c r="K44" s="1069">
        <v>1526.7</v>
      </c>
      <c r="L44" s="1069">
        <v>4096.5</v>
      </c>
      <c r="M44" s="1069">
        <v>106.7</v>
      </c>
      <c r="N44" s="1069">
        <v>497.6</v>
      </c>
      <c r="O44" s="1069">
        <v>7116.6</v>
      </c>
      <c r="P44" s="1069">
        <v>11463.1</v>
      </c>
    </row>
    <row r="45" spans="1:18" ht="15" customHeight="1" x14ac:dyDescent="0.2">
      <c r="A45" s="1068"/>
      <c r="B45" s="1081" t="s">
        <v>572</v>
      </c>
      <c r="C45" s="1072">
        <v>3596.5</v>
      </c>
      <c r="D45" s="1072">
        <v>4960.2999999999993</v>
      </c>
      <c r="E45" s="1072">
        <v>1783.5</v>
      </c>
      <c r="F45" s="1072">
        <v>2861.9</v>
      </c>
      <c r="G45" s="1072">
        <v>981.3</v>
      </c>
      <c r="H45" s="1072">
        <v>1493.9</v>
      </c>
      <c r="I45" s="1072">
        <v>3890.4</v>
      </c>
      <c r="J45" s="1072">
        <v>3803.7</v>
      </c>
      <c r="K45" s="1072">
        <v>3115.2</v>
      </c>
      <c r="L45" s="1072">
        <v>6320.4</v>
      </c>
      <c r="M45" s="1072">
        <v>123.5</v>
      </c>
      <c r="N45" s="1072">
        <v>523.70000000000005</v>
      </c>
      <c r="O45" s="1072">
        <v>13490.2</v>
      </c>
      <c r="P45" s="1072">
        <v>19963.900000000001</v>
      </c>
    </row>
    <row r="46" spans="1:18" ht="15" customHeight="1" x14ac:dyDescent="0.2">
      <c r="A46" s="1068"/>
      <c r="B46" s="1081" t="s">
        <v>531</v>
      </c>
      <c r="C46" s="1072"/>
      <c r="D46" s="1072"/>
      <c r="E46" s="1072"/>
      <c r="F46" s="1072"/>
      <c r="G46" s="1072"/>
      <c r="H46" s="1072"/>
      <c r="I46" s="1072"/>
      <c r="J46" s="1072"/>
      <c r="K46" s="1072"/>
      <c r="L46" s="1072"/>
      <c r="M46" s="1072"/>
      <c r="N46" s="1072"/>
      <c r="O46" s="1072"/>
      <c r="P46" s="1072"/>
      <c r="Q46" s="1073"/>
    </row>
    <row r="47" spans="1:18" ht="15" customHeight="1" x14ac:dyDescent="0.2">
      <c r="A47" s="1068">
        <v>33</v>
      </c>
      <c r="B47" s="1083" t="s">
        <v>573</v>
      </c>
      <c r="C47" s="1069">
        <v>17466.07</v>
      </c>
      <c r="D47" s="1069">
        <v>20066.6118078</v>
      </c>
      <c r="E47" s="1069">
        <v>18298.900000000001</v>
      </c>
      <c r="F47" s="1069">
        <v>21031.2202177</v>
      </c>
      <c r="G47" s="1069">
        <v>5095.13</v>
      </c>
      <c r="H47" s="1069">
        <v>5854.94</v>
      </c>
      <c r="I47" s="1069">
        <v>6297.55</v>
      </c>
      <c r="J47" s="1069">
        <v>7076.84</v>
      </c>
      <c r="K47" s="1069">
        <v>17536.2</v>
      </c>
      <c r="L47" s="1069">
        <v>19390.9204049</v>
      </c>
      <c r="M47" s="1069">
        <v>4104.67</v>
      </c>
      <c r="N47" s="1069">
        <v>3928.2400807929998</v>
      </c>
      <c r="O47" s="1069">
        <v>68798.52</v>
      </c>
      <c r="P47" s="1069">
        <v>77348.772511193005</v>
      </c>
      <c r="Q47" s="1073"/>
    </row>
    <row r="48" spans="1:18" ht="15" customHeight="1" x14ac:dyDescent="0.2">
      <c r="A48" s="1068"/>
      <c r="B48" s="1081" t="s">
        <v>574</v>
      </c>
      <c r="C48" s="1072">
        <v>17466.07</v>
      </c>
      <c r="D48" s="1072">
        <v>20066.6118078</v>
      </c>
      <c r="E48" s="1072">
        <v>18298.900000000001</v>
      </c>
      <c r="F48" s="1072">
        <v>21031.2202177</v>
      </c>
      <c r="G48" s="1072">
        <v>5095.13</v>
      </c>
      <c r="H48" s="1072">
        <v>5854.94</v>
      </c>
      <c r="I48" s="1072">
        <v>6297.55</v>
      </c>
      <c r="J48" s="1072">
        <v>7076.84</v>
      </c>
      <c r="K48" s="1072">
        <v>17536.2</v>
      </c>
      <c r="L48" s="1072">
        <v>19390.9204049</v>
      </c>
      <c r="M48" s="1072">
        <v>4104.67</v>
      </c>
      <c r="N48" s="1072">
        <v>3928.2400807929998</v>
      </c>
      <c r="O48" s="1072">
        <v>68798.52</v>
      </c>
      <c r="P48" s="1072">
        <v>77348.772511193005</v>
      </c>
    </row>
    <row r="49" spans="1:16" ht="15" customHeight="1" x14ac:dyDescent="0.2">
      <c r="A49" s="1068"/>
      <c r="B49" s="1071" t="s">
        <v>575</v>
      </c>
      <c r="C49" s="1084"/>
      <c r="D49" s="1084"/>
      <c r="E49" s="1084"/>
      <c r="F49" s="1084"/>
      <c r="G49" s="1084"/>
      <c r="H49" s="1084"/>
      <c r="I49" s="1084"/>
      <c r="J49" s="1084"/>
      <c r="K49" s="1084"/>
      <c r="L49" s="1084"/>
      <c r="M49" s="1084"/>
      <c r="N49" s="1084"/>
      <c r="O49" s="1084"/>
      <c r="P49" s="1084"/>
    </row>
    <row r="50" spans="1:16" ht="15" customHeight="1" x14ac:dyDescent="0.2">
      <c r="A50" s="1068">
        <v>34</v>
      </c>
      <c r="B50" s="1075" t="s">
        <v>576</v>
      </c>
      <c r="C50" s="1084">
        <v>119.89</v>
      </c>
      <c r="D50" s="1084">
        <v>136</v>
      </c>
      <c r="E50" s="1084">
        <v>35.380000000000003</v>
      </c>
      <c r="F50" s="1084">
        <v>59.56</v>
      </c>
      <c r="G50" s="1084">
        <v>30.32</v>
      </c>
      <c r="H50" s="1084">
        <v>44.95</v>
      </c>
      <c r="I50" s="1084">
        <v>48.38</v>
      </c>
      <c r="J50" s="1084">
        <v>60.9</v>
      </c>
      <c r="K50" s="1084">
        <v>25.13</v>
      </c>
      <c r="L50" s="1084">
        <v>35.14</v>
      </c>
      <c r="M50" s="1084">
        <v>0</v>
      </c>
      <c r="N50" s="1084">
        <v>0</v>
      </c>
      <c r="O50" s="1084">
        <v>259.10000000000002</v>
      </c>
      <c r="P50" s="1084">
        <v>336.55</v>
      </c>
    </row>
    <row r="51" spans="1:16" ht="15" customHeight="1" x14ac:dyDescent="0.2">
      <c r="A51" s="1068">
        <v>35</v>
      </c>
      <c r="B51" s="1075" t="s">
        <v>577</v>
      </c>
      <c r="C51" s="1084">
        <v>945.3</v>
      </c>
      <c r="D51" s="1084">
        <v>935.7</v>
      </c>
      <c r="E51" s="1084">
        <v>52.91</v>
      </c>
      <c r="F51" s="1084">
        <v>42.24</v>
      </c>
      <c r="G51" s="1084">
        <v>122.64</v>
      </c>
      <c r="H51" s="1084">
        <v>141.61000000000001</v>
      </c>
      <c r="I51" s="1084">
        <v>120.41</v>
      </c>
      <c r="J51" s="1084">
        <v>94.49</v>
      </c>
      <c r="K51" s="1084">
        <v>95.76</v>
      </c>
      <c r="L51" s="1084">
        <v>118.11</v>
      </c>
      <c r="M51" s="1084">
        <v>0</v>
      </c>
      <c r="N51" s="1084">
        <v>0</v>
      </c>
      <c r="O51" s="1084">
        <v>1337.02</v>
      </c>
      <c r="P51" s="1084">
        <v>1332.15</v>
      </c>
    </row>
    <row r="52" spans="1:16" ht="15" customHeight="1" x14ac:dyDescent="0.2">
      <c r="A52" s="1068">
        <v>36</v>
      </c>
      <c r="B52" s="1085" t="s">
        <v>578</v>
      </c>
      <c r="C52" s="1084">
        <v>650.34</v>
      </c>
      <c r="D52" s="1084">
        <v>865.43</v>
      </c>
      <c r="E52" s="1084">
        <v>0</v>
      </c>
      <c r="F52" s="1084">
        <v>0</v>
      </c>
      <c r="G52" s="1084">
        <v>0</v>
      </c>
      <c r="H52" s="1084">
        <v>0</v>
      </c>
      <c r="I52" s="1084">
        <v>143.33000000000001</v>
      </c>
      <c r="J52" s="1084">
        <v>167.27</v>
      </c>
      <c r="K52" s="1084">
        <v>0</v>
      </c>
      <c r="L52" s="1084">
        <v>0</v>
      </c>
      <c r="M52" s="1084">
        <v>0</v>
      </c>
      <c r="N52" s="1084">
        <v>0</v>
      </c>
      <c r="O52" s="1084">
        <v>793.67</v>
      </c>
      <c r="P52" s="1084">
        <v>1032.7</v>
      </c>
    </row>
    <row r="53" spans="1:16" ht="15" customHeight="1" x14ac:dyDescent="0.2">
      <c r="A53" s="1068">
        <v>37</v>
      </c>
      <c r="B53" s="1075" t="s">
        <v>579</v>
      </c>
      <c r="C53" s="1069">
        <v>820.67</v>
      </c>
      <c r="D53" s="1069">
        <v>1137.29</v>
      </c>
      <c r="E53" s="1069">
        <v>5.0999999999999996</v>
      </c>
      <c r="F53" s="1069">
        <v>21.1</v>
      </c>
      <c r="G53" s="1069">
        <v>229.75</v>
      </c>
      <c r="H53" s="1069">
        <v>218.09</v>
      </c>
      <c r="I53" s="1069">
        <v>280.76</v>
      </c>
      <c r="J53" s="1069">
        <v>283.69</v>
      </c>
      <c r="K53" s="1069">
        <v>311.17</v>
      </c>
      <c r="L53" s="1069">
        <v>318.16000000000003</v>
      </c>
      <c r="M53" s="1069">
        <v>0</v>
      </c>
      <c r="N53" s="1069">
        <v>0</v>
      </c>
      <c r="O53" s="1069">
        <v>1647.45</v>
      </c>
      <c r="P53" s="1069">
        <v>1978.33</v>
      </c>
    </row>
    <row r="54" spans="1:16" ht="15" customHeight="1" x14ac:dyDescent="0.2">
      <c r="A54" s="1068">
        <v>38</v>
      </c>
      <c r="B54" s="1079" t="s">
        <v>580</v>
      </c>
      <c r="C54" s="1069">
        <v>3075.72</v>
      </c>
      <c r="D54" s="1069">
        <v>4971.54</v>
      </c>
      <c r="E54" s="1069">
        <v>0</v>
      </c>
      <c r="F54" s="1069">
        <v>0</v>
      </c>
      <c r="G54" s="1069">
        <v>266.45999999999998</v>
      </c>
      <c r="H54" s="1069">
        <v>396.75</v>
      </c>
      <c r="I54" s="1069">
        <v>307.31</v>
      </c>
      <c r="J54" s="1069">
        <v>658.09</v>
      </c>
      <c r="K54" s="1069">
        <v>0</v>
      </c>
      <c r="L54" s="1069">
        <v>0</v>
      </c>
      <c r="M54" s="1069">
        <v>0</v>
      </c>
      <c r="N54" s="1069">
        <v>0</v>
      </c>
      <c r="O54" s="1069">
        <v>3649.49</v>
      </c>
      <c r="P54" s="1069">
        <v>6026.38</v>
      </c>
    </row>
    <row r="55" spans="1:16" ht="15" customHeight="1" x14ac:dyDescent="0.2">
      <c r="A55" s="1068">
        <v>39</v>
      </c>
      <c r="B55" s="1079" t="s">
        <v>581</v>
      </c>
      <c r="C55" s="1069">
        <v>2068.1799999999998</v>
      </c>
      <c r="D55" s="1069">
        <v>2291.73</v>
      </c>
      <c r="E55" s="1069">
        <v>0</v>
      </c>
      <c r="F55" s="1069">
        <v>0</v>
      </c>
      <c r="G55" s="1069">
        <v>0</v>
      </c>
      <c r="H55" s="1069">
        <v>0</v>
      </c>
      <c r="I55" s="1069">
        <v>429.21</v>
      </c>
      <c r="J55" s="1069">
        <v>467.02</v>
      </c>
      <c r="K55" s="1069">
        <v>0</v>
      </c>
      <c r="L55" s="1069">
        <v>225.75</v>
      </c>
      <c r="M55" s="1069">
        <v>0</v>
      </c>
      <c r="N55" s="1069">
        <v>0</v>
      </c>
      <c r="O55" s="1069">
        <v>2497.39</v>
      </c>
      <c r="P55" s="1069">
        <v>2984.5</v>
      </c>
    </row>
    <row r="56" spans="1:16" ht="15" customHeight="1" x14ac:dyDescent="0.2">
      <c r="A56" s="1068">
        <v>40</v>
      </c>
      <c r="B56" s="1079" t="s">
        <v>582</v>
      </c>
      <c r="C56" s="1069">
        <v>1346.91</v>
      </c>
      <c r="D56" s="1069">
        <v>1737.82</v>
      </c>
      <c r="E56" s="1069">
        <v>0</v>
      </c>
      <c r="F56" s="1069">
        <v>0</v>
      </c>
      <c r="G56" s="1069">
        <v>151.72</v>
      </c>
      <c r="H56" s="1069">
        <v>155.96</v>
      </c>
      <c r="I56" s="1069">
        <v>226.75</v>
      </c>
      <c r="J56" s="1069">
        <v>221.18</v>
      </c>
      <c r="K56" s="1069">
        <v>0</v>
      </c>
      <c r="L56" s="1069">
        <v>0</v>
      </c>
      <c r="M56" s="1069">
        <v>0</v>
      </c>
      <c r="N56" s="1069">
        <v>0</v>
      </c>
      <c r="O56" s="1069">
        <v>1725.38</v>
      </c>
      <c r="P56" s="1069">
        <v>2114.96</v>
      </c>
    </row>
    <row r="57" spans="1:16" ht="15" customHeight="1" x14ac:dyDescent="0.2">
      <c r="A57" s="1068">
        <v>41</v>
      </c>
      <c r="B57" s="1079" t="s">
        <v>583</v>
      </c>
      <c r="C57" s="1069">
        <v>2675.76</v>
      </c>
      <c r="D57" s="1069">
        <v>3507.52</v>
      </c>
      <c r="E57" s="1069">
        <v>0</v>
      </c>
      <c r="F57" s="1069">
        <v>0</v>
      </c>
      <c r="G57" s="1069">
        <v>351.37</v>
      </c>
      <c r="H57" s="1069">
        <v>478.88</v>
      </c>
      <c r="I57" s="1069">
        <v>398.26</v>
      </c>
      <c r="J57" s="1069">
        <v>678.08</v>
      </c>
      <c r="K57" s="1069">
        <v>0</v>
      </c>
      <c r="L57" s="1069">
        <v>0</v>
      </c>
      <c r="M57" s="1069">
        <v>0</v>
      </c>
      <c r="N57" s="1069">
        <v>0</v>
      </c>
      <c r="O57" s="1069">
        <v>3425.39</v>
      </c>
      <c r="P57" s="1069">
        <v>4664.4799999999996</v>
      </c>
    </row>
    <row r="58" spans="1:16" ht="15" customHeight="1" x14ac:dyDescent="0.2">
      <c r="A58" s="1068">
        <v>42</v>
      </c>
      <c r="B58" s="1085" t="s">
        <v>584</v>
      </c>
      <c r="C58" s="1069">
        <v>275.94</v>
      </c>
      <c r="D58" s="1069">
        <v>387.28</v>
      </c>
      <c r="E58" s="1069">
        <v>0</v>
      </c>
      <c r="F58" s="1069">
        <v>0</v>
      </c>
      <c r="G58" s="1069">
        <v>15.12</v>
      </c>
      <c r="H58" s="1069">
        <v>56.08</v>
      </c>
      <c r="I58" s="1069">
        <v>107.08</v>
      </c>
      <c r="J58" s="1069">
        <v>71.72</v>
      </c>
      <c r="K58" s="1069">
        <v>0</v>
      </c>
      <c r="L58" s="1069">
        <v>0</v>
      </c>
      <c r="M58" s="1069">
        <v>0</v>
      </c>
      <c r="N58" s="1069">
        <v>0</v>
      </c>
      <c r="O58" s="1069">
        <v>398.14</v>
      </c>
      <c r="P58" s="1069">
        <v>515.07999999999993</v>
      </c>
    </row>
    <row r="59" spans="1:16" ht="15" customHeight="1" x14ac:dyDescent="0.2">
      <c r="A59" s="1068"/>
      <c r="B59" s="1081" t="s">
        <v>585</v>
      </c>
      <c r="C59" s="1086">
        <v>11978.710000000001</v>
      </c>
      <c r="D59" s="1086">
        <v>15970.310000000001</v>
      </c>
      <c r="E59" s="1086">
        <v>93.389999999999986</v>
      </c>
      <c r="F59" s="1086">
        <v>122.9</v>
      </c>
      <c r="G59" s="1086">
        <v>1167.3800000000001</v>
      </c>
      <c r="H59" s="1086">
        <v>1492.32</v>
      </c>
      <c r="I59" s="1086">
        <v>2061.4900000000002</v>
      </c>
      <c r="J59" s="1086">
        <v>2702.44</v>
      </c>
      <c r="K59" s="1086">
        <v>432.06</v>
      </c>
      <c r="L59" s="1086">
        <v>697.16000000000008</v>
      </c>
      <c r="M59" s="1086">
        <v>0</v>
      </c>
      <c r="N59" s="1086">
        <v>0</v>
      </c>
      <c r="O59" s="1086">
        <v>15733.03</v>
      </c>
      <c r="P59" s="1086">
        <v>20985.129999999997</v>
      </c>
    </row>
    <row r="60" spans="1:16" ht="15" customHeight="1" x14ac:dyDescent="0.2">
      <c r="A60" s="1087"/>
      <c r="B60" s="1088" t="s">
        <v>120</v>
      </c>
      <c r="C60" s="1089">
        <f t="shared" ref="C60:P60" si="0">C34+C11+C38+C45+C48+C59</f>
        <v>120533.3</v>
      </c>
      <c r="D60" s="1089">
        <f t="shared" si="0"/>
        <v>139166.4718078</v>
      </c>
      <c r="E60" s="1089">
        <f t="shared" si="0"/>
        <v>87976.900000000009</v>
      </c>
      <c r="F60" s="1089">
        <f t="shared" si="0"/>
        <v>104645.32021769999</v>
      </c>
      <c r="G60" s="1089">
        <f t="shared" si="0"/>
        <v>34666.979999999996</v>
      </c>
      <c r="H60" s="1089">
        <f t="shared" si="0"/>
        <v>38469.520000000004</v>
      </c>
      <c r="I60" s="1089">
        <f t="shared" si="0"/>
        <v>65930.69</v>
      </c>
      <c r="J60" s="1089">
        <f t="shared" si="0"/>
        <v>68181.100000000006</v>
      </c>
      <c r="K60" s="1089">
        <f t="shared" si="0"/>
        <v>110065.79999999999</v>
      </c>
      <c r="L60" s="1089">
        <f t="shared" si="0"/>
        <v>116712.62040489999</v>
      </c>
      <c r="M60" s="1089">
        <f t="shared" si="0"/>
        <v>14127.93</v>
      </c>
      <c r="N60" s="1089">
        <f t="shared" si="0"/>
        <v>17365.180080793001</v>
      </c>
      <c r="O60" s="1089">
        <f t="shared" si="0"/>
        <v>433301.3600000001</v>
      </c>
      <c r="P60" s="1089">
        <f t="shared" si="0"/>
        <v>484540.21251119307</v>
      </c>
    </row>
    <row r="61" spans="1:16" x14ac:dyDescent="0.2">
      <c r="A61" s="1090" t="s">
        <v>586</v>
      </c>
      <c r="C61" s="1091"/>
      <c r="D61" s="1091"/>
      <c r="E61" s="1091"/>
      <c r="F61" s="1091"/>
      <c r="G61" s="1091"/>
      <c r="H61" s="1091"/>
      <c r="I61" s="1091"/>
      <c r="J61" s="1091"/>
      <c r="K61" s="1091"/>
      <c r="L61" s="1091"/>
      <c r="M61" s="1091"/>
      <c r="N61" s="1091"/>
      <c r="O61" s="1091"/>
      <c r="P61" s="1091"/>
    </row>
  </sheetData>
  <mergeCells count="10">
    <mergeCell ref="A3:P3"/>
    <mergeCell ref="A4:A5"/>
    <mergeCell ref="B4:B5"/>
    <mergeCell ref="C4:D4"/>
    <mergeCell ref="E4:F4"/>
    <mergeCell ref="G4:H4"/>
    <mergeCell ref="I4:J4"/>
    <mergeCell ref="K4:L4"/>
    <mergeCell ref="M4:N4"/>
    <mergeCell ref="O4:P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5"/>
  <sheetViews>
    <sheetView workbookViewId="0">
      <selection sqref="A1:K1"/>
    </sheetView>
  </sheetViews>
  <sheetFormatPr defaultRowHeight="12.75" x14ac:dyDescent="0.2"/>
  <cols>
    <col min="1" max="1" width="6.140625" style="185" customWidth="1"/>
    <col min="2" max="2" width="45.42578125" style="185" customWidth="1"/>
    <col min="3" max="3" width="9.28515625" style="185" bestFit="1" customWidth="1"/>
    <col min="4" max="11" width="10.28515625" style="185" bestFit="1" customWidth="1"/>
    <col min="12" max="16384" width="9.140625" style="185"/>
  </cols>
  <sheetData>
    <row r="1" spans="1:11" ht="20.25" customHeight="1" x14ac:dyDescent="0.2">
      <c r="A1" s="971" t="s">
        <v>555</v>
      </c>
      <c r="B1" s="971"/>
      <c r="C1" s="971"/>
      <c r="D1" s="971"/>
      <c r="E1" s="971"/>
      <c r="F1" s="971"/>
      <c r="G1" s="971"/>
      <c r="H1" s="971"/>
      <c r="I1" s="971"/>
      <c r="J1" s="971"/>
      <c r="K1" s="971"/>
    </row>
    <row r="2" spans="1:11" ht="14.25" x14ac:dyDescent="0.2">
      <c r="A2" s="970" t="s">
        <v>497</v>
      </c>
      <c r="B2" s="970"/>
      <c r="C2" s="970"/>
      <c r="D2" s="970"/>
      <c r="E2" s="970"/>
      <c r="F2" s="970"/>
      <c r="G2" s="970"/>
      <c r="H2" s="970"/>
      <c r="I2" s="970"/>
      <c r="J2" s="970"/>
      <c r="K2" s="970"/>
    </row>
    <row r="3" spans="1:11" ht="12.75" customHeight="1" x14ac:dyDescent="0.2">
      <c r="E3" s="575"/>
      <c r="F3" s="575"/>
      <c r="G3" s="575"/>
      <c r="H3" s="575"/>
      <c r="K3" s="541" t="s">
        <v>474</v>
      </c>
    </row>
    <row r="4" spans="1:11" x14ac:dyDescent="0.2">
      <c r="A4" s="586" t="s">
        <v>2</v>
      </c>
      <c r="B4" s="360" t="s">
        <v>101</v>
      </c>
      <c r="C4" s="361">
        <v>2014</v>
      </c>
      <c r="D4" s="361">
        <v>2015</v>
      </c>
      <c r="E4" s="362">
        <v>2016</v>
      </c>
      <c r="F4" s="363">
        <v>2017</v>
      </c>
      <c r="G4" s="363">
        <v>2018</v>
      </c>
      <c r="H4" s="362">
        <v>2019</v>
      </c>
      <c r="I4" s="362">
        <v>2020</v>
      </c>
      <c r="J4" s="362">
        <v>2021</v>
      </c>
      <c r="K4" s="362">
        <v>2022</v>
      </c>
    </row>
    <row r="5" spans="1:11" x14ac:dyDescent="0.2">
      <c r="A5" s="545"/>
      <c r="B5" s="364" t="s">
        <v>104</v>
      </c>
      <c r="C5" s="368"/>
      <c r="D5" s="368"/>
      <c r="E5" s="368"/>
      <c r="F5" s="368"/>
      <c r="G5" s="368"/>
      <c r="H5" s="368"/>
      <c r="I5" s="368"/>
      <c r="J5" s="368"/>
      <c r="K5" s="368"/>
    </row>
    <row r="6" spans="1:11" x14ac:dyDescent="0.2">
      <c r="A6" s="545">
        <v>1</v>
      </c>
      <c r="B6" s="366" t="s">
        <v>9</v>
      </c>
      <c r="C6" s="576">
        <v>100</v>
      </c>
      <c r="D6" s="577">
        <v>100</v>
      </c>
      <c r="E6" s="576">
        <v>100</v>
      </c>
      <c r="F6" s="376">
        <v>100</v>
      </c>
      <c r="G6" s="376">
        <v>100</v>
      </c>
      <c r="H6" s="378">
        <v>100</v>
      </c>
      <c r="I6" s="378">
        <v>2500</v>
      </c>
      <c r="J6" s="378">
        <v>5675</v>
      </c>
      <c r="K6" s="378">
        <v>9375</v>
      </c>
    </row>
    <row r="7" spans="1:11" x14ac:dyDescent="0.2">
      <c r="A7" s="545">
        <v>2</v>
      </c>
      <c r="B7" s="366" t="s">
        <v>12</v>
      </c>
      <c r="C7" s="576">
        <v>200</v>
      </c>
      <c r="D7" s="577">
        <v>200</v>
      </c>
      <c r="E7" s="576">
        <v>200</v>
      </c>
      <c r="F7" s="376">
        <v>200</v>
      </c>
      <c r="G7" s="376">
        <v>412</v>
      </c>
      <c r="H7" s="378">
        <v>824</v>
      </c>
      <c r="I7" s="378">
        <v>824</v>
      </c>
      <c r="J7" s="378">
        <v>824</v>
      </c>
      <c r="K7" s="378">
        <v>824</v>
      </c>
    </row>
    <row r="8" spans="1:11" x14ac:dyDescent="0.2">
      <c r="A8" s="545">
        <v>3</v>
      </c>
      <c r="B8" s="366" t="s">
        <v>14</v>
      </c>
      <c r="C8" s="576">
        <v>150</v>
      </c>
      <c r="D8" s="577">
        <v>200</v>
      </c>
      <c r="E8" s="576">
        <v>200</v>
      </c>
      <c r="F8" s="376">
        <v>200</v>
      </c>
      <c r="G8" s="376">
        <v>200</v>
      </c>
      <c r="H8" s="378">
        <v>200</v>
      </c>
      <c r="I8" s="378">
        <v>250</v>
      </c>
      <c r="J8" s="378">
        <v>3420</v>
      </c>
      <c r="K8" s="378">
        <v>4620</v>
      </c>
    </row>
    <row r="9" spans="1:11" x14ac:dyDescent="0.2">
      <c r="A9" s="545">
        <v>4</v>
      </c>
      <c r="B9" s="366" t="s">
        <v>16</v>
      </c>
      <c r="C9" s="576">
        <v>150</v>
      </c>
      <c r="D9" s="577">
        <v>150</v>
      </c>
      <c r="E9" s="576">
        <v>150</v>
      </c>
      <c r="F9" s="576">
        <v>150</v>
      </c>
      <c r="G9" s="576">
        <v>150</v>
      </c>
      <c r="H9" s="576">
        <v>150</v>
      </c>
      <c r="I9" s="576">
        <v>200</v>
      </c>
      <c r="J9" s="576">
        <v>3805</v>
      </c>
      <c r="K9" s="576">
        <v>3905</v>
      </c>
    </row>
    <row r="10" spans="1:11" x14ac:dyDescent="0.2">
      <c r="A10" s="545"/>
      <c r="B10" s="364" t="s">
        <v>105</v>
      </c>
      <c r="C10" s="369">
        <v>600</v>
      </c>
      <c r="D10" s="375">
        <f>SUM(D6:D9)</f>
        <v>650</v>
      </c>
      <c r="E10" s="369">
        <v>650</v>
      </c>
      <c r="F10" s="369">
        <v>650</v>
      </c>
      <c r="G10" s="369">
        <v>862</v>
      </c>
      <c r="H10" s="369">
        <v>1274</v>
      </c>
      <c r="I10" s="369">
        <v>3774</v>
      </c>
      <c r="J10" s="369">
        <v>13724</v>
      </c>
      <c r="K10" s="369">
        <v>18724</v>
      </c>
    </row>
    <row r="11" spans="1:11" ht="13.5" customHeight="1" x14ac:dyDescent="0.2">
      <c r="A11" s="545"/>
      <c r="B11" s="364" t="s">
        <v>106</v>
      </c>
      <c r="C11" s="370"/>
      <c r="D11" s="370"/>
      <c r="E11" s="370"/>
      <c r="F11" s="370"/>
      <c r="G11" s="370"/>
      <c r="H11" s="370"/>
      <c r="I11" s="370"/>
      <c r="J11" s="370"/>
      <c r="K11" s="370"/>
    </row>
    <row r="12" spans="1:11" x14ac:dyDescent="0.2">
      <c r="A12" s="545">
        <v>5</v>
      </c>
      <c r="B12" s="578" t="s">
        <v>18</v>
      </c>
      <c r="C12" s="577" t="s">
        <v>167</v>
      </c>
      <c r="D12" s="577" t="s">
        <v>167</v>
      </c>
      <c r="E12" s="577" t="s">
        <v>167</v>
      </c>
      <c r="F12" s="577" t="s">
        <v>167</v>
      </c>
      <c r="G12" s="577">
        <v>136</v>
      </c>
      <c r="H12" s="376">
        <v>236</v>
      </c>
      <c r="I12" s="376">
        <v>546</v>
      </c>
      <c r="J12" s="376">
        <v>596</v>
      </c>
      <c r="K12" s="376">
        <v>1146</v>
      </c>
    </row>
    <row r="13" spans="1:11" x14ac:dyDescent="0.2">
      <c r="A13" s="545">
        <v>6</v>
      </c>
      <c r="B13" s="579" t="s">
        <v>21</v>
      </c>
      <c r="C13" s="577">
        <v>110.22</v>
      </c>
      <c r="D13" s="577">
        <v>110.22</v>
      </c>
      <c r="E13" s="577">
        <v>110.23</v>
      </c>
      <c r="F13" s="376">
        <v>110.23</v>
      </c>
      <c r="G13" s="376">
        <v>110.22725</v>
      </c>
      <c r="H13" s="376">
        <v>110.22725</v>
      </c>
      <c r="I13" s="376">
        <v>110.22725</v>
      </c>
      <c r="J13" s="376">
        <v>110.22725</v>
      </c>
      <c r="K13" s="376">
        <v>110.22725</v>
      </c>
    </row>
    <row r="14" spans="1:11" x14ac:dyDescent="0.2">
      <c r="A14" s="545">
        <v>7</v>
      </c>
      <c r="B14" s="579" t="s">
        <v>510</v>
      </c>
      <c r="C14" s="577">
        <v>976.55149399999993</v>
      </c>
      <c r="D14" s="577">
        <v>1238.6600000000001</v>
      </c>
      <c r="E14" s="577">
        <v>1571.45</v>
      </c>
      <c r="F14" s="376">
        <v>1621.45</v>
      </c>
      <c r="G14" s="376">
        <v>1621.445322</v>
      </c>
      <c r="H14" s="376">
        <v>1621.4453000000001</v>
      </c>
      <c r="I14" s="376">
        <v>2005.9812164140001</v>
      </c>
      <c r="J14" s="376">
        <v>2055.9812160000006</v>
      </c>
      <c r="K14" s="376">
        <v>0</v>
      </c>
    </row>
    <row r="15" spans="1:11" x14ac:dyDescent="0.2">
      <c r="A15" s="545">
        <v>8</v>
      </c>
      <c r="B15" s="579" t="s">
        <v>27</v>
      </c>
      <c r="C15" s="577">
        <v>298.8</v>
      </c>
      <c r="D15" s="577">
        <v>298.8</v>
      </c>
      <c r="E15" s="577">
        <v>298.81</v>
      </c>
      <c r="F15" s="376">
        <v>298.81</v>
      </c>
      <c r="G15" s="376">
        <v>298.8057</v>
      </c>
      <c r="H15" s="376">
        <v>298.8057</v>
      </c>
      <c r="I15" s="376">
        <v>298.8057</v>
      </c>
      <c r="J15" s="376">
        <v>298.8057</v>
      </c>
      <c r="K15" s="376">
        <v>298.8057</v>
      </c>
    </row>
    <row r="16" spans="1:11" x14ac:dyDescent="0.2">
      <c r="A16" s="545">
        <v>9</v>
      </c>
      <c r="B16" s="579" t="s">
        <v>31</v>
      </c>
      <c r="C16" s="577" t="s">
        <v>167</v>
      </c>
      <c r="D16" s="577" t="s">
        <v>167</v>
      </c>
      <c r="E16" s="577" t="s">
        <v>167</v>
      </c>
      <c r="F16" s="577" t="s">
        <v>167</v>
      </c>
      <c r="G16" s="577">
        <v>170</v>
      </c>
      <c r="H16" s="376">
        <v>208</v>
      </c>
      <c r="I16" s="376">
        <v>308</v>
      </c>
      <c r="J16" s="376">
        <v>393</v>
      </c>
      <c r="K16" s="376">
        <v>513</v>
      </c>
    </row>
    <row r="17" spans="1:11" x14ac:dyDescent="0.2">
      <c r="A17" s="545">
        <v>10</v>
      </c>
      <c r="B17" s="579" t="s">
        <v>33</v>
      </c>
      <c r="C17" s="577">
        <v>710</v>
      </c>
      <c r="D17" s="577">
        <v>710</v>
      </c>
      <c r="E17" s="577">
        <v>710</v>
      </c>
      <c r="F17" s="376">
        <v>809.8</v>
      </c>
      <c r="G17" s="376">
        <v>809.80370500000004</v>
      </c>
      <c r="H17" s="376">
        <v>809.80370500000004</v>
      </c>
      <c r="I17" s="376">
        <v>904.80370500000004</v>
      </c>
      <c r="J17" s="376">
        <v>904.80370500000004</v>
      </c>
      <c r="K17" s="376">
        <v>904.80370500000004</v>
      </c>
    </row>
    <row r="18" spans="1:11" x14ac:dyDescent="0.2">
      <c r="A18" s="545">
        <v>11</v>
      </c>
      <c r="B18" s="579" t="s">
        <v>37</v>
      </c>
      <c r="C18" s="577" t="s">
        <v>167</v>
      </c>
      <c r="D18" s="577" t="s">
        <v>167</v>
      </c>
      <c r="E18" s="577" t="s">
        <v>167</v>
      </c>
      <c r="F18" s="577" t="s">
        <v>167</v>
      </c>
      <c r="G18" s="577">
        <v>350</v>
      </c>
      <c r="H18" s="376">
        <v>674.56521999999995</v>
      </c>
      <c r="I18" s="376">
        <v>816.84305099999995</v>
      </c>
      <c r="J18" s="376">
        <v>824.69189700000004</v>
      </c>
      <c r="K18" s="376">
        <v>859.01175499999999</v>
      </c>
    </row>
    <row r="19" spans="1:11" x14ac:dyDescent="0.2">
      <c r="A19" s="545">
        <v>12</v>
      </c>
      <c r="B19" s="365" t="s">
        <v>108</v>
      </c>
      <c r="C19" s="577">
        <v>529.28425000000004</v>
      </c>
      <c r="D19" s="577">
        <v>538.62</v>
      </c>
      <c r="E19" s="577">
        <v>538.62</v>
      </c>
      <c r="F19" s="577" t="s">
        <v>167</v>
      </c>
      <c r="G19" s="577" t="s">
        <v>167</v>
      </c>
      <c r="H19" s="376" t="s">
        <v>107</v>
      </c>
      <c r="I19" s="376" t="s">
        <v>107</v>
      </c>
      <c r="J19" s="687" t="s">
        <v>107</v>
      </c>
      <c r="K19" s="687" t="s">
        <v>107</v>
      </c>
    </row>
    <row r="20" spans="1:11" s="544" customFormat="1" x14ac:dyDescent="0.2">
      <c r="A20" s="587"/>
      <c r="B20" s="365" t="s">
        <v>109</v>
      </c>
      <c r="C20" s="580">
        <v>495</v>
      </c>
      <c r="D20" s="580">
        <v>620</v>
      </c>
      <c r="E20" s="577">
        <v>705</v>
      </c>
      <c r="F20" s="376">
        <v>600.47</v>
      </c>
      <c r="G20" s="376">
        <v>605.07180000000005</v>
      </c>
      <c r="H20" s="376">
        <v>605.42205000000001</v>
      </c>
      <c r="I20" s="376">
        <v>605.84205001999999</v>
      </c>
      <c r="J20" s="376">
        <v>711.56205002000002</v>
      </c>
      <c r="K20" s="376">
        <v>712.78003502000001</v>
      </c>
    </row>
    <row r="21" spans="1:11" x14ac:dyDescent="0.2">
      <c r="A21" s="545">
        <v>13</v>
      </c>
      <c r="B21" s="366" t="s">
        <v>42</v>
      </c>
      <c r="C21" s="577">
        <v>445.05</v>
      </c>
      <c r="D21" s="577">
        <v>446.59</v>
      </c>
      <c r="E21" s="577">
        <v>447.54</v>
      </c>
      <c r="F21" s="376">
        <v>451.15</v>
      </c>
      <c r="G21" s="376">
        <v>453.94830400000001</v>
      </c>
      <c r="H21" s="376">
        <v>454.30994399999997</v>
      </c>
      <c r="I21" s="376">
        <v>454.46626400000002</v>
      </c>
      <c r="J21" s="376">
        <v>454.59450399999997</v>
      </c>
      <c r="K21" s="376">
        <v>490.89</v>
      </c>
    </row>
    <row r="22" spans="1:11" x14ac:dyDescent="0.2">
      <c r="A22" s="545">
        <v>14</v>
      </c>
      <c r="B22" s="581" t="s">
        <v>45</v>
      </c>
      <c r="C22" s="577">
        <v>269.32150000000001</v>
      </c>
      <c r="D22" s="577">
        <v>269.32</v>
      </c>
      <c r="E22" s="577">
        <v>269.32</v>
      </c>
      <c r="F22" s="376">
        <v>269.32</v>
      </c>
      <c r="G22" s="376">
        <v>269.32150000000001</v>
      </c>
      <c r="H22" s="376">
        <v>274.2183</v>
      </c>
      <c r="I22" s="376">
        <v>274.2183</v>
      </c>
      <c r="J22" s="376">
        <v>274.2183</v>
      </c>
      <c r="K22" s="376">
        <v>280.25436200000001</v>
      </c>
    </row>
    <row r="23" spans="1:11" x14ac:dyDescent="0.2">
      <c r="A23" s="545">
        <v>15</v>
      </c>
      <c r="B23" s="579" t="s">
        <v>49</v>
      </c>
      <c r="C23" s="577" t="s">
        <v>167</v>
      </c>
      <c r="D23" s="577" t="s">
        <v>167</v>
      </c>
      <c r="E23" s="577">
        <v>135</v>
      </c>
      <c r="F23" s="376">
        <v>135</v>
      </c>
      <c r="G23" s="376">
        <v>175</v>
      </c>
      <c r="H23" s="376">
        <v>220</v>
      </c>
      <c r="I23" s="376">
        <v>305</v>
      </c>
      <c r="J23" s="376">
        <v>330</v>
      </c>
      <c r="K23" s="376">
        <v>455</v>
      </c>
    </row>
    <row r="24" spans="1:11" x14ac:dyDescent="0.2">
      <c r="A24" s="545">
        <v>16</v>
      </c>
      <c r="B24" s="366" t="s">
        <v>52</v>
      </c>
      <c r="C24" s="577">
        <v>100</v>
      </c>
      <c r="D24" s="577">
        <v>100</v>
      </c>
      <c r="E24" s="577">
        <v>112.5</v>
      </c>
      <c r="F24" s="577">
        <v>984.35</v>
      </c>
      <c r="G24" s="577">
        <v>1084.6003000000001</v>
      </c>
      <c r="H24" s="376">
        <v>1085.23</v>
      </c>
      <c r="I24" s="376">
        <v>1085.97515</v>
      </c>
      <c r="J24" s="376">
        <v>1086.22515</v>
      </c>
      <c r="K24" s="376">
        <v>1086.22515</v>
      </c>
    </row>
    <row r="25" spans="1:11" x14ac:dyDescent="0.2">
      <c r="A25" s="545">
        <v>17</v>
      </c>
      <c r="B25" s="579" t="s">
        <v>56</v>
      </c>
      <c r="C25" s="577">
        <v>359.35</v>
      </c>
      <c r="D25" s="577">
        <v>679.35</v>
      </c>
      <c r="E25" s="577">
        <v>679.35</v>
      </c>
      <c r="F25" s="376">
        <v>112.5</v>
      </c>
      <c r="G25" s="376">
        <v>112.5</v>
      </c>
      <c r="H25" s="376">
        <v>125</v>
      </c>
      <c r="I25" s="376">
        <v>143.75</v>
      </c>
      <c r="J25" s="376">
        <v>154.70724999999999</v>
      </c>
      <c r="K25" s="376">
        <v>154.70724999999999</v>
      </c>
    </row>
    <row r="26" spans="1:11" x14ac:dyDescent="0.2">
      <c r="A26" s="545">
        <v>18</v>
      </c>
      <c r="B26" s="366" t="s">
        <v>417</v>
      </c>
      <c r="C26" s="577" t="s">
        <v>167</v>
      </c>
      <c r="D26" s="577" t="s">
        <v>167</v>
      </c>
      <c r="E26" s="577" t="s">
        <v>167</v>
      </c>
      <c r="F26" s="577" t="s">
        <v>167</v>
      </c>
      <c r="G26" s="577">
        <v>190.05</v>
      </c>
      <c r="H26" s="376">
        <v>190.05</v>
      </c>
      <c r="I26" s="376">
        <v>310.05</v>
      </c>
      <c r="J26" s="376">
        <v>495.79</v>
      </c>
      <c r="K26" s="376">
        <v>495.79</v>
      </c>
    </row>
    <row r="27" spans="1:11" x14ac:dyDescent="0.2">
      <c r="A27" s="545">
        <v>19</v>
      </c>
      <c r="B27" s="579" t="s">
        <v>60</v>
      </c>
      <c r="C27" s="577">
        <v>207</v>
      </c>
      <c r="D27" s="577">
        <v>207</v>
      </c>
      <c r="E27" s="577">
        <v>207</v>
      </c>
      <c r="F27" s="376">
        <v>207</v>
      </c>
      <c r="G27" s="376">
        <v>207</v>
      </c>
      <c r="H27" s="376">
        <v>207</v>
      </c>
      <c r="I27" s="376">
        <v>207</v>
      </c>
      <c r="J27" s="376">
        <v>264.72883999999999</v>
      </c>
      <c r="K27" s="376">
        <v>296.04131599999999</v>
      </c>
    </row>
    <row r="28" spans="1:11" x14ac:dyDescent="0.2">
      <c r="A28" s="545">
        <v>20</v>
      </c>
      <c r="B28" s="366" t="s">
        <v>63</v>
      </c>
      <c r="C28" s="577">
        <v>122.77</v>
      </c>
      <c r="D28" s="577">
        <v>122.77</v>
      </c>
      <c r="E28" s="577">
        <v>122.78</v>
      </c>
      <c r="F28" s="376">
        <v>125.77</v>
      </c>
      <c r="G28" s="376">
        <v>251.54991999999999</v>
      </c>
      <c r="H28" s="376">
        <v>251.54990000000001</v>
      </c>
      <c r="I28" s="376">
        <v>251.54991999999999</v>
      </c>
      <c r="J28" s="376">
        <v>251.54991999999999</v>
      </c>
      <c r="K28" s="376">
        <v>251.80537000000001</v>
      </c>
    </row>
    <row r="29" spans="1:11" x14ac:dyDescent="0.2">
      <c r="A29" s="545">
        <v>21</v>
      </c>
      <c r="B29" s="366" t="s">
        <v>111</v>
      </c>
      <c r="C29" s="577">
        <v>315</v>
      </c>
      <c r="D29" s="577">
        <v>315</v>
      </c>
      <c r="E29" s="577">
        <v>315</v>
      </c>
      <c r="F29" s="376">
        <v>331</v>
      </c>
      <c r="G29" s="376">
        <v>449</v>
      </c>
      <c r="H29" s="376">
        <v>449</v>
      </c>
      <c r="I29" s="376">
        <v>449</v>
      </c>
      <c r="J29" s="376">
        <v>449</v>
      </c>
      <c r="K29" s="376">
        <v>449</v>
      </c>
    </row>
    <row r="30" spans="1:11" x14ac:dyDescent="0.2">
      <c r="A30" s="545">
        <v>22</v>
      </c>
      <c r="B30" s="579" t="s">
        <v>66</v>
      </c>
      <c r="C30" s="577">
        <v>175</v>
      </c>
      <c r="D30" s="577">
        <v>203</v>
      </c>
      <c r="E30" s="577">
        <v>203</v>
      </c>
      <c r="F30" s="577">
        <v>215.5</v>
      </c>
      <c r="G30" s="577">
        <v>215.5</v>
      </c>
      <c r="H30" s="376">
        <v>215.5</v>
      </c>
      <c r="I30" s="376">
        <v>215.5</v>
      </c>
      <c r="J30" s="376">
        <v>215.5</v>
      </c>
      <c r="K30" s="376">
        <v>215.61670000000001</v>
      </c>
    </row>
    <row r="31" spans="1:11" x14ac:dyDescent="0.2">
      <c r="A31" s="545">
        <v>23</v>
      </c>
      <c r="B31" s="579" t="s">
        <v>70</v>
      </c>
      <c r="C31" s="577">
        <v>258</v>
      </c>
      <c r="D31" s="577">
        <v>258.08999999999997</v>
      </c>
      <c r="E31" s="577">
        <v>258.29000000000002</v>
      </c>
      <c r="F31" s="376">
        <v>258.63</v>
      </c>
      <c r="G31" s="376">
        <v>258.738</v>
      </c>
      <c r="H31" s="376">
        <v>259.07684999999998</v>
      </c>
      <c r="I31" s="376">
        <v>259.16275000000002</v>
      </c>
      <c r="J31" s="376">
        <v>259.16275000000002</v>
      </c>
      <c r="K31" s="376">
        <v>259.16000000000003</v>
      </c>
    </row>
    <row r="32" spans="1:11" x14ac:dyDescent="0.2">
      <c r="A32" s="545">
        <v>24</v>
      </c>
      <c r="B32" s="366" t="s">
        <v>112</v>
      </c>
      <c r="C32" s="577">
        <v>505</v>
      </c>
      <c r="D32" s="577">
        <v>505</v>
      </c>
      <c r="E32" s="577">
        <v>632.5</v>
      </c>
      <c r="F32" s="376">
        <v>632.5</v>
      </c>
      <c r="G32" s="376">
        <v>732.5</v>
      </c>
      <c r="H32" s="376">
        <v>907.5</v>
      </c>
      <c r="I32" s="376">
        <v>994.45600000000002</v>
      </c>
      <c r="J32" s="376">
        <v>994.45600000000002</v>
      </c>
      <c r="K32" s="376">
        <v>994.45600000000002</v>
      </c>
    </row>
    <row r="33" spans="1:11" x14ac:dyDescent="0.2">
      <c r="A33" s="545">
        <v>25</v>
      </c>
      <c r="B33" s="366" t="s">
        <v>76</v>
      </c>
      <c r="C33" s="577">
        <v>350</v>
      </c>
      <c r="D33" s="577">
        <v>350</v>
      </c>
      <c r="E33" s="577">
        <v>350</v>
      </c>
      <c r="F33" s="376">
        <v>350</v>
      </c>
      <c r="G33" s="376">
        <v>368.18182000000002</v>
      </c>
      <c r="H33" s="376">
        <v>368.18</v>
      </c>
      <c r="I33" s="376">
        <v>368.18182000000002</v>
      </c>
      <c r="J33" s="376">
        <v>368.18182000000002</v>
      </c>
      <c r="K33" s="376">
        <v>368.18182000000002</v>
      </c>
    </row>
    <row r="34" spans="1:11" x14ac:dyDescent="0.2">
      <c r="A34" s="545"/>
      <c r="B34" s="364" t="s">
        <v>113</v>
      </c>
      <c r="C34" s="371">
        <v>6226.3707599999998</v>
      </c>
      <c r="D34" s="375">
        <f>SUM(D13:D33)+0.03</f>
        <v>6972.4500000000007</v>
      </c>
      <c r="E34" s="375">
        <f>SUM(E13:E33)</f>
        <v>7666.3899999999994</v>
      </c>
      <c r="F34" s="375">
        <v>7513.48</v>
      </c>
      <c r="G34" s="375">
        <v>8869.2436209999996</v>
      </c>
      <c r="H34" s="375">
        <v>9570.8842189999996</v>
      </c>
      <c r="I34" s="375">
        <v>10914.813176433998</v>
      </c>
      <c r="J34" s="375">
        <v>11493.186352019999</v>
      </c>
      <c r="K34" s="375">
        <v>10341.756413020001</v>
      </c>
    </row>
    <row r="35" spans="1:11" x14ac:dyDescent="0.2">
      <c r="A35" s="545"/>
      <c r="B35" s="364" t="s">
        <v>114</v>
      </c>
      <c r="C35" s="372"/>
      <c r="D35" s="372"/>
      <c r="E35" s="372"/>
      <c r="F35" s="372"/>
      <c r="G35" s="372"/>
      <c r="H35" s="372"/>
      <c r="I35" s="372"/>
      <c r="J35" s="372"/>
      <c r="K35" s="372"/>
    </row>
    <row r="36" spans="1:11" x14ac:dyDescent="0.2">
      <c r="A36" s="545">
        <v>26</v>
      </c>
      <c r="B36" s="366" t="s">
        <v>80</v>
      </c>
      <c r="C36" s="576">
        <v>200</v>
      </c>
      <c r="D36" s="577">
        <v>200</v>
      </c>
      <c r="E36" s="576">
        <v>200</v>
      </c>
      <c r="F36" s="378">
        <v>200</v>
      </c>
      <c r="G36" s="378">
        <v>200</v>
      </c>
      <c r="H36" s="376">
        <v>200</v>
      </c>
      <c r="I36" s="376">
        <v>200</v>
      </c>
      <c r="J36" s="376">
        <v>200</v>
      </c>
      <c r="K36" s="376">
        <v>200</v>
      </c>
    </row>
    <row r="37" spans="1:11" x14ac:dyDescent="0.2">
      <c r="A37" s="545">
        <v>27</v>
      </c>
      <c r="B37" s="579" t="s">
        <v>82</v>
      </c>
      <c r="C37" s="576">
        <v>1100</v>
      </c>
      <c r="D37" s="577">
        <v>1200</v>
      </c>
      <c r="E37" s="576">
        <v>1300</v>
      </c>
      <c r="F37" s="378">
        <v>1450</v>
      </c>
      <c r="G37" s="378">
        <v>1500</v>
      </c>
      <c r="H37" s="376">
        <v>2000</v>
      </c>
      <c r="I37" s="376">
        <v>2500</v>
      </c>
      <c r="J37" s="376">
        <v>3190</v>
      </c>
      <c r="K37" s="376">
        <v>3950</v>
      </c>
    </row>
    <row r="38" spans="1:11" x14ac:dyDescent="0.2">
      <c r="A38" s="545"/>
      <c r="B38" s="364" t="s">
        <v>115</v>
      </c>
      <c r="C38" s="369">
        <f>SUM(C36:C37)</f>
        <v>1300</v>
      </c>
      <c r="D38" s="375">
        <f>SUM(D36:D37)</f>
        <v>1400</v>
      </c>
      <c r="E38" s="369">
        <f>SUM(E36:E37)</f>
        <v>1500</v>
      </c>
      <c r="F38" s="379">
        <v>1650</v>
      </c>
      <c r="G38" s="379">
        <v>1700</v>
      </c>
      <c r="H38" s="379">
        <v>2200</v>
      </c>
      <c r="I38" s="379">
        <v>2700</v>
      </c>
      <c r="J38" s="379">
        <v>3390</v>
      </c>
      <c r="K38" s="379">
        <v>4150</v>
      </c>
    </row>
    <row r="39" spans="1:11" ht="15" customHeight="1" x14ac:dyDescent="0.2">
      <c r="A39" s="545"/>
      <c r="B39" s="364" t="s">
        <v>117</v>
      </c>
      <c r="C39" s="373"/>
      <c r="D39" s="372"/>
      <c r="E39" s="372"/>
      <c r="F39" s="372"/>
      <c r="G39" s="372"/>
      <c r="H39" s="372"/>
      <c r="I39" s="377"/>
      <c r="J39" s="377"/>
      <c r="K39" s="377"/>
    </row>
    <row r="40" spans="1:11" x14ac:dyDescent="0.2">
      <c r="A40" s="545">
        <v>28</v>
      </c>
      <c r="B40" s="366" t="s">
        <v>118</v>
      </c>
      <c r="C40" s="577" t="s">
        <v>167</v>
      </c>
      <c r="D40" s="577" t="s">
        <v>167</v>
      </c>
      <c r="E40" s="577" t="s">
        <v>167</v>
      </c>
      <c r="F40" s="376">
        <v>100.44</v>
      </c>
      <c r="G40" s="376">
        <v>132.880742</v>
      </c>
      <c r="H40" s="376">
        <v>212.0265</v>
      </c>
      <c r="I40" s="376">
        <v>298.85581300000001</v>
      </c>
      <c r="J40" s="376">
        <v>360.39427499999999</v>
      </c>
      <c r="K40" s="376">
        <v>435.11894000000001</v>
      </c>
    </row>
    <row r="41" spans="1:11" x14ac:dyDescent="0.2">
      <c r="A41" s="545">
        <v>29</v>
      </c>
      <c r="B41" s="366" t="s">
        <v>412</v>
      </c>
      <c r="C41" s="576">
        <v>250</v>
      </c>
      <c r="D41" s="577">
        <v>350</v>
      </c>
      <c r="E41" s="576">
        <v>475.07</v>
      </c>
      <c r="F41" s="376">
        <v>524.75</v>
      </c>
      <c r="G41" s="376">
        <v>594.82986100000005</v>
      </c>
      <c r="H41" s="376">
        <v>688.54988800000001</v>
      </c>
      <c r="I41" s="376">
        <v>727.94906900000001</v>
      </c>
      <c r="J41" s="376">
        <v>841.04219599999999</v>
      </c>
      <c r="K41" s="376">
        <v>908.56773599999997</v>
      </c>
    </row>
    <row r="42" spans="1:11" x14ac:dyDescent="0.2">
      <c r="A42" s="545">
        <v>30</v>
      </c>
      <c r="B42" s="366" t="s">
        <v>423</v>
      </c>
      <c r="C42" s="576">
        <v>330.98</v>
      </c>
      <c r="D42" s="577">
        <v>349.22</v>
      </c>
      <c r="E42" s="576">
        <v>356.92</v>
      </c>
      <c r="F42" s="376">
        <v>357.27</v>
      </c>
      <c r="G42" s="376">
        <v>357.88978700000001</v>
      </c>
      <c r="H42" s="376">
        <v>358.4085</v>
      </c>
      <c r="I42" s="376">
        <v>405.67033199999997</v>
      </c>
      <c r="J42" s="376">
        <v>3.3199999995758844E-4</v>
      </c>
      <c r="K42" s="376">
        <v>0</v>
      </c>
    </row>
    <row r="43" spans="1:11" x14ac:dyDescent="0.2">
      <c r="A43" s="545">
        <v>31</v>
      </c>
      <c r="B43" s="582" t="s">
        <v>88</v>
      </c>
      <c r="C43" s="576">
        <v>100</v>
      </c>
      <c r="D43" s="577">
        <v>200</v>
      </c>
      <c r="E43" s="576">
        <v>240.03</v>
      </c>
      <c r="F43" s="376">
        <v>251.37</v>
      </c>
      <c r="G43" s="376">
        <v>364.72578600000003</v>
      </c>
      <c r="H43" s="376">
        <v>590.86304099999995</v>
      </c>
      <c r="I43" s="376">
        <v>728.90217304600003</v>
      </c>
      <c r="J43" s="376">
        <v>941.90217304600003</v>
      </c>
      <c r="K43" s="376">
        <v>1117.6185660649999</v>
      </c>
    </row>
    <row r="44" spans="1:11" x14ac:dyDescent="0.2">
      <c r="A44" s="545">
        <v>32</v>
      </c>
      <c r="B44" s="579" t="s">
        <v>502</v>
      </c>
      <c r="C44" s="576">
        <v>669</v>
      </c>
      <c r="D44" s="577">
        <v>790.5</v>
      </c>
      <c r="E44" s="576">
        <v>898</v>
      </c>
      <c r="F44" s="376">
        <v>926</v>
      </c>
      <c r="G44" s="376">
        <v>926</v>
      </c>
      <c r="H44" s="376">
        <v>981</v>
      </c>
      <c r="I44" s="376">
        <v>1126</v>
      </c>
      <c r="J44" s="376">
        <v>1349.7298000000001</v>
      </c>
      <c r="K44" s="376">
        <v>1408.602228</v>
      </c>
    </row>
    <row r="45" spans="1:11" x14ac:dyDescent="0.2">
      <c r="A45" s="545">
        <v>33</v>
      </c>
      <c r="B45" s="366" t="s">
        <v>442</v>
      </c>
      <c r="C45" s="577" t="s">
        <v>167</v>
      </c>
      <c r="D45" s="577" t="s">
        <v>167</v>
      </c>
      <c r="E45" s="577" t="s">
        <v>167</v>
      </c>
      <c r="F45" s="577" t="s">
        <v>167</v>
      </c>
      <c r="G45" s="577" t="s">
        <v>167</v>
      </c>
      <c r="H45" s="577">
        <v>186.55</v>
      </c>
      <c r="I45" s="577">
        <v>193.9</v>
      </c>
      <c r="J45" s="577">
        <v>193.9</v>
      </c>
      <c r="K45" s="577">
        <v>193.9</v>
      </c>
    </row>
    <row r="46" spans="1:11" x14ac:dyDescent="0.2">
      <c r="A46" s="545">
        <v>34</v>
      </c>
      <c r="B46" s="579" t="s">
        <v>95</v>
      </c>
      <c r="C46" s="576">
        <v>333.860522</v>
      </c>
      <c r="D46" s="577">
        <v>362.14</v>
      </c>
      <c r="E46" s="576">
        <v>386.99</v>
      </c>
      <c r="F46" s="576">
        <v>455.57</v>
      </c>
      <c r="G46" s="576">
        <v>455.57610599999998</v>
      </c>
      <c r="H46" s="576">
        <v>455.57610599999998</v>
      </c>
      <c r="I46" s="576">
        <v>490.638013</v>
      </c>
      <c r="J46" s="576">
        <v>548.08801300000005</v>
      </c>
      <c r="K46" s="576">
        <v>575.52217399999995</v>
      </c>
    </row>
    <row r="47" spans="1:11" x14ac:dyDescent="0.2">
      <c r="A47" s="545"/>
      <c r="B47" s="364" t="s">
        <v>119</v>
      </c>
      <c r="C47" s="369">
        <f>SUM(C42:C46)</f>
        <v>1433.840522</v>
      </c>
      <c r="D47" s="375">
        <f>SUM(D42:D46)</f>
        <v>1701.8600000000001</v>
      </c>
      <c r="E47" s="369">
        <f>SUM(E42:E46)</f>
        <v>1881.94</v>
      </c>
      <c r="F47" s="369">
        <v>2615.4</v>
      </c>
      <c r="G47" s="369">
        <v>2831.902282</v>
      </c>
      <c r="H47" s="369">
        <v>3472.9740350000002</v>
      </c>
      <c r="I47" s="369">
        <v>3971.9154000460003</v>
      </c>
      <c r="J47" s="369">
        <v>4235.0567890460006</v>
      </c>
      <c r="K47" s="369">
        <v>4639.3296440650001</v>
      </c>
    </row>
    <row r="48" spans="1:11" x14ac:dyDescent="0.2">
      <c r="A48" s="588"/>
      <c r="B48" s="367" t="s">
        <v>120</v>
      </c>
      <c r="C48" s="374">
        <f t="shared" ref="C48:J48" si="0">C10+C34+C38+C47</f>
        <v>9560.2112820000002</v>
      </c>
      <c r="D48" s="374">
        <f t="shared" si="0"/>
        <v>10724.310000000001</v>
      </c>
      <c r="E48" s="374">
        <f t="shared" si="0"/>
        <v>11698.33</v>
      </c>
      <c r="F48" s="374">
        <f t="shared" si="0"/>
        <v>12428.88</v>
      </c>
      <c r="G48" s="374">
        <f t="shared" si="0"/>
        <v>14263.145903000001</v>
      </c>
      <c r="H48" s="374">
        <f t="shared" si="0"/>
        <v>16517.858253999999</v>
      </c>
      <c r="I48" s="374">
        <f t="shared" si="0"/>
        <v>21360.72857648</v>
      </c>
      <c r="J48" s="374">
        <f t="shared" si="0"/>
        <v>32842.243141065999</v>
      </c>
      <c r="K48" s="374">
        <v>37855.086057084998</v>
      </c>
    </row>
    <row r="49" spans="1:9" x14ac:dyDescent="0.2">
      <c r="A49" s="185" t="s">
        <v>504</v>
      </c>
    </row>
    <row r="50" spans="1:9" x14ac:dyDescent="0.2">
      <c r="A50" s="338" t="s">
        <v>418</v>
      </c>
    </row>
    <row r="51" spans="1:9" x14ac:dyDescent="0.2">
      <c r="A51" s="338" t="s">
        <v>466</v>
      </c>
    </row>
    <row r="52" spans="1:9" x14ac:dyDescent="0.2">
      <c r="A52" s="338" t="s">
        <v>411</v>
      </c>
      <c r="D52" s="589"/>
      <c r="E52" s="589"/>
      <c r="F52" s="589"/>
      <c r="G52" s="589"/>
      <c r="H52" s="589"/>
      <c r="I52" s="589"/>
    </row>
    <row r="53" spans="1:9" ht="12.75" customHeight="1" x14ac:dyDescent="0.2">
      <c r="A53" s="583" t="s">
        <v>131</v>
      </c>
      <c r="C53" s="584"/>
      <c r="D53" s="584"/>
      <c r="E53" s="584"/>
      <c r="F53" s="584"/>
      <c r="G53" s="584"/>
      <c r="H53" s="584"/>
    </row>
    <row r="54" spans="1:9" x14ac:dyDescent="0.2">
      <c r="A54" s="585" t="s">
        <v>201</v>
      </c>
      <c r="C54" s="52"/>
      <c r="D54" s="52"/>
      <c r="E54" s="52"/>
      <c r="F54" s="52"/>
    </row>
    <row r="55" spans="1:9" x14ac:dyDescent="0.2">
      <c r="A55" s="585" t="s">
        <v>202</v>
      </c>
      <c r="C55" s="590"/>
      <c r="D55" s="590"/>
      <c r="E55" s="590"/>
      <c r="F55" s="590"/>
    </row>
  </sheetData>
  <mergeCells count="2">
    <mergeCell ref="A2:K2"/>
    <mergeCell ref="A1:K1"/>
  </mergeCells>
  <printOptions horizontalCentered="1" verticalCentered="1"/>
  <pageMargins left="0.70866141732283505" right="0.70866141732283505" top="0.74803149606299202" bottom="0.74803149606299202" header="0.31496062992126" footer="0.31496062992126"/>
  <pageSetup paperSize="9" scale="62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2"/>
  <sheetViews>
    <sheetView workbookViewId="0">
      <pane xSplit="2" ySplit="2" topLeftCell="C3" activePane="bottomRight" state="frozen"/>
      <selection activeCell="A32" sqref="A32"/>
      <selection pane="topRight" activeCell="A32" sqref="A32"/>
      <selection pane="bottomLeft" activeCell="A32" sqref="A32"/>
      <selection pane="bottomRight"/>
    </sheetView>
  </sheetViews>
  <sheetFormatPr defaultRowHeight="12.75" x14ac:dyDescent="0.25"/>
  <cols>
    <col min="1" max="1" width="5.5703125" style="592" customWidth="1"/>
    <col min="2" max="2" width="40.28515625" style="592" customWidth="1"/>
    <col min="3" max="4" width="8.7109375" style="592" customWidth="1"/>
    <col min="5" max="5" width="8.140625" style="592" customWidth="1"/>
    <col min="6" max="8" width="8.7109375" style="592" customWidth="1"/>
    <col min="9" max="9" width="8" style="592" customWidth="1"/>
    <col min="10" max="12" width="8.7109375" style="592" customWidth="1"/>
    <col min="13" max="13" width="8.42578125" style="592" customWidth="1"/>
    <col min="14" max="16" width="8.7109375" style="592" customWidth="1"/>
    <col min="17" max="17" width="8" style="592" customWidth="1"/>
    <col min="18" max="20" width="8.7109375" style="592" customWidth="1"/>
    <col min="21" max="21" width="7.7109375" style="592" customWidth="1"/>
    <col min="22" max="24" width="8.7109375" style="592" customWidth="1"/>
    <col min="25" max="25" width="7.85546875" style="592" customWidth="1"/>
    <col min="26" max="28" width="8.7109375" style="592" customWidth="1"/>
    <col min="29" max="29" width="7.28515625" style="592" customWidth="1"/>
    <col min="30" max="32" width="8.7109375" style="592" customWidth="1"/>
    <col min="33" max="33" width="7.7109375" style="592" customWidth="1"/>
    <col min="34" max="36" width="8.7109375" style="592" customWidth="1"/>
    <col min="37" max="37" width="7.7109375" style="592" customWidth="1"/>
    <col min="38" max="38" width="8.7109375" style="592" customWidth="1"/>
    <col min="39" max="16384" width="9.140625" style="196"/>
  </cols>
  <sheetData>
    <row r="1" spans="1:38" ht="24" customHeight="1" x14ac:dyDescent="0.25">
      <c r="A1" s="591" t="s">
        <v>611</v>
      </c>
      <c r="C1" s="591"/>
      <c r="D1" s="591"/>
      <c r="E1" s="591"/>
      <c r="F1" s="591"/>
      <c r="G1" s="591"/>
      <c r="H1" s="591"/>
      <c r="I1" s="591"/>
      <c r="J1" s="591"/>
      <c r="K1" s="591"/>
      <c r="L1" s="591"/>
      <c r="M1" s="591"/>
      <c r="N1" s="591"/>
      <c r="O1" s="591"/>
      <c r="P1" s="591"/>
      <c r="Q1" s="591"/>
      <c r="R1" s="591"/>
      <c r="S1" s="591"/>
      <c r="T1" s="591"/>
      <c r="U1" s="591"/>
      <c r="V1" s="591"/>
    </row>
    <row r="2" spans="1:38" s="380" customFormat="1" ht="25.5" x14ac:dyDescent="0.25">
      <c r="A2" s="53" t="s">
        <v>2</v>
      </c>
      <c r="B2" s="53" t="s">
        <v>101</v>
      </c>
      <c r="C2" s="53" t="s">
        <v>203</v>
      </c>
      <c r="D2" s="53" t="s">
        <v>204</v>
      </c>
      <c r="E2" s="53" t="s">
        <v>205</v>
      </c>
      <c r="F2" s="53" t="s">
        <v>206</v>
      </c>
      <c r="G2" s="53" t="s">
        <v>207</v>
      </c>
      <c r="H2" s="53" t="s">
        <v>208</v>
      </c>
      <c r="I2" s="53" t="s">
        <v>209</v>
      </c>
      <c r="J2" s="53" t="s">
        <v>210</v>
      </c>
      <c r="K2" s="53" t="s">
        <v>211</v>
      </c>
      <c r="L2" s="53" t="s">
        <v>212</v>
      </c>
      <c r="M2" s="53" t="s">
        <v>213</v>
      </c>
      <c r="N2" s="53" t="s">
        <v>214</v>
      </c>
      <c r="O2" s="53" t="s">
        <v>215</v>
      </c>
      <c r="P2" s="53" t="s">
        <v>216</v>
      </c>
      <c r="Q2" s="53" t="s">
        <v>217</v>
      </c>
      <c r="R2" s="53" t="s">
        <v>218</v>
      </c>
      <c r="S2" s="53" t="s">
        <v>219</v>
      </c>
      <c r="T2" s="53" t="s">
        <v>220</v>
      </c>
      <c r="U2" s="53" t="s">
        <v>221</v>
      </c>
      <c r="V2" s="53" t="s">
        <v>222</v>
      </c>
      <c r="W2" s="53" t="s">
        <v>223</v>
      </c>
      <c r="X2" s="53" t="s">
        <v>224</v>
      </c>
      <c r="Y2" s="53" t="s">
        <v>225</v>
      </c>
      <c r="Z2" s="53" t="s">
        <v>226</v>
      </c>
      <c r="AA2" s="53" t="s">
        <v>227</v>
      </c>
      <c r="AB2" s="53" t="s">
        <v>451</v>
      </c>
      <c r="AC2" s="53" t="s">
        <v>452</v>
      </c>
      <c r="AD2" s="53" t="s">
        <v>228</v>
      </c>
      <c r="AE2" s="53" t="s">
        <v>454</v>
      </c>
      <c r="AF2" s="53" t="s">
        <v>456</v>
      </c>
      <c r="AG2" s="53" t="s">
        <v>457</v>
      </c>
      <c r="AH2" s="53" t="s">
        <v>455</v>
      </c>
      <c r="AI2" s="53" t="s">
        <v>522</v>
      </c>
      <c r="AJ2" s="53" t="s">
        <v>523</v>
      </c>
      <c r="AK2" s="53" t="s">
        <v>524</v>
      </c>
      <c r="AL2" s="53" t="s">
        <v>525</v>
      </c>
    </row>
    <row r="3" spans="1:38" ht="15.75" customHeight="1" x14ac:dyDescent="0.25">
      <c r="A3" s="614"/>
      <c r="B3" s="593" t="s">
        <v>104</v>
      </c>
      <c r="C3" s="594"/>
      <c r="D3" s="594"/>
      <c r="E3" s="594"/>
      <c r="F3" s="595"/>
      <c r="G3" s="595"/>
      <c r="H3" s="595"/>
      <c r="I3" s="595"/>
      <c r="J3" s="595"/>
      <c r="K3" s="595"/>
      <c r="L3" s="595"/>
      <c r="M3" s="595"/>
      <c r="N3" s="595"/>
      <c r="O3" s="595"/>
      <c r="P3" s="595"/>
      <c r="Q3" s="595"/>
      <c r="R3" s="595"/>
      <c r="S3" s="595"/>
      <c r="T3" s="595"/>
      <c r="U3" s="595"/>
      <c r="V3" s="595"/>
      <c r="W3" s="596"/>
      <c r="X3" s="596"/>
      <c r="Y3" s="596"/>
      <c r="Z3" s="596"/>
      <c r="AA3" s="597"/>
      <c r="AB3" s="597"/>
      <c r="AC3" s="597"/>
      <c r="AD3" s="597"/>
      <c r="AE3" s="597"/>
      <c r="AF3" s="597"/>
      <c r="AG3" s="597"/>
      <c r="AH3" s="597"/>
      <c r="AI3" s="597"/>
      <c r="AJ3" s="597"/>
      <c r="AK3" s="597"/>
      <c r="AL3" s="597"/>
    </row>
    <row r="4" spans="1:38" ht="15.75" customHeight="1" x14ac:dyDescent="0.25">
      <c r="A4" s="614">
        <v>1</v>
      </c>
      <c r="B4" s="597" t="s">
        <v>229</v>
      </c>
      <c r="C4" s="594">
        <v>1.59</v>
      </c>
      <c r="D4" s="594">
        <v>1.72</v>
      </c>
      <c r="E4" s="594">
        <v>1.57</v>
      </c>
      <c r="F4" s="594">
        <v>1.55</v>
      </c>
      <c r="G4" s="594">
        <v>1.57</v>
      </c>
      <c r="H4" s="594">
        <v>1.55</v>
      </c>
      <c r="I4" s="594">
        <v>1.52</v>
      </c>
      <c r="J4" s="594">
        <v>1.52</v>
      </c>
      <c r="K4" s="54">
        <v>1.51</v>
      </c>
      <c r="L4" s="54">
        <v>1.51</v>
      </c>
      <c r="M4" s="54">
        <v>1.51</v>
      </c>
      <c r="N4" s="54">
        <v>1.26</v>
      </c>
      <c r="O4" s="55">
        <v>1.26</v>
      </c>
      <c r="P4" s="55">
        <v>1.26</v>
      </c>
      <c r="Q4" s="55">
        <v>1.31</v>
      </c>
      <c r="R4" s="55">
        <v>1.9</v>
      </c>
      <c r="S4" s="55">
        <v>1.69</v>
      </c>
      <c r="T4" s="55">
        <v>1.62</v>
      </c>
      <c r="U4" s="55">
        <v>1.53</v>
      </c>
      <c r="V4" s="55">
        <v>1.55</v>
      </c>
      <c r="W4" s="596">
        <v>1.43</v>
      </c>
      <c r="X4" s="596">
        <v>1.2099500084255499</v>
      </c>
      <c r="Y4" s="596">
        <v>1.01124667277781</v>
      </c>
      <c r="Z4" s="596">
        <v>1.04077354879283</v>
      </c>
      <c r="AA4" s="596">
        <v>0.95</v>
      </c>
      <c r="AB4" s="596">
        <v>0.42</v>
      </c>
      <c r="AC4" s="596">
        <v>0.12</v>
      </c>
      <c r="AD4" s="596">
        <v>0.02</v>
      </c>
      <c r="AE4" s="596">
        <v>0.01</v>
      </c>
      <c r="AF4" s="596">
        <v>0.2</v>
      </c>
      <c r="AG4" s="596">
        <v>0.61</v>
      </c>
      <c r="AH4" s="596">
        <v>0.62</v>
      </c>
      <c r="AI4" s="596">
        <v>0.05</v>
      </c>
      <c r="AJ4" s="596">
        <v>0.01</v>
      </c>
      <c r="AK4" s="596">
        <v>0.09</v>
      </c>
      <c r="AL4" s="596">
        <v>0.63</v>
      </c>
    </row>
    <row r="5" spans="1:38" ht="15.75" customHeight="1" x14ac:dyDescent="0.25">
      <c r="A5" s="614">
        <v>2</v>
      </c>
      <c r="B5" s="597" t="s">
        <v>12</v>
      </c>
      <c r="C5" s="594">
        <v>2.52</v>
      </c>
      <c r="D5" s="594">
        <v>2.42</v>
      </c>
      <c r="E5" s="594">
        <v>2.48</v>
      </c>
      <c r="F5" s="598">
        <v>2.61</v>
      </c>
      <c r="G5" s="594">
        <v>2.5299999999999998</v>
      </c>
      <c r="H5" s="594">
        <v>2.67</v>
      </c>
      <c r="I5" s="594">
        <v>2.6</v>
      </c>
      <c r="J5" s="598">
        <v>2.44</v>
      </c>
      <c r="K5" s="54">
        <v>2.4700000000000002</v>
      </c>
      <c r="L5" s="56">
        <v>2.4</v>
      </c>
      <c r="M5" s="56">
        <v>2.31</v>
      </c>
      <c r="N5" s="56">
        <v>2.2999999999999998</v>
      </c>
      <c r="O5" s="55">
        <v>2.11</v>
      </c>
      <c r="P5" s="55">
        <v>2.04</v>
      </c>
      <c r="Q5" s="55">
        <v>2.17</v>
      </c>
      <c r="R5" s="55">
        <v>2.19</v>
      </c>
      <c r="S5" s="55">
        <v>2.2400000000000002</v>
      </c>
      <c r="T5" s="55">
        <v>2.2400000000000002</v>
      </c>
      <c r="U5" s="55">
        <v>2.39</v>
      </c>
      <c r="V5" s="55">
        <v>2.58</v>
      </c>
      <c r="W5" s="596">
        <v>2.66</v>
      </c>
      <c r="X5" s="596">
        <v>2.52</v>
      </c>
      <c r="Y5" s="596">
        <v>2.25</v>
      </c>
      <c r="Z5" s="596">
        <v>2.13</v>
      </c>
      <c r="AA5" s="596">
        <v>2.13</v>
      </c>
      <c r="AB5" s="596">
        <v>2.0823487447659201</v>
      </c>
      <c r="AC5" s="596">
        <v>2.1</v>
      </c>
      <c r="AD5" s="596">
        <v>2.11</v>
      </c>
      <c r="AE5" s="596">
        <v>2.11</v>
      </c>
      <c r="AF5" s="596">
        <v>2.14</v>
      </c>
      <c r="AG5" s="596">
        <v>2.15</v>
      </c>
      <c r="AH5" s="596">
        <v>2.13</v>
      </c>
      <c r="AI5" s="596">
        <v>2</v>
      </c>
      <c r="AJ5" s="596">
        <v>1.9</v>
      </c>
      <c r="AK5" s="596">
        <v>1.83</v>
      </c>
      <c r="AL5" s="596">
        <v>1.66</v>
      </c>
    </row>
    <row r="6" spans="1:38" ht="15.75" customHeight="1" x14ac:dyDescent="0.25">
      <c r="A6" s="614">
        <v>3</v>
      </c>
      <c r="B6" s="597" t="s">
        <v>230</v>
      </c>
      <c r="C6" s="594">
        <v>1.6</v>
      </c>
      <c r="D6" s="594">
        <v>1.6</v>
      </c>
      <c r="E6" s="594">
        <v>1.59</v>
      </c>
      <c r="F6" s="594">
        <v>1.64</v>
      </c>
      <c r="G6" s="594">
        <v>1.64</v>
      </c>
      <c r="H6" s="594">
        <v>1.65</v>
      </c>
      <c r="I6" s="594">
        <v>1.62</v>
      </c>
      <c r="J6" s="594">
        <v>1.68</v>
      </c>
      <c r="K6" s="54">
        <v>1.77</v>
      </c>
      <c r="L6" s="54">
        <v>1.78</v>
      </c>
      <c r="M6" s="54">
        <v>1.74</v>
      </c>
      <c r="N6" s="54">
        <v>1.59</v>
      </c>
      <c r="O6" s="55">
        <v>1.51</v>
      </c>
      <c r="P6" s="55">
        <v>1.1399999999999999</v>
      </c>
      <c r="Q6" s="55">
        <v>1.22</v>
      </c>
      <c r="R6" s="55">
        <v>1.1100000000000001</v>
      </c>
      <c r="S6" s="55">
        <v>1.18</v>
      </c>
      <c r="T6" s="55">
        <v>1.52</v>
      </c>
      <c r="U6" s="55">
        <v>1.43</v>
      </c>
      <c r="V6" s="55">
        <v>1.66</v>
      </c>
      <c r="W6" s="596">
        <v>1.65</v>
      </c>
      <c r="X6" s="596">
        <v>1.54</v>
      </c>
      <c r="Y6" s="596">
        <v>1.21</v>
      </c>
      <c r="Z6" s="596">
        <v>1.57</v>
      </c>
      <c r="AA6" s="596">
        <v>1.56</v>
      </c>
      <c r="AB6" s="596">
        <v>1.52</v>
      </c>
      <c r="AC6" s="596">
        <v>1.54</v>
      </c>
      <c r="AD6" s="596">
        <v>0.92</v>
      </c>
      <c r="AE6" s="596">
        <v>1.28</v>
      </c>
      <c r="AF6" s="596">
        <v>1.24</v>
      </c>
      <c r="AG6" s="596">
        <v>1.53</v>
      </c>
      <c r="AH6" s="596">
        <v>1.4</v>
      </c>
      <c r="AI6" s="596">
        <v>0.5</v>
      </c>
      <c r="AJ6" s="596">
        <v>0.12</v>
      </c>
      <c r="AK6" s="596">
        <v>0.15</v>
      </c>
      <c r="AL6" s="596">
        <v>0.15</v>
      </c>
    </row>
    <row r="7" spans="1:38" ht="15.75" customHeight="1" x14ac:dyDescent="0.25">
      <c r="A7" s="614">
        <v>4</v>
      </c>
      <c r="B7" s="597" t="s">
        <v>231</v>
      </c>
      <c r="C7" s="594">
        <v>2.44</v>
      </c>
      <c r="D7" s="594">
        <v>2.4300000000000002</v>
      </c>
      <c r="E7" s="594">
        <v>2.54</v>
      </c>
      <c r="F7" s="594">
        <v>2.54</v>
      </c>
      <c r="G7" s="594">
        <v>2.6</v>
      </c>
      <c r="H7" s="594">
        <v>2.63</v>
      </c>
      <c r="I7" s="594">
        <v>2.5299999999999998</v>
      </c>
      <c r="J7" s="594">
        <v>2.36</v>
      </c>
      <c r="K7" s="54">
        <v>2.4</v>
      </c>
      <c r="L7" s="54">
        <v>2.4300000000000002</v>
      </c>
      <c r="M7" s="54">
        <v>2.02</v>
      </c>
      <c r="N7" s="54">
        <v>1.91</v>
      </c>
      <c r="O7" s="55">
        <v>1.77</v>
      </c>
      <c r="P7" s="55">
        <v>1.56</v>
      </c>
      <c r="Q7" s="55">
        <v>1.55</v>
      </c>
      <c r="R7" s="55">
        <v>1.1499999999999999</v>
      </c>
      <c r="S7" s="55">
        <v>1.1000000000000001</v>
      </c>
      <c r="T7" s="55">
        <v>1.08</v>
      </c>
      <c r="U7" s="55">
        <v>1.08</v>
      </c>
      <c r="V7" s="55">
        <v>1.54</v>
      </c>
      <c r="W7" s="596">
        <v>1.21</v>
      </c>
      <c r="X7" s="596">
        <v>1.53</v>
      </c>
      <c r="Y7" s="596">
        <v>1.51</v>
      </c>
      <c r="Z7" s="596">
        <v>1.52</v>
      </c>
      <c r="AA7" s="596">
        <v>1.4</v>
      </c>
      <c r="AB7" s="596">
        <v>1.05</v>
      </c>
      <c r="AC7" s="596">
        <v>0.94</v>
      </c>
      <c r="AD7" s="596">
        <v>0.3</v>
      </c>
      <c r="AE7" s="596">
        <v>0.67</v>
      </c>
      <c r="AF7" s="596">
        <v>0.89</v>
      </c>
      <c r="AG7" s="596">
        <v>1.38</v>
      </c>
      <c r="AH7" s="596">
        <v>1.41</v>
      </c>
      <c r="AI7" s="596">
        <v>0.83</v>
      </c>
      <c r="AJ7" s="596">
        <v>0.74</v>
      </c>
      <c r="AK7" s="596">
        <v>0.72</v>
      </c>
      <c r="AL7" s="596">
        <v>0.51</v>
      </c>
    </row>
    <row r="8" spans="1:38" ht="19.5" customHeight="1" x14ac:dyDescent="0.25">
      <c r="A8" s="614"/>
      <c r="B8" s="57" t="s">
        <v>232</v>
      </c>
      <c r="C8" s="595"/>
      <c r="D8" s="595"/>
      <c r="E8" s="595"/>
      <c r="F8" s="58"/>
      <c r="G8" s="58"/>
      <c r="H8" s="58"/>
      <c r="I8" s="59"/>
      <c r="J8" s="58"/>
      <c r="K8" s="595"/>
      <c r="L8" s="595"/>
      <c r="M8" s="595"/>
      <c r="N8" s="595"/>
      <c r="O8" s="595"/>
      <c r="P8" s="595"/>
      <c r="Q8" s="595"/>
      <c r="R8" s="595"/>
      <c r="S8" s="595"/>
      <c r="T8" s="595"/>
      <c r="U8" s="595"/>
      <c r="V8" s="595"/>
      <c r="W8" s="597"/>
      <c r="X8" s="597"/>
      <c r="Y8" s="597"/>
      <c r="Z8" s="597"/>
      <c r="AA8" s="597"/>
      <c r="AB8" s="597"/>
      <c r="AC8" s="597"/>
      <c r="AD8" s="597"/>
      <c r="AE8" s="597"/>
      <c r="AF8" s="597"/>
      <c r="AG8" s="597"/>
      <c r="AH8" s="597"/>
      <c r="AI8" s="597"/>
      <c r="AJ8" s="597"/>
      <c r="AK8" s="597"/>
      <c r="AL8" s="597"/>
    </row>
    <row r="9" spans="1:38" ht="19.5" customHeight="1" x14ac:dyDescent="0.25">
      <c r="A9" s="614">
        <v>5</v>
      </c>
      <c r="B9" s="599" t="s">
        <v>18</v>
      </c>
      <c r="C9" s="595"/>
      <c r="D9" s="595"/>
      <c r="E9" s="595"/>
      <c r="F9" s="58"/>
      <c r="G9" s="58"/>
      <c r="H9" s="58"/>
      <c r="I9" s="59"/>
      <c r="J9" s="58"/>
      <c r="K9" s="595"/>
      <c r="L9" s="595"/>
      <c r="M9" s="595"/>
      <c r="N9" s="595"/>
      <c r="O9" s="595"/>
      <c r="P9" s="595"/>
      <c r="Q9" s="595"/>
      <c r="R9" s="595"/>
      <c r="S9" s="55" t="s">
        <v>130</v>
      </c>
      <c r="T9" s="55" t="s">
        <v>130</v>
      </c>
      <c r="U9" s="55">
        <v>2.5</v>
      </c>
      <c r="V9" s="60">
        <v>2.48</v>
      </c>
      <c r="W9" s="596">
        <v>2.4500000000000002</v>
      </c>
      <c r="X9" s="596">
        <v>1.8</v>
      </c>
      <c r="Y9" s="596">
        <v>2.11</v>
      </c>
      <c r="Z9" s="596">
        <v>1.78</v>
      </c>
      <c r="AA9" s="596">
        <v>3.72</v>
      </c>
      <c r="AB9" s="596">
        <v>2.68</v>
      </c>
      <c r="AC9" s="596">
        <v>2.94</v>
      </c>
      <c r="AD9" s="596">
        <v>4.24</v>
      </c>
      <c r="AE9" s="596">
        <v>3.64</v>
      </c>
      <c r="AF9" s="596">
        <v>3.55</v>
      </c>
      <c r="AG9" s="596">
        <v>1.93</v>
      </c>
      <c r="AH9" s="596">
        <v>1.91</v>
      </c>
      <c r="AI9" s="596">
        <v>2.31</v>
      </c>
      <c r="AJ9" s="596">
        <v>1.61</v>
      </c>
      <c r="AK9" s="596">
        <v>1.77</v>
      </c>
      <c r="AL9" s="596">
        <v>1.68</v>
      </c>
    </row>
    <row r="10" spans="1:38" ht="15.75" customHeight="1" x14ac:dyDescent="0.25">
      <c r="A10" s="614">
        <v>6</v>
      </c>
      <c r="B10" s="600" t="s">
        <v>21</v>
      </c>
      <c r="C10" s="594">
        <v>1.86</v>
      </c>
      <c r="D10" s="594">
        <v>1.94</v>
      </c>
      <c r="E10" s="594">
        <v>2.0099999999999998</v>
      </c>
      <c r="F10" s="594">
        <v>1.96</v>
      </c>
      <c r="G10" s="594">
        <v>2.17</v>
      </c>
      <c r="H10" s="594">
        <v>2.08</v>
      </c>
      <c r="I10" s="594">
        <v>1.82</v>
      </c>
      <c r="J10" s="594">
        <v>1.82</v>
      </c>
      <c r="K10" s="54">
        <v>2.46</v>
      </c>
      <c r="L10" s="54">
        <v>2.54</v>
      </c>
      <c r="M10" s="54">
        <v>2.54</v>
      </c>
      <c r="N10" s="54">
        <v>2.5099999999999998</v>
      </c>
      <c r="O10" s="55">
        <v>2.54</v>
      </c>
      <c r="P10" s="55">
        <v>2.5299999999999998</v>
      </c>
      <c r="Q10" s="55">
        <v>2.58</v>
      </c>
      <c r="R10" s="60">
        <v>2.61</v>
      </c>
      <c r="S10" s="55">
        <v>2.77</v>
      </c>
      <c r="T10" s="55">
        <v>2.88</v>
      </c>
      <c r="U10" s="55">
        <v>3.13</v>
      </c>
      <c r="V10" s="60">
        <v>2.76</v>
      </c>
      <c r="W10" s="596">
        <v>2.88</v>
      </c>
      <c r="X10" s="596">
        <v>2.86</v>
      </c>
      <c r="Y10" s="596">
        <v>2.81</v>
      </c>
      <c r="Z10" s="596">
        <v>2.5499999999999998</v>
      </c>
      <c r="AA10" s="596">
        <v>2.4900000000000002</v>
      </c>
      <c r="AB10" s="596">
        <v>2.4300000000000002</v>
      </c>
      <c r="AC10" s="596">
        <v>2.3577260825601201</v>
      </c>
      <c r="AD10" s="596">
        <v>2.54</v>
      </c>
      <c r="AE10" s="596">
        <v>2.8</v>
      </c>
      <c r="AF10" s="596">
        <v>3.07</v>
      </c>
      <c r="AG10" s="596">
        <v>3.3</v>
      </c>
      <c r="AH10" s="596">
        <v>3.45</v>
      </c>
      <c r="AI10" s="596">
        <v>3.39609166530377</v>
      </c>
      <c r="AJ10" s="596">
        <v>3.5</v>
      </c>
      <c r="AK10" s="596">
        <v>3.33</v>
      </c>
      <c r="AL10" s="596">
        <v>3.44</v>
      </c>
    </row>
    <row r="11" spans="1:38" ht="15.75" customHeight="1" x14ac:dyDescent="0.25">
      <c r="A11" s="614">
        <v>7</v>
      </c>
      <c r="B11" s="600" t="s">
        <v>510</v>
      </c>
      <c r="C11" s="594">
        <v>1.62</v>
      </c>
      <c r="D11" s="594">
        <v>1.58</v>
      </c>
      <c r="E11" s="594">
        <v>1.62</v>
      </c>
      <c r="F11" s="594">
        <v>1.56</v>
      </c>
      <c r="G11" s="594">
        <v>1.62</v>
      </c>
      <c r="H11" s="594">
        <v>1.55</v>
      </c>
      <c r="I11" s="594">
        <v>1.58</v>
      </c>
      <c r="J11" s="594">
        <v>1.57</v>
      </c>
      <c r="K11" s="54">
        <v>1.72</v>
      </c>
      <c r="L11" s="54">
        <v>1.61</v>
      </c>
      <c r="M11" s="56">
        <v>1.3</v>
      </c>
      <c r="N11" s="56">
        <v>1.59</v>
      </c>
      <c r="O11" s="55">
        <v>1.73</v>
      </c>
      <c r="P11" s="55">
        <v>1.78</v>
      </c>
      <c r="Q11" s="55">
        <v>1.77</v>
      </c>
      <c r="R11" s="60">
        <v>1.65</v>
      </c>
      <c r="S11" s="55">
        <v>1.68</v>
      </c>
      <c r="T11" s="55">
        <v>1.98</v>
      </c>
      <c r="U11" s="55">
        <v>1.95</v>
      </c>
      <c r="V11" s="60">
        <v>1.86</v>
      </c>
      <c r="W11" s="596">
        <v>1.82059209408558</v>
      </c>
      <c r="X11" s="596">
        <v>1.76</v>
      </c>
      <c r="Y11" s="596">
        <v>1.77</v>
      </c>
      <c r="Z11" s="596">
        <v>1.76</v>
      </c>
      <c r="AA11" s="596">
        <v>1.6</v>
      </c>
      <c r="AB11" s="596">
        <v>1.52</v>
      </c>
      <c r="AC11" s="596">
        <v>1.67</v>
      </c>
      <c r="AD11" s="596">
        <v>1.63</v>
      </c>
      <c r="AE11" s="596">
        <v>1.77</v>
      </c>
      <c r="AF11" s="596">
        <v>1.91</v>
      </c>
      <c r="AG11" s="596">
        <v>1.55</v>
      </c>
      <c r="AH11" s="596">
        <v>1.59</v>
      </c>
      <c r="AI11" s="594" t="s">
        <v>130</v>
      </c>
      <c r="AJ11" s="594" t="s">
        <v>130</v>
      </c>
      <c r="AK11" s="594" t="s">
        <v>130</v>
      </c>
      <c r="AL11" s="594" t="s">
        <v>130</v>
      </c>
    </row>
    <row r="12" spans="1:38" ht="15.75" customHeight="1" x14ac:dyDescent="0.25">
      <c r="A12" s="614">
        <v>8</v>
      </c>
      <c r="B12" s="600" t="s">
        <v>27</v>
      </c>
      <c r="C12" s="594">
        <v>1.4179999999999999</v>
      </c>
      <c r="D12" s="594">
        <v>1.452</v>
      </c>
      <c r="E12" s="594">
        <v>1.39</v>
      </c>
      <c r="F12" s="594">
        <v>1.61</v>
      </c>
      <c r="G12" s="594">
        <v>1.6</v>
      </c>
      <c r="H12" s="594">
        <v>1.55</v>
      </c>
      <c r="I12" s="594">
        <v>1.57</v>
      </c>
      <c r="J12" s="594">
        <v>1.59</v>
      </c>
      <c r="K12" s="56">
        <v>1.7190000000000001</v>
      </c>
      <c r="L12" s="54">
        <v>1.55</v>
      </c>
      <c r="M12" s="54">
        <v>1.61</v>
      </c>
      <c r="N12" s="56">
        <v>1.6060000000000001</v>
      </c>
      <c r="O12" s="55">
        <v>1.6</v>
      </c>
      <c r="P12" s="55">
        <v>1.64</v>
      </c>
      <c r="Q12" s="55">
        <v>1.6</v>
      </c>
      <c r="R12" s="55">
        <v>1.6359999999999999</v>
      </c>
      <c r="S12" s="55">
        <v>1.68</v>
      </c>
      <c r="T12" s="55">
        <v>1.55</v>
      </c>
      <c r="U12" s="55">
        <v>1.569</v>
      </c>
      <c r="V12" s="55">
        <v>1.61</v>
      </c>
      <c r="W12" s="596">
        <v>1.6180000000000001</v>
      </c>
      <c r="X12" s="596">
        <v>1.61</v>
      </c>
      <c r="Y12" s="596">
        <v>1.64</v>
      </c>
      <c r="Z12" s="596">
        <v>1.55</v>
      </c>
      <c r="AA12" s="596">
        <v>1.534</v>
      </c>
      <c r="AB12" s="596">
        <v>1.5580000000000001</v>
      </c>
      <c r="AC12" s="596">
        <v>1.57</v>
      </c>
      <c r="AD12" s="596">
        <v>1.583</v>
      </c>
      <c r="AE12" s="596">
        <v>1.7829999999999999</v>
      </c>
      <c r="AF12" s="596">
        <v>1.9490000000000001</v>
      </c>
      <c r="AG12" s="596">
        <v>2.008</v>
      </c>
      <c r="AH12" s="596">
        <v>2.0779999999999998</v>
      </c>
      <c r="AI12" s="596">
        <v>2</v>
      </c>
      <c r="AJ12" s="596">
        <v>1.772</v>
      </c>
      <c r="AK12" s="596">
        <v>1.8620000000000001</v>
      </c>
      <c r="AL12" s="596">
        <v>1.9450000000000001</v>
      </c>
    </row>
    <row r="13" spans="1:38" ht="15.75" customHeight="1" x14ac:dyDescent="0.25">
      <c r="A13" s="614">
        <v>9</v>
      </c>
      <c r="B13" s="600" t="s">
        <v>31</v>
      </c>
      <c r="C13" s="594"/>
      <c r="D13" s="594"/>
      <c r="E13" s="594"/>
      <c r="F13" s="594"/>
      <c r="G13" s="594"/>
      <c r="H13" s="594"/>
      <c r="I13" s="594"/>
      <c r="J13" s="594"/>
      <c r="K13" s="56"/>
      <c r="L13" s="54"/>
      <c r="M13" s="54"/>
      <c r="N13" s="56"/>
      <c r="O13" s="55"/>
      <c r="P13" s="55"/>
      <c r="Q13" s="55"/>
      <c r="R13" s="55"/>
      <c r="S13" s="55" t="s">
        <v>130</v>
      </c>
      <c r="T13" s="55" t="s">
        <v>130</v>
      </c>
      <c r="U13" s="55" t="s">
        <v>130</v>
      </c>
      <c r="V13" s="55">
        <v>2.81</v>
      </c>
      <c r="W13" s="596">
        <v>2.6</v>
      </c>
      <c r="X13" s="596">
        <v>2.37</v>
      </c>
      <c r="Y13" s="596">
        <v>2.02</v>
      </c>
      <c r="Z13" s="596">
        <v>2.4</v>
      </c>
      <c r="AA13" s="596">
        <v>1.9541999999999999</v>
      </c>
      <c r="AB13" s="596">
        <v>2.1509999999999998</v>
      </c>
      <c r="AC13" s="596">
        <v>2.4312</v>
      </c>
      <c r="AD13" s="596">
        <v>2.36</v>
      </c>
      <c r="AE13" s="596">
        <v>1.956</v>
      </c>
      <c r="AF13" s="596">
        <v>2.0169999999999999</v>
      </c>
      <c r="AG13" s="596">
        <v>2.0390000000000001</v>
      </c>
      <c r="AH13" s="596">
        <v>2.09</v>
      </c>
      <c r="AI13" s="596">
        <v>1.83</v>
      </c>
      <c r="AJ13" s="596">
        <v>1.79</v>
      </c>
      <c r="AK13" s="596">
        <v>1.77</v>
      </c>
      <c r="AL13" s="596">
        <v>1.6669</v>
      </c>
    </row>
    <row r="14" spans="1:38" ht="15.75" customHeight="1" x14ac:dyDescent="0.25">
      <c r="A14" s="614">
        <v>10</v>
      </c>
      <c r="B14" s="600" t="s">
        <v>33</v>
      </c>
      <c r="C14" s="594">
        <v>1.95</v>
      </c>
      <c r="D14" s="594">
        <v>1.9</v>
      </c>
      <c r="E14" s="594">
        <v>1.82</v>
      </c>
      <c r="F14" s="594">
        <v>1.62</v>
      </c>
      <c r="G14" s="594">
        <v>1.66</v>
      </c>
      <c r="H14" s="594">
        <v>1.68</v>
      </c>
      <c r="I14" s="594">
        <v>1.63</v>
      </c>
      <c r="J14" s="594">
        <v>1.66</v>
      </c>
      <c r="K14" s="56">
        <v>1.54</v>
      </c>
      <c r="L14" s="56">
        <v>1.59</v>
      </c>
      <c r="M14" s="56">
        <v>1.53</v>
      </c>
      <c r="N14" s="56">
        <v>1.54</v>
      </c>
      <c r="O14" s="55">
        <v>1.45</v>
      </c>
      <c r="P14" s="55">
        <v>1.51</v>
      </c>
      <c r="Q14" s="55">
        <v>1.83</v>
      </c>
      <c r="R14" s="55">
        <v>1.72</v>
      </c>
      <c r="S14" s="55">
        <v>1.85</v>
      </c>
      <c r="T14" s="55">
        <v>1.81</v>
      </c>
      <c r="U14" s="55">
        <v>1.73</v>
      </c>
      <c r="V14" s="55">
        <v>1.69</v>
      </c>
      <c r="W14" s="596">
        <v>1.66</v>
      </c>
      <c r="X14" s="596">
        <v>1.64</v>
      </c>
      <c r="Y14" s="596">
        <v>1.71</v>
      </c>
      <c r="Z14" s="596">
        <v>1.54</v>
      </c>
      <c r="AA14" s="596">
        <v>1.64</v>
      </c>
      <c r="AB14" s="596">
        <v>1.58</v>
      </c>
      <c r="AC14" s="596">
        <v>1.56</v>
      </c>
      <c r="AD14" s="596">
        <v>1.51</v>
      </c>
      <c r="AE14" s="596">
        <v>1.61</v>
      </c>
      <c r="AF14" s="596">
        <v>1.65</v>
      </c>
      <c r="AG14" s="596">
        <v>1.63</v>
      </c>
      <c r="AH14" s="596">
        <v>1.61</v>
      </c>
      <c r="AI14" s="596">
        <v>1.56</v>
      </c>
      <c r="AJ14" s="596">
        <v>1.58</v>
      </c>
      <c r="AK14" s="596">
        <v>1.64</v>
      </c>
      <c r="AL14" s="596">
        <v>1.66</v>
      </c>
    </row>
    <row r="15" spans="1:38" s="505" customFormat="1" ht="15.75" customHeight="1" x14ac:dyDescent="0.25">
      <c r="A15" s="614">
        <v>11</v>
      </c>
      <c r="B15" s="600" t="s">
        <v>37</v>
      </c>
      <c r="C15" s="601"/>
      <c r="D15" s="601"/>
      <c r="E15" s="601"/>
      <c r="F15" s="601"/>
      <c r="G15" s="601"/>
      <c r="H15" s="601"/>
      <c r="I15" s="601"/>
      <c r="J15" s="601"/>
      <c r="K15" s="61"/>
      <c r="L15" s="62"/>
      <c r="M15" s="62"/>
      <c r="N15" s="62"/>
      <c r="O15" s="63"/>
      <c r="P15" s="63"/>
      <c r="Q15" s="63"/>
      <c r="R15" s="63"/>
      <c r="S15" s="63" t="s">
        <v>130</v>
      </c>
      <c r="T15" s="63" t="s">
        <v>130</v>
      </c>
      <c r="U15" s="63">
        <v>6.26</v>
      </c>
      <c r="V15" s="63">
        <v>5.48</v>
      </c>
      <c r="W15" s="602">
        <v>4.4675000000000002</v>
      </c>
      <c r="X15" s="602">
        <v>6.5713999999999997</v>
      </c>
      <c r="Y15" s="602">
        <v>3.38</v>
      </c>
      <c r="Z15" s="602">
        <v>2.27</v>
      </c>
      <c r="AA15" s="603">
        <v>2.21</v>
      </c>
      <c r="AB15" s="603">
        <v>1.86</v>
      </c>
      <c r="AC15" s="603">
        <v>1.57</v>
      </c>
      <c r="AD15" s="603">
        <v>3.24</v>
      </c>
      <c r="AE15" s="603">
        <v>3.27</v>
      </c>
      <c r="AF15" s="603">
        <v>2.82</v>
      </c>
      <c r="AG15" s="603">
        <v>2.37</v>
      </c>
      <c r="AH15" s="603">
        <v>2.0099999999999998</v>
      </c>
      <c r="AI15" s="603">
        <v>1.81</v>
      </c>
      <c r="AJ15" s="603">
        <v>1.64</v>
      </c>
      <c r="AK15" s="603">
        <v>1.64</v>
      </c>
      <c r="AL15" s="603">
        <v>2.0099999999999998</v>
      </c>
    </row>
    <row r="16" spans="1:38" ht="15.75" customHeight="1" x14ac:dyDescent="0.25">
      <c r="A16" s="614">
        <v>12</v>
      </c>
      <c r="B16" s="64" t="s">
        <v>108</v>
      </c>
      <c r="C16" s="594">
        <v>1.5269999999999999</v>
      </c>
      <c r="D16" s="594">
        <v>1.5329999999999999</v>
      </c>
      <c r="E16" s="594">
        <v>1.643</v>
      </c>
      <c r="F16" s="594">
        <v>1.6</v>
      </c>
      <c r="G16" s="594">
        <v>1.63</v>
      </c>
      <c r="H16" s="594">
        <v>1.55</v>
      </c>
      <c r="I16" s="594">
        <v>1.59</v>
      </c>
      <c r="J16" s="594">
        <v>1.65</v>
      </c>
      <c r="K16" s="54">
        <v>1.54</v>
      </c>
      <c r="L16" s="54">
        <v>1.66</v>
      </c>
      <c r="M16" s="54">
        <v>1.78</v>
      </c>
      <c r="N16" s="54">
        <v>1.67</v>
      </c>
      <c r="O16" s="55">
        <v>1.87</v>
      </c>
      <c r="P16" s="55">
        <v>1.51</v>
      </c>
      <c r="Q16" s="55">
        <v>1.65</v>
      </c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</row>
    <row r="17" spans="1:38" ht="15.75" customHeight="1" x14ac:dyDescent="0.25">
      <c r="A17" s="614"/>
      <c r="B17" s="64" t="s">
        <v>109</v>
      </c>
      <c r="C17" s="594">
        <v>1.6</v>
      </c>
      <c r="D17" s="594">
        <v>1.56</v>
      </c>
      <c r="E17" s="594">
        <v>1.34</v>
      </c>
      <c r="F17" s="594">
        <v>1.57</v>
      </c>
      <c r="G17" s="594">
        <v>1.59</v>
      </c>
      <c r="H17" s="594">
        <v>1.55</v>
      </c>
      <c r="I17" s="594">
        <v>1.67</v>
      </c>
      <c r="J17" s="594">
        <v>1.97</v>
      </c>
      <c r="K17" s="54">
        <v>1.69</v>
      </c>
      <c r="L17" s="56">
        <v>1.6</v>
      </c>
      <c r="M17" s="56">
        <v>1.4</v>
      </c>
      <c r="N17" s="56">
        <v>1.52</v>
      </c>
      <c r="O17" s="55">
        <v>1.36</v>
      </c>
      <c r="P17" s="55">
        <v>1.58</v>
      </c>
      <c r="Q17" s="55">
        <v>1.55</v>
      </c>
      <c r="R17" s="55">
        <v>1.67</v>
      </c>
      <c r="S17" s="55">
        <v>2.044</v>
      </c>
      <c r="T17" s="55">
        <v>1.875</v>
      </c>
      <c r="U17" s="55">
        <v>2.0499999999999998</v>
      </c>
      <c r="V17" s="55">
        <v>2.06</v>
      </c>
      <c r="W17" s="596">
        <v>2.1</v>
      </c>
      <c r="X17" s="596">
        <v>2.0299999999999998</v>
      </c>
      <c r="Y17" s="596">
        <v>1.92</v>
      </c>
      <c r="Z17" s="596">
        <v>1.75</v>
      </c>
      <c r="AA17" s="596">
        <v>1.7000987442844</v>
      </c>
      <c r="AB17" s="596">
        <v>1.70080011490789</v>
      </c>
      <c r="AC17" s="596">
        <v>1.80893973808599</v>
      </c>
      <c r="AD17" s="596">
        <v>1.89</v>
      </c>
      <c r="AE17" s="596">
        <v>2.03544536639231</v>
      </c>
      <c r="AF17" s="596">
        <v>2.1698413266544998</v>
      </c>
      <c r="AG17" s="596">
        <v>1.98</v>
      </c>
      <c r="AH17" s="596">
        <v>1.9</v>
      </c>
      <c r="AI17" s="596">
        <v>1.6850036984961301</v>
      </c>
      <c r="AJ17" s="596">
        <v>1.7089156427691901</v>
      </c>
      <c r="AK17" s="596">
        <v>1.6957513609113799</v>
      </c>
      <c r="AL17" s="596">
        <v>1.6424576136612401</v>
      </c>
    </row>
    <row r="18" spans="1:38" ht="15.75" customHeight="1" x14ac:dyDescent="0.25">
      <c r="A18" s="614">
        <v>13</v>
      </c>
      <c r="B18" s="597" t="s">
        <v>42</v>
      </c>
      <c r="C18" s="594">
        <v>1.55</v>
      </c>
      <c r="D18" s="594">
        <v>1.58</v>
      </c>
      <c r="E18" s="594">
        <v>1.54</v>
      </c>
      <c r="F18" s="594">
        <v>1.72</v>
      </c>
      <c r="G18" s="594">
        <v>1.74</v>
      </c>
      <c r="H18" s="594">
        <v>1.81</v>
      </c>
      <c r="I18" s="594">
        <v>1.96</v>
      </c>
      <c r="J18" s="594">
        <v>1.95</v>
      </c>
      <c r="K18" s="54">
        <v>1.93</v>
      </c>
      <c r="L18" s="54">
        <v>1.94</v>
      </c>
      <c r="M18" s="54">
        <v>1.93</v>
      </c>
      <c r="N18" s="54">
        <v>1.82</v>
      </c>
      <c r="O18" s="55">
        <v>1.78</v>
      </c>
      <c r="P18" s="55">
        <v>2.0299999999999998</v>
      </c>
      <c r="Q18" s="55">
        <v>2.0099999999999998</v>
      </c>
      <c r="R18" s="55">
        <v>2.1027150946000002</v>
      </c>
      <c r="S18" s="55">
        <v>2.1321197599596702</v>
      </c>
      <c r="T18" s="55">
        <v>2.1781171694103501</v>
      </c>
      <c r="U18" s="55">
        <v>2.21</v>
      </c>
      <c r="V18" s="55">
        <v>2.0499999999999998</v>
      </c>
      <c r="W18" s="596">
        <v>2.0409999999999999</v>
      </c>
      <c r="X18" s="596">
        <v>2.1019999999999999</v>
      </c>
      <c r="Y18" s="596">
        <v>2.1160000000000001</v>
      </c>
      <c r="Z18" s="596">
        <v>2.242</v>
      </c>
      <c r="AA18" s="596">
        <v>2.2000000000000002</v>
      </c>
      <c r="AB18" s="596">
        <v>2.2599999999999998</v>
      </c>
      <c r="AC18" s="596">
        <v>2.1800000000000002</v>
      </c>
      <c r="AD18" s="596">
        <v>2.17</v>
      </c>
      <c r="AE18" s="596">
        <v>2.4969999999999999</v>
      </c>
      <c r="AF18" s="596">
        <v>2.742</v>
      </c>
      <c r="AG18" s="596">
        <v>2.758</v>
      </c>
      <c r="AH18" s="596">
        <v>2.9</v>
      </c>
      <c r="AI18" s="596">
        <v>2.76</v>
      </c>
      <c r="AJ18" s="596">
        <v>2.5099999999999998</v>
      </c>
      <c r="AK18" s="596">
        <v>2.4500000000000002</v>
      </c>
      <c r="AL18" s="596">
        <v>2.46</v>
      </c>
    </row>
    <row r="19" spans="1:38" ht="15.75" customHeight="1" x14ac:dyDescent="0.25">
      <c r="A19" s="614">
        <v>14</v>
      </c>
      <c r="B19" s="604" t="s">
        <v>45</v>
      </c>
      <c r="C19" s="594">
        <v>1.47</v>
      </c>
      <c r="D19" s="594">
        <v>1.56</v>
      </c>
      <c r="E19" s="594">
        <v>1.61</v>
      </c>
      <c r="F19" s="594">
        <v>1.67</v>
      </c>
      <c r="G19" s="594">
        <v>1.62</v>
      </c>
      <c r="H19" s="594">
        <v>1.67</v>
      </c>
      <c r="I19" s="594">
        <v>1.6</v>
      </c>
      <c r="J19" s="594">
        <v>1.65</v>
      </c>
      <c r="K19" s="54">
        <v>1.63</v>
      </c>
      <c r="L19" s="54">
        <v>1.65</v>
      </c>
      <c r="M19" s="54">
        <v>1.62</v>
      </c>
      <c r="N19" s="56">
        <v>1.6</v>
      </c>
      <c r="O19" s="55">
        <v>1.54</v>
      </c>
      <c r="P19" s="55">
        <v>1.64</v>
      </c>
      <c r="Q19" s="55">
        <v>1.62</v>
      </c>
      <c r="R19" s="55">
        <v>1.6</v>
      </c>
      <c r="S19" s="55">
        <v>1.64</v>
      </c>
      <c r="T19" s="55">
        <v>1.79</v>
      </c>
      <c r="U19" s="55">
        <v>1.63</v>
      </c>
      <c r="V19" s="55">
        <v>1.62</v>
      </c>
      <c r="W19" s="596">
        <v>1.75</v>
      </c>
      <c r="X19" s="596">
        <v>1.57</v>
      </c>
      <c r="Y19" s="596">
        <v>1.6</v>
      </c>
      <c r="Z19" s="596">
        <v>1.66</v>
      </c>
      <c r="AA19" s="596">
        <v>1.62</v>
      </c>
      <c r="AB19" s="596">
        <v>1.59</v>
      </c>
      <c r="AC19" s="596">
        <v>1.63</v>
      </c>
      <c r="AD19" s="596">
        <v>1.58</v>
      </c>
      <c r="AE19" s="596">
        <v>1.69</v>
      </c>
      <c r="AF19" s="596">
        <v>1.74</v>
      </c>
      <c r="AG19" s="596">
        <v>1.75</v>
      </c>
      <c r="AH19" s="596">
        <v>1.73</v>
      </c>
      <c r="AI19" s="596">
        <v>1.63</v>
      </c>
      <c r="AJ19" s="596">
        <v>1.51</v>
      </c>
      <c r="AK19" s="596">
        <v>1.74</v>
      </c>
      <c r="AL19" s="596">
        <v>1.68</v>
      </c>
    </row>
    <row r="20" spans="1:38" ht="15.75" customHeight="1" x14ac:dyDescent="0.25">
      <c r="A20" s="614">
        <v>15</v>
      </c>
      <c r="B20" s="600" t="s">
        <v>49</v>
      </c>
      <c r="C20" s="605" t="s">
        <v>107</v>
      </c>
      <c r="D20" s="605" t="s">
        <v>107</v>
      </c>
      <c r="E20" s="605" t="s">
        <v>107</v>
      </c>
      <c r="F20" s="605" t="s">
        <v>107</v>
      </c>
      <c r="G20" s="605" t="s">
        <v>107</v>
      </c>
      <c r="H20" s="605" t="s">
        <v>107</v>
      </c>
      <c r="I20" s="605" t="s">
        <v>107</v>
      </c>
      <c r="J20" s="605" t="s">
        <v>107</v>
      </c>
      <c r="K20" s="605" t="s">
        <v>107</v>
      </c>
      <c r="L20" s="605" t="s">
        <v>107</v>
      </c>
      <c r="M20" s="54">
        <v>2.58</v>
      </c>
      <c r="N20" s="54">
        <v>2.4500000000000002</v>
      </c>
      <c r="O20" s="55">
        <v>2.31</v>
      </c>
      <c r="P20" s="55">
        <v>2.1800000000000002</v>
      </c>
      <c r="Q20" s="55">
        <v>2.02</v>
      </c>
      <c r="R20" s="55">
        <v>1.8</v>
      </c>
      <c r="S20" s="55">
        <v>2.41</v>
      </c>
      <c r="T20" s="55">
        <v>2.2799999999999998</v>
      </c>
      <c r="U20" s="55">
        <v>2.09260396092782</v>
      </c>
      <c r="V20" s="55">
        <v>1.88</v>
      </c>
      <c r="W20" s="596">
        <v>2.57</v>
      </c>
      <c r="X20" s="596">
        <v>2.36</v>
      </c>
      <c r="Y20" s="596">
        <v>2.1544217419999998</v>
      </c>
      <c r="Z20" s="596">
        <v>1.86</v>
      </c>
      <c r="AA20" s="596">
        <v>2.38</v>
      </c>
      <c r="AB20" s="596">
        <v>2.73</v>
      </c>
      <c r="AC20" s="596">
        <v>2.44</v>
      </c>
      <c r="AD20" s="596">
        <v>2.13</v>
      </c>
      <c r="AE20" s="596">
        <v>2.2000000000000002</v>
      </c>
      <c r="AF20" s="596">
        <v>2.12</v>
      </c>
      <c r="AG20" s="596">
        <v>2.2400000000000002</v>
      </c>
      <c r="AH20" s="596">
        <v>1.95</v>
      </c>
      <c r="AI20" s="596">
        <v>1.75</v>
      </c>
      <c r="AJ20" s="596">
        <v>2.66</v>
      </c>
      <c r="AK20" s="596">
        <v>2.35</v>
      </c>
      <c r="AL20" s="596">
        <v>1.79</v>
      </c>
    </row>
    <row r="21" spans="1:38" ht="15.75" customHeight="1" x14ac:dyDescent="0.25">
      <c r="A21" s="614">
        <v>16</v>
      </c>
      <c r="B21" s="597" t="s">
        <v>52</v>
      </c>
      <c r="C21" s="594">
        <v>5.98</v>
      </c>
      <c r="D21" s="594">
        <v>5.57</v>
      </c>
      <c r="E21" s="594">
        <v>5.01</v>
      </c>
      <c r="F21" s="594">
        <v>4.22</v>
      </c>
      <c r="G21" s="594">
        <v>3.35</v>
      </c>
      <c r="H21" s="594">
        <v>2.5299999999999998</v>
      </c>
      <c r="I21" s="594">
        <v>7.9</v>
      </c>
      <c r="J21" s="594">
        <v>6.71</v>
      </c>
      <c r="K21" s="54">
        <v>4.91</v>
      </c>
      <c r="L21" s="54">
        <v>3.87</v>
      </c>
      <c r="M21" s="54">
        <v>2.87</v>
      </c>
      <c r="N21" s="54">
        <v>2.2400000000000002</v>
      </c>
      <c r="O21" s="55">
        <v>1.51</v>
      </c>
      <c r="P21" s="55">
        <v>4.09</v>
      </c>
      <c r="Q21" s="55">
        <v>3.54</v>
      </c>
      <c r="R21" s="55">
        <v>2.87248689313485</v>
      </c>
      <c r="S21" s="55">
        <v>2.2248242169605601</v>
      </c>
      <c r="T21" s="55">
        <v>1.8498084106077299</v>
      </c>
      <c r="U21" s="55">
        <v>2.2315108757774902</v>
      </c>
      <c r="V21" s="55">
        <v>2.3960816683186499</v>
      </c>
      <c r="W21" s="596">
        <v>1.94940388089668</v>
      </c>
      <c r="X21" s="596">
        <v>3.25480920693396</v>
      </c>
      <c r="Y21" s="596">
        <v>2.57291942966437</v>
      </c>
      <c r="Z21" s="596">
        <v>2.1529749971143599</v>
      </c>
      <c r="AA21" s="596">
        <v>1.8097418641643099</v>
      </c>
      <c r="AB21" s="596">
        <v>2.6318494067292399</v>
      </c>
      <c r="AC21" s="596">
        <v>2.2495773585671501</v>
      </c>
      <c r="AD21" s="596">
        <v>2.1837119591954099</v>
      </c>
      <c r="AE21" s="596">
        <v>2.65338163249183</v>
      </c>
      <c r="AF21" s="596">
        <v>3.0932817806056399</v>
      </c>
      <c r="AG21" s="596">
        <v>2.8070095129444401</v>
      </c>
      <c r="AH21" s="596">
        <v>2.9167608185857001</v>
      </c>
      <c r="AI21" s="596">
        <v>2.81381919523972</v>
      </c>
      <c r="AJ21" s="596">
        <v>2.8496423488268201</v>
      </c>
      <c r="AK21" s="596">
        <v>2.8653806876285999</v>
      </c>
      <c r="AL21" s="596">
        <v>2.8677911912082901</v>
      </c>
    </row>
    <row r="22" spans="1:38" ht="15.75" customHeight="1" x14ac:dyDescent="0.25">
      <c r="A22" s="614">
        <v>17</v>
      </c>
      <c r="B22" s="600" t="s">
        <v>56</v>
      </c>
      <c r="C22" s="594">
        <v>3.59</v>
      </c>
      <c r="D22" s="594">
        <v>3.34</v>
      </c>
      <c r="E22" s="594">
        <v>2.4900000000000002</v>
      </c>
      <c r="F22" s="594">
        <v>1.97</v>
      </c>
      <c r="G22" s="594">
        <v>1.62</v>
      </c>
      <c r="H22" s="594">
        <v>1.53</v>
      </c>
      <c r="I22" s="594">
        <v>1.54</v>
      </c>
      <c r="J22" s="594">
        <v>1.24</v>
      </c>
      <c r="K22" s="54">
        <v>1.69</v>
      </c>
      <c r="L22" s="54">
        <v>1.51</v>
      </c>
      <c r="M22" s="54">
        <v>1.53</v>
      </c>
      <c r="N22" s="54">
        <v>1.78</v>
      </c>
      <c r="O22" s="55">
        <v>1.84</v>
      </c>
      <c r="P22" s="55">
        <v>1.99</v>
      </c>
      <c r="Q22" s="55">
        <v>2.02</v>
      </c>
      <c r="R22" s="55">
        <v>2.0699999999999998</v>
      </c>
      <c r="S22" s="55">
        <v>2.06</v>
      </c>
      <c r="T22" s="55">
        <v>2.056</v>
      </c>
      <c r="U22" s="55">
        <v>2.0699999999999998</v>
      </c>
      <c r="V22" s="55">
        <v>2.0099999999999998</v>
      </c>
      <c r="W22" s="596">
        <v>2.12</v>
      </c>
      <c r="X22" s="596">
        <v>1.67</v>
      </c>
      <c r="Y22" s="596">
        <v>1.77</v>
      </c>
      <c r="Z22" s="596">
        <v>1.5813235547513</v>
      </c>
      <c r="AA22" s="596">
        <v>1.76</v>
      </c>
      <c r="AB22" s="596">
        <v>1.66</v>
      </c>
      <c r="AC22" s="596">
        <v>1.58</v>
      </c>
      <c r="AD22" s="596">
        <v>1.71</v>
      </c>
      <c r="AE22" s="596">
        <v>1.75</v>
      </c>
      <c r="AF22" s="596">
        <v>1.78</v>
      </c>
      <c r="AG22" s="596">
        <v>1.81</v>
      </c>
      <c r="AH22" s="596">
        <v>1.79</v>
      </c>
      <c r="AI22" s="596">
        <v>1.82</v>
      </c>
      <c r="AJ22" s="596">
        <v>1.82</v>
      </c>
      <c r="AK22" s="596">
        <v>1.61</v>
      </c>
      <c r="AL22" s="596">
        <v>1.76</v>
      </c>
    </row>
    <row r="23" spans="1:38" ht="15.75" customHeight="1" x14ac:dyDescent="0.25">
      <c r="A23" s="614">
        <v>18</v>
      </c>
      <c r="B23" s="597" t="s">
        <v>110</v>
      </c>
      <c r="C23" s="594"/>
      <c r="D23" s="594"/>
      <c r="E23" s="594"/>
      <c r="F23" s="594"/>
      <c r="G23" s="594"/>
      <c r="H23" s="594"/>
      <c r="I23" s="594"/>
      <c r="J23" s="594"/>
      <c r="K23" s="56"/>
      <c r="L23" s="54"/>
      <c r="M23" s="54"/>
      <c r="N23" s="56"/>
      <c r="O23" s="55"/>
      <c r="P23" s="55"/>
      <c r="Q23" s="55"/>
      <c r="R23" s="55"/>
      <c r="S23" s="55" t="s">
        <v>130</v>
      </c>
      <c r="T23" s="55" t="s">
        <v>130</v>
      </c>
      <c r="U23" s="55">
        <v>3.4</v>
      </c>
      <c r="V23" s="55">
        <v>3.34</v>
      </c>
      <c r="W23" s="596">
        <v>3.2928999999999999</v>
      </c>
      <c r="X23" s="596">
        <v>2.7622</v>
      </c>
      <c r="Y23" s="596">
        <v>2.5916000000000001</v>
      </c>
      <c r="Z23" s="596">
        <v>2.5952000000000002</v>
      </c>
      <c r="AA23" s="596">
        <v>2.46</v>
      </c>
      <c r="AB23" s="596">
        <v>2.3016000000000001</v>
      </c>
      <c r="AC23" s="596">
        <v>1.8416999999999999</v>
      </c>
      <c r="AD23" s="596">
        <v>3.3491</v>
      </c>
      <c r="AE23" s="596">
        <v>3.0935999999999999</v>
      </c>
      <c r="AF23" s="596">
        <v>2</v>
      </c>
      <c r="AG23" s="596">
        <v>2.2200000000000002</v>
      </c>
      <c r="AH23" s="596">
        <v>2.1205518597792401</v>
      </c>
      <c r="AI23" s="596">
        <v>2.28477078096605</v>
      </c>
      <c r="AJ23" s="596">
        <v>1.6660921663260999</v>
      </c>
      <c r="AK23" s="596">
        <v>2.15</v>
      </c>
      <c r="AL23" s="596">
        <v>1.91</v>
      </c>
    </row>
    <row r="24" spans="1:38" ht="15.75" customHeight="1" x14ac:dyDescent="0.25">
      <c r="A24" s="614">
        <v>19</v>
      </c>
      <c r="B24" s="600" t="s">
        <v>60</v>
      </c>
      <c r="C24" s="594">
        <v>3.98</v>
      </c>
      <c r="D24" s="594">
        <v>3.92</v>
      </c>
      <c r="E24" s="594">
        <v>3.95</v>
      </c>
      <c r="F24" s="594">
        <v>4.07</v>
      </c>
      <c r="G24" s="594">
        <v>4.08</v>
      </c>
      <c r="H24" s="594">
        <v>4.09</v>
      </c>
      <c r="I24" s="594">
        <v>4.26</v>
      </c>
      <c r="J24" s="594">
        <v>4.26</v>
      </c>
      <c r="K24" s="54">
        <v>4.28</v>
      </c>
      <c r="L24" s="54">
        <v>4.37</v>
      </c>
      <c r="M24" s="54">
        <v>4.4400000000000004</v>
      </c>
      <c r="N24" s="54">
        <v>4.43</v>
      </c>
      <c r="O24" s="55">
        <v>4.41</v>
      </c>
      <c r="P24" s="55">
        <v>4.4400000000000004</v>
      </c>
      <c r="Q24" s="55">
        <v>4.47</v>
      </c>
      <c r="R24" s="55">
        <v>4.45</v>
      </c>
      <c r="S24" s="55">
        <v>4.43</v>
      </c>
      <c r="T24" s="55">
        <v>4.42</v>
      </c>
      <c r="U24" s="55">
        <v>4.42</v>
      </c>
      <c r="V24" s="55">
        <v>4.32</v>
      </c>
      <c r="W24" s="596">
        <v>4.0999999999999996</v>
      </c>
      <c r="X24" s="596">
        <v>4.1900000000000004</v>
      </c>
      <c r="Y24" s="596">
        <v>4.04</v>
      </c>
      <c r="Z24" s="596">
        <v>3.83</v>
      </c>
      <c r="AA24" s="596">
        <v>3.6</v>
      </c>
      <c r="AB24" s="596">
        <v>3.22</v>
      </c>
      <c r="AC24" s="596">
        <v>3</v>
      </c>
      <c r="AD24" s="596">
        <v>2.46</v>
      </c>
      <c r="AE24" s="596">
        <v>2.2200000000000002</v>
      </c>
      <c r="AF24" s="596">
        <v>3.94</v>
      </c>
      <c r="AG24" s="596">
        <v>3.5</v>
      </c>
      <c r="AH24" s="596">
        <v>3.66</v>
      </c>
      <c r="AI24" s="596">
        <v>2.59</v>
      </c>
      <c r="AJ24" s="596">
        <v>2.76</v>
      </c>
      <c r="AK24" s="596">
        <v>2.19</v>
      </c>
      <c r="AL24" s="596">
        <v>2.2200000000000002</v>
      </c>
    </row>
    <row r="25" spans="1:38" ht="15.75" customHeight="1" x14ac:dyDescent="0.25">
      <c r="A25" s="614">
        <v>20</v>
      </c>
      <c r="B25" s="597" t="s">
        <v>63</v>
      </c>
      <c r="C25" s="594">
        <v>1.42</v>
      </c>
      <c r="D25" s="594">
        <v>1.45</v>
      </c>
      <c r="E25" s="594">
        <v>1.43</v>
      </c>
      <c r="F25" s="594">
        <v>1.51</v>
      </c>
      <c r="G25" s="594">
        <v>1.52</v>
      </c>
      <c r="H25" s="594">
        <v>1.53</v>
      </c>
      <c r="I25" s="594">
        <v>1.51</v>
      </c>
      <c r="J25" s="594">
        <v>1.53</v>
      </c>
      <c r="K25" s="56">
        <v>1.5</v>
      </c>
      <c r="L25" s="56">
        <v>1.54</v>
      </c>
      <c r="M25" s="56">
        <v>1.64</v>
      </c>
      <c r="N25" s="56">
        <v>1.55</v>
      </c>
      <c r="O25" s="55">
        <v>1.65</v>
      </c>
      <c r="P25" s="55">
        <v>1.81</v>
      </c>
      <c r="Q25" s="55">
        <v>1.58</v>
      </c>
      <c r="R25" s="55">
        <v>1.68</v>
      </c>
      <c r="S25" s="55">
        <v>1.7</v>
      </c>
      <c r="T25" s="55">
        <v>1.73</v>
      </c>
      <c r="U25" s="55">
        <v>1.72</v>
      </c>
      <c r="V25" s="55">
        <v>1.68</v>
      </c>
      <c r="W25" s="596">
        <v>1.61</v>
      </c>
      <c r="X25" s="596">
        <v>1.7088963479989701</v>
      </c>
      <c r="Y25" s="596">
        <v>1.63870671395613</v>
      </c>
      <c r="Z25" s="596">
        <v>1.59748966656109</v>
      </c>
      <c r="AA25" s="596">
        <v>1.59623106131962</v>
      </c>
      <c r="AB25" s="596">
        <v>1.52545623632684</v>
      </c>
      <c r="AC25" s="596">
        <v>1.5250126027167901</v>
      </c>
      <c r="AD25" s="596">
        <v>1.5196500652200999</v>
      </c>
      <c r="AE25" s="596">
        <v>1.5828425176629899</v>
      </c>
      <c r="AF25" s="596">
        <v>1.63</v>
      </c>
      <c r="AG25" s="596">
        <v>1.65</v>
      </c>
      <c r="AH25" s="596">
        <v>1.65</v>
      </c>
      <c r="AI25" s="596">
        <v>1.64756629637351</v>
      </c>
      <c r="AJ25" s="596">
        <v>1.6938937082927401</v>
      </c>
      <c r="AK25" s="596">
        <v>1.6903323108555099</v>
      </c>
      <c r="AL25" s="596">
        <v>1.66</v>
      </c>
    </row>
    <row r="26" spans="1:38" ht="15.75" customHeight="1" x14ac:dyDescent="0.25">
      <c r="A26" s="614">
        <v>21</v>
      </c>
      <c r="B26" s="597" t="s">
        <v>111</v>
      </c>
      <c r="C26" s="594">
        <v>1.43</v>
      </c>
      <c r="D26" s="594">
        <v>1.4590000000000001</v>
      </c>
      <c r="E26" s="594">
        <v>1.4570000000000001</v>
      </c>
      <c r="F26" s="594">
        <v>1.61</v>
      </c>
      <c r="G26" s="594">
        <v>1.59</v>
      </c>
      <c r="H26" s="594">
        <v>1.63</v>
      </c>
      <c r="I26" s="594">
        <v>1.71</v>
      </c>
      <c r="J26" s="594">
        <v>1.64</v>
      </c>
      <c r="K26" s="54">
        <v>1.6</v>
      </c>
      <c r="L26" s="54">
        <v>1.66</v>
      </c>
      <c r="M26" s="56">
        <v>1.6</v>
      </c>
      <c r="N26" s="56">
        <v>1.55</v>
      </c>
      <c r="O26" s="55">
        <v>1.56</v>
      </c>
      <c r="P26" s="55">
        <v>1.66</v>
      </c>
      <c r="Q26" s="55">
        <v>1.63</v>
      </c>
      <c r="R26" s="55">
        <v>1.69</v>
      </c>
      <c r="S26" s="55">
        <v>1.69</v>
      </c>
      <c r="T26" s="55">
        <v>2.25</v>
      </c>
      <c r="U26" s="55">
        <v>2.25</v>
      </c>
      <c r="V26" s="55">
        <v>2.21</v>
      </c>
      <c r="W26" s="596">
        <v>2.11</v>
      </c>
      <c r="X26" s="596">
        <v>1.96</v>
      </c>
      <c r="Y26" s="596">
        <v>1.94</v>
      </c>
      <c r="Z26" s="596">
        <v>1.93</v>
      </c>
      <c r="AA26" s="596">
        <v>1.91</v>
      </c>
      <c r="AB26" s="596">
        <v>1.88</v>
      </c>
      <c r="AC26" s="596">
        <v>1.8423923603989201</v>
      </c>
      <c r="AD26" s="596">
        <v>1.69</v>
      </c>
      <c r="AE26" s="596">
        <v>2.0099999999999998</v>
      </c>
      <c r="AF26" s="596">
        <v>2.31</v>
      </c>
      <c r="AG26" s="596">
        <v>2.16</v>
      </c>
      <c r="AH26" s="596">
        <v>1.87</v>
      </c>
      <c r="AI26" s="596">
        <v>1.97</v>
      </c>
      <c r="AJ26" s="596">
        <v>2.0699999999999998</v>
      </c>
      <c r="AK26" s="596">
        <v>2.14</v>
      </c>
      <c r="AL26" s="596">
        <v>2.1</v>
      </c>
    </row>
    <row r="27" spans="1:38" ht="15.75" customHeight="1" x14ac:dyDescent="0.25">
      <c r="A27" s="614">
        <v>22</v>
      </c>
      <c r="B27" s="600" t="s">
        <v>66</v>
      </c>
      <c r="C27" s="594">
        <v>2.11</v>
      </c>
      <c r="D27" s="594">
        <v>3.4</v>
      </c>
      <c r="E27" s="594">
        <v>2.9</v>
      </c>
      <c r="F27" s="594">
        <v>2.5099999999999998</v>
      </c>
      <c r="G27" s="594">
        <v>2.09</v>
      </c>
      <c r="H27" s="594">
        <v>3.65</v>
      </c>
      <c r="I27" s="594">
        <v>3.27</v>
      </c>
      <c r="J27" s="594">
        <v>2.8</v>
      </c>
      <c r="K27" s="56">
        <v>2.62</v>
      </c>
      <c r="L27" s="56">
        <v>2.4</v>
      </c>
      <c r="M27" s="56">
        <v>2.19</v>
      </c>
      <c r="N27" s="56">
        <v>1.81</v>
      </c>
      <c r="O27" s="55">
        <v>1.65</v>
      </c>
      <c r="P27" s="55">
        <v>2</v>
      </c>
      <c r="Q27" s="55">
        <v>1.85</v>
      </c>
      <c r="R27" s="55">
        <v>2.19</v>
      </c>
      <c r="S27" s="55">
        <v>2.2999999999999998</v>
      </c>
      <c r="T27" s="55">
        <v>2.67</v>
      </c>
      <c r="U27" s="55">
        <v>2.72</v>
      </c>
      <c r="V27" s="55">
        <v>2.5386900661952998</v>
      </c>
      <c r="W27" s="596">
        <v>2.3818200430556802</v>
      </c>
      <c r="X27" s="596">
        <v>2.4618687621319002</v>
      </c>
      <c r="Y27" s="596">
        <v>2.3252593084326199</v>
      </c>
      <c r="Z27" s="596">
        <v>2.33903334872738</v>
      </c>
      <c r="AA27" s="596">
        <v>2.3410163851564199</v>
      </c>
      <c r="AB27" s="596">
        <v>2.1183294338829102</v>
      </c>
      <c r="AC27" s="596">
        <v>2.1164853464840099</v>
      </c>
      <c r="AD27" s="596">
        <v>2.2706648489460202</v>
      </c>
      <c r="AE27" s="596">
        <v>2.2683647980535699</v>
      </c>
      <c r="AF27" s="596">
        <v>2.3380763791067198</v>
      </c>
      <c r="AG27" s="596">
        <v>2.2066766673916698</v>
      </c>
      <c r="AH27" s="596">
        <v>2.0009839227810802</v>
      </c>
      <c r="AI27" s="596">
        <v>2.1000229154438999</v>
      </c>
      <c r="AJ27" s="596">
        <v>2.04</v>
      </c>
      <c r="AK27" s="596">
        <v>1.9321570605785201</v>
      </c>
      <c r="AL27" s="596">
        <v>1.8480524158627101</v>
      </c>
    </row>
    <row r="28" spans="1:38" ht="15.75" customHeight="1" x14ac:dyDescent="0.25">
      <c r="A28" s="614">
        <v>23</v>
      </c>
      <c r="B28" s="600" t="s">
        <v>70</v>
      </c>
      <c r="C28" s="594">
        <v>1.52</v>
      </c>
      <c r="D28" s="594">
        <v>1.44</v>
      </c>
      <c r="E28" s="594">
        <v>1.49</v>
      </c>
      <c r="F28" s="594">
        <v>1.51</v>
      </c>
      <c r="G28" s="594">
        <v>1.59</v>
      </c>
      <c r="H28" s="594">
        <v>1.71</v>
      </c>
      <c r="I28" s="594">
        <v>1.81</v>
      </c>
      <c r="J28" s="594">
        <v>1.79</v>
      </c>
      <c r="K28" s="54">
        <v>1.91</v>
      </c>
      <c r="L28" s="54">
        <v>2.0099999999999998</v>
      </c>
      <c r="M28" s="54">
        <v>2.09</v>
      </c>
      <c r="N28" s="54">
        <v>1.98</v>
      </c>
      <c r="O28" s="55">
        <v>2.02</v>
      </c>
      <c r="P28" s="55">
        <v>2.0699999999999998</v>
      </c>
      <c r="Q28" s="55">
        <v>2.12</v>
      </c>
      <c r="R28" s="55">
        <v>1.94</v>
      </c>
      <c r="S28" s="55">
        <v>1.86</v>
      </c>
      <c r="T28" s="55">
        <v>2.09</v>
      </c>
      <c r="U28" s="55">
        <v>2.27</v>
      </c>
      <c r="V28" s="55">
        <v>2.35</v>
      </c>
      <c r="W28" s="596">
        <v>2.52</v>
      </c>
      <c r="X28" s="596">
        <v>2.74</v>
      </c>
      <c r="Y28" s="596">
        <v>2.85</v>
      </c>
      <c r="Z28" s="596">
        <v>3.47</v>
      </c>
      <c r="AA28" s="596">
        <v>3.11</v>
      </c>
      <c r="AB28" s="596">
        <v>3.37</v>
      </c>
      <c r="AC28" s="596">
        <v>3.47</v>
      </c>
      <c r="AD28" s="596">
        <v>3.67</v>
      </c>
      <c r="AE28" s="596">
        <v>3.51</v>
      </c>
      <c r="AF28" s="596">
        <v>3.66</v>
      </c>
      <c r="AG28" s="596">
        <v>3.61</v>
      </c>
      <c r="AH28" s="596">
        <v>3.6332668800168499</v>
      </c>
      <c r="AI28" s="596">
        <v>3.63</v>
      </c>
      <c r="AJ28" s="596">
        <v>4.05</v>
      </c>
      <c r="AK28" s="596">
        <v>4.7</v>
      </c>
      <c r="AL28" s="596">
        <v>4.62</v>
      </c>
    </row>
    <row r="29" spans="1:38" ht="15.75" customHeight="1" x14ac:dyDescent="0.25">
      <c r="A29" s="614">
        <v>24</v>
      </c>
      <c r="B29" s="597" t="s">
        <v>112</v>
      </c>
      <c r="C29" s="594">
        <v>1.58</v>
      </c>
      <c r="D29" s="594">
        <v>1.6</v>
      </c>
      <c r="E29" s="594">
        <v>1.64</v>
      </c>
      <c r="F29" s="594">
        <v>1.59</v>
      </c>
      <c r="G29" s="594">
        <v>1.68</v>
      </c>
      <c r="H29" s="594">
        <v>1.69</v>
      </c>
      <c r="I29" s="594">
        <v>1.6</v>
      </c>
      <c r="J29" s="594">
        <v>1.55</v>
      </c>
      <c r="K29" s="56">
        <v>1.57</v>
      </c>
      <c r="L29" s="56">
        <v>1.53</v>
      </c>
      <c r="M29" s="56">
        <v>1.58</v>
      </c>
      <c r="N29" s="56">
        <v>1.66</v>
      </c>
      <c r="O29" s="55">
        <v>1.69</v>
      </c>
      <c r="P29" s="55">
        <v>1.64</v>
      </c>
      <c r="Q29" s="55">
        <v>1.54</v>
      </c>
      <c r="R29" s="55">
        <v>1.80109339503735</v>
      </c>
      <c r="S29" s="55">
        <v>1.72</v>
      </c>
      <c r="T29" s="55">
        <v>1.95</v>
      </c>
      <c r="U29" s="55">
        <v>1.78</v>
      </c>
      <c r="V29" s="55">
        <v>1.69</v>
      </c>
      <c r="W29" s="596">
        <v>1.89</v>
      </c>
      <c r="X29" s="596">
        <v>2</v>
      </c>
      <c r="Y29" s="596">
        <v>1.75</v>
      </c>
      <c r="Z29" s="596">
        <v>1.63</v>
      </c>
      <c r="AA29" s="596">
        <v>1.7</v>
      </c>
      <c r="AB29" s="596">
        <v>1.72</v>
      </c>
      <c r="AC29" s="596">
        <v>2.1</v>
      </c>
      <c r="AD29" s="596">
        <v>1.84</v>
      </c>
      <c r="AE29" s="596">
        <v>2.13</v>
      </c>
      <c r="AF29" s="596">
        <v>2.1749979927175098</v>
      </c>
      <c r="AG29" s="596">
        <v>2.17</v>
      </c>
      <c r="AH29" s="596">
        <v>2.2200000000000002</v>
      </c>
      <c r="AI29" s="596">
        <v>2.3199999999999998</v>
      </c>
      <c r="AJ29" s="596">
        <v>2.17</v>
      </c>
      <c r="AK29" s="596">
        <v>2.11</v>
      </c>
      <c r="AL29" s="596">
        <v>1.97</v>
      </c>
    </row>
    <row r="30" spans="1:38" ht="15.75" customHeight="1" x14ac:dyDescent="0.25">
      <c r="A30" s="614">
        <v>25</v>
      </c>
      <c r="B30" s="597" t="s">
        <v>76</v>
      </c>
      <c r="C30" s="594">
        <v>2.08</v>
      </c>
      <c r="D30" s="594">
        <v>2</v>
      </c>
      <c r="E30" s="594">
        <v>1.93</v>
      </c>
      <c r="F30" s="594">
        <v>1.91</v>
      </c>
      <c r="G30" s="594">
        <v>2.09</v>
      </c>
      <c r="H30" s="594">
        <v>2.12</v>
      </c>
      <c r="I30" s="594">
        <v>1.93</v>
      </c>
      <c r="J30" s="594">
        <v>1.86</v>
      </c>
      <c r="K30" s="56">
        <v>1.84</v>
      </c>
      <c r="L30" s="56">
        <v>1.67</v>
      </c>
      <c r="M30" s="56">
        <v>1.75</v>
      </c>
      <c r="N30" s="56">
        <v>1.69</v>
      </c>
      <c r="O30" s="55">
        <v>1.64</v>
      </c>
      <c r="P30" s="55">
        <v>1.56</v>
      </c>
      <c r="Q30" s="55">
        <v>1.56</v>
      </c>
      <c r="R30" s="55">
        <v>1.57</v>
      </c>
      <c r="S30" s="55">
        <v>1.64</v>
      </c>
      <c r="T30" s="55">
        <v>1.68</v>
      </c>
      <c r="U30" s="55">
        <v>1.55</v>
      </c>
      <c r="V30" s="55">
        <v>2.2999999999999998</v>
      </c>
      <c r="W30" s="596">
        <v>2.41</v>
      </c>
      <c r="X30" s="596">
        <v>2.29</v>
      </c>
      <c r="Y30" s="596">
        <v>1.76</v>
      </c>
      <c r="Z30" s="596">
        <v>2.2400000000000002</v>
      </c>
      <c r="AA30" s="596">
        <v>2.2400000000000002</v>
      </c>
      <c r="AB30" s="596">
        <v>2.0099999999999998</v>
      </c>
      <c r="AC30" s="596">
        <v>2.0699999999999998</v>
      </c>
      <c r="AD30" s="596">
        <v>2.2799999999999998</v>
      </c>
      <c r="AE30" s="596">
        <v>2.21</v>
      </c>
      <c r="AF30" s="596">
        <v>2.1430841088100601</v>
      </c>
      <c r="AG30" s="596">
        <v>1.55</v>
      </c>
      <c r="AH30" s="596">
        <v>1.9</v>
      </c>
      <c r="AI30" s="596">
        <v>2.0699999999999998</v>
      </c>
      <c r="AJ30" s="596">
        <v>2.06</v>
      </c>
      <c r="AK30" s="596">
        <v>2.09</v>
      </c>
      <c r="AL30" s="596">
        <v>1.92</v>
      </c>
    </row>
    <row r="31" spans="1:38" ht="18" customHeight="1" x14ac:dyDescent="0.25">
      <c r="A31" s="614"/>
      <c r="B31" s="593" t="s">
        <v>114</v>
      </c>
      <c r="C31" s="594"/>
      <c r="D31" s="594"/>
      <c r="E31" s="594"/>
      <c r="F31" s="594"/>
      <c r="G31" s="594"/>
      <c r="H31" s="594"/>
      <c r="I31" s="594"/>
      <c r="J31" s="594"/>
      <c r="K31" s="595"/>
      <c r="L31" s="595"/>
      <c r="M31" s="595"/>
      <c r="N31" s="595"/>
      <c r="O31" s="595"/>
      <c r="P31" s="595"/>
      <c r="Q31" s="595"/>
      <c r="R31" s="595"/>
      <c r="S31" s="595"/>
      <c r="T31" s="595"/>
      <c r="U31" s="595"/>
      <c r="V31" s="595"/>
      <c r="W31" s="596"/>
      <c r="X31" s="596"/>
      <c r="Y31" s="596"/>
      <c r="Z31" s="596"/>
      <c r="AA31" s="597"/>
      <c r="AB31" s="597"/>
      <c r="AC31" s="597"/>
      <c r="AD31" s="597"/>
      <c r="AE31" s="597"/>
      <c r="AF31" s="597"/>
      <c r="AG31" s="597"/>
      <c r="AH31" s="597"/>
      <c r="AI31" s="597"/>
      <c r="AJ31" s="597"/>
      <c r="AK31" s="597"/>
      <c r="AL31" s="597"/>
    </row>
    <row r="32" spans="1:38" ht="15.75" customHeight="1" x14ac:dyDescent="0.25">
      <c r="A32" s="614">
        <v>26</v>
      </c>
      <c r="B32" s="597" t="s">
        <v>80</v>
      </c>
      <c r="C32" s="594">
        <v>2.36</v>
      </c>
      <c r="D32" s="594">
        <v>2.12</v>
      </c>
      <c r="E32" s="594">
        <v>1.99</v>
      </c>
      <c r="F32" s="594">
        <v>2.6</v>
      </c>
      <c r="G32" s="594">
        <v>2.52</v>
      </c>
      <c r="H32" s="594">
        <v>3.21</v>
      </c>
      <c r="I32" s="594">
        <v>3.3</v>
      </c>
      <c r="J32" s="594">
        <v>3.18</v>
      </c>
      <c r="K32" s="54">
        <v>3.2</v>
      </c>
      <c r="L32" s="54">
        <v>3.09</v>
      </c>
      <c r="M32" s="54">
        <v>3.13</v>
      </c>
      <c r="N32" s="54">
        <v>3.26</v>
      </c>
      <c r="O32" s="60">
        <v>3.14</v>
      </c>
      <c r="P32" s="60">
        <v>1.56</v>
      </c>
      <c r="Q32" s="60">
        <v>1.82</v>
      </c>
      <c r="R32" s="60">
        <v>1.84</v>
      </c>
      <c r="S32" s="60">
        <v>2.13</v>
      </c>
      <c r="T32" s="60">
        <v>2.59</v>
      </c>
      <c r="U32" s="60">
        <v>2.39</v>
      </c>
      <c r="V32" s="60">
        <v>2.04</v>
      </c>
      <c r="W32" s="596">
        <v>2.52</v>
      </c>
      <c r="X32" s="596">
        <v>2.2599999999999998</v>
      </c>
      <c r="Y32" s="596">
        <v>2.37</v>
      </c>
      <c r="Z32" s="596">
        <v>2.14</v>
      </c>
      <c r="AA32" s="597">
        <v>2.99</v>
      </c>
      <c r="AB32" s="597">
        <v>1.91</v>
      </c>
      <c r="AC32" s="597">
        <v>1.84</v>
      </c>
      <c r="AD32" s="597">
        <v>2.83</v>
      </c>
      <c r="AE32" s="597">
        <v>2.92</v>
      </c>
      <c r="AF32" s="596">
        <v>2.9</v>
      </c>
      <c r="AG32" s="597">
        <v>2.29</v>
      </c>
      <c r="AH32" s="597">
        <v>2.09</v>
      </c>
      <c r="AI32" s="597">
        <v>1.88</v>
      </c>
      <c r="AJ32" s="597">
        <v>1.88</v>
      </c>
      <c r="AK32" s="596">
        <v>2.4</v>
      </c>
      <c r="AL32" s="597">
        <v>2.4500000000000002</v>
      </c>
    </row>
    <row r="33" spans="1:38" ht="15.75" customHeight="1" x14ac:dyDescent="0.25">
      <c r="A33" s="614">
        <v>27</v>
      </c>
      <c r="B33" s="600" t="s">
        <v>82</v>
      </c>
      <c r="C33" s="594">
        <v>11.51</v>
      </c>
      <c r="D33" s="594">
        <v>12.09</v>
      </c>
      <c r="E33" s="594">
        <v>5.82</v>
      </c>
      <c r="F33" s="594">
        <v>11.02</v>
      </c>
      <c r="G33" s="594">
        <v>11.5</v>
      </c>
      <c r="H33" s="594">
        <v>11.44</v>
      </c>
      <c r="I33" s="594">
        <v>10.38</v>
      </c>
      <c r="J33" s="594">
        <v>6.61</v>
      </c>
      <c r="K33" s="54">
        <v>6.53</v>
      </c>
      <c r="L33" s="54">
        <v>6.23</v>
      </c>
      <c r="M33" s="54">
        <v>8.93</v>
      </c>
      <c r="N33" s="54">
        <v>9.7899999999999991</v>
      </c>
      <c r="O33" s="60">
        <v>9.3800000000000008</v>
      </c>
      <c r="P33" s="60">
        <v>8.42</v>
      </c>
      <c r="Q33" s="60">
        <v>7.62</v>
      </c>
      <c r="R33" s="60">
        <v>8.69</v>
      </c>
      <c r="S33" s="60">
        <v>8.6</v>
      </c>
      <c r="T33" s="60">
        <v>7.62</v>
      </c>
      <c r="U33" s="60">
        <v>10.33</v>
      </c>
      <c r="V33" s="60">
        <v>9.86</v>
      </c>
      <c r="W33" s="596">
        <v>6.7</v>
      </c>
      <c r="X33" s="596">
        <v>9.9499999999999993</v>
      </c>
      <c r="Y33" s="596">
        <v>11.52</v>
      </c>
      <c r="Z33" s="596">
        <v>10.4</v>
      </c>
      <c r="AA33" s="597">
        <v>12.24</v>
      </c>
      <c r="AB33" s="596">
        <v>12.1</v>
      </c>
      <c r="AC33" s="597">
        <v>15.11</v>
      </c>
      <c r="AD33" s="597">
        <v>15.02</v>
      </c>
      <c r="AE33" s="597">
        <v>13.81</v>
      </c>
      <c r="AF33" s="597">
        <v>12.23</v>
      </c>
      <c r="AG33" s="597">
        <v>15.97</v>
      </c>
      <c r="AH33" s="597">
        <v>19.25</v>
      </c>
      <c r="AI33" s="597">
        <v>21.66</v>
      </c>
      <c r="AJ33" s="597">
        <v>20.79</v>
      </c>
      <c r="AK33" s="597">
        <v>23.92</v>
      </c>
      <c r="AL33" s="597">
        <v>30.05</v>
      </c>
    </row>
    <row r="34" spans="1:38" ht="15.75" customHeight="1" x14ac:dyDescent="0.25">
      <c r="A34" s="597"/>
      <c r="B34" s="593" t="s">
        <v>117</v>
      </c>
      <c r="C34" s="594"/>
      <c r="D34" s="594"/>
      <c r="E34" s="594"/>
      <c r="F34" s="594"/>
      <c r="G34" s="594"/>
      <c r="H34" s="594"/>
      <c r="I34" s="594"/>
      <c r="J34" s="594"/>
      <c r="K34" s="595"/>
      <c r="L34" s="595"/>
      <c r="M34" s="595"/>
      <c r="N34" s="595"/>
      <c r="O34" s="595"/>
      <c r="P34" s="595"/>
      <c r="Q34" s="595"/>
      <c r="R34" s="595"/>
      <c r="S34" s="595"/>
      <c r="T34" s="595"/>
      <c r="U34" s="595"/>
      <c r="V34" s="595"/>
      <c r="W34" s="596"/>
      <c r="X34" s="596"/>
      <c r="Y34" s="596"/>
      <c r="Z34" s="596"/>
      <c r="AA34" s="597"/>
      <c r="AB34" s="597"/>
      <c r="AC34" s="597"/>
      <c r="AD34" s="597"/>
      <c r="AE34" s="597"/>
      <c r="AF34" s="597"/>
      <c r="AG34" s="597"/>
      <c r="AH34" s="597"/>
      <c r="AI34" s="597"/>
      <c r="AJ34" s="597"/>
      <c r="AK34" s="597"/>
      <c r="AL34" s="597"/>
    </row>
    <row r="35" spans="1:38" ht="15.75" customHeight="1" x14ac:dyDescent="0.25">
      <c r="A35" s="614">
        <v>28</v>
      </c>
      <c r="B35" s="64" t="s">
        <v>118</v>
      </c>
      <c r="C35" s="594"/>
      <c r="D35" s="594"/>
      <c r="E35" s="594"/>
      <c r="F35" s="594"/>
      <c r="G35" s="594"/>
      <c r="H35" s="594"/>
      <c r="I35" s="594"/>
      <c r="J35" s="594"/>
      <c r="K35" s="595"/>
      <c r="L35" s="595"/>
      <c r="M35" s="595"/>
      <c r="N35" s="595"/>
      <c r="O35" s="606">
        <v>0</v>
      </c>
      <c r="P35" s="606">
        <v>0</v>
      </c>
      <c r="Q35" s="60">
        <v>3.95</v>
      </c>
      <c r="R35" s="55">
        <v>2.88</v>
      </c>
      <c r="S35" s="55">
        <v>2.2200000000000002</v>
      </c>
      <c r="T35" s="55">
        <v>3.46</v>
      </c>
      <c r="U35" s="55">
        <v>2.34</v>
      </c>
      <c r="V35" s="55">
        <v>1.67</v>
      </c>
      <c r="W35" s="596">
        <v>2.21</v>
      </c>
      <c r="X35" s="596">
        <v>2.98</v>
      </c>
      <c r="Y35" s="596">
        <v>1.77</v>
      </c>
      <c r="Z35" s="596">
        <v>1.62</v>
      </c>
      <c r="AA35" s="596">
        <v>1.5940000000000001</v>
      </c>
      <c r="AB35" s="596">
        <v>2.19</v>
      </c>
      <c r="AC35" s="596">
        <v>2.4</v>
      </c>
      <c r="AD35" s="596">
        <v>1.81</v>
      </c>
      <c r="AE35" s="596">
        <v>1.73</v>
      </c>
      <c r="AF35" s="596">
        <v>2.165</v>
      </c>
      <c r="AG35" s="596">
        <v>2.09</v>
      </c>
      <c r="AH35" s="596">
        <v>1.82</v>
      </c>
      <c r="AI35" s="596">
        <v>1.61</v>
      </c>
      <c r="AJ35" s="596">
        <v>1.73</v>
      </c>
      <c r="AK35" s="596">
        <v>1.84</v>
      </c>
      <c r="AL35" s="596">
        <v>1.7733140189369601</v>
      </c>
    </row>
    <row r="36" spans="1:38" ht="15.75" customHeight="1" x14ac:dyDescent="0.25">
      <c r="A36" s="614">
        <v>29</v>
      </c>
      <c r="B36" s="597" t="s">
        <v>412</v>
      </c>
      <c r="C36" s="594">
        <v>2.04</v>
      </c>
      <c r="D36" s="594">
        <v>2.2599999999999998</v>
      </c>
      <c r="E36" s="594">
        <v>2.2999999999999998</v>
      </c>
      <c r="F36" s="594">
        <v>2.1</v>
      </c>
      <c r="G36" s="594">
        <v>1.56</v>
      </c>
      <c r="H36" s="594">
        <v>1.55</v>
      </c>
      <c r="I36" s="594">
        <v>2.04</v>
      </c>
      <c r="J36" s="594">
        <v>2.04</v>
      </c>
      <c r="K36" s="54">
        <v>1.84</v>
      </c>
      <c r="L36" s="54">
        <v>1.67</v>
      </c>
      <c r="M36" s="56">
        <v>1.68</v>
      </c>
      <c r="N36" s="56">
        <v>1.85</v>
      </c>
      <c r="O36" s="60">
        <v>2.44</v>
      </c>
      <c r="P36" s="60">
        <v>2.21</v>
      </c>
      <c r="Q36" s="60">
        <v>1.82</v>
      </c>
      <c r="R36" s="55">
        <v>1.91335402114749</v>
      </c>
      <c r="S36" s="55">
        <v>1.57522191264977</v>
      </c>
      <c r="T36" s="55">
        <v>1.5379696100826601</v>
      </c>
      <c r="U36" s="55">
        <v>1.32161985080204</v>
      </c>
      <c r="V36" s="55">
        <v>1.5626703158464801</v>
      </c>
      <c r="W36" s="596">
        <v>1.53004134045687</v>
      </c>
      <c r="X36" s="596">
        <v>1.53748283008066</v>
      </c>
      <c r="Y36" s="596">
        <v>1.53</v>
      </c>
      <c r="Z36" s="596">
        <v>1.5642541230709099</v>
      </c>
      <c r="AA36" s="596">
        <v>1.52339684694375</v>
      </c>
      <c r="AB36" s="596">
        <v>1.52</v>
      </c>
      <c r="AC36" s="596">
        <v>1.54</v>
      </c>
      <c r="AD36" s="596">
        <v>1.55</v>
      </c>
      <c r="AE36" s="596">
        <v>2.59</v>
      </c>
      <c r="AF36" s="596">
        <v>2.52</v>
      </c>
      <c r="AG36" s="596">
        <v>2.52</v>
      </c>
      <c r="AH36" s="596">
        <v>2.4500000000000002</v>
      </c>
      <c r="AI36" s="596">
        <v>1.81</v>
      </c>
      <c r="AJ36" s="596">
        <v>1.9</v>
      </c>
      <c r="AK36" s="596">
        <v>1.68</v>
      </c>
      <c r="AL36" s="596">
        <v>1.85</v>
      </c>
    </row>
    <row r="37" spans="1:38" ht="15.75" customHeight="1" x14ac:dyDescent="0.25">
      <c r="A37" s="614">
        <v>30</v>
      </c>
      <c r="B37" s="597" t="s">
        <v>423</v>
      </c>
      <c r="C37" s="594">
        <v>1.74</v>
      </c>
      <c r="D37" s="594">
        <v>1.92</v>
      </c>
      <c r="E37" s="594">
        <v>1.81</v>
      </c>
      <c r="F37" s="594">
        <v>1.84</v>
      </c>
      <c r="G37" s="594">
        <v>1.71</v>
      </c>
      <c r="H37" s="594">
        <v>1.73</v>
      </c>
      <c r="I37" s="594">
        <v>1.68</v>
      </c>
      <c r="J37" s="594">
        <v>1.72</v>
      </c>
      <c r="K37" s="54">
        <v>1.55</v>
      </c>
      <c r="L37" s="54">
        <v>1.51</v>
      </c>
      <c r="M37" s="56">
        <v>1.6</v>
      </c>
      <c r="N37" s="56">
        <v>1.51</v>
      </c>
      <c r="O37" s="60">
        <v>1.55</v>
      </c>
      <c r="P37" s="60">
        <v>1.62</v>
      </c>
      <c r="Q37" s="60">
        <v>1.69</v>
      </c>
      <c r="R37" s="55">
        <v>1.9</v>
      </c>
      <c r="S37" s="55">
        <v>1.54</v>
      </c>
      <c r="T37" s="55">
        <v>1.57</v>
      </c>
      <c r="U37" s="55">
        <v>1.6</v>
      </c>
      <c r="V37" s="55">
        <v>1.74</v>
      </c>
      <c r="W37" s="596">
        <v>1.56</v>
      </c>
      <c r="X37" s="596">
        <v>1.6</v>
      </c>
      <c r="Y37" s="596">
        <v>1.55</v>
      </c>
      <c r="Z37" s="596">
        <v>1.64</v>
      </c>
      <c r="AA37" s="596">
        <v>1.51</v>
      </c>
      <c r="AB37" s="596">
        <v>1.62</v>
      </c>
      <c r="AC37" s="596">
        <v>1.52</v>
      </c>
      <c r="AD37" s="596">
        <v>1.74</v>
      </c>
      <c r="AE37" s="596">
        <v>1.57</v>
      </c>
      <c r="AF37" s="596">
        <v>1.59</v>
      </c>
      <c r="AG37" s="594" t="s">
        <v>167</v>
      </c>
      <c r="AH37" s="594" t="s">
        <v>167</v>
      </c>
      <c r="AI37" s="594" t="s">
        <v>130</v>
      </c>
      <c r="AJ37" s="594" t="s">
        <v>130</v>
      </c>
      <c r="AK37" s="594" t="s">
        <v>130</v>
      </c>
      <c r="AL37" s="594" t="s">
        <v>130</v>
      </c>
    </row>
    <row r="38" spans="1:38" ht="15.75" customHeight="1" x14ac:dyDescent="0.25">
      <c r="A38" s="614">
        <v>31</v>
      </c>
      <c r="B38" s="607" t="s">
        <v>88</v>
      </c>
      <c r="C38" s="605" t="s">
        <v>107</v>
      </c>
      <c r="D38" s="594" t="s">
        <v>107</v>
      </c>
      <c r="E38" s="594">
        <v>2.21</v>
      </c>
      <c r="F38" s="594">
        <v>1.7</v>
      </c>
      <c r="G38" s="594">
        <v>2.34</v>
      </c>
      <c r="H38" s="594">
        <v>2.73</v>
      </c>
      <c r="I38" s="594">
        <v>2.1</v>
      </c>
      <c r="J38" s="594">
        <v>2.1</v>
      </c>
      <c r="K38" s="54">
        <v>1.83</v>
      </c>
      <c r="L38" s="54">
        <v>1.81</v>
      </c>
      <c r="M38" s="54">
        <v>1.68</v>
      </c>
      <c r="N38" s="54">
        <v>1.54</v>
      </c>
      <c r="O38" s="60">
        <v>1.68</v>
      </c>
      <c r="P38" s="60">
        <v>1.68</v>
      </c>
      <c r="Q38" s="60">
        <v>1.68</v>
      </c>
      <c r="R38" s="55">
        <v>2.65482183820665</v>
      </c>
      <c r="S38" s="55">
        <v>2.13453281208636</v>
      </c>
      <c r="T38" s="55">
        <v>3.8287136300115798</v>
      </c>
      <c r="U38" s="55">
        <v>2.8243990210322401</v>
      </c>
      <c r="V38" s="55">
        <v>2.0620451626887899</v>
      </c>
      <c r="W38" s="596">
        <v>1.10833291750979</v>
      </c>
      <c r="X38" s="596">
        <v>2.4275456308623502</v>
      </c>
      <c r="Y38" s="596">
        <v>1.9143084637055701</v>
      </c>
      <c r="Z38" s="596">
        <v>2.2326000000000001</v>
      </c>
      <c r="AA38" s="596">
        <v>1.8562609854249501</v>
      </c>
      <c r="AB38" s="596">
        <v>1.6696174654135301</v>
      </c>
      <c r="AC38" s="596">
        <v>1.8623728372569299</v>
      </c>
      <c r="AD38" s="596">
        <v>1.8966787114128401</v>
      </c>
      <c r="AE38" s="596">
        <v>1.9718171280477399</v>
      </c>
      <c r="AF38" s="596">
        <v>3.0569723075970598</v>
      </c>
      <c r="AG38" s="596">
        <v>2.5916543974778499</v>
      </c>
      <c r="AH38" s="596">
        <v>2.1245888774336001</v>
      </c>
      <c r="AI38" s="596">
        <v>1.64681680400443</v>
      </c>
      <c r="AJ38" s="596">
        <v>1.7659934359806</v>
      </c>
      <c r="AK38" s="596">
        <v>1.58896170196409</v>
      </c>
      <c r="AL38" s="596">
        <v>1.6823794839566799</v>
      </c>
    </row>
    <row r="39" spans="1:38" ht="15.75" customHeight="1" x14ac:dyDescent="0.25">
      <c r="A39" s="614">
        <v>32</v>
      </c>
      <c r="B39" s="600" t="s">
        <v>502</v>
      </c>
      <c r="C39" s="594">
        <v>2.04</v>
      </c>
      <c r="D39" s="594">
        <v>2.0099999999999998</v>
      </c>
      <c r="E39" s="594">
        <v>2.34</v>
      </c>
      <c r="F39" s="594">
        <v>2.13</v>
      </c>
      <c r="G39" s="594">
        <v>1.85</v>
      </c>
      <c r="H39" s="594">
        <v>1.98</v>
      </c>
      <c r="I39" s="594">
        <v>2.13</v>
      </c>
      <c r="J39" s="594">
        <v>2.1</v>
      </c>
      <c r="K39" s="54">
        <v>1.66</v>
      </c>
      <c r="L39" s="54">
        <v>1.84</v>
      </c>
      <c r="M39" s="54">
        <v>2.17</v>
      </c>
      <c r="N39" s="54">
        <v>2.16</v>
      </c>
      <c r="O39" s="60">
        <v>2.0499999999999998</v>
      </c>
      <c r="P39" s="60">
        <v>2.44</v>
      </c>
      <c r="Q39" s="60">
        <v>2.25</v>
      </c>
      <c r="R39" s="55">
        <v>2.0085121475438901</v>
      </c>
      <c r="S39" s="55">
        <v>1.99429173619039</v>
      </c>
      <c r="T39" s="55">
        <v>1.9556280875088199</v>
      </c>
      <c r="U39" s="55">
        <v>1.92217250153549</v>
      </c>
      <c r="V39" s="55">
        <v>2.10863462356444</v>
      </c>
      <c r="W39" s="596">
        <v>1.9500082630970099</v>
      </c>
      <c r="X39" s="596">
        <v>1.7565615778847601</v>
      </c>
      <c r="Y39" s="596">
        <v>1.7565615778847601</v>
      </c>
      <c r="Z39" s="596">
        <v>1.7654498222586801</v>
      </c>
      <c r="AA39" s="596">
        <v>1.5237155408416601</v>
      </c>
      <c r="AB39" s="596">
        <v>1.63270938324934</v>
      </c>
      <c r="AC39" s="596">
        <v>1.65677469738383</v>
      </c>
      <c r="AD39" s="596">
        <v>1.77314669183181</v>
      </c>
      <c r="AE39" s="596">
        <v>1.74</v>
      </c>
      <c r="AF39" s="596">
        <v>1.8</v>
      </c>
      <c r="AG39" s="596">
        <v>1.65</v>
      </c>
      <c r="AH39" s="596">
        <v>2.09</v>
      </c>
      <c r="AI39" s="596">
        <v>1.65</v>
      </c>
      <c r="AJ39" s="596">
        <v>1.66</v>
      </c>
      <c r="AK39" s="596">
        <v>1.77896014670558</v>
      </c>
      <c r="AL39" s="596">
        <v>1.72</v>
      </c>
    </row>
    <row r="40" spans="1:38" ht="15.75" customHeight="1" x14ac:dyDescent="0.25">
      <c r="A40" s="614">
        <v>33</v>
      </c>
      <c r="B40" s="597" t="s">
        <v>528</v>
      </c>
      <c r="C40" s="594"/>
      <c r="D40" s="594"/>
      <c r="E40" s="594"/>
      <c r="F40" s="594"/>
      <c r="G40" s="594"/>
      <c r="H40" s="594"/>
      <c r="I40" s="594"/>
      <c r="J40" s="594"/>
      <c r="K40" s="54"/>
      <c r="L40" s="54"/>
      <c r="M40" s="54"/>
      <c r="N40" s="54"/>
      <c r="O40" s="60"/>
      <c r="P40" s="60"/>
      <c r="Q40" s="60"/>
      <c r="R40" s="55"/>
      <c r="S40" s="55"/>
      <c r="T40" s="55"/>
      <c r="U40" s="55"/>
      <c r="V40" s="55"/>
      <c r="W40" s="606">
        <v>0</v>
      </c>
      <c r="X40" s="606">
        <v>0</v>
      </c>
      <c r="Y40" s="596">
        <v>1.88</v>
      </c>
      <c r="Z40" s="596">
        <v>1.53</v>
      </c>
      <c r="AA40" s="596">
        <v>1.06</v>
      </c>
      <c r="AB40" s="596">
        <v>0.63</v>
      </c>
      <c r="AC40" s="596">
        <v>0.48</v>
      </c>
      <c r="AD40" s="596">
        <v>0.49</v>
      </c>
      <c r="AE40" s="596">
        <v>0.42</v>
      </c>
      <c r="AF40" s="596">
        <v>0.4</v>
      </c>
      <c r="AG40" s="596">
        <v>0.32</v>
      </c>
      <c r="AH40" s="596">
        <v>0.26</v>
      </c>
      <c r="AI40" s="594" t="s">
        <v>167</v>
      </c>
      <c r="AJ40" s="594" t="s">
        <v>167</v>
      </c>
      <c r="AK40" s="594" t="s">
        <v>167</v>
      </c>
      <c r="AL40" s="594" t="s">
        <v>167</v>
      </c>
    </row>
    <row r="41" spans="1:38" ht="15.75" customHeight="1" x14ac:dyDescent="0.25">
      <c r="A41" s="614">
        <v>34</v>
      </c>
      <c r="B41" s="600" t="s">
        <v>95</v>
      </c>
      <c r="C41" s="594">
        <v>1.67</v>
      </c>
      <c r="D41" s="594">
        <v>1.52</v>
      </c>
      <c r="E41" s="594">
        <v>1.55</v>
      </c>
      <c r="F41" s="594">
        <v>1.5</v>
      </c>
      <c r="G41" s="594">
        <v>1.18</v>
      </c>
      <c r="H41" s="594">
        <v>1.01</v>
      </c>
      <c r="I41" s="594">
        <v>1</v>
      </c>
      <c r="J41" s="594">
        <v>2.4</v>
      </c>
      <c r="K41" s="54">
        <v>1.04</v>
      </c>
      <c r="L41" s="54">
        <v>1.36</v>
      </c>
      <c r="M41" s="54">
        <v>2.1</v>
      </c>
      <c r="N41" s="54">
        <v>5.99</v>
      </c>
      <c r="O41" s="60">
        <v>5.27</v>
      </c>
      <c r="P41" s="60">
        <v>1.59</v>
      </c>
      <c r="Q41" s="60">
        <v>1.52</v>
      </c>
      <c r="R41" s="55">
        <v>1.61</v>
      </c>
      <c r="S41" s="55">
        <v>1.53</v>
      </c>
      <c r="T41" s="55">
        <v>1.52</v>
      </c>
      <c r="U41" s="55">
        <v>1.51</v>
      </c>
      <c r="V41" s="55">
        <v>1.77</v>
      </c>
      <c r="W41" s="596">
        <v>1.51</v>
      </c>
      <c r="X41" s="596">
        <v>1.28</v>
      </c>
      <c r="Y41" s="596">
        <v>1.6478999999999999</v>
      </c>
      <c r="Z41" s="596">
        <v>2.0099999999999998</v>
      </c>
      <c r="AA41" s="596">
        <v>1.8066905342317701</v>
      </c>
      <c r="AB41" s="596">
        <v>1.54</v>
      </c>
      <c r="AC41" s="596">
        <v>1.55799847333511</v>
      </c>
      <c r="AD41" s="596">
        <v>1.8841074194369201</v>
      </c>
      <c r="AE41" s="596">
        <v>2</v>
      </c>
      <c r="AF41" s="596">
        <v>1.69</v>
      </c>
      <c r="AG41" s="596">
        <v>2.4900000000000002</v>
      </c>
      <c r="AH41" s="596">
        <v>2.2221749129766599</v>
      </c>
      <c r="AI41" s="596">
        <v>1.6502300382135</v>
      </c>
      <c r="AJ41" s="596">
        <v>2.6722770424285301E-2</v>
      </c>
      <c r="AK41" s="596">
        <v>1.79504936275136</v>
      </c>
      <c r="AL41" s="596">
        <v>1.67347098243451</v>
      </c>
    </row>
    <row r="42" spans="1:38" ht="15.75" customHeight="1" x14ac:dyDescent="0.25">
      <c r="A42" s="597"/>
      <c r="B42" s="57" t="s">
        <v>531</v>
      </c>
      <c r="C42" s="594"/>
      <c r="D42" s="594"/>
      <c r="E42" s="594"/>
      <c r="F42" s="595"/>
      <c r="G42" s="595"/>
      <c r="H42" s="595"/>
      <c r="I42" s="595"/>
      <c r="J42" s="595"/>
      <c r="K42" s="56"/>
      <c r="L42" s="56"/>
      <c r="M42" s="56"/>
      <c r="N42" s="54"/>
      <c r="O42" s="595"/>
      <c r="P42" s="595"/>
      <c r="Q42" s="595"/>
      <c r="R42" s="595"/>
      <c r="S42" s="595"/>
      <c r="T42" s="595"/>
      <c r="U42" s="595"/>
      <c r="V42" s="595"/>
      <c r="W42" s="596"/>
      <c r="X42" s="596"/>
      <c r="Y42" s="596"/>
      <c r="Z42" s="596"/>
      <c r="AA42" s="597"/>
      <c r="AB42" s="597"/>
      <c r="AC42" s="597"/>
      <c r="AD42" s="597"/>
      <c r="AE42" s="597"/>
      <c r="AF42" s="597"/>
      <c r="AG42" s="597"/>
      <c r="AH42" s="597"/>
      <c r="AI42" s="597"/>
      <c r="AJ42" s="597"/>
      <c r="AK42" s="597"/>
      <c r="AL42" s="597"/>
    </row>
    <row r="43" spans="1:38" ht="15.75" customHeight="1" x14ac:dyDescent="0.25">
      <c r="A43" s="597">
        <v>35</v>
      </c>
      <c r="B43" s="597" t="s">
        <v>458</v>
      </c>
      <c r="C43" s="594">
        <v>2.61</v>
      </c>
      <c r="D43" s="594">
        <v>2.2799999999999998</v>
      </c>
      <c r="E43" s="594">
        <v>1.79</v>
      </c>
      <c r="F43" s="594">
        <v>2.73</v>
      </c>
      <c r="G43" s="594">
        <v>2.91</v>
      </c>
      <c r="H43" s="594">
        <v>3.06</v>
      </c>
      <c r="I43" s="594">
        <v>3.15</v>
      </c>
      <c r="J43" s="594">
        <v>3.04</v>
      </c>
      <c r="K43" s="54">
        <v>3.33</v>
      </c>
      <c r="L43" s="54">
        <v>3.22</v>
      </c>
      <c r="M43" s="54">
        <v>3.52</v>
      </c>
      <c r="N43" s="54">
        <v>3.48</v>
      </c>
      <c r="O43" s="55">
        <v>3.56</v>
      </c>
      <c r="P43" s="55">
        <v>2.92</v>
      </c>
      <c r="Q43" s="55">
        <v>2.21</v>
      </c>
      <c r="R43" s="55">
        <v>2.4</v>
      </c>
      <c r="S43" s="55">
        <v>1.76</v>
      </c>
      <c r="T43" s="55">
        <v>1.72</v>
      </c>
      <c r="U43" s="55">
        <v>1.8725388063431501</v>
      </c>
      <c r="V43" s="55">
        <v>1.72</v>
      </c>
      <c r="W43" s="596">
        <v>1.77</v>
      </c>
      <c r="X43" s="596">
        <v>1.73</v>
      </c>
      <c r="Y43" s="596">
        <v>1.84</v>
      </c>
      <c r="Z43" s="596">
        <v>2.06</v>
      </c>
      <c r="AA43" s="597">
        <v>1.89</v>
      </c>
      <c r="AB43" s="597">
        <v>1.6</v>
      </c>
      <c r="AC43" s="597">
        <v>1.51</v>
      </c>
      <c r="AD43" s="597">
        <v>1.53</v>
      </c>
      <c r="AE43" s="597">
        <v>1.52</v>
      </c>
      <c r="AF43" s="597">
        <v>1.56</v>
      </c>
      <c r="AG43" s="597">
        <v>1.53</v>
      </c>
      <c r="AH43" s="597">
        <v>1.74</v>
      </c>
      <c r="AI43" s="597">
        <v>1.74</v>
      </c>
      <c r="AJ43" s="597">
        <v>1.88</v>
      </c>
      <c r="AK43" s="596">
        <v>1.8</v>
      </c>
      <c r="AL43" s="597">
        <v>1.96</v>
      </c>
    </row>
    <row r="44" spans="1:38" x14ac:dyDescent="0.25">
      <c r="A44" s="608" t="s">
        <v>532</v>
      </c>
    </row>
    <row r="45" spans="1:38" x14ac:dyDescent="0.25">
      <c r="A45" s="592" t="s">
        <v>504</v>
      </c>
      <c r="B45" s="175"/>
      <c r="C45" s="175"/>
      <c r="D45" s="175"/>
      <c r="E45" s="175"/>
      <c r="F45" s="175"/>
      <c r="G45" s="175"/>
      <c r="H45" s="175"/>
      <c r="I45" s="612"/>
      <c r="J45" s="612"/>
      <c r="K45" s="66"/>
      <c r="L45" s="66"/>
      <c r="M45" s="66"/>
      <c r="N45" s="66"/>
      <c r="O45" s="613"/>
      <c r="P45" s="613"/>
      <c r="Q45" s="613"/>
      <c r="R45" s="67"/>
      <c r="S45" s="613"/>
      <c r="T45" s="613"/>
      <c r="U45" s="613"/>
      <c r="V45" s="67"/>
    </row>
    <row r="46" spans="1:38" x14ac:dyDescent="0.25">
      <c r="A46" s="609" t="s">
        <v>453</v>
      </c>
    </row>
    <row r="47" spans="1:38" x14ac:dyDescent="0.25">
      <c r="A47" s="609" t="s">
        <v>419</v>
      </c>
    </row>
    <row r="48" spans="1:38" s="610" customFormat="1" x14ac:dyDescent="0.2">
      <c r="A48" s="610" t="s">
        <v>527</v>
      </c>
      <c r="B48" s="611"/>
    </row>
    <row r="49" spans="1:22" x14ac:dyDescent="0.25">
      <c r="A49" s="196" t="s">
        <v>529</v>
      </c>
      <c r="B49" s="196"/>
      <c r="C49" s="196"/>
      <c r="D49" s="196"/>
      <c r="E49" s="196"/>
      <c r="F49" s="196"/>
      <c r="G49" s="196"/>
      <c r="H49" s="196"/>
      <c r="I49" s="196"/>
      <c r="J49" s="196"/>
      <c r="K49" s="196"/>
      <c r="L49" s="196"/>
      <c r="M49" s="196"/>
      <c r="N49" s="196"/>
      <c r="O49" s="196"/>
      <c r="P49" s="196"/>
      <c r="Q49" s="196"/>
      <c r="R49" s="196"/>
      <c r="S49" s="196"/>
      <c r="T49" s="196"/>
      <c r="U49" s="196"/>
      <c r="V49" s="196"/>
    </row>
    <row r="50" spans="1:22" x14ac:dyDescent="0.25">
      <c r="A50" s="609" t="s">
        <v>526</v>
      </c>
    </row>
    <row r="51" spans="1:22" x14ac:dyDescent="0.25">
      <c r="A51" s="552" t="s">
        <v>530</v>
      </c>
    </row>
    <row r="52" spans="1:22" x14ac:dyDescent="0.25">
      <c r="A52" s="609"/>
      <c r="C52" s="196"/>
      <c r="D52" s="196"/>
      <c r="E52" s="196"/>
      <c r="F52" s="196"/>
      <c r="G52" s="196"/>
      <c r="H52" s="196"/>
      <c r="I52" s="196"/>
    </row>
  </sheetData>
  <printOptions horizontalCentered="1" verticalCentered="1"/>
  <pageMargins left="0.25" right="0.25" top="0.57999999999999996" bottom="0.38" header="0.37" footer="0.22"/>
  <pageSetup paperSize="9" scale="72" orientation="landscape" r:id="rId1"/>
  <headerFooter alignWithMargins="0"/>
  <colBreaks count="1" manualBreakCount="1">
    <brk id="2" max="3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65"/>
  <sheetViews>
    <sheetView zoomScale="90" zoomScaleNormal="90" zoomScaleSheetLayoutView="100" workbookViewId="0">
      <pane xSplit="1" ySplit="5" topLeftCell="B6" activePane="bottomRight" state="frozen"/>
      <selection activeCell="A32" sqref="A32"/>
      <selection pane="topRight" activeCell="A32" sqref="A32"/>
      <selection pane="bottomLeft" activeCell="A32" sqref="A32"/>
      <selection pane="bottomRight"/>
    </sheetView>
  </sheetViews>
  <sheetFormatPr defaultRowHeight="12.75" x14ac:dyDescent="0.2"/>
  <cols>
    <col min="1" max="1" width="44.140625" style="408" customWidth="1"/>
    <col min="2" max="5" width="10.7109375" style="480" customWidth="1"/>
    <col min="6" max="17" width="10.7109375" style="196" customWidth="1"/>
    <col min="18" max="23" width="10.7109375" style="408" customWidth="1"/>
    <col min="24" max="24" width="10.7109375" style="410" customWidth="1"/>
    <col min="25" max="27" width="10.7109375" style="408" customWidth="1"/>
    <col min="28" max="28" width="10.7109375" style="410" customWidth="1"/>
    <col min="29" max="29" width="10.7109375" style="408" customWidth="1"/>
    <col min="30" max="33" width="10.7109375" style="196" customWidth="1"/>
    <col min="34" max="34" width="10.7109375" style="481" customWidth="1"/>
    <col min="35" max="45" width="10.7109375" style="196" customWidth="1"/>
    <col min="46" max="57" width="10.7109375" style="408" customWidth="1"/>
    <col min="58" max="61" width="10.7109375" style="482" customWidth="1"/>
    <col min="62" max="73" width="10.7109375" style="196" customWidth="1"/>
    <col min="74" max="85" width="10.7109375" style="408" customWidth="1"/>
    <col min="86" max="89" width="10.7109375" style="483" customWidth="1"/>
    <col min="90" max="90" width="10.7109375" style="484" customWidth="1"/>
    <col min="91" max="101" width="10.7109375" style="483" customWidth="1"/>
    <col min="102" max="113" width="10.7109375" style="408" customWidth="1"/>
    <col min="114" max="125" width="10.7109375" style="483" customWidth="1"/>
    <col min="126" max="128" width="10.7109375" style="196" customWidth="1"/>
    <col min="129" max="129" width="10.7109375" style="468" customWidth="1"/>
    <col min="130" max="141" width="10.7109375" style="409" customWidth="1"/>
    <col min="142" max="149" width="10.7109375" style="456" customWidth="1"/>
    <col min="150" max="161" width="10.7109375" style="409" customWidth="1"/>
    <col min="162" max="173" width="10.7109375" style="456" customWidth="1"/>
    <col min="174" max="185" width="10.7109375" style="408" customWidth="1"/>
    <col min="186" max="197" width="10.7109375" style="456" customWidth="1"/>
    <col min="198" max="205" width="10.7109375" style="408" customWidth="1"/>
    <col min="206" max="217" width="10.7109375" style="456" customWidth="1"/>
    <col min="218" max="229" width="10.7109375" style="408" customWidth="1"/>
    <col min="230" max="237" width="10.7109375" style="456" customWidth="1"/>
    <col min="238" max="249" width="10.7109375" style="408" customWidth="1"/>
    <col min="250" max="261" width="10.7109375" style="456" customWidth="1"/>
    <col min="262" max="273" width="10.7109375" style="408" customWidth="1"/>
    <col min="274" max="281" width="10.7109375" style="456" customWidth="1"/>
    <col min="282" max="293" width="10.7109375" style="408" customWidth="1"/>
    <col min="294" max="305" width="10.7109375" style="456" customWidth="1"/>
    <col min="306" max="317" width="10.7109375" style="408" customWidth="1"/>
    <col min="318" max="329" width="10.7109375" style="456" customWidth="1"/>
    <col min="330" max="341" width="10.7109375" style="408" customWidth="1"/>
    <col min="342" max="353" width="10.7109375" style="456" customWidth="1"/>
    <col min="354" max="365" width="10.7109375" style="408" customWidth="1"/>
    <col min="366" max="377" width="10.7109375" style="456" customWidth="1"/>
    <col min="378" max="389" width="10.7109375" style="408" customWidth="1"/>
    <col min="390" max="401" width="10.7109375" style="456" customWidth="1"/>
    <col min="402" max="413" width="10.7109375" style="408" customWidth="1"/>
    <col min="414" max="425" width="10.7109375" style="456" customWidth="1"/>
    <col min="426" max="437" width="10.7109375" style="408" customWidth="1"/>
    <col min="438" max="445" width="10.7109375" style="456" customWidth="1"/>
    <col min="446" max="457" width="10.7109375" style="408" customWidth="1"/>
    <col min="458" max="469" width="10.7109375" style="456" customWidth="1"/>
    <col min="470" max="481" width="10.7109375" style="408" customWidth="1"/>
    <col min="482" max="493" width="10.7109375" style="456" customWidth="1"/>
    <col min="494" max="497" width="10.7109375" style="408" customWidth="1"/>
    <col min="498" max="505" width="11.42578125" style="408" customWidth="1"/>
    <col min="506" max="517" width="10.7109375" style="456" customWidth="1"/>
    <col min="518" max="529" width="10.7109375" style="408" customWidth="1"/>
    <col min="530" max="541" width="10.7109375" style="456" customWidth="1"/>
    <col min="542" max="553" width="10.7109375" style="408" customWidth="1"/>
    <col min="554" max="565" width="10.7109375" style="456" customWidth="1"/>
    <col min="566" max="577" width="10.7109375" style="408" customWidth="1"/>
    <col min="578" max="589" width="10.7109375" style="456" customWidth="1"/>
    <col min="590" max="601" width="10.7109375" style="408" customWidth="1"/>
    <col min="602" max="613" width="10.7109375" style="456" customWidth="1"/>
    <col min="614" max="625" width="10.7109375" style="408" customWidth="1"/>
    <col min="626" max="637" width="10.7109375" style="456" customWidth="1"/>
    <col min="638" max="649" width="10.7109375" style="409" customWidth="1"/>
    <col min="650" max="652" width="10.7109375" style="458" customWidth="1"/>
    <col min="653" max="655" width="10.7109375" style="408" customWidth="1"/>
    <col min="656" max="659" width="10.7109375" style="458" customWidth="1"/>
    <col min="660" max="662" width="10.7109375" style="408" customWidth="1"/>
    <col min="663" max="666" width="10.7109375" style="458" customWidth="1"/>
    <col min="667" max="667" width="10.7109375" style="408" customWidth="1"/>
    <col min="668" max="671" width="10.7109375" style="458" customWidth="1"/>
    <col min="672" max="674" width="10.7109375" style="408" customWidth="1"/>
    <col min="675" max="678" width="10.7109375" style="458" customWidth="1"/>
    <col min="679" max="681" width="10.7109375" style="408" customWidth="1"/>
    <col min="682" max="682" width="10.7109375" style="458" customWidth="1"/>
    <col min="683" max="685" width="10.7109375" style="408" customWidth="1"/>
    <col min="686" max="689" width="10.7109375" style="458" customWidth="1"/>
    <col min="690" max="690" width="10.7109375" style="408" customWidth="1"/>
    <col min="691" max="692" width="10.7109375" style="410" customWidth="1"/>
    <col min="693" max="696" width="10.7109375" style="458" customWidth="1"/>
    <col min="697" max="699" width="10.7109375" style="409" customWidth="1"/>
    <col min="700" max="703" width="10.7109375" style="196" customWidth="1"/>
    <col min="704" max="706" width="10.7109375" style="408" customWidth="1"/>
    <col min="707" max="710" width="10.7109375" style="196" customWidth="1"/>
    <col min="711" max="713" width="10.7109375" style="408" customWidth="1"/>
    <col min="714" max="718" width="10.7109375" style="409" customWidth="1"/>
    <col min="719" max="720" width="10.7109375" style="408" customWidth="1"/>
    <col min="721" max="16384" width="9.140625" style="408"/>
  </cols>
  <sheetData>
    <row r="1" spans="1:752" ht="21" customHeight="1" x14ac:dyDescent="0.2">
      <c r="A1" s="409" t="s">
        <v>612</v>
      </c>
      <c r="B1" s="462"/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2"/>
      <c r="N1" s="462"/>
      <c r="O1" s="462"/>
      <c r="P1" s="462"/>
      <c r="Q1" s="462"/>
      <c r="R1" s="462"/>
      <c r="S1" s="462"/>
      <c r="T1" s="462"/>
      <c r="U1" s="462"/>
      <c r="V1" s="462"/>
      <c r="W1" s="462"/>
      <c r="X1" s="462"/>
      <c r="Y1" s="462"/>
      <c r="Z1" s="462"/>
      <c r="AA1" s="462"/>
      <c r="AB1" s="462"/>
      <c r="AC1" s="462"/>
      <c r="AD1" s="462"/>
      <c r="AE1" s="462"/>
      <c r="AF1" s="462"/>
      <c r="AG1" s="462"/>
      <c r="AH1" s="462"/>
      <c r="AI1" s="462"/>
      <c r="AJ1" s="462"/>
      <c r="AK1" s="462"/>
      <c r="AL1" s="462"/>
      <c r="AM1" s="462"/>
      <c r="AN1" s="462"/>
      <c r="AO1" s="462"/>
      <c r="AP1" s="462"/>
      <c r="AQ1" s="462"/>
      <c r="AR1" s="462"/>
      <c r="AS1" s="462"/>
      <c r="AT1" s="462"/>
      <c r="AU1" s="462"/>
      <c r="AV1" s="462"/>
      <c r="AW1" s="462"/>
      <c r="AX1" s="462"/>
      <c r="AY1" s="462"/>
      <c r="AZ1" s="462"/>
      <c r="BA1" s="462"/>
      <c r="BB1" s="462"/>
      <c r="BC1" s="462"/>
      <c r="BD1" s="462"/>
      <c r="BE1" s="462"/>
      <c r="BF1" s="462"/>
      <c r="BG1" s="462"/>
      <c r="BH1" s="462"/>
      <c r="BI1" s="462"/>
      <c r="BJ1" s="462"/>
      <c r="BK1" s="462"/>
      <c r="BL1" s="462"/>
      <c r="BM1" s="462"/>
      <c r="BN1" s="462"/>
      <c r="BO1" s="462"/>
      <c r="BP1" s="462"/>
      <c r="BQ1" s="462"/>
      <c r="BR1" s="462"/>
      <c r="BS1" s="462"/>
      <c r="BT1" s="462"/>
      <c r="BU1" s="462"/>
      <c r="BV1" s="462"/>
      <c r="BW1" s="462"/>
      <c r="BX1" s="462"/>
      <c r="BY1" s="462"/>
      <c r="BZ1" s="462"/>
      <c r="CA1" s="462"/>
      <c r="CB1" s="462"/>
      <c r="CC1" s="462"/>
      <c r="CD1" s="462"/>
      <c r="CE1" s="462"/>
      <c r="CF1" s="462"/>
      <c r="CG1" s="462"/>
      <c r="CH1" s="462"/>
      <c r="CI1" s="462"/>
      <c r="CJ1" s="462"/>
      <c r="CK1" s="462"/>
      <c r="CL1" s="462"/>
      <c r="CM1" s="462"/>
      <c r="CN1" s="462"/>
      <c r="CO1" s="462"/>
      <c r="CP1" s="462"/>
      <c r="CQ1" s="462"/>
      <c r="CR1" s="462"/>
      <c r="CS1" s="462"/>
      <c r="CT1" s="462"/>
      <c r="CU1" s="462"/>
      <c r="CV1" s="462"/>
      <c r="CW1" s="462"/>
      <c r="CX1" s="462"/>
      <c r="CY1" s="462"/>
      <c r="CZ1" s="462"/>
      <c r="DA1" s="462"/>
      <c r="DB1" s="462"/>
      <c r="DC1" s="462"/>
      <c r="DD1" s="462"/>
      <c r="DE1" s="462"/>
      <c r="DF1" s="462"/>
      <c r="DG1" s="462"/>
      <c r="DH1" s="462"/>
      <c r="DI1" s="462"/>
      <c r="DJ1" s="462"/>
      <c r="DK1" s="462"/>
      <c r="DL1" s="462"/>
      <c r="DM1" s="462"/>
      <c r="DN1" s="462"/>
      <c r="DO1" s="462"/>
      <c r="DP1" s="462"/>
      <c r="DQ1" s="462"/>
      <c r="DR1" s="462"/>
      <c r="DS1" s="462"/>
      <c r="DT1" s="462"/>
      <c r="DU1" s="462"/>
      <c r="DV1" s="462"/>
      <c r="DW1" s="462"/>
      <c r="DX1" s="462"/>
      <c r="DY1" s="462"/>
      <c r="DZ1" s="462"/>
      <c r="EA1" s="462"/>
      <c r="EB1" s="462"/>
      <c r="EC1" s="462"/>
      <c r="ED1" s="462"/>
      <c r="EE1" s="462"/>
      <c r="EF1" s="462"/>
      <c r="EG1" s="462"/>
      <c r="EH1" s="462"/>
      <c r="EI1" s="462"/>
      <c r="EJ1" s="462"/>
      <c r="EK1" s="462"/>
      <c r="EL1" s="462"/>
      <c r="EM1" s="462"/>
      <c r="EN1" s="462"/>
      <c r="EO1" s="462"/>
      <c r="EP1" s="462"/>
      <c r="EQ1" s="462"/>
      <c r="ER1" s="462"/>
      <c r="ES1" s="462"/>
      <c r="ET1" s="462"/>
      <c r="EU1" s="462"/>
      <c r="EV1" s="462"/>
      <c r="EW1" s="462"/>
      <c r="EX1" s="462"/>
      <c r="EY1" s="462"/>
      <c r="EZ1" s="462"/>
      <c r="FA1" s="462"/>
      <c r="FB1" s="462"/>
      <c r="FC1" s="462"/>
      <c r="FD1" s="462"/>
      <c r="FE1" s="462"/>
      <c r="FF1" s="462"/>
      <c r="FG1" s="462"/>
      <c r="FH1" s="462"/>
      <c r="FI1" s="462"/>
      <c r="FJ1" s="462"/>
      <c r="FK1" s="462"/>
      <c r="FL1" s="462"/>
      <c r="FM1" s="462"/>
      <c r="FN1" s="462"/>
      <c r="FO1" s="462"/>
      <c r="FP1" s="462"/>
      <c r="FQ1" s="462"/>
      <c r="FR1" s="462"/>
      <c r="FS1" s="462"/>
      <c r="FT1" s="462"/>
      <c r="FU1" s="462"/>
      <c r="FV1" s="462"/>
      <c r="FW1" s="462"/>
      <c r="FX1" s="462"/>
      <c r="FY1" s="462"/>
      <c r="FZ1" s="462"/>
      <c r="GA1" s="462"/>
      <c r="GB1" s="462"/>
      <c r="GC1" s="462"/>
      <c r="GD1" s="462"/>
      <c r="GE1" s="462"/>
      <c r="GF1" s="462"/>
      <c r="GG1" s="462"/>
      <c r="GH1" s="462"/>
      <c r="GI1" s="462"/>
      <c r="GJ1" s="462"/>
      <c r="GK1" s="462"/>
      <c r="GL1" s="462"/>
      <c r="GM1" s="462"/>
      <c r="GN1" s="462"/>
      <c r="GO1" s="462"/>
      <c r="GP1" s="462"/>
      <c r="GQ1" s="462"/>
      <c r="GR1" s="462"/>
      <c r="GS1" s="462"/>
      <c r="GT1" s="462"/>
      <c r="GU1" s="462"/>
      <c r="GV1" s="462"/>
      <c r="GW1" s="462"/>
      <c r="GX1" s="462"/>
      <c r="GY1" s="462"/>
      <c r="GZ1" s="462"/>
      <c r="HA1" s="462"/>
      <c r="HB1" s="462"/>
      <c r="HC1" s="462"/>
      <c r="HD1" s="462"/>
      <c r="HE1" s="462"/>
      <c r="HF1" s="462"/>
      <c r="HG1" s="462"/>
      <c r="HH1" s="462"/>
      <c r="HI1" s="462"/>
      <c r="HJ1" s="462"/>
      <c r="HK1" s="462"/>
      <c r="HL1" s="462"/>
      <c r="HM1" s="462"/>
      <c r="HN1" s="462"/>
      <c r="HO1" s="462"/>
      <c r="HP1" s="462"/>
      <c r="HQ1" s="462"/>
      <c r="HR1" s="462"/>
      <c r="HS1" s="462"/>
      <c r="HT1" s="462"/>
      <c r="HU1" s="462"/>
      <c r="HV1" s="462"/>
      <c r="HW1" s="462"/>
      <c r="HX1" s="462"/>
      <c r="HY1" s="462"/>
      <c r="HZ1" s="462"/>
      <c r="IA1" s="462"/>
      <c r="IB1" s="462"/>
      <c r="IC1" s="462"/>
      <c r="ID1" s="462"/>
      <c r="IE1" s="462"/>
      <c r="IF1" s="462"/>
      <c r="IG1" s="462"/>
      <c r="IH1" s="462"/>
      <c r="II1" s="462"/>
      <c r="IJ1" s="462"/>
      <c r="IK1" s="462"/>
      <c r="IL1" s="462"/>
      <c r="IM1" s="462"/>
      <c r="IN1" s="462"/>
      <c r="IO1" s="462"/>
      <c r="IP1" s="462"/>
      <c r="IQ1" s="462"/>
      <c r="IR1" s="462"/>
      <c r="IS1" s="462"/>
      <c r="IT1" s="462"/>
      <c r="IU1" s="462"/>
      <c r="IV1" s="462"/>
      <c r="IW1" s="462"/>
      <c r="IX1" s="462"/>
      <c r="IY1" s="462"/>
      <c r="IZ1" s="462"/>
      <c r="JA1" s="462"/>
      <c r="JB1" s="462"/>
      <c r="JC1" s="462"/>
      <c r="JD1" s="462"/>
      <c r="JE1" s="462"/>
      <c r="JF1" s="462"/>
      <c r="JG1" s="462"/>
      <c r="JH1" s="462"/>
      <c r="JI1" s="462"/>
      <c r="JJ1" s="462"/>
      <c r="JK1" s="462"/>
      <c r="JL1" s="462"/>
      <c r="JM1" s="462"/>
      <c r="JN1" s="462"/>
      <c r="JO1" s="462"/>
      <c r="JP1" s="462"/>
      <c r="JQ1" s="462"/>
      <c r="JR1" s="462"/>
      <c r="JS1" s="462"/>
      <c r="JT1" s="462"/>
      <c r="JU1" s="462"/>
      <c r="JV1" s="462"/>
      <c r="JW1" s="462"/>
      <c r="JX1" s="462"/>
      <c r="JY1" s="462"/>
      <c r="JZ1" s="462"/>
      <c r="KA1" s="462"/>
      <c r="KB1" s="462"/>
      <c r="KC1" s="462"/>
      <c r="KD1" s="462"/>
      <c r="KE1" s="462"/>
      <c r="KF1" s="462"/>
      <c r="KG1" s="462"/>
      <c r="KH1" s="462"/>
      <c r="KI1" s="462"/>
      <c r="KJ1" s="462"/>
      <c r="KK1" s="462"/>
      <c r="KL1" s="462"/>
      <c r="KM1" s="462"/>
      <c r="KN1" s="462"/>
      <c r="KO1" s="462"/>
      <c r="KP1" s="462"/>
      <c r="KQ1" s="462"/>
      <c r="KR1" s="462"/>
      <c r="KS1" s="462"/>
      <c r="KT1" s="462"/>
      <c r="KU1" s="462"/>
      <c r="KV1" s="462"/>
      <c r="KW1" s="462"/>
      <c r="KX1" s="462"/>
      <c r="KY1" s="462"/>
      <c r="KZ1" s="462"/>
      <c r="LA1" s="462"/>
      <c r="LB1" s="462"/>
      <c r="LC1" s="462"/>
      <c r="LD1" s="462"/>
      <c r="LE1" s="462"/>
      <c r="LF1" s="462"/>
      <c r="LG1" s="462"/>
      <c r="LH1" s="462"/>
      <c r="LI1" s="462"/>
      <c r="LJ1" s="462"/>
      <c r="LK1" s="462"/>
      <c r="LL1" s="462"/>
      <c r="LM1" s="462"/>
      <c r="LN1" s="462"/>
      <c r="LO1" s="462"/>
      <c r="LP1" s="462"/>
      <c r="LQ1" s="462"/>
      <c r="LR1" s="462"/>
      <c r="LS1" s="462"/>
      <c r="LT1" s="462"/>
      <c r="LU1" s="462"/>
      <c r="LV1" s="462"/>
      <c r="LW1" s="462"/>
      <c r="LX1" s="462"/>
      <c r="LY1" s="462"/>
      <c r="LZ1" s="462"/>
      <c r="MA1" s="462"/>
      <c r="MB1" s="462"/>
      <c r="MC1" s="462"/>
      <c r="MD1" s="462"/>
      <c r="ME1" s="462"/>
      <c r="MF1" s="462"/>
      <c r="MG1" s="462"/>
      <c r="MH1" s="462"/>
      <c r="MI1" s="462"/>
      <c r="MJ1" s="462"/>
      <c r="MK1" s="462"/>
      <c r="ML1" s="462"/>
      <c r="MM1" s="462"/>
      <c r="MN1" s="462"/>
      <c r="MO1" s="462"/>
      <c r="MP1" s="462"/>
      <c r="MQ1" s="462"/>
      <c r="MR1" s="462"/>
      <c r="MS1" s="462"/>
      <c r="MT1" s="462"/>
      <c r="MU1" s="462"/>
      <c r="MV1" s="462"/>
      <c r="MW1" s="462"/>
      <c r="MX1" s="462"/>
      <c r="MY1" s="462"/>
      <c r="MZ1" s="462"/>
      <c r="NA1" s="462"/>
      <c r="NB1" s="462"/>
      <c r="NC1" s="462"/>
      <c r="ND1" s="462"/>
      <c r="NE1" s="462"/>
      <c r="NF1" s="462"/>
      <c r="NG1" s="462"/>
      <c r="NH1" s="462"/>
      <c r="NI1" s="462"/>
      <c r="NJ1" s="462"/>
      <c r="NK1" s="462"/>
      <c r="NL1" s="462"/>
      <c r="NM1" s="462"/>
      <c r="NN1" s="462"/>
      <c r="NO1" s="462"/>
      <c r="NP1" s="462"/>
      <c r="NQ1" s="462"/>
      <c r="NR1" s="462"/>
      <c r="NS1" s="462"/>
      <c r="NT1" s="462"/>
      <c r="NU1" s="462"/>
      <c r="NV1" s="462"/>
      <c r="NW1" s="462"/>
      <c r="NX1" s="462"/>
      <c r="NY1" s="462"/>
      <c r="NZ1" s="462"/>
      <c r="OA1" s="462"/>
      <c r="OB1" s="462"/>
      <c r="OC1" s="462"/>
      <c r="OD1" s="462"/>
      <c r="OE1" s="462"/>
      <c r="OF1" s="462"/>
      <c r="OG1" s="462"/>
      <c r="OH1" s="462"/>
      <c r="OI1" s="462"/>
      <c r="OJ1" s="462"/>
      <c r="OK1" s="462"/>
      <c r="OL1" s="462"/>
      <c r="OM1" s="462"/>
      <c r="ON1" s="462"/>
      <c r="OO1" s="462"/>
      <c r="OP1" s="462"/>
      <c r="OQ1" s="462"/>
      <c r="OR1" s="462"/>
      <c r="OS1" s="462"/>
      <c r="OT1" s="462"/>
      <c r="OU1" s="462"/>
      <c r="OV1" s="462"/>
      <c r="OW1" s="462"/>
      <c r="OX1" s="462"/>
      <c r="OY1" s="462"/>
      <c r="OZ1" s="462"/>
      <c r="PA1" s="462"/>
      <c r="PB1" s="462"/>
      <c r="PC1" s="462"/>
      <c r="PD1" s="462"/>
      <c r="PE1" s="462"/>
      <c r="PF1" s="462"/>
      <c r="PG1" s="462"/>
      <c r="PH1" s="462"/>
      <c r="PI1" s="462"/>
      <c r="PJ1" s="462"/>
      <c r="PK1" s="462"/>
      <c r="PL1" s="462"/>
      <c r="PM1" s="462"/>
      <c r="PN1" s="462"/>
      <c r="PO1" s="462"/>
      <c r="PP1" s="462"/>
      <c r="PQ1" s="462"/>
      <c r="PR1" s="462"/>
      <c r="PS1" s="462"/>
      <c r="PT1" s="462"/>
      <c r="PU1" s="462"/>
      <c r="PV1" s="462"/>
      <c r="PW1" s="462"/>
      <c r="PX1" s="462"/>
      <c r="PY1" s="462"/>
      <c r="PZ1" s="462"/>
      <c r="QA1" s="462"/>
      <c r="QB1" s="462"/>
      <c r="QC1" s="462"/>
      <c r="QD1" s="462"/>
      <c r="QE1" s="462"/>
      <c r="QF1" s="462"/>
      <c r="QG1" s="462"/>
      <c r="QH1" s="462"/>
      <c r="QI1" s="462"/>
      <c r="QJ1" s="462"/>
      <c r="QK1" s="462"/>
      <c r="QL1" s="462"/>
      <c r="QM1" s="462"/>
      <c r="QN1" s="462"/>
      <c r="QO1" s="462"/>
      <c r="QP1" s="462"/>
      <c r="QQ1" s="462"/>
      <c r="QR1" s="462"/>
      <c r="QS1" s="462"/>
      <c r="QT1" s="462"/>
      <c r="QU1" s="462"/>
      <c r="QV1" s="462"/>
      <c r="QW1" s="462"/>
      <c r="QX1" s="462"/>
      <c r="QY1" s="462"/>
      <c r="QZ1" s="462"/>
      <c r="RA1" s="462"/>
      <c r="RB1" s="462"/>
      <c r="RC1" s="462"/>
      <c r="RD1" s="462"/>
      <c r="RE1" s="462"/>
      <c r="RF1" s="462"/>
      <c r="RG1" s="462"/>
      <c r="RH1" s="462"/>
      <c r="RI1" s="462"/>
      <c r="RJ1" s="462"/>
      <c r="RK1" s="462"/>
      <c r="RL1" s="462"/>
      <c r="RM1" s="462"/>
      <c r="RN1" s="462"/>
      <c r="RO1" s="462"/>
      <c r="RP1" s="462"/>
      <c r="RQ1" s="462"/>
      <c r="RR1" s="462"/>
      <c r="RS1" s="462"/>
      <c r="RT1" s="462"/>
      <c r="RU1" s="462"/>
      <c r="RV1" s="462"/>
      <c r="RW1" s="462"/>
      <c r="RX1" s="462"/>
      <c r="RY1" s="462"/>
      <c r="RZ1" s="462"/>
      <c r="SA1" s="462"/>
      <c r="SB1" s="462"/>
      <c r="SC1" s="462"/>
      <c r="SD1" s="462"/>
      <c r="SE1" s="462"/>
      <c r="SF1" s="462"/>
      <c r="SG1" s="462"/>
      <c r="SH1" s="462"/>
      <c r="SI1" s="462"/>
      <c r="SJ1" s="462"/>
      <c r="SK1" s="462"/>
      <c r="SL1" s="462"/>
      <c r="SM1" s="462"/>
      <c r="SN1" s="462"/>
      <c r="SO1" s="462"/>
      <c r="SP1" s="462"/>
      <c r="SQ1" s="462"/>
      <c r="SR1" s="462"/>
      <c r="SS1" s="462"/>
      <c r="ST1" s="462"/>
      <c r="SU1" s="462"/>
      <c r="SV1" s="462"/>
      <c r="SW1" s="462"/>
      <c r="SX1" s="462"/>
      <c r="SY1" s="462"/>
      <c r="SZ1" s="462"/>
      <c r="TA1" s="462"/>
      <c r="TB1" s="462"/>
      <c r="TC1" s="462"/>
      <c r="TD1" s="462"/>
      <c r="TE1" s="462"/>
      <c r="TF1" s="462"/>
      <c r="TG1" s="462"/>
      <c r="TH1" s="462"/>
      <c r="TI1" s="462"/>
      <c r="TJ1" s="462"/>
      <c r="TK1" s="462"/>
      <c r="TL1" s="462"/>
      <c r="TM1" s="462"/>
      <c r="TN1" s="462"/>
      <c r="TO1" s="462"/>
      <c r="TP1" s="462"/>
      <c r="TQ1" s="462"/>
      <c r="TR1" s="462"/>
      <c r="TS1" s="462"/>
      <c r="TT1" s="462"/>
      <c r="TU1" s="462"/>
      <c r="TV1" s="462"/>
      <c r="TW1" s="462"/>
      <c r="TX1" s="462"/>
      <c r="TY1" s="462"/>
      <c r="TZ1" s="462"/>
      <c r="UA1" s="462"/>
      <c r="UB1" s="462"/>
      <c r="UC1" s="462"/>
      <c r="UD1" s="462"/>
      <c r="UE1" s="462"/>
      <c r="UF1" s="462"/>
      <c r="UG1" s="462"/>
      <c r="UH1" s="462"/>
      <c r="UI1" s="462"/>
      <c r="UJ1" s="462"/>
      <c r="UK1" s="462"/>
      <c r="UL1" s="462"/>
      <c r="UM1" s="462"/>
      <c r="UN1" s="462"/>
      <c r="UO1" s="462"/>
      <c r="UP1" s="462"/>
      <c r="UQ1" s="462"/>
      <c r="UR1" s="462"/>
      <c r="US1" s="462"/>
      <c r="UT1" s="462"/>
      <c r="UU1" s="462"/>
      <c r="UV1" s="462"/>
      <c r="UW1" s="462"/>
      <c r="UX1" s="462"/>
      <c r="UY1" s="462"/>
      <c r="UZ1" s="462"/>
      <c r="VA1" s="462"/>
      <c r="VB1" s="462"/>
      <c r="VC1" s="462"/>
      <c r="VD1" s="462"/>
      <c r="VE1" s="462"/>
      <c r="VF1" s="462"/>
      <c r="VG1" s="462"/>
      <c r="VH1" s="462"/>
      <c r="VI1" s="462"/>
      <c r="VJ1" s="462"/>
      <c r="VK1" s="462"/>
      <c r="VL1" s="462"/>
      <c r="VM1" s="462"/>
      <c r="VN1" s="462"/>
      <c r="VO1" s="462"/>
      <c r="VP1" s="462"/>
      <c r="VQ1" s="462"/>
      <c r="VR1" s="462"/>
      <c r="VS1" s="462"/>
      <c r="VT1" s="462"/>
      <c r="VU1" s="462"/>
      <c r="VV1" s="462"/>
      <c r="VW1" s="462"/>
      <c r="VX1" s="462"/>
      <c r="VY1" s="462"/>
      <c r="VZ1" s="462"/>
      <c r="WA1" s="462"/>
      <c r="WB1" s="462"/>
      <c r="WC1" s="462"/>
      <c r="WD1" s="462"/>
      <c r="WE1" s="462"/>
      <c r="WF1" s="462"/>
      <c r="WG1" s="462"/>
      <c r="WH1" s="462"/>
      <c r="WI1" s="462"/>
      <c r="WJ1" s="462"/>
      <c r="WK1" s="462"/>
      <c r="WL1" s="462"/>
      <c r="WM1" s="462"/>
      <c r="WN1" s="462"/>
      <c r="WO1" s="462"/>
      <c r="WP1" s="462"/>
      <c r="WQ1" s="462"/>
      <c r="WR1" s="462"/>
      <c r="WS1" s="462"/>
      <c r="WT1" s="462"/>
      <c r="WU1" s="462"/>
      <c r="WV1" s="462"/>
      <c r="WW1" s="462"/>
      <c r="WX1" s="462"/>
      <c r="WY1" s="462"/>
      <c r="WZ1" s="462"/>
      <c r="XA1" s="462"/>
      <c r="XB1" s="462"/>
      <c r="XC1" s="462"/>
      <c r="XD1" s="462"/>
      <c r="XE1" s="462"/>
      <c r="XF1" s="462"/>
      <c r="XG1" s="462"/>
      <c r="XH1" s="462"/>
      <c r="XI1" s="462"/>
      <c r="XJ1" s="462"/>
      <c r="XK1" s="462"/>
      <c r="XL1" s="462"/>
      <c r="XM1" s="462"/>
      <c r="XN1" s="462"/>
      <c r="XO1" s="462"/>
      <c r="XP1" s="462"/>
      <c r="XQ1" s="462"/>
      <c r="XR1" s="462"/>
      <c r="XS1" s="462"/>
      <c r="XT1" s="462"/>
      <c r="XU1" s="462"/>
      <c r="XV1" s="462"/>
      <c r="XW1" s="462"/>
      <c r="XX1" s="462"/>
      <c r="XY1" s="462"/>
      <c r="XZ1" s="462"/>
      <c r="YA1" s="462"/>
      <c r="YB1" s="462"/>
      <c r="YC1" s="462"/>
      <c r="YD1" s="462"/>
      <c r="YE1" s="462"/>
      <c r="YF1" s="462"/>
      <c r="YG1" s="462"/>
      <c r="YH1" s="462"/>
      <c r="YI1" s="462"/>
      <c r="YJ1" s="462"/>
      <c r="YK1" s="462"/>
      <c r="YL1" s="462"/>
      <c r="YM1" s="462"/>
      <c r="YN1" s="462"/>
      <c r="YO1" s="462"/>
      <c r="YP1" s="462"/>
      <c r="YQ1" s="462"/>
      <c r="YR1" s="462"/>
      <c r="YS1" s="462"/>
      <c r="YT1" s="462"/>
      <c r="YU1" s="462"/>
      <c r="YV1" s="462"/>
      <c r="YW1" s="462"/>
      <c r="YX1" s="462"/>
      <c r="YY1" s="462"/>
      <c r="YZ1" s="462"/>
      <c r="ZA1" s="462"/>
      <c r="ZB1" s="462"/>
      <c r="ZC1" s="462"/>
      <c r="ZD1" s="462"/>
      <c r="ZE1" s="462"/>
      <c r="ZF1" s="462"/>
      <c r="ZG1" s="462"/>
      <c r="ZH1" s="462"/>
      <c r="ZI1" s="462"/>
      <c r="ZJ1" s="462"/>
      <c r="ZK1" s="462"/>
      <c r="ZL1" s="462"/>
      <c r="ZM1" s="462"/>
      <c r="ZN1" s="462"/>
      <c r="ZO1" s="462"/>
      <c r="ZP1" s="462"/>
      <c r="ZQ1" s="462"/>
      <c r="ZR1" s="462"/>
      <c r="ZS1" s="462"/>
      <c r="ZT1" s="462"/>
      <c r="ZU1" s="462"/>
      <c r="ZV1" s="462"/>
      <c r="ZW1" s="462"/>
      <c r="ZX1" s="462"/>
      <c r="ZY1" s="462"/>
      <c r="ZZ1" s="462"/>
      <c r="AAA1" s="462"/>
      <c r="AAB1" s="462"/>
      <c r="AAC1" s="462"/>
      <c r="AAD1" s="462"/>
      <c r="AAE1" s="462"/>
      <c r="AAF1" s="462"/>
      <c r="AAG1" s="462"/>
      <c r="AAH1" s="462"/>
      <c r="AAI1" s="462"/>
      <c r="AAJ1" s="462"/>
      <c r="AAK1" s="462"/>
      <c r="AAL1" s="462"/>
      <c r="AAM1" s="462"/>
      <c r="AAN1" s="462"/>
      <c r="AAO1" s="462"/>
      <c r="AAP1" s="462"/>
      <c r="AAQ1" s="462"/>
      <c r="AAR1" s="462"/>
    </row>
    <row r="2" spans="1:752" ht="15" customHeight="1" x14ac:dyDescent="0.25">
      <c r="A2" s="972" t="s">
        <v>474</v>
      </c>
      <c r="B2" s="972"/>
      <c r="C2" s="972"/>
      <c r="D2" s="972"/>
      <c r="E2" s="972"/>
      <c r="F2" s="972"/>
      <c r="G2" s="972"/>
      <c r="H2" s="972"/>
      <c r="I2" s="972"/>
      <c r="J2" s="972"/>
      <c r="K2" s="972"/>
      <c r="L2" s="972"/>
      <c r="M2" s="972"/>
      <c r="N2" s="972"/>
      <c r="O2" s="972"/>
      <c r="P2" s="972"/>
      <c r="Q2" s="972"/>
      <c r="R2" s="972"/>
      <c r="S2" s="972"/>
      <c r="T2" s="972"/>
      <c r="U2" s="972"/>
      <c r="V2" s="972"/>
      <c r="W2" s="972"/>
      <c r="X2" s="972"/>
      <c r="Y2" s="972"/>
      <c r="Z2" s="972"/>
      <c r="AA2" s="972"/>
      <c r="AB2" s="972"/>
      <c r="AC2" s="972"/>
      <c r="AD2" s="972"/>
      <c r="AE2" s="972"/>
      <c r="AF2" s="972"/>
      <c r="AG2" s="972"/>
      <c r="AH2" s="972"/>
      <c r="AI2" s="972"/>
      <c r="AJ2" s="972"/>
      <c r="AK2" s="972"/>
      <c r="AL2" s="972"/>
      <c r="AM2" s="972"/>
      <c r="AN2" s="972"/>
      <c r="AO2" s="972"/>
      <c r="AP2" s="972"/>
      <c r="AQ2" s="972"/>
      <c r="AR2" s="972"/>
      <c r="AS2" s="972"/>
      <c r="AT2" s="972"/>
      <c r="AU2" s="972"/>
      <c r="AV2" s="972"/>
      <c r="AW2" s="972"/>
      <c r="AX2" s="972"/>
      <c r="AY2" s="972"/>
      <c r="AZ2" s="972"/>
      <c r="BA2" s="972"/>
      <c r="BB2" s="972"/>
      <c r="BC2" s="972"/>
      <c r="BD2" s="972"/>
      <c r="BE2" s="972"/>
      <c r="BF2" s="972"/>
      <c r="BG2" s="972"/>
      <c r="BH2" s="972"/>
      <c r="BI2" s="972"/>
      <c r="BJ2" s="972"/>
      <c r="BK2" s="972"/>
      <c r="BL2" s="972"/>
      <c r="BM2" s="972"/>
      <c r="BN2" s="972"/>
      <c r="BO2" s="972"/>
      <c r="BP2" s="972"/>
      <c r="BQ2" s="972"/>
      <c r="BR2" s="972"/>
      <c r="BS2" s="972"/>
      <c r="BT2" s="972"/>
      <c r="BU2" s="972"/>
      <c r="BV2" s="972"/>
      <c r="BW2" s="972"/>
      <c r="BX2" s="972"/>
      <c r="BY2" s="972"/>
      <c r="BZ2" s="972"/>
      <c r="CA2" s="972"/>
      <c r="CB2" s="972"/>
      <c r="CC2" s="972"/>
      <c r="CD2" s="972"/>
      <c r="CE2" s="972"/>
      <c r="CF2" s="972"/>
      <c r="CG2" s="972"/>
      <c r="CH2" s="972"/>
      <c r="CI2" s="972"/>
      <c r="CJ2" s="972"/>
      <c r="CK2" s="972"/>
      <c r="CL2" s="972"/>
      <c r="CM2" s="972"/>
      <c r="CN2" s="972"/>
      <c r="CO2" s="972"/>
      <c r="CP2" s="972"/>
      <c r="CQ2" s="972"/>
      <c r="CR2" s="972"/>
      <c r="CS2" s="972"/>
      <c r="CT2" s="972"/>
      <c r="CU2" s="972"/>
      <c r="CV2" s="972"/>
      <c r="CW2" s="972"/>
      <c r="CX2" s="972"/>
      <c r="CY2" s="972"/>
      <c r="CZ2" s="972"/>
      <c r="DA2" s="972"/>
      <c r="DB2" s="972"/>
      <c r="DC2" s="972"/>
      <c r="DD2" s="972"/>
      <c r="DE2" s="972"/>
      <c r="DF2" s="972"/>
      <c r="DG2" s="972"/>
      <c r="DH2" s="972"/>
      <c r="DI2" s="972"/>
      <c r="DJ2" s="972"/>
      <c r="DK2" s="972"/>
      <c r="DL2" s="972"/>
      <c r="DM2" s="972"/>
      <c r="DN2" s="972"/>
      <c r="DO2" s="972"/>
      <c r="DP2" s="972"/>
      <c r="DQ2" s="972"/>
      <c r="DR2" s="972"/>
      <c r="DS2" s="972"/>
      <c r="DT2" s="972"/>
      <c r="DU2" s="972"/>
      <c r="DV2" s="972"/>
      <c r="DW2" s="972"/>
      <c r="DX2" s="972"/>
      <c r="DY2" s="972"/>
      <c r="DZ2" s="972"/>
      <c r="EA2" s="972"/>
      <c r="EB2" s="972"/>
      <c r="EC2" s="972"/>
      <c r="ED2" s="972"/>
      <c r="EE2" s="972"/>
      <c r="EF2" s="972"/>
      <c r="EG2" s="972"/>
      <c r="EH2" s="972"/>
      <c r="EI2" s="972"/>
      <c r="EJ2" s="972"/>
      <c r="EK2" s="972"/>
      <c r="EL2" s="972"/>
      <c r="EM2" s="972"/>
      <c r="EN2" s="972"/>
      <c r="EO2" s="972"/>
      <c r="EP2" s="972"/>
      <c r="EQ2" s="972"/>
      <c r="ER2" s="972"/>
      <c r="ES2" s="972"/>
      <c r="ET2" s="972"/>
      <c r="EU2" s="972"/>
      <c r="EV2" s="972"/>
      <c r="EW2" s="972"/>
      <c r="EX2" s="972"/>
      <c r="EY2" s="972"/>
      <c r="EZ2" s="972"/>
      <c r="FA2" s="972"/>
      <c r="FB2" s="972"/>
      <c r="FC2" s="972"/>
      <c r="FD2" s="972"/>
      <c r="FE2" s="972"/>
      <c r="FF2" s="972"/>
      <c r="FG2" s="972"/>
      <c r="FH2" s="972"/>
      <c r="FI2" s="972"/>
      <c r="FJ2" s="972"/>
      <c r="FK2" s="972"/>
      <c r="FL2" s="972"/>
      <c r="FM2" s="972"/>
      <c r="FN2" s="972"/>
      <c r="FO2" s="972"/>
      <c r="FP2" s="972"/>
      <c r="FQ2" s="972"/>
      <c r="FR2" s="972"/>
      <c r="FS2" s="972"/>
      <c r="FT2" s="972"/>
      <c r="FU2" s="972"/>
      <c r="FV2" s="972"/>
      <c r="FW2" s="972"/>
      <c r="FX2" s="972"/>
      <c r="FY2" s="972"/>
      <c r="FZ2" s="972"/>
      <c r="GA2" s="972"/>
      <c r="GB2" s="972"/>
      <c r="GC2" s="972"/>
      <c r="GD2" s="972"/>
      <c r="GE2" s="972"/>
      <c r="GF2" s="972"/>
      <c r="GG2" s="972"/>
      <c r="GH2" s="972"/>
      <c r="GI2" s="972"/>
      <c r="GJ2" s="972"/>
      <c r="GK2" s="972"/>
      <c r="GL2" s="972"/>
      <c r="GM2" s="972"/>
      <c r="GN2" s="972"/>
      <c r="GO2" s="972"/>
      <c r="GP2" s="972"/>
      <c r="GQ2" s="972"/>
      <c r="GR2" s="972"/>
      <c r="GS2" s="972"/>
      <c r="GT2" s="972"/>
      <c r="GU2" s="972"/>
      <c r="GV2" s="972"/>
      <c r="GW2" s="972"/>
      <c r="GX2" s="972"/>
      <c r="GY2" s="972"/>
      <c r="GZ2" s="972"/>
      <c r="HA2" s="972"/>
      <c r="HB2" s="972"/>
      <c r="HC2" s="972"/>
      <c r="HD2" s="972"/>
      <c r="HE2" s="972"/>
      <c r="HF2" s="972"/>
      <c r="HG2" s="972"/>
      <c r="HH2" s="972"/>
      <c r="HI2" s="972"/>
      <c r="HJ2" s="972"/>
      <c r="HK2" s="972"/>
      <c r="HL2" s="972"/>
      <c r="HM2" s="972"/>
      <c r="HN2" s="972"/>
      <c r="HO2" s="972"/>
      <c r="HP2" s="972"/>
      <c r="HQ2" s="972"/>
      <c r="HR2" s="972"/>
      <c r="HS2" s="972"/>
      <c r="HT2" s="972"/>
      <c r="HU2" s="972"/>
      <c r="HV2" s="972"/>
      <c r="HW2" s="972"/>
      <c r="HX2" s="972"/>
      <c r="HY2" s="972"/>
      <c r="HZ2" s="972"/>
      <c r="IA2" s="972"/>
      <c r="IB2" s="972"/>
      <c r="IC2" s="972"/>
      <c r="ID2" s="972"/>
      <c r="IE2" s="972"/>
      <c r="IF2" s="972"/>
      <c r="IG2" s="972"/>
      <c r="IH2" s="972"/>
      <c r="II2" s="972"/>
      <c r="IJ2" s="972"/>
      <c r="IK2" s="972"/>
      <c r="IL2" s="972"/>
      <c r="IM2" s="972"/>
      <c r="IN2" s="972"/>
      <c r="IO2" s="972"/>
      <c r="IP2" s="972"/>
      <c r="IQ2" s="972"/>
      <c r="IR2" s="972"/>
      <c r="IS2" s="972"/>
      <c r="IT2" s="972"/>
      <c r="IU2" s="972"/>
      <c r="IV2" s="972"/>
      <c r="IW2" s="972"/>
      <c r="IX2" s="972"/>
      <c r="IY2" s="972"/>
      <c r="IZ2" s="972"/>
      <c r="JA2" s="972"/>
      <c r="JB2" s="972"/>
      <c r="JC2" s="972"/>
      <c r="JD2" s="972"/>
      <c r="JE2" s="972"/>
      <c r="JF2" s="972"/>
      <c r="JG2" s="972"/>
      <c r="JH2" s="972"/>
      <c r="JI2" s="972"/>
      <c r="JJ2" s="972"/>
      <c r="JK2" s="972"/>
      <c r="JL2" s="972"/>
      <c r="JM2" s="972"/>
      <c r="JN2" s="972"/>
      <c r="JO2" s="972"/>
      <c r="JP2" s="972"/>
      <c r="JQ2" s="972"/>
      <c r="JR2" s="972"/>
      <c r="JS2" s="972"/>
      <c r="JT2" s="972"/>
      <c r="JU2" s="972"/>
      <c r="JV2" s="972"/>
      <c r="JW2" s="972"/>
      <c r="JX2" s="972"/>
      <c r="JY2" s="972"/>
      <c r="JZ2" s="972"/>
      <c r="KA2" s="972"/>
      <c r="KB2" s="972"/>
      <c r="KC2" s="972"/>
      <c r="KD2" s="972"/>
      <c r="KE2" s="972"/>
      <c r="KF2" s="972"/>
      <c r="KG2" s="972"/>
      <c r="KH2" s="972"/>
      <c r="KI2" s="972"/>
      <c r="KJ2" s="972"/>
      <c r="KK2" s="972"/>
      <c r="KL2" s="972"/>
      <c r="KM2" s="972"/>
      <c r="KN2" s="972"/>
      <c r="KO2" s="972"/>
      <c r="KP2" s="972"/>
      <c r="KQ2" s="972"/>
      <c r="KR2" s="972"/>
      <c r="KS2" s="972"/>
      <c r="KT2" s="972"/>
      <c r="KU2" s="972"/>
      <c r="KV2" s="972"/>
      <c r="KW2" s="972"/>
      <c r="KX2" s="972"/>
      <c r="KY2" s="972"/>
      <c r="KZ2" s="972"/>
      <c r="LA2" s="972"/>
      <c r="LB2" s="972"/>
      <c r="LC2" s="972"/>
      <c r="LD2" s="972"/>
      <c r="LE2" s="972"/>
      <c r="LF2" s="972"/>
      <c r="LG2" s="972"/>
      <c r="LH2" s="972"/>
      <c r="LI2" s="972"/>
      <c r="LJ2" s="972"/>
      <c r="LK2" s="972"/>
      <c r="LL2" s="972"/>
      <c r="LM2" s="972"/>
      <c r="LN2" s="972"/>
      <c r="LO2" s="972"/>
      <c r="LP2" s="972"/>
      <c r="LQ2" s="972"/>
      <c r="LR2" s="972"/>
      <c r="LS2" s="972"/>
      <c r="LT2" s="972"/>
      <c r="LU2" s="972"/>
      <c r="LV2" s="972"/>
      <c r="LW2" s="972"/>
      <c r="LX2" s="972"/>
      <c r="LY2" s="972"/>
      <c r="LZ2" s="972"/>
      <c r="MA2" s="972"/>
      <c r="MB2" s="972"/>
      <c r="MC2" s="972"/>
      <c r="MD2" s="972"/>
      <c r="ME2" s="972"/>
      <c r="MF2" s="972"/>
      <c r="MG2" s="972"/>
      <c r="MH2" s="972"/>
      <c r="MI2" s="972"/>
      <c r="MJ2" s="972"/>
      <c r="MK2" s="972"/>
      <c r="ML2" s="972"/>
      <c r="MM2" s="972"/>
      <c r="MN2" s="972"/>
      <c r="MO2" s="972"/>
      <c r="MP2" s="972"/>
      <c r="MQ2" s="972"/>
      <c r="MR2" s="972"/>
      <c r="MS2" s="972"/>
      <c r="MT2" s="972"/>
      <c r="MU2" s="972"/>
      <c r="MV2" s="972"/>
      <c r="MW2" s="972"/>
      <c r="MX2" s="972"/>
      <c r="MY2" s="972"/>
      <c r="MZ2" s="972"/>
      <c r="NA2" s="972"/>
      <c r="NB2" s="972"/>
      <c r="NC2" s="972"/>
      <c r="ND2" s="972"/>
      <c r="NE2" s="972"/>
      <c r="NF2" s="972"/>
      <c r="NG2" s="972"/>
      <c r="NH2" s="972"/>
      <c r="NI2" s="972"/>
      <c r="NJ2" s="972"/>
      <c r="NK2" s="972"/>
      <c r="NL2" s="972"/>
      <c r="NM2" s="972"/>
      <c r="NN2" s="972"/>
      <c r="NO2" s="972"/>
      <c r="NP2" s="972"/>
      <c r="NQ2" s="972"/>
      <c r="NR2" s="972"/>
      <c r="NS2" s="972"/>
      <c r="NT2" s="972"/>
      <c r="NU2" s="972"/>
      <c r="NV2" s="972"/>
      <c r="NW2" s="972"/>
      <c r="NX2" s="972"/>
      <c r="NY2" s="972"/>
      <c r="NZ2" s="972"/>
      <c r="OA2" s="972"/>
      <c r="OB2" s="972"/>
      <c r="OC2" s="972"/>
      <c r="OD2" s="972"/>
      <c r="OE2" s="972"/>
      <c r="OF2" s="972"/>
      <c r="OG2" s="972"/>
      <c r="OH2" s="972"/>
      <c r="OI2" s="972"/>
      <c r="OJ2" s="972"/>
      <c r="OK2" s="972"/>
      <c r="OL2" s="972"/>
      <c r="OM2" s="972"/>
      <c r="ON2" s="972"/>
      <c r="OO2" s="972"/>
      <c r="OP2" s="972"/>
      <c r="OQ2" s="972"/>
      <c r="OR2" s="972"/>
      <c r="OS2" s="972"/>
      <c r="OT2" s="972"/>
      <c r="OU2" s="972"/>
      <c r="OV2" s="972"/>
      <c r="OW2" s="972"/>
      <c r="OX2" s="972"/>
      <c r="OY2" s="972"/>
      <c r="OZ2" s="972"/>
      <c r="PA2" s="972"/>
      <c r="PB2" s="972"/>
      <c r="PC2" s="972"/>
      <c r="PD2" s="972"/>
      <c r="PE2" s="972"/>
      <c r="PF2" s="972"/>
      <c r="PG2" s="972"/>
      <c r="PH2" s="972"/>
      <c r="PI2" s="972"/>
      <c r="PJ2" s="972"/>
      <c r="PK2" s="972"/>
      <c r="PL2" s="972"/>
      <c r="PM2" s="972"/>
      <c r="PN2" s="972"/>
      <c r="PO2" s="972"/>
      <c r="PP2" s="972"/>
      <c r="PQ2" s="972"/>
      <c r="PR2" s="972"/>
      <c r="PS2" s="972"/>
      <c r="PT2" s="972"/>
      <c r="PU2" s="972"/>
      <c r="PV2" s="972"/>
      <c r="PW2" s="972"/>
      <c r="PX2" s="972"/>
      <c r="PY2" s="972"/>
      <c r="PZ2" s="972"/>
      <c r="QA2" s="972"/>
      <c r="QB2" s="972"/>
      <c r="QC2" s="972"/>
      <c r="QD2" s="972"/>
      <c r="QE2" s="972"/>
      <c r="QF2" s="972"/>
      <c r="QG2" s="972"/>
      <c r="QH2" s="972"/>
      <c r="QI2" s="972"/>
      <c r="QJ2" s="972"/>
      <c r="QK2" s="972"/>
      <c r="QL2" s="972"/>
      <c r="QM2" s="972"/>
      <c r="QN2" s="972"/>
      <c r="QO2" s="972"/>
      <c r="QP2" s="972"/>
      <c r="QQ2" s="972"/>
      <c r="QR2" s="972"/>
      <c r="QS2" s="972"/>
      <c r="QT2" s="972"/>
      <c r="QU2" s="972"/>
      <c r="QV2" s="972"/>
      <c r="QW2" s="972"/>
      <c r="QX2" s="972"/>
      <c r="QY2" s="972"/>
      <c r="QZ2" s="972"/>
      <c r="RA2" s="972"/>
      <c r="RB2" s="972"/>
      <c r="RC2" s="972"/>
      <c r="RD2" s="972"/>
      <c r="RE2" s="972"/>
      <c r="RF2" s="972"/>
      <c r="RG2" s="972"/>
      <c r="RH2" s="972"/>
      <c r="RI2" s="972"/>
      <c r="RJ2" s="972"/>
      <c r="RK2" s="972"/>
      <c r="RL2" s="972"/>
      <c r="RM2" s="972"/>
      <c r="RN2" s="972"/>
      <c r="RO2" s="972"/>
      <c r="RP2" s="972"/>
      <c r="RQ2" s="972"/>
      <c r="RR2" s="972"/>
      <c r="RS2" s="972"/>
      <c r="RT2" s="972"/>
      <c r="RU2" s="972"/>
      <c r="RV2" s="972"/>
      <c r="RW2" s="972"/>
      <c r="RX2" s="972"/>
      <c r="RY2" s="972"/>
      <c r="RZ2" s="972"/>
      <c r="SA2" s="972"/>
      <c r="SB2" s="972"/>
      <c r="SC2" s="972"/>
      <c r="SD2" s="972"/>
      <c r="SE2" s="972"/>
      <c r="SF2" s="972"/>
      <c r="SG2" s="972"/>
      <c r="SH2" s="972"/>
      <c r="SI2" s="972"/>
      <c r="SJ2" s="972"/>
      <c r="SK2" s="972"/>
      <c r="SL2" s="972"/>
      <c r="SM2" s="972"/>
      <c r="SN2" s="972"/>
      <c r="SO2" s="972"/>
      <c r="SP2" s="972"/>
      <c r="SQ2" s="972"/>
      <c r="SR2" s="972"/>
      <c r="SS2" s="972"/>
      <c r="ST2" s="972"/>
      <c r="SU2" s="972"/>
      <c r="SV2" s="972"/>
      <c r="SW2" s="972"/>
      <c r="SX2" s="972"/>
      <c r="SY2" s="972"/>
      <c r="SZ2" s="972"/>
      <c r="TA2" s="972"/>
      <c r="TB2" s="972"/>
      <c r="TC2" s="972"/>
      <c r="TD2" s="972"/>
      <c r="TE2" s="972"/>
      <c r="TF2" s="972"/>
      <c r="TG2" s="972"/>
      <c r="TH2" s="972"/>
      <c r="TI2" s="972"/>
      <c r="TJ2" s="972"/>
      <c r="TK2" s="972"/>
      <c r="TL2" s="972"/>
      <c r="TM2" s="972"/>
      <c r="TN2" s="972"/>
      <c r="TO2" s="972"/>
      <c r="TP2" s="972"/>
      <c r="TQ2" s="972"/>
      <c r="TR2" s="972"/>
      <c r="TS2" s="972"/>
      <c r="TT2" s="972"/>
      <c r="TU2" s="972"/>
      <c r="TV2" s="972"/>
      <c r="TW2" s="972"/>
      <c r="TX2" s="972"/>
      <c r="TY2" s="972"/>
      <c r="TZ2" s="972"/>
      <c r="UA2" s="972"/>
      <c r="UB2" s="972"/>
      <c r="UC2" s="972"/>
      <c r="UD2" s="972"/>
      <c r="UE2" s="972"/>
      <c r="UF2" s="972"/>
      <c r="UG2" s="972"/>
      <c r="UH2" s="972"/>
      <c r="UI2" s="972"/>
      <c r="UJ2" s="972"/>
      <c r="UK2" s="972"/>
      <c r="UL2" s="972"/>
      <c r="UM2" s="972"/>
      <c r="UN2" s="972"/>
      <c r="UO2" s="972"/>
      <c r="UP2" s="972"/>
      <c r="UQ2" s="972"/>
      <c r="UR2" s="972"/>
      <c r="US2" s="972"/>
      <c r="UT2" s="972"/>
      <c r="UU2" s="972"/>
      <c r="UV2" s="972"/>
      <c r="UW2" s="972"/>
      <c r="UX2" s="972"/>
      <c r="UY2" s="972"/>
      <c r="UZ2" s="972"/>
      <c r="VA2" s="972"/>
      <c r="VB2" s="972"/>
      <c r="VC2" s="972"/>
      <c r="VD2" s="972"/>
      <c r="VE2" s="972"/>
      <c r="VF2" s="972"/>
      <c r="VG2" s="972"/>
      <c r="VH2" s="972"/>
      <c r="VI2" s="972"/>
      <c r="VJ2" s="972"/>
      <c r="VK2" s="972"/>
      <c r="VL2" s="972"/>
      <c r="VM2" s="972"/>
      <c r="VN2" s="972"/>
      <c r="VO2" s="972"/>
      <c r="VP2" s="972"/>
      <c r="VQ2" s="972"/>
      <c r="VR2" s="972"/>
      <c r="VS2" s="972"/>
      <c r="VT2" s="972"/>
      <c r="VU2" s="972"/>
      <c r="VV2" s="972"/>
      <c r="VW2" s="972"/>
      <c r="VX2" s="972"/>
      <c r="VY2" s="972"/>
      <c r="VZ2" s="972"/>
      <c r="WA2" s="972"/>
      <c r="WB2" s="972"/>
      <c r="WC2" s="972"/>
      <c r="WD2" s="972"/>
      <c r="WE2" s="972"/>
      <c r="WF2" s="972"/>
      <c r="WG2" s="972"/>
      <c r="WH2" s="972"/>
      <c r="WI2" s="972"/>
      <c r="WJ2" s="972"/>
      <c r="WK2" s="972"/>
      <c r="WL2" s="972"/>
      <c r="WM2" s="972"/>
      <c r="WN2" s="972"/>
      <c r="WO2" s="972"/>
      <c r="WP2" s="972"/>
      <c r="WQ2" s="972"/>
      <c r="WR2" s="972"/>
      <c r="WS2" s="972"/>
      <c r="WT2" s="972"/>
      <c r="WU2" s="972"/>
      <c r="WV2" s="972"/>
      <c r="WW2" s="972"/>
      <c r="WX2" s="972"/>
      <c r="WY2" s="972"/>
      <c r="WZ2" s="972"/>
      <c r="XA2" s="972"/>
      <c r="XB2" s="972"/>
      <c r="XC2" s="972"/>
      <c r="XD2" s="972"/>
      <c r="XE2" s="972"/>
      <c r="XF2" s="972"/>
      <c r="XG2" s="972"/>
      <c r="XH2" s="972"/>
      <c r="XI2" s="972"/>
      <c r="XJ2" s="972"/>
      <c r="XK2" s="972"/>
      <c r="XL2" s="972"/>
      <c r="XM2" s="972"/>
      <c r="XN2" s="972"/>
      <c r="XO2" s="972"/>
      <c r="XP2" s="972"/>
      <c r="XQ2" s="972"/>
      <c r="XR2" s="972"/>
      <c r="XS2" s="972"/>
      <c r="XT2" s="972"/>
      <c r="XU2" s="972"/>
      <c r="XV2" s="972"/>
      <c r="XW2" s="972"/>
      <c r="XX2" s="972"/>
      <c r="XY2" s="972"/>
      <c r="XZ2" s="972"/>
      <c r="YA2" s="972"/>
      <c r="YB2" s="972"/>
      <c r="YC2" s="972"/>
      <c r="YD2" s="972"/>
      <c r="YE2" s="972"/>
      <c r="YF2" s="972"/>
      <c r="YG2" s="972"/>
      <c r="YH2" s="972"/>
      <c r="YI2" s="972"/>
      <c r="YJ2" s="972"/>
      <c r="YK2" s="972"/>
      <c r="YL2" s="972"/>
      <c r="YM2" s="972"/>
      <c r="YN2" s="972"/>
      <c r="YO2" s="972"/>
      <c r="YP2" s="972"/>
      <c r="YQ2" s="972"/>
      <c r="YR2" s="972"/>
      <c r="YS2" s="972"/>
      <c r="YT2" s="972"/>
      <c r="YU2" s="972"/>
      <c r="YV2" s="972"/>
      <c r="YW2" s="972"/>
      <c r="YX2" s="972"/>
      <c r="YY2" s="972"/>
      <c r="YZ2" s="972"/>
      <c r="ZA2" s="972"/>
      <c r="ZB2" s="972"/>
      <c r="ZC2" s="972"/>
      <c r="ZD2" s="972"/>
      <c r="ZE2" s="972"/>
      <c r="ZF2" s="972"/>
      <c r="ZG2" s="972"/>
      <c r="ZH2" s="972"/>
      <c r="ZI2" s="972"/>
      <c r="ZJ2" s="972"/>
      <c r="ZK2" s="972"/>
      <c r="ZL2" s="972"/>
      <c r="ZM2" s="972"/>
      <c r="ZN2" s="972"/>
      <c r="ZO2" s="972"/>
      <c r="ZP2" s="972"/>
      <c r="ZQ2" s="972"/>
      <c r="ZR2" s="972"/>
      <c r="ZS2" s="972"/>
      <c r="ZT2" s="972"/>
      <c r="ZU2" s="972"/>
      <c r="ZV2" s="972"/>
      <c r="ZW2" s="972"/>
      <c r="ZX2" s="972"/>
      <c r="ZY2" s="972"/>
      <c r="ZZ2" s="972"/>
      <c r="AAA2" s="972"/>
      <c r="AAB2" s="972"/>
      <c r="AAC2" s="972"/>
      <c r="AAD2" s="972"/>
      <c r="AAE2" s="972"/>
      <c r="AAF2" s="972"/>
      <c r="AAG2" s="972"/>
      <c r="AAH2" s="972"/>
      <c r="AAI2" s="972"/>
      <c r="AAJ2" s="972"/>
      <c r="AAK2" s="972"/>
      <c r="AAL2" s="972"/>
      <c r="AAM2" s="972"/>
      <c r="AAN2" s="972"/>
      <c r="AAO2" s="972"/>
      <c r="AAP2" s="972"/>
      <c r="AAQ2" s="972"/>
      <c r="AAR2" s="972"/>
    </row>
    <row r="3" spans="1:752" s="499" customFormat="1" ht="15" customHeight="1" x14ac:dyDescent="0.25">
      <c r="A3" s="976" t="s">
        <v>0</v>
      </c>
      <c r="B3" s="973" t="s">
        <v>233</v>
      </c>
      <c r="C3" s="973"/>
      <c r="D3" s="973"/>
      <c r="E3" s="973"/>
      <c r="F3" s="973"/>
      <c r="G3" s="973"/>
      <c r="H3" s="973"/>
      <c r="I3" s="973"/>
      <c r="J3" s="973"/>
      <c r="K3" s="973"/>
      <c r="L3" s="973"/>
      <c r="M3" s="973"/>
      <c r="N3" s="973"/>
      <c r="O3" s="973"/>
      <c r="P3" s="973"/>
      <c r="Q3" s="973"/>
      <c r="R3" s="973"/>
      <c r="S3" s="973"/>
      <c r="T3" s="973"/>
      <c r="U3" s="973"/>
      <c r="V3" s="973"/>
      <c r="W3" s="973"/>
      <c r="X3" s="973"/>
      <c r="Y3" s="973"/>
      <c r="Z3" s="973"/>
      <c r="AA3" s="973"/>
      <c r="AB3" s="973"/>
      <c r="AC3" s="973"/>
      <c r="AD3" s="973" t="s">
        <v>234</v>
      </c>
      <c r="AE3" s="973"/>
      <c r="AF3" s="973"/>
      <c r="AG3" s="973"/>
      <c r="AH3" s="973"/>
      <c r="AI3" s="973"/>
      <c r="AJ3" s="973"/>
      <c r="AK3" s="973"/>
      <c r="AL3" s="973"/>
      <c r="AM3" s="973"/>
      <c r="AN3" s="973"/>
      <c r="AO3" s="973"/>
      <c r="AP3" s="973"/>
      <c r="AQ3" s="973"/>
      <c r="AR3" s="973"/>
      <c r="AS3" s="973"/>
      <c r="AT3" s="973"/>
      <c r="AU3" s="973"/>
      <c r="AV3" s="973"/>
      <c r="AW3" s="973"/>
      <c r="AX3" s="973"/>
      <c r="AY3" s="973"/>
      <c r="AZ3" s="973"/>
      <c r="BA3" s="973"/>
      <c r="BB3" s="973"/>
      <c r="BC3" s="973"/>
      <c r="BD3" s="973"/>
      <c r="BE3" s="973"/>
      <c r="BF3" s="973" t="s">
        <v>235</v>
      </c>
      <c r="BG3" s="973"/>
      <c r="BH3" s="973"/>
      <c r="BI3" s="973"/>
      <c r="BJ3" s="973"/>
      <c r="BK3" s="973"/>
      <c r="BL3" s="973"/>
      <c r="BM3" s="973"/>
      <c r="BN3" s="973"/>
      <c r="BO3" s="973"/>
      <c r="BP3" s="973"/>
      <c r="BQ3" s="973"/>
      <c r="BR3" s="973"/>
      <c r="BS3" s="973"/>
      <c r="BT3" s="973"/>
      <c r="BU3" s="973"/>
      <c r="BV3" s="973"/>
      <c r="BW3" s="973"/>
      <c r="BX3" s="973"/>
      <c r="BY3" s="973"/>
      <c r="BZ3" s="973"/>
      <c r="CA3" s="973"/>
      <c r="CB3" s="973"/>
      <c r="CC3" s="973"/>
      <c r="CD3" s="973"/>
      <c r="CE3" s="973"/>
      <c r="CF3" s="973"/>
      <c r="CG3" s="973"/>
      <c r="CH3" s="973" t="s">
        <v>236</v>
      </c>
      <c r="CI3" s="973"/>
      <c r="CJ3" s="973"/>
      <c r="CK3" s="973"/>
      <c r="CL3" s="973"/>
      <c r="CM3" s="973"/>
      <c r="CN3" s="973"/>
      <c r="CO3" s="973"/>
      <c r="CP3" s="973"/>
      <c r="CQ3" s="973"/>
      <c r="CR3" s="973"/>
      <c r="CS3" s="973"/>
      <c r="CT3" s="973"/>
      <c r="CU3" s="973"/>
      <c r="CV3" s="973"/>
      <c r="CW3" s="973"/>
      <c r="CX3" s="973"/>
      <c r="CY3" s="973"/>
      <c r="CZ3" s="973"/>
      <c r="DA3" s="973"/>
      <c r="DB3" s="973"/>
      <c r="DC3" s="973"/>
      <c r="DD3" s="973"/>
      <c r="DE3" s="973"/>
      <c r="DF3" s="973"/>
      <c r="DG3" s="973"/>
      <c r="DH3" s="973"/>
      <c r="DI3" s="973"/>
      <c r="DJ3" s="973" t="s">
        <v>105</v>
      </c>
      <c r="DK3" s="973"/>
      <c r="DL3" s="973"/>
      <c r="DM3" s="973"/>
      <c r="DN3" s="973"/>
      <c r="DO3" s="973"/>
      <c r="DP3" s="973"/>
      <c r="DQ3" s="973"/>
      <c r="DR3" s="973"/>
      <c r="DS3" s="973"/>
      <c r="DT3" s="973"/>
      <c r="DU3" s="973"/>
      <c r="DV3" s="973"/>
      <c r="DW3" s="973"/>
      <c r="DX3" s="973"/>
      <c r="DY3" s="973"/>
      <c r="DZ3" s="973"/>
      <c r="EA3" s="973"/>
      <c r="EB3" s="973"/>
      <c r="EC3" s="973"/>
      <c r="ED3" s="973"/>
      <c r="EE3" s="973"/>
      <c r="EF3" s="973"/>
      <c r="EG3" s="973"/>
      <c r="EH3" s="973"/>
      <c r="EI3" s="973"/>
      <c r="EJ3" s="973"/>
      <c r="EK3" s="973"/>
      <c r="EL3" s="973" t="s">
        <v>296</v>
      </c>
      <c r="EM3" s="973"/>
      <c r="EN3" s="973"/>
      <c r="EO3" s="973"/>
      <c r="EP3" s="973"/>
      <c r="EQ3" s="973"/>
      <c r="ER3" s="973"/>
      <c r="ES3" s="973"/>
      <c r="ET3" s="973"/>
      <c r="EU3" s="973"/>
      <c r="EV3" s="973"/>
      <c r="EW3" s="973"/>
      <c r="EX3" s="973"/>
      <c r="EY3" s="973"/>
      <c r="EZ3" s="973"/>
      <c r="FA3" s="973"/>
      <c r="FB3" s="973"/>
      <c r="FC3" s="973"/>
      <c r="FD3" s="973"/>
      <c r="FE3" s="973"/>
      <c r="FF3" s="973" t="s">
        <v>297</v>
      </c>
      <c r="FG3" s="973"/>
      <c r="FH3" s="973"/>
      <c r="FI3" s="973"/>
      <c r="FJ3" s="973"/>
      <c r="FK3" s="973"/>
      <c r="FL3" s="973"/>
      <c r="FM3" s="973"/>
      <c r="FN3" s="973"/>
      <c r="FO3" s="973"/>
      <c r="FP3" s="973"/>
      <c r="FQ3" s="973"/>
      <c r="FR3" s="973"/>
      <c r="FS3" s="973"/>
      <c r="FT3" s="973"/>
      <c r="FU3" s="973"/>
      <c r="FV3" s="973"/>
      <c r="FW3" s="973"/>
      <c r="FX3" s="973"/>
      <c r="FY3" s="973"/>
      <c r="FZ3" s="973"/>
      <c r="GA3" s="973"/>
      <c r="GB3" s="973"/>
      <c r="GC3" s="973"/>
      <c r="GD3" s="973" t="s">
        <v>298</v>
      </c>
      <c r="GE3" s="973"/>
      <c r="GF3" s="973"/>
      <c r="GG3" s="973"/>
      <c r="GH3" s="973"/>
      <c r="GI3" s="973"/>
      <c r="GJ3" s="973"/>
      <c r="GK3" s="973"/>
      <c r="GL3" s="973"/>
      <c r="GM3" s="973"/>
      <c r="GN3" s="973"/>
      <c r="GO3" s="973"/>
      <c r="GP3" s="973"/>
      <c r="GQ3" s="973"/>
      <c r="GR3" s="973"/>
      <c r="GS3" s="973"/>
      <c r="GT3" s="973"/>
      <c r="GU3" s="973"/>
      <c r="GV3" s="973"/>
      <c r="GW3" s="973"/>
      <c r="GX3" s="973" t="s">
        <v>299</v>
      </c>
      <c r="GY3" s="973"/>
      <c r="GZ3" s="973"/>
      <c r="HA3" s="973"/>
      <c r="HB3" s="973"/>
      <c r="HC3" s="973"/>
      <c r="HD3" s="973"/>
      <c r="HE3" s="973"/>
      <c r="HF3" s="973"/>
      <c r="HG3" s="973"/>
      <c r="HH3" s="973"/>
      <c r="HI3" s="973"/>
      <c r="HJ3" s="973"/>
      <c r="HK3" s="973"/>
      <c r="HL3" s="973"/>
      <c r="HM3" s="973"/>
      <c r="HN3" s="973"/>
      <c r="HO3" s="973"/>
      <c r="HP3" s="973"/>
      <c r="HQ3" s="973"/>
      <c r="HR3" s="973"/>
      <c r="HS3" s="973"/>
      <c r="HT3" s="973"/>
      <c r="HU3" s="973"/>
      <c r="HV3" s="973" t="s">
        <v>300</v>
      </c>
      <c r="HW3" s="973"/>
      <c r="HX3" s="973"/>
      <c r="HY3" s="973"/>
      <c r="HZ3" s="973"/>
      <c r="IA3" s="973"/>
      <c r="IB3" s="973"/>
      <c r="IC3" s="973"/>
      <c r="ID3" s="973"/>
      <c r="IE3" s="973"/>
      <c r="IF3" s="973"/>
      <c r="IG3" s="973"/>
      <c r="IH3" s="973"/>
      <c r="II3" s="973"/>
      <c r="IJ3" s="973"/>
      <c r="IK3" s="973"/>
      <c r="IL3" s="973"/>
      <c r="IM3" s="973"/>
      <c r="IN3" s="973"/>
      <c r="IO3" s="973"/>
      <c r="IP3" s="973" t="s">
        <v>301</v>
      </c>
      <c r="IQ3" s="973"/>
      <c r="IR3" s="973"/>
      <c r="IS3" s="973"/>
      <c r="IT3" s="973"/>
      <c r="IU3" s="973"/>
      <c r="IV3" s="973"/>
      <c r="IW3" s="973"/>
      <c r="IX3" s="973"/>
      <c r="IY3" s="973"/>
      <c r="IZ3" s="973"/>
      <c r="JA3" s="973"/>
      <c r="JB3" s="973"/>
      <c r="JC3" s="973"/>
      <c r="JD3" s="973"/>
      <c r="JE3" s="973"/>
      <c r="JF3" s="973"/>
      <c r="JG3" s="973"/>
      <c r="JH3" s="973"/>
      <c r="JI3" s="973"/>
      <c r="JJ3" s="973"/>
      <c r="JK3" s="973"/>
      <c r="JL3" s="973"/>
      <c r="JM3" s="973"/>
      <c r="JN3" s="973" t="s">
        <v>302</v>
      </c>
      <c r="JO3" s="973"/>
      <c r="JP3" s="973"/>
      <c r="JQ3" s="973"/>
      <c r="JR3" s="973"/>
      <c r="JS3" s="973"/>
      <c r="JT3" s="973"/>
      <c r="JU3" s="973"/>
      <c r="JV3" s="973"/>
      <c r="JW3" s="973"/>
      <c r="JX3" s="973"/>
      <c r="JY3" s="973"/>
      <c r="JZ3" s="973"/>
      <c r="KA3" s="973"/>
      <c r="KB3" s="973"/>
      <c r="KC3" s="973"/>
      <c r="KD3" s="973"/>
      <c r="KE3" s="973"/>
      <c r="KF3" s="973"/>
      <c r="KG3" s="973"/>
      <c r="KH3" s="975" t="s">
        <v>468</v>
      </c>
      <c r="KI3" s="975"/>
      <c r="KJ3" s="975"/>
      <c r="KK3" s="975"/>
      <c r="KL3" s="975"/>
      <c r="KM3" s="975"/>
      <c r="KN3" s="975"/>
      <c r="KO3" s="975"/>
      <c r="KP3" s="975"/>
      <c r="KQ3" s="975"/>
      <c r="KR3" s="975"/>
      <c r="KS3" s="975"/>
      <c r="KT3" s="975"/>
      <c r="KU3" s="975"/>
      <c r="KV3" s="975"/>
      <c r="KW3" s="975"/>
      <c r="KX3" s="975"/>
      <c r="KY3" s="975"/>
      <c r="KZ3" s="975"/>
      <c r="LA3" s="975"/>
      <c r="LB3" s="975"/>
      <c r="LC3" s="975"/>
      <c r="LD3" s="975"/>
      <c r="LE3" s="975"/>
      <c r="LF3" s="973" t="s">
        <v>337</v>
      </c>
      <c r="LG3" s="973"/>
      <c r="LH3" s="973"/>
      <c r="LI3" s="973"/>
      <c r="LJ3" s="973"/>
      <c r="LK3" s="973"/>
      <c r="LL3" s="973"/>
      <c r="LM3" s="973"/>
      <c r="LN3" s="973"/>
      <c r="LO3" s="973"/>
      <c r="LP3" s="973"/>
      <c r="LQ3" s="973"/>
      <c r="LR3" s="973"/>
      <c r="LS3" s="973"/>
      <c r="LT3" s="973"/>
      <c r="LU3" s="973"/>
      <c r="LV3" s="973"/>
      <c r="LW3" s="973"/>
      <c r="LX3" s="973"/>
      <c r="LY3" s="973"/>
      <c r="LZ3" s="973"/>
      <c r="MA3" s="973"/>
      <c r="MB3" s="973"/>
      <c r="MC3" s="973"/>
      <c r="MD3" s="973" t="s">
        <v>305</v>
      </c>
      <c r="ME3" s="973"/>
      <c r="MF3" s="973"/>
      <c r="MG3" s="973"/>
      <c r="MH3" s="973"/>
      <c r="MI3" s="973"/>
      <c r="MJ3" s="973"/>
      <c r="MK3" s="973"/>
      <c r="ML3" s="973"/>
      <c r="MM3" s="973"/>
      <c r="MN3" s="973"/>
      <c r="MO3" s="973"/>
      <c r="MP3" s="973"/>
      <c r="MQ3" s="973"/>
      <c r="MR3" s="973"/>
      <c r="MS3" s="973"/>
      <c r="MT3" s="973"/>
      <c r="MU3" s="973"/>
      <c r="MV3" s="973"/>
      <c r="MW3" s="973"/>
      <c r="MX3" s="973"/>
      <c r="MY3" s="973"/>
      <c r="MZ3" s="973"/>
      <c r="NA3" s="973"/>
      <c r="NB3" s="979" t="s">
        <v>306</v>
      </c>
      <c r="NC3" s="979"/>
      <c r="ND3" s="979"/>
      <c r="NE3" s="979"/>
      <c r="NF3" s="979"/>
      <c r="NG3" s="979"/>
      <c r="NH3" s="979"/>
      <c r="NI3" s="979"/>
      <c r="NJ3" s="979"/>
      <c r="NK3" s="979"/>
      <c r="NL3" s="979"/>
      <c r="NM3" s="979"/>
      <c r="NN3" s="979"/>
      <c r="NO3" s="979"/>
      <c r="NP3" s="979"/>
      <c r="NQ3" s="979"/>
      <c r="NR3" s="979"/>
      <c r="NS3" s="979"/>
      <c r="NT3" s="979"/>
      <c r="NU3" s="979"/>
      <c r="NV3" s="979"/>
      <c r="NW3" s="979"/>
      <c r="NX3" s="979"/>
      <c r="NY3" s="979"/>
      <c r="NZ3" s="973" t="s">
        <v>317</v>
      </c>
      <c r="OA3" s="973"/>
      <c r="OB3" s="973"/>
      <c r="OC3" s="973"/>
      <c r="OD3" s="973"/>
      <c r="OE3" s="973"/>
      <c r="OF3" s="973"/>
      <c r="OG3" s="973"/>
      <c r="OH3" s="973"/>
      <c r="OI3" s="973"/>
      <c r="OJ3" s="973"/>
      <c r="OK3" s="973"/>
      <c r="OL3" s="973"/>
      <c r="OM3" s="973"/>
      <c r="ON3" s="973"/>
      <c r="OO3" s="973"/>
      <c r="OP3" s="973"/>
      <c r="OQ3" s="973"/>
      <c r="OR3" s="973"/>
      <c r="OS3" s="973"/>
      <c r="OT3" s="973"/>
      <c r="OU3" s="973"/>
      <c r="OV3" s="973"/>
      <c r="OW3" s="973"/>
      <c r="OX3" s="973" t="s">
        <v>318</v>
      </c>
      <c r="OY3" s="973"/>
      <c r="OZ3" s="973"/>
      <c r="PA3" s="973"/>
      <c r="PB3" s="973"/>
      <c r="PC3" s="973"/>
      <c r="PD3" s="973"/>
      <c r="PE3" s="973"/>
      <c r="PF3" s="973"/>
      <c r="PG3" s="973"/>
      <c r="PH3" s="973"/>
      <c r="PI3" s="973"/>
      <c r="PJ3" s="973"/>
      <c r="PK3" s="973"/>
      <c r="PL3" s="973"/>
      <c r="PM3" s="973"/>
      <c r="PN3" s="973"/>
      <c r="PO3" s="973"/>
      <c r="PP3" s="973"/>
      <c r="PQ3" s="973"/>
      <c r="PR3" s="973"/>
      <c r="PS3" s="973"/>
      <c r="PT3" s="973"/>
      <c r="PU3" s="973"/>
      <c r="PV3" s="973" t="s">
        <v>340</v>
      </c>
      <c r="PW3" s="973"/>
      <c r="PX3" s="973"/>
      <c r="PY3" s="973"/>
      <c r="PZ3" s="973"/>
      <c r="QA3" s="973"/>
      <c r="QB3" s="973"/>
      <c r="QC3" s="973"/>
      <c r="QD3" s="973"/>
      <c r="QE3" s="973"/>
      <c r="QF3" s="973"/>
      <c r="QG3" s="973"/>
      <c r="QH3" s="973"/>
      <c r="QI3" s="973"/>
      <c r="QJ3" s="973"/>
      <c r="QK3" s="973"/>
      <c r="QL3" s="973"/>
      <c r="QM3" s="973"/>
      <c r="QN3" s="973"/>
      <c r="QO3" s="973"/>
      <c r="QP3" s="973" t="s">
        <v>308</v>
      </c>
      <c r="QQ3" s="973"/>
      <c r="QR3" s="973"/>
      <c r="QS3" s="973"/>
      <c r="QT3" s="973"/>
      <c r="QU3" s="973"/>
      <c r="QV3" s="973"/>
      <c r="QW3" s="973"/>
      <c r="QX3" s="973"/>
      <c r="QY3" s="973"/>
      <c r="QZ3" s="973"/>
      <c r="RA3" s="973"/>
      <c r="RB3" s="973"/>
      <c r="RC3" s="973"/>
      <c r="RD3" s="973"/>
      <c r="RE3" s="973"/>
      <c r="RF3" s="973"/>
      <c r="RG3" s="973"/>
      <c r="RH3" s="973"/>
      <c r="RI3" s="973"/>
      <c r="RJ3" s="973"/>
      <c r="RK3" s="973"/>
      <c r="RL3" s="973"/>
      <c r="RM3" s="973"/>
      <c r="RN3" s="973" t="s">
        <v>309</v>
      </c>
      <c r="RO3" s="973"/>
      <c r="RP3" s="973"/>
      <c r="RQ3" s="973"/>
      <c r="RR3" s="973"/>
      <c r="RS3" s="973"/>
      <c r="RT3" s="973"/>
      <c r="RU3" s="973"/>
      <c r="RV3" s="973"/>
      <c r="RW3" s="973"/>
      <c r="RX3" s="973"/>
      <c r="RY3" s="973"/>
      <c r="RZ3" s="973"/>
      <c r="SA3" s="973"/>
      <c r="SB3" s="973"/>
      <c r="SC3" s="973"/>
      <c r="SD3" s="973"/>
      <c r="SE3" s="973"/>
      <c r="SF3" s="973"/>
      <c r="SG3" s="973"/>
      <c r="SH3" s="973"/>
      <c r="SI3" s="973"/>
      <c r="SJ3" s="973"/>
      <c r="SK3" s="973"/>
      <c r="SL3" s="973" t="s">
        <v>310</v>
      </c>
      <c r="SM3" s="973"/>
      <c r="SN3" s="973"/>
      <c r="SO3" s="973"/>
      <c r="SP3" s="973"/>
      <c r="SQ3" s="973"/>
      <c r="SR3" s="973"/>
      <c r="SS3" s="973"/>
      <c r="ST3" s="973"/>
      <c r="SU3" s="973"/>
      <c r="SV3" s="973"/>
      <c r="SW3" s="973"/>
      <c r="SX3" s="973"/>
      <c r="SY3" s="973"/>
      <c r="SZ3" s="973"/>
      <c r="TA3" s="973"/>
      <c r="TB3" s="973"/>
      <c r="TC3" s="973"/>
      <c r="TD3" s="973"/>
      <c r="TE3" s="973"/>
      <c r="TF3" s="973"/>
      <c r="TG3" s="973"/>
      <c r="TH3" s="973"/>
      <c r="TI3" s="973"/>
      <c r="TJ3" s="979" t="s">
        <v>311</v>
      </c>
      <c r="TK3" s="979"/>
      <c r="TL3" s="979"/>
      <c r="TM3" s="979"/>
      <c r="TN3" s="979"/>
      <c r="TO3" s="979"/>
      <c r="TP3" s="979"/>
      <c r="TQ3" s="979"/>
      <c r="TR3" s="979"/>
      <c r="TS3" s="979"/>
      <c r="TT3" s="979"/>
      <c r="TU3" s="979"/>
      <c r="TV3" s="979"/>
      <c r="TW3" s="979"/>
      <c r="TX3" s="979"/>
      <c r="TY3" s="979"/>
      <c r="TZ3" s="979"/>
      <c r="UA3" s="979"/>
      <c r="UB3" s="979"/>
      <c r="UC3" s="979"/>
      <c r="UD3" s="979"/>
      <c r="UE3" s="979"/>
      <c r="UF3" s="979"/>
      <c r="UG3" s="979"/>
      <c r="UH3" s="973" t="s">
        <v>319</v>
      </c>
      <c r="UI3" s="973"/>
      <c r="UJ3" s="973"/>
      <c r="UK3" s="973"/>
      <c r="UL3" s="973"/>
      <c r="UM3" s="973"/>
      <c r="UN3" s="973"/>
      <c r="UO3" s="973"/>
      <c r="UP3" s="973"/>
      <c r="UQ3" s="973"/>
      <c r="UR3" s="973"/>
      <c r="US3" s="973"/>
      <c r="UT3" s="973"/>
      <c r="UU3" s="973"/>
      <c r="UV3" s="973"/>
      <c r="UW3" s="973"/>
      <c r="UX3" s="973"/>
      <c r="UY3" s="973"/>
      <c r="UZ3" s="973"/>
      <c r="VA3" s="973"/>
      <c r="VB3" s="973"/>
      <c r="VC3" s="973"/>
      <c r="VD3" s="973"/>
      <c r="VE3" s="973"/>
      <c r="VF3" s="973" t="s">
        <v>312</v>
      </c>
      <c r="VG3" s="973"/>
      <c r="VH3" s="973"/>
      <c r="VI3" s="973"/>
      <c r="VJ3" s="973"/>
      <c r="VK3" s="973"/>
      <c r="VL3" s="973"/>
      <c r="VM3" s="973"/>
      <c r="VN3" s="973"/>
      <c r="VO3" s="973"/>
      <c r="VP3" s="973"/>
      <c r="VQ3" s="973"/>
      <c r="VR3" s="973"/>
      <c r="VS3" s="973"/>
      <c r="VT3" s="973"/>
      <c r="VU3" s="973"/>
      <c r="VV3" s="973"/>
      <c r="VW3" s="973"/>
      <c r="VX3" s="973"/>
      <c r="VY3" s="973"/>
      <c r="VZ3" s="973"/>
      <c r="WA3" s="973"/>
      <c r="WB3" s="973"/>
      <c r="WC3" s="973"/>
      <c r="WD3" s="973" t="s">
        <v>320</v>
      </c>
      <c r="WE3" s="973"/>
      <c r="WF3" s="973"/>
      <c r="WG3" s="973"/>
      <c r="WH3" s="973"/>
      <c r="WI3" s="973"/>
      <c r="WJ3" s="973"/>
      <c r="WK3" s="973"/>
      <c r="WL3" s="973"/>
      <c r="WM3" s="973"/>
      <c r="WN3" s="973"/>
      <c r="WO3" s="973"/>
      <c r="WP3" s="973"/>
      <c r="WQ3" s="973"/>
      <c r="WR3" s="973"/>
      <c r="WS3" s="973"/>
      <c r="WT3" s="973"/>
      <c r="WU3" s="973"/>
      <c r="WV3" s="973"/>
      <c r="WW3" s="973"/>
      <c r="WX3" s="973"/>
      <c r="WY3" s="973"/>
      <c r="WZ3" s="973"/>
      <c r="XA3" s="973"/>
      <c r="XB3" s="973" t="s">
        <v>113</v>
      </c>
      <c r="XC3" s="973"/>
      <c r="XD3" s="973"/>
      <c r="XE3" s="973"/>
      <c r="XF3" s="973"/>
      <c r="XG3" s="973"/>
      <c r="XH3" s="973"/>
      <c r="XI3" s="973"/>
      <c r="XJ3" s="973"/>
      <c r="XK3" s="973"/>
      <c r="XL3" s="973"/>
      <c r="XM3" s="973"/>
      <c r="XN3" s="973"/>
      <c r="XO3" s="973"/>
      <c r="XP3" s="973"/>
      <c r="XQ3" s="973"/>
      <c r="XR3" s="973"/>
      <c r="XS3" s="973"/>
      <c r="XT3" s="973"/>
      <c r="XU3" s="973"/>
      <c r="XV3" s="973"/>
      <c r="XW3" s="973"/>
      <c r="XX3" s="973"/>
      <c r="XY3" s="973"/>
      <c r="XZ3" s="973" t="s">
        <v>328</v>
      </c>
      <c r="YA3" s="973"/>
      <c r="YB3" s="973"/>
      <c r="YC3" s="973"/>
      <c r="YD3" s="973"/>
      <c r="YE3" s="973"/>
      <c r="YF3" s="975" t="s">
        <v>469</v>
      </c>
      <c r="YG3" s="975"/>
      <c r="YH3" s="975"/>
      <c r="YI3" s="975"/>
      <c r="YJ3" s="975"/>
      <c r="YK3" s="975"/>
      <c r="YL3" s="975"/>
      <c r="YM3" s="975" t="s">
        <v>470</v>
      </c>
      <c r="YN3" s="975"/>
      <c r="YO3" s="975"/>
      <c r="YP3" s="975"/>
      <c r="YQ3" s="975"/>
      <c r="YR3" s="973" t="s">
        <v>325</v>
      </c>
      <c r="YS3" s="973"/>
      <c r="YT3" s="973"/>
      <c r="YU3" s="973"/>
      <c r="YV3" s="973"/>
      <c r="YW3" s="973"/>
      <c r="YX3" s="973"/>
      <c r="YY3" s="973" t="s">
        <v>506</v>
      </c>
      <c r="YZ3" s="973"/>
      <c r="ZA3" s="973"/>
      <c r="ZB3" s="973"/>
      <c r="ZC3" s="973"/>
      <c r="ZD3" s="973"/>
      <c r="ZE3" s="973"/>
      <c r="ZF3" s="973" t="s">
        <v>471</v>
      </c>
      <c r="ZG3" s="973"/>
      <c r="ZH3" s="973"/>
      <c r="ZI3" s="973"/>
      <c r="ZJ3" s="973" t="s">
        <v>327</v>
      </c>
      <c r="ZK3" s="973"/>
      <c r="ZL3" s="973"/>
      <c r="ZM3" s="973"/>
      <c r="ZN3" s="973"/>
      <c r="ZO3" s="973"/>
      <c r="ZP3" s="973"/>
      <c r="ZQ3" s="973" t="s">
        <v>119</v>
      </c>
      <c r="ZR3" s="973"/>
      <c r="ZS3" s="973"/>
      <c r="ZT3" s="973"/>
      <c r="ZU3" s="973"/>
      <c r="ZV3" s="973"/>
      <c r="ZW3" s="973"/>
      <c r="ZX3" s="973" t="s">
        <v>346</v>
      </c>
      <c r="ZY3" s="973"/>
      <c r="ZZ3" s="973"/>
      <c r="AAA3" s="973"/>
      <c r="AAB3" s="973"/>
      <c r="AAC3" s="973"/>
      <c r="AAD3" s="973"/>
      <c r="AAE3" s="973" t="s">
        <v>347</v>
      </c>
      <c r="AAF3" s="973"/>
      <c r="AAG3" s="973"/>
      <c r="AAH3" s="973"/>
      <c r="AAI3" s="973"/>
      <c r="AAJ3" s="973"/>
      <c r="AAK3" s="973"/>
      <c r="AAL3" s="974" t="s">
        <v>115</v>
      </c>
      <c r="AAM3" s="974"/>
      <c r="AAN3" s="974"/>
      <c r="AAO3" s="974"/>
      <c r="AAP3" s="974"/>
      <c r="AAQ3" s="974"/>
      <c r="AAR3" s="974"/>
      <c r="AAS3" s="408"/>
      <c r="AAT3" s="408"/>
      <c r="AAU3" s="408"/>
      <c r="AAV3" s="408"/>
      <c r="AAW3" s="408"/>
      <c r="AAX3" s="408"/>
      <c r="AAY3" s="408"/>
      <c r="AAZ3" s="408"/>
      <c r="ABA3" s="408"/>
      <c r="ABB3" s="408"/>
      <c r="ABC3" s="408"/>
      <c r="ABD3" s="408"/>
      <c r="ABE3" s="408"/>
      <c r="ABF3" s="408"/>
      <c r="ABG3" s="408"/>
      <c r="ABH3" s="408"/>
      <c r="ABI3" s="408"/>
      <c r="ABJ3" s="408"/>
      <c r="ABK3" s="408"/>
      <c r="ABL3" s="408"/>
      <c r="ABM3" s="408"/>
      <c r="ABN3" s="408"/>
      <c r="ABO3" s="408"/>
      <c r="ABP3" s="408"/>
      <c r="ABQ3" s="408"/>
      <c r="ABR3" s="408"/>
      <c r="ABS3" s="408"/>
      <c r="ABT3" s="408"/>
      <c r="ABU3" s="408"/>
      <c r="ABV3" s="408"/>
      <c r="ABW3" s="408"/>
      <c r="ABX3" s="408"/>
    </row>
    <row r="4" spans="1:752" s="499" customFormat="1" ht="15" customHeight="1" x14ac:dyDescent="0.25">
      <c r="A4" s="977"/>
      <c r="B4" s="978" t="s">
        <v>51</v>
      </c>
      <c r="C4" s="978"/>
      <c r="D4" s="978"/>
      <c r="E4" s="978"/>
      <c r="F4" s="978" t="s">
        <v>87</v>
      </c>
      <c r="G4" s="978"/>
      <c r="H4" s="978"/>
      <c r="I4" s="978"/>
      <c r="J4" s="978" t="s">
        <v>20</v>
      </c>
      <c r="K4" s="978"/>
      <c r="L4" s="978"/>
      <c r="M4" s="978"/>
      <c r="N4" s="978" t="s">
        <v>99</v>
      </c>
      <c r="O4" s="978"/>
      <c r="P4" s="978"/>
      <c r="Q4" s="978"/>
      <c r="R4" s="973" t="s">
        <v>103</v>
      </c>
      <c r="S4" s="973"/>
      <c r="T4" s="973"/>
      <c r="U4" s="973"/>
      <c r="V4" s="973" t="s">
        <v>415</v>
      </c>
      <c r="W4" s="973"/>
      <c r="X4" s="973"/>
      <c r="Y4" s="973"/>
      <c r="Z4" s="973" t="s">
        <v>507</v>
      </c>
      <c r="AA4" s="973"/>
      <c r="AB4" s="973"/>
      <c r="AC4" s="973"/>
      <c r="AD4" s="978" t="s">
        <v>51</v>
      </c>
      <c r="AE4" s="978"/>
      <c r="AF4" s="978"/>
      <c r="AG4" s="978"/>
      <c r="AH4" s="978" t="s">
        <v>87</v>
      </c>
      <c r="AI4" s="978"/>
      <c r="AJ4" s="978"/>
      <c r="AK4" s="978"/>
      <c r="AL4" s="978" t="s">
        <v>20</v>
      </c>
      <c r="AM4" s="978"/>
      <c r="AN4" s="978"/>
      <c r="AO4" s="978"/>
      <c r="AP4" s="978" t="s">
        <v>99</v>
      </c>
      <c r="AQ4" s="978"/>
      <c r="AR4" s="978"/>
      <c r="AS4" s="978"/>
      <c r="AT4" s="973" t="s">
        <v>103</v>
      </c>
      <c r="AU4" s="973"/>
      <c r="AV4" s="973"/>
      <c r="AW4" s="973"/>
      <c r="AX4" s="975" t="s">
        <v>415</v>
      </c>
      <c r="AY4" s="973"/>
      <c r="AZ4" s="973"/>
      <c r="BA4" s="973"/>
      <c r="BB4" s="975" t="s">
        <v>507</v>
      </c>
      <c r="BC4" s="973"/>
      <c r="BD4" s="973"/>
      <c r="BE4" s="973"/>
      <c r="BF4" s="978" t="s">
        <v>51</v>
      </c>
      <c r="BG4" s="978"/>
      <c r="BH4" s="978"/>
      <c r="BI4" s="978"/>
      <c r="BJ4" s="978" t="s">
        <v>87</v>
      </c>
      <c r="BK4" s="978"/>
      <c r="BL4" s="978"/>
      <c r="BM4" s="978"/>
      <c r="BN4" s="978" t="s">
        <v>20</v>
      </c>
      <c r="BO4" s="978"/>
      <c r="BP4" s="978"/>
      <c r="BQ4" s="978"/>
      <c r="BR4" s="978" t="s">
        <v>99</v>
      </c>
      <c r="BS4" s="978"/>
      <c r="BT4" s="978"/>
      <c r="BU4" s="978"/>
      <c r="BV4" s="973" t="s">
        <v>103</v>
      </c>
      <c r="BW4" s="973"/>
      <c r="BX4" s="973"/>
      <c r="BY4" s="973"/>
      <c r="BZ4" s="975" t="s">
        <v>415</v>
      </c>
      <c r="CA4" s="973"/>
      <c r="CB4" s="973"/>
      <c r="CC4" s="973"/>
      <c r="CD4" s="975" t="s">
        <v>507</v>
      </c>
      <c r="CE4" s="973"/>
      <c r="CF4" s="973"/>
      <c r="CG4" s="973"/>
      <c r="CH4" s="978" t="s">
        <v>51</v>
      </c>
      <c r="CI4" s="978"/>
      <c r="CJ4" s="978"/>
      <c r="CK4" s="978"/>
      <c r="CL4" s="978" t="s">
        <v>87</v>
      </c>
      <c r="CM4" s="978"/>
      <c r="CN4" s="978"/>
      <c r="CO4" s="978"/>
      <c r="CP4" s="978" t="s">
        <v>20</v>
      </c>
      <c r="CQ4" s="978"/>
      <c r="CR4" s="978"/>
      <c r="CS4" s="978"/>
      <c r="CT4" s="978" t="s">
        <v>99</v>
      </c>
      <c r="CU4" s="978"/>
      <c r="CV4" s="978"/>
      <c r="CW4" s="978"/>
      <c r="CX4" s="973" t="s">
        <v>103</v>
      </c>
      <c r="CY4" s="973"/>
      <c r="CZ4" s="973"/>
      <c r="DA4" s="973"/>
      <c r="DB4" s="975" t="s">
        <v>415</v>
      </c>
      <c r="DC4" s="973"/>
      <c r="DD4" s="973"/>
      <c r="DE4" s="973"/>
      <c r="DF4" s="975" t="s">
        <v>507</v>
      </c>
      <c r="DG4" s="973"/>
      <c r="DH4" s="973"/>
      <c r="DI4" s="973"/>
      <c r="DJ4" s="978" t="s">
        <v>51</v>
      </c>
      <c r="DK4" s="978"/>
      <c r="DL4" s="978"/>
      <c r="DM4" s="978"/>
      <c r="DN4" s="978" t="s">
        <v>87</v>
      </c>
      <c r="DO4" s="978"/>
      <c r="DP4" s="978"/>
      <c r="DQ4" s="978"/>
      <c r="DR4" s="978" t="s">
        <v>20</v>
      </c>
      <c r="DS4" s="978"/>
      <c r="DT4" s="978"/>
      <c r="DU4" s="978"/>
      <c r="DV4" s="984" t="s">
        <v>99</v>
      </c>
      <c r="DW4" s="984"/>
      <c r="DX4" s="984"/>
      <c r="DY4" s="984"/>
      <c r="DZ4" s="973" t="s">
        <v>103</v>
      </c>
      <c r="EA4" s="973"/>
      <c r="EB4" s="973"/>
      <c r="EC4" s="973"/>
      <c r="ED4" s="975" t="s">
        <v>415</v>
      </c>
      <c r="EE4" s="973"/>
      <c r="EF4" s="973"/>
      <c r="EG4" s="973"/>
      <c r="EH4" s="975" t="s">
        <v>507</v>
      </c>
      <c r="EI4" s="973"/>
      <c r="EJ4" s="973"/>
      <c r="EK4" s="973"/>
      <c r="EL4" s="978" t="s">
        <v>20</v>
      </c>
      <c r="EM4" s="978"/>
      <c r="EN4" s="978"/>
      <c r="EO4" s="978"/>
      <c r="EP4" s="978" t="s">
        <v>99</v>
      </c>
      <c r="EQ4" s="978"/>
      <c r="ER4" s="978"/>
      <c r="ES4" s="978"/>
      <c r="ET4" s="973" t="s">
        <v>103</v>
      </c>
      <c r="EU4" s="973"/>
      <c r="EV4" s="973"/>
      <c r="EW4" s="973"/>
      <c r="EX4" s="973" t="s">
        <v>415</v>
      </c>
      <c r="EY4" s="973"/>
      <c r="EZ4" s="973"/>
      <c r="FA4" s="973"/>
      <c r="FB4" s="973" t="s">
        <v>507</v>
      </c>
      <c r="FC4" s="973"/>
      <c r="FD4" s="973"/>
      <c r="FE4" s="973"/>
      <c r="FF4" s="978" t="s">
        <v>87</v>
      </c>
      <c r="FG4" s="978"/>
      <c r="FH4" s="978"/>
      <c r="FI4" s="978"/>
      <c r="FJ4" s="978" t="s">
        <v>20</v>
      </c>
      <c r="FK4" s="978"/>
      <c r="FL4" s="978"/>
      <c r="FM4" s="978"/>
      <c r="FN4" s="978" t="s">
        <v>99</v>
      </c>
      <c r="FO4" s="978"/>
      <c r="FP4" s="978"/>
      <c r="FQ4" s="978"/>
      <c r="FR4" s="973" t="s">
        <v>103</v>
      </c>
      <c r="FS4" s="973"/>
      <c r="FT4" s="973"/>
      <c r="FU4" s="973"/>
      <c r="FV4" s="973" t="s">
        <v>415</v>
      </c>
      <c r="FW4" s="973"/>
      <c r="FX4" s="973"/>
      <c r="FY4" s="973"/>
      <c r="FZ4" s="973" t="s">
        <v>507</v>
      </c>
      <c r="GA4" s="973"/>
      <c r="GB4" s="973"/>
      <c r="GC4" s="973"/>
      <c r="GD4" s="978" t="s">
        <v>87</v>
      </c>
      <c r="GE4" s="978"/>
      <c r="GF4" s="978"/>
      <c r="GG4" s="978"/>
      <c r="GH4" s="978" t="s">
        <v>20</v>
      </c>
      <c r="GI4" s="978"/>
      <c r="GJ4" s="978"/>
      <c r="GK4" s="978"/>
      <c r="GL4" s="978" t="s">
        <v>99</v>
      </c>
      <c r="GM4" s="978"/>
      <c r="GN4" s="978"/>
      <c r="GO4" s="978"/>
      <c r="GP4" s="973" t="s">
        <v>103</v>
      </c>
      <c r="GQ4" s="973"/>
      <c r="GR4" s="973"/>
      <c r="GS4" s="973"/>
      <c r="GT4" s="973" t="s">
        <v>415</v>
      </c>
      <c r="GU4" s="973"/>
      <c r="GV4" s="973"/>
      <c r="GW4" s="973"/>
      <c r="GX4" s="978" t="s">
        <v>87</v>
      </c>
      <c r="GY4" s="978"/>
      <c r="GZ4" s="978"/>
      <c r="HA4" s="978"/>
      <c r="HB4" s="978" t="s">
        <v>20</v>
      </c>
      <c r="HC4" s="978"/>
      <c r="HD4" s="978"/>
      <c r="HE4" s="978"/>
      <c r="HF4" s="978" t="s">
        <v>99</v>
      </c>
      <c r="HG4" s="978"/>
      <c r="HH4" s="978"/>
      <c r="HI4" s="978"/>
      <c r="HJ4" s="973" t="s">
        <v>103</v>
      </c>
      <c r="HK4" s="973"/>
      <c r="HL4" s="973"/>
      <c r="HM4" s="973"/>
      <c r="HN4" s="973" t="s">
        <v>415</v>
      </c>
      <c r="HO4" s="973"/>
      <c r="HP4" s="973"/>
      <c r="HQ4" s="973"/>
      <c r="HR4" s="973" t="s">
        <v>507</v>
      </c>
      <c r="HS4" s="973"/>
      <c r="HT4" s="973"/>
      <c r="HU4" s="973"/>
      <c r="HV4" s="978" t="s">
        <v>20</v>
      </c>
      <c r="HW4" s="978"/>
      <c r="HX4" s="978"/>
      <c r="HY4" s="978"/>
      <c r="HZ4" s="978" t="s">
        <v>99</v>
      </c>
      <c r="IA4" s="978"/>
      <c r="IB4" s="978"/>
      <c r="IC4" s="978"/>
      <c r="ID4" s="973" t="s">
        <v>103</v>
      </c>
      <c r="IE4" s="973"/>
      <c r="IF4" s="973"/>
      <c r="IG4" s="973"/>
      <c r="IH4" s="973" t="s">
        <v>415</v>
      </c>
      <c r="II4" s="973"/>
      <c r="IJ4" s="973"/>
      <c r="IK4" s="973"/>
      <c r="IL4" s="973" t="s">
        <v>507</v>
      </c>
      <c r="IM4" s="973"/>
      <c r="IN4" s="973"/>
      <c r="IO4" s="973"/>
      <c r="IP4" s="978" t="s">
        <v>87</v>
      </c>
      <c r="IQ4" s="978"/>
      <c r="IR4" s="978"/>
      <c r="IS4" s="978"/>
      <c r="IT4" s="978" t="s">
        <v>20</v>
      </c>
      <c r="IU4" s="978"/>
      <c r="IV4" s="978"/>
      <c r="IW4" s="978"/>
      <c r="IX4" s="978" t="s">
        <v>99</v>
      </c>
      <c r="IY4" s="978"/>
      <c r="IZ4" s="978"/>
      <c r="JA4" s="978"/>
      <c r="JB4" s="973" t="s">
        <v>103</v>
      </c>
      <c r="JC4" s="973"/>
      <c r="JD4" s="973"/>
      <c r="JE4" s="973"/>
      <c r="JF4" s="973" t="s">
        <v>415</v>
      </c>
      <c r="JG4" s="973"/>
      <c r="JH4" s="973"/>
      <c r="JI4" s="973"/>
      <c r="JJ4" s="973" t="s">
        <v>507</v>
      </c>
      <c r="JK4" s="973"/>
      <c r="JL4" s="973"/>
      <c r="JM4" s="973"/>
      <c r="JN4" s="978" t="s">
        <v>20</v>
      </c>
      <c r="JO4" s="978"/>
      <c r="JP4" s="978"/>
      <c r="JQ4" s="978"/>
      <c r="JR4" s="978" t="s">
        <v>99</v>
      </c>
      <c r="JS4" s="978"/>
      <c r="JT4" s="978"/>
      <c r="JU4" s="978"/>
      <c r="JV4" s="973" t="s">
        <v>103</v>
      </c>
      <c r="JW4" s="973"/>
      <c r="JX4" s="973"/>
      <c r="JY4" s="973"/>
      <c r="JZ4" s="973" t="s">
        <v>415</v>
      </c>
      <c r="KA4" s="973"/>
      <c r="KB4" s="973"/>
      <c r="KC4" s="973"/>
      <c r="KD4" s="973" t="s">
        <v>507</v>
      </c>
      <c r="KE4" s="973"/>
      <c r="KF4" s="973"/>
      <c r="KG4" s="973"/>
      <c r="KH4" s="978" t="s">
        <v>87</v>
      </c>
      <c r="KI4" s="978"/>
      <c r="KJ4" s="978"/>
      <c r="KK4" s="978"/>
      <c r="KL4" s="978" t="s">
        <v>20</v>
      </c>
      <c r="KM4" s="978"/>
      <c r="KN4" s="978"/>
      <c r="KO4" s="978"/>
      <c r="KP4" s="978" t="s">
        <v>99</v>
      </c>
      <c r="KQ4" s="978"/>
      <c r="KR4" s="978"/>
      <c r="KS4" s="978"/>
      <c r="KT4" s="973" t="s">
        <v>103</v>
      </c>
      <c r="KU4" s="973"/>
      <c r="KV4" s="973"/>
      <c r="KW4" s="973"/>
      <c r="KX4" s="973" t="s">
        <v>415</v>
      </c>
      <c r="KY4" s="973"/>
      <c r="KZ4" s="973"/>
      <c r="LA4" s="973"/>
      <c r="LB4" s="973" t="s">
        <v>507</v>
      </c>
      <c r="LC4" s="973"/>
      <c r="LD4" s="973"/>
      <c r="LE4" s="973"/>
      <c r="LF4" s="978" t="s">
        <v>87</v>
      </c>
      <c r="LG4" s="978"/>
      <c r="LH4" s="978"/>
      <c r="LI4" s="978"/>
      <c r="LJ4" s="978" t="s">
        <v>20</v>
      </c>
      <c r="LK4" s="978"/>
      <c r="LL4" s="978"/>
      <c r="LM4" s="978"/>
      <c r="LN4" s="978" t="s">
        <v>99</v>
      </c>
      <c r="LO4" s="978"/>
      <c r="LP4" s="978"/>
      <c r="LQ4" s="978"/>
      <c r="LR4" s="973" t="s">
        <v>103</v>
      </c>
      <c r="LS4" s="973"/>
      <c r="LT4" s="973"/>
      <c r="LU4" s="973"/>
      <c r="LV4" s="973" t="s">
        <v>415</v>
      </c>
      <c r="LW4" s="973"/>
      <c r="LX4" s="973"/>
      <c r="LY4" s="973"/>
      <c r="LZ4" s="973" t="s">
        <v>507</v>
      </c>
      <c r="MA4" s="973"/>
      <c r="MB4" s="973"/>
      <c r="MC4" s="973"/>
      <c r="MD4" s="978" t="s">
        <v>87</v>
      </c>
      <c r="ME4" s="978"/>
      <c r="MF4" s="978"/>
      <c r="MG4" s="978"/>
      <c r="MH4" s="978" t="s">
        <v>20</v>
      </c>
      <c r="MI4" s="978"/>
      <c r="MJ4" s="978"/>
      <c r="MK4" s="978"/>
      <c r="ML4" s="978" t="s">
        <v>99</v>
      </c>
      <c r="MM4" s="978"/>
      <c r="MN4" s="978"/>
      <c r="MO4" s="978"/>
      <c r="MP4" s="973" t="s">
        <v>103</v>
      </c>
      <c r="MQ4" s="973"/>
      <c r="MR4" s="973"/>
      <c r="MS4" s="973"/>
      <c r="MT4" s="973" t="s">
        <v>415</v>
      </c>
      <c r="MU4" s="973"/>
      <c r="MV4" s="973"/>
      <c r="MW4" s="973"/>
      <c r="MX4" s="973" t="s">
        <v>507</v>
      </c>
      <c r="MY4" s="973"/>
      <c r="MZ4" s="973"/>
      <c r="NA4" s="973"/>
      <c r="NB4" s="978" t="s">
        <v>87</v>
      </c>
      <c r="NC4" s="978"/>
      <c r="ND4" s="978"/>
      <c r="NE4" s="978"/>
      <c r="NF4" s="978" t="s">
        <v>20</v>
      </c>
      <c r="NG4" s="978"/>
      <c r="NH4" s="978"/>
      <c r="NI4" s="978"/>
      <c r="NJ4" s="978" t="s">
        <v>99</v>
      </c>
      <c r="NK4" s="978"/>
      <c r="NL4" s="978"/>
      <c r="NM4" s="978"/>
      <c r="NN4" s="973" t="s">
        <v>103</v>
      </c>
      <c r="NO4" s="973"/>
      <c r="NP4" s="973"/>
      <c r="NQ4" s="973"/>
      <c r="NR4" s="973" t="s">
        <v>415</v>
      </c>
      <c r="NS4" s="973"/>
      <c r="NT4" s="973"/>
      <c r="NU4" s="973"/>
      <c r="NV4" s="973" t="s">
        <v>507</v>
      </c>
      <c r="NW4" s="973"/>
      <c r="NX4" s="973"/>
      <c r="NY4" s="973"/>
      <c r="NZ4" s="978" t="s">
        <v>87</v>
      </c>
      <c r="OA4" s="978"/>
      <c r="OB4" s="978"/>
      <c r="OC4" s="978"/>
      <c r="OD4" s="978" t="s">
        <v>20</v>
      </c>
      <c r="OE4" s="978"/>
      <c r="OF4" s="978"/>
      <c r="OG4" s="978"/>
      <c r="OH4" s="978" t="s">
        <v>99</v>
      </c>
      <c r="OI4" s="978"/>
      <c r="OJ4" s="978"/>
      <c r="OK4" s="978"/>
      <c r="OL4" s="973" t="s">
        <v>103</v>
      </c>
      <c r="OM4" s="973"/>
      <c r="ON4" s="973"/>
      <c r="OO4" s="973"/>
      <c r="OP4" s="973" t="s">
        <v>415</v>
      </c>
      <c r="OQ4" s="973"/>
      <c r="OR4" s="973"/>
      <c r="OS4" s="973"/>
      <c r="OT4" s="973" t="s">
        <v>507</v>
      </c>
      <c r="OU4" s="973"/>
      <c r="OV4" s="973"/>
      <c r="OW4" s="973"/>
      <c r="OX4" s="978" t="s">
        <v>87</v>
      </c>
      <c r="OY4" s="978"/>
      <c r="OZ4" s="978"/>
      <c r="PA4" s="978"/>
      <c r="PB4" s="978" t="s">
        <v>20</v>
      </c>
      <c r="PC4" s="978"/>
      <c r="PD4" s="978"/>
      <c r="PE4" s="978"/>
      <c r="PF4" s="978" t="s">
        <v>99</v>
      </c>
      <c r="PG4" s="978"/>
      <c r="PH4" s="978"/>
      <c r="PI4" s="978"/>
      <c r="PJ4" s="973" t="s">
        <v>103</v>
      </c>
      <c r="PK4" s="973"/>
      <c r="PL4" s="973"/>
      <c r="PM4" s="973"/>
      <c r="PN4" s="973" t="s">
        <v>415</v>
      </c>
      <c r="PO4" s="973"/>
      <c r="PP4" s="973"/>
      <c r="PQ4" s="973"/>
      <c r="PR4" s="973" t="s">
        <v>507</v>
      </c>
      <c r="PS4" s="973"/>
      <c r="PT4" s="973"/>
      <c r="PU4" s="973"/>
      <c r="PV4" s="978" t="s">
        <v>20</v>
      </c>
      <c r="PW4" s="978"/>
      <c r="PX4" s="978"/>
      <c r="PY4" s="978"/>
      <c r="PZ4" s="978" t="s">
        <v>99</v>
      </c>
      <c r="QA4" s="978"/>
      <c r="QB4" s="978"/>
      <c r="QC4" s="978"/>
      <c r="QD4" s="973" t="s">
        <v>103</v>
      </c>
      <c r="QE4" s="973"/>
      <c r="QF4" s="973"/>
      <c r="QG4" s="973"/>
      <c r="QH4" s="973" t="s">
        <v>415</v>
      </c>
      <c r="QI4" s="973"/>
      <c r="QJ4" s="973"/>
      <c r="QK4" s="973"/>
      <c r="QL4" s="973" t="s">
        <v>507</v>
      </c>
      <c r="QM4" s="973"/>
      <c r="QN4" s="973"/>
      <c r="QO4" s="973"/>
      <c r="QP4" s="978" t="s">
        <v>87</v>
      </c>
      <c r="QQ4" s="978"/>
      <c r="QR4" s="978"/>
      <c r="QS4" s="978"/>
      <c r="QT4" s="978" t="s">
        <v>20</v>
      </c>
      <c r="QU4" s="978"/>
      <c r="QV4" s="978"/>
      <c r="QW4" s="978"/>
      <c r="QX4" s="978" t="s">
        <v>99</v>
      </c>
      <c r="QY4" s="978"/>
      <c r="QZ4" s="978"/>
      <c r="RA4" s="978"/>
      <c r="RB4" s="973" t="s">
        <v>103</v>
      </c>
      <c r="RC4" s="973"/>
      <c r="RD4" s="973"/>
      <c r="RE4" s="973"/>
      <c r="RF4" s="973" t="s">
        <v>415</v>
      </c>
      <c r="RG4" s="973"/>
      <c r="RH4" s="973"/>
      <c r="RI4" s="973"/>
      <c r="RJ4" s="973" t="s">
        <v>507</v>
      </c>
      <c r="RK4" s="973"/>
      <c r="RL4" s="973"/>
      <c r="RM4" s="973"/>
      <c r="RN4" s="978" t="s">
        <v>87</v>
      </c>
      <c r="RO4" s="978"/>
      <c r="RP4" s="978"/>
      <c r="RQ4" s="978"/>
      <c r="RR4" s="978" t="s">
        <v>20</v>
      </c>
      <c r="RS4" s="978"/>
      <c r="RT4" s="978"/>
      <c r="RU4" s="978"/>
      <c r="RV4" s="978" t="s">
        <v>99</v>
      </c>
      <c r="RW4" s="978"/>
      <c r="RX4" s="978"/>
      <c r="RY4" s="978"/>
      <c r="RZ4" s="973" t="s">
        <v>103</v>
      </c>
      <c r="SA4" s="973"/>
      <c r="SB4" s="973"/>
      <c r="SC4" s="973"/>
      <c r="SD4" s="973" t="s">
        <v>415</v>
      </c>
      <c r="SE4" s="973"/>
      <c r="SF4" s="973"/>
      <c r="SG4" s="973"/>
      <c r="SH4" s="973" t="s">
        <v>507</v>
      </c>
      <c r="SI4" s="973"/>
      <c r="SJ4" s="973"/>
      <c r="SK4" s="973"/>
      <c r="SL4" s="978" t="s">
        <v>87</v>
      </c>
      <c r="SM4" s="978"/>
      <c r="SN4" s="978"/>
      <c r="SO4" s="978"/>
      <c r="SP4" s="978" t="s">
        <v>20</v>
      </c>
      <c r="SQ4" s="978"/>
      <c r="SR4" s="978"/>
      <c r="SS4" s="978"/>
      <c r="ST4" s="978" t="s">
        <v>99</v>
      </c>
      <c r="SU4" s="978"/>
      <c r="SV4" s="978"/>
      <c r="SW4" s="978"/>
      <c r="SX4" s="973" t="s">
        <v>103</v>
      </c>
      <c r="SY4" s="973"/>
      <c r="SZ4" s="973"/>
      <c r="TA4" s="973"/>
      <c r="TB4" s="973" t="s">
        <v>415</v>
      </c>
      <c r="TC4" s="973"/>
      <c r="TD4" s="973"/>
      <c r="TE4" s="973"/>
      <c r="TF4" s="973" t="s">
        <v>507</v>
      </c>
      <c r="TG4" s="973"/>
      <c r="TH4" s="973"/>
      <c r="TI4" s="973"/>
      <c r="TJ4" s="978" t="s">
        <v>87</v>
      </c>
      <c r="TK4" s="978"/>
      <c r="TL4" s="978"/>
      <c r="TM4" s="978"/>
      <c r="TN4" s="978" t="s">
        <v>20</v>
      </c>
      <c r="TO4" s="978"/>
      <c r="TP4" s="978"/>
      <c r="TQ4" s="978"/>
      <c r="TR4" s="978" t="s">
        <v>99</v>
      </c>
      <c r="TS4" s="978"/>
      <c r="TT4" s="978"/>
      <c r="TU4" s="978"/>
      <c r="TV4" s="973" t="s">
        <v>103</v>
      </c>
      <c r="TW4" s="973"/>
      <c r="TX4" s="973"/>
      <c r="TY4" s="973"/>
      <c r="TZ4" s="973" t="s">
        <v>415</v>
      </c>
      <c r="UA4" s="973"/>
      <c r="UB4" s="973"/>
      <c r="UC4" s="973"/>
      <c r="UD4" s="973" t="s">
        <v>507</v>
      </c>
      <c r="UE4" s="973"/>
      <c r="UF4" s="973"/>
      <c r="UG4" s="973"/>
      <c r="UH4" s="978" t="s">
        <v>87</v>
      </c>
      <c r="UI4" s="978"/>
      <c r="UJ4" s="978"/>
      <c r="UK4" s="978"/>
      <c r="UL4" s="978" t="s">
        <v>20</v>
      </c>
      <c r="UM4" s="978"/>
      <c r="UN4" s="978"/>
      <c r="UO4" s="978"/>
      <c r="UP4" s="978" t="s">
        <v>99</v>
      </c>
      <c r="UQ4" s="978"/>
      <c r="UR4" s="978"/>
      <c r="US4" s="978"/>
      <c r="UT4" s="973" t="s">
        <v>103</v>
      </c>
      <c r="UU4" s="973"/>
      <c r="UV4" s="973"/>
      <c r="UW4" s="973"/>
      <c r="UX4" s="973" t="s">
        <v>415</v>
      </c>
      <c r="UY4" s="973"/>
      <c r="UZ4" s="973"/>
      <c r="VA4" s="973"/>
      <c r="VB4" s="973" t="s">
        <v>507</v>
      </c>
      <c r="VC4" s="973"/>
      <c r="VD4" s="973"/>
      <c r="VE4" s="973"/>
      <c r="VF4" s="978" t="s">
        <v>87</v>
      </c>
      <c r="VG4" s="978"/>
      <c r="VH4" s="978"/>
      <c r="VI4" s="978"/>
      <c r="VJ4" s="978" t="s">
        <v>20</v>
      </c>
      <c r="VK4" s="978"/>
      <c r="VL4" s="978"/>
      <c r="VM4" s="978"/>
      <c r="VN4" s="978" t="s">
        <v>99</v>
      </c>
      <c r="VO4" s="978"/>
      <c r="VP4" s="978"/>
      <c r="VQ4" s="978"/>
      <c r="VR4" s="973" t="s">
        <v>103</v>
      </c>
      <c r="VS4" s="973"/>
      <c r="VT4" s="973"/>
      <c r="VU4" s="973"/>
      <c r="VV4" s="973" t="s">
        <v>415</v>
      </c>
      <c r="VW4" s="973"/>
      <c r="VX4" s="973"/>
      <c r="VY4" s="973"/>
      <c r="VZ4" s="973" t="s">
        <v>507</v>
      </c>
      <c r="WA4" s="973"/>
      <c r="WB4" s="973"/>
      <c r="WC4" s="973"/>
      <c r="WD4" s="978" t="s">
        <v>87</v>
      </c>
      <c r="WE4" s="978"/>
      <c r="WF4" s="978"/>
      <c r="WG4" s="978"/>
      <c r="WH4" s="978" t="s">
        <v>20</v>
      </c>
      <c r="WI4" s="978"/>
      <c r="WJ4" s="978"/>
      <c r="WK4" s="978"/>
      <c r="WL4" s="978" t="s">
        <v>99</v>
      </c>
      <c r="WM4" s="978"/>
      <c r="WN4" s="978"/>
      <c r="WO4" s="978"/>
      <c r="WP4" s="973" t="s">
        <v>103</v>
      </c>
      <c r="WQ4" s="973"/>
      <c r="WR4" s="973"/>
      <c r="WS4" s="973"/>
      <c r="WT4" s="973" t="s">
        <v>415</v>
      </c>
      <c r="WU4" s="973"/>
      <c r="WV4" s="973"/>
      <c r="WW4" s="973"/>
      <c r="WX4" s="973" t="s">
        <v>507</v>
      </c>
      <c r="WY4" s="973"/>
      <c r="WZ4" s="973"/>
      <c r="XA4" s="973"/>
      <c r="XB4" s="978" t="s">
        <v>87</v>
      </c>
      <c r="XC4" s="978"/>
      <c r="XD4" s="978"/>
      <c r="XE4" s="978"/>
      <c r="XF4" s="978" t="s">
        <v>20</v>
      </c>
      <c r="XG4" s="978"/>
      <c r="XH4" s="978"/>
      <c r="XI4" s="978"/>
      <c r="XJ4" s="983" t="s">
        <v>99</v>
      </c>
      <c r="XK4" s="983"/>
      <c r="XL4" s="983"/>
      <c r="XM4" s="983"/>
      <c r="XN4" s="973" t="s">
        <v>103</v>
      </c>
      <c r="XO4" s="973"/>
      <c r="XP4" s="973"/>
      <c r="XQ4" s="973"/>
      <c r="XR4" s="975" t="s">
        <v>415</v>
      </c>
      <c r="XS4" s="973"/>
      <c r="XT4" s="973"/>
      <c r="XU4" s="973"/>
      <c r="XV4" s="975" t="s">
        <v>507</v>
      </c>
      <c r="XW4" s="973"/>
      <c r="XX4" s="973"/>
      <c r="XY4" s="973"/>
      <c r="XZ4" s="444" t="s">
        <v>87</v>
      </c>
      <c r="YA4" s="444" t="s">
        <v>20</v>
      </c>
      <c r="YB4" s="444" t="s">
        <v>99</v>
      </c>
      <c r="YC4" s="500" t="s">
        <v>103</v>
      </c>
      <c r="YD4" s="811" t="s">
        <v>415</v>
      </c>
      <c r="YE4" s="501" t="s">
        <v>507</v>
      </c>
      <c r="YF4" s="444" t="s">
        <v>51</v>
      </c>
      <c r="YG4" s="444" t="s">
        <v>87</v>
      </c>
      <c r="YH4" s="444" t="s">
        <v>20</v>
      </c>
      <c r="YI4" s="444" t="s">
        <v>99</v>
      </c>
      <c r="YJ4" s="500" t="s">
        <v>103</v>
      </c>
      <c r="YK4" s="811" t="s">
        <v>415</v>
      </c>
      <c r="YL4" s="811" t="s">
        <v>507</v>
      </c>
      <c r="YM4" s="444" t="s">
        <v>51</v>
      </c>
      <c r="YN4" s="444" t="s">
        <v>87</v>
      </c>
      <c r="YO4" s="444" t="s">
        <v>20</v>
      </c>
      <c r="YP4" s="444" t="s">
        <v>99</v>
      </c>
      <c r="YQ4" s="500" t="s">
        <v>103</v>
      </c>
      <c r="YR4" s="444" t="s">
        <v>51</v>
      </c>
      <c r="YS4" s="444" t="s">
        <v>87</v>
      </c>
      <c r="YT4" s="444" t="s">
        <v>20</v>
      </c>
      <c r="YU4" s="444" t="s">
        <v>99</v>
      </c>
      <c r="YV4" s="500" t="s">
        <v>103</v>
      </c>
      <c r="YW4" s="810" t="s">
        <v>415</v>
      </c>
      <c r="YX4" s="500" t="s">
        <v>507</v>
      </c>
      <c r="YY4" s="444" t="s">
        <v>51</v>
      </c>
      <c r="YZ4" s="444" t="s">
        <v>87</v>
      </c>
      <c r="ZA4" s="444" t="s">
        <v>20</v>
      </c>
      <c r="ZB4" s="444" t="s">
        <v>99</v>
      </c>
      <c r="ZC4" s="500" t="s">
        <v>103</v>
      </c>
      <c r="ZD4" s="811" t="s">
        <v>415</v>
      </c>
      <c r="ZE4" s="501" t="s">
        <v>507</v>
      </c>
      <c r="ZF4" s="444" t="s">
        <v>99</v>
      </c>
      <c r="ZG4" s="500" t="s">
        <v>103</v>
      </c>
      <c r="ZH4" s="811" t="s">
        <v>415</v>
      </c>
      <c r="ZI4" s="501" t="s">
        <v>507</v>
      </c>
      <c r="ZJ4" s="444" t="s">
        <v>51</v>
      </c>
      <c r="ZK4" s="444" t="s">
        <v>87</v>
      </c>
      <c r="ZL4" s="444" t="s">
        <v>20</v>
      </c>
      <c r="ZM4" s="444" t="s">
        <v>99</v>
      </c>
      <c r="ZN4" s="500" t="s">
        <v>103</v>
      </c>
      <c r="ZO4" s="811" t="s">
        <v>415</v>
      </c>
      <c r="ZP4" s="501" t="s">
        <v>507</v>
      </c>
      <c r="ZQ4" s="444" t="s">
        <v>51</v>
      </c>
      <c r="ZR4" s="444" t="s">
        <v>87</v>
      </c>
      <c r="ZS4" s="444" t="s">
        <v>20</v>
      </c>
      <c r="ZT4" s="464" t="s">
        <v>99</v>
      </c>
      <c r="ZU4" s="500" t="s">
        <v>103</v>
      </c>
      <c r="ZV4" s="811" t="s">
        <v>415</v>
      </c>
      <c r="ZW4" s="501" t="s">
        <v>507</v>
      </c>
      <c r="ZX4" s="454" t="s">
        <v>51</v>
      </c>
      <c r="ZY4" s="454" t="s">
        <v>87</v>
      </c>
      <c r="ZZ4" s="454" t="s">
        <v>20</v>
      </c>
      <c r="AAA4" s="454" t="s">
        <v>99</v>
      </c>
      <c r="AAB4" s="500" t="s">
        <v>103</v>
      </c>
      <c r="AAC4" s="811" t="s">
        <v>415</v>
      </c>
      <c r="AAD4" s="501" t="s">
        <v>507</v>
      </c>
      <c r="AAE4" s="455" t="s">
        <v>51</v>
      </c>
      <c r="AAF4" s="455" t="s">
        <v>87</v>
      </c>
      <c r="AAG4" s="455" t="s">
        <v>20</v>
      </c>
      <c r="AAH4" s="455" t="s">
        <v>99</v>
      </c>
      <c r="AAI4" s="500" t="s">
        <v>103</v>
      </c>
      <c r="AAJ4" s="811" t="s">
        <v>415</v>
      </c>
      <c r="AAK4" s="501" t="s">
        <v>507</v>
      </c>
      <c r="AAL4" s="455" t="s">
        <v>51</v>
      </c>
      <c r="AAM4" s="455" t="s">
        <v>87</v>
      </c>
      <c r="AAN4" s="455" t="s">
        <v>20</v>
      </c>
      <c r="AAO4" s="455" t="s">
        <v>99</v>
      </c>
      <c r="AAP4" s="500" t="s">
        <v>103</v>
      </c>
      <c r="AAQ4" s="810" t="s">
        <v>415</v>
      </c>
      <c r="AAR4" s="500" t="s">
        <v>507</v>
      </c>
      <c r="AAS4" s="408"/>
      <c r="AAT4" s="408"/>
      <c r="AAU4" s="408"/>
      <c r="AAV4" s="408"/>
      <c r="AAW4" s="408"/>
      <c r="AAX4" s="408"/>
      <c r="AAY4" s="408"/>
      <c r="AAZ4" s="408"/>
      <c r="ABA4" s="408"/>
      <c r="ABB4" s="408"/>
      <c r="ABC4" s="408"/>
      <c r="ABD4" s="408"/>
      <c r="ABE4" s="408"/>
      <c r="ABF4" s="408"/>
      <c r="ABG4" s="408"/>
      <c r="ABH4" s="408"/>
      <c r="ABI4" s="408"/>
      <c r="ABJ4" s="408"/>
      <c r="ABK4" s="408"/>
      <c r="ABL4" s="408"/>
      <c r="ABM4" s="408"/>
      <c r="ABN4" s="408"/>
      <c r="ABO4" s="408"/>
      <c r="ABP4" s="408"/>
      <c r="ABQ4" s="408"/>
      <c r="ABR4" s="408"/>
      <c r="ABS4" s="408"/>
      <c r="ABT4" s="408"/>
      <c r="ABU4" s="408"/>
      <c r="ABV4" s="408"/>
      <c r="ABW4" s="408"/>
      <c r="ABX4" s="408"/>
    </row>
    <row r="5" spans="1:752" s="499" customFormat="1" ht="24.75" customHeight="1" x14ac:dyDescent="0.25">
      <c r="A5" s="977"/>
      <c r="B5" s="444" t="s">
        <v>124</v>
      </c>
      <c r="C5" s="502" t="s">
        <v>237</v>
      </c>
      <c r="D5" s="444" t="s">
        <v>139</v>
      </c>
      <c r="E5" s="444" t="s">
        <v>129</v>
      </c>
      <c r="F5" s="444" t="s">
        <v>124</v>
      </c>
      <c r="G5" s="444" t="s">
        <v>237</v>
      </c>
      <c r="H5" s="444" t="s">
        <v>139</v>
      </c>
      <c r="I5" s="444" t="s">
        <v>129</v>
      </c>
      <c r="J5" s="444" t="s">
        <v>124</v>
      </c>
      <c r="K5" s="444" t="s">
        <v>237</v>
      </c>
      <c r="L5" s="444" t="s">
        <v>139</v>
      </c>
      <c r="M5" s="444" t="s">
        <v>129</v>
      </c>
      <c r="N5" s="444" t="s">
        <v>124</v>
      </c>
      <c r="O5" s="444" t="s">
        <v>237</v>
      </c>
      <c r="P5" s="444" t="s">
        <v>139</v>
      </c>
      <c r="Q5" s="444" t="s">
        <v>129</v>
      </c>
      <c r="R5" s="500" t="s">
        <v>124</v>
      </c>
      <c r="S5" s="500" t="s">
        <v>237</v>
      </c>
      <c r="T5" s="500" t="s">
        <v>139</v>
      </c>
      <c r="U5" s="500" t="s">
        <v>129</v>
      </c>
      <c r="V5" s="809" t="s">
        <v>124</v>
      </c>
      <c r="W5" s="809" t="s">
        <v>237</v>
      </c>
      <c r="X5" s="809" t="s">
        <v>139</v>
      </c>
      <c r="Y5" s="809" t="s">
        <v>129</v>
      </c>
      <c r="Z5" s="500" t="s">
        <v>124</v>
      </c>
      <c r="AA5" s="500" t="s">
        <v>237</v>
      </c>
      <c r="AB5" s="809" t="s">
        <v>139</v>
      </c>
      <c r="AC5" s="500" t="s">
        <v>129</v>
      </c>
      <c r="AD5" s="444" t="s">
        <v>124</v>
      </c>
      <c r="AE5" s="444" t="s">
        <v>237</v>
      </c>
      <c r="AF5" s="444" t="s">
        <v>139</v>
      </c>
      <c r="AG5" s="444" t="s">
        <v>129</v>
      </c>
      <c r="AH5" s="444" t="s">
        <v>124</v>
      </c>
      <c r="AI5" s="444" t="s">
        <v>237</v>
      </c>
      <c r="AJ5" s="444" t="s">
        <v>139</v>
      </c>
      <c r="AK5" s="444" t="s">
        <v>129</v>
      </c>
      <c r="AL5" s="444" t="s">
        <v>124</v>
      </c>
      <c r="AM5" s="444" t="s">
        <v>237</v>
      </c>
      <c r="AN5" s="444" t="s">
        <v>139</v>
      </c>
      <c r="AO5" s="444" t="s">
        <v>129</v>
      </c>
      <c r="AP5" s="444" t="s">
        <v>124</v>
      </c>
      <c r="AQ5" s="444" t="s">
        <v>237</v>
      </c>
      <c r="AR5" s="444" t="s">
        <v>139</v>
      </c>
      <c r="AS5" s="444" t="s">
        <v>129</v>
      </c>
      <c r="AT5" s="500" t="s">
        <v>124</v>
      </c>
      <c r="AU5" s="500" t="s">
        <v>237</v>
      </c>
      <c r="AV5" s="500" t="s">
        <v>139</v>
      </c>
      <c r="AW5" s="500" t="s">
        <v>129</v>
      </c>
      <c r="AX5" s="809" t="s">
        <v>124</v>
      </c>
      <c r="AY5" s="809" t="s">
        <v>237</v>
      </c>
      <c r="AZ5" s="809" t="s">
        <v>139</v>
      </c>
      <c r="BA5" s="809" t="s">
        <v>129</v>
      </c>
      <c r="BB5" s="500" t="s">
        <v>124</v>
      </c>
      <c r="BC5" s="500" t="s">
        <v>237</v>
      </c>
      <c r="BD5" s="500" t="s">
        <v>139</v>
      </c>
      <c r="BE5" s="500" t="s">
        <v>129</v>
      </c>
      <c r="BF5" s="444" t="s">
        <v>124</v>
      </c>
      <c r="BG5" s="444" t="s">
        <v>237</v>
      </c>
      <c r="BH5" s="444" t="s">
        <v>139</v>
      </c>
      <c r="BI5" s="444" t="s">
        <v>129</v>
      </c>
      <c r="BJ5" s="444" t="s">
        <v>124</v>
      </c>
      <c r="BK5" s="444" t="s">
        <v>237</v>
      </c>
      <c r="BL5" s="444" t="s">
        <v>139</v>
      </c>
      <c r="BM5" s="444" t="s">
        <v>129</v>
      </c>
      <c r="BN5" s="444" t="s">
        <v>124</v>
      </c>
      <c r="BO5" s="444" t="s">
        <v>237</v>
      </c>
      <c r="BP5" s="444" t="s">
        <v>139</v>
      </c>
      <c r="BQ5" s="444" t="s">
        <v>129</v>
      </c>
      <c r="BR5" s="444" t="s">
        <v>124</v>
      </c>
      <c r="BS5" s="444" t="s">
        <v>237</v>
      </c>
      <c r="BT5" s="444" t="s">
        <v>139</v>
      </c>
      <c r="BU5" s="444" t="s">
        <v>129</v>
      </c>
      <c r="BV5" s="500" t="s">
        <v>124</v>
      </c>
      <c r="BW5" s="500" t="s">
        <v>237</v>
      </c>
      <c r="BX5" s="500" t="s">
        <v>139</v>
      </c>
      <c r="BY5" s="500" t="s">
        <v>129</v>
      </c>
      <c r="BZ5" s="809" t="s">
        <v>124</v>
      </c>
      <c r="CA5" s="809" t="s">
        <v>237</v>
      </c>
      <c r="CB5" s="809" t="s">
        <v>139</v>
      </c>
      <c r="CC5" s="809" t="s">
        <v>129</v>
      </c>
      <c r="CD5" s="500" t="s">
        <v>124</v>
      </c>
      <c r="CE5" s="500" t="s">
        <v>237</v>
      </c>
      <c r="CF5" s="500" t="s">
        <v>139</v>
      </c>
      <c r="CG5" s="500" t="s">
        <v>129</v>
      </c>
      <c r="CH5" s="444" t="s">
        <v>124</v>
      </c>
      <c r="CI5" s="444" t="s">
        <v>237</v>
      </c>
      <c r="CJ5" s="444" t="s">
        <v>139</v>
      </c>
      <c r="CK5" s="444" t="s">
        <v>129</v>
      </c>
      <c r="CL5" s="444" t="s">
        <v>124</v>
      </c>
      <c r="CM5" s="444" t="s">
        <v>237</v>
      </c>
      <c r="CN5" s="444" t="s">
        <v>139</v>
      </c>
      <c r="CO5" s="444" t="s">
        <v>129</v>
      </c>
      <c r="CP5" s="444" t="s">
        <v>124</v>
      </c>
      <c r="CQ5" s="444" t="s">
        <v>237</v>
      </c>
      <c r="CR5" s="444" t="s">
        <v>139</v>
      </c>
      <c r="CS5" s="444" t="s">
        <v>129</v>
      </c>
      <c r="CT5" s="444" t="s">
        <v>124</v>
      </c>
      <c r="CU5" s="444" t="s">
        <v>237</v>
      </c>
      <c r="CV5" s="444" t="s">
        <v>139</v>
      </c>
      <c r="CW5" s="444" t="s">
        <v>129</v>
      </c>
      <c r="CX5" s="500" t="s">
        <v>124</v>
      </c>
      <c r="CY5" s="500" t="s">
        <v>237</v>
      </c>
      <c r="CZ5" s="500" t="s">
        <v>139</v>
      </c>
      <c r="DA5" s="500" t="s">
        <v>129</v>
      </c>
      <c r="DB5" s="809" t="s">
        <v>124</v>
      </c>
      <c r="DC5" s="809" t="s">
        <v>237</v>
      </c>
      <c r="DD5" s="809" t="s">
        <v>139</v>
      </c>
      <c r="DE5" s="809" t="s">
        <v>129</v>
      </c>
      <c r="DF5" s="500" t="s">
        <v>124</v>
      </c>
      <c r="DG5" s="500" t="s">
        <v>237</v>
      </c>
      <c r="DH5" s="500" t="s">
        <v>139</v>
      </c>
      <c r="DI5" s="500" t="s">
        <v>129</v>
      </c>
      <c r="DJ5" s="444" t="s">
        <v>124</v>
      </c>
      <c r="DK5" s="444" t="s">
        <v>237</v>
      </c>
      <c r="DL5" s="444" t="s">
        <v>139</v>
      </c>
      <c r="DM5" s="444" t="s">
        <v>129</v>
      </c>
      <c r="DN5" s="444" t="s">
        <v>124</v>
      </c>
      <c r="DO5" s="444" t="s">
        <v>237</v>
      </c>
      <c r="DP5" s="444" t="s">
        <v>139</v>
      </c>
      <c r="DQ5" s="444" t="s">
        <v>129</v>
      </c>
      <c r="DR5" s="444" t="s">
        <v>124</v>
      </c>
      <c r="DS5" s="444" t="s">
        <v>237</v>
      </c>
      <c r="DT5" s="444" t="s">
        <v>139</v>
      </c>
      <c r="DU5" s="444" t="s">
        <v>129</v>
      </c>
      <c r="DV5" s="503" t="s">
        <v>124</v>
      </c>
      <c r="DW5" s="503" t="s">
        <v>237</v>
      </c>
      <c r="DX5" s="503" t="s">
        <v>139</v>
      </c>
      <c r="DY5" s="503" t="s">
        <v>129</v>
      </c>
      <c r="DZ5" s="500" t="s">
        <v>124</v>
      </c>
      <c r="EA5" s="500" t="s">
        <v>237</v>
      </c>
      <c r="EB5" s="500" t="s">
        <v>139</v>
      </c>
      <c r="EC5" s="500" t="s">
        <v>129</v>
      </c>
      <c r="ED5" s="809" t="s">
        <v>124</v>
      </c>
      <c r="EE5" s="809" t="s">
        <v>237</v>
      </c>
      <c r="EF5" s="809" t="s">
        <v>139</v>
      </c>
      <c r="EG5" s="809" t="s">
        <v>129</v>
      </c>
      <c r="EH5" s="500" t="s">
        <v>124</v>
      </c>
      <c r="EI5" s="500" t="s">
        <v>237</v>
      </c>
      <c r="EJ5" s="500" t="s">
        <v>139</v>
      </c>
      <c r="EK5" s="500" t="s">
        <v>129</v>
      </c>
      <c r="EL5" s="444" t="s">
        <v>124</v>
      </c>
      <c r="EM5" s="444" t="s">
        <v>237</v>
      </c>
      <c r="EN5" s="444" t="s">
        <v>139</v>
      </c>
      <c r="EO5" s="444" t="s">
        <v>129</v>
      </c>
      <c r="EP5" s="444" t="s">
        <v>124</v>
      </c>
      <c r="EQ5" s="444" t="s">
        <v>237</v>
      </c>
      <c r="ER5" s="444" t="s">
        <v>139</v>
      </c>
      <c r="ES5" s="444" t="s">
        <v>129</v>
      </c>
      <c r="ET5" s="500" t="s">
        <v>124</v>
      </c>
      <c r="EU5" s="500" t="s">
        <v>237</v>
      </c>
      <c r="EV5" s="500" t="s">
        <v>139</v>
      </c>
      <c r="EW5" s="500" t="s">
        <v>129</v>
      </c>
      <c r="EX5" s="809" t="s">
        <v>124</v>
      </c>
      <c r="EY5" s="809" t="s">
        <v>237</v>
      </c>
      <c r="EZ5" s="809" t="s">
        <v>139</v>
      </c>
      <c r="FA5" s="809" t="s">
        <v>129</v>
      </c>
      <c r="FB5" s="500" t="s">
        <v>124</v>
      </c>
      <c r="FC5" s="500" t="s">
        <v>237</v>
      </c>
      <c r="FD5" s="500" t="s">
        <v>139</v>
      </c>
      <c r="FE5" s="500" t="s">
        <v>129</v>
      </c>
      <c r="FF5" s="444" t="s">
        <v>124</v>
      </c>
      <c r="FG5" s="444" t="s">
        <v>237</v>
      </c>
      <c r="FH5" s="444" t="s">
        <v>139</v>
      </c>
      <c r="FI5" s="444" t="s">
        <v>129</v>
      </c>
      <c r="FJ5" s="444" t="s">
        <v>124</v>
      </c>
      <c r="FK5" s="444" t="s">
        <v>237</v>
      </c>
      <c r="FL5" s="444" t="s">
        <v>139</v>
      </c>
      <c r="FM5" s="444" t="s">
        <v>129</v>
      </c>
      <c r="FN5" s="444" t="s">
        <v>124</v>
      </c>
      <c r="FO5" s="444" t="s">
        <v>237</v>
      </c>
      <c r="FP5" s="444" t="s">
        <v>139</v>
      </c>
      <c r="FQ5" s="444" t="s">
        <v>129</v>
      </c>
      <c r="FR5" s="500" t="s">
        <v>124</v>
      </c>
      <c r="FS5" s="500" t="s">
        <v>237</v>
      </c>
      <c r="FT5" s="500" t="s">
        <v>139</v>
      </c>
      <c r="FU5" s="500" t="s">
        <v>129</v>
      </c>
      <c r="FV5" s="809" t="s">
        <v>124</v>
      </c>
      <c r="FW5" s="809" t="s">
        <v>237</v>
      </c>
      <c r="FX5" s="809" t="s">
        <v>139</v>
      </c>
      <c r="FY5" s="809" t="s">
        <v>129</v>
      </c>
      <c r="FZ5" s="500" t="s">
        <v>124</v>
      </c>
      <c r="GA5" s="500" t="s">
        <v>237</v>
      </c>
      <c r="GB5" s="500" t="s">
        <v>139</v>
      </c>
      <c r="GC5" s="500" t="s">
        <v>129</v>
      </c>
      <c r="GD5" s="444" t="s">
        <v>124</v>
      </c>
      <c r="GE5" s="444" t="s">
        <v>237</v>
      </c>
      <c r="GF5" s="444" t="s">
        <v>139</v>
      </c>
      <c r="GG5" s="444" t="s">
        <v>129</v>
      </c>
      <c r="GH5" s="444" t="s">
        <v>124</v>
      </c>
      <c r="GI5" s="444" t="s">
        <v>237</v>
      </c>
      <c r="GJ5" s="444" t="s">
        <v>139</v>
      </c>
      <c r="GK5" s="444" t="s">
        <v>129</v>
      </c>
      <c r="GL5" s="444" t="s">
        <v>124</v>
      </c>
      <c r="GM5" s="444" t="s">
        <v>237</v>
      </c>
      <c r="GN5" s="444" t="s">
        <v>139</v>
      </c>
      <c r="GO5" s="444" t="s">
        <v>129</v>
      </c>
      <c r="GP5" s="500" t="s">
        <v>124</v>
      </c>
      <c r="GQ5" s="500" t="s">
        <v>237</v>
      </c>
      <c r="GR5" s="500" t="s">
        <v>139</v>
      </c>
      <c r="GS5" s="500" t="s">
        <v>129</v>
      </c>
      <c r="GT5" s="809" t="s">
        <v>124</v>
      </c>
      <c r="GU5" s="809" t="s">
        <v>237</v>
      </c>
      <c r="GV5" s="809" t="s">
        <v>139</v>
      </c>
      <c r="GW5" s="809" t="s">
        <v>129</v>
      </c>
      <c r="GX5" s="444" t="s">
        <v>124</v>
      </c>
      <c r="GY5" s="444" t="s">
        <v>237</v>
      </c>
      <c r="GZ5" s="444" t="s">
        <v>139</v>
      </c>
      <c r="HA5" s="444" t="s">
        <v>129</v>
      </c>
      <c r="HB5" s="444" t="s">
        <v>124</v>
      </c>
      <c r="HC5" s="444" t="s">
        <v>237</v>
      </c>
      <c r="HD5" s="444" t="s">
        <v>139</v>
      </c>
      <c r="HE5" s="444" t="s">
        <v>129</v>
      </c>
      <c r="HF5" s="444" t="s">
        <v>124</v>
      </c>
      <c r="HG5" s="444" t="s">
        <v>237</v>
      </c>
      <c r="HH5" s="444" t="s">
        <v>139</v>
      </c>
      <c r="HI5" s="444" t="s">
        <v>129</v>
      </c>
      <c r="HJ5" s="500" t="s">
        <v>124</v>
      </c>
      <c r="HK5" s="500" t="s">
        <v>237</v>
      </c>
      <c r="HL5" s="500" t="s">
        <v>139</v>
      </c>
      <c r="HM5" s="500" t="s">
        <v>129</v>
      </c>
      <c r="HN5" s="809" t="s">
        <v>124</v>
      </c>
      <c r="HO5" s="809" t="s">
        <v>237</v>
      </c>
      <c r="HP5" s="809" t="s">
        <v>139</v>
      </c>
      <c r="HQ5" s="809" t="s">
        <v>129</v>
      </c>
      <c r="HR5" s="500" t="s">
        <v>124</v>
      </c>
      <c r="HS5" s="500" t="s">
        <v>237</v>
      </c>
      <c r="HT5" s="500" t="s">
        <v>139</v>
      </c>
      <c r="HU5" s="500" t="s">
        <v>129</v>
      </c>
      <c r="HV5" s="444" t="s">
        <v>124</v>
      </c>
      <c r="HW5" s="444" t="s">
        <v>237</v>
      </c>
      <c r="HX5" s="444" t="s">
        <v>139</v>
      </c>
      <c r="HY5" s="444" t="s">
        <v>129</v>
      </c>
      <c r="HZ5" s="444" t="s">
        <v>124</v>
      </c>
      <c r="IA5" s="444" t="s">
        <v>237</v>
      </c>
      <c r="IB5" s="444" t="s">
        <v>139</v>
      </c>
      <c r="IC5" s="444" t="s">
        <v>129</v>
      </c>
      <c r="ID5" s="500" t="s">
        <v>124</v>
      </c>
      <c r="IE5" s="500" t="s">
        <v>237</v>
      </c>
      <c r="IF5" s="500" t="s">
        <v>139</v>
      </c>
      <c r="IG5" s="500" t="s">
        <v>129</v>
      </c>
      <c r="IH5" s="809" t="s">
        <v>124</v>
      </c>
      <c r="II5" s="809" t="s">
        <v>237</v>
      </c>
      <c r="IJ5" s="809" t="s">
        <v>139</v>
      </c>
      <c r="IK5" s="809" t="s">
        <v>129</v>
      </c>
      <c r="IL5" s="500" t="s">
        <v>124</v>
      </c>
      <c r="IM5" s="500" t="s">
        <v>237</v>
      </c>
      <c r="IN5" s="500" t="s">
        <v>139</v>
      </c>
      <c r="IO5" s="500" t="s">
        <v>129</v>
      </c>
      <c r="IP5" s="444" t="s">
        <v>124</v>
      </c>
      <c r="IQ5" s="444" t="s">
        <v>237</v>
      </c>
      <c r="IR5" s="444" t="s">
        <v>139</v>
      </c>
      <c r="IS5" s="444" t="s">
        <v>129</v>
      </c>
      <c r="IT5" s="444" t="s">
        <v>124</v>
      </c>
      <c r="IU5" s="444" t="s">
        <v>237</v>
      </c>
      <c r="IV5" s="444" t="s">
        <v>139</v>
      </c>
      <c r="IW5" s="444" t="s">
        <v>129</v>
      </c>
      <c r="IX5" s="444" t="s">
        <v>124</v>
      </c>
      <c r="IY5" s="444" t="s">
        <v>237</v>
      </c>
      <c r="IZ5" s="444" t="s">
        <v>139</v>
      </c>
      <c r="JA5" s="444" t="s">
        <v>129</v>
      </c>
      <c r="JB5" s="500" t="s">
        <v>124</v>
      </c>
      <c r="JC5" s="500" t="s">
        <v>237</v>
      </c>
      <c r="JD5" s="500" t="s">
        <v>139</v>
      </c>
      <c r="JE5" s="500" t="s">
        <v>129</v>
      </c>
      <c r="JF5" s="809" t="s">
        <v>124</v>
      </c>
      <c r="JG5" s="809" t="s">
        <v>237</v>
      </c>
      <c r="JH5" s="809" t="s">
        <v>139</v>
      </c>
      <c r="JI5" s="809" t="s">
        <v>129</v>
      </c>
      <c r="JJ5" s="500" t="s">
        <v>124</v>
      </c>
      <c r="JK5" s="500" t="s">
        <v>237</v>
      </c>
      <c r="JL5" s="500" t="s">
        <v>139</v>
      </c>
      <c r="JM5" s="500" t="s">
        <v>129</v>
      </c>
      <c r="JN5" s="444" t="s">
        <v>124</v>
      </c>
      <c r="JO5" s="444" t="s">
        <v>237</v>
      </c>
      <c r="JP5" s="444" t="s">
        <v>139</v>
      </c>
      <c r="JQ5" s="444" t="s">
        <v>129</v>
      </c>
      <c r="JR5" s="444" t="s">
        <v>124</v>
      </c>
      <c r="JS5" s="444" t="s">
        <v>237</v>
      </c>
      <c r="JT5" s="444" t="s">
        <v>139</v>
      </c>
      <c r="JU5" s="444" t="s">
        <v>129</v>
      </c>
      <c r="JV5" s="500" t="s">
        <v>124</v>
      </c>
      <c r="JW5" s="500" t="s">
        <v>237</v>
      </c>
      <c r="JX5" s="500" t="s">
        <v>139</v>
      </c>
      <c r="JY5" s="500" t="s">
        <v>129</v>
      </c>
      <c r="JZ5" s="809" t="s">
        <v>124</v>
      </c>
      <c r="KA5" s="809" t="s">
        <v>237</v>
      </c>
      <c r="KB5" s="809" t="s">
        <v>139</v>
      </c>
      <c r="KC5" s="809" t="s">
        <v>129</v>
      </c>
      <c r="KD5" s="500" t="s">
        <v>124</v>
      </c>
      <c r="KE5" s="500" t="s">
        <v>237</v>
      </c>
      <c r="KF5" s="500" t="s">
        <v>139</v>
      </c>
      <c r="KG5" s="500" t="s">
        <v>129</v>
      </c>
      <c r="KH5" s="444" t="s">
        <v>124</v>
      </c>
      <c r="KI5" s="444" t="s">
        <v>237</v>
      </c>
      <c r="KJ5" s="444" t="s">
        <v>139</v>
      </c>
      <c r="KK5" s="444" t="s">
        <v>129</v>
      </c>
      <c r="KL5" s="444" t="s">
        <v>124</v>
      </c>
      <c r="KM5" s="444" t="s">
        <v>237</v>
      </c>
      <c r="KN5" s="444" t="s">
        <v>139</v>
      </c>
      <c r="KO5" s="444" t="s">
        <v>129</v>
      </c>
      <c r="KP5" s="444" t="s">
        <v>124</v>
      </c>
      <c r="KQ5" s="444" t="s">
        <v>237</v>
      </c>
      <c r="KR5" s="444" t="s">
        <v>139</v>
      </c>
      <c r="KS5" s="444" t="s">
        <v>129</v>
      </c>
      <c r="KT5" s="500" t="s">
        <v>124</v>
      </c>
      <c r="KU5" s="500" t="s">
        <v>237</v>
      </c>
      <c r="KV5" s="500" t="s">
        <v>139</v>
      </c>
      <c r="KW5" s="500" t="s">
        <v>129</v>
      </c>
      <c r="KX5" s="809" t="s">
        <v>124</v>
      </c>
      <c r="KY5" s="809" t="s">
        <v>237</v>
      </c>
      <c r="KZ5" s="809" t="s">
        <v>139</v>
      </c>
      <c r="LA5" s="809" t="s">
        <v>129</v>
      </c>
      <c r="LB5" s="500" t="s">
        <v>124</v>
      </c>
      <c r="LC5" s="500" t="s">
        <v>237</v>
      </c>
      <c r="LD5" s="500" t="s">
        <v>139</v>
      </c>
      <c r="LE5" s="500" t="s">
        <v>129</v>
      </c>
      <c r="LF5" s="444" t="s">
        <v>124</v>
      </c>
      <c r="LG5" s="444" t="s">
        <v>237</v>
      </c>
      <c r="LH5" s="444" t="s">
        <v>139</v>
      </c>
      <c r="LI5" s="444" t="s">
        <v>129</v>
      </c>
      <c r="LJ5" s="444" t="s">
        <v>124</v>
      </c>
      <c r="LK5" s="444" t="s">
        <v>237</v>
      </c>
      <c r="LL5" s="444" t="s">
        <v>139</v>
      </c>
      <c r="LM5" s="444" t="s">
        <v>129</v>
      </c>
      <c r="LN5" s="444" t="s">
        <v>124</v>
      </c>
      <c r="LO5" s="444" t="s">
        <v>237</v>
      </c>
      <c r="LP5" s="444" t="s">
        <v>139</v>
      </c>
      <c r="LQ5" s="444" t="s">
        <v>129</v>
      </c>
      <c r="LR5" s="500" t="s">
        <v>124</v>
      </c>
      <c r="LS5" s="500" t="s">
        <v>237</v>
      </c>
      <c r="LT5" s="500" t="s">
        <v>139</v>
      </c>
      <c r="LU5" s="500" t="s">
        <v>129</v>
      </c>
      <c r="LV5" s="809" t="s">
        <v>124</v>
      </c>
      <c r="LW5" s="809" t="s">
        <v>237</v>
      </c>
      <c r="LX5" s="809" t="s">
        <v>139</v>
      </c>
      <c r="LY5" s="809" t="s">
        <v>129</v>
      </c>
      <c r="LZ5" s="500" t="s">
        <v>124</v>
      </c>
      <c r="MA5" s="500" t="s">
        <v>237</v>
      </c>
      <c r="MB5" s="500" t="s">
        <v>139</v>
      </c>
      <c r="MC5" s="500" t="s">
        <v>129</v>
      </c>
      <c r="MD5" s="444" t="s">
        <v>124</v>
      </c>
      <c r="ME5" s="444" t="s">
        <v>237</v>
      </c>
      <c r="MF5" s="444" t="s">
        <v>139</v>
      </c>
      <c r="MG5" s="444" t="s">
        <v>129</v>
      </c>
      <c r="MH5" s="444" t="s">
        <v>124</v>
      </c>
      <c r="MI5" s="444" t="s">
        <v>237</v>
      </c>
      <c r="MJ5" s="444" t="s">
        <v>139</v>
      </c>
      <c r="MK5" s="444" t="s">
        <v>129</v>
      </c>
      <c r="ML5" s="444" t="s">
        <v>124</v>
      </c>
      <c r="MM5" s="444" t="s">
        <v>237</v>
      </c>
      <c r="MN5" s="444" t="s">
        <v>139</v>
      </c>
      <c r="MO5" s="444" t="s">
        <v>129</v>
      </c>
      <c r="MP5" s="500" t="s">
        <v>124</v>
      </c>
      <c r="MQ5" s="500" t="s">
        <v>237</v>
      </c>
      <c r="MR5" s="500" t="s">
        <v>139</v>
      </c>
      <c r="MS5" s="500" t="s">
        <v>129</v>
      </c>
      <c r="MT5" s="809" t="s">
        <v>124</v>
      </c>
      <c r="MU5" s="809" t="s">
        <v>237</v>
      </c>
      <c r="MV5" s="809" t="s">
        <v>139</v>
      </c>
      <c r="MW5" s="809" t="s">
        <v>129</v>
      </c>
      <c r="MX5" s="500" t="s">
        <v>124</v>
      </c>
      <c r="MY5" s="500" t="s">
        <v>237</v>
      </c>
      <c r="MZ5" s="500" t="s">
        <v>139</v>
      </c>
      <c r="NA5" s="500" t="s">
        <v>129</v>
      </c>
      <c r="NB5" s="444" t="s">
        <v>124</v>
      </c>
      <c r="NC5" s="444" t="s">
        <v>237</v>
      </c>
      <c r="ND5" s="444" t="s">
        <v>139</v>
      </c>
      <c r="NE5" s="444" t="s">
        <v>129</v>
      </c>
      <c r="NF5" s="444" t="s">
        <v>124</v>
      </c>
      <c r="NG5" s="444" t="s">
        <v>237</v>
      </c>
      <c r="NH5" s="444" t="s">
        <v>139</v>
      </c>
      <c r="NI5" s="444" t="s">
        <v>129</v>
      </c>
      <c r="NJ5" s="444" t="s">
        <v>124</v>
      </c>
      <c r="NK5" s="444" t="s">
        <v>237</v>
      </c>
      <c r="NL5" s="444" t="s">
        <v>139</v>
      </c>
      <c r="NM5" s="444" t="s">
        <v>129</v>
      </c>
      <c r="NN5" s="500" t="s">
        <v>124</v>
      </c>
      <c r="NO5" s="500" t="s">
        <v>237</v>
      </c>
      <c r="NP5" s="500" t="s">
        <v>139</v>
      </c>
      <c r="NQ5" s="500" t="s">
        <v>129</v>
      </c>
      <c r="NR5" s="809" t="s">
        <v>124</v>
      </c>
      <c r="NS5" s="809" t="s">
        <v>237</v>
      </c>
      <c r="NT5" s="809" t="s">
        <v>139</v>
      </c>
      <c r="NU5" s="809" t="s">
        <v>129</v>
      </c>
      <c r="NV5" s="500" t="s">
        <v>124</v>
      </c>
      <c r="NW5" s="500" t="s">
        <v>237</v>
      </c>
      <c r="NX5" s="500" t="s">
        <v>139</v>
      </c>
      <c r="NY5" s="500" t="s">
        <v>129</v>
      </c>
      <c r="NZ5" s="444" t="s">
        <v>124</v>
      </c>
      <c r="OA5" s="444" t="s">
        <v>237</v>
      </c>
      <c r="OB5" s="444" t="s">
        <v>139</v>
      </c>
      <c r="OC5" s="444" t="s">
        <v>129</v>
      </c>
      <c r="OD5" s="444" t="s">
        <v>124</v>
      </c>
      <c r="OE5" s="444" t="s">
        <v>237</v>
      </c>
      <c r="OF5" s="444" t="s">
        <v>139</v>
      </c>
      <c r="OG5" s="444" t="s">
        <v>129</v>
      </c>
      <c r="OH5" s="444" t="s">
        <v>124</v>
      </c>
      <c r="OI5" s="444" t="s">
        <v>237</v>
      </c>
      <c r="OJ5" s="444" t="s">
        <v>139</v>
      </c>
      <c r="OK5" s="444" t="s">
        <v>129</v>
      </c>
      <c r="OL5" s="500" t="s">
        <v>124</v>
      </c>
      <c r="OM5" s="500" t="s">
        <v>237</v>
      </c>
      <c r="ON5" s="500" t="s">
        <v>139</v>
      </c>
      <c r="OO5" s="500" t="s">
        <v>129</v>
      </c>
      <c r="OP5" s="809" t="s">
        <v>124</v>
      </c>
      <c r="OQ5" s="809" t="s">
        <v>237</v>
      </c>
      <c r="OR5" s="809" t="s">
        <v>139</v>
      </c>
      <c r="OS5" s="809" t="s">
        <v>129</v>
      </c>
      <c r="OT5" s="500" t="s">
        <v>124</v>
      </c>
      <c r="OU5" s="500" t="s">
        <v>237</v>
      </c>
      <c r="OV5" s="500" t="s">
        <v>139</v>
      </c>
      <c r="OW5" s="500" t="s">
        <v>129</v>
      </c>
      <c r="OX5" s="444" t="s">
        <v>124</v>
      </c>
      <c r="OY5" s="444" t="s">
        <v>237</v>
      </c>
      <c r="OZ5" s="444" t="s">
        <v>139</v>
      </c>
      <c r="PA5" s="444" t="s">
        <v>129</v>
      </c>
      <c r="PB5" s="444" t="s">
        <v>124</v>
      </c>
      <c r="PC5" s="444" t="s">
        <v>237</v>
      </c>
      <c r="PD5" s="444" t="s">
        <v>139</v>
      </c>
      <c r="PE5" s="444" t="s">
        <v>129</v>
      </c>
      <c r="PF5" s="444" t="s">
        <v>124</v>
      </c>
      <c r="PG5" s="444" t="s">
        <v>237</v>
      </c>
      <c r="PH5" s="444" t="s">
        <v>139</v>
      </c>
      <c r="PI5" s="444" t="s">
        <v>129</v>
      </c>
      <c r="PJ5" s="500" t="s">
        <v>124</v>
      </c>
      <c r="PK5" s="500" t="s">
        <v>237</v>
      </c>
      <c r="PL5" s="500" t="s">
        <v>139</v>
      </c>
      <c r="PM5" s="500" t="s">
        <v>129</v>
      </c>
      <c r="PN5" s="809" t="s">
        <v>124</v>
      </c>
      <c r="PO5" s="809" t="s">
        <v>237</v>
      </c>
      <c r="PP5" s="809" t="s">
        <v>139</v>
      </c>
      <c r="PQ5" s="809" t="s">
        <v>129</v>
      </c>
      <c r="PR5" s="500" t="s">
        <v>124</v>
      </c>
      <c r="PS5" s="500" t="s">
        <v>237</v>
      </c>
      <c r="PT5" s="500" t="s">
        <v>139</v>
      </c>
      <c r="PU5" s="500" t="s">
        <v>129</v>
      </c>
      <c r="PV5" s="444" t="s">
        <v>124</v>
      </c>
      <c r="PW5" s="444" t="s">
        <v>237</v>
      </c>
      <c r="PX5" s="444" t="s">
        <v>139</v>
      </c>
      <c r="PY5" s="444" t="s">
        <v>129</v>
      </c>
      <c r="PZ5" s="444" t="s">
        <v>124</v>
      </c>
      <c r="QA5" s="444" t="s">
        <v>237</v>
      </c>
      <c r="QB5" s="444" t="s">
        <v>139</v>
      </c>
      <c r="QC5" s="444" t="s">
        <v>129</v>
      </c>
      <c r="QD5" s="500" t="s">
        <v>124</v>
      </c>
      <c r="QE5" s="500" t="s">
        <v>237</v>
      </c>
      <c r="QF5" s="500" t="s">
        <v>139</v>
      </c>
      <c r="QG5" s="500" t="s">
        <v>129</v>
      </c>
      <c r="QH5" s="809" t="s">
        <v>124</v>
      </c>
      <c r="QI5" s="809" t="s">
        <v>237</v>
      </c>
      <c r="QJ5" s="809" t="s">
        <v>139</v>
      </c>
      <c r="QK5" s="809" t="s">
        <v>129</v>
      </c>
      <c r="QL5" s="500" t="s">
        <v>124</v>
      </c>
      <c r="QM5" s="500" t="s">
        <v>237</v>
      </c>
      <c r="QN5" s="500" t="s">
        <v>139</v>
      </c>
      <c r="QO5" s="500" t="s">
        <v>129</v>
      </c>
      <c r="QP5" s="444" t="s">
        <v>124</v>
      </c>
      <c r="QQ5" s="444" t="s">
        <v>237</v>
      </c>
      <c r="QR5" s="444" t="s">
        <v>139</v>
      </c>
      <c r="QS5" s="444" t="s">
        <v>129</v>
      </c>
      <c r="QT5" s="444" t="s">
        <v>124</v>
      </c>
      <c r="QU5" s="444" t="s">
        <v>237</v>
      </c>
      <c r="QV5" s="444" t="s">
        <v>139</v>
      </c>
      <c r="QW5" s="444" t="s">
        <v>129</v>
      </c>
      <c r="QX5" s="444" t="s">
        <v>124</v>
      </c>
      <c r="QY5" s="444" t="s">
        <v>237</v>
      </c>
      <c r="QZ5" s="444" t="s">
        <v>139</v>
      </c>
      <c r="RA5" s="444" t="s">
        <v>129</v>
      </c>
      <c r="RB5" s="500" t="s">
        <v>124</v>
      </c>
      <c r="RC5" s="500" t="s">
        <v>237</v>
      </c>
      <c r="RD5" s="500" t="s">
        <v>139</v>
      </c>
      <c r="RE5" s="500" t="s">
        <v>129</v>
      </c>
      <c r="RF5" s="809" t="s">
        <v>124</v>
      </c>
      <c r="RG5" s="809" t="s">
        <v>237</v>
      </c>
      <c r="RH5" s="809" t="s">
        <v>139</v>
      </c>
      <c r="RI5" s="809" t="s">
        <v>129</v>
      </c>
      <c r="RJ5" s="500" t="s">
        <v>124</v>
      </c>
      <c r="RK5" s="500" t="s">
        <v>237</v>
      </c>
      <c r="RL5" s="500" t="s">
        <v>139</v>
      </c>
      <c r="RM5" s="500" t="s">
        <v>129</v>
      </c>
      <c r="RN5" s="444" t="s">
        <v>124</v>
      </c>
      <c r="RO5" s="444" t="s">
        <v>237</v>
      </c>
      <c r="RP5" s="444" t="s">
        <v>139</v>
      </c>
      <c r="RQ5" s="444" t="s">
        <v>129</v>
      </c>
      <c r="RR5" s="444" t="s">
        <v>124</v>
      </c>
      <c r="RS5" s="444" t="s">
        <v>237</v>
      </c>
      <c r="RT5" s="444" t="s">
        <v>139</v>
      </c>
      <c r="RU5" s="444" t="s">
        <v>129</v>
      </c>
      <c r="RV5" s="444" t="s">
        <v>124</v>
      </c>
      <c r="RW5" s="444" t="s">
        <v>237</v>
      </c>
      <c r="RX5" s="444" t="s">
        <v>139</v>
      </c>
      <c r="RY5" s="444" t="s">
        <v>129</v>
      </c>
      <c r="RZ5" s="500" t="s">
        <v>124</v>
      </c>
      <c r="SA5" s="500" t="s">
        <v>237</v>
      </c>
      <c r="SB5" s="500" t="s">
        <v>139</v>
      </c>
      <c r="SC5" s="500" t="s">
        <v>129</v>
      </c>
      <c r="SD5" s="809" t="s">
        <v>124</v>
      </c>
      <c r="SE5" s="809" t="s">
        <v>237</v>
      </c>
      <c r="SF5" s="809" t="s">
        <v>139</v>
      </c>
      <c r="SG5" s="809" t="s">
        <v>129</v>
      </c>
      <c r="SH5" s="500" t="s">
        <v>124</v>
      </c>
      <c r="SI5" s="500" t="s">
        <v>237</v>
      </c>
      <c r="SJ5" s="500" t="s">
        <v>139</v>
      </c>
      <c r="SK5" s="500" t="s">
        <v>129</v>
      </c>
      <c r="SL5" s="444" t="s">
        <v>124</v>
      </c>
      <c r="SM5" s="444" t="s">
        <v>237</v>
      </c>
      <c r="SN5" s="444" t="s">
        <v>139</v>
      </c>
      <c r="SO5" s="444" t="s">
        <v>129</v>
      </c>
      <c r="SP5" s="444" t="s">
        <v>124</v>
      </c>
      <c r="SQ5" s="444" t="s">
        <v>237</v>
      </c>
      <c r="SR5" s="444" t="s">
        <v>139</v>
      </c>
      <c r="SS5" s="444" t="s">
        <v>129</v>
      </c>
      <c r="ST5" s="444" t="s">
        <v>124</v>
      </c>
      <c r="SU5" s="444" t="s">
        <v>237</v>
      </c>
      <c r="SV5" s="444" t="s">
        <v>139</v>
      </c>
      <c r="SW5" s="444" t="s">
        <v>129</v>
      </c>
      <c r="SX5" s="500" t="s">
        <v>124</v>
      </c>
      <c r="SY5" s="500" t="s">
        <v>237</v>
      </c>
      <c r="SZ5" s="500" t="s">
        <v>139</v>
      </c>
      <c r="TA5" s="500" t="s">
        <v>129</v>
      </c>
      <c r="TB5" s="809" t="s">
        <v>124</v>
      </c>
      <c r="TC5" s="809" t="s">
        <v>237</v>
      </c>
      <c r="TD5" s="809" t="s">
        <v>139</v>
      </c>
      <c r="TE5" s="809" t="s">
        <v>129</v>
      </c>
      <c r="TF5" s="500" t="s">
        <v>124</v>
      </c>
      <c r="TG5" s="500" t="s">
        <v>237</v>
      </c>
      <c r="TH5" s="500" t="s">
        <v>139</v>
      </c>
      <c r="TI5" s="500" t="s">
        <v>129</v>
      </c>
      <c r="TJ5" s="444" t="s">
        <v>124</v>
      </c>
      <c r="TK5" s="444" t="s">
        <v>237</v>
      </c>
      <c r="TL5" s="444" t="s">
        <v>139</v>
      </c>
      <c r="TM5" s="444" t="s">
        <v>129</v>
      </c>
      <c r="TN5" s="444" t="s">
        <v>124</v>
      </c>
      <c r="TO5" s="444" t="s">
        <v>237</v>
      </c>
      <c r="TP5" s="444" t="s">
        <v>139</v>
      </c>
      <c r="TQ5" s="444" t="s">
        <v>129</v>
      </c>
      <c r="TR5" s="444" t="s">
        <v>124</v>
      </c>
      <c r="TS5" s="444" t="s">
        <v>237</v>
      </c>
      <c r="TT5" s="444" t="s">
        <v>139</v>
      </c>
      <c r="TU5" s="444" t="s">
        <v>129</v>
      </c>
      <c r="TV5" s="500" t="s">
        <v>124</v>
      </c>
      <c r="TW5" s="500" t="s">
        <v>237</v>
      </c>
      <c r="TX5" s="500" t="s">
        <v>139</v>
      </c>
      <c r="TY5" s="500" t="s">
        <v>129</v>
      </c>
      <c r="TZ5" s="809" t="s">
        <v>124</v>
      </c>
      <c r="UA5" s="809" t="s">
        <v>237</v>
      </c>
      <c r="UB5" s="809" t="s">
        <v>139</v>
      </c>
      <c r="UC5" s="809" t="s">
        <v>129</v>
      </c>
      <c r="UD5" s="500" t="s">
        <v>124</v>
      </c>
      <c r="UE5" s="500" t="s">
        <v>237</v>
      </c>
      <c r="UF5" s="500" t="s">
        <v>139</v>
      </c>
      <c r="UG5" s="500" t="s">
        <v>129</v>
      </c>
      <c r="UH5" s="444" t="s">
        <v>124</v>
      </c>
      <c r="UI5" s="444" t="s">
        <v>237</v>
      </c>
      <c r="UJ5" s="444" t="s">
        <v>139</v>
      </c>
      <c r="UK5" s="444" t="s">
        <v>129</v>
      </c>
      <c r="UL5" s="444" t="s">
        <v>124</v>
      </c>
      <c r="UM5" s="444" t="s">
        <v>237</v>
      </c>
      <c r="UN5" s="444" t="s">
        <v>139</v>
      </c>
      <c r="UO5" s="444" t="s">
        <v>129</v>
      </c>
      <c r="UP5" s="444" t="s">
        <v>124</v>
      </c>
      <c r="UQ5" s="444" t="s">
        <v>237</v>
      </c>
      <c r="UR5" s="444" t="s">
        <v>139</v>
      </c>
      <c r="US5" s="444" t="s">
        <v>129</v>
      </c>
      <c r="UT5" s="500" t="s">
        <v>124</v>
      </c>
      <c r="UU5" s="500" t="s">
        <v>237</v>
      </c>
      <c r="UV5" s="500" t="s">
        <v>139</v>
      </c>
      <c r="UW5" s="500" t="s">
        <v>129</v>
      </c>
      <c r="UX5" s="809" t="s">
        <v>124</v>
      </c>
      <c r="UY5" s="809" t="s">
        <v>237</v>
      </c>
      <c r="UZ5" s="809" t="s">
        <v>139</v>
      </c>
      <c r="VA5" s="809" t="s">
        <v>129</v>
      </c>
      <c r="VB5" s="500" t="s">
        <v>124</v>
      </c>
      <c r="VC5" s="500" t="s">
        <v>237</v>
      </c>
      <c r="VD5" s="500" t="s">
        <v>139</v>
      </c>
      <c r="VE5" s="500" t="s">
        <v>129</v>
      </c>
      <c r="VF5" s="444" t="s">
        <v>124</v>
      </c>
      <c r="VG5" s="444" t="s">
        <v>237</v>
      </c>
      <c r="VH5" s="444" t="s">
        <v>139</v>
      </c>
      <c r="VI5" s="444" t="s">
        <v>129</v>
      </c>
      <c r="VJ5" s="444" t="s">
        <v>124</v>
      </c>
      <c r="VK5" s="444" t="s">
        <v>237</v>
      </c>
      <c r="VL5" s="444" t="s">
        <v>139</v>
      </c>
      <c r="VM5" s="444" t="s">
        <v>129</v>
      </c>
      <c r="VN5" s="444" t="s">
        <v>124</v>
      </c>
      <c r="VO5" s="444" t="s">
        <v>237</v>
      </c>
      <c r="VP5" s="444" t="s">
        <v>139</v>
      </c>
      <c r="VQ5" s="444" t="s">
        <v>129</v>
      </c>
      <c r="VR5" s="500" t="s">
        <v>124</v>
      </c>
      <c r="VS5" s="500" t="s">
        <v>237</v>
      </c>
      <c r="VT5" s="500" t="s">
        <v>139</v>
      </c>
      <c r="VU5" s="500" t="s">
        <v>129</v>
      </c>
      <c r="VV5" s="809" t="s">
        <v>124</v>
      </c>
      <c r="VW5" s="809" t="s">
        <v>237</v>
      </c>
      <c r="VX5" s="809" t="s">
        <v>139</v>
      </c>
      <c r="VY5" s="809" t="s">
        <v>129</v>
      </c>
      <c r="VZ5" s="500" t="s">
        <v>124</v>
      </c>
      <c r="WA5" s="500" t="s">
        <v>237</v>
      </c>
      <c r="WB5" s="500" t="s">
        <v>139</v>
      </c>
      <c r="WC5" s="500" t="s">
        <v>129</v>
      </c>
      <c r="WD5" s="444" t="s">
        <v>124</v>
      </c>
      <c r="WE5" s="444" t="s">
        <v>237</v>
      </c>
      <c r="WF5" s="444" t="s">
        <v>139</v>
      </c>
      <c r="WG5" s="444" t="s">
        <v>129</v>
      </c>
      <c r="WH5" s="444" t="s">
        <v>124</v>
      </c>
      <c r="WI5" s="444" t="s">
        <v>237</v>
      </c>
      <c r="WJ5" s="444" t="s">
        <v>139</v>
      </c>
      <c r="WK5" s="444" t="s">
        <v>129</v>
      </c>
      <c r="WL5" s="444" t="s">
        <v>124</v>
      </c>
      <c r="WM5" s="444" t="s">
        <v>237</v>
      </c>
      <c r="WN5" s="444" t="s">
        <v>139</v>
      </c>
      <c r="WO5" s="444" t="s">
        <v>129</v>
      </c>
      <c r="WP5" s="500" t="s">
        <v>124</v>
      </c>
      <c r="WQ5" s="500" t="s">
        <v>237</v>
      </c>
      <c r="WR5" s="500" t="s">
        <v>139</v>
      </c>
      <c r="WS5" s="500" t="s">
        <v>129</v>
      </c>
      <c r="WT5" s="810" t="s">
        <v>124</v>
      </c>
      <c r="WU5" s="810" t="s">
        <v>237</v>
      </c>
      <c r="WV5" s="810" t="s">
        <v>139</v>
      </c>
      <c r="WW5" s="810" t="s">
        <v>129</v>
      </c>
      <c r="WX5" s="500" t="s">
        <v>124</v>
      </c>
      <c r="WY5" s="500" t="s">
        <v>237</v>
      </c>
      <c r="WZ5" s="500" t="s">
        <v>139</v>
      </c>
      <c r="XA5" s="500" t="s">
        <v>129</v>
      </c>
      <c r="XB5" s="444" t="s">
        <v>124</v>
      </c>
      <c r="XC5" s="444" t="s">
        <v>237</v>
      </c>
      <c r="XD5" s="444" t="s">
        <v>139</v>
      </c>
      <c r="XE5" s="444" t="s">
        <v>129</v>
      </c>
      <c r="XF5" s="444" t="s">
        <v>124</v>
      </c>
      <c r="XG5" s="444" t="s">
        <v>237</v>
      </c>
      <c r="XH5" s="444" t="s">
        <v>139</v>
      </c>
      <c r="XI5" s="444" t="s">
        <v>129</v>
      </c>
      <c r="XJ5" s="453" t="s">
        <v>124</v>
      </c>
      <c r="XK5" s="453" t="s">
        <v>237</v>
      </c>
      <c r="XL5" s="453" t="s">
        <v>139</v>
      </c>
      <c r="XM5" s="453" t="s">
        <v>129</v>
      </c>
      <c r="XN5" s="500" t="s">
        <v>124</v>
      </c>
      <c r="XO5" s="500" t="s">
        <v>237</v>
      </c>
      <c r="XP5" s="500" t="s">
        <v>139</v>
      </c>
      <c r="XQ5" s="500" t="s">
        <v>129</v>
      </c>
      <c r="XR5" s="810" t="s">
        <v>124</v>
      </c>
      <c r="XS5" s="810" t="s">
        <v>237</v>
      </c>
      <c r="XT5" s="810" t="s">
        <v>139</v>
      </c>
      <c r="XU5" s="810" t="s">
        <v>129</v>
      </c>
      <c r="XV5" s="500" t="s">
        <v>124</v>
      </c>
      <c r="XW5" s="500" t="s">
        <v>237</v>
      </c>
      <c r="XX5" s="500" t="s">
        <v>139</v>
      </c>
      <c r="XY5" s="500" t="s">
        <v>129</v>
      </c>
      <c r="XZ5" s="500" t="s">
        <v>139</v>
      </c>
      <c r="YA5" s="500" t="s">
        <v>139</v>
      </c>
      <c r="YB5" s="500" t="s">
        <v>139</v>
      </c>
      <c r="YC5" s="500" t="s">
        <v>139</v>
      </c>
      <c r="YD5" s="810" t="s">
        <v>139</v>
      </c>
      <c r="YE5" s="500" t="s">
        <v>139</v>
      </c>
      <c r="YF5" s="500" t="s">
        <v>139</v>
      </c>
      <c r="YG5" s="500" t="s">
        <v>139</v>
      </c>
      <c r="YH5" s="500" t="s">
        <v>139</v>
      </c>
      <c r="YI5" s="500" t="s">
        <v>139</v>
      </c>
      <c r="YJ5" s="500" t="s">
        <v>139</v>
      </c>
      <c r="YK5" s="810" t="s">
        <v>139</v>
      </c>
      <c r="YL5" s="500" t="s">
        <v>139</v>
      </c>
      <c r="YM5" s="500" t="s">
        <v>139</v>
      </c>
      <c r="YN5" s="500" t="s">
        <v>139</v>
      </c>
      <c r="YO5" s="500" t="s">
        <v>139</v>
      </c>
      <c r="YP5" s="500" t="s">
        <v>139</v>
      </c>
      <c r="YQ5" s="500" t="s">
        <v>139</v>
      </c>
      <c r="YR5" s="500" t="s">
        <v>139</v>
      </c>
      <c r="YS5" s="500" t="s">
        <v>139</v>
      </c>
      <c r="YT5" s="500" t="s">
        <v>139</v>
      </c>
      <c r="YU5" s="500" t="s">
        <v>139</v>
      </c>
      <c r="YV5" s="500" t="s">
        <v>139</v>
      </c>
      <c r="YW5" s="810" t="s">
        <v>139</v>
      </c>
      <c r="YX5" s="500" t="s">
        <v>139</v>
      </c>
      <c r="YY5" s="500" t="s">
        <v>139</v>
      </c>
      <c r="YZ5" s="500" t="s">
        <v>139</v>
      </c>
      <c r="ZA5" s="500" t="s">
        <v>139</v>
      </c>
      <c r="ZB5" s="500" t="s">
        <v>139</v>
      </c>
      <c r="ZC5" s="500" t="s">
        <v>139</v>
      </c>
      <c r="ZD5" s="810" t="s">
        <v>139</v>
      </c>
      <c r="ZE5" s="500" t="s">
        <v>139</v>
      </c>
      <c r="ZF5" s="500" t="s">
        <v>139</v>
      </c>
      <c r="ZG5" s="500" t="s">
        <v>139</v>
      </c>
      <c r="ZH5" s="810" t="s">
        <v>139</v>
      </c>
      <c r="ZI5" s="500" t="s">
        <v>139</v>
      </c>
      <c r="ZJ5" s="500" t="s">
        <v>139</v>
      </c>
      <c r="ZK5" s="500" t="s">
        <v>139</v>
      </c>
      <c r="ZL5" s="500" t="s">
        <v>139</v>
      </c>
      <c r="ZM5" s="500" t="s">
        <v>139</v>
      </c>
      <c r="ZN5" s="500" t="s">
        <v>139</v>
      </c>
      <c r="ZO5" s="810" t="s">
        <v>139</v>
      </c>
      <c r="ZP5" s="500" t="s">
        <v>139</v>
      </c>
      <c r="ZQ5" s="500" t="s">
        <v>139</v>
      </c>
      <c r="ZR5" s="500" t="s">
        <v>139</v>
      </c>
      <c r="ZS5" s="500" t="s">
        <v>139</v>
      </c>
      <c r="ZT5" s="500" t="s">
        <v>139</v>
      </c>
      <c r="ZU5" s="500" t="s">
        <v>139</v>
      </c>
      <c r="ZV5" s="810" t="s">
        <v>139</v>
      </c>
      <c r="ZW5" s="500" t="s">
        <v>139</v>
      </c>
      <c r="ZX5" s="500" t="s">
        <v>139</v>
      </c>
      <c r="ZY5" s="500" t="s">
        <v>139</v>
      </c>
      <c r="ZZ5" s="500" t="s">
        <v>139</v>
      </c>
      <c r="AAA5" s="500" t="s">
        <v>139</v>
      </c>
      <c r="AAB5" s="500" t="s">
        <v>139</v>
      </c>
      <c r="AAC5" s="810" t="s">
        <v>139</v>
      </c>
      <c r="AAD5" s="500" t="s">
        <v>139</v>
      </c>
      <c r="AAE5" s="500" t="s">
        <v>139</v>
      </c>
      <c r="AAF5" s="500" t="s">
        <v>139</v>
      </c>
      <c r="AAG5" s="500" t="s">
        <v>139</v>
      </c>
      <c r="AAH5" s="500" t="s">
        <v>139</v>
      </c>
      <c r="AAI5" s="500" t="s">
        <v>139</v>
      </c>
      <c r="AAJ5" s="810" t="s">
        <v>139</v>
      </c>
      <c r="AAK5" s="500" t="s">
        <v>139</v>
      </c>
      <c r="AAL5" s="500" t="s">
        <v>139</v>
      </c>
      <c r="AAM5" s="500" t="s">
        <v>139</v>
      </c>
      <c r="AAN5" s="500" t="s">
        <v>139</v>
      </c>
      <c r="AAO5" s="500" t="s">
        <v>139</v>
      </c>
      <c r="AAP5" s="500" t="s">
        <v>139</v>
      </c>
      <c r="AAQ5" s="810" t="s">
        <v>139</v>
      </c>
      <c r="AAR5" s="500" t="s">
        <v>139</v>
      </c>
      <c r="AAS5" s="408"/>
      <c r="AAT5" s="408"/>
      <c r="AAU5" s="408"/>
      <c r="AAV5" s="408"/>
      <c r="AAW5" s="408"/>
      <c r="AAX5" s="408"/>
      <c r="AAY5" s="408"/>
      <c r="AAZ5" s="408"/>
      <c r="ABA5" s="408"/>
      <c r="ABB5" s="408"/>
      <c r="ABC5" s="408"/>
      <c r="ABD5" s="408"/>
      <c r="ABE5" s="408"/>
      <c r="ABF5" s="408"/>
      <c r="ABG5" s="408"/>
      <c r="ABH5" s="408"/>
      <c r="ABI5" s="408"/>
      <c r="ABJ5" s="408"/>
      <c r="ABK5" s="408"/>
      <c r="ABL5" s="408"/>
      <c r="ABM5" s="408"/>
      <c r="ABN5" s="408"/>
      <c r="ABO5" s="408"/>
      <c r="ABP5" s="408"/>
      <c r="ABQ5" s="408"/>
      <c r="ABR5" s="408"/>
      <c r="ABS5" s="408"/>
      <c r="ABT5" s="408"/>
      <c r="ABU5" s="408"/>
      <c r="ABV5" s="408"/>
      <c r="ABW5" s="408"/>
      <c r="ABX5" s="408"/>
    </row>
    <row r="6" spans="1:752" ht="15" customHeight="1" x14ac:dyDescent="0.25">
      <c r="A6" s="492" t="s">
        <v>238</v>
      </c>
      <c r="B6" s="495">
        <v>756.46104749999995</v>
      </c>
      <c r="C6" s="495">
        <v>205.71940609999999</v>
      </c>
      <c r="D6" s="495">
        <v>9829.2016944999996</v>
      </c>
      <c r="E6" s="495">
        <v>10791.3821481</v>
      </c>
      <c r="F6" s="495">
        <v>763.76480000000004</v>
      </c>
      <c r="G6" s="495">
        <v>172.80680000000001</v>
      </c>
      <c r="H6" s="495">
        <v>9867.0555000000004</v>
      </c>
      <c r="I6" s="495">
        <v>10803.6271</v>
      </c>
      <c r="J6" s="495">
        <v>674.88368725146427</v>
      </c>
      <c r="K6" s="495">
        <v>159.39374985089941</v>
      </c>
      <c r="L6" s="495">
        <v>10432.277371702012</v>
      </c>
      <c r="M6" s="495">
        <v>11266.554808804376</v>
      </c>
      <c r="N6" s="495">
        <v>697.31</v>
      </c>
      <c r="O6" s="495">
        <v>143.88999999999999</v>
      </c>
      <c r="P6" s="495">
        <v>9559.02</v>
      </c>
      <c r="Q6" s="495">
        <v>10400.220000000001</v>
      </c>
      <c r="R6" s="495">
        <v>652.31460000000004</v>
      </c>
      <c r="S6" s="495">
        <v>153.2595</v>
      </c>
      <c r="T6" s="495">
        <v>8877.1407999999992</v>
      </c>
      <c r="U6" s="495">
        <v>9682.714899999999</v>
      </c>
      <c r="V6" s="495">
        <v>782</v>
      </c>
      <c r="W6" s="495">
        <v>128.54</v>
      </c>
      <c r="X6" s="495">
        <v>10330.950000000001</v>
      </c>
      <c r="Y6" s="495">
        <v>11241.490000000002</v>
      </c>
      <c r="Z6" s="495">
        <v>929.39</v>
      </c>
      <c r="AA6" s="495">
        <v>140.56</v>
      </c>
      <c r="AB6" s="495">
        <v>11252.72</v>
      </c>
      <c r="AC6" s="495">
        <v>12322.67</v>
      </c>
      <c r="AD6" s="495">
        <v>2073.256961267</v>
      </c>
      <c r="AE6" s="495">
        <v>472.99824279000001</v>
      </c>
      <c r="AF6" s="495">
        <v>12413.570819357001</v>
      </c>
      <c r="AG6" s="495">
        <v>14959.826023414</v>
      </c>
      <c r="AH6" s="495">
        <v>1918.6870882149999</v>
      </c>
      <c r="AI6" s="495">
        <v>462.02659932500001</v>
      </c>
      <c r="AJ6" s="495">
        <v>15434.066849886</v>
      </c>
      <c r="AK6" s="495">
        <v>17814.780537425999</v>
      </c>
      <c r="AL6" s="495">
        <v>1962.33903687</v>
      </c>
      <c r="AM6" s="495">
        <v>377.86991430299997</v>
      </c>
      <c r="AN6" s="495">
        <v>17384.389146572001</v>
      </c>
      <c r="AO6" s="495">
        <v>19724.598097745002</v>
      </c>
      <c r="AP6" s="495">
        <v>1890.896638041</v>
      </c>
      <c r="AQ6" s="495">
        <v>419.31171161100002</v>
      </c>
      <c r="AR6" s="495">
        <v>19177.383579605001</v>
      </c>
      <c r="AS6" s="495">
        <v>21487.591929257</v>
      </c>
      <c r="AT6" s="495">
        <v>2443.3589628569998</v>
      </c>
      <c r="AU6" s="495">
        <v>429.30630166700001</v>
      </c>
      <c r="AV6" s="495">
        <v>20656.178833348</v>
      </c>
      <c r="AW6" s="495">
        <v>23528.844097871999</v>
      </c>
      <c r="AX6" s="495">
        <v>3015.889956991</v>
      </c>
      <c r="AY6" s="495">
        <v>420.596975386</v>
      </c>
      <c r="AZ6" s="495">
        <v>22797.235917968999</v>
      </c>
      <c r="BA6" s="495">
        <v>26233.722850345999</v>
      </c>
      <c r="BB6" s="495">
        <v>2832.0801918070001</v>
      </c>
      <c r="BC6" s="495">
        <v>485.53368085900001</v>
      </c>
      <c r="BD6" s="495">
        <v>25587.663763920002</v>
      </c>
      <c r="BE6" s="495">
        <v>28905.277636586001</v>
      </c>
      <c r="BF6" s="495">
        <v>565.59141939999995</v>
      </c>
      <c r="BG6" s="495">
        <v>290.18414439999998</v>
      </c>
      <c r="BH6" s="495">
        <v>6168.1263927</v>
      </c>
      <c r="BI6" s="495">
        <v>7023.9019564999999</v>
      </c>
      <c r="BJ6" s="495">
        <v>610.38954269999999</v>
      </c>
      <c r="BK6" s="495">
        <v>247.02698839999999</v>
      </c>
      <c r="BL6" s="495">
        <v>7525.8476964000001</v>
      </c>
      <c r="BM6" s="495">
        <v>8383.2642274999998</v>
      </c>
      <c r="BN6" s="495">
        <v>590.38099999999997</v>
      </c>
      <c r="BO6" s="495">
        <v>230.15360000000001</v>
      </c>
      <c r="BP6" s="495">
        <v>8807.4717999999993</v>
      </c>
      <c r="BQ6" s="495">
        <v>9628.0063999999984</v>
      </c>
      <c r="BR6" s="495">
        <v>601.95420709999996</v>
      </c>
      <c r="BS6" s="495">
        <v>208.3963315</v>
      </c>
      <c r="BT6" s="495">
        <v>9791.1752123999995</v>
      </c>
      <c r="BU6" s="495">
        <v>10601.525750999999</v>
      </c>
      <c r="BV6" s="495">
        <v>670.87109999999996</v>
      </c>
      <c r="BW6" s="495">
        <v>197.44730000000001</v>
      </c>
      <c r="BX6" s="495">
        <v>10056.123299999999</v>
      </c>
      <c r="BY6" s="495">
        <v>10924.441699999999</v>
      </c>
      <c r="BZ6" s="495">
        <v>735.88</v>
      </c>
      <c r="CA6" s="495">
        <v>202.92</v>
      </c>
      <c r="CB6" s="495">
        <v>10098.18</v>
      </c>
      <c r="CC6" s="495">
        <v>11036.98</v>
      </c>
      <c r="CD6" s="495">
        <v>749.76044649999994</v>
      </c>
      <c r="CE6" s="495">
        <v>210.01453770000001</v>
      </c>
      <c r="CF6" s="495">
        <v>10678.5936463</v>
      </c>
      <c r="CG6" s="495">
        <v>11638.368630499999</v>
      </c>
      <c r="CH6" s="495">
        <v>790.68441110000003</v>
      </c>
      <c r="CI6" s="495">
        <v>288.76598250000001</v>
      </c>
      <c r="CJ6" s="495">
        <v>8943.4152615999992</v>
      </c>
      <c r="CK6" s="495">
        <v>10022.865655199999</v>
      </c>
      <c r="CL6" s="495">
        <v>849.63310000000001</v>
      </c>
      <c r="CM6" s="495">
        <v>268.67219999999998</v>
      </c>
      <c r="CN6" s="495">
        <v>10914.009400000001</v>
      </c>
      <c r="CO6" s="495">
        <v>12032.314700000001</v>
      </c>
      <c r="CP6" s="495">
        <v>856.87630000000001</v>
      </c>
      <c r="CQ6" s="495">
        <v>232.73439999999999</v>
      </c>
      <c r="CR6" s="495">
        <v>11771.3735</v>
      </c>
      <c r="CS6" s="495">
        <v>12860.984199999999</v>
      </c>
      <c r="CT6" s="495">
        <v>768.20199990000003</v>
      </c>
      <c r="CU6" s="495">
        <v>222.51240730000001</v>
      </c>
      <c r="CV6" s="495">
        <v>12113.7935695</v>
      </c>
      <c r="CW6" s="495">
        <v>13104.507976699999</v>
      </c>
      <c r="CX6" s="495">
        <v>797.70870000000002</v>
      </c>
      <c r="CY6" s="495">
        <v>196.63140000000001</v>
      </c>
      <c r="CZ6" s="495">
        <v>12750.2017</v>
      </c>
      <c r="DA6" s="495">
        <v>13744.541799999999</v>
      </c>
      <c r="DB6" s="495">
        <v>885.46</v>
      </c>
      <c r="DC6" s="495">
        <v>196.4</v>
      </c>
      <c r="DD6" s="495">
        <v>12826.07</v>
      </c>
      <c r="DE6" s="495">
        <v>13907.93</v>
      </c>
      <c r="DF6" s="495">
        <v>909.76</v>
      </c>
      <c r="DG6" s="495">
        <v>202.91</v>
      </c>
      <c r="DH6" s="495">
        <v>12582.93</v>
      </c>
      <c r="DI6" s="495">
        <v>13695.6</v>
      </c>
      <c r="DJ6" s="495">
        <f t="shared" ref="DJ6:DJ17" si="0">R6+AP6+BN6+CL6</f>
        <v>3983.2253380409998</v>
      </c>
      <c r="DK6" s="495">
        <f t="shared" ref="DK6:DK17" si="1">S6+AQ6+BO6+CM6</f>
        <v>1071.3970116109999</v>
      </c>
      <c r="DL6" s="495">
        <f t="shared" ref="DL6:DL17" si="2">T6+AR6+BP6+CN6</f>
        <v>47776.005579605</v>
      </c>
      <c r="DM6" s="495">
        <f t="shared" ref="DM6:DM17" si="3">U6+AS6+BQ6+CO6</f>
        <v>52830.627929256996</v>
      </c>
      <c r="DN6" s="495">
        <f t="shared" ref="DN6:DN17" si="4">Z6+AT6+BR6+CP6</f>
        <v>4831.5794699569997</v>
      </c>
      <c r="DO6" s="495">
        <f t="shared" ref="DO6:DO17" si="5">AA6+AU6+BS6+CQ6</f>
        <v>1010.9970331669999</v>
      </c>
      <c r="DP6" s="495">
        <f t="shared" ref="DP6:DP17" si="6">AB6+AV6+BT6+CR6</f>
        <v>53471.447545748</v>
      </c>
      <c r="DQ6" s="495">
        <f t="shared" ref="DQ6:DQ17" si="7">AC6+AW6+BU6+CS6</f>
        <v>59314.024048872001</v>
      </c>
      <c r="DR6" s="495">
        <v>4084.4800241214639</v>
      </c>
      <c r="DS6" s="495">
        <v>1000.1516641538994</v>
      </c>
      <c r="DT6" s="495">
        <v>48395.511818274012</v>
      </c>
      <c r="DU6" s="495">
        <v>53480.143506549379</v>
      </c>
      <c r="DV6" s="495">
        <v>3958.3628450410001</v>
      </c>
      <c r="DW6" s="495">
        <v>994.11045041099999</v>
      </c>
      <c r="DX6" s="495">
        <v>50641.372361504997</v>
      </c>
      <c r="DY6" s="495">
        <v>55593.845656956997</v>
      </c>
      <c r="DZ6" s="495">
        <v>4564.253362857</v>
      </c>
      <c r="EA6" s="495">
        <v>976.6445016670001</v>
      </c>
      <c r="EB6" s="495">
        <v>52339.644633347998</v>
      </c>
      <c r="EC6" s="495">
        <v>57880.542497871997</v>
      </c>
      <c r="ED6" s="495">
        <v>5419.2299569910001</v>
      </c>
      <c r="EE6" s="495">
        <v>948.45697538599995</v>
      </c>
      <c r="EF6" s="495">
        <v>56052.435917968993</v>
      </c>
      <c r="EG6" s="495">
        <v>62420.122850346001</v>
      </c>
      <c r="EH6" s="495">
        <v>5420.9906383070002</v>
      </c>
      <c r="EI6" s="495">
        <v>1039.0182185589999</v>
      </c>
      <c r="EJ6" s="495">
        <v>60101.907410220003</v>
      </c>
      <c r="EK6" s="495">
        <v>66561.91626708601</v>
      </c>
      <c r="EL6" s="495">
        <v>0</v>
      </c>
      <c r="EM6" s="495">
        <v>0</v>
      </c>
      <c r="EN6" s="495">
        <v>-0.3538</v>
      </c>
      <c r="EO6" s="495">
        <v>-0.3538</v>
      </c>
      <c r="EP6" s="495">
        <v>0</v>
      </c>
      <c r="EQ6" s="495">
        <v>0</v>
      </c>
      <c r="ER6" s="495">
        <v>48.811010865014701</v>
      </c>
      <c r="ES6" s="495">
        <v>48.811010865014701</v>
      </c>
      <c r="ET6" s="495">
        <v>0</v>
      </c>
      <c r="EU6" s="495">
        <v>0</v>
      </c>
      <c r="EV6" s="495">
        <v>164.69515118469499</v>
      </c>
      <c r="EW6" s="495">
        <v>164.69515118469499</v>
      </c>
      <c r="EX6" s="495">
        <v>4.9217999999999996E-3</v>
      </c>
      <c r="EY6" s="495">
        <v>0</v>
      </c>
      <c r="EZ6" s="495">
        <v>174.21855165599999</v>
      </c>
      <c r="FA6" s="495">
        <v>174.22347345599999</v>
      </c>
      <c r="FB6" s="495">
        <v>2.3633399999999999E-2</v>
      </c>
      <c r="FC6" s="495">
        <v>0</v>
      </c>
      <c r="FD6" s="495">
        <v>446.41329298400001</v>
      </c>
      <c r="FE6" s="495">
        <v>446.436926384</v>
      </c>
      <c r="FF6" s="495">
        <v>176.3868353</v>
      </c>
      <c r="FG6" s="495">
        <v>83.974902599999993</v>
      </c>
      <c r="FH6" s="495">
        <v>4676.6839017000002</v>
      </c>
      <c r="FI6" s="495">
        <v>4937.0456396</v>
      </c>
      <c r="FJ6" s="495">
        <v>179.62899999999999</v>
      </c>
      <c r="FK6" s="495">
        <v>88.364199999999997</v>
      </c>
      <c r="FL6" s="495">
        <v>5790.5757000000003</v>
      </c>
      <c r="FM6" s="495">
        <v>6058.5689000000002</v>
      </c>
      <c r="FN6" s="495">
        <v>187.644386</v>
      </c>
      <c r="FO6" s="495">
        <v>103.8593134</v>
      </c>
      <c r="FP6" s="495">
        <v>6718.2731629999998</v>
      </c>
      <c r="FQ6" s="495">
        <v>7009.7768624</v>
      </c>
      <c r="FR6" s="495">
        <v>267.9557011</v>
      </c>
      <c r="FS6" s="495">
        <v>117.39901450000001</v>
      </c>
      <c r="FT6" s="495">
        <v>7820.8274998999996</v>
      </c>
      <c r="FU6" s="495">
        <v>8206.1822154999991</v>
      </c>
      <c r="FV6" s="495">
        <v>269.19883720000001</v>
      </c>
      <c r="FW6" s="495">
        <v>106.8109887</v>
      </c>
      <c r="FX6" s="495">
        <v>7060.1204073999997</v>
      </c>
      <c r="FY6" s="495">
        <v>7436.1302332999994</v>
      </c>
      <c r="FZ6" s="495">
        <v>252.2421085</v>
      </c>
      <c r="GA6" s="495">
        <v>119.8309004</v>
      </c>
      <c r="GB6" s="495">
        <v>7407.2951075999999</v>
      </c>
      <c r="GC6" s="495">
        <v>7779.3681164999998</v>
      </c>
      <c r="GD6" s="495">
        <v>9.5912557914368399</v>
      </c>
      <c r="GE6" s="495">
        <v>18.522910074401</v>
      </c>
      <c r="GF6" s="495">
        <v>1110.6832325807</v>
      </c>
      <c r="GG6" s="495">
        <v>1138.7973984465377</v>
      </c>
      <c r="GH6" s="495">
        <v>9.4820218407250199</v>
      </c>
      <c r="GI6" s="495">
        <v>13.987859902434799</v>
      </c>
      <c r="GJ6" s="495">
        <v>1189.9557011002901</v>
      </c>
      <c r="GK6" s="495">
        <v>1213.42558284345</v>
      </c>
      <c r="GL6" s="495">
        <v>18.432894877607701</v>
      </c>
      <c r="GM6" s="495">
        <v>26.6531135589725</v>
      </c>
      <c r="GN6" s="495">
        <v>1353.8961533004999</v>
      </c>
      <c r="GO6" s="495">
        <v>1398.9821617370801</v>
      </c>
      <c r="GP6" s="495">
        <v>28.647577856556399</v>
      </c>
      <c r="GQ6" s="495">
        <v>53.197229920088198</v>
      </c>
      <c r="GR6" s="495">
        <v>1747.81218638416</v>
      </c>
      <c r="GS6" s="495">
        <v>1829.6569941608045</v>
      </c>
      <c r="GT6" s="495">
        <v>48.719426912583103</v>
      </c>
      <c r="GU6" s="495">
        <v>45.6986599786106</v>
      </c>
      <c r="GV6" s="495">
        <v>1739.46678925485</v>
      </c>
      <c r="GW6" s="495">
        <v>1833.8848761460438</v>
      </c>
      <c r="GX6" s="495">
        <v>49.2281689</v>
      </c>
      <c r="GY6" s="495">
        <v>11.2239266</v>
      </c>
      <c r="GZ6" s="495">
        <v>2187.6191116</v>
      </c>
      <c r="HA6" s="495">
        <v>2248.0712070999998</v>
      </c>
      <c r="HB6" s="495">
        <v>81.187700000000007</v>
      </c>
      <c r="HC6" s="495">
        <v>15.849788200000001</v>
      </c>
      <c r="HD6" s="495">
        <v>2726.8042</v>
      </c>
      <c r="HE6" s="495">
        <v>2823.8416882000001</v>
      </c>
      <c r="HF6" s="495">
        <v>92.640900000000002</v>
      </c>
      <c r="HG6" s="495">
        <v>18.428479400000001</v>
      </c>
      <c r="HH6" s="495">
        <v>2938.8247999999999</v>
      </c>
      <c r="HI6" s="495">
        <v>3049.8941793999998</v>
      </c>
      <c r="HJ6" s="495">
        <v>95.909700000000001</v>
      </c>
      <c r="HK6" s="495">
        <v>19.986227899999999</v>
      </c>
      <c r="HL6" s="495">
        <v>3321.1104999999998</v>
      </c>
      <c r="HM6" s="495">
        <v>3437.0064278999998</v>
      </c>
      <c r="HN6" s="495">
        <v>122.5192255</v>
      </c>
      <c r="HO6" s="495">
        <v>25.223002999999999</v>
      </c>
      <c r="HP6" s="495">
        <v>3054.6939312</v>
      </c>
      <c r="HQ6" s="495">
        <v>3202.4361596999997</v>
      </c>
      <c r="HR6" s="495">
        <v>148.00635439999999</v>
      </c>
      <c r="HS6" s="495">
        <v>34.632189400000001</v>
      </c>
      <c r="HT6" s="495">
        <v>3254.4510685999999</v>
      </c>
      <c r="HU6" s="495">
        <v>3437.0896124000001</v>
      </c>
      <c r="HV6" s="495">
        <v>0</v>
      </c>
      <c r="HW6" s="495">
        <v>0</v>
      </c>
      <c r="HX6" s="495">
        <v>2.7536000000000001E-3</v>
      </c>
      <c r="HY6" s="495">
        <v>2.7536000000000001E-3</v>
      </c>
      <c r="HZ6" s="495">
        <v>0.616502047000001</v>
      </c>
      <c r="IA6" s="495">
        <v>-2.3064920000000402E-3</v>
      </c>
      <c r="IB6" s="495">
        <v>28.2001794829999</v>
      </c>
      <c r="IC6" s="495">
        <v>28.814375037999902</v>
      </c>
      <c r="ID6" s="495">
        <v>1.5143613</v>
      </c>
      <c r="IE6" s="495">
        <v>-7.9353800000000002E-2</v>
      </c>
      <c r="IF6" s="495">
        <v>91.110889783999994</v>
      </c>
      <c r="IG6" s="495">
        <v>92.545897283999992</v>
      </c>
      <c r="IH6" s="495">
        <v>1.7561385780000001</v>
      </c>
      <c r="II6" s="495">
        <v>3.1797546999999898E-2</v>
      </c>
      <c r="IJ6" s="495">
        <v>160.702665293</v>
      </c>
      <c r="IK6" s="495">
        <v>162.49060141799998</v>
      </c>
      <c r="IL6" s="495">
        <v>3.3468341210000001</v>
      </c>
      <c r="IM6" s="495">
        <v>0.34892707699999997</v>
      </c>
      <c r="IN6" s="495">
        <v>229.035965371</v>
      </c>
      <c r="IO6" s="495">
        <v>232.73172656899999</v>
      </c>
      <c r="IP6" s="495">
        <v>45.723058299999998</v>
      </c>
      <c r="IQ6" s="495">
        <v>46.996874699999999</v>
      </c>
      <c r="IR6" s="495">
        <v>995.18396399999995</v>
      </c>
      <c r="IS6" s="495">
        <v>1087.9038969999999</v>
      </c>
      <c r="IT6" s="495">
        <v>53.563353300000003</v>
      </c>
      <c r="IU6" s="495">
        <v>43.893081799999997</v>
      </c>
      <c r="IV6" s="495">
        <v>1182.7268319</v>
      </c>
      <c r="IW6" s="495">
        <v>1280.1832669999999</v>
      </c>
      <c r="IX6" s="495">
        <v>64.934815799999996</v>
      </c>
      <c r="IY6" s="495">
        <v>48.270480599999999</v>
      </c>
      <c r="IZ6" s="495">
        <v>1461.5096060000001</v>
      </c>
      <c r="JA6" s="495">
        <v>1574.7149024</v>
      </c>
      <c r="JB6" s="495">
        <v>91.776600000000002</v>
      </c>
      <c r="JC6" s="495">
        <v>52.343456799999998</v>
      </c>
      <c r="JD6" s="495">
        <v>1837.4611</v>
      </c>
      <c r="JE6" s="495">
        <v>1981.5811567999999</v>
      </c>
      <c r="JF6" s="495">
        <v>131.20849999999999</v>
      </c>
      <c r="JG6" s="495">
        <v>49.221978200000002</v>
      </c>
      <c r="JH6" s="495">
        <v>2001.8966</v>
      </c>
      <c r="JI6" s="495">
        <v>2182.3270782</v>
      </c>
      <c r="JJ6" s="495">
        <v>161.03528840000001</v>
      </c>
      <c r="JK6" s="495">
        <v>66.857860200000005</v>
      </c>
      <c r="JL6" s="495">
        <v>2225.5713906000001</v>
      </c>
      <c r="JM6" s="495">
        <v>2453.4645392000002</v>
      </c>
      <c r="JN6" s="495">
        <v>-0.10299999999999999</v>
      </c>
      <c r="JO6" s="495">
        <v>0</v>
      </c>
      <c r="JP6" s="495">
        <v>7.5679999999999996</v>
      </c>
      <c r="JQ6" s="495">
        <v>7.4649999999999999</v>
      </c>
      <c r="JR6" s="495">
        <v>3.5599864999999999</v>
      </c>
      <c r="JS6" s="495">
        <v>4.5342000000000004E-3</v>
      </c>
      <c r="JT6" s="495">
        <v>496.41243459999998</v>
      </c>
      <c r="JU6" s="495">
        <v>499.97695529999999</v>
      </c>
      <c r="JV6" s="495">
        <v>15.062200000000001</v>
      </c>
      <c r="JW6" s="495">
        <v>4.4499999999999998E-2</v>
      </c>
      <c r="JX6" s="495">
        <v>1226.2384</v>
      </c>
      <c r="JY6" s="495">
        <v>1241.3451</v>
      </c>
      <c r="JZ6" s="495">
        <v>37.342090300000002</v>
      </c>
      <c r="KA6" s="495">
        <v>0.87566960000000005</v>
      </c>
      <c r="KB6" s="495">
        <v>1905.4708194</v>
      </c>
      <c r="KC6" s="495">
        <v>1943.6885792999999</v>
      </c>
      <c r="KD6" s="495">
        <v>56.948418400000001</v>
      </c>
      <c r="KE6" s="495">
        <v>0.98825980000000002</v>
      </c>
      <c r="KF6" s="495">
        <v>3346.2880303000002</v>
      </c>
      <c r="KG6" s="495">
        <v>3404.2247084999999</v>
      </c>
      <c r="KH6" s="495">
        <v>25.236999999999998</v>
      </c>
      <c r="KI6" s="495">
        <v>19.728000000000002</v>
      </c>
      <c r="KJ6" s="495">
        <v>944.13699999999994</v>
      </c>
      <c r="KK6" s="495">
        <v>989.10199999999998</v>
      </c>
      <c r="KL6" s="495">
        <v>97.362899999999996</v>
      </c>
      <c r="KM6" s="495">
        <v>48.613300000000002</v>
      </c>
      <c r="KN6" s="495">
        <v>2848.5234999999998</v>
      </c>
      <c r="KO6" s="495">
        <v>2994.4996999999998</v>
      </c>
      <c r="KP6" s="495">
        <v>99.137</v>
      </c>
      <c r="KQ6" s="495">
        <v>60.325200000000002</v>
      </c>
      <c r="KR6" s="495">
        <v>3650.5484999999999</v>
      </c>
      <c r="KS6" s="495">
        <v>3810.0106999999998</v>
      </c>
      <c r="KT6" s="495">
        <v>145.94300000000001</v>
      </c>
      <c r="KU6" s="495">
        <v>72.125100000000003</v>
      </c>
      <c r="KV6" s="495">
        <v>4165.4192000000003</v>
      </c>
      <c r="KW6" s="495">
        <v>4383.4873000000007</v>
      </c>
      <c r="KX6" s="495">
        <v>240.11</v>
      </c>
      <c r="KY6" s="495">
        <v>79.760000000000005</v>
      </c>
      <c r="KZ6" s="495">
        <v>6085.72</v>
      </c>
      <c r="LA6" s="495">
        <v>6405.59</v>
      </c>
      <c r="LB6" s="495">
        <v>284.35108459911402</v>
      </c>
      <c r="LC6" s="495">
        <v>121.556346486504</v>
      </c>
      <c r="LD6" s="495">
        <v>6472.7401138069499</v>
      </c>
      <c r="LE6" s="495">
        <v>6878.6475448925603</v>
      </c>
      <c r="LF6" s="495">
        <v>123.7078688</v>
      </c>
      <c r="LG6" s="495">
        <v>192.0764618</v>
      </c>
      <c r="LH6" s="495">
        <v>5847.8198474000001</v>
      </c>
      <c r="LI6" s="495">
        <v>6163.6041779999996</v>
      </c>
      <c r="LJ6" s="495">
        <v>144.09123149999999</v>
      </c>
      <c r="LK6" s="495">
        <v>195.75593190000001</v>
      </c>
      <c r="LL6" s="495">
        <v>6571.8876786000001</v>
      </c>
      <c r="LM6" s="495">
        <v>6911.7348419999998</v>
      </c>
      <c r="LN6" s="495">
        <v>157.88399999999999</v>
      </c>
      <c r="LO6" s="495">
        <v>236.72926340000001</v>
      </c>
      <c r="LP6" s="495">
        <v>7980.7344999999996</v>
      </c>
      <c r="LQ6" s="495">
        <v>8375.3477633999992</v>
      </c>
      <c r="LR6" s="495">
        <v>273.58179999999999</v>
      </c>
      <c r="LS6" s="495">
        <v>256.31821789999998</v>
      </c>
      <c r="LT6" s="495">
        <v>8873.6170000000002</v>
      </c>
      <c r="LU6" s="495">
        <v>9403.5170178999997</v>
      </c>
      <c r="LV6" s="495">
        <v>476.75631579999998</v>
      </c>
      <c r="LW6" s="495">
        <v>260.15275530000002</v>
      </c>
      <c r="LX6" s="495">
        <v>9277.0849725999997</v>
      </c>
      <c r="LY6" s="495">
        <v>10013.9940437</v>
      </c>
      <c r="LZ6" s="495">
        <v>674.47</v>
      </c>
      <c r="MA6" s="495">
        <v>376.8</v>
      </c>
      <c r="MB6" s="495">
        <v>11980.81</v>
      </c>
      <c r="MC6" s="495">
        <v>13032.08</v>
      </c>
      <c r="MD6" s="495">
        <v>40.3317294</v>
      </c>
      <c r="ME6" s="495">
        <v>53.427009400000003</v>
      </c>
      <c r="MF6" s="495">
        <v>3417.2398386</v>
      </c>
      <c r="MG6" s="495">
        <v>3510.9985774000002</v>
      </c>
      <c r="MH6" s="495">
        <v>48.1413224</v>
      </c>
      <c r="MI6" s="495">
        <v>57.607342899999999</v>
      </c>
      <c r="MJ6" s="495">
        <v>3130.5598761000001</v>
      </c>
      <c r="MK6" s="495">
        <v>3236.3085414000002</v>
      </c>
      <c r="ML6" s="495">
        <v>47.131439499999999</v>
      </c>
      <c r="MM6" s="495">
        <v>68.307078200000007</v>
      </c>
      <c r="MN6" s="495">
        <v>3914.879735</v>
      </c>
      <c r="MO6" s="495">
        <v>4030.3182526999999</v>
      </c>
      <c r="MP6" s="495">
        <v>59.2286</v>
      </c>
      <c r="MQ6" s="495">
        <v>73.684799999999996</v>
      </c>
      <c r="MR6" s="495">
        <v>4492.4079000000002</v>
      </c>
      <c r="MS6" s="495">
        <v>4625.3213000000005</v>
      </c>
      <c r="MT6" s="495">
        <v>83.167456999999999</v>
      </c>
      <c r="MU6" s="495">
        <v>75.536392599999999</v>
      </c>
      <c r="MV6" s="495">
        <v>4740.0554812999999</v>
      </c>
      <c r="MW6" s="495">
        <v>4898.7593309000004</v>
      </c>
      <c r="MX6" s="495">
        <v>124.7112012</v>
      </c>
      <c r="MY6" s="495">
        <v>114.9565231</v>
      </c>
      <c r="MZ6" s="495">
        <v>5325.5828570000003</v>
      </c>
      <c r="NA6" s="495">
        <v>5565.2505812999998</v>
      </c>
      <c r="NB6" s="495">
        <v>1.4261843999999999</v>
      </c>
      <c r="NC6" s="495">
        <v>0</v>
      </c>
      <c r="ND6" s="495">
        <v>31.431135000000001</v>
      </c>
      <c r="NE6" s="495">
        <v>32.857319400000002</v>
      </c>
      <c r="NF6" s="495">
        <v>2.3564167</v>
      </c>
      <c r="NG6" s="495">
        <v>0</v>
      </c>
      <c r="NH6" s="495">
        <v>113.5184096</v>
      </c>
      <c r="NI6" s="495">
        <v>115.8748263</v>
      </c>
      <c r="NJ6" s="495">
        <v>4.9760312999999998</v>
      </c>
      <c r="NK6" s="495">
        <v>0</v>
      </c>
      <c r="NL6" s="495">
        <v>192.37891999999999</v>
      </c>
      <c r="NM6" s="495">
        <v>197.35495129999998</v>
      </c>
      <c r="NN6" s="495">
        <v>7.3519763999999999</v>
      </c>
      <c r="NO6" s="495">
        <v>0</v>
      </c>
      <c r="NP6" s="495">
        <v>283.53753369999998</v>
      </c>
      <c r="NQ6" s="495">
        <v>290.8895101</v>
      </c>
      <c r="NR6" s="495">
        <v>8.6751248000000007</v>
      </c>
      <c r="NS6" s="495">
        <v>-2.4489999999999999E-4</v>
      </c>
      <c r="NT6" s="495">
        <v>380.6376684</v>
      </c>
      <c r="NU6" s="495">
        <v>389.3125483</v>
      </c>
      <c r="NV6" s="495">
        <v>11.688915700000001</v>
      </c>
      <c r="NW6" s="495">
        <v>0.18708759999999999</v>
      </c>
      <c r="NX6" s="495">
        <v>470.46603599999997</v>
      </c>
      <c r="NY6" s="495">
        <v>482.34203930000001</v>
      </c>
      <c r="NZ6" s="495">
        <v>3.482297033</v>
      </c>
      <c r="OA6" s="495">
        <v>6.302894201</v>
      </c>
      <c r="OB6" s="495">
        <v>407.184182781</v>
      </c>
      <c r="OC6" s="495">
        <v>416.96937401500003</v>
      </c>
      <c r="OD6" s="495">
        <v>2.9889452580000002</v>
      </c>
      <c r="OE6" s="495">
        <v>10.419771912</v>
      </c>
      <c r="OF6" s="495">
        <v>565.72361523699999</v>
      </c>
      <c r="OG6" s="495">
        <v>579.13233240700004</v>
      </c>
      <c r="OH6" s="495">
        <v>3.7497418969999998</v>
      </c>
      <c r="OI6" s="495">
        <v>16.325578295</v>
      </c>
      <c r="OJ6" s="495">
        <v>785.36617200800004</v>
      </c>
      <c r="OK6" s="495">
        <v>805.44149220000008</v>
      </c>
      <c r="OL6" s="495">
        <v>8.7645501729999999</v>
      </c>
      <c r="OM6" s="495">
        <v>23.357238285000001</v>
      </c>
      <c r="ON6" s="495">
        <v>1128.5851750649999</v>
      </c>
      <c r="OO6" s="495">
        <v>1160.706963523</v>
      </c>
      <c r="OP6" s="495">
        <v>18.106269523000002</v>
      </c>
      <c r="OQ6" s="495">
        <v>22.642833718999999</v>
      </c>
      <c r="OR6" s="495">
        <v>1198.1437786480001</v>
      </c>
      <c r="OS6" s="495">
        <v>1238.8928818900001</v>
      </c>
      <c r="OT6" s="495">
        <v>25.073641806000001</v>
      </c>
      <c r="OU6" s="495">
        <v>33.276795659000001</v>
      </c>
      <c r="OV6" s="495">
        <v>1202.533199037</v>
      </c>
      <c r="OW6" s="495">
        <v>1260.8836365019999</v>
      </c>
      <c r="OX6" s="495">
        <v>7.0528753489999998</v>
      </c>
      <c r="OY6" s="495">
        <v>1.4972382959999999</v>
      </c>
      <c r="OZ6" s="495">
        <v>318.53932101782499</v>
      </c>
      <c r="PA6" s="495">
        <v>327.089434662825</v>
      </c>
      <c r="PB6" s="495">
        <v>5.0438999999999998</v>
      </c>
      <c r="PC6" s="495">
        <v>0.9577</v>
      </c>
      <c r="PD6" s="495">
        <v>328.574054669529</v>
      </c>
      <c r="PE6" s="495">
        <v>334.575654669529</v>
      </c>
      <c r="PF6" s="495">
        <v>6.1969927</v>
      </c>
      <c r="PG6" s="495">
        <v>1.1394569000000001</v>
      </c>
      <c r="PH6" s="495">
        <v>377.60986989999998</v>
      </c>
      <c r="PI6" s="495">
        <v>384.94631949999996</v>
      </c>
      <c r="PJ6" s="495">
        <v>8.1154960999999997</v>
      </c>
      <c r="PK6" s="495">
        <v>0.93563039999999997</v>
      </c>
      <c r="PL6" s="495">
        <v>699.24588900000003</v>
      </c>
      <c r="PM6" s="495">
        <v>708.29701550000004</v>
      </c>
      <c r="PN6" s="495">
        <v>20.834015300000001</v>
      </c>
      <c r="PO6" s="495">
        <v>0.81850339999999999</v>
      </c>
      <c r="PP6" s="495">
        <v>740.04485380000006</v>
      </c>
      <c r="PQ6" s="495">
        <v>761.69737250000003</v>
      </c>
      <c r="PR6" s="495">
        <v>27.733350600000001</v>
      </c>
      <c r="PS6" s="495">
        <v>1.0583254</v>
      </c>
      <c r="PT6" s="495">
        <v>885.42034120000005</v>
      </c>
      <c r="PU6" s="495">
        <v>914.21201719999999</v>
      </c>
      <c r="PV6" s="495">
        <v>27.707746808</v>
      </c>
      <c r="PW6" s="495">
        <v>0</v>
      </c>
      <c r="PX6" s="495">
        <v>16.872341507000002</v>
      </c>
      <c r="PY6" s="495">
        <v>44.580088314999998</v>
      </c>
      <c r="PZ6" s="495">
        <v>52.235793153000003</v>
      </c>
      <c r="QA6" s="495">
        <v>0</v>
      </c>
      <c r="QB6" s="495">
        <v>56.076646197999999</v>
      </c>
      <c r="QC6" s="495">
        <v>108.31243935099999</v>
      </c>
      <c r="QD6" s="495">
        <v>30.457917722000001</v>
      </c>
      <c r="QE6" s="495">
        <v>0</v>
      </c>
      <c r="QF6" s="495">
        <v>91.971268863999995</v>
      </c>
      <c r="QG6" s="495">
        <v>122.429186586</v>
      </c>
      <c r="QH6" s="495">
        <v>6.162861554</v>
      </c>
      <c r="QI6" s="495">
        <v>0</v>
      </c>
      <c r="QJ6" s="495">
        <v>82.222316422999995</v>
      </c>
      <c r="QK6" s="495">
        <v>88.385177976999998</v>
      </c>
      <c r="QL6" s="495">
        <v>9.49</v>
      </c>
      <c r="QM6" s="495">
        <v>0</v>
      </c>
      <c r="QN6" s="495">
        <v>78.989999999999995</v>
      </c>
      <c r="QO6" s="495">
        <v>88.47999999999999</v>
      </c>
      <c r="QP6" s="495">
        <v>0.32530170000000003</v>
      </c>
      <c r="QQ6" s="495">
        <v>7.0245000000000004E-3</v>
      </c>
      <c r="QR6" s="495">
        <v>37.131157799999997</v>
      </c>
      <c r="QS6" s="495">
        <v>37.463483999999994</v>
      </c>
      <c r="QT6" s="495">
        <v>0.57763279999999995</v>
      </c>
      <c r="QU6" s="495">
        <v>3.3580600000000002E-2</v>
      </c>
      <c r="QV6" s="495">
        <v>59.580208300000002</v>
      </c>
      <c r="QW6" s="495">
        <v>60.191421699999999</v>
      </c>
      <c r="QX6" s="495">
        <v>0.48807820000000002</v>
      </c>
      <c r="QY6" s="495">
        <v>5.5852600000000002E-2</v>
      </c>
      <c r="QZ6" s="495">
        <v>89.022423500000002</v>
      </c>
      <c r="RA6" s="495">
        <v>89.5663543</v>
      </c>
      <c r="RB6" s="495">
        <v>0.8694923</v>
      </c>
      <c r="RC6" s="495">
        <v>2.64491E-2</v>
      </c>
      <c r="RD6" s="495">
        <v>113.4061526</v>
      </c>
      <c r="RE6" s="495">
        <v>114.302094</v>
      </c>
      <c r="RF6" s="495">
        <v>3.0497860999999999</v>
      </c>
      <c r="RG6" s="495">
        <v>0.2103785</v>
      </c>
      <c r="RH6" s="495">
        <v>179.64147059999999</v>
      </c>
      <c r="RI6" s="495">
        <v>182.90163519999999</v>
      </c>
      <c r="RJ6" s="495">
        <v>2.7466381000000002</v>
      </c>
      <c r="RK6" s="495">
        <v>1.29882E-2</v>
      </c>
      <c r="RL6" s="495">
        <v>294.2829294</v>
      </c>
      <c r="RM6" s="495">
        <v>297.04255569999998</v>
      </c>
      <c r="RN6" s="495">
        <v>63.267848151524298</v>
      </c>
      <c r="RO6" s="495">
        <v>17.719740123573398</v>
      </c>
      <c r="RP6" s="495">
        <v>2007.9610987447099</v>
      </c>
      <c r="RQ6" s="495">
        <v>2088.9486870198075</v>
      </c>
      <c r="RR6" s="495">
        <v>76.8400727752676</v>
      </c>
      <c r="RS6" s="495">
        <v>5.4138979039379</v>
      </c>
      <c r="RT6" s="495">
        <v>2773.4066942428699</v>
      </c>
      <c r="RU6" s="495">
        <v>2855.6606649220798</v>
      </c>
      <c r="RV6" s="495">
        <v>103.837787381298</v>
      </c>
      <c r="RW6" s="495">
        <v>5.7903180494175004</v>
      </c>
      <c r="RX6" s="495">
        <v>3422.6213467578</v>
      </c>
      <c r="RY6" s="495">
        <v>3532.2494521885155</v>
      </c>
      <c r="RZ6" s="495">
        <v>167.558005646102</v>
      </c>
      <c r="SA6" s="495">
        <v>6.4009165634256</v>
      </c>
      <c r="SB6" s="495">
        <v>3904.6513948561001</v>
      </c>
      <c r="SC6" s="495">
        <v>4078.6103170656279</v>
      </c>
      <c r="SD6" s="495">
        <v>243.64839467488099</v>
      </c>
      <c r="SE6" s="495">
        <v>10.8233425373723</v>
      </c>
      <c r="SF6" s="495">
        <v>3406.6414053458702</v>
      </c>
      <c r="SG6" s="495">
        <v>3661.1131425581234</v>
      </c>
      <c r="SH6" s="495">
        <v>344.13865161467203</v>
      </c>
      <c r="SI6" s="495">
        <v>18.691081480245899</v>
      </c>
      <c r="SJ6" s="495">
        <v>4770.9685595722704</v>
      </c>
      <c r="SK6" s="495">
        <v>5133.7982926671903</v>
      </c>
      <c r="SL6" s="495">
        <v>24.290380500000001</v>
      </c>
      <c r="SM6" s="495">
        <v>14.7584286</v>
      </c>
      <c r="SN6" s="495">
        <v>1681.9390238000001</v>
      </c>
      <c r="SO6" s="495">
        <v>1720.9878329000001</v>
      </c>
      <c r="SP6" s="495">
        <v>29.9240681</v>
      </c>
      <c r="SQ6" s="495">
        <v>16.069952900000001</v>
      </c>
      <c r="SR6" s="495">
        <v>1894.4470108999999</v>
      </c>
      <c r="SS6" s="495">
        <v>1940.4410319000001</v>
      </c>
      <c r="ST6" s="495">
        <v>30.819494599999999</v>
      </c>
      <c r="SU6" s="495">
        <v>18.350930099999999</v>
      </c>
      <c r="SV6" s="495">
        <v>2137.0186776999999</v>
      </c>
      <c r="SW6" s="495">
        <v>2186.1891023999997</v>
      </c>
      <c r="SX6" s="495">
        <v>38.071195500000002</v>
      </c>
      <c r="SY6" s="495">
        <v>19.9702415</v>
      </c>
      <c r="SZ6" s="495">
        <v>2222.0742378999998</v>
      </c>
      <c r="TA6" s="495">
        <v>2280.1156748999997</v>
      </c>
      <c r="TB6" s="495">
        <v>55.096461400000003</v>
      </c>
      <c r="TC6" s="495">
        <v>19.6551115</v>
      </c>
      <c r="TD6" s="495">
        <v>2040.4493001999999</v>
      </c>
      <c r="TE6" s="495">
        <v>2115.2008731000001</v>
      </c>
      <c r="TF6" s="495">
        <v>61.233792700000002</v>
      </c>
      <c r="TG6" s="495">
        <v>21.981143899999999</v>
      </c>
      <c r="TH6" s="495">
        <v>2088.0052007999998</v>
      </c>
      <c r="TI6" s="495">
        <v>2171.2201374000001</v>
      </c>
      <c r="TJ6" s="495">
        <v>171.922863871</v>
      </c>
      <c r="TK6" s="495">
        <v>14.081150378</v>
      </c>
      <c r="TL6" s="495">
        <v>1290.420315419</v>
      </c>
      <c r="TM6" s="495">
        <v>1476.4243296679999</v>
      </c>
      <c r="TN6" s="495">
        <v>138.34468191799999</v>
      </c>
      <c r="TO6" s="495">
        <v>10.785736925</v>
      </c>
      <c r="TP6" s="495">
        <v>1692.74219288366</v>
      </c>
      <c r="TQ6" s="495">
        <v>1841.8726117266599</v>
      </c>
      <c r="TR6" s="495">
        <v>153.61818451900001</v>
      </c>
      <c r="TS6" s="495">
        <v>12.059974744</v>
      </c>
      <c r="TT6" s="495">
        <v>2222.7055300000902</v>
      </c>
      <c r="TU6" s="495">
        <v>2388.3836892630902</v>
      </c>
      <c r="TV6" s="495">
        <v>199.04244499000001</v>
      </c>
      <c r="TW6" s="495">
        <v>17.740958385999999</v>
      </c>
      <c r="TX6" s="495">
        <v>2813.9112441479301</v>
      </c>
      <c r="TY6" s="495">
        <v>3030.6946475239301</v>
      </c>
      <c r="TZ6" s="495">
        <v>281.9719824</v>
      </c>
      <c r="UA6" s="495">
        <v>23.2629646</v>
      </c>
      <c r="UB6" s="495">
        <v>3185.3474180902499</v>
      </c>
      <c r="UC6" s="495">
        <v>3490.5823650902498</v>
      </c>
      <c r="UD6" s="495">
        <v>347.95062460000003</v>
      </c>
      <c r="UE6" s="495">
        <v>41.256635199999998</v>
      </c>
      <c r="UF6" s="495">
        <v>3874.7499109</v>
      </c>
      <c r="UG6" s="495">
        <v>4263.9571706999996</v>
      </c>
      <c r="UH6" s="495">
        <v>12.022937499999999</v>
      </c>
      <c r="UI6" s="495">
        <v>0.76461959999999995</v>
      </c>
      <c r="UJ6" s="495">
        <v>1669.5503274</v>
      </c>
      <c r="UK6" s="495">
        <v>1682.3378845</v>
      </c>
      <c r="UL6" s="495">
        <v>17.9317122</v>
      </c>
      <c r="UM6" s="495">
        <v>1.2640100000000001</v>
      </c>
      <c r="UN6" s="495">
        <v>1835.698011</v>
      </c>
      <c r="UO6" s="495">
        <v>1854.8937332</v>
      </c>
      <c r="UP6" s="495">
        <v>19.0107967</v>
      </c>
      <c r="UQ6" s="495">
        <v>1.3008667</v>
      </c>
      <c r="UR6" s="495">
        <v>2039.1161557</v>
      </c>
      <c r="US6" s="495">
        <v>2059.4278190999999</v>
      </c>
      <c r="UT6" s="495">
        <v>16.043296699999999</v>
      </c>
      <c r="UU6" s="495">
        <v>0.94798789999999999</v>
      </c>
      <c r="UV6" s="495">
        <v>2253.0510032000002</v>
      </c>
      <c r="UW6" s="495">
        <v>2270.0422878000004</v>
      </c>
      <c r="UX6" s="495">
        <v>18.611893999999999</v>
      </c>
      <c r="UY6" s="495">
        <v>0.72423130000000002</v>
      </c>
      <c r="UZ6" s="495">
        <v>2122.4369296</v>
      </c>
      <c r="VA6" s="495">
        <v>2141.7730548999998</v>
      </c>
      <c r="VB6" s="495">
        <v>22.37</v>
      </c>
      <c r="VC6" s="495">
        <v>0.5</v>
      </c>
      <c r="VD6" s="495">
        <v>1771.78</v>
      </c>
      <c r="VE6" s="495">
        <v>1794.6499999999999</v>
      </c>
      <c r="VF6" s="495">
        <v>33.744100000000003</v>
      </c>
      <c r="VG6" s="495">
        <v>231.92750000000001</v>
      </c>
      <c r="VH6" s="495">
        <v>2141.7685000000001</v>
      </c>
      <c r="VI6" s="495">
        <v>2407.4401000000003</v>
      </c>
      <c r="VJ6" s="495">
        <v>66.066525100000007</v>
      </c>
      <c r="VK6" s="495">
        <v>247.70959880000001</v>
      </c>
      <c r="VL6" s="495">
        <v>3013.1906482999998</v>
      </c>
      <c r="VM6" s="495">
        <v>3326.9667721999999</v>
      </c>
      <c r="VN6" s="495">
        <v>106.4416792</v>
      </c>
      <c r="VO6" s="495">
        <v>280.37645830000002</v>
      </c>
      <c r="VP6" s="495">
        <v>4191.3959654999999</v>
      </c>
      <c r="VQ6" s="495">
        <v>4578.2141030000003</v>
      </c>
      <c r="VR6" s="495">
        <v>158.02080000000001</v>
      </c>
      <c r="VS6" s="495">
        <v>298.76554629999998</v>
      </c>
      <c r="VT6" s="495">
        <v>4396.0082000000002</v>
      </c>
      <c r="VU6" s="495">
        <v>4852.7945463000005</v>
      </c>
      <c r="VV6" s="495">
        <v>244.30082659999999</v>
      </c>
      <c r="VW6" s="495">
        <v>297.28544340000002</v>
      </c>
      <c r="VX6" s="495">
        <v>4393.8462166999998</v>
      </c>
      <c r="VY6" s="495">
        <v>4935.4324866999996</v>
      </c>
      <c r="VZ6" s="495">
        <v>409.327322111</v>
      </c>
      <c r="WA6" s="495">
        <v>419.43888896099998</v>
      </c>
      <c r="WB6" s="495">
        <v>5802.7826131829997</v>
      </c>
      <c r="WC6" s="495">
        <v>6631.548824255</v>
      </c>
      <c r="WD6" s="495">
        <v>58.552140199999997</v>
      </c>
      <c r="WE6" s="495">
        <v>6.622242</v>
      </c>
      <c r="WF6" s="495">
        <v>597.27761539999995</v>
      </c>
      <c r="WG6" s="495">
        <v>662.45199759999991</v>
      </c>
      <c r="WH6" s="495">
        <v>58.94661</v>
      </c>
      <c r="WI6" s="495">
        <v>5.6910777000000001</v>
      </c>
      <c r="WJ6" s="495">
        <v>1132.6500043000001</v>
      </c>
      <c r="WK6" s="495">
        <v>1197.2876920000001</v>
      </c>
      <c r="WL6" s="495">
        <v>58.242337200000001</v>
      </c>
      <c r="WM6" s="495">
        <v>5.5531081000000002</v>
      </c>
      <c r="WN6" s="495">
        <v>1185.2637592000001</v>
      </c>
      <c r="WO6" s="495">
        <v>1249.0592045000001</v>
      </c>
      <c r="WP6" s="495">
        <v>58.825169299999999</v>
      </c>
      <c r="WQ6" s="495">
        <v>6.2642449999999998</v>
      </c>
      <c r="WR6" s="495">
        <v>1247.4770254</v>
      </c>
      <c r="WS6" s="495">
        <v>1312.5664397</v>
      </c>
      <c r="WT6" s="495">
        <v>56.2721205</v>
      </c>
      <c r="WU6" s="495">
        <v>3.7343437000000002</v>
      </c>
      <c r="WV6" s="495">
        <v>1251.3456318000001</v>
      </c>
      <c r="WW6" s="495">
        <v>1311.3520960000001</v>
      </c>
      <c r="WX6" s="495">
        <v>59.659630300000003</v>
      </c>
      <c r="WY6" s="495">
        <v>4.6696517999999996</v>
      </c>
      <c r="WZ6" s="495">
        <v>1292.876315</v>
      </c>
      <c r="XA6" s="495">
        <v>1357.2055971</v>
      </c>
      <c r="XB6" s="495">
        <v>907.96002919529883</v>
      </c>
      <c r="XC6" s="495">
        <v>763.73567045604659</v>
      </c>
      <c r="XD6" s="495">
        <v>30908.376079249432</v>
      </c>
      <c r="XE6" s="495">
        <v>32580.071778900783</v>
      </c>
      <c r="XF6" s="495">
        <v>1040.0828406999924</v>
      </c>
      <c r="XG6" s="495">
        <v>762.41683144337264</v>
      </c>
      <c r="XH6" s="495">
        <v>36874.653632240348</v>
      </c>
      <c r="XI6" s="495">
        <v>38677.153304383726</v>
      </c>
      <c r="XJ6" s="495">
        <v>1211.5988415749059</v>
      </c>
      <c r="XK6" s="495">
        <v>903.52770005539003</v>
      </c>
      <c r="XL6" s="495">
        <v>45290.665548712401</v>
      </c>
      <c r="XM6" s="495">
        <v>47405.7920903427</v>
      </c>
      <c r="XN6" s="495">
        <v>1672.7398850876584</v>
      </c>
      <c r="XO6" s="495">
        <v>1019.4284066545137</v>
      </c>
      <c r="XP6" s="495">
        <v>52894.618951985882</v>
      </c>
      <c r="XQ6" s="495">
        <v>55586.787243728046</v>
      </c>
      <c r="XR6" s="495">
        <v>2367.5126499424641</v>
      </c>
      <c r="XS6" s="495">
        <v>1022.4681526819829</v>
      </c>
      <c r="XT6" s="495">
        <v>55180.187207710973</v>
      </c>
      <c r="XU6" s="495">
        <v>58570.168010335416</v>
      </c>
      <c r="XV6" s="495">
        <v>3026.5474905517858</v>
      </c>
      <c r="XW6" s="495">
        <v>1377.0436046637501</v>
      </c>
      <c r="XX6" s="495">
        <v>63221.042931354219</v>
      </c>
      <c r="XY6" s="495">
        <v>67624.634026569751</v>
      </c>
      <c r="XZ6" s="495">
        <v>13.483144100000001</v>
      </c>
      <c r="YA6" s="495">
        <v>151.9812225</v>
      </c>
      <c r="YB6" s="495">
        <v>348.22797802636899</v>
      </c>
      <c r="YC6" s="495">
        <v>585.40792752321397</v>
      </c>
      <c r="YD6" s="495">
        <v>847.23288126103296</v>
      </c>
      <c r="YE6" s="495">
        <v>1189.2881143411801</v>
      </c>
      <c r="YF6" s="495">
        <v>287.72722139500098</v>
      </c>
      <c r="YG6" s="495">
        <v>484.00168159999998</v>
      </c>
      <c r="YH6" s="495">
        <v>679.67463859999998</v>
      </c>
      <c r="YI6" s="495">
        <v>1091.2035243</v>
      </c>
      <c r="YJ6" s="495">
        <v>1508.4505773999999</v>
      </c>
      <c r="YK6" s="495">
        <v>1729.4695033</v>
      </c>
      <c r="YL6" s="495">
        <v>2510.8424301810001</v>
      </c>
      <c r="YM6" s="495">
        <v>774.89757159999999</v>
      </c>
      <c r="YN6" s="495">
        <v>1101.3078442000001</v>
      </c>
      <c r="YO6" s="495">
        <v>1264.3408324</v>
      </c>
      <c r="YP6" s="495">
        <v>1672.8992931</v>
      </c>
      <c r="YQ6" s="495">
        <v>1908.3356848000001</v>
      </c>
      <c r="YR6" s="495">
        <v>70.957007231999995</v>
      </c>
      <c r="YS6" s="495">
        <v>181.76866519000001</v>
      </c>
      <c r="YT6" s="495">
        <v>266.139088614</v>
      </c>
      <c r="YU6" s="495">
        <v>392.517280562</v>
      </c>
      <c r="YV6" s="495">
        <v>503.43570946800003</v>
      </c>
      <c r="YW6" s="495">
        <v>631.36670046499898</v>
      </c>
      <c r="YX6" s="495">
        <v>824.98445128000105</v>
      </c>
      <c r="YY6" s="495">
        <v>393.109568669282</v>
      </c>
      <c r="YZ6" s="495">
        <v>544.281049994917</v>
      </c>
      <c r="ZA6" s="495">
        <v>575.85420467993401</v>
      </c>
      <c r="ZB6" s="495">
        <v>659.478846823852</v>
      </c>
      <c r="ZC6" s="495">
        <v>841.06912445399996</v>
      </c>
      <c r="ZD6" s="495">
        <v>1150.8666242920001</v>
      </c>
      <c r="ZE6" s="495">
        <v>1752.5097814012599</v>
      </c>
      <c r="ZF6" s="495">
        <v>1.3579209999999999</v>
      </c>
      <c r="ZG6" s="495">
        <v>3.4119000000000002</v>
      </c>
      <c r="ZH6" s="495">
        <v>1.62</v>
      </c>
      <c r="ZI6" s="495">
        <v>0.28999999999999998</v>
      </c>
      <c r="ZJ6" s="495">
        <v>1513.8717202831899</v>
      </c>
      <c r="ZK6" s="495">
        <v>1911.4547511778101</v>
      </c>
      <c r="ZL6" s="495">
        <v>2739.5999578579999</v>
      </c>
      <c r="ZM6" s="495">
        <v>3662.3737375790402</v>
      </c>
      <c r="ZN6" s="495">
        <v>4684.0920999999998</v>
      </c>
      <c r="ZO6" s="495">
        <v>4626.63</v>
      </c>
      <c r="ZP6" s="495">
        <v>9809.1621779962297</v>
      </c>
      <c r="ZQ6" s="495">
        <f>YF6+YM6+YR6+YY6+ZJ6</f>
        <v>3040.5630891794726</v>
      </c>
      <c r="ZR6" s="495">
        <v>4236.2971362627268</v>
      </c>
      <c r="ZS6" s="495">
        <v>5677.5899446519343</v>
      </c>
      <c r="ZT6" s="495">
        <v>7828.0585813912612</v>
      </c>
      <c r="ZU6" s="495">
        <v>10034.203023645199</v>
      </c>
      <c r="ZV6" s="495">
        <v>8987.1857093180315</v>
      </c>
      <c r="ZW6" s="495">
        <v>16087.076955199671</v>
      </c>
      <c r="ZX6" s="495">
        <v>1862.2303999994999</v>
      </c>
      <c r="ZY6" s="495">
        <v>2002.9820265000001</v>
      </c>
      <c r="ZZ6" s="495">
        <v>1779.5231541000001</v>
      </c>
      <c r="AAA6" s="495">
        <v>1651.657159394</v>
      </c>
      <c r="AAB6" s="495">
        <v>1846.3089009</v>
      </c>
      <c r="AAC6" s="495">
        <v>6816.43</v>
      </c>
      <c r="AAD6" s="495">
        <v>6846.4290062999999</v>
      </c>
      <c r="AAE6" s="495">
        <v>978.93811410000001</v>
      </c>
      <c r="AAF6" s="495">
        <v>871.57277780000004</v>
      </c>
      <c r="AAG6" s="495">
        <v>839.23701600000004</v>
      </c>
      <c r="AAH6" s="495">
        <v>854.42280440000002</v>
      </c>
      <c r="AAI6" s="495">
        <v>831.15511860000004</v>
      </c>
      <c r="AAJ6" s="495">
        <v>827.30635749999999</v>
      </c>
      <c r="AAK6" s="495">
        <v>882.16362249999997</v>
      </c>
      <c r="AAL6" s="495">
        <v>2841.1685140995</v>
      </c>
      <c r="AAM6" s="495">
        <v>2874.5548042999999</v>
      </c>
      <c r="AAN6" s="495">
        <v>2618.7601701000003</v>
      </c>
      <c r="AAO6" s="495">
        <v>2506.0799637939999</v>
      </c>
      <c r="AAP6" s="495">
        <v>2677.4640195000002</v>
      </c>
      <c r="AAQ6" s="495">
        <v>7643.7363574999999</v>
      </c>
      <c r="AAR6" s="495">
        <v>7728.5926288000001</v>
      </c>
    </row>
    <row r="7" spans="1:752" ht="15" customHeight="1" x14ac:dyDescent="0.25">
      <c r="A7" s="493" t="s">
        <v>476</v>
      </c>
      <c r="B7" s="495">
        <v>177.7311229</v>
      </c>
      <c r="C7" s="495">
        <v>46.901070799999999</v>
      </c>
      <c r="D7" s="495">
        <v>1614.9271266999999</v>
      </c>
      <c r="E7" s="495">
        <v>1839.5593203999999</v>
      </c>
      <c r="F7" s="495">
        <v>196.40309999999999</v>
      </c>
      <c r="G7" s="495">
        <v>36.906300000000002</v>
      </c>
      <c r="H7" s="495">
        <v>1666.3384000000001</v>
      </c>
      <c r="I7" s="495">
        <v>1899.6478000000002</v>
      </c>
      <c r="J7" s="495">
        <v>149.01849999999999</v>
      </c>
      <c r="K7" s="495">
        <v>29.300799999999999</v>
      </c>
      <c r="L7" s="495">
        <v>1377.5769</v>
      </c>
      <c r="M7" s="495">
        <v>1555.8962000000001</v>
      </c>
      <c r="N7" s="495">
        <v>136.66</v>
      </c>
      <c r="O7" s="495">
        <v>19.03</v>
      </c>
      <c r="P7" s="495">
        <v>1243.8499999999999</v>
      </c>
      <c r="Q7" s="495">
        <v>1399.54</v>
      </c>
      <c r="R7" s="495">
        <v>52.568300000000001</v>
      </c>
      <c r="S7" s="495">
        <v>8.1973000000000003</v>
      </c>
      <c r="T7" s="495">
        <v>530.38739999999996</v>
      </c>
      <c r="U7" s="495">
        <v>591.15299999999991</v>
      </c>
      <c r="V7" s="495">
        <v>74.77</v>
      </c>
      <c r="W7" s="495">
        <v>12.6</v>
      </c>
      <c r="X7" s="495">
        <v>963.47</v>
      </c>
      <c r="Y7" s="495">
        <v>1050.8399999999999</v>
      </c>
      <c r="Z7" s="495">
        <v>55.31</v>
      </c>
      <c r="AA7" s="495">
        <v>8.98</v>
      </c>
      <c r="AB7" s="495">
        <v>759.42</v>
      </c>
      <c r="AC7" s="495">
        <v>823.70999999999992</v>
      </c>
      <c r="AD7" s="495">
        <v>150.82338873500001</v>
      </c>
      <c r="AE7" s="495">
        <v>34.713402445</v>
      </c>
      <c r="AF7" s="495">
        <v>770.53690962400003</v>
      </c>
      <c r="AG7" s="495">
        <v>956.07370080400005</v>
      </c>
      <c r="AH7" s="495">
        <v>187.39682787070399</v>
      </c>
      <c r="AI7" s="495">
        <v>39.8501149489121</v>
      </c>
      <c r="AJ7" s="495">
        <v>1036.7265566231899</v>
      </c>
      <c r="AK7" s="495">
        <v>1263.9734994428061</v>
      </c>
      <c r="AL7" s="495">
        <v>228.723905878366</v>
      </c>
      <c r="AM7" s="495">
        <v>38.525236649351399</v>
      </c>
      <c r="AN7" s="495">
        <v>1296.3710824652901</v>
      </c>
      <c r="AO7" s="495">
        <v>1563.62022499301</v>
      </c>
      <c r="AP7" s="495">
        <v>239.62098866480301</v>
      </c>
      <c r="AQ7" s="495">
        <v>38.546201272151002</v>
      </c>
      <c r="AR7" s="495">
        <v>1545.9806125791899</v>
      </c>
      <c r="AS7" s="495">
        <v>1824.1478025161439</v>
      </c>
      <c r="AT7" s="495">
        <v>325.67743422762999</v>
      </c>
      <c r="AU7" s="495">
        <v>46.672036472722901</v>
      </c>
      <c r="AV7" s="495">
        <v>1994.12909464413</v>
      </c>
      <c r="AW7" s="495">
        <v>2366.4785653444828</v>
      </c>
      <c r="AX7" s="495">
        <v>263.65922873294102</v>
      </c>
      <c r="AY7" s="495">
        <v>35.141813395265899</v>
      </c>
      <c r="AZ7" s="495">
        <v>1703.16769767347</v>
      </c>
      <c r="BA7" s="495">
        <v>2001.968739801677</v>
      </c>
      <c r="BB7" s="495">
        <v>252.078429243568</v>
      </c>
      <c r="BC7" s="495">
        <v>29.856350974085402</v>
      </c>
      <c r="BD7" s="495">
        <v>1611.9221495740201</v>
      </c>
      <c r="BE7" s="495">
        <v>1893.8569297916799</v>
      </c>
      <c r="BF7" s="495">
        <v>46.068106999999998</v>
      </c>
      <c r="BG7" s="495">
        <v>17.5942598</v>
      </c>
      <c r="BH7" s="495">
        <v>428.36790359999998</v>
      </c>
      <c r="BI7" s="495">
        <v>492.03027039999995</v>
      </c>
      <c r="BJ7" s="495">
        <v>80.249194599999996</v>
      </c>
      <c r="BK7" s="495">
        <v>33.543277099999997</v>
      </c>
      <c r="BL7" s="495">
        <v>817.33429369999999</v>
      </c>
      <c r="BM7" s="495">
        <v>931.12676539999995</v>
      </c>
      <c r="BN7" s="495">
        <v>139.99430000000001</v>
      </c>
      <c r="BO7" s="495">
        <v>54.736899999999999</v>
      </c>
      <c r="BP7" s="495">
        <v>1622.6331</v>
      </c>
      <c r="BQ7" s="495">
        <v>1817.3643</v>
      </c>
      <c r="BR7" s="495">
        <v>146.69665710000001</v>
      </c>
      <c r="BS7" s="495">
        <v>50.243454700000001</v>
      </c>
      <c r="BT7" s="495">
        <v>1422.2879596</v>
      </c>
      <c r="BU7" s="495">
        <v>1619.2280714000001</v>
      </c>
      <c r="BV7" s="495">
        <v>136.8537</v>
      </c>
      <c r="BW7" s="495">
        <v>31.375699999999998</v>
      </c>
      <c r="BX7" s="495">
        <v>1554.4344000000001</v>
      </c>
      <c r="BY7" s="495">
        <v>1722.6638</v>
      </c>
      <c r="BZ7" s="495">
        <v>51.11</v>
      </c>
      <c r="CA7" s="495">
        <v>12.43</v>
      </c>
      <c r="CB7" s="495">
        <v>666.35</v>
      </c>
      <c r="CC7" s="495">
        <v>729.89</v>
      </c>
      <c r="CD7" s="495">
        <v>41.421822599999999</v>
      </c>
      <c r="CE7" s="495">
        <v>10.172361</v>
      </c>
      <c r="CF7" s="495">
        <v>520.4955367</v>
      </c>
      <c r="CG7" s="495">
        <v>572.08972029999995</v>
      </c>
      <c r="CH7" s="495">
        <v>63.076099999999997</v>
      </c>
      <c r="CI7" s="495">
        <v>25.386600000000001</v>
      </c>
      <c r="CJ7" s="495">
        <v>605.86210000000005</v>
      </c>
      <c r="CK7" s="495">
        <v>694.3248000000001</v>
      </c>
      <c r="CL7" s="495">
        <v>75.687399999999997</v>
      </c>
      <c r="CM7" s="495">
        <v>23.9283</v>
      </c>
      <c r="CN7" s="495">
        <v>759.44129999999996</v>
      </c>
      <c r="CO7" s="495">
        <v>859.05700000000002</v>
      </c>
      <c r="CP7" s="495">
        <v>149.2157</v>
      </c>
      <c r="CQ7" s="495">
        <v>42.660600000000002</v>
      </c>
      <c r="CR7" s="495">
        <v>1389.0766000000001</v>
      </c>
      <c r="CS7" s="495">
        <v>1580.9529000000002</v>
      </c>
      <c r="CT7" s="495">
        <v>91.942711500000001</v>
      </c>
      <c r="CU7" s="495">
        <v>27.568602800000001</v>
      </c>
      <c r="CV7" s="495">
        <v>1154.3286637000001</v>
      </c>
      <c r="CW7" s="495">
        <v>1273.8399780000002</v>
      </c>
      <c r="CX7" s="495">
        <v>101.13079999999999</v>
      </c>
      <c r="CY7" s="495">
        <v>22.890699999999999</v>
      </c>
      <c r="CZ7" s="495">
        <v>1008.401</v>
      </c>
      <c r="DA7" s="495">
        <v>1132.4224999999999</v>
      </c>
      <c r="DB7" s="495">
        <v>41.33</v>
      </c>
      <c r="DC7" s="495">
        <v>8.25</v>
      </c>
      <c r="DD7" s="495">
        <v>552.04999999999995</v>
      </c>
      <c r="DE7" s="495">
        <v>601.63</v>
      </c>
      <c r="DF7" s="495">
        <v>45.06</v>
      </c>
      <c r="DG7" s="495">
        <v>10.63</v>
      </c>
      <c r="DH7" s="495">
        <v>606.55999999999995</v>
      </c>
      <c r="DI7" s="495">
        <v>662.25</v>
      </c>
      <c r="DJ7" s="495">
        <f t="shared" si="0"/>
        <v>507.87098866480301</v>
      </c>
      <c r="DK7" s="495">
        <f t="shared" si="1"/>
        <v>125.40870127215101</v>
      </c>
      <c r="DL7" s="495">
        <f t="shared" si="2"/>
        <v>4458.4424125791902</v>
      </c>
      <c r="DM7" s="495">
        <f t="shared" si="3"/>
        <v>5091.7221025161434</v>
      </c>
      <c r="DN7" s="495">
        <f t="shared" si="4"/>
        <v>676.89979132762994</v>
      </c>
      <c r="DO7" s="495">
        <f t="shared" si="5"/>
        <v>148.55609117272292</v>
      </c>
      <c r="DP7" s="495">
        <f t="shared" si="6"/>
        <v>5564.9136542441302</v>
      </c>
      <c r="DQ7" s="495">
        <f t="shared" si="7"/>
        <v>6390.3695367444834</v>
      </c>
      <c r="DR7" s="495">
        <v>666.95240587836588</v>
      </c>
      <c r="DS7" s="495">
        <v>165.22353664935139</v>
      </c>
      <c r="DT7" s="495">
        <v>5685.6576824652902</v>
      </c>
      <c r="DU7" s="495">
        <v>6517.8336249930107</v>
      </c>
      <c r="DV7" s="495">
        <v>614.92035726480299</v>
      </c>
      <c r="DW7" s="495">
        <v>135.388258772151</v>
      </c>
      <c r="DX7" s="495">
        <v>5366.44723587919</v>
      </c>
      <c r="DY7" s="495">
        <v>6116.7558519161439</v>
      </c>
      <c r="DZ7" s="495">
        <v>616.23023422763004</v>
      </c>
      <c r="EA7" s="495">
        <v>109.1357364727229</v>
      </c>
      <c r="EB7" s="495">
        <v>5087.3518946441291</v>
      </c>
      <c r="EC7" s="495">
        <v>5812.7178653444826</v>
      </c>
      <c r="ED7" s="495">
        <v>430.869228732941</v>
      </c>
      <c r="EE7" s="495">
        <v>68.4218133952659</v>
      </c>
      <c r="EF7" s="495">
        <v>3885.0376976734706</v>
      </c>
      <c r="EG7" s="495">
        <v>4384.3287398016773</v>
      </c>
      <c r="EH7" s="495">
        <v>393.87025184356798</v>
      </c>
      <c r="EI7" s="495">
        <v>59.63871197408541</v>
      </c>
      <c r="EJ7" s="495">
        <v>3498.3976862740201</v>
      </c>
      <c r="EK7" s="495">
        <v>3951.9066500916733</v>
      </c>
      <c r="EL7" s="495">
        <v>0</v>
      </c>
      <c r="EM7" s="495">
        <v>0</v>
      </c>
      <c r="EN7" s="495">
        <v>3.2599999999999997E-2</v>
      </c>
      <c r="EO7" s="495">
        <v>3.2599999999999997E-2</v>
      </c>
      <c r="EP7" s="495">
        <v>0</v>
      </c>
      <c r="EQ7" s="495">
        <v>0</v>
      </c>
      <c r="ER7" s="495">
        <v>0.46037855276156497</v>
      </c>
      <c r="ES7" s="495">
        <v>0.46037855276156497</v>
      </c>
      <c r="ET7" s="495">
        <v>0</v>
      </c>
      <c r="EU7" s="495">
        <v>0</v>
      </c>
      <c r="EV7" s="495">
        <v>3.7591842011135999</v>
      </c>
      <c r="EW7" s="495">
        <v>3.7591842011135999</v>
      </c>
      <c r="EX7" s="495">
        <v>3.0137777808444201E-4</v>
      </c>
      <c r="EY7" s="495">
        <v>0</v>
      </c>
      <c r="EZ7" s="495">
        <v>4.8915164185769102</v>
      </c>
      <c r="FA7" s="495">
        <v>4.8918177963549949</v>
      </c>
      <c r="FB7" s="495">
        <v>6.8198994530328303E-5</v>
      </c>
      <c r="FC7" s="495">
        <v>0</v>
      </c>
      <c r="FD7" s="495">
        <v>2.08611654905107</v>
      </c>
      <c r="FE7" s="495">
        <v>2.0861847480455999</v>
      </c>
      <c r="FF7" s="495">
        <v>6.5023087999999998</v>
      </c>
      <c r="FG7" s="495">
        <v>2.6905489</v>
      </c>
      <c r="FH7" s="495">
        <v>155.0401593</v>
      </c>
      <c r="FI7" s="495">
        <v>164.23301699999999</v>
      </c>
      <c r="FJ7" s="495">
        <v>5.8093000000000004</v>
      </c>
      <c r="FK7" s="495">
        <v>2.1351</v>
      </c>
      <c r="FL7" s="495">
        <v>145.26400000000001</v>
      </c>
      <c r="FM7" s="495">
        <v>153.20840000000001</v>
      </c>
      <c r="FN7" s="495">
        <v>2.6157908000000001</v>
      </c>
      <c r="FO7" s="495">
        <v>0.97413079999999996</v>
      </c>
      <c r="FP7" s="495">
        <v>66.508874199999994</v>
      </c>
      <c r="FQ7" s="495">
        <v>70.098795799999991</v>
      </c>
      <c r="FR7" s="495">
        <v>6.7562901000000002</v>
      </c>
      <c r="FS7" s="495">
        <v>2.4379922000000001</v>
      </c>
      <c r="FT7" s="495">
        <v>169.62523719999999</v>
      </c>
      <c r="FU7" s="495">
        <v>178.81951949999998</v>
      </c>
      <c r="FV7" s="495">
        <v>6.1636005999999997</v>
      </c>
      <c r="FW7" s="495">
        <v>2.3839982000000002</v>
      </c>
      <c r="FX7" s="495">
        <v>156.34779940000001</v>
      </c>
      <c r="FY7" s="495">
        <v>164.89539820000002</v>
      </c>
      <c r="FZ7" s="495">
        <v>9.5648</v>
      </c>
      <c r="GA7" s="495">
        <v>4.4760999999999997</v>
      </c>
      <c r="GB7" s="495">
        <v>254.99879999999999</v>
      </c>
      <c r="GC7" s="495">
        <v>269.03969999999998</v>
      </c>
      <c r="GD7" s="495">
        <v>2.65296705013237E-2</v>
      </c>
      <c r="GE7" s="495">
        <v>5.6685136669289697E-2</v>
      </c>
      <c r="GF7" s="495">
        <v>4.31749369982938</v>
      </c>
      <c r="GG7" s="495">
        <v>4.4007085069999938</v>
      </c>
      <c r="GH7" s="495">
        <v>0.27507422267330001</v>
      </c>
      <c r="GI7" s="495">
        <v>0.20308530109086301</v>
      </c>
      <c r="GJ7" s="495">
        <v>15.987077095749401</v>
      </c>
      <c r="GK7" s="495">
        <v>16.4652366195136</v>
      </c>
      <c r="GL7" s="495">
        <v>0.30234636730238101</v>
      </c>
      <c r="GM7" s="495">
        <v>0.14637013701186599</v>
      </c>
      <c r="GN7" s="495">
        <v>14.638212958389399</v>
      </c>
      <c r="GO7" s="495">
        <v>15.086929462703646</v>
      </c>
      <c r="GP7" s="495">
        <v>1.2306738074624799</v>
      </c>
      <c r="GQ7" s="495">
        <v>0.75754940534434301</v>
      </c>
      <c r="GR7" s="495">
        <v>50.222052262966301</v>
      </c>
      <c r="GS7" s="495">
        <v>52.210275475773123</v>
      </c>
      <c r="GT7" s="495">
        <v>1.14493882856299</v>
      </c>
      <c r="GU7" s="495">
        <v>0.67575149198596696</v>
      </c>
      <c r="GV7" s="495">
        <v>39.963459421287702</v>
      </c>
      <c r="GW7" s="495">
        <v>41.784149741836657</v>
      </c>
      <c r="GX7" s="495">
        <v>2.3256673999999999</v>
      </c>
      <c r="GY7" s="495">
        <v>0.12655739999999999</v>
      </c>
      <c r="GZ7" s="495">
        <v>54.724689300000001</v>
      </c>
      <c r="HA7" s="495">
        <v>57.176914100000005</v>
      </c>
      <c r="HB7" s="495">
        <v>2.6641463000000001</v>
      </c>
      <c r="HC7" s="495">
        <v>0.1135951</v>
      </c>
      <c r="HD7" s="495">
        <v>44.009076700000001</v>
      </c>
      <c r="HE7" s="495">
        <v>46.786818100000005</v>
      </c>
      <c r="HF7" s="495">
        <v>0.74729999999999996</v>
      </c>
      <c r="HG7" s="495">
        <v>4.7352900000000003E-2</v>
      </c>
      <c r="HH7" s="495">
        <v>19.916399999999999</v>
      </c>
      <c r="HI7" s="495">
        <v>20.711052899999999</v>
      </c>
      <c r="HJ7" s="495">
        <v>6.2294670999999999</v>
      </c>
      <c r="HK7" s="495">
        <v>0.41159790000000002</v>
      </c>
      <c r="HL7" s="495">
        <v>157.02199999999999</v>
      </c>
      <c r="HM7" s="495">
        <v>163.66306499999999</v>
      </c>
      <c r="HN7" s="495">
        <v>4.5165195999999996</v>
      </c>
      <c r="HO7" s="495">
        <v>0.31811119999999998</v>
      </c>
      <c r="HP7" s="495">
        <v>119.2022576</v>
      </c>
      <c r="HQ7" s="495">
        <v>124.0368884</v>
      </c>
      <c r="HR7" s="495">
        <v>2.0427507999999999</v>
      </c>
      <c r="HS7" s="495">
        <v>0.25062220000000002</v>
      </c>
      <c r="HT7" s="495">
        <v>63.1681466</v>
      </c>
      <c r="HU7" s="495">
        <v>65.461519600000003</v>
      </c>
      <c r="HV7" s="495">
        <v>0</v>
      </c>
      <c r="HW7" s="495">
        <v>0</v>
      </c>
      <c r="HX7" s="495">
        <v>0</v>
      </c>
      <c r="HY7" s="495">
        <v>0</v>
      </c>
      <c r="HZ7" s="495">
        <v>7.8937E-3</v>
      </c>
      <c r="IA7" s="495">
        <v>0</v>
      </c>
      <c r="IB7" s="495">
        <v>0.23411390000000001</v>
      </c>
      <c r="IC7" s="495">
        <v>0.24200760000000002</v>
      </c>
      <c r="ID7" s="495">
        <v>7.8809400000000002E-2</v>
      </c>
      <c r="IE7" s="495">
        <v>1.7638E-3</v>
      </c>
      <c r="IF7" s="495">
        <v>2.3091754999999998</v>
      </c>
      <c r="IG7" s="495">
        <v>2.3897486999999997</v>
      </c>
      <c r="IH7" s="495">
        <v>0.39530120000000002</v>
      </c>
      <c r="II7" s="495">
        <v>2.2761699999999999E-2</v>
      </c>
      <c r="IJ7" s="495">
        <v>10.9041637</v>
      </c>
      <c r="IK7" s="495">
        <v>11.3222266</v>
      </c>
      <c r="IL7" s="495">
        <v>0.30719200000000002</v>
      </c>
      <c r="IM7" s="495">
        <v>1.86131E-2</v>
      </c>
      <c r="IN7" s="495">
        <v>6.9389662999999997</v>
      </c>
      <c r="IO7" s="495">
        <v>7.2647713999999999</v>
      </c>
      <c r="IP7" s="495">
        <v>4.3479707000000003</v>
      </c>
      <c r="IQ7" s="495">
        <v>1.1357284000000001</v>
      </c>
      <c r="IR7" s="495">
        <v>31.255224699999999</v>
      </c>
      <c r="IS7" s="495">
        <v>36.738923800000002</v>
      </c>
      <c r="IT7" s="495">
        <v>1.6630015</v>
      </c>
      <c r="IU7" s="495">
        <v>0.34972890000000001</v>
      </c>
      <c r="IV7" s="495">
        <v>9.5438027999999999</v>
      </c>
      <c r="IW7" s="495">
        <v>11.556533200000001</v>
      </c>
      <c r="IX7" s="495">
        <v>0.73344569999999998</v>
      </c>
      <c r="IY7" s="495">
        <v>0.17478630000000001</v>
      </c>
      <c r="IZ7" s="495">
        <v>5.4409457000000003</v>
      </c>
      <c r="JA7" s="495">
        <v>6.3491777000000003</v>
      </c>
      <c r="JB7" s="495">
        <v>3.4851000000000001</v>
      </c>
      <c r="JC7" s="495">
        <v>0.57378890000000005</v>
      </c>
      <c r="JD7" s="495">
        <v>25.771000000000001</v>
      </c>
      <c r="JE7" s="495">
        <v>29.8298889</v>
      </c>
      <c r="JF7" s="495">
        <v>5.8215000000000003</v>
      </c>
      <c r="JG7" s="495">
        <v>0.7716596</v>
      </c>
      <c r="JH7" s="495">
        <v>38.872300000000003</v>
      </c>
      <c r="JI7" s="495">
        <v>45.465459600000003</v>
      </c>
      <c r="JJ7" s="495">
        <v>3.8237309000000002</v>
      </c>
      <c r="JK7" s="495">
        <v>0.6358973</v>
      </c>
      <c r="JL7" s="495">
        <v>26.693363399999999</v>
      </c>
      <c r="JM7" s="495">
        <v>31.1529916</v>
      </c>
      <c r="JN7" s="495">
        <v>0</v>
      </c>
      <c r="JO7" s="495">
        <v>0</v>
      </c>
      <c r="JP7" s="495">
        <v>0</v>
      </c>
      <c r="JQ7" s="495">
        <v>0</v>
      </c>
      <c r="JR7" s="495">
        <v>3.8192900000000002E-2</v>
      </c>
      <c r="JS7" s="495">
        <v>4.85E-5</v>
      </c>
      <c r="JT7" s="495">
        <v>2.0994518000000002</v>
      </c>
      <c r="JU7" s="495">
        <v>2.1376932000000002</v>
      </c>
      <c r="JV7" s="495">
        <v>0.10390000000000001</v>
      </c>
      <c r="JW7" s="495">
        <v>1E-4</v>
      </c>
      <c r="JX7" s="495">
        <v>5.6882000000000001</v>
      </c>
      <c r="JY7" s="495">
        <v>5.7922000000000002</v>
      </c>
      <c r="JZ7" s="495">
        <v>0.14530000000000001</v>
      </c>
      <c r="KA7" s="495">
        <v>1.6999999999999999E-3</v>
      </c>
      <c r="KB7" s="495">
        <v>8.1997999999999998</v>
      </c>
      <c r="KC7" s="495">
        <v>8.3468</v>
      </c>
      <c r="KD7" s="495">
        <v>0.1002</v>
      </c>
      <c r="KE7" s="495">
        <v>1E-3</v>
      </c>
      <c r="KF7" s="495">
        <v>6.1359000000000004</v>
      </c>
      <c r="KG7" s="495">
        <v>6.2370999999999999</v>
      </c>
      <c r="KH7" s="495">
        <v>2.6960000000000002</v>
      </c>
      <c r="KI7" s="495">
        <v>0.74</v>
      </c>
      <c r="KJ7" s="495">
        <v>43.468899999999998</v>
      </c>
      <c r="KK7" s="495">
        <v>46.904899999999998</v>
      </c>
      <c r="KL7" s="495">
        <v>6.8917999999999999</v>
      </c>
      <c r="KM7" s="495">
        <v>0.69830000000000003</v>
      </c>
      <c r="KN7" s="495">
        <v>46.53</v>
      </c>
      <c r="KO7" s="495">
        <v>54.120100000000001</v>
      </c>
      <c r="KP7" s="495">
        <v>2.9234</v>
      </c>
      <c r="KQ7" s="495">
        <v>0.67759999999999998</v>
      </c>
      <c r="KR7" s="495">
        <v>54.298900000000003</v>
      </c>
      <c r="KS7" s="495">
        <v>57.899900000000002</v>
      </c>
      <c r="KT7" s="495">
        <v>3.1875</v>
      </c>
      <c r="KU7" s="495">
        <v>0.62680000000000002</v>
      </c>
      <c r="KV7" s="495">
        <v>59.378300000000003</v>
      </c>
      <c r="KW7" s="495">
        <v>63.192600000000006</v>
      </c>
      <c r="KX7" s="495">
        <v>5.2</v>
      </c>
      <c r="KY7" s="495">
        <v>0.75</v>
      </c>
      <c r="KZ7" s="495">
        <v>96.14</v>
      </c>
      <c r="LA7" s="495">
        <v>102.09</v>
      </c>
      <c r="LB7" s="495">
        <v>8.5094065490201505</v>
      </c>
      <c r="LC7" s="495">
        <v>1.28270786437701</v>
      </c>
      <c r="LD7" s="495">
        <v>137.990509525504</v>
      </c>
      <c r="LE7" s="495">
        <v>147.78262393890199</v>
      </c>
      <c r="LF7" s="495">
        <v>7.7256159000000002</v>
      </c>
      <c r="LG7" s="495">
        <v>6.8040436</v>
      </c>
      <c r="LH7" s="495">
        <v>284.02530359999997</v>
      </c>
      <c r="LI7" s="495">
        <v>298.55496309999995</v>
      </c>
      <c r="LJ7" s="495">
        <v>7.3154873</v>
      </c>
      <c r="LK7" s="495">
        <v>5.9768008999999997</v>
      </c>
      <c r="LL7" s="495">
        <v>315.86344229999997</v>
      </c>
      <c r="LM7" s="495">
        <v>329.1557305</v>
      </c>
      <c r="LN7" s="495">
        <v>6.6046999999999993</v>
      </c>
      <c r="LO7" s="495">
        <v>4.9406999999999996</v>
      </c>
      <c r="LP7" s="495">
        <v>307.4896</v>
      </c>
      <c r="LQ7" s="495">
        <v>319.03499999999997</v>
      </c>
      <c r="LR7" s="495">
        <v>6.1718999999999999</v>
      </c>
      <c r="LS7" s="495">
        <v>3.490799</v>
      </c>
      <c r="LT7" s="495">
        <v>234.89516040000001</v>
      </c>
      <c r="LU7" s="495">
        <v>244.55785940000001</v>
      </c>
      <c r="LV7" s="495">
        <v>7.2829614999999999</v>
      </c>
      <c r="LW7" s="495">
        <v>2.7148750000000001</v>
      </c>
      <c r="LX7" s="495">
        <v>213.36134860000001</v>
      </c>
      <c r="LY7" s="495">
        <v>223.35918510000002</v>
      </c>
      <c r="LZ7" s="495">
        <v>21.47</v>
      </c>
      <c r="MA7" s="495">
        <v>7.18</v>
      </c>
      <c r="MB7" s="495">
        <v>531.85</v>
      </c>
      <c r="MC7" s="495">
        <v>560.5</v>
      </c>
      <c r="MD7" s="495">
        <v>4.0700668999999996</v>
      </c>
      <c r="ME7" s="495">
        <v>3.7898486999999998</v>
      </c>
      <c r="MF7" s="495">
        <v>191.49285710000001</v>
      </c>
      <c r="MG7" s="495">
        <v>199.3527727</v>
      </c>
      <c r="MH7" s="495">
        <v>0.50041679999999999</v>
      </c>
      <c r="MI7" s="495">
        <v>0.4337183</v>
      </c>
      <c r="MJ7" s="495">
        <v>25.5290873</v>
      </c>
      <c r="MK7" s="495">
        <v>26.463222399999999</v>
      </c>
      <c r="ML7" s="495">
        <v>0.2317119</v>
      </c>
      <c r="MM7" s="495">
        <v>0.1580329</v>
      </c>
      <c r="MN7" s="495">
        <v>11.206606499999999</v>
      </c>
      <c r="MO7" s="495">
        <v>11.5963513</v>
      </c>
      <c r="MP7" s="495">
        <v>0.57110000000000005</v>
      </c>
      <c r="MQ7" s="495">
        <v>0.40079999999999999</v>
      </c>
      <c r="MR7" s="495">
        <v>29.6751</v>
      </c>
      <c r="MS7" s="495">
        <v>30.647000000000002</v>
      </c>
      <c r="MT7" s="495">
        <v>0.76117849999999998</v>
      </c>
      <c r="MU7" s="495">
        <v>0.42721009999999998</v>
      </c>
      <c r="MV7" s="495">
        <v>40.578715099999997</v>
      </c>
      <c r="MW7" s="495">
        <v>41.7671037</v>
      </c>
      <c r="MX7" s="495">
        <v>3.5967749000000002</v>
      </c>
      <c r="MY7" s="495">
        <v>1.8843989000000001</v>
      </c>
      <c r="MZ7" s="495">
        <v>171.19257590000001</v>
      </c>
      <c r="NA7" s="495">
        <v>176.6737497</v>
      </c>
      <c r="NB7" s="495">
        <v>5.1590000000000002E-4</v>
      </c>
      <c r="NC7" s="495">
        <v>0</v>
      </c>
      <c r="ND7" s="495">
        <v>1.0307903</v>
      </c>
      <c r="NE7" s="495">
        <v>1.0313062</v>
      </c>
      <c r="NF7" s="495">
        <v>1.53946E-2</v>
      </c>
      <c r="NG7" s="495">
        <v>0</v>
      </c>
      <c r="NH7" s="495">
        <v>1.2624293</v>
      </c>
      <c r="NI7" s="495">
        <v>1.2778239</v>
      </c>
      <c r="NJ7" s="495">
        <v>3.0222700000000002E-2</v>
      </c>
      <c r="NK7" s="495">
        <v>0</v>
      </c>
      <c r="NL7" s="495">
        <v>1.1612282</v>
      </c>
      <c r="NM7" s="495">
        <v>1.1914509</v>
      </c>
      <c r="NN7" s="495">
        <v>0.26772020000000002</v>
      </c>
      <c r="NO7" s="495">
        <v>0</v>
      </c>
      <c r="NP7" s="495">
        <v>5.4920001000000003</v>
      </c>
      <c r="NQ7" s="495">
        <v>5.7597203000000006</v>
      </c>
      <c r="NR7" s="495">
        <v>0.67427040000000005</v>
      </c>
      <c r="NS7" s="495">
        <v>1.7550000000000001E-4</v>
      </c>
      <c r="NT7" s="495">
        <v>11.380581400000001</v>
      </c>
      <c r="NU7" s="495">
        <v>12.055027300000001</v>
      </c>
      <c r="NV7" s="495">
        <v>0.142042</v>
      </c>
      <c r="NW7" s="495">
        <v>1.2698E-3</v>
      </c>
      <c r="NX7" s="495">
        <v>2.5830242999999999</v>
      </c>
      <c r="NY7" s="495">
        <v>2.7263361000000002</v>
      </c>
      <c r="NZ7" s="495">
        <v>0.12682482095237799</v>
      </c>
      <c r="OA7" s="495">
        <v>5.5678443322333702E-2</v>
      </c>
      <c r="OB7" s="495">
        <v>2.3264613093041602</v>
      </c>
      <c r="OC7" s="495">
        <v>2.5089645735788717</v>
      </c>
      <c r="OD7" s="495">
        <v>0.110569799765305</v>
      </c>
      <c r="OE7" s="495">
        <v>5.0689720635606401E-2</v>
      </c>
      <c r="OF7" s="495">
        <v>1.87893378631937</v>
      </c>
      <c r="OG7" s="495">
        <v>2.0401933067202802</v>
      </c>
      <c r="OH7" s="495">
        <v>7.7239100685684306E-2</v>
      </c>
      <c r="OI7" s="495">
        <v>4.8036825088003603E-2</v>
      </c>
      <c r="OJ7" s="495">
        <v>2.0956674558697701</v>
      </c>
      <c r="OK7" s="495">
        <v>2.2209433816434578</v>
      </c>
      <c r="OL7" s="495">
        <v>0.15922344286206799</v>
      </c>
      <c r="OM7" s="495">
        <v>5.5677729532972398E-2</v>
      </c>
      <c r="ON7" s="495">
        <v>2.91465909125536</v>
      </c>
      <c r="OO7" s="495">
        <v>3.1295602636504003</v>
      </c>
      <c r="OP7" s="495">
        <v>0.40292166531699197</v>
      </c>
      <c r="OQ7" s="495">
        <v>0.124461092554397</v>
      </c>
      <c r="OR7" s="495">
        <v>5.4227851159985603</v>
      </c>
      <c r="OS7" s="495">
        <v>5.9501678738699493</v>
      </c>
      <c r="OT7" s="495">
        <v>0.40977340000000001</v>
      </c>
      <c r="OU7" s="495">
        <v>0.17400969999999999</v>
      </c>
      <c r="OV7" s="495">
        <v>6.11675136135025</v>
      </c>
      <c r="OW7" s="495">
        <v>6.7005344613502498</v>
      </c>
      <c r="OX7" s="495">
        <v>0.1138</v>
      </c>
      <c r="OY7" s="495">
        <v>2.6800000000000001E-2</v>
      </c>
      <c r="OZ7" s="495">
        <v>6.4865998999999999</v>
      </c>
      <c r="PA7" s="495">
        <v>6.6271998999999999</v>
      </c>
      <c r="PB7" s="495">
        <v>9.0999999999999998E-2</v>
      </c>
      <c r="PC7" s="495">
        <v>1.06E-2</v>
      </c>
      <c r="PD7" s="495">
        <v>4.9598000000000004</v>
      </c>
      <c r="PE7" s="495">
        <v>5.0613999999999999</v>
      </c>
      <c r="PF7" s="495">
        <v>8.9419299999999993E-2</v>
      </c>
      <c r="PG7" s="495">
        <v>1.43748E-2</v>
      </c>
      <c r="PH7" s="495">
        <v>7.6856059999999999</v>
      </c>
      <c r="PI7" s="495">
        <v>7.7894000999999999</v>
      </c>
      <c r="PJ7" s="495">
        <v>0.82301340000000001</v>
      </c>
      <c r="PK7" s="495">
        <v>6.6807900000000003E-2</v>
      </c>
      <c r="PL7" s="495">
        <v>50.0153812</v>
      </c>
      <c r="PM7" s="495">
        <v>50.905202500000001</v>
      </c>
      <c r="PN7" s="495">
        <v>1.5579761977862501</v>
      </c>
      <c r="PO7" s="495">
        <v>2.05161635437426E-2</v>
      </c>
      <c r="PP7" s="495">
        <v>31.287157700000002</v>
      </c>
      <c r="PQ7" s="495">
        <v>32.865650061329994</v>
      </c>
      <c r="PR7" s="495">
        <v>1.1535158000000001</v>
      </c>
      <c r="PS7" s="495">
        <v>1.9310500000000001E-2</v>
      </c>
      <c r="PT7" s="495">
        <v>21.5761933</v>
      </c>
      <c r="PU7" s="495">
        <v>22.7490196</v>
      </c>
      <c r="PV7" s="495">
        <v>0.136826999</v>
      </c>
      <c r="PW7" s="495">
        <v>0</v>
      </c>
      <c r="PX7" s="495">
        <v>9.4827069E-2</v>
      </c>
      <c r="PY7" s="495">
        <v>0.23165406799999999</v>
      </c>
      <c r="PZ7" s="495">
        <v>0.56036243299999999</v>
      </c>
      <c r="QA7" s="495">
        <v>0</v>
      </c>
      <c r="QB7" s="495">
        <v>0.771746245</v>
      </c>
      <c r="QC7" s="495">
        <v>1.332108678</v>
      </c>
      <c r="QD7" s="495">
        <v>0.32758419799999999</v>
      </c>
      <c r="QE7" s="495">
        <v>0</v>
      </c>
      <c r="QF7" s="495">
        <v>1.1129827729999999</v>
      </c>
      <c r="QG7" s="495">
        <v>1.440566971</v>
      </c>
      <c r="QH7" s="495">
        <v>1.4989715029999999</v>
      </c>
      <c r="QI7" s="495">
        <v>0</v>
      </c>
      <c r="QJ7" s="495">
        <v>3.19571278</v>
      </c>
      <c r="QK7" s="495">
        <v>4.694684283</v>
      </c>
      <c r="QL7" s="495">
        <v>3.2</v>
      </c>
      <c r="QM7" s="495">
        <v>0</v>
      </c>
      <c r="QN7" s="495">
        <v>4.68</v>
      </c>
      <c r="QO7" s="495">
        <v>7.88</v>
      </c>
      <c r="QP7" s="495">
        <v>8.9002999999999999E-3</v>
      </c>
      <c r="QQ7" s="495">
        <v>1.183E-4</v>
      </c>
      <c r="QR7" s="495">
        <v>0.25754009999999999</v>
      </c>
      <c r="QS7" s="495">
        <v>0.26655869999999998</v>
      </c>
      <c r="QT7" s="495">
        <v>9.8767000000000004E-3</v>
      </c>
      <c r="QU7" s="495">
        <v>1.617E-4</v>
      </c>
      <c r="QV7" s="495">
        <v>0.26749489999999998</v>
      </c>
      <c r="QW7" s="495">
        <v>0.27753329999999998</v>
      </c>
      <c r="QX7" s="495">
        <v>1.1198100000000001E-2</v>
      </c>
      <c r="QY7" s="495">
        <v>3.321E-4</v>
      </c>
      <c r="QZ7" s="495">
        <v>0.50489200000000001</v>
      </c>
      <c r="RA7" s="495">
        <v>0.51642220000000005</v>
      </c>
      <c r="RB7" s="495">
        <v>3.11483E-2</v>
      </c>
      <c r="RC7" s="495">
        <v>9.5500000000000004E-5</v>
      </c>
      <c r="RD7" s="495">
        <v>1.1776027</v>
      </c>
      <c r="RE7" s="495">
        <v>1.2088464999999999</v>
      </c>
      <c r="RF7" s="495">
        <v>1.1779700000000001E-2</v>
      </c>
      <c r="RG7" s="495">
        <v>2.4860000000000003E-4</v>
      </c>
      <c r="RH7" s="495">
        <v>2.0499451999999998</v>
      </c>
      <c r="RI7" s="495">
        <v>2.0619734999999997</v>
      </c>
      <c r="RJ7" s="495">
        <v>2.2699E-3</v>
      </c>
      <c r="RK7" s="495">
        <v>3.4600000000000001E-5</v>
      </c>
      <c r="RL7" s="495">
        <v>0.32264930000000003</v>
      </c>
      <c r="RM7" s="495">
        <v>0.32495380000000001</v>
      </c>
      <c r="RN7" s="495">
        <v>3.1852244000000001</v>
      </c>
      <c r="RO7" s="495">
        <v>0.84519375664488505</v>
      </c>
      <c r="RP7" s="495">
        <v>110.456669197076</v>
      </c>
      <c r="RQ7" s="495">
        <v>114.48708735372088</v>
      </c>
      <c r="RR7" s="495">
        <v>1.4143652977843999</v>
      </c>
      <c r="RS7" s="495">
        <v>0.18157097003032499</v>
      </c>
      <c r="RT7" s="495">
        <v>41.910696495009802</v>
      </c>
      <c r="RU7" s="495">
        <v>43.506632762824502</v>
      </c>
      <c r="RV7" s="495">
        <v>1.1433091191850899</v>
      </c>
      <c r="RW7" s="495">
        <v>0.105724241680846</v>
      </c>
      <c r="RX7" s="495">
        <v>30.7247399097323</v>
      </c>
      <c r="RY7" s="495">
        <v>31.973773270598237</v>
      </c>
      <c r="RZ7" s="495">
        <v>4.6794838589191396</v>
      </c>
      <c r="SA7" s="495">
        <v>0.403062099931916</v>
      </c>
      <c r="SB7" s="495">
        <v>130.392437970933</v>
      </c>
      <c r="SC7" s="495">
        <v>135.47498392978406</v>
      </c>
      <c r="SD7" s="495">
        <v>6.1572378575552298</v>
      </c>
      <c r="SE7" s="495">
        <v>0.60638185434742298</v>
      </c>
      <c r="SF7" s="495">
        <v>175.49339365751399</v>
      </c>
      <c r="SG7" s="495">
        <v>182.25701336941665</v>
      </c>
      <c r="SH7" s="495">
        <v>3.8279462373976498</v>
      </c>
      <c r="SI7" s="495">
        <v>0.38218362108254</v>
      </c>
      <c r="SJ7" s="495">
        <v>107.635125792496</v>
      </c>
      <c r="SK7" s="495">
        <v>111.845255650976</v>
      </c>
      <c r="SL7" s="495">
        <v>1.7593365000000001</v>
      </c>
      <c r="SM7" s="495">
        <v>0.39707559999999997</v>
      </c>
      <c r="SN7" s="495">
        <v>47.403868099999997</v>
      </c>
      <c r="SO7" s="495">
        <v>49.560280199999994</v>
      </c>
      <c r="SP7" s="495">
        <v>1.1964045999999999</v>
      </c>
      <c r="SQ7" s="495">
        <v>0.2313479</v>
      </c>
      <c r="SR7" s="495">
        <v>33.843885499999999</v>
      </c>
      <c r="SS7" s="495">
        <v>35.271638000000003</v>
      </c>
      <c r="ST7" s="495">
        <v>0.56765109999999996</v>
      </c>
      <c r="SU7" s="495">
        <v>0.1146356</v>
      </c>
      <c r="SV7" s="495">
        <v>16.676639900000001</v>
      </c>
      <c r="SW7" s="495">
        <v>17.3589266</v>
      </c>
      <c r="SX7" s="495">
        <v>0.91430480000000003</v>
      </c>
      <c r="SY7" s="495">
        <v>0.19037589999999999</v>
      </c>
      <c r="SZ7" s="495">
        <v>27.6767991</v>
      </c>
      <c r="TA7" s="495">
        <v>28.7814798</v>
      </c>
      <c r="TB7" s="495">
        <v>1.5310971</v>
      </c>
      <c r="TC7" s="495">
        <v>0.28171230000000003</v>
      </c>
      <c r="TD7" s="495">
        <v>48.711929499999997</v>
      </c>
      <c r="TE7" s="495">
        <v>50.524738899999996</v>
      </c>
      <c r="TF7" s="495">
        <v>2.4258047999999999</v>
      </c>
      <c r="TG7" s="495">
        <v>0.4801647</v>
      </c>
      <c r="TH7" s="495">
        <v>89.006477000000004</v>
      </c>
      <c r="TI7" s="495">
        <v>91.912446500000001</v>
      </c>
      <c r="TJ7" s="495">
        <v>7.08393417675022</v>
      </c>
      <c r="TK7" s="495">
        <v>0.13811112409183901</v>
      </c>
      <c r="TL7" s="495">
        <v>15.7222950037287</v>
      </c>
      <c r="TM7" s="495">
        <v>22.944340304570758</v>
      </c>
      <c r="TN7" s="495">
        <v>5.34933043424064</v>
      </c>
      <c r="TO7" s="495">
        <v>0.127736526374926</v>
      </c>
      <c r="TP7" s="495">
        <v>19.105007300378698</v>
      </c>
      <c r="TQ7" s="495">
        <v>24.5820742609943</v>
      </c>
      <c r="TR7" s="495">
        <v>4.3139512744665103</v>
      </c>
      <c r="TS7" s="495">
        <v>0.14607901198564599</v>
      </c>
      <c r="TT7" s="495">
        <v>23.4298534575478</v>
      </c>
      <c r="TU7" s="495">
        <v>27.889883743999956</v>
      </c>
      <c r="TV7" s="495">
        <v>6.1166210335793503</v>
      </c>
      <c r="TW7" s="495">
        <v>0.199672038360236</v>
      </c>
      <c r="TX7" s="495">
        <v>33.1671272160604</v>
      </c>
      <c r="TY7" s="495">
        <v>39.483420287999991</v>
      </c>
      <c r="TZ7" s="495">
        <v>9.6366999999999994</v>
      </c>
      <c r="UA7" s="495">
        <v>0.36230000000000001</v>
      </c>
      <c r="UB7" s="495">
        <v>53.0779</v>
      </c>
      <c r="UC7" s="495">
        <v>63.076899999999995</v>
      </c>
      <c r="UD7" s="495">
        <v>9.4999000000000002</v>
      </c>
      <c r="UE7" s="495">
        <v>0.50670000000000004</v>
      </c>
      <c r="UF7" s="495">
        <v>53.006</v>
      </c>
      <c r="UG7" s="495">
        <v>63.012599999999999</v>
      </c>
      <c r="UH7" s="495">
        <v>0.3936598</v>
      </c>
      <c r="UI7" s="495">
        <v>2.0624900000000002E-2</v>
      </c>
      <c r="UJ7" s="495">
        <v>26.3829244</v>
      </c>
      <c r="UK7" s="495">
        <v>26.7972091</v>
      </c>
      <c r="UL7" s="495">
        <v>2.2976386999999998</v>
      </c>
      <c r="UM7" s="495">
        <v>0.1357594</v>
      </c>
      <c r="UN7" s="495">
        <v>134.60622100000001</v>
      </c>
      <c r="UO7" s="495">
        <v>137.03961910000001</v>
      </c>
      <c r="UP7" s="495">
        <v>0.66410049999999998</v>
      </c>
      <c r="UQ7" s="495">
        <v>5.07038E-2</v>
      </c>
      <c r="UR7" s="495">
        <v>45.147933100000003</v>
      </c>
      <c r="US7" s="495">
        <v>45.8627374</v>
      </c>
      <c r="UT7" s="495">
        <v>1.3067013999999999</v>
      </c>
      <c r="UU7" s="495">
        <v>5.5007800000000003E-2</v>
      </c>
      <c r="UV7" s="495">
        <v>91.320910499999997</v>
      </c>
      <c r="UW7" s="495">
        <v>92.682619700000004</v>
      </c>
      <c r="UX7" s="495">
        <v>1.8292142</v>
      </c>
      <c r="UY7" s="495">
        <v>5.5633599999999998E-2</v>
      </c>
      <c r="UZ7" s="495">
        <v>96.833043700000005</v>
      </c>
      <c r="VA7" s="495">
        <v>98.717891500000007</v>
      </c>
      <c r="VB7" s="495">
        <v>5.37</v>
      </c>
      <c r="VC7" s="495">
        <v>0.16</v>
      </c>
      <c r="VD7" s="495">
        <v>163.88</v>
      </c>
      <c r="VE7" s="495">
        <v>169.41</v>
      </c>
      <c r="VF7" s="495">
        <v>3.7692999999999999</v>
      </c>
      <c r="VG7" s="495">
        <v>3.6993</v>
      </c>
      <c r="VH7" s="495">
        <v>51.030200000000001</v>
      </c>
      <c r="VI7" s="495">
        <v>58.498800000000003</v>
      </c>
      <c r="VJ7" s="495">
        <v>8.968</v>
      </c>
      <c r="VK7" s="495">
        <v>3.6284999999999998</v>
      </c>
      <c r="VL7" s="495">
        <v>63.057299999999998</v>
      </c>
      <c r="VM7" s="495">
        <v>75.65379999999999</v>
      </c>
      <c r="VN7" s="495">
        <v>2.5861524999999999</v>
      </c>
      <c r="VO7" s="495">
        <v>1.9046495000000001</v>
      </c>
      <c r="VP7" s="495">
        <v>35.0485173</v>
      </c>
      <c r="VQ7" s="495">
        <v>39.539319300000002</v>
      </c>
      <c r="VR7" s="495">
        <v>2.9099718999999999</v>
      </c>
      <c r="VS7" s="495">
        <v>2.2712563000000001</v>
      </c>
      <c r="VT7" s="495">
        <v>57.770416300000001</v>
      </c>
      <c r="VU7" s="495">
        <v>62.9516445</v>
      </c>
      <c r="VV7" s="495">
        <v>4.2357772000000002</v>
      </c>
      <c r="VW7" s="495">
        <v>3.6186685999999999</v>
      </c>
      <c r="VX7" s="495">
        <v>107.36979479999999</v>
      </c>
      <c r="VY7" s="495">
        <v>115.2242406</v>
      </c>
      <c r="VZ7" s="495">
        <v>9.6750997000000005</v>
      </c>
      <c r="WA7" s="495">
        <v>7.7487526999999998</v>
      </c>
      <c r="WB7" s="495">
        <v>213.312071098817</v>
      </c>
      <c r="WC7" s="495">
        <v>230.73592349881699</v>
      </c>
      <c r="WD7" s="495">
        <v>1.8617288999999999</v>
      </c>
      <c r="WE7" s="495">
        <v>0.1004896</v>
      </c>
      <c r="WF7" s="495">
        <v>13.310164</v>
      </c>
      <c r="WG7" s="495">
        <v>15.272382500000001</v>
      </c>
      <c r="WH7" s="495">
        <v>0.8406749</v>
      </c>
      <c r="WI7" s="495">
        <v>3.09772E-2</v>
      </c>
      <c r="WJ7" s="495">
        <v>8.8105499999999992</v>
      </c>
      <c r="WK7" s="495">
        <v>9.6822020999999996</v>
      </c>
      <c r="WL7" s="495">
        <v>-0.19908000000000001</v>
      </c>
      <c r="WM7" s="495">
        <v>-7.7104000000000001E-3</v>
      </c>
      <c r="WN7" s="495">
        <v>-2.0971937</v>
      </c>
      <c r="WO7" s="495">
        <v>-2.3039841000000001</v>
      </c>
      <c r="WP7" s="495">
        <v>-8.3638500000000005E-2</v>
      </c>
      <c r="WQ7" s="495">
        <v>-2.8029999999999999E-3</v>
      </c>
      <c r="WR7" s="495">
        <v>-1.0162278</v>
      </c>
      <c r="WS7" s="495">
        <v>-1.1026693000000001</v>
      </c>
      <c r="WT7" s="495">
        <v>0.28545320000000002</v>
      </c>
      <c r="WU7" s="495">
        <v>1.0102999999999999E-2</v>
      </c>
      <c r="WV7" s="495">
        <v>3.9432540999999999</v>
      </c>
      <c r="WW7" s="495">
        <v>4.2388102999999999</v>
      </c>
      <c r="WX7" s="495">
        <v>1.5278522000000001</v>
      </c>
      <c r="WY7" s="495">
        <v>5.6091299999999997E-2</v>
      </c>
      <c r="WZ7" s="495">
        <v>23.6938797</v>
      </c>
      <c r="XA7" s="495">
        <v>25.2778232</v>
      </c>
      <c r="XB7" s="495">
        <v>49.90208789903842</v>
      </c>
      <c r="XC7" s="495">
        <v>22.004235534816551</v>
      </c>
      <c r="XD7" s="495">
        <v>1093.3701508725353</v>
      </c>
      <c r="XE7" s="495">
        <v>1165.2764743063901</v>
      </c>
      <c r="XF7" s="495">
        <v>45.549308153463656</v>
      </c>
      <c r="XG7" s="495">
        <v>14.307671918131723</v>
      </c>
      <c r="XH7" s="495">
        <v>912.55623154645718</v>
      </c>
      <c r="XI7" s="495">
        <v>972.41321161805297</v>
      </c>
      <c r="XJ7" s="495">
        <v>24.049307494639663</v>
      </c>
      <c r="XK7" s="495">
        <v>9.4958470157663601</v>
      </c>
      <c r="XL7" s="495">
        <v>643.44311347930102</v>
      </c>
      <c r="XM7" s="495">
        <v>676.98826798970686</v>
      </c>
      <c r="XN7" s="495">
        <v>45.266874440823038</v>
      </c>
      <c r="XO7" s="495">
        <v>11.940343473169467</v>
      </c>
      <c r="XP7" s="495">
        <v>1138.3694987153287</v>
      </c>
      <c r="XQ7" s="495">
        <v>1195.576716629321</v>
      </c>
      <c r="XR7" s="495">
        <v>59.253000629999562</v>
      </c>
      <c r="XS7" s="495">
        <v>13.14626800243153</v>
      </c>
      <c r="XT7" s="495">
        <v>1267.2268581933772</v>
      </c>
      <c r="XU7" s="495">
        <v>1339.6261268258086</v>
      </c>
      <c r="XV7" s="495">
        <v>86.649127385412328</v>
      </c>
      <c r="XW7" s="495">
        <v>25.257856285459543</v>
      </c>
      <c r="XX7" s="495">
        <v>1886.866550127218</v>
      </c>
      <c r="XY7" s="495">
        <v>1998.7735337980907</v>
      </c>
      <c r="XZ7" s="495">
        <v>4.8432077759999999</v>
      </c>
      <c r="YA7" s="495">
        <v>0.813274158872202</v>
      </c>
      <c r="YB7" s="495">
        <v>1.7223257380000001</v>
      </c>
      <c r="YC7" s="495">
        <v>2.3657865</v>
      </c>
      <c r="YD7" s="495">
        <v>13.3598751</v>
      </c>
      <c r="YE7" s="495">
        <v>6.5061052000000004</v>
      </c>
      <c r="YF7" s="495">
        <v>1.5789234059999999</v>
      </c>
      <c r="YG7" s="495">
        <v>2.9908488677779101</v>
      </c>
      <c r="YH7" s="495">
        <v>3.0905840100000002</v>
      </c>
      <c r="YI7" s="495">
        <v>4.2071297997427299</v>
      </c>
      <c r="YJ7" s="495">
        <v>4.5750843000000003</v>
      </c>
      <c r="YK7" s="495">
        <v>1.9827547999999999</v>
      </c>
      <c r="YL7" s="495">
        <v>3.6366915</v>
      </c>
      <c r="YM7" s="495">
        <v>4.5204379000000001</v>
      </c>
      <c r="YN7" s="495">
        <v>11.2930586</v>
      </c>
      <c r="YO7" s="495">
        <v>3.8800754999999998</v>
      </c>
      <c r="YP7" s="495">
        <v>6.6471388999999999</v>
      </c>
      <c r="YQ7" s="495">
        <v>24.516808000000001</v>
      </c>
      <c r="YR7" s="495">
        <v>0.399465246</v>
      </c>
      <c r="YS7" s="495">
        <v>0.55255572208357495</v>
      </c>
      <c r="YT7" s="495">
        <v>0.87676765400000001</v>
      </c>
      <c r="YU7" s="495">
        <v>1.164911517</v>
      </c>
      <c r="YV7" s="495">
        <v>8.6017801799999898</v>
      </c>
      <c r="YW7" s="495">
        <v>-9.2702408799999994</v>
      </c>
      <c r="YX7" s="495">
        <v>2.6588727200000002</v>
      </c>
      <c r="YY7" s="495">
        <v>2.48283122419797</v>
      </c>
      <c r="YZ7" s="495">
        <v>4.6306048000000004</v>
      </c>
      <c r="ZA7" s="495">
        <v>1.9898602000000001</v>
      </c>
      <c r="ZB7" s="495">
        <v>2.2288927137465699</v>
      </c>
      <c r="ZC7" s="495">
        <v>2.8123591403305102</v>
      </c>
      <c r="ZD7" s="495">
        <v>2.2365782144633202</v>
      </c>
      <c r="ZE7" s="495">
        <v>5.3359869130000002</v>
      </c>
      <c r="ZF7" s="495">
        <v>1.3454499999999999E-2</v>
      </c>
      <c r="ZG7" s="495">
        <v>1.3026</v>
      </c>
      <c r="ZH7" s="495">
        <v>0.15</v>
      </c>
      <c r="ZI7" s="495"/>
      <c r="ZJ7" s="495">
        <v>7.0114181650000003</v>
      </c>
      <c r="ZK7" s="495">
        <v>4.0105056489999997</v>
      </c>
      <c r="ZL7" s="495">
        <v>7.0155462540000002</v>
      </c>
      <c r="ZM7" s="495">
        <v>0.485286565</v>
      </c>
      <c r="ZN7" s="495">
        <v>3.7527295000000001</v>
      </c>
      <c r="ZO7" s="495">
        <v>1.9855978000000001</v>
      </c>
      <c r="ZP7" s="495">
        <v>98.198506684999998</v>
      </c>
      <c r="ZQ7" s="495">
        <f t="shared" ref="ZQ7:ZQ17" si="8">YF7+YM7+YR7+YY7+ZJ7</f>
        <v>15.99307594119797</v>
      </c>
      <c r="ZR7" s="495">
        <v>28.320781414861486</v>
      </c>
      <c r="ZS7" s="495">
        <v>17.666107776872202</v>
      </c>
      <c r="ZT7" s="495">
        <v>16.455685233489302</v>
      </c>
      <c r="ZU7" s="495">
        <v>47.927147620330501</v>
      </c>
      <c r="ZV7" s="495">
        <v>10.444565034463322</v>
      </c>
      <c r="ZW7" s="495">
        <v>116.33616301800001</v>
      </c>
      <c r="ZX7" s="495">
        <v>0.84892520265952398</v>
      </c>
      <c r="ZY7" s="495">
        <v>0.18492700000000001</v>
      </c>
      <c r="ZZ7" s="495">
        <v>3.998278</v>
      </c>
      <c r="AAA7" s="495">
        <v>0.29992940000000001</v>
      </c>
      <c r="AAB7" s="495">
        <v>3.8803084000000001</v>
      </c>
      <c r="AAC7" s="495">
        <v>69.38</v>
      </c>
      <c r="AAD7" s="495">
        <v>-20.450552399999999</v>
      </c>
      <c r="AAE7" s="495">
        <v>1.0514946999999999</v>
      </c>
      <c r="AAF7" s="495">
        <v>9.9803028999999999</v>
      </c>
      <c r="AAG7" s="495">
        <v>29.701020999999997</v>
      </c>
      <c r="AAH7" s="495">
        <v>26.424616799999999</v>
      </c>
      <c r="AAI7" s="495">
        <v>25.9010386</v>
      </c>
      <c r="AAJ7" s="495">
        <v>78.672152499999996</v>
      </c>
      <c r="AAK7" s="495">
        <v>67.614346999999995</v>
      </c>
      <c r="AAL7" s="495">
        <v>1.9004199026595239</v>
      </c>
      <c r="AAM7" s="495">
        <v>10.1652299</v>
      </c>
      <c r="AAN7" s="495">
        <v>33.699298999999996</v>
      </c>
      <c r="AAO7" s="495">
        <v>26.724546199999999</v>
      </c>
      <c r="AAP7" s="495">
        <v>29.781347</v>
      </c>
      <c r="AAQ7" s="495">
        <v>148.05215249999998</v>
      </c>
      <c r="AAR7" s="495">
        <v>47.163794599999996</v>
      </c>
    </row>
    <row r="8" spans="1:752" ht="15" customHeight="1" x14ac:dyDescent="0.25">
      <c r="A8" s="492" t="s">
        <v>240</v>
      </c>
      <c r="B8" s="495">
        <v>105.36074429999999</v>
      </c>
      <c r="C8" s="495">
        <v>27.8034125</v>
      </c>
      <c r="D8" s="495">
        <v>957.34456220000004</v>
      </c>
      <c r="E8" s="495">
        <v>1090.5087189999999</v>
      </c>
      <c r="F8" s="495">
        <v>111.5026</v>
      </c>
      <c r="G8" s="495">
        <v>20.952500000000001</v>
      </c>
      <c r="H8" s="495">
        <v>946.01859999999999</v>
      </c>
      <c r="I8" s="495">
        <v>1078.4737</v>
      </c>
      <c r="J8" s="495">
        <v>116.1562</v>
      </c>
      <c r="K8" s="495">
        <v>22.839300000000001</v>
      </c>
      <c r="L8" s="495">
        <v>1073.7873</v>
      </c>
      <c r="M8" s="495">
        <v>1212.7828</v>
      </c>
      <c r="N8" s="495">
        <v>125.34</v>
      </c>
      <c r="O8" s="495">
        <v>17.45</v>
      </c>
      <c r="P8" s="495">
        <v>1140.81</v>
      </c>
      <c r="Q8" s="495">
        <v>1283.5999999999999</v>
      </c>
      <c r="R8" s="495">
        <v>119.07989999999999</v>
      </c>
      <c r="S8" s="495">
        <v>18.568899999999999</v>
      </c>
      <c r="T8" s="495">
        <v>1201.4547</v>
      </c>
      <c r="U8" s="495">
        <v>1339.1034999999999</v>
      </c>
      <c r="V8" s="495">
        <v>119.02</v>
      </c>
      <c r="W8" s="495">
        <v>20.059999999999999</v>
      </c>
      <c r="X8" s="495">
        <v>1533.67</v>
      </c>
      <c r="Y8" s="495">
        <v>1672.75</v>
      </c>
      <c r="Z8" s="495">
        <v>117.95</v>
      </c>
      <c r="AA8" s="495">
        <v>19.16</v>
      </c>
      <c r="AB8" s="495">
        <v>1619.5</v>
      </c>
      <c r="AC8" s="495">
        <v>1756.6100000000001</v>
      </c>
      <c r="AD8" s="495">
        <v>270.04014633100002</v>
      </c>
      <c r="AE8" s="495">
        <v>62.152245446999999</v>
      </c>
      <c r="AF8" s="495">
        <v>1379.599686582</v>
      </c>
      <c r="AG8" s="495">
        <v>1711.79207836</v>
      </c>
      <c r="AH8" s="495">
        <v>256.75320099732301</v>
      </c>
      <c r="AI8" s="495">
        <v>54.598814128827598</v>
      </c>
      <c r="AJ8" s="495">
        <v>1420.42352048558</v>
      </c>
      <c r="AK8" s="495">
        <v>1731.7755356117304</v>
      </c>
      <c r="AL8" s="495">
        <v>368.03877657682699</v>
      </c>
      <c r="AM8" s="495">
        <v>46.017546303370203</v>
      </c>
      <c r="AN8" s="495">
        <v>1551.9240595122801</v>
      </c>
      <c r="AO8" s="495">
        <v>1965.9803823924799</v>
      </c>
      <c r="AP8" s="495">
        <v>269.41081879690603</v>
      </c>
      <c r="AQ8" s="495">
        <v>43.338288954175702</v>
      </c>
      <c r="AR8" s="495">
        <v>1738.1778824964799</v>
      </c>
      <c r="AS8" s="495">
        <v>2050.9269902475617</v>
      </c>
      <c r="AT8" s="495">
        <v>317.07503974124501</v>
      </c>
      <c r="AU8" s="495">
        <v>45.439251360849298</v>
      </c>
      <c r="AV8" s="495">
        <v>1941.4564703660999</v>
      </c>
      <c r="AW8" s="495">
        <v>2303.9707614681943</v>
      </c>
      <c r="AX8" s="495">
        <v>345.23662217872197</v>
      </c>
      <c r="AY8" s="495">
        <v>46.014854143813402</v>
      </c>
      <c r="AZ8" s="495">
        <v>2230.13575137304</v>
      </c>
      <c r="BA8" s="495">
        <v>2621.3872276955753</v>
      </c>
      <c r="BB8" s="495">
        <v>377.52071750031001</v>
      </c>
      <c r="BC8" s="495">
        <v>44.7138260719125</v>
      </c>
      <c r="BD8" s="495">
        <v>2414.0661630108698</v>
      </c>
      <c r="BE8" s="495">
        <v>2836.3007065830898</v>
      </c>
      <c r="BF8" s="495">
        <v>85.396693400000004</v>
      </c>
      <c r="BG8" s="495">
        <v>32.6145724</v>
      </c>
      <c r="BH8" s="495">
        <v>794.06784789999995</v>
      </c>
      <c r="BI8" s="495">
        <v>912.07911369999999</v>
      </c>
      <c r="BJ8" s="495">
        <v>82.313702000000006</v>
      </c>
      <c r="BK8" s="495">
        <v>34.4062184</v>
      </c>
      <c r="BL8" s="495">
        <v>838.36120619999997</v>
      </c>
      <c r="BM8" s="495">
        <v>955.08112659999995</v>
      </c>
      <c r="BN8" s="495">
        <v>91.717699999999994</v>
      </c>
      <c r="BO8" s="495">
        <v>35.8611</v>
      </c>
      <c r="BP8" s="495">
        <v>1063.0732</v>
      </c>
      <c r="BQ8" s="495">
        <v>1190.652</v>
      </c>
      <c r="BR8" s="495">
        <v>96.4974062</v>
      </c>
      <c r="BS8" s="495">
        <v>33.050262699999998</v>
      </c>
      <c r="BT8" s="495">
        <v>935.58436649999999</v>
      </c>
      <c r="BU8" s="495">
        <v>1065.1320353999999</v>
      </c>
      <c r="BV8" s="495">
        <v>113.0583</v>
      </c>
      <c r="BW8" s="495">
        <v>25.920300000000001</v>
      </c>
      <c r="BX8" s="495">
        <v>1284.1578</v>
      </c>
      <c r="BY8" s="495">
        <v>1423.1363999999999</v>
      </c>
      <c r="BZ8" s="495">
        <v>113.14</v>
      </c>
      <c r="CA8" s="495">
        <v>27.53</v>
      </c>
      <c r="CB8" s="495">
        <v>1475.17</v>
      </c>
      <c r="CC8" s="495">
        <v>1615.8400000000001</v>
      </c>
      <c r="CD8" s="495">
        <v>120.8142185</v>
      </c>
      <c r="CE8" s="495">
        <v>29.669526099999999</v>
      </c>
      <c r="CF8" s="495">
        <v>1518.1191363999999</v>
      </c>
      <c r="CG8" s="495">
        <v>1668.602881</v>
      </c>
      <c r="CH8" s="495">
        <v>101.32170000000001</v>
      </c>
      <c r="CI8" s="495">
        <v>40.779600000000002</v>
      </c>
      <c r="CJ8" s="495">
        <v>973.22190000000001</v>
      </c>
      <c r="CK8" s="495">
        <v>1115.3232</v>
      </c>
      <c r="CL8" s="495">
        <v>166.2038</v>
      </c>
      <c r="CM8" s="495">
        <v>36.2881</v>
      </c>
      <c r="CN8" s="495">
        <v>1151.7184999999999</v>
      </c>
      <c r="CO8" s="495">
        <v>1354.2103999999999</v>
      </c>
      <c r="CP8" s="495">
        <v>191.33600000000001</v>
      </c>
      <c r="CQ8" s="495">
        <v>38.375399999999999</v>
      </c>
      <c r="CR8" s="495">
        <v>1249.5429999999999</v>
      </c>
      <c r="CS8" s="495">
        <v>1479.2543999999998</v>
      </c>
      <c r="CT8" s="495">
        <v>178.35212580000001</v>
      </c>
      <c r="CU8" s="495">
        <v>35.546466299999999</v>
      </c>
      <c r="CV8" s="495">
        <v>1493.5757727</v>
      </c>
      <c r="CW8" s="495">
        <v>1707.4743648000001</v>
      </c>
      <c r="CX8" s="495">
        <v>204.4864</v>
      </c>
      <c r="CY8" s="495">
        <v>36.2301</v>
      </c>
      <c r="CZ8" s="495">
        <v>1600.1836000000001</v>
      </c>
      <c r="DA8" s="495">
        <v>1840.9001000000001</v>
      </c>
      <c r="DB8" s="495">
        <v>184.6</v>
      </c>
      <c r="DC8" s="495">
        <v>24.55</v>
      </c>
      <c r="DD8" s="495">
        <v>1645.73</v>
      </c>
      <c r="DE8" s="495">
        <v>1854.88</v>
      </c>
      <c r="DF8" s="495">
        <v>194.97</v>
      </c>
      <c r="DG8" s="495">
        <v>32.08</v>
      </c>
      <c r="DH8" s="495">
        <v>1834.81</v>
      </c>
      <c r="DI8" s="495">
        <v>2061.86</v>
      </c>
      <c r="DJ8" s="495">
        <f t="shared" si="0"/>
        <v>646.41221879690602</v>
      </c>
      <c r="DK8" s="495">
        <f t="shared" si="1"/>
        <v>134.0563889541757</v>
      </c>
      <c r="DL8" s="495">
        <f t="shared" si="2"/>
        <v>5154.4242824964795</v>
      </c>
      <c r="DM8" s="495">
        <f t="shared" si="3"/>
        <v>5934.8928902475618</v>
      </c>
      <c r="DN8" s="495">
        <f t="shared" si="4"/>
        <v>722.85844594124501</v>
      </c>
      <c r="DO8" s="495">
        <f t="shared" si="5"/>
        <v>136.02491406084931</v>
      </c>
      <c r="DP8" s="495">
        <f t="shared" si="6"/>
        <v>5746.0838368660998</v>
      </c>
      <c r="DQ8" s="495">
        <f t="shared" si="7"/>
        <v>6604.9671968681942</v>
      </c>
      <c r="DR8" s="495">
        <v>767.24867657682705</v>
      </c>
      <c r="DS8" s="495">
        <v>143.0933463033702</v>
      </c>
      <c r="DT8" s="495">
        <v>4938.3275595122795</v>
      </c>
      <c r="DU8" s="495">
        <v>5848.6695823924802</v>
      </c>
      <c r="DV8" s="495">
        <v>669.60035079690613</v>
      </c>
      <c r="DW8" s="495">
        <v>129.38501795417568</v>
      </c>
      <c r="DX8" s="495">
        <v>5308.1480216964792</v>
      </c>
      <c r="DY8" s="495">
        <v>6107.1333904475614</v>
      </c>
      <c r="DZ8" s="495">
        <v>753.69963974124494</v>
      </c>
      <c r="EA8" s="495">
        <v>126.1585513608493</v>
      </c>
      <c r="EB8" s="495">
        <v>6027.2525703661004</v>
      </c>
      <c r="EC8" s="495">
        <v>6907.1107614681941</v>
      </c>
      <c r="ED8" s="495">
        <v>761.99662217872196</v>
      </c>
      <c r="EE8" s="495">
        <v>118.1548541438134</v>
      </c>
      <c r="EF8" s="495">
        <v>6884.7057513730397</v>
      </c>
      <c r="EG8" s="495">
        <v>7764.8572276955756</v>
      </c>
      <c r="EH8" s="495">
        <v>811.25493600031007</v>
      </c>
      <c r="EI8" s="495">
        <v>125.6233521719125</v>
      </c>
      <c r="EJ8" s="495">
        <v>7386.4952994108698</v>
      </c>
      <c r="EK8" s="495">
        <v>8323.3735875830916</v>
      </c>
      <c r="EL8" s="495">
        <v>0</v>
      </c>
      <c r="EM8" s="495">
        <v>0</v>
      </c>
      <c r="EN8" s="495">
        <v>3.2199999999999999E-2</v>
      </c>
      <c r="EO8" s="495">
        <v>3.2199999999999999E-2</v>
      </c>
      <c r="EP8" s="495">
        <v>0</v>
      </c>
      <c r="EQ8" s="495">
        <v>0</v>
      </c>
      <c r="ER8" s="495">
        <v>3.1820863874412399</v>
      </c>
      <c r="ES8" s="495">
        <v>3.1820863874412399</v>
      </c>
      <c r="ET8" s="495">
        <v>0</v>
      </c>
      <c r="EU8" s="495">
        <v>0</v>
      </c>
      <c r="EV8" s="495">
        <v>12.865808259763201</v>
      </c>
      <c r="EW8" s="495">
        <v>12.865808259763201</v>
      </c>
      <c r="EX8" s="495">
        <v>1.0210311811516899E-3</v>
      </c>
      <c r="EY8" s="495">
        <v>0</v>
      </c>
      <c r="EZ8" s="495">
        <v>16.5718614631338</v>
      </c>
      <c r="FA8" s="495">
        <v>16.572882494314953</v>
      </c>
      <c r="FB8" s="495">
        <v>9.0548615857528501E-4</v>
      </c>
      <c r="FC8" s="495">
        <v>0</v>
      </c>
      <c r="FD8" s="495">
        <v>27.697617440687701</v>
      </c>
      <c r="FE8" s="495">
        <v>27.698522926846199</v>
      </c>
      <c r="FF8" s="495">
        <v>22.7355527</v>
      </c>
      <c r="FG8" s="495">
        <v>9.4070631000000002</v>
      </c>
      <c r="FH8" s="495">
        <v>542.1022352</v>
      </c>
      <c r="FI8" s="495">
        <v>574.24485100000004</v>
      </c>
      <c r="FJ8" s="495">
        <v>28.311900000000001</v>
      </c>
      <c r="FK8" s="495">
        <v>10.4053</v>
      </c>
      <c r="FL8" s="495">
        <v>707.95799999999997</v>
      </c>
      <c r="FM8" s="495">
        <v>746.67520000000002</v>
      </c>
      <c r="FN8" s="495">
        <v>31.982808800000001</v>
      </c>
      <c r="FO8" s="495">
        <v>11.9107769</v>
      </c>
      <c r="FP8" s="495">
        <v>813.19082637350004</v>
      </c>
      <c r="FQ8" s="495">
        <v>857.08441207350006</v>
      </c>
      <c r="FR8" s="495">
        <v>38.450500099999999</v>
      </c>
      <c r="FS8" s="495">
        <v>13.8749003</v>
      </c>
      <c r="FT8" s="495">
        <v>965.35010050000005</v>
      </c>
      <c r="FU8" s="495">
        <v>1017.6755009000001</v>
      </c>
      <c r="FV8" s="495">
        <v>38.4407967</v>
      </c>
      <c r="FW8" s="495">
        <v>14.8680094</v>
      </c>
      <c r="FX8" s="495">
        <v>975.09351470000001</v>
      </c>
      <c r="FY8" s="495">
        <v>1028.4023208000001</v>
      </c>
      <c r="FZ8" s="495">
        <v>39.604799999999997</v>
      </c>
      <c r="GA8" s="495">
        <v>18.534300000000002</v>
      </c>
      <c r="GB8" s="495">
        <v>1055.8737000000001</v>
      </c>
      <c r="GC8" s="495">
        <v>1114.0128</v>
      </c>
      <c r="GD8" s="495">
        <v>1.4738478182455199</v>
      </c>
      <c r="GE8" s="495">
        <v>3.1491256177800402</v>
      </c>
      <c r="GF8" s="495">
        <v>239.85705625197301</v>
      </c>
      <c r="GG8" s="495">
        <v>244.48002968799858</v>
      </c>
      <c r="GH8" s="495">
        <v>3.4544342763846299</v>
      </c>
      <c r="GI8" s="495">
        <v>2.5503837411598602</v>
      </c>
      <c r="GJ8" s="495">
        <v>200.76874729316799</v>
      </c>
      <c r="GK8" s="495">
        <v>206.773565310712</v>
      </c>
      <c r="GL8" s="495">
        <v>4.7068283531412396</v>
      </c>
      <c r="GM8" s="495">
        <v>2.2784532042536498</v>
      </c>
      <c r="GN8" s="495">
        <v>227.87827614795299</v>
      </c>
      <c r="GO8" s="495">
        <v>234.86355770534789</v>
      </c>
      <c r="GP8" s="495">
        <v>6.69860432526362</v>
      </c>
      <c r="GQ8" s="495">
        <v>4.1249992013071202</v>
      </c>
      <c r="GR8" s="495">
        <v>273.46596680575698</v>
      </c>
      <c r="GS8" s="495">
        <v>284.28957033232774</v>
      </c>
      <c r="GT8" s="495">
        <v>8.6033319725847708</v>
      </c>
      <c r="GU8" s="495">
        <v>5.0778351043076597</v>
      </c>
      <c r="GV8" s="495">
        <v>300.29953251394898</v>
      </c>
      <c r="GW8" s="495">
        <v>313.98069959084143</v>
      </c>
      <c r="GX8" s="495">
        <v>11.260026999999999</v>
      </c>
      <c r="GY8" s="495">
        <v>0.61274470000000003</v>
      </c>
      <c r="GZ8" s="495">
        <v>279.98715229999999</v>
      </c>
      <c r="HA8" s="495">
        <v>291.85992399999998</v>
      </c>
      <c r="HB8" s="495">
        <v>21.328434000000001</v>
      </c>
      <c r="HC8" s="495">
        <v>0.90941099999999997</v>
      </c>
      <c r="HD8" s="495">
        <v>359.86851109999998</v>
      </c>
      <c r="HE8" s="495">
        <v>382.10635609999997</v>
      </c>
      <c r="HF8" s="495">
        <v>16.294699999999999</v>
      </c>
      <c r="HG8" s="495">
        <v>1.0324552</v>
      </c>
      <c r="HH8" s="495">
        <v>437.19839999999999</v>
      </c>
      <c r="HI8" s="495">
        <v>454.52555519999999</v>
      </c>
      <c r="HJ8" s="495">
        <v>20.239899999999999</v>
      </c>
      <c r="HK8" s="495">
        <v>1.3360311</v>
      </c>
      <c r="HL8" s="495">
        <v>509.8492</v>
      </c>
      <c r="HM8" s="495">
        <v>531.42513110000004</v>
      </c>
      <c r="HN8" s="495">
        <v>21.364516299999998</v>
      </c>
      <c r="HO8" s="495">
        <v>1.5047629</v>
      </c>
      <c r="HP8" s="495">
        <v>563.86317117399994</v>
      </c>
      <c r="HQ8" s="495">
        <v>586.732450374</v>
      </c>
      <c r="HR8" s="495">
        <v>19.448886300000002</v>
      </c>
      <c r="HS8" s="495">
        <v>2.3861561999999998</v>
      </c>
      <c r="HT8" s="495">
        <v>601.41945950000002</v>
      </c>
      <c r="HU8" s="495">
        <v>623.254502</v>
      </c>
      <c r="HV8" s="495">
        <v>0</v>
      </c>
      <c r="HW8" s="495">
        <v>0</v>
      </c>
      <c r="HX8" s="495">
        <v>5.6582999999999998E-3</v>
      </c>
      <c r="HY8" s="495">
        <v>5.6582999999999998E-3</v>
      </c>
      <c r="HZ8" s="495">
        <v>3.4418999999999998E-2</v>
      </c>
      <c r="IA8" s="495">
        <v>0</v>
      </c>
      <c r="IB8" s="495">
        <v>1.0208535620000001</v>
      </c>
      <c r="IC8" s="495">
        <v>1.0552725620000001</v>
      </c>
      <c r="ID8" s="495">
        <v>0.1357102</v>
      </c>
      <c r="IE8" s="495">
        <v>3.0373000000000002E-3</v>
      </c>
      <c r="IF8" s="495">
        <v>3.9764108999999999</v>
      </c>
      <c r="IG8" s="495">
        <v>4.1151583999999994</v>
      </c>
      <c r="IH8" s="495">
        <v>0.66622709999999996</v>
      </c>
      <c r="II8" s="495">
        <v>3.8361800000000001E-2</v>
      </c>
      <c r="IJ8" s="495">
        <v>18.377501299999999</v>
      </c>
      <c r="IK8" s="495">
        <v>19.0820902</v>
      </c>
      <c r="IL8" s="495">
        <v>0.64270309999999997</v>
      </c>
      <c r="IM8" s="495">
        <v>3.8941999999999997E-2</v>
      </c>
      <c r="IN8" s="495">
        <v>14.5176161</v>
      </c>
      <c r="IO8" s="495">
        <v>15.1992612</v>
      </c>
      <c r="IP8" s="495">
        <v>19.2932074</v>
      </c>
      <c r="IQ8" s="495">
        <v>4.6113942999999997</v>
      </c>
      <c r="IR8" s="495">
        <v>127.2691896</v>
      </c>
      <c r="IS8" s="495">
        <v>151.1737913</v>
      </c>
      <c r="IT8" s="495">
        <v>28.180610600000001</v>
      </c>
      <c r="IU8" s="495">
        <v>5.3887266</v>
      </c>
      <c r="IV8" s="495">
        <v>147.6109975</v>
      </c>
      <c r="IW8" s="495">
        <v>181.1803347</v>
      </c>
      <c r="IX8" s="495">
        <v>27.5443964</v>
      </c>
      <c r="IY8" s="495">
        <v>6.0235041000000002</v>
      </c>
      <c r="IZ8" s="495">
        <v>187.99802769999999</v>
      </c>
      <c r="JA8" s="495">
        <v>221.5659282</v>
      </c>
      <c r="JB8" s="495">
        <v>32.0197</v>
      </c>
      <c r="JC8" s="495">
        <v>4.9879783</v>
      </c>
      <c r="JD8" s="495">
        <v>224.4</v>
      </c>
      <c r="JE8" s="495">
        <v>261.40767829999999</v>
      </c>
      <c r="JF8" s="495">
        <v>39.167499999999997</v>
      </c>
      <c r="JG8" s="495">
        <v>4.8380318000000004</v>
      </c>
      <c r="JH8" s="495">
        <v>244.28639999999999</v>
      </c>
      <c r="JI8" s="495">
        <v>288.29193179999999</v>
      </c>
      <c r="JJ8" s="495">
        <v>40.322975</v>
      </c>
      <c r="JK8" s="495">
        <v>6.2456737000000002</v>
      </c>
      <c r="JL8" s="495">
        <v>262.74734469999999</v>
      </c>
      <c r="JM8" s="495">
        <v>309.31599340000002</v>
      </c>
      <c r="JN8" s="495">
        <v>0</v>
      </c>
      <c r="JO8" s="495">
        <v>0</v>
      </c>
      <c r="JP8" s="495">
        <v>0</v>
      </c>
      <c r="JQ8" s="495">
        <v>0</v>
      </c>
      <c r="JR8" s="495">
        <v>0.49285620000000002</v>
      </c>
      <c r="JS8" s="495">
        <v>5.3660000000000003E-4</v>
      </c>
      <c r="JT8" s="495">
        <v>23.2435151</v>
      </c>
      <c r="JU8" s="495">
        <v>23.736907899999999</v>
      </c>
      <c r="JV8" s="495">
        <v>2.2905000000000002</v>
      </c>
      <c r="JW8" s="495">
        <v>2.2000000000000001E-3</v>
      </c>
      <c r="JX8" s="495">
        <v>115.40990000000001</v>
      </c>
      <c r="JY8" s="495">
        <v>117.7026</v>
      </c>
      <c r="JZ8" s="495">
        <v>4.3380000000000001</v>
      </c>
      <c r="KA8" s="495">
        <v>4.7800000000000002E-2</v>
      </c>
      <c r="KB8" s="495">
        <v>228.62440000000001</v>
      </c>
      <c r="KC8" s="495">
        <v>233.0102</v>
      </c>
      <c r="KD8" s="495">
        <v>6.1185</v>
      </c>
      <c r="KE8" s="495">
        <v>5.6300000000000003E-2</v>
      </c>
      <c r="KF8" s="495">
        <v>342.82069999999999</v>
      </c>
      <c r="KG8" s="495">
        <v>348.99549999999999</v>
      </c>
      <c r="KH8" s="495">
        <v>7.3714000000000004</v>
      </c>
      <c r="KI8" s="495">
        <v>2.0234000000000001</v>
      </c>
      <c r="KJ8" s="495">
        <v>118.8533</v>
      </c>
      <c r="KK8" s="495">
        <v>128.24809999999999</v>
      </c>
      <c r="KL8" s="495">
        <v>24.302199999999999</v>
      </c>
      <c r="KM8" s="495">
        <v>6.0180999999999996</v>
      </c>
      <c r="KN8" s="495">
        <v>401.08330000000001</v>
      </c>
      <c r="KO8" s="495">
        <v>431.40359999999998</v>
      </c>
      <c r="KP8" s="495">
        <v>26.074200000000001</v>
      </c>
      <c r="KQ8" s="495">
        <v>6.0438000000000001</v>
      </c>
      <c r="KR8" s="495">
        <v>484.29629999999997</v>
      </c>
      <c r="KS8" s="495">
        <v>516.41430000000003</v>
      </c>
      <c r="KT8" s="495">
        <v>33.319800000000001</v>
      </c>
      <c r="KU8" s="495">
        <v>6.5515999999999996</v>
      </c>
      <c r="KV8" s="495">
        <v>620.69240000000002</v>
      </c>
      <c r="KW8" s="495">
        <v>660.56380000000001</v>
      </c>
      <c r="KX8" s="495">
        <v>43.41</v>
      </c>
      <c r="KY8" s="495">
        <v>6.25</v>
      </c>
      <c r="KZ8" s="495">
        <v>802.27</v>
      </c>
      <c r="LA8" s="495">
        <v>851.93</v>
      </c>
      <c r="LB8" s="495">
        <v>51.136619178021903</v>
      </c>
      <c r="LC8" s="495">
        <v>7.70828632550566</v>
      </c>
      <c r="LD8" s="495">
        <v>829.24035024491604</v>
      </c>
      <c r="LE8" s="495">
        <v>888.08525574844396</v>
      </c>
      <c r="LF8" s="495">
        <v>18.182981000000002</v>
      </c>
      <c r="LG8" s="495">
        <v>16.013971999999999</v>
      </c>
      <c r="LH8" s="495">
        <v>668.48102549999999</v>
      </c>
      <c r="LI8" s="495">
        <v>702.67797849999999</v>
      </c>
      <c r="LJ8" s="495">
        <v>17.726563299999999</v>
      </c>
      <c r="LK8" s="495">
        <v>14.482701499999999</v>
      </c>
      <c r="LL8" s="495">
        <v>765.38539460000004</v>
      </c>
      <c r="LM8" s="495">
        <v>797.59465939999995</v>
      </c>
      <c r="LN8" s="495">
        <v>21.043437999999998</v>
      </c>
      <c r="LO8" s="495">
        <v>15.741533199999999</v>
      </c>
      <c r="LP8" s="495">
        <v>979.69906909999997</v>
      </c>
      <c r="LQ8" s="495">
        <v>1016.4840402999999</v>
      </c>
      <c r="LR8" s="495">
        <v>32.756018900000001</v>
      </c>
      <c r="LS8" s="495">
        <v>18.526805400000001</v>
      </c>
      <c r="LT8" s="495">
        <v>1246.6649927000001</v>
      </c>
      <c r="LU8" s="495">
        <v>1297.947817</v>
      </c>
      <c r="LV8" s="495">
        <v>46.982208300000003</v>
      </c>
      <c r="LW8" s="495">
        <v>17.513592500000001</v>
      </c>
      <c r="LX8" s="495">
        <v>1376.3888855</v>
      </c>
      <c r="LY8" s="495">
        <v>1440.8846863000001</v>
      </c>
      <c r="LZ8" s="495">
        <v>67.37</v>
      </c>
      <c r="MA8" s="495">
        <v>22.55</v>
      </c>
      <c r="MB8" s="495">
        <v>1669.48</v>
      </c>
      <c r="MC8" s="495">
        <v>1759.4</v>
      </c>
      <c r="MD8" s="495">
        <v>7.0922212</v>
      </c>
      <c r="ME8" s="495">
        <v>6.6039320999999997</v>
      </c>
      <c r="MF8" s="495">
        <v>333.68240179999998</v>
      </c>
      <c r="MG8" s="495">
        <v>347.37855509999997</v>
      </c>
      <c r="MH8" s="495">
        <v>7.0096534999999998</v>
      </c>
      <c r="MI8" s="495">
        <v>6.0753653999999999</v>
      </c>
      <c r="MJ8" s="495">
        <v>357.60202620000001</v>
      </c>
      <c r="MK8" s="495">
        <v>370.68704509999998</v>
      </c>
      <c r="ML8" s="495">
        <v>8.5366630000000008</v>
      </c>
      <c r="MM8" s="495">
        <v>5.8222037000000002</v>
      </c>
      <c r="MN8" s="495">
        <v>412.87052219999998</v>
      </c>
      <c r="MO8" s="495">
        <v>427.2293889</v>
      </c>
      <c r="MP8" s="495">
        <v>9.4640000000000004</v>
      </c>
      <c r="MQ8" s="495">
        <v>6.6421000000000001</v>
      </c>
      <c r="MR8" s="495">
        <v>491.7876</v>
      </c>
      <c r="MS8" s="495">
        <v>507.89370000000002</v>
      </c>
      <c r="MT8" s="495">
        <v>10.3707821</v>
      </c>
      <c r="MU8" s="495">
        <v>5.8205834999999997</v>
      </c>
      <c r="MV8" s="495">
        <v>552.87033350000002</v>
      </c>
      <c r="MW8" s="495">
        <v>569.06169910000006</v>
      </c>
      <c r="MX8" s="495">
        <v>12.64798</v>
      </c>
      <c r="MY8" s="495">
        <v>6.6264472000000003</v>
      </c>
      <c r="MZ8" s="495">
        <v>601.99492910000004</v>
      </c>
      <c r="NA8" s="495">
        <v>621.26935630000003</v>
      </c>
      <c r="NB8" s="495">
        <v>4.3773399999999997E-2</v>
      </c>
      <c r="NC8" s="495">
        <v>0</v>
      </c>
      <c r="ND8" s="495">
        <v>2.4777803999999999</v>
      </c>
      <c r="NE8" s="495">
        <v>2.5215538</v>
      </c>
      <c r="NF8" s="495">
        <v>0.27188020000000002</v>
      </c>
      <c r="NG8" s="495">
        <v>0</v>
      </c>
      <c r="NH8" s="495">
        <v>8.6264294003694904</v>
      </c>
      <c r="NI8" s="495">
        <v>8.8983096003694904</v>
      </c>
      <c r="NJ8" s="495">
        <v>0.71906999999999999</v>
      </c>
      <c r="NK8" s="495">
        <v>0</v>
      </c>
      <c r="NL8" s="495">
        <v>17.761884299999998</v>
      </c>
      <c r="NM8" s="495">
        <v>18.480954299999997</v>
      </c>
      <c r="NN8" s="495">
        <v>1.6617059000000001</v>
      </c>
      <c r="NO8" s="495">
        <v>0</v>
      </c>
      <c r="NP8" s="495">
        <v>28.411548100000001</v>
      </c>
      <c r="NQ8" s="495">
        <v>30.073254000000002</v>
      </c>
      <c r="NR8" s="495">
        <v>2.6685680999999999</v>
      </c>
      <c r="NS8" s="495">
        <v>5.7090000000000005E-4</v>
      </c>
      <c r="NT8" s="495">
        <v>37.103043</v>
      </c>
      <c r="NU8" s="495">
        <v>39.772182000000001</v>
      </c>
      <c r="NV8" s="495">
        <v>3.3380635999999999</v>
      </c>
      <c r="NW8" s="495">
        <v>2.4258499999999999E-2</v>
      </c>
      <c r="NX8" s="495">
        <v>49.400638700000002</v>
      </c>
      <c r="NY8" s="495">
        <v>52.762960800000002</v>
      </c>
      <c r="NZ8" s="495">
        <v>2.4536391625468399</v>
      </c>
      <c r="OA8" s="495">
        <v>0.80998443614897897</v>
      </c>
      <c r="OB8" s="495">
        <v>33.949187095449098</v>
      </c>
      <c r="OC8" s="495">
        <v>37.21281069414492</v>
      </c>
      <c r="OD8" s="495">
        <v>4.0881479699315904</v>
      </c>
      <c r="OE8" s="495">
        <v>1.2054538880313901</v>
      </c>
      <c r="OF8" s="495">
        <v>44.840537141191703</v>
      </c>
      <c r="OG8" s="495">
        <v>50.1341389991547</v>
      </c>
      <c r="OH8" s="495">
        <v>4.0394857038703398</v>
      </c>
      <c r="OI8" s="495">
        <v>1.8491148508050399</v>
      </c>
      <c r="OJ8" s="495">
        <v>80.776254807087895</v>
      </c>
      <c r="OK8" s="495">
        <v>86.664855361763273</v>
      </c>
      <c r="OL8" s="495">
        <v>5.7265731720004798</v>
      </c>
      <c r="OM8" s="495">
        <v>2.4594565095421399</v>
      </c>
      <c r="ON8" s="495">
        <v>128.69202293394301</v>
      </c>
      <c r="OO8" s="495">
        <v>136.87805261548561</v>
      </c>
      <c r="OP8" s="495">
        <v>8.6949197540865502</v>
      </c>
      <c r="OQ8" s="495">
        <v>3.2709716282693</v>
      </c>
      <c r="OR8" s="495">
        <v>142.37830728447699</v>
      </c>
      <c r="OS8" s="495">
        <v>154.34419866683282</v>
      </c>
      <c r="OT8" s="495">
        <v>11.325706659019</v>
      </c>
      <c r="OU8" s="495">
        <v>4.2014590828531198</v>
      </c>
      <c r="OV8" s="495">
        <v>147.815478568804</v>
      </c>
      <c r="OW8" s="495">
        <v>163.34264431067601</v>
      </c>
      <c r="OX8" s="495">
        <v>0.98960000000000004</v>
      </c>
      <c r="OY8" s="495">
        <v>0.2329</v>
      </c>
      <c r="OZ8" s="495">
        <v>56.397799999999997</v>
      </c>
      <c r="PA8" s="495">
        <v>57.6203</v>
      </c>
      <c r="PB8" s="495">
        <v>1.1901999999999999</v>
      </c>
      <c r="PC8" s="495">
        <v>0.13800000000000001</v>
      </c>
      <c r="PD8" s="495">
        <v>64.8593999</v>
      </c>
      <c r="PE8" s="495">
        <v>66.187599899999995</v>
      </c>
      <c r="PF8" s="495">
        <v>0.96640190000000004</v>
      </c>
      <c r="PG8" s="495">
        <v>0.15535560000000001</v>
      </c>
      <c r="PH8" s="495">
        <v>83.062442300000001</v>
      </c>
      <c r="PI8" s="495">
        <v>84.184199800000002</v>
      </c>
      <c r="PJ8" s="495">
        <v>2.0212876999999998</v>
      </c>
      <c r="PK8" s="495">
        <v>0.16407759999999999</v>
      </c>
      <c r="PL8" s="495">
        <v>122.83570659999999</v>
      </c>
      <c r="PM8" s="495">
        <v>125.0210719</v>
      </c>
      <c r="PN8" s="495">
        <v>7.3203485709446499</v>
      </c>
      <c r="PO8" s="495">
        <v>9.6394700353624602E-2</v>
      </c>
      <c r="PP8" s="495">
        <v>147.00195669999999</v>
      </c>
      <c r="PQ8" s="495">
        <v>154.41869997129828</v>
      </c>
      <c r="PR8" s="495">
        <v>9.1813415000000003</v>
      </c>
      <c r="PS8" s="495">
        <v>0.15325759999999999</v>
      </c>
      <c r="PT8" s="495">
        <v>171.15945300000001</v>
      </c>
      <c r="PU8" s="495">
        <v>180.4940521</v>
      </c>
      <c r="PV8" s="495">
        <v>0.73128300899999998</v>
      </c>
      <c r="PW8" s="495">
        <v>0</v>
      </c>
      <c r="PX8" s="495">
        <v>0.506810969</v>
      </c>
      <c r="PY8" s="495">
        <v>1.238093978</v>
      </c>
      <c r="PZ8" s="495">
        <v>3.7348000000000003</v>
      </c>
      <c r="QA8" s="495">
        <v>0</v>
      </c>
      <c r="QB8" s="495">
        <v>5.0819132260000002</v>
      </c>
      <c r="QC8" s="495">
        <v>8.816713226000001</v>
      </c>
      <c r="QD8" s="495">
        <v>3.1333792690000002</v>
      </c>
      <c r="QE8" s="495">
        <v>0</v>
      </c>
      <c r="QF8" s="495">
        <v>10.645803942000001</v>
      </c>
      <c r="QG8" s="495">
        <v>13.779183211000001</v>
      </c>
      <c r="QH8" s="495">
        <v>5.3294715720000001</v>
      </c>
      <c r="QI8" s="495">
        <v>0</v>
      </c>
      <c r="QJ8" s="495">
        <v>11.362097536</v>
      </c>
      <c r="QK8" s="495">
        <v>16.691569107999999</v>
      </c>
      <c r="QL8" s="495">
        <v>8.32</v>
      </c>
      <c r="QM8" s="495">
        <v>0</v>
      </c>
      <c r="QN8" s="495">
        <v>12.13</v>
      </c>
      <c r="QO8" s="495">
        <v>20.450000000000003</v>
      </c>
      <c r="QP8" s="495">
        <v>0.2423525</v>
      </c>
      <c r="QQ8" s="495">
        <v>3.2195000000000001E-3</v>
      </c>
      <c r="QR8" s="495">
        <v>7.0126894000000002</v>
      </c>
      <c r="QS8" s="495">
        <v>7.2582614000000003</v>
      </c>
      <c r="QT8" s="495">
        <v>0.39226169999999999</v>
      </c>
      <c r="QU8" s="495">
        <v>6.4260000000000003E-3</v>
      </c>
      <c r="QV8" s="495">
        <v>10.624035900000001</v>
      </c>
      <c r="QW8" s="495">
        <v>11.022723600000001</v>
      </c>
      <c r="QX8" s="495">
        <v>0.32147769999999998</v>
      </c>
      <c r="QY8" s="495">
        <v>9.5335000000000003E-3</v>
      </c>
      <c r="QZ8" s="495">
        <v>14.4942662</v>
      </c>
      <c r="RA8" s="495">
        <v>14.825277400000001</v>
      </c>
      <c r="RB8" s="495">
        <v>0.55261629999999995</v>
      </c>
      <c r="RC8" s="495">
        <v>1.699E-3</v>
      </c>
      <c r="RD8" s="495">
        <v>20.8924883</v>
      </c>
      <c r="RE8" s="495">
        <v>21.446803599999999</v>
      </c>
      <c r="RF8" s="495">
        <v>0.14539179999999999</v>
      </c>
      <c r="RG8" s="495">
        <v>3.0679000000000001E-3</v>
      </c>
      <c r="RH8" s="495">
        <v>25.301516800000002</v>
      </c>
      <c r="RI8" s="495">
        <v>25.449976500000002</v>
      </c>
      <c r="RJ8" s="495">
        <v>0.24787529999999999</v>
      </c>
      <c r="RK8" s="495">
        <v>3.7820000000000002E-3</v>
      </c>
      <c r="RL8" s="495">
        <v>35.233778299999997</v>
      </c>
      <c r="RM8" s="495">
        <v>35.485435600000002</v>
      </c>
      <c r="RN8" s="495">
        <v>11.0344444</v>
      </c>
      <c r="RO8" s="495">
        <v>2.9279706947488302</v>
      </c>
      <c r="RP8" s="495">
        <v>382.65058793672699</v>
      </c>
      <c r="RQ8" s="495">
        <v>396.61300303147584</v>
      </c>
      <c r="RR8" s="495">
        <v>15.378030001946501</v>
      </c>
      <c r="RS8" s="495">
        <v>1.97417444346438</v>
      </c>
      <c r="RT8" s="495">
        <v>455.68422041487298</v>
      </c>
      <c r="RU8" s="495">
        <v>473.036424860284</v>
      </c>
      <c r="RV8" s="495">
        <v>21.058745200697999</v>
      </c>
      <c r="RW8" s="495">
        <v>1.9473472482060501</v>
      </c>
      <c r="RX8" s="495">
        <v>565.92259981093105</v>
      </c>
      <c r="RY8" s="495">
        <v>588.92869225983509</v>
      </c>
      <c r="RZ8" s="495">
        <v>23.055187350841202</v>
      </c>
      <c r="SA8" s="495">
        <v>1.9858327345743301</v>
      </c>
      <c r="SB8" s="495">
        <v>642.42599764991405</v>
      </c>
      <c r="SC8" s="495">
        <v>667.46701773532959</v>
      </c>
      <c r="SD8" s="495">
        <v>23.699231895866799</v>
      </c>
      <c r="SE8" s="495">
        <v>2.33396606012088</v>
      </c>
      <c r="SF8" s="495">
        <v>675.474738624672</v>
      </c>
      <c r="SG8" s="495">
        <v>701.5079365806597</v>
      </c>
      <c r="SH8" s="495">
        <v>25.641549507597102</v>
      </c>
      <c r="SI8" s="495">
        <v>2.56006214121828</v>
      </c>
      <c r="SJ8" s="495">
        <v>720.99534204560996</v>
      </c>
      <c r="SK8" s="495">
        <v>749.19695369442604</v>
      </c>
      <c r="SL8" s="495">
        <v>10.0192</v>
      </c>
      <c r="SM8" s="495">
        <v>1.4353</v>
      </c>
      <c r="SN8" s="495">
        <v>193.64400000000001</v>
      </c>
      <c r="SO8" s="495">
        <v>205.0985</v>
      </c>
      <c r="SP8" s="495">
        <v>10.9770331</v>
      </c>
      <c r="SQ8" s="495">
        <v>1.3889232</v>
      </c>
      <c r="SR8" s="495">
        <v>220.0941388</v>
      </c>
      <c r="SS8" s="495">
        <v>232.46009509999999</v>
      </c>
      <c r="ST8" s="495">
        <v>12.891126399999999</v>
      </c>
      <c r="SU8" s="495">
        <v>1.7244725999999999</v>
      </c>
      <c r="SV8" s="495">
        <v>269.95614310000002</v>
      </c>
      <c r="SW8" s="495">
        <v>284.57174209999999</v>
      </c>
      <c r="SX8" s="495">
        <v>12.11842</v>
      </c>
      <c r="SY8" s="495">
        <v>1.8974063999999999</v>
      </c>
      <c r="SZ8" s="495">
        <v>294.59588409999998</v>
      </c>
      <c r="TA8" s="495">
        <v>308.61171049999996</v>
      </c>
      <c r="TB8" s="495">
        <v>14.5219588</v>
      </c>
      <c r="TC8" s="495">
        <v>1.8466794</v>
      </c>
      <c r="TD8" s="495">
        <v>320.43761979999999</v>
      </c>
      <c r="TE8" s="495">
        <v>336.80625800000001</v>
      </c>
      <c r="TF8" s="495">
        <v>13.1901353</v>
      </c>
      <c r="TG8" s="495">
        <v>1.7590912000000001</v>
      </c>
      <c r="TH8" s="495">
        <v>327.15250020000002</v>
      </c>
      <c r="TI8" s="495">
        <v>342.10172669999997</v>
      </c>
      <c r="TJ8" s="495">
        <v>73.353329163209196</v>
      </c>
      <c r="TK8" s="495">
        <v>1.4301249127722899</v>
      </c>
      <c r="TL8" s="495">
        <v>162.802568718766</v>
      </c>
      <c r="TM8" s="495">
        <v>237.58602279474746</v>
      </c>
      <c r="TN8" s="495">
        <v>55.980923258211902</v>
      </c>
      <c r="TO8" s="495">
        <v>1.33676705303032</v>
      </c>
      <c r="TP8" s="495">
        <v>199.934545206666</v>
      </c>
      <c r="TQ8" s="495">
        <v>257.25223551790799</v>
      </c>
      <c r="TR8" s="495">
        <v>48.231625246528203</v>
      </c>
      <c r="TS8" s="495">
        <v>1.63321922622923</v>
      </c>
      <c r="TT8" s="495">
        <v>261.95472309437997</v>
      </c>
      <c r="TU8" s="495">
        <v>311.81956756713743</v>
      </c>
      <c r="TV8" s="495">
        <v>59.024489376088098</v>
      </c>
      <c r="TW8" s="495">
        <v>1.9268056729679199</v>
      </c>
      <c r="TX8" s="495">
        <v>320.057877912067</v>
      </c>
      <c r="TY8" s="495">
        <v>381.009172961123</v>
      </c>
      <c r="TZ8" s="495">
        <v>65.757499999999993</v>
      </c>
      <c r="UA8" s="495">
        <v>2.4722</v>
      </c>
      <c r="UB8" s="495">
        <v>362.18700000000001</v>
      </c>
      <c r="UC8" s="495">
        <v>430.41669999999999</v>
      </c>
      <c r="UD8" s="495">
        <v>71.593999999999994</v>
      </c>
      <c r="UE8" s="495">
        <v>3.8186</v>
      </c>
      <c r="UF8" s="495">
        <v>399.46719999999999</v>
      </c>
      <c r="UG8" s="495">
        <v>474.87979999999999</v>
      </c>
      <c r="UH8" s="495">
        <v>7.4034839999999997</v>
      </c>
      <c r="UI8" s="495">
        <v>0.38788899999999998</v>
      </c>
      <c r="UJ8" s="495">
        <v>496.1785453</v>
      </c>
      <c r="UK8" s="495">
        <v>503.96991830000002</v>
      </c>
      <c r="UL8" s="495">
        <v>8.9063482999999994</v>
      </c>
      <c r="UM8" s="495">
        <v>0.52625129999999998</v>
      </c>
      <c r="UN8" s="495">
        <v>521.78150630000005</v>
      </c>
      <c r="UO8" s="495">
        <v>531.21410590000005</v>
      </c>
      <c r="UP8" s="495">
        <v>8.0204900000000006</v>
      </c>
      <c r="UQ8" s="495">
        <v>0.489452</v>
      </c>
      <c r="UR8" s="495">
        <v>605.46129370000006</v>
      </c>
      <c r="US8" s="495">
        <v>613.97123570000008</v>
      </c>
      <c r="UT8" s="495">
        <v>8.6672452999999994</v>
      </c>
      <c r="UU8" s="495">
        <v>0.36486249999999998</v>
      </c>
      <c r="UV8" s="495">
        <v>605.72424569999998</v>
      </c>
      <c r="UW8" s="495">
        <v>614.75635349999993</v>
      </c>
      <c r="UX8" s="495">
        <v>11.094594900000001</v>
      </c>
      <c r="UY8" s="495">
        <v>0.33743020000000001</v>
      </c>
      <c r="UZ8" s="495">
        <v>587.31414810000001</v>
      </c>
      <c r="VA8" s="495">
        <v>598.74617320000004</v>
      </c>
      <c r="VB8" s="495">
        <v>19.52</v>
      </c>
      <c r="VC8" s="495">
        <v>0.57999999999999996</v>
      </c>
      <c r="VD8" s="495">
        <v>595.80999999999995</v>
      </c>
      <c r="VE8" s="495">
        <v>615.91</v>
      </c>
      <c r="VF8" s="495">
        <v>15.7074</v>
      </c>
      <c r="VG8" s="495">
        <v>15.415800000000001</v>
      </c>
      <c r="VH8" s="495">
        <v>212.65209999999999</v>
      </c>
      <c r="VI8" s="495">
        <v>243.77529999999999</v>
      </c>
      <c r="VJ8" s="495">
        <v>16.9527</v>
      </c>
      <c r="VK8" s="495">
        <v>16.8065</v>
      </c>
      <c r="VL8" s="495">
        <v>283.4271</v>
      </c>
      <c r="VM8" s="495">
        <v>317.18630000000002</v>
      </c>
      <c r="VN8" s="495">
        <v>30.8254059</v>
      </c>
      <c r="VO8" s="495">
        <v>22.7022449</v>
      </c>
      <c r="VP8" s="495">
        <v>417.7575678</v>
      </c>
      <c r="VQ8" s="495">
        <v>471.28521860000001</v>
      </c>
      <c r="VR8" s="495">
        <v>30.884361500000001</v>
      </c>
      <c r="VS8" s="495">
        <v>24.105491300000001</v>
      </c>
      <c r="VT8" s="495">
        <v>613.13391109999998</v>
      </c>
      <c r="VU8" s="495">
        <v>668.12376389999997</v>
      </c>
      <c r="VV8" s="495">
        <v>29.428231400000001</v>
      </c>
      <c r="VW8" s="495">
        <v>25.140844399999999</v>
      </c>
      <c r="VX8" s="495">
        <v>745.95593940000003</v>
      </c>
      <c r="VY8" s="495">
        <v>800.52501519999998</v>
      </c>
      <c r="VZ8" s="495">
        <v>40.408514099999998</v>
      </c>
      <c r="WA8" s="495">
        <v>32.363033899999998</v>
      </c>
      <c r="WB8" s="495">
        <v>890.90801089506101</v>
      </c>
      <c r="WC8" s="495">
        <v>963.67955889506095</v>
      </c>
      <c r="WD8" s="495">
        <v>9.2482918000000005</v>
      </c>
      <c r="WE8" s="495">
        <v>0.499191</v>
      </c>
      <c r="WF8" s="495">
        <v>66.119337599999994</v>
      </c>
      <c r="WG8" s="495">
        <v>75.866820399999995</v>
      </c>
      <c r="WH8" s="495">
        <v>8.2253336000000008</v>
      </c>
      <c r="WI8" s="495">
        <v>0.3030871</v>
      </c>
      <c r="WJ8" s="495">
        <v>86.204207800000006</v>
      </c>
      <c r="WK8" s="495">
        <v>94.732628500000004</v>
      </c>
      <c r="WL8" s="495">
        <v>12.7603408</v>
      </c>
      <c r="WM8" s="495">
        <v>0.49420999999999998</v>
      </c>
      <c r="WN8" s="495">
        <v>134.42288389999999</v>
      </c>
      <c r="WO8" s="495">
        <v>147.67743469999999</v>
      </c>
      <c r="WP8" s="495">
        <v>11.2099624</v>
      </c>
      <c r="WQ8" s="495">
        <v>0.37567679999999998</v>
      </c>
      <c r="WR8" s="495">
        <v>136.2037977</v>
      </c>
      <c r="WS8" s="495">
        <v>147.7894369</v>
      </c>
      <c r="WT8" s="495">
        <v>15.1824732</v>
      </c>
      <c r="WU8" s="495">
        <v>0.53735180000000005</v>
      </c>
      <c r="WV8" s="495">
        <v>209.73093399999999</v>
      </c>
      <c r="WW8" s="495">
        <v>225.45075900000001</v>
      </c>
      <c r="WX8" s="495">
        <v>12.1669819</v>
      </c>
      <c r="WY8" s="495">
        <v>0.44668020000000003</v>
      </c>
      <c r="WZ8" s="495">
        <v>188.6851388</v>
      </c>
      <c r="XA8" s="495">
        <v>201.2988009</v>
      </c>
      <c r="XB8" s="495">
        <v>230.66576717227525</v>
      </c>
      <c r="XC8" s="495">
        <v>70.06561464087801</v>
      </c>
      <c r="XD8" s="495">
        <v>4102.6801271399299</v>
      </c>
      <c r="XE8" s="495">
        <v>4403.4115089530842</v>
      </c>
      <c r="XF8" s="495">
        <v>253.40793681547464</v>
      </c>
      <c r="XG8" s="495">
        <v>69.51557122568596</v>
      </c>
      <c r="XH8" s="495">
        <v>4836.8977668252683</v>
      </c>
      <c r="XI8" s="495">
        <v>5159.8212748664264</v>
      </c>
      <c r="XJ8" s="495">
        <v>280.27927860423779</v>
      </c>
      <c r="XK8" s="495">
        <v>79.858212829493965</v>
      </c>
      <c r="XL8" s="495">
        <v>6027.2298488092947</v>
      </c>
      <c r="XM8" s="495">
        <v>6387.367340243024</v>
      </c>
      <c r="XN8" s="495">
        <v>333.42996179319334</v>
      </c>
      <c r="XO8" s="495">
        <v>89.330960118391516</v>
      </c>
      <c r="XP8" s="495">
        <v>7388.0816632034421</v>
      </c>
      <c r="XQ8" s="495">
        <v>7810.8425851150278</v>
      </c>
      <c r="XR8" s="495">
        <v>397.18707349666397</v>
      </c>
      <c r="XS8" s="495">
        <v>91.99845399305147</v>
      </c>
      <c r="XT8" s="495">
        <v>8342.8929013962334</v>
      </c>
      <c r="XU8" s="495">
        <v>8832.0784288859468</v>
      </c>
      <c r="XV8" s="495">
        <v>452.22753693079653</v>
      </c>
      <c r="XW8" s="495">
        <v>110.05633004957706</v>
      </c>
      <c r="XX8" s="495">
        <v>8944.5492575950793</v>
      </c>
      <c r="XY8" s="495">
        <v>9506.8331245754543</v>
      </c>
      <c r="XZ8" s="495">
        <v>1.095896464</v>
      </c>
      <c r="YA8" s="495">
        <v>9.3078170015372006</v>
      </c>
      <c r="YB8" s="495">
        <v>17.4075995890001</v>
      </c>
      <c r="YC8" s="495">
        <v>33.239638499999998</v>
      </c>
      <c r="YD8" s="495">
        <v>51.6637542</v>
      </c>
      <c r="YE8" s="495">
        <v>71.418132700000001</v>
      </c>
      <c r="YF8" s="495">
        <v>23.129556595</v>
      </c>
      <c r="YG8" s="495">
        <v>30.179392013758999</v>
      </c>
      <c r="YH8" s="495">
        <v>40.663291028000003</v>
      </c>
      <c r="YI8" s="495">
        <v>69.771849795733502</v>
      </c>
      <c r="YJ8" s="495">
        <v>92.157032799999996</v>
      </c>
      <c r="YK8" s="495">
        <v>103.9661239</v>
      </c>
      <c r="YL8" s="495">
        <v>128.61069230000001</v>
      </c>
      <c r="YM8" s="495">
        <v>38.114867599999997</v>
      </c>
      <c r="YN8" s="495">
        <v>53.587427400000003</v>
      </c>
      <c r="YO8" s="495">
        <v>66.551739699999999</v>
      </c>
      <c r="YP8" s="495">
        <v>78.468019699999999</v>
      </c>
      <c r="YQ8" s="495">
        <v>101.18628440000001</v>
      </c>
      <c r="YR8" s="495">
        <v>4.6815189479999999</v>
      </c>
      <c r="YS8" s="495">
        <v>12.2513957140812</v>
      </c>
      <c r="YT8" s="495">
        <v>14.297878305999999</v>
      </c>
      <c r="YU8" s="495">
        <v>23.681783970000101</v>
      </c>
      <c r="YV8" s="495">
        <v>24.722466397000002</v>
      </c>
      <c r="YW8" s="495">
        <v>27.455242805000001</v>
      </c>
      <c r="YX8" s="495">
        <v>35.342289546000003</v>
      </c>
      <c r="YY8" s="495">
        <v>22.993686340421</v>
      </c>
      <c r="YZ8" s="495">
        <v>29.063884099999999</v>
      </c>
      <c r="ZA8" s="495">
        <v>27.957471900000002</v>
      </c>
      <c r="ZB8" s="495">
        <v>27.085492062850001</v>
      </c>
      <c r="ZC8" s="495">
        <v>36.25123635277</v>
      </c>
      <c r="ZD8" s="495">
        <v>56.562014625000003</v>
      </c>
      <c r="ZE8" s="495">
        <v>85.992003093999998</v>
      </c>
      <c r="ZF8" s="495">
        <v>3.8630699999999997E-2</v>
      </c>
      <c r="ZG8" s="495">
        <v>0.69769999999999999</v>
      </c>
      <c r="ZH8" s="495">
        <v>0</v>
      </c>
      <c r="ZI8" s="495"/>
      <c r="ZJ8" s="495">
        <v>56.325000000000003</v>
      </c>
      <c r="ZK8" s="495">
        <v>58.387335243999999</v>
      </c>
      <c r="ZL8" s="495">
        <v>81.743922664999999</v>
      </c>
      <c r="ZM8" s="495">
        <v>114.820053926</v>
      </c>
      <c r="ZN8" s="495">
        <v>165.86268250000001</v>
      </c>
      <c r="ZO8" s="495">
        <v>248.54094280000001</v>
      </c>
      <c r="ZP8" s="495">
        <v>381.36464348499999</v>
      </c>
      <c r="ZQ8" s="495">
        <f t="shared" si="8"/>
        <v>145.24462948342102</v>
      </c>
      <c r="ZR8" s="495">
        <v>184.56533093584019</v>
      </c>
      <c r="ZS8" s="495">
        <v>240.52212060053722</v>
      </c>
      <c r="ZT8" s="495">
        <v>331.23479904358368</v>
      </c>
      <c r="ZU8" s="495">
        <v>454.11704094977</v>
      </c>
      <c r="ZV8" s="495">
        <v>488.18807833000005</v>
      </c>
      <c r="ZW8" s="495">
        <v>702.72776112500003</v>
      </c>
      <c r="ZX8" s="495">
        <v>235.76</v>
      </c>
      <c r="ZY8" s="495">
        <v>268.18646282763899</v>
      </c>
      <c r="ZZ8" s="495">
        <v>317.93432749999999</v>
      </c>
      <c r="AAA8" s="495">
        <v>317.19563460000001</v>
      </c>
      <c r="AAB8" s="495">
        <v>372.16613230000002</v>
      </c>
      <c r="AAC8" s="495">
        <v>438.69</v>
      </c>
      <c r="AAD8" s="495">
        <v>712.23871464932199</v>
      </c>
      <c r="AAE8" s="495">
        <v>351.08497</v>
      </c>
      <c r="AAF8" s="495">
        <v>371.58615529999997</v>
      </c>
      <c r="AAG8" s="495">
        <v>391.48420199999998</v>
      </c>
      <c r="AAH8" s="495">
        <v>466.64809500000001</v>
      </c>
      <c r="AAI8" s="495">
        <v>491.3519685</v>
      </c>
      <c r="AAJ8" s="495">
        <v>498.42645750000003</v>
      </c>
      <c r="AAK8" s="495">
        <v>532.13842399999999</v>
      </c>
      <c r="AAL8" s="495">
        <v>586.84496999999999</v>
      </c>
      <c r="AAM8" s="495">
        <v>639.77261812763891</v>
      </c>
      <c r="AAN8" s="495">
        <v>709.41852949999998</v>
      </c>
      <c r="AAO8" s="495">
        <v>783.84372959999996</v>
      </c>
      <c r="AAP8" s="495">
        <v>863.51810079999996</v>
      </c>
      <c r="AAQ8" s="495">
        <v>937.11645750000002</v>
      </c>
      <c r="AAR8" s="495">
        <v>1244.377138649322</v>
      </c>
    </row>
    <row r="9" spans="1:752" ht="15" customHeight="1" x14ac:dyDescent="0.25">
      <c r="A9" s="492" t="s">
        <v>239</v>
      </c>
      <c r="B9" s="496">
        <v>-1.304656</v>
      </c>
      <c r="C9" s="496">
        <v>-0.34459250000000002</v>
      </c>
      <c r="D9" s="496">
        <v>-20.997685600000001</v>
      </c>
      <c r="E9" s="496">
        <v>-22.646934099999999</v>
      </c>
      <c r="F9" s="496">
        <v>-1.6403000000000001</v>
      </c>
      <c r="G9" s="496">
        <v>-0.31190000000000001</v>
      </c>
      <c r="H9" s="496">
        <v>-14.6031</v>
      </c>
      <c r="I9" s="496">
        <v>-16.555299999999999</v>
      </c>
      <c r="J9" s="496">
        <v>1.5699999999999999E-2</v>
      </c>
      <c r="K9" s="496">
        <v>5.7000000000000002E-3</v>
      </c>
      <c r="L9" s="496">
        <v>-0.2379</v>
      </c>
      <c r="M9" s="496">
        <v>-0.2165</v>
      </c>
      <c r="N9" s="496">
        <v>-4.3099999999999996</v>
      </c>
      <c r="O9" s="496">
        <v>-0.6</v>
      </c>
      <c r="P9" s="496">
        <v>-60.86</v>
      </c>
      <c r="Q9" s="496">
        <v>-65.77</v>
      </c>
      <c r="R9" s="496">
        <v>87.778399999999991</v>
      </c>
      <c r="S9" s="496">
        <v>3.1093999999999995</v>
      </c>
      <c r="T9" s="496">
        <v>950.85109999999997</v>
      </c>
      <c r="U9" s="496">
        <v>1041.7389000000001</v>
      </c>
      <c r="V9" s="496">
        <v>-4.83</v>
      </c>
      <c r="W9" s="496">
        <v>-0.81</v>
      </c>
      <c r="X9" s="496">
        <v>298.25</v>
      </c>
      <c r="Y9" s="496">
        <v>292.61</v>
      </c>
      <c r="Z9" s="496">
        <v>-3.62</v>
      </c>
      <c r="AA9" s="496">
        <v>-0.59</v>
      </c>
      <c r="AB9" s="496">
        <v>-40.94</v>
      </c>
      <c r="AC9" s="496">
        <v>-45.15</v>
      </c>
      <c r="AD9" s="496">
        <v>-0.618979744</v>
      </c>
      <c r="AE9" s="496">
        <v>-7.4164028000000007E-2</v>
      </c>
      <c r="AF9" s="496">
        <v>-1.859591003</v>
      </c>
      <c r="AG9" s="496">
        <v>-2.5527347750000002</v>
      </c>
      <c r="AH9" s="496">
        <v>-1.1970486791622299</v>
      </c>
      <c r="AI9" s="496">
        <v>-0.16980461071038599</v>
      </c>
      <c r="AJ9" s="496">
        <v>-4.5811855606939398</v>
      </c>
      <c r="AK9" s="496">
        <v>-5.9480388505665562</v>
      </c>
      <c r="AL9" s="496">
        <v>-0.59495896266228598</v>
      </c>
      <c r="AM9" s="496">
        <v>-3.2512004307539803E-2</v>
      </c>
      <c r="AN9" s="496">
        <v>-1.28464038683366</v>
      </c>
      <c r="AO9" s="496">
        <v>-1.91211135380349</v>
      </c>
      <c r="AP9" s="496">
        <v>-11.8604419150923</v>
      </c>
      <c r="AQ9" s="496">
        <v>-1.9079087511625501</v>
      </c>
      <c r="AR9" s="496">
        <v>-76.520898104647202</v>
      </c>
      <c r="AS9" s="496">
        <v>-90.289248770902049</v>
      </c>
      <c r="AT9" s="496">
        <v>-21.019088991338801</v>
      </c>
      <c r="AU9" s="496">
        <v>-3.0121942294027901</v>
      </c>
      <c r="AV9" s="496">
        <v>-128.700248772061</v>
      </c>
      <c r="AW9" s="496">
        <v>-152.73153199280259</v>
      </c>
      <c r="AX9" s="496">
        <v>-39.684258108904103</v>
      </c>
      <c r="AY9" s="496">
        <v>-5.2893153025386201</v>
      </c>
      <c r="AZ9" s="496">
        <v>-183.04150971352399</v>
      </c>
      <c r="BA9" s="496">
        <v>-228.01508312496671</v>
      </c>
      <c r="BB9" s="496">
        <v>-6.6304490327891603</v>
      </c>
      <c r="BC9" s="496">
        <v>-0.78531706078299901</v>
      </c>
      <c r="BD9" s="496">
        <v>-42.398683141594603</v>
      </c>
      <c r="BE9" s="496">
        <v>-49.814449235166798</v>
      </c>
      <c r="BF9" s="496">
        <v>-0.8594233</v>
      </c>
      <c r="BG9" s="496">
        <v>-1.4510771</v>
      </c>
      <c r="BH9" s="496">
        <v>-14.7951447</v>
      </c>
      <c r="BI9" s="496">
        <v>-17.1056451</v>
      </c>
      <c r="BJ9" s="496">
        <v>-1.2215704999999999</v>
      </c>
      <c r="BK9" s="496">
        <v>-0.9302222</v>
      </c>
      <c r="BL9" s="496">
        <v>-9.1617032999999992</v>
      </c>
      <c r="BM9" s="496">
        <v>-11.313495999999999</v>
      </c>
      <c r="BN9" s="496">
        <v>-1.9378</v>
      </c>
      <c r="BO9" s="496">
        <v>-0.69110000000000005</v>
      </c>
      <c r="BP9" s="496">
        <v>-22.2926</v>
      </c>
      <c r="BQ9" s="496">
        <v>-24.921500000000002</v>
      </c>
      <c r="BR9" s="496">
        <v>-9.9161903000000002</v>
      </c>
      <c r="BS9" s="496">
        <v>13.130758800000001</v>
      </c>
      <c r="BT9" s="496">
        <v>-98.256360000000001</v>
      </c>
      <c r="BU9" s="496">
        <v>-95.041791500000002</v>
      </c>
      <c r="BV9" s="496">
        <v>65.721299999999999</v>
      </c>
      <c r="BW9" s="496">
        <v>32.094800000000006</v>
      </c>
      <c r="BX9" s="496">
        <v>-147.64370000000002</v>
      </c>
      <c r="BY9" s="496">
        <v>-49.827600000000018</v>
      </c>
      <c r="BZ9" s="496">
        <v>76.490000000000009</v>
      </c>
      <c r="CA9" s="496">
        <v>28.930000000000003</v>
      </c>
      <c r="CB9" s="496">
        <v>45.289999999999992</v>
      </c>
      <c r="CC9" s="496">
        <v>150.71</v>
      </c>
      <c r="CD9" s="496">
        <v>69.030624500000002</v>
      </c>
      <c r="CE9" s="496">
        <v>33.793249799999998</v>
      </c>
      <c r="CF9" s="496">
        <v>-80.265594100000001</v>
      </c>
      <c r="CG9" s="496">
        <v>22.558280199999999</v>
      </c>
      <c r="CH9" s="496">
        <v>-10.3955</v>
      </c>
      <c r="CI9" s="496">
        <v>-4.1779000000000002</v>
      </c>
      <c r="CJ9" s="496">
        <v>-98.184300000000007</v>
      </c>
      <c r="CK9" s="496">
        <v>-112.7577</v>
      </c>
      <c r="CL9" s="496">
        <v>-9.213099999999999</v>
      </c>
      <c r="CM9" s="496">
        <v>-2.9253999999999998</v>
      </c>
      <c r="CN9" s="496">
        <v>-91.62769999999999</v>
      </c>
      <c r="CO9" s="496">
        <v>-103.76619999999998</v>
      </c>
      <c r="CP9" s="496">
        <v>2.3839999999999999</v>
      </c>
      <c r="CQ9" s="496">
        <v>0.6149</v>
      </c>
      <c r="CR9" s="496">
        <v>21.5669</v>
      </c>
      <c r="CS9" s="496">
        <v>24.565799999999999</v>
      </c>
      <c r="CT9" s="496">
        <v>-7.1320356</v>
      </c>
      <c r="CU9" s="496">
        <v>-2.0868093999999999</v>
      </c>
      <c r="CV9" s="496">
        <v>-85.785246999999998</v>
      </c>
      <c r="CW9" s="496">
        <v>-95.004092</v>
      </c>
      <c r="CX9" s="496">
        <v>-16.142300000000002</v>
      </c>
      <c r="CY9" s="496">
        <v>-3.0822000000000003</v>
      </c>
      <c r="CZ9" s="496">
        <v>-158.61850000000001</v>
      </c>
      <c r="DA9" s="496">
        <v>-177.84300000000002</v>
      </c>
      <c r="DB9" s="496">
        <v>39.670000000000009</v>
      </c>
      <c r="DC9" s="496">
        <v>-4.0000000000000674E-2</v>
      </c>
      <c r="DD9" s="496">
        <v>-331.89999999999992</v>
      </c>
      <c r="DE9" s="496">
        <v>-292.26999999999992</v>
      </c>
      <c r="DF9" s="496">
        <v>133.29000000000002</v>
      </c>
      <c r="DG9" s="496">
        <v>15.069999999999999</v>
      </c>
      <c r="DH9" s="496">
        <v>297.48</v>
      </c>
      <c r="DI9" s="496">
        <v>445.84000000000003</v>
      </c>
      <c r="DJ9" s="496">
        <f t="shared" si="0"/>
        <v>64.767058084907703</v>
      </c>
      <c r="DK9" s="496">
        <f t="shared" si="1"/>
        <v>-2.4150087511625502</v>
      </c>
      <c r="DL9" s="496">
        <f t="shared" si="2"/>
        <v>760.40990189535273</v>
      </c>
      <c r="DM9" s="496">
        <f t="shared" si="3"/>
        <v>822.76195122909792</v>
      </c>
      <c r="DN9" s="496">
        <f t="shared" si="4"/>
        <v>-32.171279291338806</v>
      </c>
      <c r="DO9" s="496">
        <f t="shared" si="5"/>
        <v>10.143464570597212</v>
      </c>
      <c r="DP9" s="496">
        <f t="shared" si="6"/>
        <v>-246.32970877206097</v>
      </c>
      <c r="DQ9" s="496">
        <f t="shared" si="7"/>
        <v>-268.35752349280256</v>
      </c>
      <c r="DR9" s="496">
        <v>-0.13305896266228601</v>
      </c>
      <c r="DS9" s="496">
        <v>-0.10301200430753987</v>
      </c>
      <c r="DT9" s="496">
        <v>-2.2482403868336611</v>
      </c>
      <c r="DU9" s="496">
        <v>-2.4843113538034913</v>
      </c>
      <c r="DV9" s="496">
        <v>-33.218667815092303</v>
      </c>
      <c r="DW9" s="496">
        <v>8.5360406488374512</v>
      </c>
      <c r="DX9" s="496">
        <v>-321.4225051046472</v>
      </c>
      <c r="DY9" s="496">
        <v>-346.105132270902</v>
      </c>
      <c r="DZ9" s="496">
        <v>116.33831100866118</v>
      </c>
      <c r="EA9" s="496">
        <v>29.109805770597216</v>
      </c>
      <c r="EB9" s="496">
        <v>515.88865122793891</v>
      </c>
      <c r="EC9" s="496">
        <v>661.33676800719741</v>
      </c>
      <c r="ED9" s="496">
        <v>71.645741891095923</v>
      </c>
      <c r="EE9" s="496">
        <v>22.790684697461383</v>
      </c>
      <c r="EF9" s="496">
        <v>-171.40150971352386</v>
      </c>
      <c r="EG9" s="496">
        <v>-76.965083124966611</v>
      </c>
      <c r="EH9" s="496">
        <v>192.07017546721084</v>
      </c>
      <c r="EI9" s="496">
        <v>47.487932739216994</v>
      </c>
      <c r="EJ9" s="496">
        <v>133.87572275840543</v>
      </c>
      <c r="EK9" s="496">
        <v>373.43383096483331</v>
      </c>
      <c r="EL9" s="496">
        <v>0</v>
      </c>
      <c r="EM9" s="496">
        <v>0</v>
      </c>
      <c r="EN9" s="496">
        <v>0</v>
      </c>
      <c r="EO9" s="496">
        <v>0</v>
      </c>
      <c r="EP9" s="496">
        <v>0</v>
      </c>
      <c r="EQ9" s="496">
        <v>0</v>
      </c>
      <c r="ER9" s="496">
        <v>-1.9882199999999999E-2</v>
      </c>
      <c r="ES9" s="496">
        <v>-1.9882199999999999E-2</v>
      </c>
      <c r="ET9" s="496">
        <v>0</v>
      </c>
      <c r="EU9" s="496">
        <v>0</v>
      </c>
      <c r="EV9" s="496">
        <v>-3.4751999999999998E-2</v>
      </c>
      <c r="EW9" s="496">
        <v>-3.4751999999999998E-2</v>
      </c>
      <c r="EX9" s="496">
        <v>0</v>
      </c>
      <c r="EY9" s="496">
        <v>0</v>
      </c>
      <c r="EZ9" s="496">
        <v>-6.2519000000000003E-3</v>
      </c>
      <c r="FA9" s="496">
        <v>-6.2519000000000003E-3</v>
      </c>
      <c r="FB9" s="496">
        <v>0</v>
      </c>
      <c r="FC9" s="496">
        <v>0</v>
      </c>
      <c r="FD9" s="496">
        <v>0</v>
      </c>
      <c r="FE9" s="496">
        <v>0</v>
      </c>
      <c r="FF9" s="496">
        <v>11.4318446</v>
      </c>
      <c r="FG9" s="496">
        <v>0.13640479999999999</v>
      </c>
      <c r="FH9" s="496">
        <v>0.75434990000000002</v>
      </c>
      <c r="FI9" s="496">
        <v>12.322599299999998</v>
      </c>
      <c r="FJ9" s="496">
        <v>12.8421</v>
      </c>
      <c r="FK9" s="496">
        <v>-3.2399999999999984E-2</v>
      </c>
      <c r="FL9" s="496">
        <v>-13.7737</v>
      </c>
      <c r="FM9" s="496">
        <v>-0.96400000000000041</v>
      </c>
      <c r="FN9" s="496">
        <v>14.3156949</v>
      </c>
      <c r="FO9" s="496">
        <v>0.2713004</v>
      </c>
      <c r="FP9" s="496">
        <v>3.9648323264999998</v>
      </c>
      <c r="FQ9" s="496">
        <v>18.5518276265</v>
      </c>
      <c r="FR9" s="496">
        <v>0.279691971536009</v>
      </c>
      <c r="FS9" s="496">
        <v>5.4286244837852298</v>
      </c>
      <c r="FT9" s="496">
        <v>51.423009144678801</v>
      </c>
      <c r="FU9" s="496">
        <v>57.131325600000039</v>
      </c>
      <c r="FV9" s="496">
        <v>0.68037429244913505</v>
      </c>
      <c r="FW9" s="496">
        <v>0.26319993614401299</v>
      </c>
      <c r="FX9" s="496">
        <v>47.877670871406899</v>
      </c>
      <c r="FY9" s="496">
        <v>48.821245100000048</v>
      </c>
      <c r="FZ9" s="496">
        <v>0.80680791197468105</v>
      </c>
      <c r="GA9" s="496">
        <v>0.37750046517735403</v>
      </c>
      <c r="GB9" s="496">
        <v>18.681169022848</v>
      </c>
      <c r="GC9" s="496">
        <v>19.8654774</v>
      </c>
      <c r="GD9" s="496">
        <v>1.1075483497661101</v>
      </c>
      <c r="GE9" s="496">
        <v>2.53701018696313E-2</v>
      </c>
      <c r="GF9" s="496">
        <v>2.2263061983642598</v>
      </c>
      <c r="GG9" s="496">
        <v>3.3592246500000011</v>
      </c>
      <c r="GH9" s="496">
        <v>1.3693931424416099</v>
      </c>
      <c r="GI9" s="496">
        <v>1.7741929713393102E-2</v>
      </c>
      <c r="GJ9" s="496">
        <v>1.5317617075669101</v>
      </c>
      <c r="GK9" s="496">
        <v>2.9188967797219001</v>
      </c>
      <c r="GL9" s="496">
        <v>1.4114262179502901</v>
      </c>
      <c r="GM9" s="496">
        <v>2.4407115830817099</v>
      </c>
      <c r="GN9" s="496">
        <v>131.99743458862901</v>
      </c>
      <c r="GO9" s="496">
        <v>135.84957238966101</v>
      </c>
      <c r="GP9" s="496">
        <v>0.85184625406390702</v>
      </c>
      <c r="GQ9" s="496">
        <v>3.8776608716566798</v>
      </c>
      <c r="GR9" s="496">
        <v>209.802452160793</v>
      </c>
      <c r="GS9" s="496">
        <v>214.53195928651357</v>
      </c>
      <c r="GT9" s="496">
        <v>1.19215098580297</v>
      </c>
      <c r="GU9" s="496">
        <v>4.6958587759959798</v>
      </c>
      <c r="GV9" s="496">
        <v>277.96266762785501</v>
      </c>
      <c r="GW9" s="496">
        <v>283.85067738965398</v>
      </c>
      <c r="GX9" s="496">
        <v>5.7382266</v>
      </c>
      <c r="GY9" s="496">
        <v>6.7842899999999998E-2</v>
      </c>
      <c r="GZ9" s="496">
        <v>0.98753740000000001</v>
      </c>
      <c r="HA9" s="496">
        <v>6.7936068999999994</v>
      </c>
      <c r="HB9" s="496">
        <v>5.7285769999999996</v>
      </c>
      <c r="HC9" s="496">
        <v>5.7330199999999998E-2</v>
      </c>
      <c r="HD9" s="496">
        <v>1.6094999999999999</v>
      </c>
      <c r="HE9" s="496">
        <v>7.3954071999999993</v>
      </c>
      <c r="HF9" s="496">
        <v>6.2949000000000002</v>
      </c>
      <c r="HG9" s="496">
        <v>5.8428800000000003E-2</v>
      </c>
      <c r="HH9" s="496">
        <v>1.7303999999999999</v>
      </c>
      <c r="HI9" s="496">
        <v>8.0837287999999994</v>
      </c>
      <c r="HJ9" s="496">
        <v>3.3457778999999999</v>
      </c>
      <c r="HK9" s="496">
        <v>7.8852199999999997E-2</v>
      </c>
      <c r="HL9" s="496">
        <v>88.018999999999991</v>
      </c>
      <c r="HM9" s="496">
        <v>91.443630099999993</v>
      </c>
      <c r="HN9" s="496">
        <v>7.9329299000000004</v>
      </c>
      <c r="HO9" s="496">
        <v>7.6662099999999997E-2</v>
      </c>
      <c r="HP9" s="496">
        <v>148.74856589999999</v>
      </c>
      <c r="HQ9" s="496">
        <v>156.75815789999999</v>
      </c>
      <c r="HR9" s="496">
        <v>7.1365612</v>
      </c>
      <c r="HS9" s="496">
        <v>5.5484000000000002E-3</v>
      </c>
      <c r="HT9" s="496">
        <v>331.8706833</v>
      </c>
      <c r="HU9" s="496">
        <v>339.01279290000002</v>
      </c>
      <c r="HV9" s="496">
        <v>0</v>
      </c>
      <c r="HW9" s="496">
        <v>0</v>
      </c>
      <c r="HX9" s="496">
        <v>2.6279999999999999E-4</v>
      </c>
      <c r="HY9" s="496">
        <v>2.6279999999999999E-4</v>
      </c>
      <c r="HZ9" s="496">
        <v>7.1770871999999999E-2</v>
      </c>
      <c r="IA9" s="496">
        <v>0</v>
      </c>
      <c r="IB9" s="496">
        <v>7.3519528000000001E-2</v>
      </c>
      <c r="IC9" s="496">
        <v>0.14529039999999999</v>
      </c>
      <c r="ID9" s="496">
        <v>0.116854</v>
      </c>
      <c r="IE9" s="496">
        <v>-9.4370000000000001E-4</v>
      </c>
      <c r="IF9" s="496">
        <v>-1.1981529</v>
      </c>
      <c r="IG9" s="496">
        <v>-1.0822426000000001</v>
      </c>
      <c r="IH9" s="496">
        <v>-6.0387900000000001E-2</v>
      </c>
      <c r="II9" s="496">
        <v>-1.61285E-2</v>
      </c>
      <c r="IJ9" s="496">
        <v>-7.6539389</v>
      </c>
      <c r="IK9" s="496">
        <v>-7.7304553</v>
      </c>
      <c r="IL9" s="496">
        <v>0.51178429999999997</v>
      </c>
      <c r="IM9" s="496">
        <v>-5.2376000000000002E-3</v>
      </c>
      <c r="IN9" s="496">
        <v>-1.6167594999999999</v>
      </c>
      <c r="IO9" s="496">
        <v>-1.1102128</v>
      </c>
      <c r="IP9" s="496">
        <v>9.2607099999999998E-2</v>
      </c>
      <c r="IQ9" s="496">
        <v>7.7653100000000003E-2</v>
      </c>
      <c r="IR9" s="496">
        <v>1.886865</v>
      </c>
      <c r="IS9" s="496">
        <v>2.0571252000000002</v>
      </c>
      <c r="IT9" s="496">
        <v>9.6997600000000003E-2</v>
      </c>
      <c r="IU9" s="496">
        <v>5.7935800000000003E-2</v>
      </c>
      <c r="IV9" s="496">
        <v>1.8655558999999999</v>
      </c>
      <c r="IW9" s="496">
        <v>2.0204892999999999</v>
      </c>
      <c r="IX9" s="496">
        <v>6.9347099999999995E-2</v>
      </c>
      <c r="IY9" s="496">
        <v>4.3362299999999999E-2</v>
      </c>
      <c r="IZ9" s="496">
        <v>1.4249723000000001</v>
      </c>
      <c r="JA9" s="496">
        <v>1.5376817</v>
      </c>
      <c r="JB9" s="496">
        <v>4.8430000000000001E-4</v>
      </c>
      <c r="JC9" s="496">
        <v>5.9386400999999998</v>
      </c>
      <c r="JD9" s="496">
        <v>168.0521</v>
      </c>
      <c r="JE9" s="496">
        <v>173.99122439999999</v>
      </c>
      <c r="JF9" s="496">
        <v>0.41340569999999999</v>
      </c>
      <c r="JG9" s="496">
        <v>5.7291999999999996</v>
      </c>
      <c r="JH9" s="496">
        <v>167.73599999999999</v>
      </c>
      <c r="JI9" s="496">
        <v>173.87860569999998</v>
      </c>
      <c r="JJ9" s="496">
        <v>0.1268</v>
      </c>
      <c r="JK9" s="496">
        <v>7.2488999999999999</v>
      </c>
      <c r="JL9" s="496">
        <v>147.25659999999999</v>
      </c>
      <c r="JM9" s="496">
        <v>154.63229999999999</v>
      </c>
      <c r="JN9" s="496">
        <v>0</v>
      </c>
      <c r="JO9" s="496">
        <v>0</v>
      </c>
      <c r="JP9" s="496">
        <v>0</v>
      </c>
      <c r="JQ9" s="496">
        <v>0</v>
      </c>
      <c r="JR9" s="496">
        <v>8.9300000000000002E-5</v>
      </c>
      <c r="JS9" s="496">
        <v>9.9999999999999995E-8</v>
      </c>
      <c r="JT9" s="496">
        <v>4.9103999999999997E-3</v>
      </c>
      <c r="JU9" s="496">
        <v>4.9997999999999996E-3</v>
      </c>
      <c r="JV9" s="496">
        <v>0</v>
      </c>
      <c r="JW9" s="496">
        <v>0</v>
      </c>
      <c r="JX9" s="496">
        <v>0</v>
      </c>
      <c r="JY9" s="496">
        <v>0</v>
      </c>
      <c r="JZ9" s="496">
        <v>0</v>
      </c>
      <c r="KA9" s="496">
        <v>0</v>
      </c>
      <c r="KB9" s="496">
        <v>0</v>
      </c>
      <c r="KC9" s="496">
        <v>0</v>
      </c>
      <c r="KD9" s="496">
        <v>4.6999999999999997E-5</v>
      </c>
      <c r="KE9" s="496">
        <v>0</v>
      </c>
      <c r="KF9" s="496">
        <v>2.8519999999999999E-3</v>
      </c>
      <c r="KG9" s="496">
        <v>2.8990000000000001E-3</v>
      </c>
      <c r="KH9" s="496">
        <v>1.2814000000000001</v>
      </c>
      <c r="KI9" s="496">
        <v>-2.01E-2</v>
      </c>
      <c r="KJ9" s="496">
        <v>-1.0428999999999999</v>
      </c>
      <c r="KK9" s="496">
        <v>0.21840000000000015</v>
      </c>
      <c r="KL9" s="496">
        <v>0.1147</v>
      </c>
      <c r="KM9" s="496">
        <v>6.2899999999999998E-2</v>
      </c>
      <c r="KN9" s="496">
        <v>3.6676000000000002</v>
      </c>
      <c r="KO9" s="496">
        <v>3.8452000000000002</v>
      </c>
      <c r="KP9" s="496">
        <v>3.9931000000000001</v>
      </c>
      <c r="KQ9" s="496">
        <v>-5.7100000000000012E-2</v>
      </c>
      <c r="KR9" s="496">
        <v>-6.4397000000000002</v>
      </c>
      <c r="KS9" s="496">
        <v>-2.5037000000000003</v>
      </c>
      <c r="KT9" s="496">
        <v>3.1698</v>
      </c>
      <c r="KU9" s="496">
        <v>7.6399999999999996E-2</v>
      </c>
      <c r="KV9" s="496">
        <v>4.4058000000000002</v>
      </c>
      <c r="KW9" s="496">
        <v>7.6520000000000001</v>
      </c>
      <c r="KX9" s="496">
        <v>4.74</v>
      </c>
      <c r="KY9" s="496">
        <v>0.09</v>
      </c>
      <c r="KZ9" s="496">
        <v>7.05</v>
      </c>
      <c r="LA9" s="496">
        <v>11.879999999999999</v>
      </c>
      <c r="LB9" s="496">
        <v>4.1778904732653697</v>
      </c>
      <c r="LC9" s="496">
        <v>3.8597249477166098E-2</v>
      </c>
      <c r="LD9" s="496">
        <v>2.0550248482588902</v>
      </c>
      <c r="LE9" s="496">
        <v>6.2715125710014297</v>
      </c>
      <c r="LF9" s="496">
        <v>20.6214634</v>
      </c>
      <c r="LG9" s="496">
        <v>0.1489732</v>
      </c>
      <c r="LH9" s="496">
        <v>23.886325100000001</v>
      </c>
      <c r="LI9" s="496">
        <v>44.656761700000004</v>
      </c>
      <c r="LJ9" s="496">
        <v>23.128054299999999</v>
      </c>
      <c r="LK9" s="496">
        <v>-0.1848455</v>
      </c>
      <c r="LL9" s="496">
        <v>4.9173860999999999</v>
      </c>
      <c r="LM9" s="496">
        <v>27.860594899999999</v>
      </c>
      <c r="LN9" s="496">
        <v>17.787299999999998</v>
      </c>
      <c r="LO9" s="496">
        <v>1.2186999999999999</v>
      </c>
      <c r="LP9" s="496">
        <v>22.345599999999997</v>
      </c>
      <c r="LQ9" s="496">
        <v>41.351599999999991</v>
      </c>
      <c r="LR9" s="496">
        <v>17.785285099999999</v>
      </c>
      <c r="LS9" s="496">
        <v>0.1735131</v>
      </c>
      <c r="LT9" s="496">
        <v>88.776055499999998</v>
      </c>
      <c r="LU9" s="496">
        <v>106.7348537</v>
      </c>
      <c r="LV9" s="496">
        <v>25.736140599999999</v>
      </c>
      <c r="LW9" s="496">
        <v>0.54562999999999995</v>
      </c>
      <c r="LX9" s="496">
        <v>456.85629660000001</v>
      </c>
      <c r="LY9" s="496">
        <v>483.13806720000002</v>
      </c>
      <c r="LZ9" s="496">
        <v>26.81</v>
      </c>
      <c r="MA9" s="496">
        <v>0.08</v>
      </c>
      <c r="MB9" s="496">
        <v>751</v>
      </c>
      <c r="MC9" s="496">
        <v>777.89</v>
      </c>
      <c r="MD9" s="496">
        <v>-0.87177579999999999</v>
      </c>
      <c r="ME9" s="496">
        <v>-4.4248200000000001E-2</v>
      </c>
      <c r="MF9" s="496">
        <v>1.3700207</v>
      </c>
      <c r="MG9" s="496">
        <v>0.45399670000000003</v>
      </c>
      <c r="MH9" s="496">
        <v>-0.56529010000000002</v>
      </c>
      <c r="MI9" s="496">
        <v>-2.1017000000000001E-2</v>
      </c>
      <c r="MJ9" s="496">
        <v>1.5940601000000001</v>
      </c>
      <c r="MK9" s="496">
        <v>1.0077529999999999</v>
      </c>
      <c r="ML9" s="496">
        <v>-0.42299110000000001</v>
      </c>
      <c r="MM9" s="496">
        <v>-2.4120599999999999E-2</v>
      </c>
      <c r="MN9" s="496">
        <v>2.5111999999999999E-2</v>
      </c>
      <c r="MO9" s="496">
        <v>-0.42199969999999998</v>
      </c>
      <c r="MP9" s="496">
        <v>-0.89910000000000001</v>
      </c>
      <c r="MQ9" s="496">
        <v>-9.6500000000000002E-2</v>
      </c>
      <c r="MR9" s="496">
        <v>-0.34179999999999999</v>
      </c>
      <c r="MS9" s="496">
        <v>-1.3374000000000001</v>
      </c>
      <c r="MT9" s="496">
        <v>-1.3372006000000001</v>
      </c>
      <c r="MU9" s="496">
        <v>-9.7198499999999993E-2</v>
      </c>
      <c r="MV9" s="496">
        <v>-0.18617839999999999</v>
      </c>
      <c r="MW9" s="496">
        <v>-1.6205775</v>
      </c>
      <c r="MX9" s="496">
        <v>-2.0043620999999998</v>
      </c>
      <c r="MY9" s="496">
        <v>-0.1101516</v>
      </c>
      <c r="MZ9" s="496">
        <v>-1.4201698</v>
      </c>
      <c r="NA9" s="496">
        <v>-3.5346834999999999</v>
      </c>
      <c r="NB9" s="496">
        <v>6.9999999999999997E-7</v>
      </c>
      <c r="NC9" s="496">
        <v>0</v>
      </c>
      <c r="ND9" s="496">
        <v>-2.3188500000000001E-2</v>
      </c>
      <c r="NE9" s="496">
        <v>-2.3187800000000001E-2</v>
      </c>
      <c r="NF9" s="496">
        <v>8.2700000000000004E-5</v>
      </c>
      <c r="NG9" s="496">
        <v>0</v>
      </c>
      <c r="NH9" s="496">
        <v>-5.2622200000000001E-2</v>
      </c>
      <c r="NI9" s="496">
        <v>-5.2539500000000003E-2</v>
      </c>
      <c r="NJ9" s="496">
        <v>2.6860000000000002E-4</v>
      </c>
      <c r="NK9" s="496">
        <v>0</v>
      </c>
      <c r="NL9" s="496">
        <v>-8.6020399999999997E-2</v>
      </c>
      <c r="NM9" s="496">
        <v>-8.5751800000000003E-2</v>
      </c>
      <c r="NN9" s="496">
        <v>3.1375999999999999E-3</v>
      </c>
      <c r="NO9" s="496">
        <v>0</v>
      </c>
      <c r="NP9" s="496">
        <v>-5.4868599999999997E-2</v>
      </c>
      <c r="NQ9" s="496">
        <v>-5.1730999999999999E-2</v>
      </c>
      <c r="NR9" s="496">
        <v>3.2923000000000002E-3</v>
      </c>
      <c r="NS9" s="496">
        <v>8.9999999999999996E-7</v>
      </c>
      <c r="NT9" s="496">
        <v>-7.4113499999999999E-2</v>
      </c>
      <c r="NU9" s="496">
        <v>-7.0820300000000003E-2</v>
      </c>
      <c r="NV9" s="496">
        <v>2.2461E-3</v>
      </c>
      <c r="NW9" s="496">
        <v>0.17128760000000001</v>
      </c>
      <c r="NX9" s="496">
        <v>34.888812839385601</v>
      </c>
      <c r="NY9" s="496">
        <v>35.062346539385601</v>
      </c>
      <c r="NZ9" s="496">
        <v>0.220289601</v>
      </c>
      <c r="OA9" s="496">
        <v>0</v>
      </c>
      <c r="OB9" s="496">
        <v>0</v>
      </c>
      <c r="OC9" s="496">
        <v>0.220289601</v>
      </c>
      <c r="OD9" s="496">
        <v>0.183781571</v>
      </c>
      <c r="OE9" s="496">
        <v>0</v>
      </c>
      <c r="OF9" s="496">
        <v>4.6665554999999997E-2</v>
      </c>
      <c r="OG9" s="496">
        <v>0.230447126</v>
      </c>
      <c r="OH9" s="496">
        <v>0</v>
      </c>
      <c r="OI9" s="496">
        <v>0</v>
      </c>
      <c r="OJ9" s="496">
        <v>0</v>
      </c>
      <c r="OK9" s="496">
        <v>0</v>
      </c>
      <c r="OL9" s="496">
        <v>0</v>
      </c>
      <c r="OM9" s="496">
        <v>3.5958999999999999</v>
      </c>
      <c r="ON9" s="496">
        <v>109.5575</v>
      </c>
      <c r="OO9" s="496">
        <v>113.1534</v>
      </c>
      <c r="OP9" s="496">
        <v>0</v>
      </c>
      <c r="OQ9" s="496">
        <v>4.99</v>
      </c>
      <c r="OR9" s="496">
        <v>152.94</v>
      </c>
      <c r="OS9" s="496">
        <v>157.93</v>
      </c>
      <c r="OT9" s="496">
        <v>0</v>
      </c>
      <c r="OU9" s="496">
        <v>6.53</v>
      </c>
      <c r="OV9" s="496">
        <v>129.78924962951001</v>
      </c>
      <c r="OW9" s="496">
        <v>136.31924962951001</v>
      </c>
      <c r="OX9" s="496">
        <v>0.29709999999999998</v>
      </c>
      <c r="OY9" s="496">
        <v>0</v>
      </c>
      <c r="OZ9" s="496">
        <v>0.32040000000000002</v>
      </c>
      <c r="PA9" s="496">
        <v>0.61749999999999994</v>
      </c>
      <c r="PB9" s="496">
        <v>0.49459999999999998</v>
      </c>
      <c r="PC9" s="496">
        <v>1.6000000000000001E-3</v>
      </c>
      <c r="PD9" s="496">
        <v>-0.1149</v>
      </c>
      <c r="PE9" s="496">
        <v>0.38129999999999997</v>
      </c>
      <c r="PF9" s="496">
        <v>0.82629339999999996</v>
      </c>
      <c r="PG9" s="496">
        <v>1.3194999999999999E-3</v>
      </c>
      <c r="PH9" s="496">
        <v>-0.3066353</v>
      </c>
      <c r="PI9" s="496">
        <v>0.52097759999999993</v>
      </c>
      <c r="PJ9" s="496">
        <v>0.3790403</v>
      </c>
      <c r="PK9" s="496">
        <v>1.9750099999999999</v>
      </c>
      <c r="PL9" s="496">
        <v>6.2998393999999998</v>
      </c>
      <c r="PM9" s="496">
        <v>8.6538897000000006</v>
      </c>
      <c r="PN9" s="496">
        <v>0.76816200000000001</v>
      </c>
      <c r="PO9" s="496">
        <v>1.184563</v>
      </c>
      <c r="PP9" s="496">
        <v>7.1027541530039597</v>
      </c>
      <c r="PQ9" s="496">
        <v>9.0554791530039598</v>
      </c>
      <c r="PR9" s="496">
        <v>9.7204093999999994</v>
      </c>
      <c r="PS9" s="496">
        <v>2.4833025000000002</v>
      </c>
      <c r="PT9" s="496">
        <v>78.800928901000006</v>
      </c>
      <c r="PU9" s="496">
        <v>91.004640800999994</v>
      </c>
      <c r="PV9" s="496">
        <v>0</v>
      </c>
      <c r="PW9" s="496">
        <v>0</v>
      </c>
      <c r="PX9" s="496">
        <v>0</v>
      </c>
      <c r="PY9" s="496">
        <v>0</v>
      </c>
      <c r="PZ9" s="496">
        <v>0</v>
      </c>
      <c r="QA9" s="496">
        <v>0</v>
      </c>
      <c r="QB9" s="496">
        <v>0</v>
      </c>
      <c r="QC9" s="496">
        <v>0</v>
      </c>
      <c r="QD9" s="496">
        <v>0.91981233600000001</v>
      </c>
      <c r="QE9" s="496">
        <v>0</v>
      </c>
      <c r="QF9" s="496">
        <v>1.171196226</v>
      </c>
      <c r="QG9" s="496">
        <v>2.0910085619999998</v>
      </c>
      <c r="QH9" s="496">
        <v>-80.072785370999995</v>
      </c>
      <c r="QI9" s="496">
        <v>0</v>
      </c>
      <c r="QJ9" s="496">
        <v>-18.623509158000001</v>
      </c>
      <c r="QK9" s="496">
        <v>-98.696294528999999</v>
      </c>
      <c r="QL9" s="496"/>
      <c r="QM9" s="496">
        <v>0</v>
      </c>
      <c r="QN9" s="496"/>
      <c r="QO9" s="496"/>
      <c r="QP9" s="496">
        <v>0.1533381</v>
      </c>
      <c r="QQ9" s="496">
        <v>0</v>
      </c>
      <c r="QR9" s="496">
        <v>2.4956900000000001E-2</v>
      </c>
      <c r="QS9" s="496">
        <v>0.17829500000000001</v>
      </c>
      <c r="QT9" s="496">
        <v>0.14897099999999999</v>
      </c>
      <c r="QU9" s="496">
        <v>0</v>
      </c>
      <c r="QV9" s="496">
        <v>1.2589700000000001E-2</v>
      </c>
      <c r="QW9" s="496">
        <v>0.1615607</v>
      </c>
      <c r="QX9" s="496">
        <v>0.16415399999999999</v>
      </c>
      <c r="QY9" s="496">
        <v>0</v>
      </c>
      <c r="QZ9" s="496">
        <v>3.25907E-2</v>
      </c>
      <c r="RA9" s="496">
        <v>0.19674469999999999</v>
      </c>
      <c r="RB9" s="496">
        <v>0.27179759999999997</v>
      </c>
      <c r="RC9" s="496">
        <v>2.7529999999999998E-3</v>
      </c>
      <c r="RD9" s="496">
        <v>43.708399999999997</v>
      </c>
      <c r="RE9" s="496">
        <v>43.982950599999995</v>
      </c>
      <c r="RF9" s="496">
        <v>2.9842103</v>
      </c>
      <c r="RG9" s="496">
        <v>5.4098E-2</v>
      </c>
      <c r="RH9" s="496">
        <v>39.486449800000003</v>
      </c>
      <c r="RI9" s="496">
        <v>42.5247581</v>
      </c>
      <c r="RJ9" s="496">
        <v>3.8646281</v>
      </c>
      <c r="RK9" s="496">
        <v>3.7897E-3</v>
      </c>
      <c r="RL9" s="496">
        <v>55.865129799999998</v>
      </c>
      <c r="RM9" s="496">
        <v>59.733547600000001</v>
      </c>
      <c r="RN9" s="496">
        <v>-1.28474E-2</v>
      </c>
      <c r="RO9" s="496">
        <v>2.68942E-2</v>
      </c>
      <c r="RP9" s="496">
        <v>0.53865493399999997</v>
      </c>
      <c r="RQ9" s="496">
        <v>0.552701734</v>
      </c>
      <c r="RR9" s="496">
        <v>5.0000000000000001E-3</v>
      </c>
      <c r="RS9" s="496">
        <v>-4.4999999999999997E-3</v>
      </c>
      <c r="RT9" s="496">
        <v>0.68903698700000005</v>
      </c>
      <c r="RU9" s="496">
        <v>0.68945528700000003</v>
      </c>
      <c r="RV9" s="496">
        <v>0</v>
      </c>
      <c r="RW9" s="496">
        <v>0</v>
      </c>
      <c r="RX9" s="496">
        <v>2.9651263159999899</v>
      </c>
      <c r="RY9" s="496">
        <v>2.9651263159999899</v>
      </c>
      <c r="RZ9" s="496">
        <v>0</v>
      </c>
      <c r="SA9" s="496">
        <v>2.9992E-5</v>
      </c>
      <c r="SB9" s="496">
        <v>0.77859936199999902</v>
      </c>
      <c r="SC9" s="496">
        <v>0.778629353999999</v>
      </c>
      <c r="SD9" s="496">
        <v>5.4745431629999999</v>
      </c>
      <c r="SE9" s="496">
        <v>1.2189E-3</v>
      </c>
      <c r="SF9" s="496">
        <v>260.663205434909</v>
      </c>
      <c r="SG9" s="496">
        <v>266.13896749790899</v>
      </c>
      <c r="SH9" s="496">
        <v>9.0368975989999907</v>
      </c>
      <c r="SI9" s="496">
        <v>0</v>
      </c>
      <c r="SJ9" s="496">
        <v>349.92446451924098</v>
      </c>
      <c r="SK9" s="496">
        <v>358.96136211824103</v>
      </c>
      <c r="SL9" s="496">
        <v>-0.1356</v>
      </c>
      <c r="SM9" s="496">
        <v>-3.0599999999999999E-2</v>
      </c>
      <c r="SN9" s="496">
        <v>-3.7789999999999999</v>
      </c>
      <c r="SO9" s="496">
        <v>-3.9451999999999998</v>
      </c>
      <c r="SP9" s="496">
        <v>0</v>
      </c>
      <c r="SQ9" s="496">
        <v>0</v>
      </c>
      <c r="SR9" s="496">
        <v>0.47364079999999997</v>
      </c>
      <c r="SS9" s="496">
        <v>0.47364079999999997</v>
      </c>
      <c r="ST9" s="496">
        <v>0</v>
      </c>
      <c r="SU9" s="496">
        <v>0</v>
      </c>
      <c r="SV9" s="496">
        <v>0.39027909999999999</v>
      </c>
      <c r="SW9" s="496">
        <v>0.39027909999999999</v>
      </c>
      <c r="SX9" s="496">
        <v>0.2421114</v>
      </c>
      <c r="SY9" s="496">
        <v>2.22393E-2</v>
      </c>
      <c r="SZ9" s="496">
        <v>0.32174049999999998</v>
      </c>
      <c r="TA9" s="496">
        <v>0.58609120000000003</v>
      </c>
      <c r="TB9" s="496">
        <v>0.6035765085</v>
      </c>
      <c r="TC9" s="496">
        <v>2.2433399999999999E-2</v>
      </c>
      <c r="TD9" s="496">
        <v>0.30680262400000002</v>
      </c>
      <c r="TE9" s="496">
        <v>0.93281253250000007</v>
      </c>
      <c r="TF9" s="496">
        <v>0.93797160000000002</v>
      </c>
      <c r="TG9" s="496">
        <v>2.6089600000000001E-2</v>
      </c>
      <c r="TH9" s="496">
        <v>0.42285460000000002</v>
      </c>
      <c r="TI9" s="496">
        <v>1.3869157999999999</v>
      </c>
      <c r="TJ9" s="496">
        <v>0.73179130000000003</v>
      </c>
      <c r="TK9" s="496">
        <v>0</v>
      </c>
      <c r="TL9" s="496">
        <v>0</v>
      </c>
      <c r="TM9" s="496">
        <v>0.73179130000000003</v>
      </c>
      <c r="TN9" s="496">
        <v>0.82480539137626296</v>
      </c>
      <c r="TO9" s="496">
        <v>1.59792825067819E-3</v>
      </c>
      <c r="TP9" s="496">
        <v>0.28960391137305902</v>
      </c>
      <c r="TQ9" s="496">
        <v>1.116007231</v>
      </c>
      <c r="TR9" s="496">
        <v>-8.3266109966195501</v>
      </c>
      <c r="TS9" s="496">
        <v>-0.32558721704389698</v>
      </c>
      <c r="TT9" s="496">
        <v>-51.262257613336601</v>
      </c>
      <c r="TU9" s="496">
        <v>-59.914455827000047</v>
      </c>
      <c r="TV9" s="496">
        <v>-2.8564748441683698</v>
      </c>
      <c r="TW9" s="496">
        <v>-0.111332997660298</v>
      </c>
      <c r="TX9" s="496">
        <v>-17.441072505705499</v>
      </c>
      <c r="TY9" s="496">
        <v>-20.408880347534165</v>
      </c>
      <c r="TZ9" s="496">
        <v>1.5098</v>
      </c>
      <c r="UA9" s="496">
        <v>6.1999999999999998E-3</v>
      </c>
      <c r="UB9" s="496">
        <v>2.2286000000000001</v>
      </c>
      <c r="UC9" s="496">
        <v>3.7446000000000002</v>
      </c>
      <c r="UD9" s="496">
        <v>1.5602</v>
      </c>
      <c r="UE9" s="496">
        <v>5.2725999999999997</v>
      </c>
      <c r="UF9" s="496">
        <v>2.2130999999999998</v>
      </c>
      <c r="UG9" s="496">
        <v>9.0458999999999996</v>
      </c>
      <c r="UH9" s="496">
        <v>1.4529318</v>
      </c>
      <c r="UI9" s="496">
        <v>-1.6129999999999999E-4</v>
      </c>
      <c r="UJ9" s="496">
        <v>1.2928751000000001</v>
      </c>
      <c r="UK9" s="496">
        <v>2.7456456</v>
      </c>
      <c r="UL9" s="496">
        <v>1.5182473000000001</v>
      </c>
      <c r="UM9" s="496">
        <v>0</v>
      </c>
      <c r="UN9" s="496">
        <v>0.67373800000000017</v>
      </c>
      <c r="UO9" s="496">
        <v>2.1919853000000002</v>
      </c>
      <c r="UP9" s="496">
        <v>1.3176452999999999</v>
      </c>
      <c r="UQ9" s="496">
        <v>-6.8409999999999999E-4</v>
      </c>
      <c r="UR9" s="496">
        <v>4.1436776000000002</v>
      </c>
      <c r="US9" s="496">
        <v>5.4606387999999999</v>
      </c>
      <c r="UT9" s="496">
        <v>1.4293864999999999</v>
      </c>
      <c r="UU9" s="496">
        <v>-1.2654000000000001E-3</v>
      </c>
      <c r="UV9" s="496">
        <v>2.1921200999999999</v>
      </c>
      <c r="UW9" s="496">
        <v>3.6202411999999997</v>
      </c>
      <c r="UX9" s="496">
        <v>1.8789798</v>
      </c>
      <c r="UY9" s="496">
        <v>-4.3369999999999997E-3</v>
      </c>
      <c r="UZ9" s="496">
        <v>-5.6830717999999996</v>
      </c>
      <c r="VA9" s="496">
        <v>-3.8084289999999994</v>
      </c>
      <c r="VB9" s="496">
        <v>1.7399999999999998</v>
      </c>
      <c r="VC9" s="496">
        <v>0</v>
      </c>
      <c r="VD9" s="496">
        <v>-5.84</v>
      </c>
      <c r="VE9" s="496">
        <v>-4.0999999999999996</v>
      </c>
      <c r="VF9" s="496">
        <v>4.0778999999999996</v>
      </c>
      <c r="VG9" s="496">
        <v>-0.4375</v>
      </c>
      <c r="VH9" s="496">
        <v>-6.7590000000000003</v>
      </c>
      <c r="VI9" s="496">
        <v>-3.1186000000000007</v>
      </c>
      <c r="VJ9" s="496">
        <v>2.7000000000000135E-2</v>
      </c>
      <c r="VK9" s="496">
        <v>3.2700000000000062E-2</v>
      </c>
      <c r="VL9" s="496">
        <v>0.4372000000000007</v>
      </c>
      <c r="VM9" s="496">
        <v>0.4969000000000009</v>
      </c>
      <c r="VN9" s="496">
        <v>6.1305597000000001</v>
      </c>
      <c r="VO9" s="496">
        <v>7.5420000000000001E-4</v>
      </c>
      <c r="VP9" s="496">
        <v>1.2063296999999999</v>
      </c>
      <c r="VQ9" s="496">
        <v>7.3376435999999998</v>
      </c>
      <c r="VR9" s="496">
        <v>4.7828144999999997</v>
      </c>
      <c r="VS9" s="496">
        <v>9.4973100000000005E-2</v>
      </c>
      <c r="VT9" s="496">
        <v>2.8091358</v>
      </c>
      <c r="VU9" s="496">
        <v>7.6869233999999995</v>
      </c>
      <c r="VV9" s="496">
        <v>5.0554176000000002</v>
      </c>
      <c r="VW9" s="496">
        <v>9.1149499999999994E-2</v>
      </c>
      <c r="VX9" s="496">
        <v>2.4472591000000001</v>
      </c>
      <c r="VY9" s="496">
        <v>7.5938262000000005</v>
      </c>
      <c r="VZ9" s="496">
        <v>6.4742424999999999</v>
      </c>
      <c r="WA9" s="496">
        <v>0.17502760000000001</v>
      </c>
      <c r="WB9" s="496">
        <v>66.310113099970806</v>
      </c>
      <c r="WC9" s="496">
        <v>72.959383199970802</v>
      </c>
      <c r="WD9" s="496">
        <v>0.78292070000000002</v>
      </c>
      <c r="WE9" s="496">
        <v>-1.2849599999999999E-2</v>
      </c>
      <c r="WF9" s="496">
        <v>-1.6914822</v>
      </c>
      <c r="WG9" s="496">
        <v>-0.92141110000000004</v>
      </c>
      <c r="WH9" s="496">
        <v>0.52398849999999997</v>
      </c>
      <c r="WI9" s="496">
        <v>-1.1513900000000001E-2</v>
      </c>
      <c r="WJ9" s="496">
        <v>-3.4022435999999998</v>
      </c>
      <c r="WK9" s="496">
        <v>-2.8897689999999998</v>
      </c>
      <c r="WL9" s="496">
        <v>0.94665630000000001</v>
      </c>
      <c r="WM9" s="496">
        <v>-1.1889500000000001E-2</v>
      </c>
      <c r="WN9" s="496">
        <v>-3.3334171000000001</v>
      </c>
      <c r="WO9" s="496">
        <v>-2.3986502999999999</v>
      </c>
      <c r="WP9" s="496">
        <v>1.0176912</v>
      </c>
      <c r="WQ9" s="496">
        <v>-1.65376E-2</v>
      </c>
      <c r="WR9" s="496">
        <v>-6.2193246999999996</v>
      </c>
      <c r="WS9" s="496">
        <v>-5.2181710999999993</v>
      </c>
      <c r="WT9" s="496">
        <v>8.1314999999999998E-3</v>
      </c>
      <c r="WU9" s="496">
        <v>-4.3937200000000003E-2</v>
      </c>
      <c r="WV9" s="496">
        <v>-17.552804999999999</v>
      </c>
      <c r="WW9" s="496">
        <v>-17.5886107</v>
      </c>
      <c r="WX9" s="496">
        <v>2.7272500000000002E-2</v>
      </c>
      <c r="WY9" s="496">
        <v>-4.5060599999999999E-2</v>
      </c>
      <c r="WZ9" s="496">
        <v>-19.538435499999999</v>
      </c>
      <c r="XA9" s="496">
        <v>-19.556223599999999</v>
      </c>
      <c r="XB9" s="496">
        <v>48.129473107127161</v>
      </c>
      <c r="XC9" s="496">
        <v>-5.9265561082916515E-2</v>
      </c>
      <c r="XD9" s="496">
        <v>20.019773251420478</v>
      </c>
      <c r="XE9" s="496">
        <v>68.089980797464733</v>
      </c>
      <c r="XF9" s="496">
        <v>46.441008404817879</v>
      </c>
      <c r="XG9" s="496">
        <v>-2.2470542035928624E-2</v>
      </c>
      <c r="XH9" s="496">
        <v>0.46513576093997044</v>
      </c>
      <c r="XI9" s="496">
        <v>46.883591923721902</v>
      </c>
      <c r="XJ9" s="496">
        <v>44.579603593330738</v>
      </c>
      <c r="XK9" s="496">
        <v>3.6151954660378123</v>
      </c>
      <c r="XL9" s="496">
        <v>108.85687194579239</v>
      </c>
      <c r="XM9" s="496">
        <v>157.05167100516093</v>
      </c>
      <c r="XN9" s="496">
        <v>30.839956117431541</v>
      </c>
      <c r="XO9" s="496">
        <v>21.038016449781608</v>
      </c>
      <c r="XP9" s="496">
        <v>752.0269774877662</v>
      </c>
      <c r="XQ9" s="496">
        <v>803.90495005497951</v>
      </c>
      <c r="XR9" s="496">
        <v>-22.489259221247895</v>
      </c>
      <c r="XS9" s="496">
        <v>17.588613312139991</v>
      </c>
      <c r="XT9" s="496">
        <v>1521.6264034531746</v>
      </c>
      <c r="XU9" s="496">
        <v>1516.7257575440669</v>
      </c>
      <c r="XV9" s="496">
        <v>70.929396584240052</v>
      </c>
      <c r="XW9" s="496">
        <v>22.252193314654519</v>
      </c>
      <c r="XX9" s="496">
        <v>1940.6656177602142</v>
      </c>
      <c r="XY9" s="496">
        <v>2033.847207659109</v>
      </c>
      <c r="XZ9" s="496">
        <v>0</v>
      </c>
      <c r="YA9" s="496">
        <v>9.9999999984285992E-3</v>
      </c>
      <c r="YB9" s="496">
        <v>-0.60272200300000001</v>
      </c>
      <c r="YC9" s="496">
        <v>-0.84994320000000001</v>
      </c>
      <c r="YD9" s="496">
        <v>-2.9560613999999998</v>
      </c>
      <c r="YE9" s="496">
        <v>-7.2150920999999997</v>
      </c>
      <c r="YF9" s="496">
        <v>0</v>
      </c>
      <c r="YG9" s="496">
        <v>0</v>
      </c>
      <c r="YH9" s="496">
        <v>0</v>
      </c>
      <c r="YI9" s="496">
        <v>179.48320530000001</v>
      </c>
      <c r="YJ9" s="496">
        <v>205.8893788</v>
      </c>
      <c r="YK9" s="496">
        <v>240.21428220000001</v>
      </c>
      <c r="YL9" s="496">
        <v>318.70353740000002</v>
      </c>
      <c r="YM9" s="496">
        <v>1.8383716999999999</v>
      </c>
      <c r="YN9" s="496">
        <v>2.4</v>
      </c>
      <c r="YO9" s="496">
        <v>2.9329334999999999</v>
      </c>
      <c r="YP9" s="496">
        <v>4.3215678999999998</v>
      </c>
      <c r="YQ9" s="496">
        <v>120.52753559999999</v>
      </c>
      <c r="YR9" s="496">
        <v>0</v>
      </c>
      <c r="YS9" s="496">
        <v>0</v>
      </c>
      <c r="YT9" s="496">
        <v>0</v>
      </c>
      <c r="YU9" s="496">
        <v>0</v>
      </c>
      <c r="YV9" s="496">
        <v>148.322939026211</v>
      </c>
      <c r="YW9" s="496">
        <v>152.88229431212099</v>
      </c>
      <c r="YX9" s="496">
        <v>174.34325850535501</v>
      </c>
      <c r="YY9" s="496">
        <v>0</v>
      </c>
      <c r="YZ9" s="496">
        <v>0</v>
      </c>
      <c r="ZA9" s="496">
        <v>0</v>
      </c>
      <c r="ZB9" s="496">
        <v>140.8975093155</v>
      </c>
      <c r="ZC9" s="496">
        <v>149.42747277026899</v>
      </c>
      <c r="ZD9" s="496">
        <v>173.86976109950001</v>
      </c>
      <c r="ZE9" s="496">
        <v>267.685299198</v>
      </c>
      <c r="ZF9" s="496">
        <v>0</v>
      </c>
      <c r="ZG9" s="496">
        <v>0</v>
      </c>
      <c r="ZH9" s="496">
        <v>12.46</v>
      </c>
      <c r="ZI9" s="496">
        <v>14.53</v>
      </c>
      <c r="ZJ9" s="496">
        <v>0</v>
      </c>
      <c r="ZK9" s="496">
        <v>0</v>
      </c>
      <c r="ZL9" s="496">
        <v>0</v>
      </c>
      <c r="ZM9" s="496">
        <v>-5.7525000000000004</v>
      </c>
      <c r="ZN9" s="496">
        <v>5.7525000999999998</v>
      </c>
      <c r="ZO9" s="496">
        <v>0</v>
      </c>
      <c r="ZP9" s="496">
        <v>0</v>
      </c>
      <c r="ZQ9" s="496">
        <f t="shared" si="8"/>
        <v>1.8383716999999999</v>
      </c>
      <c r="ZR9" s="496">
        <v>2.4</v>
      </c>
      <c r="ZS9" s="496">
        <v>2.9429334999984285</v>
      </c>
      <c r="ZT9" s="496">
        <v>318.34706051250004</v>
      </c>
      <c r="ZU9" s="496">
        <v>629.06988309648</v>
      </c>
      <c r="ZV9" s="496">
        <v>576.47027621162101</v>
      </c>
      <c r="ZW9" s="496">
        <v>768.04700300335503</v>
      </c>
      <c r="ZX9" s="496">
        <v>1.8897999999999999</v>
      </c>
      <c r="ZY9" s="496">
        <v>-1.4531879999999999</v>
      </c>
      <c r="ZZ9" s="496">
        <v>44.070957499999999</v>
      </c>
      <c r="AAA9" s="496">
        <v>11.737159399999999</v>
      </c>
      <c r="AAB9" s="496">
        <v>51.068785667999997</v>
      </c>
      <c r="AAC9" s="496">
        <v>23.790000000000006</v>
      </c>
      <c r="AAD9" s="496">
        <v>59.186213670404399</v>
      </c>
      <c r="AAE9" s="496">
        <v>4.3322997000000001</v>
      </c>
      <c r="AAF9" s="496">
        <v>2.4801654000000002</v>
      </c>
      <c r="AAG9" s="496">
        <v>3.8505230000000004</v>
      </c>
      <c r="AAH9" s="496">
        <v>-29.281929399999999</v>
      </c>
      <c r="AAI9" s="496">
        <v>-53.481476600000001</v>
      </c>
      <c r="AAJ9" s="496">
        <v>-9.8201216999999996</v>
      </c>
      <c r="AAK9" s="496">
        <v>-8.7255179999999992</v>
      </c>
      <c r="AAL9" s="496">
        <v>6.2220997000000002</v>
      </c>
      <c r="AAM9" s="496">
        <v>1.0269774000000003</v>
      </c>
      <c r="AAN9" s="496">
        <v>47.921480500000001</v>
      </c>
      <c r="AAO9" s="496">
        <v>-17.54477</v>
      </c>
      <c r="AAP9" s="496">
        <v>-2.4126909320000038</v>
      </c>
      <c r="AAQ9" s="496">
        <v>13.969878300000007</v>
      </c>
      <c r="AAR9" s="496">
        <v>50.460695670404398</v>
      </c>
    </row>
    <row r="10" spans="1:752" s="409" customFormat="1" ht="15" customHeight="1" x14ac:dyDescent="0.25">
      <c r="A10" s="491" t="s">
        <v>241</v>
      </c>
      <c r="B10" s="497">
        <v>1038.2482587</v>
      </c>
      <c r="C10" s="497">
        <v>280.07929689999997</v>
      </c>
      <c r="D10" s="497">
        <v>12380.4756978</v>
      </c>
      <c r="E10" s="497">
        <v>13698.803253399999</v>
      </c>
      <c r="F10" s="497">
        <v>1070.0301999999999</v>
      </c>
      <c r="G10" s="497">
        <v>230.3537</v>
      </c>
      <c r="H10" s="497">
        <v>12464.8094</v>
      </c>
      <c r="I10" s="497">
        <v>13765.193300000001</v>
      </c>
      <c r="J10" s="497">
        <v>940.07408725146433</v>
      </c>
      <c r="K10" s="497">
        <v>211.53954985089942</v>
      </c>
      <c r="L10" s="497">
        <v>12883.403671702012</v>
      </c>
      <c r="M10" s="497">
        <v>14035.017308804376</v>
      </c>
      <c r="N10" s="497">
        <v>955</v>
      </c>
      <c r="O10" s="497">
        <v>179.76999999999998</v>
      </c>
      <c r="P10" s="497">
        <v>11882.82</v>
      </c>
      <c r="Q10" s="497">
        <v>13017.590000000002</v>
      </c>
      <c r="R10" s="497">
        <v>911.74120000000005</v>
      </c>
      <c r="S10" s="497">
        <v>183.13510000000002</v>
      </c>
      <c r="T10" s="497">
        <v>11559.833999999999</v>
      </c>
      <c r="U10" s="497">
        <v>12654.710299999999</v>
      </c>
      <c r="V10" s="497">
        <v>970.95999999999992</v>
      </c>
      <c r="W10" s="497">
        <v>160.38999999999999</v>
      </c>
      <c r="X10" s="497">
        <v>13126.34</v>
      </c>
      <c r="Y10" s="497">
        <v>14257.690000000002</v>
      </c>
      <c r="Z10" s="497">
        <v>1099.0300000000002</v>
      </c>
      <c r="AA10" s="497">
        <v>168.10999999999999</v>
      </c>
      <c r="AB10" s="497">
        <v>13590.699999999999</v>
      </c>
      <c r="AC10" s="497">
        <v>14857.84</v>
      </c>
      <c r="AD10" s="497">
        <v>2493.5015165889999</v>
      </c>
      <c r="AE10" s="497">
        <v>569.78972665399999</v>
      </c>
      <c r="AF10" s="497">
        <v>14561.84782456</v>
      </c>
      <c r="AG10" s="497">
        <v>17625.139067803</v>
      </c>
      <c r="AH10" s="497">
        <v>2361.6400684038599</v>
      </c>
      <c r="AI10" s="497">
        <v>556.30572379202897</v>
      </c>
      <c r="AJ10" s="497">
        <v>17886.6357414341</v>
      </c>
      <c r="AK10" s="497">
        <v>20804.581533629971</v>
      </c>
      <c r="AL10" s="497">
        <v>2558.5067603625307</v>
      </c>
      <c r="AM10" s="497">
        <v>462.38018525141405</v>
      </c>
      <c r="AN10" s="497">
        <v>20231.399648162736</v>
      </c>
      <c r="AO10" s="497">
        <v>23252.286593776691</v>
      </c>
      <c r="AP10" s="497">
        <v>2388.0680035876167</v>
      </c>
      <c r="AQ10" s="497">
        <v>499.28829308616417</v>
      </c>
      <c r="AR10" s="497">
        <v>22385.021176576021</v>
      </c>
      <c r="AS10" s="497">
        <v>25272.377473249802</v>
      </c>
      <c r="AT10" s="497">
        <v>3065.0923478345358</v>
      </c>
      <c r="AU10" s="497">
        <v>518.40539527116937</v>
      </c>
      <c r="AV10" s="497">
        <v>24463.064149586171</v>
      </c>
      <c r="AW10" s="497">
        <v>28046.561892691872</v>
      </c>
      <c r="AX10" s="497">
        <v>3585.1015497937587</v>
      </c>
      <c r="AY10" s="497">
        <v>496.46432762254068</v>
      </c>
      <c r="AZ10" s="497">
        <v>26547.497857301987</v>
      </c>
      <c r="BA10" s="497">
        <v>30629.063734718282</v>
      </c>
      <c r="BB10" s="497">
        <v>3455.0488895180888</v>
      </c>
      <c r="BC10" s="497">
        <v>559.31854084421502</v>
      </c>
      <c r="BD10" s="497">
        <v>29571.253393363299</v>
      </c>
      <c r="BE10" s="497">
        <v>33585.620823725607</v>
      </c>
      <c r="BF10" s="497">
        <v>696.1967965</v>
      </c>
      <c r="BG10" s="497">
        <v>338.94189949999998</v>
      </c>
      <c r="BH10" s="497">
        <v>7375.7669994999997</v>
      </c>
      <c r="BI10" s="497">
        <v>8410.9056954999996</v>
      </c>
      <c r="BJ10" s="497">
        <v>771.73086880000005</v>
      </c>
      <c r="BK10" s="497">
        <v>314.0462617</v>
      </c>
      <c r="BL10" s="497">
        <v>9172.3814930000008</v>
      </c>
      <c r="BM10" s="497">
        <v>10258.1586235</v>
      </c>
      <c r="BN10" s="497">
        <v>820.15519999999992</v>
      </c>
      <c r="BO10" s="497">
        <v>320.06050000000005</v>
      </c>
      <c r="BP10" s="497">
        <v>11470.885499999999</v>
      </c>
      <c r="BQ10" s="497">
        <v>12611.101199999997</v>
      </c>
      <c r="BR10" s="497">
        <v>835.23208009999996</v>
      </c>
      <c r="BS10" s="497">
        <v>304.82080770000005</v>
      </c>
      <c r="BT10" s="497">
        <v>12050.7911785</v>
      </c>
      <c r="BU10" s="497">
        <v>13190.8440663</v>
      </c>
      <c r="BV10" s="497">
        <v>986.50440000000003</v>
      </c>
      <c r="BW10" s="497">
        <v>286.8381</v>
      </c>
      <c r="BX10" s="497">
        <v>12747.071799999998</v>
      </c>
      <c r="BY10" s="497">
        <v>14020.414299999999</v>
      </c>
      <c r="BZ10" s="497">
        <v>976.62</v>
      </c>
      <c r="CA10" s="497">
        <v>271.81</v>
      </c>
      <c r="CB10" s="497">
        <v>12284.990000000002</v>
      </c>
      <c r="CC10" s="497">
        <v>13533.419999999998</v>
      </c>
      <c r="CD10" s="497">
        <v>981.02711210000007</v>
      </c>
      <c r="CE10" s="497">
        <v>283.64967460000003</v>
      </c>
      <c r="CF10" s="497">
        <v>12636.942725300001</v>
      </c>
      <c r="CG10" s="497">
        <v>13901.619512000001</v>
      </c>
      <c r="CH10" s="497">
        <v>944.68671110000002</v>
      </c>
      <c r="CI10" s="497">
        <v>350.75428249999999</v>
      </c>
      <c r="CJ10" s="497">
        <v>10424.314961599999</v>
      </c>
      <c r="CK10" s="497">
        <v>11719.7559552</v>
      </c>
      <c r="CL10" s="497">
        <v>1082.3112000000001</v>
      </c>
      <c r="CM10" s="497">
        <v>325.96319999999992</v>
      </c>
      <c r="CN10" s="497">
        <v>12733.541500000003</v>
      </c>
      <c r="CO10" s="497">
        <v>14141.815900000001</v>
      </c>
      <c r="CP10" s="497">
        <v>1199.8119999999999</v>
      </c>
      <c r="CQ10" s="497">
        <v>314.38529999999997</v>
      </c>
      <c r="CR10" s="497">
        <v>14431.56</v>
      </c>
      <c r="CS10" s="497">
        <v>15945.757299999999</v>
      </c>
      <c r="CT10" s="497">
        <v>1031.3648016</v>
      </c>
      <c r="CU10" s="497">
        <v>283.54066700000004</v>
      </c>
      <c r="CV10" s="497">
        <v>14675.9127589</v>
      </c>
      <c r="CW10" s="497">
        <v>15990.8182275</v>
      </c>
      <c r="CX10" s="497">
        <v>1087.1836000000001</v>
      </c>
      <c r="CY10" s="497">
        <v>252.67000000000002</v>
      </c>
      <c r="CZ10" s="497">
        <v>15200.167799999999</v>
      </c>
      <c r="DA10" s="497">
        <v>16540.021399999998</v>
      </c>
      <c r="DB10" s="497">
        <v>1151.0600000000002</v>
      </c>
      <c r="DC10" s="497">
        <v>229.16000000000003</v>
      </c>
      <c r="DD10" s="497">
        <v>14691.949999999999</v>
      </c>
      <c r="DE10" s="497">
        <v>16072.169999999998</v>
      </c>
      <c r="DF10" s="497">
        <v>1283.08</v>
      </c>
      <c r="DG10" s="497">
        <v>260.69</v>
      </c>
      <c r="DH10" s="497">
        <v>15321.779999999999</v>
      </c>
      <c r="DI10" s="497">
        <v>16865.55</v>
      </c>
      <c r="DJ10" s="497">
        <f t="shared" si="0"/>
        <v>5202.2756035876164</v>
      </c>
      <c r="DK10" s="497">
        <f t="shared" si="1"/>
        <v>1328.4470930861642</v>
      </c>
      <c r="DL10" s="497">
        <f t="shared" si="2"/>
        <v>58149.282176576016</v>
      </c>
      <c r="DM10" s="497">
        <f t="shared" si="3"/>
        <v>64680.004873249803</v>
      </c>
      <c r="DN10" s="497">
        <f t="shared" si="4"/>
        <v>6199.1664279345359</v>
      </c>
      <c r="DO10" s="497">
        <f t="shared" si="5"/>
        <v>1305.7215029711695</v>
      </c>
      <c r="DP10" s="497">
        <f t="shared" si="6"/>
        <v>64536.115328086162</v>
      </c>
      <c r="DQ10" s="497">
        <f t="shared" si="7"/>
        <v>72041.00325899187</v>
      </c>
      <c r="DR10" s="497">
        <v>5518.5480476139946</v>
      </c>
      <c r="DS10" s="497">
        <v>1308.3655351023135</v>
      </c>
      <c r="DT10" s="497">
        <v>59017.248819864741</v>
      </c>
      <c r="DU10" s="497">
        <v>65844.16240258106</v>
      </c>
      <c r="DV10" s="497">
        <v>5209.6648852876178</v>
      </c>
      <c r="DW10" s="497">
        <v>1267.4197677861641</v>
      </c>
      <c r="DX10" s="497">
        <v>60994.545113976019</v>
      </c>
      <c r="DY10" s="497">
        <v>67471.629767049802</v>
      </c>
      <c r="DZ10" s="497">
        <v>6050.5215478345362</v>
      </c>
      <c r="EA10" s="497">
        <v>1241.0485952711692</v>
      </c>
      <c r="EB10" s="497">
        <v>63970.137749586167</v>
      </c>
      <c r="EC10" s="497">
        <v>71261.707892691862</v>
      </c>
      <c r="ED10" s="497">
        <v>6683.7415497937591</v>
      </c>
      <c r="EE10" s="497">
        <v>1157.8243276225407</v>
      </c>
      <c r="EF10" s="497">
        <v>66650.77785730199</v>
      </c>
      <c r="EG10" s="497">
        <v>74492.343734718277</v>
      </c>
      <c r="EH10" s="497">
        <v>6818.186001618089</v>
      </c>
      <c r="EI10" s="497">
        <v>1271.768215444215</v>
      </c>
      <c r="EJ10" s="497">
        <v>71120.676118663294</v>
      </c>
      <c r="EK10" s="497">
        <v>79210.630335725597</v>
      </c>
      <c r="EL10" s="497">
        <v>0</v>
      </c>
      <c r="EM10" s="497">
        <v>0</v>
      </c>
      <c r="EN10" s="497">
        <v>-0.28899999999999998</v>
      </c>
      <c r="EO10" s="497">
        <v>-0.28899999999999998</v>
      </c>
      <c r="EP10" s="497">
        <v>0</v>
      </c>
      <c r="EQ10" s="497">
        <v>0</v>
      </c>
      <c r="ER10" s="497">
        <v>52.43359360521751</v>
      </c>
      <c r="ES10" s="497">
        <v>52.43359360521751</v>
      </c>
      <c r="ET10" s="497">
        <v>0</v>
      </c>
      <c r="EU10" s="497">
        <v>0</v>
      </c>
      <c r="EV10" s="497">
        <v>181.28539164557182</v>
      </c>
      <c r="EW10" s="497">
        <v>181.28539164557182</v>
      </c>
      <c r="EX10" s="497">
        <v>6.2442089592361309E-3</v>
      </c>
      <c r="EY10" s="497">
        <v>0</v>
      </c>
      <c r="EZ10" s="497">
        <v>195.67567763771069</v>
      </c>
      <c r="FA10" s="497">
        <v>195.68192184666992</v>
      </c>
      <c r="FB10" s="497">
        <v>2.4607085153105612E-2</v>
      </c>
      <c r="FC10" s="497">
        <v>0</v>
      </c>
      <c r="FD10" s="497">
        <v>476.19702697373879</v>
      </c>
      <c r="FE10" s="497">
        <v>476.22163405889177</v>
      </c>
      <c r="FF10" s="497">
        <v>217.05654139999999</v>
      </c>
      <c r="FG10" s="497">
        <v>96.208919399999999</v>
      </c>
      <c r="FH10" s="497">
        <v>5374.5806461000002</v>
      </c>
      <c r="FI10" s="497">
        <v>5687.8461068999995</v>
      </c>
      <c r="FJ10" s="497">
        <v>226.59229999999999</v>
      </c>
      <c r="FK10" s="497">
        <v>100.87219999999999</v>
      </c>
      <c r="FL10" s="497">
        <v>6630.0240000000003</v>
      </c>
      <c r="FM10" s="497">
        <v>6957.4885000000004</v>
      </c>
      <c r="FN10" s="497">
        <v>236.55868050000001</v>
      </c>
      <c r="FO10" s="497">
        <v>117.01552150000001</v>
      </c>
      <c r="FP10" s="497">
        <v>7601.9376959000001</v>
      </c>
      <c r="FQ10" s="497">
        <v>7955.5118978999999</v>
      </c>
      <c r="FR10" s="497">
        <v>313.44218327153601</v>
      </c>
      <c r="FS10" s="497">
        <v>139.14053148378522</v>
      </c>
      <c r="FT10" s="497">
        <v>9007.2258467446791</v>
      </c>
      <c r="FU10" s="497">
        <v>9459.8085615</v>
      </c>
      <c r="FV10" s="497">
        <v>314.48360879244916</v>
      </c>
      <c r="FW10" s="497">
        <v>124.32619623614401</v>
      </c>
      <c r="FX10" s="497">
        <v>8239.4393923714069</v>
      </c>
      <c r="FY10" s="497">
        <v>8678.2491974000004</v>
      </c>
      <c r="FZ10" s="497">
        <v>302.21851641197469</v>
      </c>
      <c r="GA10" s="497">
        <v>143.21880086517737</v>
      </c>
      <c r="GB10" s="497">
        <v>8736.8487766228482</v>
      </c>
      <c r="GC10" s="497">
        <v>9182.2860939000002</v>
      </c>
      <c r="GD10" s="497">
        <v>12.199181629949795</v>
      </c>
      <c r="GE10" s="497">
        <v>21.754090930719961</v>
      </c>
      <c r="GF10" s="497">
        <v>1357.0840887308666</v>
      </c>
      <c r="GG10" s="497">
        <v>1391.0373612915364</v>
      </c>
      <c r="GH10" s="497">
        <v>14.580923482224559</v>
      </c>
      <c r="GI10" s="497">
        <v>16.759070874398912</v>
      </c>
      <c r="GJ10" s="497">
        <v>1408.2432871967742</v>
      </c>
      <c r="GK10" s="497">
        <v>1439.5832815533977</v>
      </c>
      <c r="GL10" s="497">
        <v>24.853495816001612</v>
      </c>
      <c r="GM10" s="497">
        <v>31.51864848331973</v>
      </c>
      <c r="GN10" s="497">
        <v>1728.4100769954712</v>
      </c>
      <c r="GO10" s="497">
        <v>1784.7822212947926</v>
      </c>
      <c r="GP10" s="497">
        <v>37.428702243346407</v>
      </c>
      <c r="GQ10" s="497">
        <v>61.957439398396339</v>
      </c>
      <c r="GR10" s="497">
        <v>2281.3026576136763</v>
      </c>
      <c r="GS10" s="497">
        <v>2380.6887992554189</v>
      </c>
      <c r="GT10" s="497">
        <v>59.659848699533832</v>
      </c>
      <c r="GU10" s="497">
        <v>56.148105350900209</v>
      </c>
      <c r="GV10" s="497">
        <v>2357.6924488179416</v>
      </c>
      <c r="GW10" s="497">
        <v>2473.5004028683757</v>
      </c>
      <c r="GX10" s="497">
        <v>68.552089899999999</v>
      </c>
      <c r="GY10" s="497">
        <v>12.031071600000001</v>
      </c>
      <c r="GZ10" s="497">
        <v>2523.3184906000001</v>
      </c>
      <c r="HA10" s="497">
        <v>2603.9016520999999</v>
      </c>
      <c r="HB10" s="497">
        <v>110.90885730000001</v>
      </c>
      <c r="HC10" s="497">
        <v>16.930124499999998</v>
      </c>
      <c r="HD10" s="497">
        <v>3132.2912878000002</v>
      </c>
      <c r="HE10" s="497">
        <v>3260.1302696000002</v>
      </c>
      <c r="HF10" s="497">
        <v>115.97779999999999</v>
      </c>
      <c r="HG10" s="497">
        <v>19.566716300000003</v>
      </c>
      <c r="HH10" s="497">
        <v>3397.6699999999996</v>
      </c>
      <c r="HI10" s="497">
        <v>3533.2145162999996</v>
      </c>
      <c r="HJ10" s="497">
        <v>125.72484499999999</v>
      </c>
      <c r="HK10" s="497">
        <v>21.812709099999999</v>
      </c>
      <c r="HL10" s="497">
        <v>4076.0006999999996</v>
      </c>
      <c r="HM10" s="497">
        <v>4223.5382540999999</v>
      </c>
      <c r="HN10" s="497">
        <v>156.33319130000001</v>
      </c>
      <c r="HO10" s="497">
        <v>27.122539199999999</v>
      </c>
      <c r="HP10" s="497">
        <v>3886.5079258739997</v>
      </c>
      <c r="HQ10" s="497">
        <v>4069.9636563739996</v>
      </c>
      <c r="HR10" s="497">
        <v>176.63455269999997</v>
      </c>
      <c r="HS10" s="497">
        <v>37.274516200000008</v>
      </c>
      <c r="HT10" s="497">
        <v>4250.9093579999999</v>
      </c>
      <c r="HU10" s="497">
        <v>4464.8184269000003</v>
      </c>
      <c r="HV10" s="497">
        <v>0</v>
      </c>
      <c r="HW10" s="497">
        <v>0</v>
      </c>
      <c r="HX10" s="497">
        <v>8.6747000000000005E-3</v>
      </c>
      <c r="HY10" s="497">
        <v>8.6747000000000005E-3</v>
      </c>
      <c r="HZ10" s="497">
        <v>0.73058561900000096</v>
      </c>
      <c r="IA10" s="497">
        <v>-2.3064920000000402E-3</v>
      </c>
      <c r="IB10" s="497">
        <v>29.528666472999898</v>
      </c>
      <c r="IC10" s="497">
        <v>30.256945599999902</v>
      </c>
      <c r="ID10" s="497">
        <v>1.8457349000000001</v>
      </c>
      <c r="IE10" s="497">
        <v>-7.5496400000000005E-2</v>
      </c>
      <c r="IF10" s="497">
        <v>96.198323283999997</v>
      </c>
      <c r="IG10" s="497">
        <v>97.968561783999988</v>
      </c>
      <c r="IH10" s="497">
        <v>2.7572789780000004</v>
      </c>
      <c r="II10" s="497">
        <v>7.6792546999999892E-2</v>
      </c>
      <c r="IJ10" s="497">
        <v>182.33039139300001</v>
      </c>
      <c r="IK10" s="497">
        <v>185.164462918</v>
      </c>
      <c r="IL10" s="497">
        <v>4.8085135210000001</v>
      </c>
      <c r="IM10" s="497">
        <v>0.40124457699999994</v>
      </c>
      <c r="IN10" s="497">
        <v>248.875788271</v>
      </c>
      <c r="IO10" s="497">
        <v>254.08554636899999</v>
      </c>
      <c r="IP10" s="497">
        <v>69.456843500000005</v>
      </c>
      <c r="IQ10" s="497">
        <v>52.821650499999997</v>
      </c>
      <c r="IR10" s="497">
        <v>1155.5952433</v>
      </c>
      <c r="IS10" s="497">
        <v>1277.8737372999999</v>
      </c>
      <c r="IT10" s="497">
        <v>83.503962999999999</v>
      </c>
      <c r="IU10" s="497">
        <v>49.689473100000001</v>
      </c>
      <c r="IV10" s="497">
        <v>1341.7471880999999</v>
      </c>
      <c r="IW10" s="497">
        <v>1474.9406242</v>
      </c>
      <c r="IX10" s="497">
        <v>93.282004999999998</v>
      </c>
      <c r="IY10" s="497">
        <v>54.512133300000002</v>
      </c>
      <c r="IZ10" s="497">
        <v>1656.3735517</v>
      </c>
      <c r="JA10" s="497">
        <v>1804.1676899999998</v>
      </c>
      <c r="JB10" s="497">
        <v>127.2818843</v>
      </c>
      <c r="JC10" s="497">
        <v>63.843864099999998</v>
      </c>
      <c r="JD10" s="497">
        <v>2255.6841999999997</v>
      </c>
      <c r="JE10" s="497">
        <v>2446.8099483999999</v>
      </c>
      <c r="JF10" s="497">
        <v>176.61090569999996</v>
      </c>
      <c r="JG10" s="497">
        <v>60.560869600000004</v>
      </c>
      <c r="JH10" s="497">
        <v>2452.7912999999999</v>
      </c>
      <c r="JI10" s="497">
        <v>2689.9630753000001</v>
      </c>
      <c r="JJ10" s="497">
        <v>205.30879429999999</v>
      </c>
      <c r="JK10" s="497">
        <v>80.988331200000005</v>
      </c>
      <c r="JL10" s="497">
        <v>2662.2686987000002</v>
      </c>
      <c r="JM10" s="497">
        <v>2948.5658242</v>
      </c>
      <c r="JN10" s="497">
        <v>-0.10299999999999999</v>
      </c>
      <c r="JO10" s="497">
        <v>0</v>
      </c>
      <c r="JP10" s="497">
        <v>7.5679999999999996</v>
      </c>
      <c r="JQ10" s="497">
        <v>7.4649999999999999</v>
      </c>
      <c r="JR10" s="497">
        <v>4.0911248999999996</v>
      </c>
      <c r="JS10" s="497">
        <v>5.1194000000000005E-3</v>
      </c>
      <c r="JT10" s="497">
        <v>521.76031189999992</v>
      </c>
      <c r="JU10" s="497">
        <v>525.85655619999989</v>
      </c>
      <c r="JV10" s="497">
        <v>17.456600000000002</v>
      </c>
      <c r="JW10" s="497">
        <v>4.6800000000000001E-2</v>
      </c>
      <c r="JX10" s="497">
        <v>1347.3365000000001</v>
      </c>
      <c r="JY10" s="497">
        <v>1364.8399000000002</v>
      </c>
      <c r="JZ10" s="497">
        <v>41.825390300000002</v>
      </c>
      <c r="KA10" s="497">
        <v>0.92516960000000004</v>
      </c>
      <c r="KB10" s="497">
        <v>2142.2950194</v>
      </c>
      <c r="KC10" s="497">
        <v>2185.0455793000001</v>
      </c>
      <c r="KD10" s="497">
        <v>63.167165400000002</v>
      </c>
      <c r="KE10" s="497">
        <v>1.0455597999999999</v>
      </c>
      <c r="KF10" s="497">
        <v>3695.2474823000007</v>
      </c>
      <c r="KG10" s="497">
        <v>3759.4602074999998</v>
      </c>
      <c r="KH10" s="497">
        <v>36.585799999999999</v>
      </c>
      <c r="KI10" s="497">
        <v>22.471299999999999</v>
      </c>
      <c r="KJ10" s="497">
        <v>1105.4162999999999</v>
      </c>
      <c r="KK10" s="497">
        <v>1164.4733999999999</v>
      </c>
      <c r="KL10" s="497">
        <v>128.67159999999998</v>
      </c>
      <c r="KM10" s="497">
        <v>55.392600000000002</v>
      </c>
      <c r="KN10" s="497">
        <v>3299.8044000000004</v>
      </c>
      <c r="KO10" s="497">
        <v>3483.8686000000002</v>
      </c>
      <c r="KP10" s="497">
        <v>132.1277</v>
      </c>
      <c r="KQ10" s="497">
        <v>66.989499999999992</v>
      </c>
      <c r="KR10" s="497">
        <v>4182.7039999999997</v>
      </c>
      <c r="KS10" s="497">
        <v>4381.8211999999994</v>
      </c>
      <c r="KT10" s="497">
        <v>185.62010000000004</v>
      </c>
      <c r="KU10" s="497">
        <v>79.379900000000006</v>
      </c>
      <c r="KV10" s="497">
        <v>4849.8957000000009</v>
      </c>
      <c r="KW10" s="497">
        <v>5114.8957000000009</v>
      </c>
      <c r="KX10" s="497">
        <v>293.46000000000004</v>
      </c>
      <c r="KY10" s="497">
        <v>86.850000000000009</v>
      </c>
      <c r="KZ10" s="497">
        <v>6991.1800000000012</v>
      </c>
      <c r="LA10" s="497">
        <v>7371.4900000000007</v>
      </c>
      <c r="LB10" s="497">
        <v>348.17500079942147</v>
      </c>
      <c r="LC10" s="497">
        <v>130.58593792586385</v>
      </c>
      <c r="LD10" s="497">
        <v>7442.025998425629</v>
      </c>
      <c r="LE10" s="497">
        <v>7920.7869371509078</v>
      </c>
      <c r="LF10" s="497">
        <v>170.2379291</v>
      </c>
      <c r="LG10" s="497">
        <v>215.0434506</v>
      </c>
      <c r="LH10" s="497">
        <v>6824.2125016</v>
      </c>
      <c r="LI10" s="497">
        <v>7209.4938812999999</v>
      </c>
      <c r="LJ10" s="497">
        <v>192.2613364</v>
      </c>
      <c r="LK10" s="497">
        <v>216.0305888</v>
      </c>
      <c r="LL10" s="497">
        <v>7658.0539016000002</v>
      </c>
      <c r="LM10" s="497">
        <v>8066.3458267999995</v>
      </c>
      <c r="LN10" s="497">
        <v>203.31943799999999</v>
      </c>
      <c r="LO10" s="497">
        <v>258.63019660000003</v>
      </c>
      <c r="LP10" s="497">
        <v>9290.2687690999992</v>
      </c>
      <c r="LQ10" s="497">
        <v>9752.2184036999988</v>
      </c>
      <c r="LR10" s="497">
        <v>330.29500400000001</v>
      </c>
      <c r="LS10" s="497">
        <v>278.50933539999994</v>
      </c>
      <c r="LT10" s="497">
        <v>10443.9532086</v>
      </c>
      <c r="LU10" s="497">
        <v>11052.757548</v>
      </c>
      <c r="LV10" s="497">
        <v>556.7576262</v>
      </c>
      <c r="LW10" s="497">
        <v>280.92685280000006</v>
      </c>
      <c r="LX10" s="497">
        <v>11323.6915033</v>
      </c>
      <c r="LY10" s="497">
        <v>12161.3759823</v>
      </c>
      <c r="LZ10" s="497">
        <v>790.12</v>
      </c>
      <c r="MA10" s="497">
        <v>406.61</v>
      </c>
      <c r="MB10" s="497">
        <v>14933.14</v>
      </c>
      <c r="MC10" s="497">
        <v>16129.869999999999</v>
      </c>
      <c r="MD10" s="497">
        <v>50.622241699999996</v>
      </c>
      <c r="ME10" s="497">
        <v>63.776541999999999</v>
      </c>
      <c r="MF10" s="497">
        <v>3943.7851181999999</v>
      </c>
      <c r="MG10" s="497">
        <v>4058.1839019000004</v>
      </c>
      <c r="MH10" s="497">
        <v>55.086102600000004</v>
      </c>
      <c r="MI10" s="497">
        <v>64.095409599999996</v>
      </c>
      <c r="MJ10" s="497">
        <v>3515.2850497000004</v>
      </c>
      <c r="MK10" s="497">
        <v>3634.4665619000002</v>
      </c>
      <c r="ML10" s="497">
        <v>55.4768233</v>
      </c>
      <c r="MM10" s="497">
        <v>74.263194200000001</v>
      </c>
      <c r="MN10" s="497">
        <v>4338.9819757000005</v>
      </c>
      <c r="MO10" s="497">
        <v>4468.7219931999998</v>
      </c>
      <c r="MP10" s="497">
        <v>68.364599999999996</v>
      </c>
      <c r="MQ10" s="497">
        <v>80.631199999999993</v>
      </c>
      <c r="MR10" s="497">
        <v>5013.5288</v>
      </c>
      <c r="MS10" s="497">
        <v>5162.5245999999997</v>
      </c>
      <c r="MT10" s="497">
        <v>92.962216999999995</v>
      </c>
      <c r="MU10" s="497">
        <v>81.686987699999989</v>
      </c>
      <c r="MV10" s="497">
        <v>5333.3183515000001</v>
      </c>
      <c r="MW10" s="497">
        <v>5507.9675562000002</v>
      </c>
      <c r="MX10" s="497">
        <v>138.951594</v>
      </c>
      <c r="MY10" s="497">
        <v>123.3572176</v>
      </c>
      <c r="MZ10" s="497">
        <v>6097.3501922000005</v>
      </c>
      <c r="NA10" s="497">
        <v>6359.6590038000004</v>
      </c>
      <c r="NB10" s="497">
        <v>1.4704744000000001</v>
      </c>
      <c r="NC10" s="497">
        <v>0</v>
      </c>
      <c r="ND10" s="497">
        <v>34.916517200000001</v>
      </c>
      <c r="NE10" s="497">
        <v>36.386991600000002</v>
      </c>
      <c r="NF10" s="497">
        <v>2.6437742000000002</v>
      </c>
      <c r="NG10" s="497">
        <v>0</v>
      </c>
      <c r="NH10" s="497">
        <v>123.35464610036948</v>
      </c>
      <c r="NI10" s="497">
        <v>125.99842030036949</v>
      </c>
      <c r="NJ10" s="497">
        <v>5.7255926000000006</v>
      </c>
      <c r="NK10" s="497">
        <v>0</v>
      </c>
      <c r="NL10" s="497">
        <v>211.2160121</v>
      </c>
      <c r="NM10" s="497">
        <v>216.9416047</v>
      </c>
      <c r="NN10" s="497">
        <v>9.284540100000001</v>
      </c>
      <c r="NO10" s="497">
        <v>0</v>
      </c>
      <c r="NP10" s="497">
        <v>317.38621329999995</v>
      </c>
      <c r="NQ10" s="497">
        <v>326.67075340000002</v>
      </c>
      <c r="NR10" s="497">
        <v>12.0212556</v>
      </c>
      <c r="NS10" s="497">
        <v>5.0240000000000007E-4</v>
      </c>
      <c r="NT10" s="497">
        <v>429.04717929999998</v>
      </c>
      <c r="NU10" s="497">
        <v>441.06893730000002</v>
      </c>
      <c r="NV10" s="497">
        <v>15.171267400000001</v>
      </c>
      <c r="NW10" s="497">
        <v>0.38390349999999995</v>
      </c>
      <c r="NX10" s="497">
        <v>557.33851183938566</v>
      </c>
      <c r="NY10" s="497">
        <v>572.89368273938567</v>
      </c>
      <c r="NZ10" s="497">
        <v>6.28305061749922</v>
      </c>
      <c r="OA10" s="497">
        <v>7.1685570804713103</v>
      </c>
      <c r="OB10" s="497">
        <v>443.45983118575401</v>
      </c>
      <c r="OC10" s="497">
        <v>456.9114388837238</v>
      </c>
      <c r="OD10" s="497">
        <v>7.3714445986968959</v>
      </c>
      <c r="OE10" s="497">
        <v>11.675915520666997</v>
      </c>
      <c r="OF10" s="497">
        <v>612.4897517195111</v>
      </c>
      <c r="OG10" s="497">
        <v>631.53711183887503</v>
      </c>
      <c r="OH10" s="497">
        <v>7.8664667015560239</v>
      </c>
      <c r="OI10" s="497">
        <v>18.222729970893045</v>
      </c>
      <c r="OJ10" s="497">
        <v>868.23809427095762</v>
      </c>
      <c r="OK10" s="497">
        <v>894.32729094340675</v>
      </c>
      <c r="OL10" s="497">
        <v>14.650346787862548</v>
      </c>
      <c r="OM10" s="497">
        <v>29.468272524075115</v>
      </c>
      <c r="ON10" s="497">
        <v>1369.7493570901984</v>
      </c>
      <c r="OO10" s="497">
        <v>1413.8679764021358</v>
      </c>
      <c r="OP10" s="497">
        <v>27.204110942403545</v>
      </c>
      <c r="OQ10" s="497">
        <v>31.028266439823696</v>
      </c>
      <c r="OR10" s="497">
        <v>1498.8848710484756</v>
      </c>
      <c r="OS10" s="497">
        <v>1557.1172484307031</v>
      </c>
      <c r="OT10" s="497">
        <v>36.809121865019002</v>
      </c>
      <c r="OU10" s="497">
        <v>44.182264441853121</v>
      </c>
      <c r="OV10" s="497">
        <v>1486.2546785966645</v>
      </c>
      <c r="OW10" s="497">
        <v>1567.2460649035363</v>
      </c>
      <c r="OX10" s="497">
        <v>8.4533753489999999</v>
      </c>
      <c r="OY10" s="497">
        <v>1.756938296</v>
      </c>
      <c r="OZ10" s="497">
        <v>381.744120917825</v>
      </c>
      <c r="PA10" s="497">
        <v>391.95443456282499</v>
      </c>
      <c r="PB10" s="497">
        <v>6.8197000000000001</v>
      </c>
      <c r="PC10" s="497">
        <v>1.1079000000000001</v>
      </c>
      <c r="PD10" s="497">
        <v>398.27835456952897</v>
      </c>
      <c r="PE10" s="497">
        <v>406.20595456952901</v>
      </c>
      <c r="PF10" s="497">
        <v>8.0791073000000004</v>
      </c>
      <c r="PG10" s="497">
        <v>1.3105068</v>
      </c>
      <c r="PH10" s="497">
        <v>468.05128289999999</v>
      </c>
      <c r="PI10" s="497">
        <v>477.44089699999995</v>
      </c>
      <c r="PJ10" s="497">
        <v>11.3388375</v>
      </c>
      <c r="PK10" s="497">
        <v>3.1415258999999995</v>
      </c>
      <c r="PL10" s="497">
        <v>878.39681619999999</v>
      </c>
      <c r="PM10" s="497">
        <v>892.87717960000009</v>
      </c>
      <c r="PN10" s="497">
        <v>30.4805020687309</v>
      </c>
      <c r="PO10" s="497">
        <v>2.1199772638973675</v>
      </c>
      <c r="PP10" s="497">
        <v>925.43672235300403</v>
      </c>
      <c r="PQ10" s="497">
        <v>958.03720168563223</v>
      </c>
      <c r="PR10" s="497">
        <v>47.788617300000006</v>
      </c>
      <c r="PS10" s="497">
        <v>3.7141960000000003</v>
      </c>
      <c r="PT10" s="497">
        <v>1156.9569164009999</v>
      </c>
      <c r="PU10" s="497">
        <v>1208.459729701</v>
      </c>
      <c r="PV10" s="497">
        <v>28.575856815999998</v>
      </c>
      <c r="PW10" s="497">
        <v>0</v>
      </c>
      <c r="PX10" s="497">
        <v>17.473979545000002</v>
      </c>
      <c r="PY10" s="497">
        <v>46.049836360999997</v>
      </c>
      <c r="PZ10" s="497">
        <v>56.530955586000005</v>
      </c>
      <c r="QA10" s="497">
        <v>0</v>
      </c>
      <c r="QB10" s="497">
        <v>61.930305668999999</v>
      </c>
      <c r="QC10" s="497">
        <v>118.461261255</v>
      </c>
      <c r="QD10" s="497">
        <v>34.838693525000004</v>
      </c>
      <c r="QE10" s="497">
        <v>0</v>
      </c>
      <c r="QF10" s="497">
        <v>104.901251805</v>
      </c>
      <c r="QG10" s="497">
        <v>139.73994533000001</v>
      </c>
      <c r="QH10" s="497">
        <v>-67.081480741999997</v>
      </c>
      <c r="QI10" s="497">
        <v>0</v>
      </c>
      <c r="QJ10" s="497">
        <v>78.156617580999992</v>
      </c>
      <c r="QK10" s="497">
        <v>11.075136838999995</v>
      </c>
      <c r="QL10" s="497">
        <v>21.01</v>
      </c>
      <c r="QM10" s="497">
        <v>0</v>
      </c>
      <c r="QN10" s="497">
        <v>95.799999999999983</v>
      </c>
      <c r="QO10" s="497">
        <v>116.80999999999999</v>
      </c>
      <c r="QP10" s="497">
        <v>0.7298926</v>
      </c>
      <c r="QQ10" s="497">
        <v>1.03623E-2</v>
      </c>
      <c r="QR10" s="497">
        <v>44.426344200000003</v>
      </c>
      <c r="QS10" s="497">
        <v>45.166599099999992</v>
      </c>
      <c r="QT10" s="497">
        <v>1.1287421999999998</v>
      </c>
      <c r="QU10" s="497">
        <v>4.0168300000000004E-2</v>
      </c>
      <c r="QV10" s="497">
        <v>70.484328800000014</v>
      </c>
      <c r="QW10" s="497">
        <v>71.653239299999996</v>
      </c>
      <c r="QX10" s="497">
        <v>0.98490800000000001</v>
      </c>
      <c r="QY10" s="497">
        <v>6.5718200000000004E-2</v>
      </c>
      <c r="QZ10" s="497">
        <v>104.0541724</v>
      </c>
      <c r="RA10" s="497">
        <v>105.1047986</v>
      </c>
      <c r="RB10" s="497">
        <v>1.7250544999999999</v>
      </c>
      <c r="RC10" s="497">
        <v>3.0996599999999996E-2</v>
      </c>
      <c r="RD10" s="497">
        <v>179.18464360000002</v>
      </c>
      <c r="RE10" s="497">
        <v>180.94069469999999</v>
      </c>
      <c r="RF10" s="497">
        <v>6.1911678999999999</v>
      </c>
      <c r="RG10" s="497">
        <v>0.267793</v>
      </c>
      <c r="RH10" s="497">
        <v>246.47938239999999</v>
      </c>
      <c r="RI10" s="497">
        <v>252.93834329999999</v>
      </c>
      <c r="RJ10" s="497">
        <v>6.8614113999999997</v>
      </c>
      <c r="RK10" s="497">
        <v>2.0594499999999998E-2</v>
      </c>
      <c r="RL10" s="497">
        <v>385.70448679999998</v>
      </c>
      <c r="RM10" s="497">
        <v>392.58649270000001</v>
      </c>
      <c r="RN10" s="497">
        <v>77.4746695515243</v>
      </c>
      <c r="RO10" s="497">
        <v>21.5197987749671</v>
      </c>
      <c r="RP10" s="497">
        <v>2501.60701081251</v>
      </c>
      <c r="RQ10" s="497">
        <v>2600.6014791390039</v>
      </c>
      <c r="RR10" s="497">
        <v>93.637468074998495</v>
      </c>
      <c r="RS10" s="497">
        <v>7.5651433174326055</v>
      </c>
      <c r="RT10" s="497">
        <v>3271.6906481397523</v>
      </c>
      <c r="RU10" s="497">
        <v>3372.8931778321885</v>
      </c>
      <c r="RV10" s="497">
        <v>126.03984170118109</v>
      </c>
      <c r="RW10" s="497">
        <v>7.8433895393043969</v>
      </c>
      <c r="RX10" s="497">
        <v>4022.2338127944631</v>
      </c>
      <c r="RY10" s="497">
        <v>4156.1170440349488</v>
      </c>
      <c r="RZ10" s="497">
        <v>195.29267685586234</v>
      </c>
      <c r="SA10" s="497">
        <v>8.7898413899318459</v>
      </c>
      <c r="SB10" s="497">
        <v>4678.2484298389472</v>
      </c>
      <c r="SC10" s="497">
        <v>4882.3309480847411</v>
      </c>
      <c r="SD10" s="497">
        <v>278.97940759130302</v>
      </c>
      <c r="SE10" s="497">
        <v>13.764909351840602</v>
      </c>
      <c r="SF10" s="497">
        <v>4518.2727430629657</v>
      </c>
      <c r="SG10" s="497">
        <v>4811.0170600061092</v>
      </c>
      <c r="SH10" s="497">
        <v>382.6450449586668</v>
      </c>
      <c r="SI10" s="497">
        <v>21.63332724254672</v>
      </c>
      <c r="SJ10" s="497">
        <v>5949.5234919296181</v>
      </c>
      <c r="SK10" s="497">
        <v>6353.8018641308327</v>
      </c>
      <c r="SL10" s="497">
        <v>35.933317000000002</v>
      </c>
      <c r="SM10" s="497">
        <v>16.560204200000001</v>
      </c>
      <c r="SN10" s="497">
        <v>1919.2078919</v>
      </c>
      <c r="SO10" s="497">
        <v>1971.7014131000001</v>
      </c>
      <c r="SP10" s="497">
        <v>42.0975058</v>
      </c>
      <c r="SQ10" s="497">
        <v>17.690224000000001</v>
      </c>
      <c r="SR10" s="497">
        <v>2148.8586759999998</v>
      </c>
      <c r="SS10" s="497">
        <v>2208.6464058000001</v>
      </c>
      <c r="ST10" s="497">
        <v>44.278272099999995</v>
      </c>
      <c r="SU10" s="497">
        <v>20.190038299999998</v>
      </c>
      <c r="SV10" s="497">
        <v>2424.0417398</v>
      </c>
      <c r="SW10" s="497">
        <v>2488.5100501999996</v>
      </c>
      <c r="SX10" s="497">
        <v>51.346031699999997</v>
      </c>
      <c r="SY10" s="497">
        <v>22.0802631</v>
      </c>
      <c r="SZ10" s="497">
        <v>2544.6686616000002</v>
      </c>
      <c r="TA10" s="497">
        <v>2618.0949563999993</v>
      </c>
      <c r="TB10" s="497">
        <v>71.753093808499997</v>
      </c>
      <c r="TC10" s="497">
        <v>21.805936599999999</v>
      </c>
      <c r="TD10" s="497">
        <v>2409.905652124</v>
      </c>
      <c r="TE10" s="497">
        <v>2503.4646825325003</v>
      </c>
      <c r="TF10" s="497">
        <v>77.787704399999996</v>
      </c>
      <c r="TG10" s="497">
        <v>24.246489399999998</v>
      </c>
      <c r="TH10" s="497">
        <v>2504.5870325999995</v>
      </c>
      <c r="TI10" s="497">
        <v>2606.6212264000001</v>
      </c>
      <c r="TJ10" s="497">
        <v>253.09191851096</v>
      </c>
      <c r="TK10" s="497">
        <v>15.6493864148641</v>
      </c>
      <c r="TL10" s="497">
        <v>1468.9451791414899</v>
      </c>
      <c r="TM10" s="497">
        <v>1737.6864840673179</v>
      </c>
      <c r="TN10" s="497">
        <v>200.4997410018288</v>
      </c>
      <c r="TO10" s="497">
        <v>12.251838432655925</v>
      </c>
      <c r="TP10" s="497">
        <v>1912.0713493020776</v>
      </c>
      <c r="TQ10" s="497">
        <v>2124.8229287365621</v>
      </c>
      <c r="TR10" s="497">
        <v>197.83715004337517</v>
      </c>
      <c r="TS10" s="497">
        <v>13.51368576517098</v>
      </c>
      <c r="TT10" s="497">
        <v>2456.8278489386812</v>
      </c>
      <c r="TU10" s="497">
        <v>2668.1786847472276</v>
      </c>
      <c r="TV10" s="497">
        <v>261.32708055549909</v>
      </c>
      <c r="TW10" s="497">
        <v>19.756103099667857</v>
      </c>
      <c r="TX10" s="497">
        <v>3149.6951767703517</v>
      </c>
      <c r="TY10" s="497">
        <v>3430.7783604255192</v>
      </c>
      <c r="TZ10" s="497">
        <v>358.8759824</v>
      </c>
      <c r="UA10" s="497">
        <v>26.103664600000002</v>
      </c>
      <c r="UB10" s="497">
        <v>3602.8409180902495</v>
      </c>
      <c r="UC10" s="497">
        <v>3987.8205650902501</v>
      </c>
      <c r="UD10" s="497">
        <v>430.60472460000005</v>
      </c>
      <c r="UE10" s="497">
        <v>50.854535200000001</v>
      </c>
      <c r="UF10" s="497">
        <v>4329.4362108999994</v>
      </c>
      <c r="UG10" s="497">
        <v>4810.8954706999994</v>
      </c>
      <c r="UH10" s="497">
        <v>21.2730131</v>
      </c>
      <c r="UI10" s="497">
        <v>1.1729722</v>
      </c>
      <c r="UJ10" s="497">
        <v>2193.4046721999998</v>
      </c>
      <c r="UK10" s="497">
        <v>2215.8506575000001</v>
      </c>
      <c r="UL10" s="497">
        <v>30.653946499999996</v>
      </c>
      <c r="UM10" s="497">
        <v>1.9260207</v>
      </c>
      <c r="UN10" s="497">
        <v>2492.7594763000002</v>
      </c>
      <c r="UO10" s="497">
        <v>2525.3394435</v>
      </c>
      <c r="UP10" s="497">
        <v>29.013032499999998</v>
      </c>
      <c r="UQ10" s="497">
        <v>1.8403384</v>
      </c>
      <c r="UR10" s="497">
        <v>2693.8690601000003</v>
      </c>
      <c r="US10" s="497">
        <v>2724.7224310000001</v>
      </c>
      <c r="UT10" s="497">
        <v>27.446629899999998</v>
      </c>
      <c r="UU10" s="497">
        <v>1.3665928000000001</v>
      </c>
      <c r="UV10" s="497">
        <v>2952.2882795</v>
      </c>
      <c r="UW10" s="497">
        <v>2981.1015022000001</v>
      </c>
      <c r="UX10" s="497">
        <v>33.414682900000003</v>
      </c>
      <c r="UY10" s="497">
        <v>1.1129581</v>
      </c>
      <c r="UZ10" s="497">
        <v>2800.9010496000001</v>
      </c>
      <c r="VA10" s="497">
        <v>2835.4286905999998</v>
      </c>
      <c r="VB10" s="497">
        <v>49.000000000000007</v>
      </c>
      <c r="VC10" s="497">
        <v>1.24</v>
      </c>
      <c r="VD10" s="497">
        <v>2525.6299999999997</v>
      </c>
      <c r="VE10" s="497">
        <v>2575.87</v>
      </c>
      <c r="VF10" s="497">
        <v>57.298700000000004</v>
      </c>
      <c r="VG10" s="497">
        <v>250.60509999999999</v>
      </c>
      <c r="VH10" s="497">
        <v>2398.6918000000001</v>
      </c>
      <c r="VI10" s="497">
        <v>2706.5956000000001</v>
      </c>
      <c r="VJ10" s="497">
        <v>92.014225100000019</v>
      </c>
      <c r="VK10" s="497">
        <v>268.17729880000002</v>
      </c>
      <c r="VL10" s="497">
        <v>3360.1122482999995</v>
      </c>
      <c r="VM10" s="497">
        <v>3720.3037721999999</v>
      </c>
      <c r="VN10" s="497">
        <v>145.98379729999999</v>
      </c>
      <c r="VO10" s="497">
        <v>304.98410690000003</v>
      </c>
      <c r="VP10" s="497">
        <v>4645.4083803000003</v>
      </c>
      <c r="VQ10" s="497">
        <v>5096.3762845000001</v>
      </c>
      <c r="VR10" s="497">
        <v>196.59794790000001</v>
      </c>
      <c r="VS10" s="497">
        <v>325.23726699999997</v>
      </c>
      <c r="VT10" s="497">
        <v>5069.7216632</v>
      </c>
      <c r="VU10" s="497">
        <v>5591.5568781000002</v>
      </c>
      <c r="VV10" s="497">
        <v>283.02025279999998</v>
      </c>
      <c r="VW10" s="497">
        <v>326.13610589999996</v>
      </c>
      <c r="VX10" s="497">
        <v>5249.6192099999998</v>
      </c>
      <c r="VY10" s="497">
        <v>5858.775568699999</v>
      </c>
      <c r="VZ10" s="497">
        <v>465.88517841099997</v>
      </c>
      <c r="WA10" s="497">
        <v>459.72570316100001</v>
      </c>
      <c r="WB10" s="497">
        <v>6973.312808276849</v>
      </c>
      <c r="WC10" s="497">
        <v>7898.9236898488489</v>
      </c>
      <c r="WD10" s="497">
        <v>70.445081599999995</v>
      </c>
      <c r="WE10" s="497">
        <v>7.2090730000000001</v>
      </c>
      <c r="WF10" s="497">
        <v>675.01563480000004</v>
      </c>
      <c r="WG10" s="497">
        <v>752.6697893999999</v>
      </c>
      <c r="WH10" s="497">
        <v>68.536607000000004</v>
      </c>
      <c r="WI10" s="497">
        <v>6.0136281</v>
      </c>
      <c r="WJ10" s="497">
        <v>1224.2625184999999</v>
      </c>
      <c r="WK10" s="497">
        <v>1298.8127536000002</v>
      </c>
      <c r="WL10" s="497">
        <v>71.750254299999995</v>
      </c>
      <c r="WM10" s="497">
        <v>6.0277182000000007</v>
      </c>
      <c r="WN10" s="497">
        <v>1314.2560323000002</v>
      </c>
      <c r="WO10" s="497">
        <v>1392.0340048</v>
      </c>
      <c r="WP10" s="497">
        <v>70.969184400000003</v>
      </c>
      <c r="WQ10" s="497">
        <v>6.6205811999999993</v>
      </c>
      <c r="WR10" s="497">
        <v>1376.4452706</v>
      </c>
      <c r="WS10" s="497">
        <v>1454.0350362000001</v>
      </c>
      <c r="WT10" s="497">
        <v>71.7481784</v>
      </c>
      <c r="WU10" s="497">
        <v>4.2378612999999996</v>
      </c>
      <c r="WV10" s="497">
        <v>1447.4670149000001</v>
      </c>
      <c r="WW10" s="497">
        <v>1523.4530546000003</v>
      </c>
      <c r="WX10" s="497">
        <v>73.381736899999993</v>
      </c>
      <c r="WY10" s="497">
        <v>5.1273626999999999</v>
      </c>
      <c r="WZ10" s="497">
        <v>1485.7168979999999</v>
      </c>
      <c r="XA10" s="497">
        <v>1564.2259976</v>
      </c>
      <c r="XB10" s="497">
        <v>1236.6573573737403</v>
      </c>
      <c r="XC10" s="497">
        <v>855.74625507065821</v>
      </c>
      <c r="XD10" s="497">
        <v>36124.446130513323</v>
      </c>
      <c r="XE10" s="497">
        <v>38216.849742957726</v>
      </c>
      <c r="XF10" s="497">
        <v>1385.4810940737489</v>
      </c>
      <c r="XG10" s="497">
        <v>846.21760404515442</v>
      </c>
      <c r="XH10" s="497">
        <v>42624.572766373021</v>
      </c>
      <c r="XI10" s="497">
        <v>44856.271382791929</v>
      </c>
      <c r="XJ10" s="497">
        <v>1560.5070312671141</v>
      </c>
      <c r="XK10" s="497">
        <v>996.4969553666881</v>
      </c>
      <c r="XL10" s="497">
        <v>52070.195382946782</v>
      </c>
      <c r="XM10" s="497">
        <v>54627.199369580587</v>
      </c>
      <c r="XN10" s="497">
        <v>2082.2766774391066</v>
      </c>
      <c r="XO10" s="497">
        <v>1141.7377266958563</v>
      </c>
      <c r="XP10" s="497">
        <v>62173.097091392425</v>
      </c>
      <c r="XQ10" s="497">
        <v>65397.111495527388</v>
      </c>
      <c r="XR10" s="497">
        <v>2801.46346484788</v>
      </c>
      <c r="XS10" s="497">
        <v>1145.201487989606</v>
      </c>
      <c r="XT10" s="497">
        <v>66311.933370753759</v>
      </c>
      <c r="XU10" s="497">
        <v>70258.598323591243</v>
      </c>
      <c r="XV10" s="497">
        <v>3636.353551452235</v>
      </c>
      <c r="XW10" s="497">
        <v>1534.6099843134411</v>
      </c>
      <c r="XX10" s="497">
        <v>75993.124356836735</v>
      </c>
      <c r="XY10" s="497">
        <v>81164.087892602402</v>
      </c>
      <c r="XZ10" s="497">
        <v>19.422248339999999</v>
      </c>
      <c r="YA10" s="497">
        <v>162.11231366040781</v>
      </c>
      <c r="YB10" s="497">
        <v>366.75518135036907</v>
      </c>
      <c r="YC10" s="497">
        <v>620.16340932321395</v>
      </c>
      <c r="YD10" s="497">
        <v>909.30044916103293</v>
      </c>
      <c r="YE10" s="497">
        <v>1259.9972601411803</v>
      </c>
      <c r="YF10" s="497">
        <v>312.43570139600098</v>
      </c>
      <c r="YG10" s="497">
        <v>517.17192248153697</v>
      </c>
      <c r="YH10" s="497">
        <v>723.42851363800003</v>
      </c>
      <c r="YI10" s="497">
        <v>1344.6657091954762</v>
      </c>
      <c r="YJ10" s="497">
        <v>1811.0720733000001</v>
      </c>
      <c r="YK10" s="497">
        <v>2075.6326641999999</v>
      </c>
      <c r="YL10" s="497">
        <v>2961.7933513810003</v>
      </c>
      <c r="YM10" s="497">
        <v>819.37124879999999</v>
      </c>
      <c r="YN10" s="497">
        <v>1168.5883302000002</v>
      </c>
      <c r="YO10" s="497">
        <v>1337.7055811</v>
      </c>
      <c r="YP10" s="497">
        <v>1762.3360196000001</v>
      </c>
      <c r="YQ10" s="497">
        <v>2154.5663128000001</v>
      </c>
      <c r="YR10" s="497">
        <v>76.037991426000005</v>
      </c>
      <c r="YS10" s="497">
        <v>194.572616626165</v>
      </c>
      <c r="YT10" s="497">
        <v>281.31373457399997</v>
      </c>
      <c r="YU10" s="497">
        <v>417.36397604900009</v>
      </c>
      <c r="YV10" s="497">
        <v>685.08289507121094</v>
      </c>
      <c r="YW10" s="497">
        <v>802.43399670212</v>
      </c>
      <c r="YX10" s="497">
        <v>1037.328872051356</v>
      </c>
      <c r="YY10" s="497">
        <v>418.58608623390103</v>
      </c>
      <c r="YZ10" s="497">
        <v>577.97553889491701</v>
      </c>
      <c r="ZA10" s="497">
        <v>605.80153677993394</v>
      </c>
      <c r="ZB10" s="497">
        <v>829.69074091594848</v>
      </c>
      <c r="ZC10" s="497">
        <v>1029.5601927173693</v>
      </c>
      <c r="ZD10" s="497">
        <v>1383.5349782309636</v>
      </c>
      <c r="ZE10" s="497">
        <v>2111.5230706062598</v>
      </c>
      <c r="ZF10" s="497">
        <v>1.4100061999999998</v>
      </c>
      <c r="ZG10" s="497">
        <v>5.4122000000000003</v>
      </c>
      <c r="ZH10" s="497">
        <v>14.23</v>
      </c>
      <c r="ZI10" s="497">
        <v>14.819999999999999</v>
      </c>
      <c r="ZJ10" s="497">
        <v>1577.2081384481899</v>
      </c>
      <c r="ZK10" s="497">
        <v>1973.85259207081</v>
      </c>
      <c r="ZL10" s="497">
        <v>2828.359426777</v>
      </c>
      <c r="ZM10" s="497">
        <v>3771.9265780700403</v>
      </c>
      <c r="ZN10" s="497">
        <v>4859.4600121000003</v>
      </c>
      <c r="ZO10" s="497">
        <v>4877.1565406</v>
      </c>
      <c r="ZP10" s="497">
        <v>10288.725328166229</v>
      </c>
      <c r="ZQ10" s="497">
        <f t="shared" si="8"/>
        <v>3203.6391663040918</v>
      </c>
      <c r="ZR10" s="497">
        <v>4451.5832486134286</v>
      </c>
      <c r="ZS10" s="497">
        <v>5938.7211065293423</v>
      </c>
      <c r="ZT10" s="497">
        <v>8492.7382051808345</v>
      </c>
      <c r="ZU10" s="497">
        <v>11165.317095311793</v>
      </c>
      <c r="ZV10" s="497">
        <v>10062.288628894115</v>
      </c>
      <c r="ZW10" s="497">
        <v>17674.187882346021</v>
      </c>
      <c r="ZX10" s="497">
        <v>2100.7266851313202</v>
      </c>
      <c r="ZY10" s="497">
        <v>2269.90022832764</v>
      </c>
      <c r="ZZ10" s="497">
        <v>2145.5267171</v>
      </c>
      <c r="AAA10" s="497">
        <v>1980.8898827940002</v>
      </c>
      <c r="AAB10" s="497">
        <v>2273.4241272680001</v>
      </c>
      <c r="AAC10" s="497">
        <v>7348.29</v>
      </c>
      <c r="AAD10" s="497">
        <v>7597.4033822197262</v>
      </c>
      <c r="AAE10" s="497">
        <v>1335.4068784999999</v>
      </c>
      <c r="AAF10" s="497">
        <v>1255.6194014</v>
      </c>
      <c r="AAG10" s="497">
        <v>1264.2727620000001</v>
      </c>
      <c r="AAH10" s="497">
        <v>1318.2135868</v>
      </c>
      <c r="AAI10" s="497">
        <v>1294.9266491000001</v>
      </c>
      <c r="AAJ10" s="497">
        <v>1394.5848458</v>
      </c>
      <c r="AAK10" s="497">
        <v>1473.1908754999999</v>
      </c>
      <c r="AAL10" s="497">
        <v>3436.1335636313202</v>
      </c>
      <c r="AAM10" s="497">
        <v>3525.5196297276398</v>
      </c>
      <c r="AAN10" s="497">
        <v>3409.7994791000001</v>
      </c>
      <c r="AAO10" s="497">
        <v>3299.1034695940002</v>
      </c>
      <c r="AAP10" s="497">
        <v>3568.350776368</v>
      </c>
      <c r="AAQ10" s="497">
        <v>8742.8748458000009</v>
      </c>
      <c r="AAR10" s="497">
        <v>9070.5942577197256</v>
      </c>
      <c r="AAS10" s="408"/>
      <c r="AAT10" s="408"/>
      <c r="AAU10" s="408"/>
      <c r="AAV10" s="408"/>
      <c r="AAW10" s="408"/>
      <c r="AAX10" s="408"/>
      <c r="AAY10" s="408"/>
      <c r="AAZ10" s="408"/>
      <c r="ABA10" s="408"/>
      <c r="ABB10" s="408"/>
      <c r="ABC10" s="408"/>
      <c r="ABD10" s="408"/>
      <c r="ABE10" s="408"/>
      <c r="ABF10" s="408"/>
      <c r="ABG10" s="408"/>
      <c r="ABH10" s="408"/>
      <c r="ABI10" s="408"/>
      <c r="ABJ10" s="408"/>
      <c r="ABK10" s="408"/>
      <c r="ABL10" s="408"/>
      <c r="ABM10" s="408"/>
      <c r="ABN10" s="408"/>
      <c r="ABO10" s="408"/>
      <c r="ABP10" s="408"/>
      <c r="ABQ10" s="408"/>
      <c r="ABR10" s="408"/>
      <c r="ABS10" s="408"/>
      <c r="ABT10" s="408"/>
      <c r="ABU10" s="408"/>
      <c r="ABV10" s="408"/>
      <c r="ABW10" s="408"/>
      <c r="ABX10" s="408"/>
    </row>
    <row r="11" spans="1:752" ht="15" customHeight="1" x14ac:dyDescent="0.25">
      <c r="A11" s="492" t="s">
        <v>242</v>
      </c>
      <c r="B11" s="495">
        <v>687.86500220000005</v>
      </c>
      <c r="C11" s="495">
        <v>104.7968699</v>
      </c>
      <c r="D11" s="495">
        <v>9489.7363851999999</v>
      </c>
      <c r="E11" s="495">
        <v>10282.398257299999</v>
      </c>
      <c r="F11" s="495">
        <v>396.55149999999998</v>
      </c>
      <c r="G11" s="495">
        <v>117.0929</v>
      </c>
      <c r="H11" s="495">
        <v>9993.0370999999996</v>
      </c>
      <c r="I11" s="495">
        <v>10506.681499999999</v>
      </c>
      <c r="J11" s="495">
        <v>864.01020879999999</v>
      </c>
      <c r="K11" s="495">
        <v>77.134619199999975</v>
      </c>
      <c r="L11" s="495">
        <v>11929.5328825</v>
      </c>
      <c r="M11" s="495">
        <v>12870.6777105</v>
      </c>
      <c r="N11" s="495">
        <v>389.86</v>
      </c>
      <c r="O11" s="495">
        <v>129.41999999999999</v>
      </c>
      <c r="P11" s="495">
        <v>10914.74</v>
      </c>
      <c r="Q11" s="495">
        <v>11434.02</v>
      </c>
      <c r="R11" s="495">
        <v>503.01159999999999</v>
      </c>
      <c r="S11" s="495">
        <v>77.285600000000002</v>
      </c>
      <c r="T11" s="495">
        <v>9669.6502999999993</v>
      </c>
      <c r="U11" s="495">
        <v>10249.947499999998</v>
      </c>
      <c r="V11" s="495">
        <v>557.65</v>
      </c>
      <c r="W11" s="495">
        <v>95.44</v>
      </c>
      <c r="X11" s="495">
        <v>9040.82</v>
      </c>
      <c r="Y11" s="495">
        <v>9693.91</v>
      </c>
      <c r="Z11" s="495">
        <v>821.6</v>
      </c>
      <c r="AA11" s="495">
        <v>131.91999999999999</v>
      </c>
      <c r="AB11" s="495">
        <v>11887.81</v>
      </c>
      <c r="AC11" s="495">
        <v>12841.33</v>
      </c>
      <c r="AD11" s="495">
        <v>1471.9653109670001</v>
      </c>
      <c r="AE11" s="495">
        <v>272.440262448</v>
      </c>
      <c r="AF11" s="495">
        <v>11396.780797702</v>
      </c>
      <c r="AG11" s="495">
        <v>13141.186371117001</v>
      </c>
      <c r="AH11" s="495">
        <v>1959.368705499</v>
      </c>
      <c r="AI11" s="495">
        <v>349.34184112499997</v>
      </c>
      <c r="AJ11" s="495">
        <v>13948.218183592</v>
      </c>
      <c r="AK11" s="495">
        <v>16256.928730216001</v>
      </c>
      <c r="AL11" s="495">
        <v>1510.4016256130001</v>
      </c>
      <c r="AM11" s="495">
        <v>226.16163565100001</v>
      </c>
      <c r="AN11" s="495">
        <v>15159.902503048999</v>
      </c>
      <c r="AO11" s="495">
        <v>16896.465764312998</v>
      </c>
      <c r="AP11" s="495">
        <v>2138.084263447</v>
      </c>
      <c r="AQ11" s="495">
        <v>345.436280318</v>
      </c>
      <c r="AR11" s="495">
        <v>18013.182071256</v>
      </c>
      <c r="AS11" s="495">
        <v>20496.702615021</v>
      </c>
      <c r="AT11" s="495">
        <v>1860.1290777839999</v>
      </c>
      <c r="AU11" s="495">
        <v>292.10701568399998</v>
      </c>
      <c r="AV11" s="495">
        <v>19360.382695067001</v>
      </c>
      <c r="AW11" s="495">
        <v>21512.618788535001</v>
      </c>
      <c r="AX11" s="495">
        <v>2233.7324167480001</v>
      </c>
      <c r="AY11" s="495">
        <v>309.267629107</v>
      </c>
      <c r="AZ11" s="495">
        <v>19543.959238785999</v>
      </c>
      <c r="BA11" s="495">
        <v>22086.959284641001</v>
      </c>
      <c r="BB11" s="495">
        <v>2114.8019030750002</v>
      </c>
      <c r="BC11" s="495">
        <v>372.096097757</v>
      </c>
      <c r="BD11" s="495">
        <v>26263.238111966999</v>
      </c>
      <c r="BE11" s="495">
        <v>28750.136112798999</v>
      </c>
      <c r="BF11" s="495">
        <v>435.33266190000001</v>
      </c>
      <c r="BG11" s="495">
        <v>216.84919489999999</v>
      </c>
      <c r="BH11" s="495">
        <v>5227.4097653999997</v>
      </c>
      <c r="BI11" s="495">
        <v>5879.5916221999996</v>
      </c>
      <c r="BJ11" s="495">
        <v>555.43339879999996</v>
      </c>
      <c r="BK11" s="495">
        <v>209.96362250000001</v>
      </c>
      <c r="BL11" s="495">
        <v>8632.7050036000001</v>
      </c>
      <c r="BM11" s="495">
        <v>9398.1020248999994</v>
      </c>
      <c r="BN11" s="495">
        <v>509.56630000000001</v>
      </c>
      <c r="BO11" s="495">
        <v>160.9051</v>
      </c>
      <c r="BP11" s="495">
        <v>7550.7422999999999</v>
      </c>
      <c r="BQ11" s="495">
        <v>8221.2137000000002</v>
      </c>
      <c r="BR11" s="495">
        <v>677.16474570000003</v>
      </c>
      <c r="BS11" s="495">
        <v>138.89579710000001</v>
      </c>
      <c r="BT11" s="495">
        <v>10432.022440700001</v>
      </c>
      <c r="BU11" s="495">
        <v>11248.0829835</v>
      </c>
      <c r="BV11" s="495">
        <v>533.67690000000005</v>
      </c>
      <c r="BW11" s="495">
        <v>191.41249999999999</v>
      </c>
      <c r="BX11" s="495">
        <v>10454.529</v>
      </c>
      <c r="BY11" s="495">
        <v>11179.618400000001</v>
      </c>
      <c r="BZ11" s="495">
        <v>394.69</v>
      </c>
      <c r="CA11" s="495">
        <v>156.25</v>
      </c>
      <c r="CB11" s="495">
        <v>9970.75</v>
      </c>
      <c r="CC11" s="495">
        <v>10521.69</v>
      </c>
      <c r="CD11" s="495">
        <v>478.64016659999999</v>
      </c>
      <c r="CE11" s="495">
        <v>176.30906049999999</v>
      </c>
      <c r="CF11" s="495">
        <v>12240.0241859</v>
      </c>
      <c r="CG11" s="495">
        <v>12894.973413</v>
      </c>
      <c r="CH11" s="495">
        <v>587.54026490000001</v>
      </c>
      <c r="CI11" s="495">
        <v>206.55713840000001</v>
      </c>
      <c r="CJ11" s="495">
        <v>8006.9949047</v>
      </c>
      <c r="CK11" s="495">
        <v>8801.0923079999993</v>
      </c>
      <c r="CL11" s="495">
        <v>874.75350000000003</v>
      </c>
      <c r="CM11" s="495">
        <v>186.00229999999999</v>
      </c>
      <c r="CN11" s="495">
        <v>11820.7565</v>
      </c>
      <c r="CO11" s="495">
        <v>12881.512299999999</v>
      </c>
      <c r="CP11" s="495">
        <v>845.47950000000003</v>
      </c>
      <c r="CQ11" s="495">
        <v>176.4966</v>
      </c>
      <c r="CR11" s="495">
        <v>11115.8388</v>
      </c>
      <c r="CS11" s="495">
        <v>12137.814899999999</v>
      </c>
      <c r="CT11" s="495">
        <v>687.41342810000003</v>
      </c>
      <c r="CU11" s="495">
        <v>218.3884017</v>
      </c>
      <c r="CV11" s="495">
        <v>13430.288297200001</v>
      </c>
      <c r="CW11" s="495">
        <v>14336.090127000001</v>
      </c>
      <c r="CX11" s="495">
        <v>1037.7526</v>
      </c>
      <c r="CY11" s="495">
        <v>134.28110000000001</v>
      </c>
      <c r="CZ11" s="495">
        <v>12773.2768</v>
      </c>
      <c r="DA11" s="495">
        <v>13945.3105</v>
      </c>
      <c r="DB11" s="495">
        <v>517.13</v>
      </c>
      <c r="DC11" s="495">
        <v>98.08</v>
      </c>
      <c r="DD11" s="495">
        <v>11686.91</v>
      </c>
      <c r="DE11" s="495">
        <v>12302.119999999999</v>
      </c>
      <c r="DF11" s="495">
        <v>531.98</v>
      </c>
      <c r="DG11" s="495">
        <v>179.58</v>
      </c>
      <c r="DH11" s="495">
        <v>12788.46</v>
      </c>
      <c r="DI11" s="495">
        <v>13500.019999999999</v>
      </c>
      <c r="DJ11" s="495">
        <f t="shared" si="0"/>
        <v>4025.415663447</v>
      </c>
      <c r="DK11" s="495">
        <f t="shared" si="1"/>
        <v>769.62928031800004</v>
      </c>
      <c r="DL11" s="495">
        <f t="shared" si="2"/>
        <v>47054.331171255995</v>
      </c>
      <c r="DM11" s="495">
        <f t="shared" si="3"/>
        <v>51849.376115021005</v>
      </c>
      <c r="DN11" s="495">
        <f t="shared" si="4"/>
        <v>4204.3733234840001</v>
      </c>
      <c r="DO11" s="495">
        <f t="shared" si="5"/>
        <v>739.41941278399986</v>
      </c>
      <c r="DP11" s="495">
        <f t="shared" si="6"/>
        <v>52796.053935766999</v>
      </c>
      <c r="DQ11" s="495">
        <f t="shared" si="7"/>
        <v>57739.846672034997</v>
      </c>
      <c r="DR11" s="495">
        <v>3729.4576344130001</v>
      </c>
      <c r="DS11" s="495">
        <v>640.69795485099996</v>
      </c>
      <c r="DT11" s="495">
        <v>45756.016485548993</v>
      </c>
      <c r="DU11" s="495">
        <v>50126.172074812996</v>
      </c>
      <c r="DV11" s="495">
        <v>3892.5224372470002</v>
      </c>
      <c r="DW11" s="495">
        <v>832.14047911799992</v>
      </c>
      <c r="DX11" s="495">
        <v>52790.232809155998</v>
      </c>
      <c r="DY11" s="495">
        <v>57514.895725520997</v>
      </c>
      <c r="DZ11" s="495">
        <v>3934.570177784</v>
      </c>
      <c r="EA11" s="495">
        <v>695.08621568399997</v>
      </c>
      <c r="EB11" s="495">
        <v>52257.838795067008</v>
      </c>
      <c r="EC11" s="495">
        <v>56887.495188535002</v>
      </c>
      <c r="ED11" s="495">
        <v>3703.2024167479999</v>
      </c>
      <c r="EE11" s="495">
        <v>659.03762910699993</v>
      </c>
      <c r="EF11" s="495">
        <v>50242.439238785999</v>
      </c>
      <c r="EG11" s="495">
        <v>54604.679284640995</v>
      </c>
      <c r="EH11" s="495">
        <v>3947.0220696749998</v>
      </c>
      <c r="EI11" s="495">
        <v>859.90515825699993</v>
      </c>
      <c r="EJ11" s="495">
        <v>63179.532297867001</v>
      </c>
      <c r="EK11" s="495">
        <v>67986.459525799</v>
      </c>
      <c r="EL11" s="495">
        <v>0</v>
      </c>
      <c r="EM11" s="495">
        <v>0</v>
      </c>
      <c r="EN11" s="495">
        <v>0.10150000000000001</v>
      </c>
      <c r="EO11" s="495">
        <v>0.10150000000000001</v>
      </c>
      <c r="EP11" s="495">
        <v>0</v>
      </c>
      <c r="EQ11" s="495">
        <v>0</v>
      </c>
      <c r="ER11" s="495">
        <v>28.609756964608099</v>
      </c>
      <c r="ES11" s="495">
        <v>28.609756964608099</v>
      </c>
      <c r="ET11" s="495">
        <v>0</v>
      </c>
      <c r="EU11" s="495">
        <v>0</v>
      </c>
      <c r="EV11" s="495">
        <v>99.362119236306896</v>
      </c>
      <c r="EW11" s="495">
        <v>99.362119236306896</v>
      </c>
      <c r="EX11" s="495">
        <v>4.6511019999999998E-3</v>
      </c>
      <c r="EY11" s="495">
        <v>0</v>
      </c>
      <c r="EZ11" s="495">
        <v>142.561259062</v>
      </c>
      <c r="FA11" s="495">
        <v>142.565910164</v>
      </c>
      <c r="FB11" s="495">
        <v>2.2961498E-2</v>
      </c>
      <c r="FC11" s="495">
        <v>0</v>
      </c>
      <c r="FD11" s="495">
        <v>436.71082943800002</v>
      </c>
      <c r="FE11" s="495">
        <v>436.73379093599999</v>
      </c>
      <c r="FF11" s="495">
        <v>55.032602300000001</v>
      </c>
      <c r="FG11" s="495">
        <v>56.670702800000001</v>
      </c>
      <c r="FH11" s="495">
        <v>3364.5904291000002</v>
      </c>
      <c r="FI11" s="495">
        <v>3476.2937342</v>
      </c>
      <c r="FJ11" s="495">
        <v>88.642399999999995</v>
      </c>
      <c r="FK11" s="495">
        <v>55.231499999999997</v>
      </c>
      <c r="FL11" s="495">
        <v>3898.6993000000002</v>
      </c>
      <c r="FM11" s="495">
        <v>4042.5732000000003</v>
      </c>
      <c r="FN11" s="495">
        <v>139.6888227</v>
      </c>
      <c r="FO11" s="495">
        <v>97.4950884</v>
      </c>
      <c r="FP11" s="495">
        <v>4573.2264814999999</v>
      </c>
      <c r="FQ11" s="495">
        <v>4810.4103925999998</v>
      </c>
      <c r="FR11" s="495">
        <v>182.23291789999999</v>
      </c>
      <c r="FS11" s="495">
        <v>78.836609300000006</v>
      </c>
      <c r="FT11" s="495">
        <v>5543.7194034000004</v>
      </c>
      <c r="FU11" s="495">
        <v>5804.7889306000006</v>
      </c>
      <c r="FV11" s="495">
        <v>146.62839539999999</v>
      </c>
      <c r="FW11" s="495">
        <v>70.342498199999994</v>
      </c>
      <c r="FX11" s="495">
        <v>4873.2582008999998</v>
      </c>
      <c r="FY11" s="495">
        <v>5090.2290944999995</v>
      </c>
      <c r="FZ11" s="495">
        <v>143.92670720000001</v>
      </c>
      <c r="GA11" s="495">
        <v>76.559002800000002</v>
      </c>
      <c r="GB11" s="495">
        <v>5455.5030960000004</v>
      </c>
      <c r="GC11" s="495">
        <v>5675.9888060000003</v>
      </c>
      <c r="GD11" s="495">
        <v>8.2889514275348208</v>
      </c>
      <c r="GE11" s="495">
        <v>12.982233619383701</v>
      </c>
      <c r="GF11" s="495">
        <v>967.65031477656305</v>
      </c>
      <c r="GG11" s="495">
        <v>988.92149982348155</v>
      </c>
      <c r="GH11" s="495">
        <v>6.0563501103331001</v>
      </c>
      <c r="GI11" s="495">
        <v>13.464240237548101</v>
      </c>
      <c r="GJ11" s="495">
        <v>987.211943343386</v>
      </c>
      <c r="GK11" s="495">
        <v>1006.73253369127</v>
      </c>
      <c r="GL11" s="495">
        <v>12.1562485735361</v>
      </c>
      <c r="GM11" s="495">
        <v>20.816523849702001</v>
      </c>
      <c r="GN11" s="495">
        <v>1043.70650007018</v>
      </c>
      <c r="GO11" s="495">
        <v>1076.679272493418</v>
      </c>
      <c r="GP11" s="495">
        <v>21.544731896875199</v>
      </c>
      <c r="GQ11" s="495">
        <v>61.762004433093502</v>
      </c>
      <c r="GR11" s="495">
        <v>1349.78858711922</v>
      </c>
      <c r="GS11" s="495">
        <v>1433.0953234491888</v>
      </c>
      <c r="GT11" s="495">
        <v>42.556059061873</v>
      </c>
      <c r="GU11" s="495">
        <v>37.982269889713102</v>
      </c>
      <c r="GV11" s="495">
        <v>1079.0014031721801</v>
      </c>
      <c r="GW11" s="495">
        <v>1159.539732123766</v>
      </c>
      <c r="GX11" s="495">
        <v>15.3181177</v>
      </c>
      <c r="GY11" s="495">
        <v>5.9270471999999996</v>
      </c>
      <c r="GZ11" s="495">
        <v>1617.7114744999999</v>
      </c>
      <c r="HA11" s="495">
        <v>1638.9566393999999</v>
      </c>
      <c r="HB11" s="495">
        <v>12.595000000000001</v>
      </c>
      <c r="HC11" s="495">
        <v>8.9449947999999999</v>
      </c>
      <c r="HD11" s="495">
        <v>2026.8226</v>
      </c>
      <c r="HE11" s="495">
        <v>2048.3625947999999</v>
      </c>
      <c r="HF11" s="495">
        <v>36.953499999999998</v>
      </c>
      <c r="HG11" s="495">
        <v>10.8666973</v>
      </c>
      <c r="HH11" s="495">
        <v>2287.6792059999998</v>
      </c>
      <c r="HI11" s="495">
        <v>2335.4994032999998</v>
      </c>
      <c r="HJ11" s="495">
        <v>40.547866300000003</v>
      </c>
      <c r="HK11" s="495">
        <v>11.518037100000001</v>
      </c>
      <c r="HL11" s="495">
        <v>2525.2109999999998</v>
      </c>
      <c r="HM11" s="495">
        <v>2577.2769033999998</v>
      </c>
      <c r="HN11" s="495">
        <v>41.552595099999998</v>
      </c>
      <c r="HO11" s="495">
        <v>18.543886499999999</v>
      </c>
      <c r="HP11" s="495">
        <v>2259.7311866</v>
      </c>
      <c r="HQ11" s="495">
        <v>2319.8276682000001</v>
      </c>
      <c r="HR11" s="495">
        <v>49.702919700000002</v>
      </c>
      <c r="HS11" s="495">
        <v>21.427019999999999</v>
      </c>
      <c r="HT11" s="495">
        <v>2344.8824682999998</v>
      </c>
      <c r="HU11" s="495">
        <v>2416.0124080000001</v>
      </c>
      <c r="HV11" s="495">
        <v>0</v>
      </c>
      <c r="HW11" s="495">
        <v>0</v>
      </c>
      <c r="HX11" s="495">
        <v>1.9299E-3</v>
      </c>
      <c r="HY11" s="495">
        <v>1.9299E-3</v>
      </c>
      <c r="HZ11" s="495">
        <v>1.456529991</v>
      </c>
      <c r="IA11" s="495">
        <v>2.363E-4</v>
      </c>
      <c r="IB11" s="495">
        <v>33.851475041999997</v>
      </c>
      <c r="IC11" s="495">
        <v>35.308241332999998</v>
      </c>
      <c r="ID11" s="495">
        <v>1.8263982000000001</v>
      </c>
      <c r="IE11" s="495">
        <v>6.5065799999999993E-2</v>
      </c>
      <c r="IF11" s="495">
        <v>104.26323795</v>
      </c>
      <c r="IG11" s="495">
        <v>106.15470195</v>
      </c>
      <c r="IH11" s="495">
        <v>2.3847586999999999</v>
      </c>
      <c r="II11" s="495">
        <v>0.57544879999999998</v>
      </c>
      <c r="IJ11" s="495">
        <v>162.80112881599999</v>
      </c>
      <c r="IK11" s="495">
        <v>165.76133631599998</v>
      </c>
      <c r="IL11" s="495">
        <v>2.6044361</v>
      </c>
      <c r="IM11" s="495">
        <v>0.59639819999999999</v>
      </c>
      <c r="IN11" s="495">
        <v>221.88053663700001</v>
      </c>
      <c r="IO11" s="495">
        <v>225.081370937</v>
      </c>
      <c r="IP11" s="495">
        <v>32.943210700000002</v>
      </c>
      <c r="IQ11" s="495">
        <v>30.599824900000002</v>
      </c>
      <c r="IR11" s="495">
        <v>777.54523670000003</v>
      </c>
      <c r="IS11" s="495">
        <v>841.08827230000009</v>
      </c>
      <c r="IT11" s="495">
        <v>30.605519600000001</v>
      </c>
      <c r="IU11" s="495">
        <v>24.476552099999999</v>
      </c>
      <c r="IV11" s="495">
        <v>914.26991080000005</v>
      </c>
      <c r="IW11" s="495">
        <v>969.35198249999996</v>
      </c>
      <c r="IX11" s="495">
        <v>44.7138554</v>
      </c>
      <c r="IY11" s="495">
        <v>35.2959788</v>
      </c>
      <c r="IZ11" s="495">
        <v>1003.0392473000001</v>
      </c>
      <c r="JA11" s="495">
        <v>1083.0490815000001</v>
      </c>
      <c r="JB11" s="495">
        <v>48.8568</v>
      </c>
      <c r="JC11" s="495">
        <v>30.6864983</v>
      </c>
      <c r="JD11" s="495">
        <v>1102.5811000000001</v>
      </c>
      <c r="JE11" s="495">
        <v>1182.1243983000002</v>
      </c>
      <c r="JF11" s="495">
        <v>78.238900000000001</v>
      </c>
      <c r="JG11" s="495">
        <v>41.923333900000003</v>
      </c>
      <c r="JH11" s="495">
        <v>1328.6357</v>
      </c>
      <c r="JI11" s="495">
        <v>1448.7979339000001</v>
      </c>
      <c r="JJ11" s="495">
        <v>105.8862373</v>
      </c>
      <c r="JK11" s="495">
        <v>41.365971700000003</v>
      </c>
      <c r="JL11" s="495">
        <v>1536.2171593</v>
      </c>
      <c r="JM11" s="495">
        <v>1683.4693683</v>
      </c>
      <c r="JN11" s="495">
        <v>0.18990000000000001</v>
      </c>
      <c r="JO11" s="495">
        <v>5.0000000000000001E-4</v>
      </c>
      <c r="JP11" s="495">
        <v>6.8228999999999997</v>
      </c>
      <c r="JQ11" s="495">
        <v>7.0133000000000001</v>
      </c>
      <c r="JR11" s="495">
        <v>7.8452393999999996</v>
      </c>
      <c r="JS11" s="495">
        <v>4.1564999999999996E-3</v>
      </c>
      <c r="JT11" s="495">
        <v>386.2609468</v>
      </c>
      <c r="JU11" s="495">
        <v>394.11034269999999</v>
      </c>
      <c r="JV11" s="495">
        <v>11.765499999999999</v>
      </c>
      <c r="JW11" s="495">
        <v>2.24E-2</v>
      </c>
      <c r="JX11" s="495">
        <v>919.18470000000002</v>
      </c>
      <c r="JY11" s="495">
        <v>930.97260000000006</v>
      </c>
      <c r="JZ11" s="495">
        <v>21.751643099999999</v>
      </c>
      <c r="KA11" s="495">
        <v>1.1451248999999999</v>
      </c>
      <c r="KB11" s="495">
        <v>1416.0677496999999</v>
      </c>
      <c r="KC11" s="495">
        <v>1438.9645177</v>
      </c>
      <c r="KD11" s="495">
        <v>29.389303699999999</v>
      </c>
      <c r="KE11" s="495">
        <v>0.31185859999999999</v>
      </c>
      <c r="KF11" s="495">
        <v>2489.9784036000001</v>
      </c>
      <c r="KG11" s="495">
        <v>2519.6795658999999</v>
      </c>
      <c r="KH11" s="495">
        <v>11.9762</v>
      </c>
      <c r="KI11" s="495">
        <v>14.472300000000001</v>
      </c>
      <c r="KJ11" s="495">
        <v>743.34889999999996</v>
      </c>
      <c r="KK11" s="495">
        <v>769.79739999999993</v>
      </c>
      <c r="KL11" s="495">
        <v>64.145300000000006</v>
      </c>
      <c r="KM11" s="495">
        <v>39.848500000000001</v>
      </c>
      <c r="KN11" s="495">
        <v>2122.6867999999999</v>
      </c>
      <c r="KO11" s="495">
        <v>2226.6806000000001</v>
      </c>
      <c r="KP11" s="495">
        <v>52.874200000000002</v>
      </c>
      <c r="KQ11" s="495">
        <v>56.225999999999999</v>
      </c>
      <c r="KR11" s="495">
        <v>2800.08</v>
      </c>
      <c r="KS11" s="495">
        <v>2909.1801999999998</v>
      </c>
      <c r="KT11" s="495">
        <v>102.13930000000001</v>
      </c>
      <c r="KU11" s="495">
        <v>58.95</v>
      </c>
      <c r="KV11" s="495">
        <v>3223.0558000000001</v>
      </c>
      <c r="KW11" s="495">
        <v>3384.1451000000002</v>
      </c>
      <c r="KX11" s="495">
        <v>179.56</v>
      </c>
      <c r="KY11" s="495">
        <v>71.87</v>
      </c>
      <c r="KZ11" s="495">
        <v>4600.62</v>
      </c>
      <c r="LA11" s="495">
        <v>4852.05</v>
      </c>
      <c r="LB11" s="495">
        <v>178.01484915940199</v>
      </c>
      <c r="LC11" s="495">
        <v>114.328294266078</v>
      </c>
      <c r="LD11" s="495">
        <v>5488.7150599791803</v>
      </c>
      <c r="LE11" s="495">
        <v>5781.0582034046602</v>
      </c>
      <c r="LF11" s="495">
        <v>84.650995600000002</v>
      </c>
      <c r="LG11" s="495">
        <v>161.23726540000001</v>
      </c>
      <c r="LH11" s="495">
        <v>4708.4431876999997</v>
      </c>
      <c r="LI11" s="495">
        <v>4954.3314486999998</v>
      </c>
      <c r="LJ11" s="495">
        <v>62.075415700000001</v>
      </c>
      <c r="LK11" s="495">
        <v>106.0779587</v>
      </c>
      <c r="LL11" s="495">
        <v>5146.5704244999997</v>
      </c>
      <c r="LM11" s="495">
        <v>5314.7237988999996</v>
      </c>
      <c r="LN11" s="495">
        <v>131.3631</v>
      </c>
      <c r="LO11" s="495">
        <v>198.85671840000001</v>
      </c>
      <c r="LP11" s="495">
        <v>5977.8977999999997</v>
      </c>
      <c r="LQ11" s="495">
        <v>6308.1176183999996</v>
      </c>
      <c r="LR11" s="495">
        <v>175.1576</v>
      </c>
      <c r="LS11" s="495">
        <v>167.27040700000001</v>
      </c>
      <c r="LT11" s="495">
        <v>6509.1489000000001</v>
      </c>
      <c r="LU11" s="495">
        <v>6851.5769070000006</v>
      </c>
      <c r="LV11" s="495">
        <v>306.86681670000002</v>
      </c>
      <c r="LW11" s="495">
        <v>216.80461149999999</v>
      </c>
      <c r="LX11" s="495">
        <v>6347.1417615</v>
      </c>
      <c r="LY11" s="495">
        <v>6870.8131897000003</v>
      </c>
      <c r="LZ11" s="495">
        <v>357.84</v>
      </c>
      <c r="MA11" s="495">
        <v>292.39</v>
      </c>
      <c r="MB11" s="495">
        <v>9131.67</v>
      </c>
      <c r="MC11" s="495">
        <v>9781.9</v>
      </c>
      <c r="MD11" s="495">
        <v>21.147670699999999</v>
      </c>
      <c r="ME11" s="495">
        <v>38.4062524</v>
      </c>
      <c r="MF11" s="495">
        <v>2818.1622424000002</v>
      </c>
      <c r="MG11" s="495">
        <v>2877.7161655</v>
      </c>
      <c r="MH11" s="495">
        <v>47.906436300000003</v>
      </c>
      <c r="MI11" s="495">
        <v>31.470350400000001</v>
      </c>
      <c r="MJ11" s="495">
        <v>2603.3311054999999</v>
      </c>
      <c r="MK11" s="495">
        <v>2682.7078922000001</v>
      </c>
      <c r="ML11" s="495">
        <v>30.581529799999998</v>
      </c>
      <c r="MM11" s="495">
        <v>41.310713100000001</v>
      </c>
      <c r="MN11" s="495">
        <v>3486.3306763000001</v>
      </c>
      <c r="MO11" s="495">
        <v>3558.2229192</v>
      </c>
      <c r="MP11" s="495">
        <v>27.0532</v>
      </c>
      <c r="MQ11" s="495">
        <v>47.108199999999997</v>
      </c>
      <c r="MR11" s="495">
        <v>4024.2150000000001</v>
      </c>
      <c r="MS11" s="495">
        <v>4098.3764000000001</v>
      </c>
      <c r="MT11" s="495">
        <v>51.869272299999999</v>
      </c>
      <c r="MU11" s="495">
        <v>51.453290600000003</v>
      </c>
      <c r="MV11" s="495">
        <v>4065.6386627000002</v>
      </c>
      <c r="MW11" s="495">
        <v>4168.9612256</v>
      </c>
      <c r="MX11" s="495">
        <v>79.323819599999993</v>
      </c>
      <c r="MY11" s="495">
        <v>120.269972</v>
      </c>
      <c r="MZ11" s="495">
        <v>5037.3061487000004</v>
      </c>
      <c r="NA11" s="495">
        <v>5236.8999402999998</v>
      </c>
      <c r="NB11" s="495">
        <v>-3.7873900000000002E-2</v>
      </c>
      <c r="NC11" s="495">
        <v>0</v>
      </c>
      <c r="ND11" s="495">
        <v>24.052226000000001</v>
      </c>
      <c r="NE11" s="495">
        <v>24.0143521</v>
      </c>
      <c r="NF11" s="495">
        <v>0.92258929999999995</v>
      </c>
      <c r="NG11" s="495">
        <v>0</v>
      </c>
      <c r="NH11" s="495">
        <v>82.107801800000004</v>
      </c>
      <c r="NI11" s="495">
        <v>83.030391100000003</v>
      </c>
      <c r="NJ11" s="495">
        <v>2.9164096000000002</v>
      </c>
      <c r="NK11" s="495">
        <v>0</v>
      </c>
      <c r="NL11" s="495">
        <v>131.40338299999999</v>
      </c>
      <c r="NM11" s="495">
        <v>134.3197926</v>
      </c>
      <c r="NN11" s="495">
        <v>5.9547055000000002</v>
      </c>
      <c r="NO11" s="495">
        <v>0</v>
      </c>
      <c r="NP11" s="495">
        <v>194.1795912</v>
      </c>
      <c r="NQ11" s="495">
        <v>200.13429669999999</v>
      </c>
      <c r="NR11" s="495">
        <v>4.7610270999999997</v>
      </c>
      <c r="NS11" s="495">
        <v>1.382E-3</v>
      </c>
      <c r="NT11" s="495">
        <v>256.04331259999998</v>
      </c>
      <c r="NU11" s="495">
        <v>260.80572169999999</v>
      </c>
      <c r="NV11" s="495">
        <v>3.5017532</v>
      </c>
      <c r="NW11" s="495">
        <v>0.56125970000000003</v>
      </c>
      <c r="NX11" s="495">
        <v>367.38163969999999</v>
      </c>
      <c r="NY11" s="495">
        <v>371.44465259999998</v>
      </c>
      <c r="NZ11" s="495">
        <v>11.545406083</v>
      </c>
      <c r="OA11" s="495">
        <v>5.926695176</v>
      </c>
      <c r="OB11" s="495">
        <v>312.52156804640498</v>
      </c>
      <c r="OC11" s="495">
        <v>329.99366930540498</v>
      </c>
      <c r="OD11" s="495">
        <v>1.853240617</v>
      </c>
      <c r="OE11" s="495">
        <v>8.8910475760000001</v>
      </c>
      <c r="OF11" s="495">
        <v>392.34918682201999</v>
      </c>
      <c r="OG11" s="495">
        <v>403.09347501501998</v>
      </c>
      <c r="OH11" s="495">
        <v>7.9501565479999998</v>
      </c>
      <c r="OI11" s="495">
        <v>19.419295909999999</v>
      </c>
      <c r="OJ11" s="495">
        <v>563.67950015199995</v>
      </c>
      <c r="OK11" s="495">
        <v>591.0489526099999</v>
      </c>
      <c r="OL11" s="495">
        <v>0.17981784000000101</v>
      </c>
      <c r="OM11" s="495">
        <v>13.868257528999999</v>
      </c>
      <c r="ON11" s="495">
        <v>826.54019110499996</v>
      </c>
      <c r="OO11" s="495">
        <v>840.58826647399997</v>
      </c>
      <c r="OP11" s="495">
        <v>12.065975932000001</v>
      </c>
      <c r="OQ11" s="495">
        <v>15.210939497</v>
      </c>
      <c r="OR11" s="495">
        <v>759.10214884899995</v>
      </c>
      <c r="OS11" s="495">
        <v>786.37906427799999</v>
      </c>
      <c r="OT11" s="495">
        <v>2.16384569</v>
      </c>
      <c r="OU11" s="495">
        <v>35.238331043999999</v>
      </c>
      <c r="OV11" s="495">
        <v>804.16279104099999</v>
      </c>
      <c r="OW11" s="495">
        <v>841.56496777500001</v>
      </c>
      <c r="OX11" s="495">
        <v>2.3368972639192398</v>
      </c>
      <c r="OY11" s="495">
        <v>2.0947393763409301</v>
      </c>
      <c r="OZ11" s="495">
        <v>254.30416951661701</v>
      </c>
      <c r="PA11" s="495">
        <v>258.73580615687717</v>
      </c>
      <c r="PB11" s="495">
        <v>6.8353999674902104</v>
      </c>
      <c r="PC11" s="495">
        <v>0.55919996557413898</v>
      </c>
      <c r="PD11" s="495">
        <v>270.02562711143401</v>
      </c>
      <c r="PE11" s="495">
        <v>277.42022704449897</v>
      </c>
      <c r="PF11" s="495">
        <v>5.7523720291057501</v>
      </c>
      <c r="PG11" s="495">
        <v>2.19712401960544</v>
      </c>
      <c r="PH11" s="495">
        <v>263.73576986889299</v>
      </c>
      <c r="PI11" s="495">
        <v>271.68526591760417</v>
      </c>
      <c r="PJ11" s="495">
        <v>5.750241880321</v>
      </c>
      <c r="PK11" s="495">
        <v>1.6308911451382899</v>
      </c>
      <c r="PL11" s="495">
        <v>590.04069121340297</v>
      </c>
      <c r="PM11" s="495">
        <v>597.4218242388622</v>
      </c>
      <c r="PN11" s="495">
        <v>19.0699083474112</v>
      </c>
      <c r="PO11" s="495">
        <v>3.93445508553059</v>
      </c>
      <c r="PP11" s="495">
        <v>583.59979231794705</v>
      </c>
      <c r="PQ11" s="495">
        <v>606.60415575088882</v>
      </c>
      <c r="PR11" s="495">
        <v>9.69923628978</v>
      </c>
      <c r="PS11" s="495">
        <v>0.11899639365240899</v>
      </c>
      <c r="PT11" s="495">
        <v>617.82171257010202</v>
      </c>
      <c r="PU11" s="495">
        <v>627.63994525353496</v>
      </c>
      <c r="PV11" s="495">
        <v>0.493021547</v>
      </c>
      <c r="PW11" s="495">
        <v>0</v>
      </c>
      <c r="PX11" s="495">
        <v>1.331406232</v>
      </c>
      <c r="PY11" s="495">
        <v>1.8244277790000001</v>
      </c>
      <c r="PZ11" s="495">
        <v>6.4694385140000001</v>
      </c>
      <c r="QA11" s="495">
        <v>0</v>
      </c>
      <c r="QB11" s="495">
        <v>24.298181528000001</v>
      </c>
      <c r="QC11" s="495">
        <v>30.767620042000001</v>
      </c>
      <c r="QD11" s="495">
        <v>-4.0782051109999999</v>
      </c>
      <c r="QE11" s="495">
        <v>0</v>
      </c>
      <c r="QF11" s="495">
        <v>85.512099370000001</v>
      </c>
      <c r="QG11" s="495">
        <v>81.433894258999999</v>
      </c>
      <c r="QH11" s="495">
        <v>0.96063419100000003</v>
      </c>
      <c r="QI11" s="495">
        <v>0</v>
      </c>
      <c r="QJ11" s="495">
        <v>55.347180917000003</v>
      </c>
      <c r="QK11" s="495">
        <v>56.307815108</v>
      </c>
      <c r="QL11" s="495">
        <v>-0.79</v>
      </c>
      <c r="QM11" s="495">
        <v>0</v>
      </c>
      <c r="QN11" s="495">
        <v>59.44</v>
      </c>
      <c r="QO11" s="495">
        <v>58.65</v>
      </c>
      <c r="QP11" s="495">
        <v>1.0436076999999999</v>
      </c>
      <c r="QQ11" s="495">
        <v>-4.9125000000000002E-3</v>
      </c>
      <c r="QR11" s="495">
        <v>24.799991899999998</v>
      </c>
      <c r="QS11" s="495">
        <v>25.838687099999998</v>
      </c>
      <c r="QT11" s="495">
        <v>-0.42405379999999998</v>
      </c>
      <c r="QU11" s="495">
        <v>8.6172000000000002E-3</v>
      </c>
      <c r="QV11" s="495">
        <v>46.439345400000001</v>
      </c>
      <c r="QW11" s="495">
        <v>46.023908800000001</v>
      </c>
      <c r="QX11" s="495">
        <v>2.24636E-2</v>
      </c>
      <c r="QY11" s="495">
        <v>7.8744999999999996E-3</v>
      </c>
      <c r="QZ11" s="495">
        <v>74.753888799999999</v>
      </c>
      <c r="RA11" s="495">
        <v>74.784226899999993</v>
      </c>
      <c r="RB11" s="495">
        <v>0.32170910000000003</v>
      </c>
      <c r="RC11" s="495">
        <v>-5.3420999999999998E-3</v>
      </c>
      <c r="RD11" s="495">
        <v>85.625011200000003</v>
      </c>
      <c r="RE11" s="495">
        <v>85.941378200000003</v>
      </c>
      <c r="RF11" s="495">
        <v>0.97378900000000002</v>
      </c>
      <c r="RG11" s="495">
        <v>5.1083299999999998E-2</v>
      </c>
      <c r="RH11" s="495">
        <v>158.06827469999999</v>
      </c>
      <c r="RI11" s="495">
        <v>159.09314699999999</v>
      </c>
      <c r="RJ11" s="495">
        <v>2.5493096</v>
      </c>
      <c r="RK11" s="495">
        <v>-3.1946200000000001E-2</v>
      </c>
      <c r="RL11" s="495">
        <v>238.70353030000001</v>
      </c>
      <c r="RM11" s="495">
        <v>241.2208937</v>
      </c>
      <c r="RN11" s="495">
        <v>67.704437200000001</v>
      </c>
      <c r="RO11" s="495">
        <v>18.4029892</v>
      </c>
      <c r="RP11" s="495">
        <v>1840.612398</v>
      </c>
      <c r="RQ11" s="495">
        <v>1926.7198244000001</v>
      </c>
      <c r="RR11" s="495">
        <v>47.153129681999999</v>
      </c>
      <c r="RS11" s="495">
        <v>6.2781743861533101</v>
      </c>
      <c r="RT11" s="495">
        <v>2365.7050174546898</v>
      </c>
      <c r="RU11" s="495">
        <v>2419.1363215228498</v>
      </c>
      <c r="RV11" s="495">
        <v>56.424006957330199</v>
      </c>
      <c r="RW11" s="495">
        <v>13.016229877873</v>
      </c>
      <c r="RX11" s="495">
        <v>2961.8633873771901</v>
      </c>
      <c r="RY11" s="495">
        <v>3031.3036242123931</v>
      </c>
      <c r="RZ11" s="495">
        <v>62.580977287491798</v>
      </c>
      <c r="SA11" s="495">
        <v>7.0034109921655796</v>
      </c>
      <c r="SB11" s="495">
        <v>3342.33854065894</v>
      </c>
      <c r="SC11" s="495">
        <v>3411.9229289385976</v>
      </c>
      <c r="SD11" s="495">
        <v>136.29277282124201</v>
      </c>
      <c r="SE11" s="495">
        <v>14.428459147233699</v>
      </c>
      <c r="SF11" s="495">
        <v>2762.7041789374198</v>
      </c>
      <c r="SG11" s="495">
        <v>2913.4254109058957</v>
      </c>
      <c r="SH11" s="495">
        <v>131.44134187017099</v>
      </c>
      <c r="SI11" s="495">
        <v>17.439843431855099</v>
      </c>
      <c r="SJ11" s="495">
        <v>3831.0979228553801</v>
      </c>
      <c r="SK11" s="495">
        <v>3979.9791081574099</v>
      </c>
      <c r="SL11" s="495">
        <v>11.683117899999999</v>
      </c>
      <c r="SM11" s="495">
        <v>7.4477190000000002</v>
      </c>
      <c r="SN11" s="495">
        <v>1325.5463881999999</v>
      </c>
      <c r="SO11" s="495">
        <v>1344.6772251</v>
      </c>
      <c r="SP11" s="495">
        <v>13.3895473</v>
      </c>
      <c r="SQ11" s="495">
        <v>7.4548959000000004</v>
      </c>
      <c r="SR11" s="495">
        <v>1539.5286364999999</v>
      </c>
      <c r="SS11" s="495">
        <v>1560.3730797000001</v>
      </c>
      <c r="ST11" s="495">
        <v>24.040823799999998</v>
      </c>
      <c r="SU11" s="495">
        <v>15.838263700000001</v>
      </c>
      <c r="SV11" s="495">
        <v>1814.9729354000001</v>
      </c>
      <c r="SW11" s="495">
        <v>1854.8520229000001</v>
      </c>
      <c r="SX11" s="495">
        <v>19.9735233</v>
      </c>
      <c r="SY11" s="495">
        <v>11.7758626</v>
      </c>
      <c r="SZ11" s="495">
        <v>1907.1248267000001</v>
      </c>
      <c r="TA11" s="495">
        <v>1938.8742126000002</v>
      </c>
      <c r="TB11" s="495">
        <v>33.314873800000001</v>
      </c>
      <c r="TC11" s="495">
        <v>9.3789817000000006</v>
      </c>
      <c r="TD11" s="495">
        <v>1657.9473657999999</v>
      </c>
      <c r="TE11" s="495">
        <v>1700.6412212999999</v>
      </c>
      <c r="TF11" s="495">
        <v>18.672437200000001</v>
      </c>
      <c r="TG11" s="495">
        <v>17.7990052</v>
      </c>
      <c r="TH11" s="495">
        <v>1791.9229605</v>
      </c>
      <c r="TI11" s="495">
        <v>1828.3944028999999</v>
      </c>
      <c r="TJ11" s="495">
        <v>69.265978782999994</v>
      </c>
      <c r="TK11" s="495">
        <v>13.794513945</v>
      </c>
      <c r="TL11" s="495">
        <v>1024.4621526809999</v>
      </c>
      <c r="TM11" s="495">
        <v>1107.522645409</v>
      </c>
      <c r="TN11" s="495">
        <v>58.366383059999997</v>
      </c>
      <c r="TO11" s="495">
        <v>8.8793855879999999</v>
      </c>
      <c r="TP11" s="495">
        <v>1249.2011350913599</v>
      </c>
      <c r="TQ11" s="495">
        <v>1316.4469037393601</v>
      </c>
      <c r="TR11" s="495">
        <v>113.692365599</v>
      </c>
      <c r="TS11" s="495">
        <v>13.769299132</v>
      </c>
      <c r="TT11" s="495">
        <v>1593.1094842555001</v>
      </c>
      <c r="TU11" s="495">
        <v>1720.5711489865</v>
      </c>
      <c r="TV11" s="495">
        <v>110.186253459</v>
      </c>
      <c r="TW11" s="495">
        <v>12.805819199</v>
      </c>
      <c r="TX11" s="495">
        <v>2032.2955533527099</v>
      </c>
      <c r="TY11" s="495">
        <v>2155.28762601071</v>
      </c>
      <c r="TZ11" s="495">
        <v>150.64053995</v>
      </c>
      <c r="UA11" s="495">
        <v>31.0492436</v>
      </c>
      <c r="UB11" s="495">
        <v>2405.0540355558701</v>
      </c>
      <c r="UC11" s="495">
        <v>2586.74381910587</v>
      </c>
      <c r="UD11" s="495">
        <v>187.5804</v>
      </c>
      <c r="UE11" s="495">
        <v>55.1312</v>
      </c>
      <c r="UF11" s="495">
        <v>3437.4745337050499</v>
      </c>
      <c r="UG11" s="495">
        <v>3680.18613370505</v>
      </c>
      <c r="UH11" s="495">
        <v>5.7243079999999997</v>
      </c>
      <c r="UI11" s="495">
        <v>1.2117754000000001</v>
      </c>
      <c r="UJ11" s="495">
        <v>1718.5572317000001</v>
      </c>
      <c r="UK11" s="495">
        <v>1725.4933151</v>
      </c>
      <c r="UL11" s="495">
        <v>8.6816613999999994</v>
      </c>
      <c r="UM11" s="495">
        <v>1.0702735999999999</v>
      </c>
      <c r="UN11" s="495">
        <v>1729.2455771</v>
      </c>
      <c r="UO11" s="495">
        <v>1738.9975121</v>
      </c>
      <c r="UP11" s="495">
        <v>9.8681994999999993</v>
      </c>
      <c r="UQ11" s="495">
        <v>0.68517280000000003</v>
      </c>
      <c r="UR11" s="495">
        <v>1395.7672514999999</v>
      </c>
      <c r="US11" s="495">
        <v>1406.3206238</v>
      </c>
      <c r="UT11" s="495">
        <v>0.73079479999999997</v>
      </c>
      <c r="UU11" s="495">
        <v>-0.20255380000000001</v>
      </c>
      <c r="UV11" s="495">
        <v>1475.8631389</v>
      </c>
      <c r="UW11" s="495">
        <v>1476.3913798999999</v>
      </c>
      <c r="UX11" s="495">
        <v>8.7221790000000006</v>
      </c>
      <c r="UY11" s="495">
        <v>-0.20488919999999999</v>
      </c>
      <c r="UZ11" s="495">
        <v>1673.7149711</v>
      </c>
      <c r="VA11" s="495">
        <v>1682.2322609</v>
      </c>
      <c r="VB11" s="495">
        <v>8.77</v>
      </c>
      <c r="VC11" s="495">
        <v>0.12</v>
      </c>
      <c r="VD11" s="495">
        <v>1289.58</v>
      </c>
      <c r="VE11" s="495">
        <v>1298.47</v>
      </c>
      <c r="VF11" s="495">
        <v>27.159700000000001</v>
      </c>
      <c r="VG11" s="495">
        <v>149.35730000000001</v>
      </c>
      <c r="VH11" s="495">
        <v>1564.598</v>
      </c>
      <c r="VI11" s="495">
        <v>1741.115</v>
      </c>
      <c r="VJ11" s="495">
        <v>24.177305079000099</v>
      </c>
      <c r="VK11" s="495">
        <v>191.79529765699999</v>
      </c>
      <c r="VL11" s="495">
        <v>2150.0979523139999</v>
      </c>
      <c r="VM11" s="495">
        <v>2366.0705550500002</v>
      </c>
      <c r="VN11" s="495">
        <v>79.756027500000002</v>
      </c>
      <c r="VO11" s="495">
        <v>240.17824229999999</v>
      </c>
      <c r="VP11" s="495">
        <v>3266.4324422</v>
      </c>
      <c r="VQ11" s="495">
        <v>3586.366712</v>
      </c>
      <c r="VR11" s="495">
        <v>97.207800000000006</v>
      </c>
      <c r="VS11" s="495">
        <v>220.84289999999999</v>
      </c>
      <c r="VT11" s="495">
        <v>3440.1592000000001</v>
      </c>
      <c r="VU11" s="495">
        <v>3758.2098999999998</v>
      </c>
      <c r="VV11" s="495">
        <v>96.253304999999997</v>
      </c>
      <c r="VW11" s="495">
        <v>232.81773630000001</v>
      </c>
      <c r="VX11" s="495">
        <v>3060.0266075999998</v>
      </c>
      <c r="VY11" s="495">
        <v>3389.0976489</v>
      </c>
      <c r="VZ11" s="495">
        <v>230.829924578</v>
      </c>
      <c r="WA11" s="495">
        <v>383.80155869800001</v>
      </c>
      <c r="WB11" s="495">
        <v>4359.4889932859996</v>
      </c>
      <c r="WC11" s="495">
        <v>4974.1204765619996</v>
      </c>
      <c r="WD11" s="495">
        <v>15.227913900000001</v>
      </c>
      <c r="WE11" s="495">
        <v>2.9043416999999998</v>
      </c>
      <c r="WF11" s="495">
        <v>451.6128693</v>
      </c>
      <c r="WG11" s="495">
        <v>469.74512490000001</v>
      </c>
      <c r="WH11" s="495">
        <v>17.1017905</v>
      </c>
      <c r="WI11" s="495">
        <v>5.8718683</v>
      </c>
      <c r="WJ11" s="495">
        <v>651.05943609999997</v>
      </c>
      <c r="WK11" s="495">
        <v>674.03309490000004</v>
      </c>
      <c r="WL11" s="495">
        <v>20.739636600000001</v>
      </c>
      <c r="WM11" s="495">
        <v>4.9958936999999999</v>
      </c>
      <c r="WN11" s="495">
        <v>853.93818429999999</v>
      </c>
      <c r="WO11" s="495">
        <v>879.67371460000004</v>
      </c>
      <c r="WP11" s="495">
        <v>24.8992112</v>
      </c>
      <c r="WQ11" s="495">
        <v>3.5131188</v>
      </c>
      <c r="WR11" s="495">
        <v>935.128694</v>
      </c>
      <c r="WS11" s="495">
        <v>963.54102399999999</v>
      </c>
      <c r="WT11" s="495">
        <v>32.305463500000002</v>
      </c>
      <c r="WU11" s="495">
        <v>3.9328151</v>
      </c>
      <c r="WV11" s="495">
        <v>1149.7006575</v>
      </c>
      <c r="WW11" s="495">
        <v>1185.9389361000001</v>
      </c>
      <c r="WX11" s="495">
        <v>10.5111767</v>
      </c>
      <c r="WY11" s="495">
        <v>3.7639993999999999</v>
      </c>
      <c r="WZ11" s="495">
        <v>1041.2033422</v>
      </c>
      <c r="XA11" s="495">
        <v>1055.4785182999999</v>
      </c>
      <c r="XB11" s="495">
        <v>475.47924266413554</v>
      </c>
      <c r="XC11" s="495">
        <v>572.89726776139344</v>
      </c>
      <c r="XD11" s="495">
        <v>24722.655106121485</v>
      </c>
      <c r="XE11" s="495">
        <v>25771.031616547014</v>
      </c>
      <c r="XF11" s="495">
        <v>490.76633636282344</v>
      </c>
      <c r="XG11" s="495">
        <v>510.32335641027549</v>
      </c>
      <c r="XH11" s="495">
        <v>28183.609535968888</v>
      </c>
      <c r="XI11" s="495">
        <v>29184.699228742</v>
      </c>
      <c r="XJ11" s="495">
        <v>785.26492611197204</v>
      </c>
      <c r="XK11" s="495">
        <v>770.97950858918057</v>
      </c>
      <c r="XL11" s="495">
        <v>34564.636498358377</v>
      </c>
      <c r="XM11" s="495">
        <v>36120.880933059525</v>
      </c>
      <c r="XN11" s="495">
        <v>934.8311435526881</v>
      </c>
      <c r="XO11" s="495">
        <v>727.45158629839727</v>
      </c>
      <c r="XP11" s="495">
        <v>40315.337385405583</v>
      </c>
      <c r="XQ11" s="495">
        <v>41977.620115256665</v>
      </c>
      <c r="XR11" s="495">
        <v>1366.773560105526</v>
      </c>
      <c r="XS11" s="495">
        <v>821.24067081947737</v>
      </c>
      <c r="XT11" s="495">
        <v>40796.765578327424</v>
      </c>
      <c r="XU11" s="495">
        <v>42984.779809252417</v>
      </c>
      <c r="XV11" s="495">
        <v>1551.640659385353</v>
      </c>
      <c r="XW11" s="495">
        <v>1181.1907652335856</v>
      </c>
      <c r="XX11" s="495">
        <v>49981.141128111711</v>
      </c>
      <c r="XY11" s="495">
        <v>52713.972552730651</v>
      </c>
      <c r="XZ11" s="495">
        <v>14.92324101855</v>
      </c>
      <c r="YA11" s="495">
        <v>135.34671080045001</v>
      </c>
      <c r="YB11" s="495">
        <v>204.11105727573801</v>
      </c>
      <c r="YC11" s="495">
        <v>287.32571140312302</v>
      </c>
      <c r="YD11" s="495">
        <v>423.56797403219502</v>
      </c>
      <c r="YE11" s="495">
        <v>827.286140860611</v>
      </c>
      <c r="YF11" s="495">
        <v>164.71884789999999</v>
      </c>
      <c r="YG11" s="495">
        <v>244.50901260000001</v>
      </c>
      <c r="YH11" s="495">
        <v>353.21027600000002</v>
      </c>
      <c r="YI11" s="495">
        <v>602.67146060000005</v>
      </c>
      <c r="YJ11" s="495">
        <v>891.94470709999996</v>
      </c>
      <c r="YK11" s="495">
        <v>953.8162701</v>
      </c>
      <c r="YL11" s="495">
        <v>1633.7330562</v>
      </c>
      <c r="YM11" s="495">
        <v>500.64663230000002</v>
      </c>
      <c r="YN11" s="495">
        <v>605.59393820000003</v>
      </c>
      <c r="YO11" s="495">
        <v>789.87512949999996</v>
      </c>
      <c r="YP11" s="495">
        <v>1047.093292</v>
      </c>
      <c r="YQ11" s="495">
        <v>1406.2274288000001</v>
      </c>
      <c r="YR11" s="495">
        <v>55.807361133000001</v>
      </c>
      <c r="YS11" s="495">
        <v>87.499887209999997</v>
      </c>
      <c r="YT11" s="495">
        <v>123.20124903999999</v>
      </c>
      <c r="YU11" s="495">
        <v>243.13930084399999</v>
      </c>
      <c r="YV11" s="495">
        <v>310.31696837290002</v>
      </c>
      <c r="YW11" s="495">
        <v>385.954633339</v>
      </c>
      <c r="YX11" s="495">
        <v>628.38354219200005</v>
      </c>
      <c r="YY11" s="495">
        <v>234.022572251485</v>
      </c>
      <c r="YZ11" s="495">
        <v>282.81198452149999</v>
      </c>
      <c r="ZA11" s="495">
        <v>289.02258867289999</v>
      </c>
      <c r="ZB11" s="495">
        <v>355.64263044283399</v>
      </c>
      <c r="ZC11" s="495">
        <v>450.069100116524</v>
      </c>
      <c r="ZD11" s="495">
        <v>645.55510480099997</v>
      </c>
      <c r="ZE11" s="495">
        <v>1088.62589494545</v>
      </c>
      <c r="ZF11" s="495">
        <v>0.1842617</v>
      </c>
      <c r="ZG11" s="495">
        <v>2.1198999999999999</v>
      </c>
      <c r="ZH11" s="495">
        <v>0.74</v>
      </c>
      <c r="ZI11" s="495">
        <v>0.56999999999999995</v>
      </c>
      <c r="ZJ11" s="495">
        <v>814.55423759859002</v>
      </c>
      <c r="ZK11" s="495">
        <v>1156.708499823</v>
      </c>
      <c r="ZL11" s="495">
        <v>1692.0158192629999</v>
      </c>
      <c r="ZM11" s="495">
        <v>2297.5894655330198</v>
      </c>
      <c r="ZN11" s="495">
        <v>3087.4266756587999</v>
      </c>
      <c r="ZO11" s="495">
        <v>4369.4548134999995</v>
      </c>
      <c r="ZP11" s="495">
        <v>8539.9875094742401</v>
      </c>
      <c r="ZQ11" s="495">
        <f t="shared" si="8"/>
        <v>1769.749651183075</v>
      </c>
      <c r="ZR11" s="495">
        <v>2392.04656337305</v>
      </c>
      <c r="ZS11" s="495">
        <v>3382.67177327635</v>
      </c>
      <c r="ZT11" s="495">
        <v>4750.2472066955925</v>
      </c>
      <c r="ZU11" s="495">
        <v>6435.4304914513477</v>
      </c>
      <c r="ZV11" s="495">
        <v>6779.0887957721943</v>
      </c>
      <c r="ZW11" s="495">
        <v>12718.586143672301</v>
      </c>
      <c r="ZX11" s="495">
        <v>1855.942243559</v>
      </c>
      <c r="ZY11" s="495">
        <v>2399.21718141162</v>
      </c>
      <c r="ZZ11" s="495">
        <v>1819.2294858</v>
      </c>
      <c r="AAA11" s="495">
        <v>1523.6370838253799</v>
      </c>
      <c r="AAB11" s="495">
        <v>2131.0881900680001</v>
      </c>
      <c r="AAC11" s="495">
        <v>6296.77</v>
      </c>
      <c r="AAD11" s="495">
        <v>6600.7517600000001</v>
      </c>
      <c r="AAE11" s="495">
        <v>1000.6250179</v>
      </c>
      <c r="AAF11" s="495">
        <v>1056.6501813</v>
      </c>
      <c r="AAG11" s="495">
        <v>1138.588199</v>
      </c>
      <c r="AAH11" s="495">
        <v>1141.1619575</v>
      </c>
      <c r="AAI11" s="495">
        <v>958.62040049999996</v>
      </c>
      <c r="AAJ11" s="495">
        <v>884.52054859999998</v>
      </c>
      <c r="AAK11" s="495">
        <v>546.19293570000002</v>
      </c>
      <c r="AAL11" s="495">
        <v>2856.5672614589998</v>
      </c>
      <c r="AAM11" s="495">
        <v>3455.86736271162</v>
      </c>
      <c r="AAN11" s="495">
        <v>2957.8176848000003</v>
      </c>
      <c r="AAO11" s="495">
        <v>2664.7990413253801</v>
      </c>
      <c r="AAP11" s="495">
        <v>3089.7085905680001</v>
      </c>
      <c r="AAQ11" s="495">
        <v>7181.2905486</v>
      </c>
      <c r="AAR11" s="495">
        <v>7146.9446957</v>
      </c>
    </row>
    <row r="12" spans="1:752" ht="15" customHeight="1" x14ac:dyDescent="0.25">
      <c r="A12" s="492" t="s">
        <v>243</v>
      </c>
      <c r="B12" s="495">
        <v>73.178688399999999</v>
      </c>
      <c r="C12" s="495">
        <v>12.702046599999999</v>
      </c>
      <c r="D12" s="495">
        <v>533.97704069999998</v>
      </c>
      <c r="E12" s="495">
        <v>619.85777569999993</v>
      </c>
      <c r="F12" s="495">
        <v>82.5548</v>
      </c>
      <c r="G12" s="495">
        <v>15.2323</v>
      </c>
      <c r="H12" s="495">
        <v>191.43799999999999</v>
      </c>
      <c r="I12" s="495">
        <v>289.2251</v>
      </c>
      <c r="J12" s="495">
        <v>91.144078799999988</v>
      </c>
      <c r="K12" s="495">
        <v>18.772596199999999</v>
      </c>
      <c r="L12" s="495">
        <v>990.44836910000015</v>
      </c>
      <c r="M12" s="495">
        <v>1100.3650441000002</v>
      </c>
      <c r="N12" s="495">
        <v>69.73</v>
      </c>
      <c r="O12" s="495">
        <v>15.98</v>
      </c>
      <c r="P12" s="495">
        <v>731.51</v>
      </c>
      <c r="Q12" s="495">
        <v>817.22</v>
      </c>
      <c r="R12" s="495">
        <v>91.141099999999994</v>
      </c>
      <c r="S12" s="495">
        <v>8.6538000000000004</v>
      </c>
      <c r="T12" s="495">
        <v>704.36900000000003</v>
      </c>
      <c r="U12" s="495">
        <v>804.16390000000001</v>
      </c>
      <c r="V12" s="495">
        <v>107.83</v>
      </c>
      <c r="W12" s="495">
        <v>15.37</v>
      </c>
      <c r="X12" s="495">
        <v>844.24</v>
      </c>
      <c r="Y12" s="495">
        <v>967.44</v>
      </c>
      <c r="Z12" s="495">
        <v>102.23</v>
      </c>
      <c r="AA12" s="495">
        <v>10.46</v>
      </c>
      <c r="AB12" s="495">
        <v>719.11</v>
      </c>
      <c r="AC12" s="495">
        <v>831.8</v>
      </c>
      <c r="AD12" s="495">
        <v>381.55597863600002</v>
      </c>
      <c r="AE12" s="495">
        <v>48.002544708999999</v>
      </c>
      <c r="AF12" s="495">
        <v>974.18709184299996</v>
      </c>
      <c r="AG12" s="495">
        <v>1403.7456151880001</v>
      </c>
      <c r="AH12" s="495">
        <v>340.60424106200003</v>
      </c>
      <c r="AI12" s="495">
        <v>45.386560746000001</v>
      </c>
      <c r="AJ12" s="495">
        <v>937.14751607200003</v>
      </c>
      <c r="AK12" s="495">
        <v>1323.1383178800002</v>
      </c>
      <c r="AL12" s="495">
        <v>288.73972089300003</v>
      </c>
      <c r="AM12" s="495">
        <v>56.618329234000001</v>
      </c>
      <c r="AN12" s="495">
        <v>1478.651233029</v>
      </c>
      <c r="AO12" s="495">
        <v>1824.009283156</v>
      </c>
      <c r="AP12" s="495">
        <v>448.60830567800002</v>
      </c>
      <c r="AQ12" s="495">
        <v>61.341460253999998</v>
      </c>
      <c r="AR12" s="495">
        <v>1689.028972759</v>
      </c>
      <c r="AS12" s="495">
        <v>2198.9787386910002</v>
      </c>
      <c r="AT12" s="495">
        <v>432.17789103199999</v>
      </c>
      <c r="AU12" s="495">
        <v>72.708667742000003</v>
      </c>
      <c r="AV12" s="495">
        <v>1788.870955936</v>
      </c>
      <c r="AW12" s="495">
        <v>2293.7575147100001</v>
      </c>
      <c r="AX12" s="495">
        <v>559.733114753</v>
      </c>
      <c r="AY12" s="495">
        <v>60.420208262000003</v>
      </c>
      <c r="AZ12" s="495">
        <v>1846.4056402050001</v>
      </c>
      <c r="BA12" s="495">
        <v>2466.5589632199999</v>
      </c>
      <c r="BB12" s="495">
        <v>452.82408545300001</v>
      </c>
      <c r="BC12" s="495">
        <v>81.731184166000006</v>
      </c>
      <c r="BD12" s="495">
        <v>1758.391179316</v>
      </c>
      <c r="BE12" s="495">
        <v>2292.9464489349998</v>
      </c>
      <c r="BF12" s="495">
        <v>52.665915099999999</v>
      </c>
      <c r="BG12" s="495">
        <v>22.122445599999999</v>
      </c>
      <c r="BH12" s="495">
        <v>388.31139949999999</v>
      </c>
      <c r="BI12" s="495">
        <v>463.09976019999999</v>
      </c>
      <c r="BJ12" s="495">
        <v>68.695672900000005</v>
      </c>
      <c r="BK12" s="495">
        <v>24.6348132</v>
      </c>
      <c r="BL12" s="495">
        <v>406.92432930000001</v>
      </c>
      <c r="BM12" s="495">
        <v>500.25481539999998</v>
      </c>
      <c r="BN12" s="495">
        <v>96.070499999999996</v>
      </c>
      <c r="BO12" s="495">
        <v>21.514199999999999</v>
      </c>
      <c r="BP12" s="495">
        <v>519.61710000000005</v>
      </c>
      <c r="BQ12" s="495">
        <v>637.20180000000005</v>
      </c>
      <c r="BR12" s="495">
        <v>85.681270299999994</v>
      </c>
      <c r="BS12" s="495">
        <v>20.149596299999999</v>
      </c>
      <c r="BT12" s="495">
        <v>552.71171939999999</v>
      </c>
      <c r="BU12" s="495">
        <v>658.54258600000003</v>
      </c>
      <c r="BV12" s="495">
        <v>115.4102</v>
      </c>
      <c r="BW12" s="495">
        <v>21.277100000000001</v>
      </c>
      <c r="BX12" s="495">
        <v>680.42909999999995</v>
      </c>
      <c r="BY12" s="495">
        <v>817.11639999999989</v>
      </c>
      <c r="BZ12" s="495">
        <v>114.44</v>
      </c>
      <c r="CA12" s="495">
        <v>20.41</v>
      </c>
      <c r="CB12" s="495">
        <v>766.67</v>
      </c>
      <c r="CC12" s="495">
        <v>901.52</v>
      </c>
      <c r="CD12" s="495">
        <v>104.9149275</v>
      </c>
      <c r="CE12" s="495">
        <v>26.2393027</v>
      </c>
      <c r="CF12" s="495">
        <v>795.00174670000001</v>
      </c>
      <c r="CG12" s="495">
        <v>926.15597690000004</v>
      </c>
      <c r="CH12" s="495">
        <v>68.046548099999995</v>
      </c>
      <c r="CI12" s="495">
        <v>22.696312500000001</v>
      </c>
      <c r="CJ12" s="495">
        <v>422.6088891</v>
      </c>
      <c r="CK12" s="495">
        <v>513.35174970000003</v>
      </c>
      <c r="CL12" s="495">
        <v>85.042400000000001</v>
      </c>
      <c r="CM12" s="495">
        <v>27.295100000000001</v>
      </c>
      <c r="CN12" s="495">
        <v>513.92830000000004</v>
      </c>
      <c r="CO12" s="495">
        <v>626.26580000000001</v>
      </c>
      <c r="CP12" s="495">
        <v>90.287899999999993</v>
      </c>
      <c r="CQ12" s="495">
        <v>23.450199999999999</v>
      </c>
      <c r="CR12" s="495">
        <v>553.84910000000002</v>
      </c>
      <c r="CS12" s="495">
        <v>667.58720000000005</v>
      </c>
      <c r="CT12" s="495">
        <v>90.449977899999993</v>
      </c>
      <c r="CU12" s="495">
        <v>26.8928862</v>
      </c>
      <c r="CV12" s="495">
        <v>615.35998429999995</v>
      </c>
      <c r="CW12" s="495">
        <v>732.70284839999999</v>
      </c>
      <c r="CX12" s="495">
        <v>104.9563</v>
      </c>
      <c r="CY12" s="495">
        <v>22.0929</v>
      </c>
      <c r="CZ12" s="495">
        <v>637.65639999999996</v>
      </c>
      <c r="DA12" s="495">
        <v>764.7056</v>
      </c>
      <c r="DB12" s="495">
        <v>116.75</v>
      </c>
      <c r="DC12" s="495">
        <v>20.3</v>
      </c>
      <c r="DD12" s="495">
        <v>781.28</v>
      </c>
      <c r="DE12" s="495">
        <v>918.32999999999993</v>
      </c>
      <c r="DF12" s="495">
        <v>126.32</v>
      </c>
      <c r="DG12" s="495">
        <v>26.28</v>
      </c>
      <c r="DH12" s="495">
        <v>749.89</v>
      </c>
      <c r="DI12" s="495">
        <v>902.49</v>
      </c>
      <c r="DJ12" s="495">
        <f t="shared" si="0"/>
        <v>720.8623056780001</v>
      </c>
      <c r="DK12" s="495">
        <f t="shared" si="1"/>
        <v>118.80456025400001</v>
      </c>
      <c r="DL12" s="495">
        <f t="shared" si="2"/>
        <v>3426.9433727589999</v>
      </c>
      <c r="DM12" s="495">
        <f t="shared" si="3"/>
        <v>4266.6102386910006</v>
      </c>
      <c r="DN12" s="495">
        <f t="shared" si="4"/>
        <v>710.37706133200004</v>
      </c>
      <c r="DO12" s="495">
        <f t="shared" si="5"/>
        <v>126.76846404199999</v>
      </c>
      <c r="DP12" s="495">
        <f t="shared" si="6"/>
        <v>3614.5417753360002</v>
      </c>
      <c r="DQ12" s="495">
        <f t="shared" si="7"/>
        <v>4451.6873007100003</v>
      </c>
      <c r="DR12" s="495">
        <v>566.24219969299998</v>
      </c>
      <c r="DS12" s="495">
        <v>120.35532543399999</v>
      </c>
      <c r="DT12" s="495">
        <v>3542.5658021290001</v>
      </c>
      <c r="DU12" s="495">
        <v>4229.1633272560002</v>
      </c>
      <c r="DV12" s="495">
        <v>694.46955387800006</v>
      </c>
      <c r="DW12" s="495">
        <v>124.36394275400001</v>
      </c>
      <c r="DX12" s="495">
        <v>3588.6106764590004</v>
      </c>
      <c r="DY12" s="495">
        <v>4407.4441730910003</v>
      </c>
      <c r="DZ12" s="495">
        <v>743.68549103200007</v>
      </c>
      <c r="EA12" s="495">
        <v>124.73246774200001</v>
      </c>
      <c r="EB12" s="495">
        <v>3811.3254559359998</v>
      </c>
      <c r="EC12" s="495">
        <v>4679.7434147099993</v>
      </c>
      <c r="ED12" s="495">
        <v>898.75311475299998</v>
      </c>
      <c r="EE12" s="495">
        <v>116.500208262</v>
      </c>
      <c r="EF12" s="495">
        <v>4238.5956402049997</v>
      </c>
      <c r="EG12" s="495">
        <v>5253.8489632199999</v>
      </c>
      <c r="EH12" s="495">
        <v>786.289012953</v>
      </c>
      <c r="EI12" s="495">
        <v>144.71048686600002</v>
      </c>
      <c r="EJ12" s="495">
        <v>4022.3929260160003</v>
      </c>
      <c r="EK12" s="495">
        <v>4953.3924258349998</v>
      </c>
      <c r="EL12" s="495">
        <v>0</v>
      </c>
      <c r="EM12" s="495">
        <v>0</v>
      </c>
      <c r="EN12" s="495">
        <v>-6.7999999999999996E-3</v>
      </c>
      <c r="EO12" s="495">
        <v>-6.7999999999999996E-3</v>
      </c>
      <c r="EP12" s="495">
        <v>0</v>
      </c>
      <c r="EQ12" s="495">
        <v>0</v>
      </c>
      <c r="ER12" s="495">
        <v>-2.4674290996325601</v>
      </c>
      <c r="ES12" s="495">
        <v>-2.4674290996325601</v>
      </c>
      <c r="ET12" s="495">
        <v>0</v>
      </c>
      <c r="EU12" s="495">
        <v>0</v>
      </c>
      <c r="EV12" s="495">
        <v>-13.029114059745799</v>
      </c>
      <c r="EW12" s="495">
        <v>-13.029114059745799</v>
      </c>
      <c r="EX12" s="495">
        <v>-1.0679999999999999E-4</v>
      </c>
      <c r="EY12" s="495">
        <v>0</v>
      </c>
      <c r="EZ12" s="495">
        <v>-10.4595567</v>
      </c>
      <c r="FA12" s="495">
        <v>-10.4596635</v>
      </c>
      <c r="FB12" s="495">
        <v>-1.5750000000000001E-4</v>
      </c>
      <c r="FC12" s="495">
        <v>0</v>
      </c>
      <c r="FD12" s="495">
        <v>-36.249876114999999</v>
      </c>
      <c r="FE12" s="495">
        <v>-36.250033615</v>
      </c>
      <c r="FF12" s="495">
        <v>-10.2226602</v>
      </c>
      <c r="FG12" s="495">
        <v>6.7401526</v>
      </c>
      <c r="FH12" s="495">
        <v>39.108825699999997</v>
      </c>
      <c r="FI12" s="495">
        <v>35.626318099999999</v>
      </c>
      <c r="FJ12" s="495">
        <v>11.8895</v>
      </c>
      <c r="FK12" s="495">
        <v>13.5017</v>
      </c>
      <c r="FL12" s="495">
        <v>292.67989999999998</v>
      </c>
      <c r="FM12" s="495">
        <v>318.0711</v>
      </c>
      <c r="FN12" s="495">
        <v>-18.356777999999998</v>
      </c>
      <c r="FO12" s="495">
        <v>14.643296599999999</v>
      </c>
      <c r="FP12" s="495">
        <v>378.42861900000003</v>
      </c>
      <c r="FQ12" s="495">
        <v>374.71513760000005</v>
      </c>
      <c r="FR12" s="495">
        <v>-144.23547859999999</v>
      </c>
      <c r="FS12" s="495">
        <v>15.1058185</v>
      </c>
      <c r="FT12" s="495">
        <v>220.76337770000001</v>
      </c>
      <c r="FU12" s="495">
        <v>91.633717600000011</v>
      </c>
      <c r="FV12" s="495">
        <v>-162.34450659999999</v>
      </c>
      <c r="FW12" s="495">
        <v>8.4661135999999999</v>
      </c>
      <c r="FX12" s="495">
        <v>203.25095709999999</v>
      </c>
      <c r="FY12" s="495">
        <v>49.372564100000005</v>
      </c>
      <c r="FZ12" s="495">
        <v>-257.90610290000001</v>
      </c>
      <c r="GA12" s="495">
        <v>12.8469073</v>
      </c>
      <c r="GB12" s="495">
        <v>150.81289989999999</v>
      </c>
      <c r="GC12" s="495">
        <v>-94.246295700000005</v>
      </c>
      <c r="GD12" s="495">
        <v>-2.4379657942500002</v>
      </c>
      <c r="GE12" s="495">
        <v>1.44092435005</v>
      </c>
      <c r="GF12" s="495">
        <v>39.131476042045001</v>
      </c>
      <c r="GG12" s="495">
        <v>38.134434597845001</v>
      </c>
      <c r="GH12" s="495">
        <v>-2.614761348</v>
      </c>
      <c r="GI12" s="495">
        <v>1.2269614680000001</v>
      </c>
      <c r="GJ12" s="495">
        <v>62.831665932999996</v>
      </c>
      <c r="GK12" s="495">
        <v>61.443866053000001</v>
      </c>
      <c r="GL12" s="495">
        <v>-5.4596728074267</v>
      </c>
      <c r="GM12" s="495">
        <v>4.4215676035356104</v>
      </c>
      <c r="GN12" s="495">
        <v>54.486458241014198</v>
      </c>
      <c r="GO12" s="495">
        <v>53.448353037123105</v>
      </c>
      <c r="GP12" s="495">
        <v>-12.9446505471533</v>
      </c>
      <c r="GQ12" s="495">
        <v>5.7272030994999996</v>
      </c>
      <c r="GR12" s="495">
        <v>115.206363003311</v>
      </c>
      <c r="GS12" s="495">
        <v>107.9889155556577</v>
      </c>
      <c r="GT12" s="495">
        <v>-7.7489006649644896</v>
      </c>
      <c r="GU12" s="495">
        <v>2.6795046478833999</v>
      </c>
      <c r="GV12" s="495">
        <v>81.9603828059835</v>
      </c>
      <c r="GW12" s="495">
        <v>76.89098678890241</v>
      </c>
      <c r="GX12" s="495">
        <v>3.0616614000000002</v>
      </c>
      <c r="GY12" s="495">
        <v>-6.2676302000000002</v>
      </c>
      <c r="GZ12" s="495">
        <v>18.514939800000001</v>
      </c>
      <c r="HA12" s="495">
        <v>15.308971</v>
      </c>
      <c r="HB12" s="495">
        <v>0.76259999999999994</v>
      </c>
      <c r="HC12" s="495">
        <v>-4.6206969999999998</v>
      </c>
      <c r="HD12" s="495">
        <v>46.187199999999997</v>
      </c>
      <c r="HE12" s="495">
        <v>42.329102999999996</v>
      </c>
      <c r="HF12" s="495">
        <v>-51.7575</v>
      </c>
      <c r="HG12" s="495">
        <v>-5.0134517000000001</v>
      </c>
      <c r="HH12" s="495">
        <v>69.494500000000002</v>
      </c>
      <c r="HI12" s="495">
        <v>12.723548300000004</v>
      </c>
      <c r="HJ12" s="495">
        <v>-9.9075000000000006</v>
      </c>
      <c r="HK12" s="495">
        <v>-4.5368119</v>
      </c>
      <c r="HL12" s="495">
        <v>66.403000000000006</v>
      </c>
      <c r="HM12" s="495">
        <v>51.958688100000003</v>
      </c>
      <c r="HN12" s="495">
        <v>-18.619839875897998</v>
      </c>
      <c r="HO12" s="495">
        <v>-3.5187111730154301</v>
      </c>
      <c r="HP12" s="495">
        <v>77.002941984727997</v>
      </c>
      <c r="HQ12" s="495">
        <v>54.864390935814569</v>
      </c>
      <c r="HR12" s="495">
        <v>-48.098583252192803</v>
      </c>
      <c r="HS12" s="495">
        <v>-1.67073711789018</v>
      </c>
      <c r="HT12" s="495">
        <v>171.85588020823999</v>
      </c>
      <c r="HU12" s="495">
        <v>122.086559838157</v>
      </c>
      <c r="HV12" s="495">
        <v>0</v>
      </c>
      <c r="HW12" s="495">
        <v>0</v>
      </c>
      <c r="HX12" s="495">
        <v>-0.58887160000000005</v>
      </c>
      <c r="HY12" s="495">
        <v>-0.58887160000000005</v>
      </c>
      <c r="HZ12" s="495">
        <v>-0.25159920000000002</v>
      </c>
      <c r="IA12" s="495">
        <v>-2.1833E-3</v>
      </c>
      <c r="IB12" s="495">
        <v>-10.1310617</v>
      </c>
      <c r="IC12" s="495">
        <v>-10.3848442</v>
      </c>
      <c r="ID12" s="495">
        <v>-0.20079469999999999</v>
      </c>
      <c r="IE12" s="495">
        <v>-1.60789E-2</v>
      </c>
      <c r="IF12" s="495">
        <v>5.4054082004724702</v>
      </c>
      <c r="IG12" s="495">
        <v>5.1885346004724706</v>
      </c>
      <c r="IH12" s="495">
        <v>-0.29506389999999999</v>
      </c>
      <c r="II12" s="495">
        <v>1.8833099999999901E-2</v>
      </c>
      <c r="IJ12" s="495">
        <v>12.529043093</v>
      </c>
      <c r="IK12" s="495">
        <v>12.252812293</v>
      </c>
      <c r="IL12" s="495">
        <v>0.14577160036571199</v>
      </c>
      <c r="IM12" s="495">
        <v>2.1382499593381999E-2</v>
      </c>
      <c r="IN12" s="495">
        <v>3.9214427655070199</v>
      </c>
      <c r="IO12" s="495">
        <v>4.08859686546612</v>
      </c>
      <c r="IP12" s="495">
        <v>-1.7700404000000001</v>
      </c>
      <c r="IQ12" s="495">
        <v>6.1895661000000004</v>
      </c>
      <c r="IR12" s="495">
        <v>-36.940223199999998</v>
      </c>
      <c r="IS12" s="495">
        <v>-32.520697499999997</v>
      </c>
      <c r="IT12" s="495">
        <v>-2.4994755</v>
      </c>
      <c r="IU12" s="495">
        <v>6.2820838999999999</v>
      </c>
      <c r="IV12" s="495">
        <v>1.0398721</v>
      </c>
      <c r="IW12" s="495">
        <v>4.8224805000000002</v>
      </c>
      <c r="IX12" s="495">
        <v>1.5330116</v>
      </c>
      <c r="IY12" s="495">
        <v>8.0399419999999999</v>
      </c>
      <c r="IZ12" s="495">
        <v>63.909742899999998</v>
      </c>
      <c r="JA12" s="495">
        <v>73.482696500000003</v>
      </c>
      <c r="JB12" s="495">
        <v>6.9630000000000001</v>
      </c>
      <c r="JC12" s="495">
        <v>7.2546607999999999</v>
      </c>
      <c r="JD12" s="495">
        <v>74.566599999999994</v>
      </c>
      <c r="JE12" s="495">
        <v>88.784260799999998</v>
      </c>
      <c r="JF12" s="495">
        <v>-3.1208999999999998</v>
      </c>
      <c r="JG12" s="495">
        <v>7.3387137999999998</v>
      </c>
      <c r="JH12" s="495">
        <v>78.683300000000003</v>
      </c>
      <c r="JI12" s="495">
        <v>82.901113800000005</v>
      </c>
      <c r="JJ12" s="495">
        <v>-23.3395501</v>
      </c>
      <c r="JK12" s="495">
        <v>8.3679570999999999</v>
      </c>
      <c r="JL12" s="495">
        <v>50.763205800000001</v>
      </c>
      <c r="JM12" s="495">
        <v>35.791612800000003</v>
      </c>
      <c r="JN12" s="495">
        <v>-1.0526</v>
      </c>
      <c r="JO12" s="495">
        <v>-5.5999999999999999E-3</v>
      </c>
      <c r="JP12" s="495">
        <v>2.3216999999999999</v>
      </c>
      <c r="JQ12" s="495">
        <v>1.2634999999999998</v>
      </c>
      <c r="JR12" s="495">
        <v>-4.3302937999999997</v>
      </c>
      <c r="JS12" s="495">
        <v>-1.7691999999999999E-2</v>
      </c>
      <c r="JT12" s="495">
        <v>21.716470399999999</v>
      </c>
      <c r="JU12" s="495">
        <v>17.368484599999999</v>
      </c>
      <c r="JV12" s="495">
        <v>-11.4581</v>
      </c>
      <c r="JW12" s="495">
        <v>5.4999999999999997E-3</v>
      </c>
      <c r="JX12" s="495">
        <v>-8.08</v>
      </c>
      <c r="JY12" s="495">
        <v>-19.532600000000002</v>
      </c>
      <c r="JZ12" s="495">
        <v>-22.187443600000002</v>
      </c>
      <c r="KA12" s="495">
        <v>2.8654900000000001E-2</v>
      </c>
      <c r="KB12" s="495">
        <v>89.926140399999994</v>
      </c>
      <c r="KC12" s="495">
        <v>67.767351699999992</v>
      </c>
      <c r="KD12" s="495">
        <v>-27.395602400000001</v>
      </c>
      <c r="KE12" s="495">
        <v>-2.5723927</v>
      </c>
      <c r="KF12" s="495">
        <v>189.39220789999999</v>
      </c>
      <c r="KG12" s="495">
        <v>159.42421279999999</v>
      </c>
      <c r="KH12" s="495">
        <v>-5.9271000000000003</v>
      </c>
      <c r="KI12" s="495">
        <v>0.62529999999999997</v>
      </c>
      <c r="KJ12" s="495">
        <v>-147.11250000000001</v>
      </c>
      <c r="KK12" s="495">
        <v>-152.41430000000003</v>
      </c>
      <c r="KL12" s="495">
        <v>-18.343299999999999</v>
      </c>
      <c r="KM12" s="495">
        <v>3.3197000000000001</v>
      </c>
      <c r="KN12" s="495">
        <v>-253.40049999999999</v>
      </c>
      <c r="KO12" s="495">
        <v>-268.42410000000001</v>
      </c>
      <c r="KP12" s="495">
        <v>-54.983699999999999</v>
      </c>
      <c r="KQ12" s="495">
        <v>9.1923999999999992</v>
      </c>
      <c r="KR12" s="495">
        <v>-106.8</v>
      </c>
      <c r="KS12" s="495">
        <v>-152.59129999999999</v>
      </c>
      <c r="KT12" s="495">
        <v>-29.212800000000001</v>
      </c>
      <c r="KU12" s="495">
        <v>9.5319000000000003</v>
      </c>
      <c r="KV12" s="495">
        <v>-213.73840000000001</v>
      </c>
      <c r="KW12" s="495">
        <v>-233.41930000000002</v>
      </c>
      <c r="KX12" s="495">
        <v>-64.099999999999994</v>
      </c>
      <c r="KY12" s="495">
        <v>10.85</v>
      </c>
      <c r="KZ12" s="495">
        <v>-145.08000000000001</v>
      </c>
      <c r="LA12" s="495">
        <v>-198.33</v>
      </c>
      <c r="LB12" s="495">
        <v>-127.763410527869</v>
      </c>
      <c r="LC12" s="495">
        <v>16.623838902407801</v>
      </c>
      <c r="LD12" s="495">
        <v>-165.911824294718</v>
      </c>
      <c r="LE12" s="495">
        <v>-277.051395920179</v>
      </c>
      <c r="LF12" s="495">
        <v>-49.507615000000001</v>
      </c>
      <c r="LG12" s="495">
        <v>18.014888299999999</v>
      </c>
      <c r="LH12" s="495">
        <v>-402.63755570000001</v>
      </c>
      <c r="LI12" s="495">
        <v>-434.1302824</v>
      </c>
      <c r="LJ12" s="495">
        <v>-48.206351300000001</v>
      </c>
      <c r="LK12" s="495">
        <v>24.768294000000001</v>
      </c>
      <c r="LL12" s="495">
        <v>-260.5163958</v>
      </c>
      <c r="LM12" s="495">
        <v>-283.95445310000002</v>
      </c>
      <c r="LN12" s="495">
        <v>-25.912199999999999</v>
      </c>
      <c r="LO12" s="495">
        <v>31.7876409</v>
      </c>
      <c r="LP12" s="495">
        <v>217.02979999999999</v>
      </c>
      <c r="LQ12" s="495">
        <v>222.9052409</v>
      </c>
      <c r="LR12" s="495">
        <v>-28.572099999999999</v>
      </c>
      <c r="LS12" s="495">
        <v>32.589300600000001</v>
      </c>
      <c r="LT12" s="495">
        <v>359.97629999999998</v>
      </c>
      <c r="LU12" s="495">
        <v>363.9935006</v>
      </c>
      <c r="LV12" s="495">
        <v>-109.9262481</v>
      </c>
      <c r="LW12" s="495">
        <v>30.4254356</v>
      </c>
      <c r="LX12" s="495">
        <v>680.43471910000005</v>
      </c>
      <c r="LY12" s="495">
        <v>600.9339066</v>
      </c>
      <c r="LZ12" s="495">
        <v>-179.15</v>
      </c>
      <c r="MA12" s="495">
        <v>46.4</v>
      </c>
      <c r="MB12" s="495">
        <v>766.63</v>
      </c>
      <c r="MC12" s="495">
        <v>633.88</v>
      </c>
      <c r="MD12" s="495">
        <v>-37.790976299999997</v>
      </c>
      <c r="ME12" s="495">
        <v>-4.2607720999999996</v>
      </c>
      <c r="MF12" s="495">
        <v>-144.15753599999999</v>
      </c>
      <c r="MG12" s="495">
        <v>-186.2092844</v>
      </c>
      <c r="MH12" s="495">
        <v>-4.8603059999999996</v>
      </c>
      <c r="MI12" s="495">
        <v>-1.6064619</v>
      </c>
      <c r="MJ12" s="495">
        <v>119.5435142</v>
      </c>
      <c r="MK12" s="495">
        <v>113.0767463</v>
      </c>
      <c r="ML12" s="495">
        <v>-15.733637399999999</v>
      </c>
      <c r="MM12" s="495">
        <v>-2.1251167</v>
      </c>
      <c r="MN12" s="495">
        <v>231.54737220000001</v>
      </c>
      <c r="MO12" s="495">
        <v>213.68861810000001</v>
      </c>
      <c r="MP12" s="495">
        <v>-53.706200000000003</v>
      </c>
      <c r="MQ12" s="495">
        <v>-1.6135999999999999</v>
      </c>
      <c r="MR12" s="495">
        <v>220.68729999999999</v>
      </c>
      <c r="MS12" s="495">
        <v>165.36750000000001</v>
      </c>
      <c r="MT12" s="495">
        <v>-37.280028299999998</v>
      </c>
      <c r="MU12" s="495">
        <v>6.0892888999999997</v>
      </c>
      <c r="MV12" s="495">
        <v>244.3539983</v>
      </c>
      <c r="MW12" s="495">
        <v>213.16325890000002</v>
      </c>
      <c r="MX12" s="495">
        <v>-65.512332599999993</v>
      </c>
      <c r="MY12" s="495">
        <v>7.4762588000000001</v>
      </c>
      <c r="MZ12" s="495">
        <v>434.71467059999998</v>
      </c>
      <c r="NA12" s="495">
        <v>376.67859679999998</v>
      </c>
      <c r="NB12" s="495">
        <v>-6.8954100000000004E-2</v>
      </c>
      <c r="NC12" s="495">
        <v>0</v>
      </c>
      <c r="ND12" s="495">
        <v>3.7544689999999998</v>
      </c>
      <c r="NE12" s="495">
        <v>3.6855148999999998</v>
      </c>
      <c r="NF12" s="495">
        <v>-8.3733999999999805E-3</v>
      </c>
      <c r="NG12" s="495">
        <v>0</v>
      </c>
      <c r="NH12" s="495">
        <v>13.4176713</v>
      </c>
      <c r="NI12" s="495">
        <v>13.4092979</v>
      </c>
      <c r="NJ12" s="495">
        <v>0.42867919999999998</v>
      </c>
      <c r="NK12" s="495">
        <v>0</v>
      </c>
      <c r="NL12" s="495">
        <v>19.4961351</v>
      </c>
      <c r="NM12" s="495">
        <v>19.924814300000001</v>
      </c>
      <c r="NN12" s="495">
        <v>2.7172307</v>
      </c>
      <c r="NO12" s="495">
        <v>0</v>
      </c>
      <c r="NP12" s="495">
        <v>25.335882600000001</v>
      </c>
      <c r="NQ12" s="495">
        <v>28.0531133</v>
      </c>
      <c r="NR12" s="495">
        <v>-0.18602779999999999</v>
      </c>
      <c r="NS12" s="495">
        <v>6.5395999999999996E-3</v>
      </c>
      <c r="NT12" s="495">
        <v>29.518050899999999</v>
      </c>
      <c r="NU12" s="495">
        <v>29.338562699999997</v>
      </c>
      <c r="NV12" s="495">
        <v>-3.4387542999999998</v>
      </c>
      <c r="NW12" s="495">
        <v>0.3673554</v>
      </c>
      <c r="NX12" s="495">
        <v>26.2738485</v>
      </c>
      <c r="NY12" s="495">
        <v>23.202449600000001</v>
      </c>
      <c r="NZ12" s="495">
        <v>0.81781558499999996</v>
      </c>
      <c r="OA12" s="495">
        <v>0.89410928000000001</v>
      </c>
      <c r="OB12" s="495">
        <v>20.094161759999999</v>
      </c>
      <c r="OC12" s="495">
        <v>21.806086624999999</v>
      </c>
      <c r="OD12" s="495">
        <v>0.86871831899999996</v>
      </c>
      <c r="OE12" s="495">
        <v>1.4762897020000001</v>
      </c>
      <c r="OF12" s="495">
        <v>52.149544857999999</v>
      </c>
      <c r="OG12" s="495">
        <v>54.494552878999997</v>
      </c>
      <c r="OH12" s="495">
        <v>3.652106608</v>
      </c>
      <c r="OI12" s="495">
        <v>3.6674592979999998</v>
      </c>
      <c r="OJ12" s="495">
        <v>103.952920811</v>
      </c>
      <c r="OK12" s="495">
        <v>111.27248671699999</v>
      </c>
      <c r="OL12" s="495">
        <v>-3.2223928559999999</v>
      </c>
      <c r="OM12" s="495">
        <v>4.2572454930000001</v>
      </c>
      <c r="ON12" s="495">
        <v>141.92386362900001</v>
      </c>
      <c r="OO12" s="495">
        <v>142.95871626600001</v>
      </c>
      <c r="OP12" s="495">
        <v>-6.5520863020000002</v>
      </c>
      <c r="OQ12" s="495">
        <v>5.0348851879999996</v>
      </c>
      <c r="OR12" s="495">
        <v>126.212659426</v>
      </c>
      <c r="OS12" s="495">
        <v>124.695458312</v>
      </c>
      <c r="OT12" s="495">
        <v>-5.5903319099999997</v>
      </c>
      <c r="OU12" s="495">
        <v>6.3921479430000003</v>
      </c>
      <c r="OV12" s="495">
        <v>118.561915294</v>
      </c>
      <c r="OW12" s="495">
        <v>119.363731327</v>
      </c>
      <c r="OX12" s="495">
        <v>-0.37714516927989</v>
      </c>
      <c r="OY12" s="495">
        <v>-0.86710185547850005</v>
      </c>
      <c r="OZ12" s="495">
        <v>5.0783673037448196</v>
      </c>
      <c r="PA12" s="495">
        <v>3.8341202789864295</v>
      </c>
      <c r="PB12" s="495">
        <v>-4.5270000832319299</v>
      </c>
      <c r="PC12" s="495">
        <v>-1.09849989902961</v>
      </c>
      <c r="PD12" s="495">
        <v>-6.2275000841136601</v>
      </c>
      <c r="PE12" s="495">
        <v>-11.8530000663752</v>
      </c>
      <c r="PF12" s="495">
        <v>-4.16573973104303</v>
      </c>
      <c r="PG12" s="495">
        <v>-1.32643912978283</v>
      </c>
      <c r="PH12" s="495">
        <v>-23.4503901246241</v>
      </c>
      <c r="PI12" s="495">
        <v>-28.942568985449959</v>
      </c>
      <c r="PJ12" s="495">
        <v>-5.5120103</v>
      </c>
      <c r="PK12" s="495">
        <v>-0.9257571</v>
      </c>
      <c r="PL12" s="495">
        <v>-56.466119499999998</v>
      </c>
      <c r="PM12" s="495">
        <v>-62.903886899999996</v>
      </c>
      <c r="PN12" s="495">
        <v>-2.5260452450156499</v>
      </c>
      <c r="PO12" s="495">
        <v>-1.36956037778366</v>
      </c>
      <c r="PP12" s="495">
        <v>-51.356829533530501</v>
      </c>
      <c r="PQ12" s="495">
        <v>-55.25243515632981</v>
      </c>
      <c r="PR12" s="495">
        <v>-3.9192727999999999</v>
      </c>
      <c r="PS12" s="495">
        <v>-1.2066129000000001</v>
      </c>
      <c r="PT12" s="495">
        <v>-16.7047341</v>
      </c>
      <c r="PU12" s="495">
        <v>-21.830619800000001</v>
      </c>
      <c r="PV12" s="495">
        <v>9.4419302730000005</v>
      </c>
      <c r="PW12" s="495">
        <v>0</v>
      </c>
      <c r="PX12" s="495">
        <v>-19.739499013</v>
      </c>
      <c r="PY12" s="495">
        <v>-10.297568740000001</v>
      </c>
      <c r="PZ12" s="495">
        <v>-12.95686019</v>
      </c>
      <c r="QA12" s="495">
        <v>0</v>
      </c>
      <c r="QB12" s="495">
        <v>-27.096685741000002</v>
      </c>
      <c r="QC12" s="495">
        <v>-40.053545931000002</v>
      </c>
      <c r="QD12" s="495">
        <v>-4.5952335020000001</v>
      </c>
      <c r="QE12" s="495">
        <v>0</v>
      </c>
      <c r="QF12" s="495">
        <v>1.1472383939999999</v>
      </c>
      <c r="QG12" s="495">
        <v>-3.4479951080000002</v>
      </c>
      <c r="QH12" s="495">
        <v>6.1530193229999997</v>
      </c>
      <c r="QI12" s="495">
        <v>0</v>
      </c>
      <c r="QJ12" s="495">
        <v>-0.52031491100000005</v>
      </c>
      <c r="QK12" s="495">
        <v>5.6327044119999998</v>
      </c>
      <c r="QL12" s="495">
        <v>1.55</v>
      </c>
      <c r="QM12" s="495">
        <v>0</v>
      </c>
      <c r="QN12" s="495">
        <v>2.2200000000000002</v>
      </c>
      <c r="QO12" s="495">
        <v>3.7700000000000005</v>
      </c>
      <c r="QP12" s="495">
        <v>-3.9402399999999997E-2</v>
      </c>
      <c r="QQ12" s="495">
        <v>-2.2499999999999999E-4</v>
      </c>
      <c r="QR12" s="495">
        <v>5.2515573</v>
      </c>
      <c r="QS12" s="495">
        <v>5.2119299000000003</v>
      </c>
      <c r="QT12" s="495">
        <v>-0.1552017</v>
      </c>
      <c r="QU12" s="495">
        <v>3.7190000000000001E-3</v>
      </c>
      <c r="QV12" s="495">
        <v>5.3388472</v>
      </c>
      <c r="QW12" s="495">
        <v>5.1873645000000002</v>
      </c>
      <c r="QX12" s="495">
        <v>-5.3872400000000001E-2</v>
      </c>
      <c r="QY12" s="495">
        <v>3.4998E-3</v>
      </c>
      <c r="QZ12" s="495">
        <v>7.5096898000000003</v>
      </c>
      <c r="RA12" s="495">
        <v>7.4593172000000001</v>
      </c>
      <c r="RB12" s="495">
        <v>3.9611500000000001E-2</v>
      </c>
      <c r="RC12" s="495">
        <v>-1.1873000000000001E-3</v>
      </c>
      <c r="RD12" s="495">
        <v>11.0345768</v>
      </c>
      <c r="RE12" s="495">
        <v>11.073001</v>
      </c>
      <c r="RF12" s="495">
        <v>0.45815420000000001</v>
      </c>
      <c r="RG12" s="495">
        <v>2.7573299999999999E-2</v>
      </c>
      <c r="RH12" s="495">
        <v>32.971930700000001</v>
      </c>
      <c r="RI12" s="495">
        <v>33.457658200000004</v>
      </c>
      <c r="RJ12" s="495">
        <v>-0.11487609999999999</v>
      </c>
      <c r="RK12" s="495">
        <v>-1.9610999999999999E-3</v>
      </c>
      <c r="RL12" s="495">
        <v>44.818048400000002</v>
      </c>
      <c r="RM12" s="495">
        <v>44.701211200000003</v>
      </c>
      <c r="RN12" s="495">
        <v>-25.6036182</v>
      </c>
      <c r="RO12" s="495">
        <v>-3.3367874</v>
      </c>
      <c r="RP12" s="495">
        <v>-140.14326919999999</v>
      </c>
      <c r="RQ12" s="495">
        <v>-169.08367479999998</v>
      </c>
      <c r="RR12" s="495">
        <v>-4.1669045829999103</v>
      </c>
      <c r="RS12" s="495">
        <v>-4.0588140099999999</v>
      </c>
      <c r="RT12" s="495">
        <v>-49.347430493992697</v>
      </c>
      <c r="RU12" s="495">
        <v>-57.573149086992601</v>
      </c>
      <c r="RV12" s="495">
        <v>-0.83987923200000802</v>
      </c>
      <c r="RW12" s="495">
        <v>-3.1562448839999999</v>
      </c>
      <c r="RX12" s="495">
        <v>-7.8100253039997396</v>
      </c>
      <c r="RY12" s="495">
        <v>-11.806149419999748</v>
      </c>
      <c r="RZ12" s="495">
        <v>-60.952763069000099</v>
      </c>
      <c r="SA12" s="495">
        <v>-3.1100930450000202</v>
      </c>
      <c r="SB12" s="495">
        <v>-156.37471981499999</v>
      </c>
      <c r="SC12" s="495">
        <v>-220.4375759290001</v>
      </c>
      <c r="SD12" s="495">
        <v>-18.297409817999998</v>
      </c>
      <c r="SE12" s="495">
        <v>-1.4833392169999999</v>
      </c>
      <c r="SF12" s="495">
        <v>-160.354117107999</v>
      </c>
      <c r="SG12" s="495">
        <v>-180.13486614299899</v>
      </c>
      <c r="SH12" s="495">
        <v>-71.248422446000205</v>
      </c>
      <c r="SI12" s="495">
        <v>-2.02937354100002</v>
      </c>
      <c r="SJ12" s="495">
        <v>-75.050963737999197</v>
      </c>
      <c r="SK12" s="495">
        <v>-148.328759724999</v>
      </c>
      <c r="SL12" s="495">
        <v>-2.0618941</v>
      </c>
      <c r="SM12" s="495">
        <v>0.71542559999999999</v>
      </c>
      <c r="SN12" s="495">
        <v>61.253216000000002</v>
      </c>
      <c r="SO12" s="495">
        <v>59.906747500000002</v>
      </c>
      <c r="SP12" s="495">
        <v>-0.29693070000000099</v>
      </c>
      <c r="SQ12" s="495">
        <v>1.0464724999999999</v>
      </c>
      <c r="SR12" s="495">
        <v>51.393504499999999</v>
      </c>
      <c r="SS12" s="495">
        <v>52.143046300000002</v>
      </c>
      <c r="ST12" s="495">
        <v>2.18907000000002E-2</v>
      </c>
      <c r="SU12" s="495">
        <v>0.1646502</v>
      </c>
      <c r="SV12" s="495">
        <v>84.358745299999995</v>
      </c>
      <c r="SW12" s="495">
        <v>84.545286199999993</v>
      </c>
      <c r="SX12" s="495">
        <v>2.4179903</v>
      </c>
      <c r="SY12" s="495">
        <v>2.6933585</v>
      </c>
      <c r="SZ12" s="495">
        <v>146.5701736</v>
      </c>
      <c r="TA12" s="495">
        <v>151.68152240000001</v>
      </c>
      <c r="TB12" s="495">
        <v>-5.3085376000000002</v>
      </c>
      <c r="TC12" s="495">
        <v>2.5084748000000001</v>
      </c>
      <c r="TD12" s="495">
        <v>143.36554810000001</v>
      </c>
      <c r="TE12" s="495">
        <v>140.56548530000001</v>
      </c>
      <c r="TF12" s="495">
        <v>-12.1283615</v>
      </c>
      <c r="TG12" s="495">
        <v>3.3220774999999998</v>
      </c>
      <c r="TH12" s="495">
        <v>164.97159970000001</v>
      </c>
      <c r="TI12" s="495">
        <v>156.16531570000001</v>
      </c>
      <c r="TJ12" s="495">
        <v>-55.607482433000001</v>
      </c>
      <c r="TK12" s="495">
        <v>2.1164784399999998</v>
      </c>
      <c r="TL12" s="495">
        <v>74.620617568499995</v>
      </c>
      <c r="TM12" s="495">
        <v>21.129613575499995</v>
      </c>
      <c r="TN12" s="495">
        <v>-253.150489927</v>
      </c>
      <c r="TO12" s="495">
        <v>1.9126016379999999</v>
      </c>
      <c r="TP12" s="495">
        <v>110.477965924418</v>
      </c>
      <c r="TQ12" s="495">
        <v>-140.759922364582</v>
      </c>
      <c r="TR12" s="495">
        <v>-163.008106</v>
      </c>
      <c r="TS12" s="495">
        <v>2.3050896999999999</v>
      </c>
      <c r="TT12" s="495">
        <v>152.0527012</v>
      </c>
      <c r="TU12" s="495">
        <v>-8.6503151000000003</v>
      </c>
      <c r="TV12" s="495">
        <v>-225.70006609999999</v>
      </c>
      <c r="TW12" s="495">
        <v>3.3955332999999999</v>
      </c>
      <c r="TX12" s="495">
        <v>114.144622144</v>
      </c>
      <c r="TY12" s="495">
        <v>-108.15991065599998</v>
      </c>
      <c r="TZ12" s="495">
        <v>-245.4092</v>
      </c>
      <c r="UA12" s="495">
        <v>4.7815000000000003</v>
      </c>
      <c r="UB12" s="495">
        <v>93.828699999999898</v>
      </c>
      <c r="UC12" s="495">
        <v>-146.79900000000009</v>
      </c>
      <c r="UD12" s="495">
        <v>-170.17599999999999</v>
      </c>
      <c r="UE12" s="495">
        <v>9.9449000000000005</v>
      </c>
      <c r="UF12" s="495">
        <v>51.384000008637898</v>
      </c>
      <c r="UG12" s="495">
        <v>-108.847099991362</v>
      </c>
      <c r="UH12" s="495">
        <v>-0.4583122</v>
      </c>
      <c r="UI12" s="495">
        <v>-1.17327E-2</v>
      </c>
      <c r="UJ12" s="495">
        <v>18.549655699999999</v>
      </c>
      <c r="UK12" s="495">
        <v>18.079610799999998</v>
      </c>
      <c r="UL12" s="495">
        <v>-0.57716469999999997</v>
      </c>
      <c r="UM12" s="495">
        <v>0.1512608</v>
      </c>
      <c r="UN12" s="495">
        <v>57.035235399999998</v>
      </c>
      <c r="UO12" s="495">
        <v>56.609331500000003</v>
      </c>
      <c r="UP12" s="495">
        <v>3.2701389000000001</v>
      </c>
      <c r="UQ12" s="495">
        <v>0.1696897</v>
      </c>
      <c r="UR12" s="495">
        <v>77.632687599999997</v>
      </c>
      <c r="US12" s="495">
        <v>81.072516199999995</v>
      </c>
      <c r="UT12" s="495">
        <v>1.8933354</v>
      </c>
      <c r="UU12" s="495">
        <v>0.12639139999999999</v>
      </c>
      <c r="UV12" s="495">
        <v>121.4949726</v>
      </c>
      <c r="UW12" s="495">
        <v>123.5146994</v>
      </c>
      <c r="UX12" s="495">
        <v>3.607818</v>
      </c>
      <c r="UY12" s="495">
        <v>5.0254000000000002E-3</v>
      </c>
      <c r="UZ12" s="495">
        <v>105.5639254</v>
      </c>
      <c r="VA12" s="495">
        <v>109.1767688</v>
      </c>
      <c r="VB12" s="495">
        <v>4</v>
      </c>
      <c r="VC12" s="495">
        <v>0.1</v>
      </c>
      <c r="VD12" s="495">
        <v>83.04</v>
      </c>
      <c r="VE12" s="495">
        <v>87.14</v>
      </c>
      <c r="VF12" s="495">
        <v>-60.521299999999997</v>
      </c>
      <c r="VG12" s="495">
        <v>28.4893</v>
      </c>
      <c r="VH12" s="495">
        <v>84.915999999999997</v>
      </c>
      <c r="VI12" s="495">
        <v>52.884</v>
      </c>
      <c r="VJ12" s="495">
        <v>-44.168093900000002</v>
      </c>
      <c r="VK12" s="495">
        <v>41.201935300000002</v>
      </c>
      <c r="VL12" s="495">
        <v>157.47980870000001</v>
      </c>
      <c r="VM12" s="495">
        <v>154.51365010000001</v>
      </c>
      <c r="VN12" s="495">
        <v>-11.9260834</v>
      </c>
      <c r="VO12" s="495">
        <v>48.008749000000002</v>
      </c>
      <c r="VP12" s="495">
        <v>-8.02546270000005</v>
      </c>
      <c r="VQ12" s="495">
        <v>28.05720289999995</v>
      </c>
      <c r="VR12" s="495">
        <v>-141.44781979999999</v>
      </c>
      <c r="VS12" s="495">
        <v>44.904890100000003</v>
      </c>
      <c r="VT12" s="495">
        <v>66.342715494999894</v>
      </c>
      <c r="VU12" s="495">
        <v>-30.200214205000094</v>
      </c>
      <c r="VV12" s="495">
        <v>-107.964506</v>
      </c>
      <c r="VW12" s="495">
        <v>47.142219599999997</v>
      </c>
      <c r="VX12" s="495">
        <v>343.78200775099998</v>
      </c>
      <c r="VY12" s="495">
        <v>282.95972135099998</v>
      </c>
      <c r="VZ12" s="495">
        <v>-97.535884894000205</v>
      </c>
      <c r="WA12" s="495">
        <v>66.348432038000098</v>
      </c>
      <c r="WB12" s="495">
        <v>267.75011198331799</v>
      </c>
      <c r="WC12" s="495">
        <v>236.562659127318</v>
      </c>
      <c r="WD12" s="495">
        <v>3.1620518999999998</v>
      </c>
      <c r="WE12" s="495">
        <v>-2.2238551000000002</v>
      </c>
      <c r="WF12" s="495">
        <v>-2.4007309000000001</v>
      </c>
      <c r="WG12" s="495">
        <v>-1.4625341000000005</v>
      </c>
      <c r="WH12" s="495">
        <v>7.5798185</v>
      </c>
      <c r="WI12" s="495">
        <v>-1.0514938</v>
      </c>
      <c r="WJ12" s="495">
        <v>-60.463993973999997</v>
      </c>
      <c r="WK12" s="495">
        <v>-53.935669273999999</v>
      </c>
      <c r="WL12" s="495">
        <v>9.3755641000000001</v>
      </c>
      <c r="WM12" s="495">
        <v>-0.74414809999999998</v>
      </c>
      <c r="WN12" s="495">
        <v>57.790203400000003</v>
      </c>
      <c r="WO12" s="495">
        <v>66.421619399999997</v>
      </c>
      <c r="WP12" s="495">
        <v>4.6839930000000001</v>
      </c>
      <c r="WQ12" s="495">
        <v>-1.2984290000000001</v>
      </c>
      <c r="WR12" s="495">
        <v>47.046888799999998</v>
      </c>
      <c r="WS12" s="495">
        <v>50.4324528</v>
      </c>
      <c r="WT12" s="495">
        <v>2.9976533000000001</v>
      </c>
      <c r="WU12" s="495">
        <v>-1.9621033999999999</v>
      </c>
      <c r="WV12" s="495">
        <v>35.647203300000001</v>
      </c>
      <c r="WW12" s="495">
        <v>36.682753200000001</v>
      </c>
      <c r="WX12" s="495">
        <v>6.0878817999999999</v>
      </c>
      <c r="WY12" s="495">
        <v>-1.8286619</v>
      </c>
      <c r="WZ12" s="495">
        <v>62.668922999999999</v>
      </c>
      <c r="XA12" s="495">
        <v>66.928142899999997</v>
      </c>
      <c r="XB12" s="495">
        <v>-264.28916917174519</v>
      </c>
      <c r="XC12" s="495">
        <v>50.736355978550584</v>
      </c>
      <c r="XD12" s="495">
        <v>-711.53680866026605</v>
      </c>
      <c r="XE12" s="495">
        <v>-925.0896218534607</v>
      </c>
      <c r="XF12" s="495">
        <v>-354.08438604923185</v>
      </c>
      <c r="XG12" s="495">
        <v>82.449451698970392</v>
      </c>
      <c r="XH12" s="495">
        <v>321.60543915031172</v>
      </c>
      <c r="XI12" s="495">
        <v>49.970504800050158</v>
      </c>
      <c r="XJ12" s="495">
        <v>-351.45453105246975</v>
      </c>
      <c r="XK12" s="495">
        <v>110.01870898775277</v>
      </c>
      <c r="XL12" s="495">
        <v>1353.6249912827582</v>
      </c>
      <c r="XM12" s="495">
        <v>1112.1891692180409</v>
      </c>
      <c r="XN12" s="495">
        <v>-712.95274857415325</v>
      </c>
      <c r="XO12" s="495">
        <v>114.08984454749998</v>
      </c>
      <c r="XP12" s="495">
        <v>1290.3609295910378</v>
      </c>
      <c r="XQ12" s="495">
        <v>691.49802556438408</v>
      </c>
      <c r="XR12" s="495">
        <v>-798.65020578287806</v>
      </c>
      <c r="XS12" s="495">
        <v>117.0690482680843</v>
      </c>
      <c r="XT12" s="495">
        <v>2011.260690108182</v>
      </c>
      <c r="XU12" s="495">
        <v>1329.6795325933881</v>
      </c>
      <c r="XV12" s="495">
        <v>-1081.5339898296963</v>
      </c>
      <c r="XW12" s="495">
        <v>168.9015182241111</v>
      </c>
      <c r="XX12" s="495">
        <v>2295.8613558119855</v>
      </c>
      <c r="XY12" s="495">
        <v>1383.2288842064011</v>
      </c>
      <c r="XZ12" s="495">
        <v>3.2497007999999998</v>
      </c>
      <c r="YA12" s="495">
        <v>18.917370899725</v>
      </c>
      <c r="YB12" s="495">
        <v>47.451314424444398</v>
      </c>
      <c r="YC12" s="495">
        <v>51.504063000000002</v>
      </c>
      <c r="YD12" s="495">
        <v>49.4930207936115</v>
      </c>
      <c r="YE12" s="495">
        <v>19.067231400534801</v>
      </c>
      <c r="YF12" s="495">
        <v>-24.5818613</v>
      </c>
      <c r="YG12" s="495">
        <v>-43.0255923</v>
      </c>
      <c r="YH12" s="495">
        <v>-41.316681600000003</v>
      </c>
      <c r="YI12" s="495">
        <v>-31.419157299999998</v>
      </c>
      <c r="YJ12" s="495">
        <v>-22.170062300000001</v>
      </c>
      <c r="YK12" s="495">
        <v>26.608665500000001</v>
      </c>
      <c r="YL12" s="495">
        <v>110.1663065</v>
      </c>
      <c r="YM12" s="495">
        <v>50.189241799999998</v>
      </c>
      <c r="YN12" s="495">
        <v>94.894926299999995</v>
      </c>
      <c r="YO12" s="495">
        <v>111.3914068</v>
      </c>
      <c r="YP12" s="495">
        <v>136.97523810000001</v>
      </c>
      <c r="YQ12" s="495">
        <v>130.53397390000001</v>
      </c>
      <c r="YR12" s="495">
        <v>12.003094906999999</v>
      </c>
      <c r="YS12" s="495">
        <v>24.591200800999999</v>
      </c>
      <c r="YT12" s="495">
        <v>37.598956899000001</v>
      </c>
      <c r="YU12" s="495">
        <v>49.619437114999997</v>
      </c>
      <c r="YV12" s="495">
        <v>63.025081399000001</v>
      </c>
      <c r="YW12" s="495">
        <v>82.118782543999998</v>
      </c>
      <c r="YX12" s="495">
        <v>100.635199708</v>
      </c>
      <c r="YY12" s="495">
        <v>44.797335924596403</v>
      </c>
      <c r="YZ12" s="495">
        <v>58.9710295</v>
      </c>
      <c r="ZA12" s="495">
        <v>22.6726515445242</v>
      </c>
      <c r="ZB12" s="495">
        <v>30.849992905000001</v>
      </c>
      <c r="ZC12" s="495">
        <v>42.8756336058728</v>
      </c>
      <c r="ZD12" s="495">
        <v>63.480616976999499</v>
      </c>
      <c r="ZE12" s="495">
        <v>120.419680257</v>
      </c>
      <c r="ZF12" s="495">
        <v>-0.35184860000000001</v>
      </c>
      <c r="ZG12" s="495">
        <v>-0.4597</v>
      </c>
      <c r="ZH12" s="495">
        <v>0</v>
      </c>
      <c r="ZI12" s="495"/>
      <c r="ZJ12" s="495">
        <v>61.058594581000001</v>
      </c>
      <c r="ZK12" s="495">
        <v>95.294123214999999</v>
      </c>
      <c r="ZL12" s="495">
        <v>136.57674348899999</v>
      </c>
      <c r="ZM12" s="495">
        <v>256.91146993000001</v>
      </c>
      <c r="ZN12" s="495">
        <v>340.41371930000003</v>
      </c>
      <c r="ZO12" s="495">
        <v>585.76194850000002</v>
      </c>
      <c r="ZP12" s="495">
        <v>1492.1804447478401</v>
      </c>
      <c r="ZQ12" s="495">
        <f t="shared" si="8"/>
        <v>143.4664059125964</v>
      </c>
      <c r="ZR12" s="495">
        <v>233.97538831599996</v>
      </c>
      <c r="ZS12" s="495">
        <v>285.84044803224918</v>
      </c>
      <c r="ZT12" s="495">
        <v>490.38829517444447</v>
      </c>
      <c r="ZU12" s="495">
        <v>605.72270890487277</v>
      </c>
      <c r="ZV12" s="495">
        <v>807.46303431461104</v>
      </c>
      <c r="ZW12" s="495">
        <v>1842.468862613375</v>
      </c>
      <c r="ZX12" s="495">
        <v>-149.60380000000001</v>
      </c>
      <c r="ZY12" s="495">
        <v>-594.49468909999996</v>
      </c>
      <c r="ZZ12" s="495">
        <v>-540.51000869999996</v>
      </c>
      <c r="AAA12" s="495">
        <v>-263.33181693699999</v>
      </c>
      <c r="AAB12" s="495">
        <v>-265.85125119999998</v>
      </c>
      <c r="AAC12" s="495">
        <v>-155.51</v>
      </c>
      <c r="AAD12" s="495">
        <v>-203.25638900000001</v>
      </c>
      <c r="AAE12" s="495">
        <v>-67.710189200000002</v>
      </c>
      <c r="AAF12" s="495">
        <v>-70.048073400000007</v>
      </c>
      <c r="AAG12" s="495">
        <v>-58.099722</v>
      </c>
      <c r="AAH12" s="495">
        <v>-51.560497599999998</v>
      </c>
      <c r="AAI12" s="495">
        <v>-37.156881300000002</v>
      </c>
      <c r="AAJ12" s="495">
        <v>-26.198599399999999</v>
      </c>
      <c r="AAK12" s="495">
        <v>-31.378439</v>
      </c>
      <c r="AAL12" s="495">
        <v>-217.31398920000001</v>
      </c>
      <c r="AAM12" s="495">
        <v>-664.54276249999998</v>
      </c>
      <c r="AAN12" s="495">
        <v>-598.6097307</v>
      </c>
      <c r="AAO12" s="495">
        <v>-314.892314537</v>
      </c>
      <c r="AAP12" s="495">
        <v>-303.00813249999999</v>
      </c>
      <c r="AAQ12" s="495">
        <v>-181.7085994</v>
      </c>
      <c r="AAR12" s="495">
        <v>-234.63482800000003</v>
      </c>
    </row>
    <row r="13" spans="1:752" ht="15" customHeight="1" x14ac:dyDescent="0.25">
      <c r="A13" s="493" t="s">
        <v>477</v>
      </c>
      <c r="B13" s="495">
        <v>205.14230000000001</v>
      </c>
      <c r="C13" s="495">
        <v>36.317799999999998</v>
      </c>
      <c r="D13" s="495">
        <v>3267.5511999999999</v>
      </c>
      <c r="E13" s="495">
        <v>3509.0113000000001</v>
      </c>
      <c r="F13" s="495">
        <v>214.6961</v>
      </c>
      <c r="G13" s="495">
        <v>26.8035</v>
      </c>
      <c r="H13" s="495">
        <v>3090.5662000000002</v>
      </c>
      <c r="I13" s="495">
        <v>3332.0658000000003</v>
      </c>
      <c r="J13" s="495">
        <v>175.36539999999999</v>
      </c>
      <c r="K13" s="495">
        <v>21.033999999999999</v>
      </c>
      <c r="L13" s="495">
        <v>2699.5012999999999</v>
      </c>
      <c r="M13" s="495">
        <v>2895.9006999999997</v>
      </c>
      <c r="N13" s="495">
        <v>159.44999999999999</v>
      </c>
      <c r="O13" s="495">
        <v>25.65</v>
      </c>
      <c r="P13" s="495">
        <v>2413.81</v>
      </c>
      <c r="Q13" s="495">
        <v>2598.91</v>
      </c>
      <c r="R13" s="495">
        <v>332.7002</v>
      </c>
      <c r="S13" s="495">
        <v>47.319600000000001</v>
      </c>
      <c r="T13" s="495">
        <v>4007.9922999999999</v>
      </c>
      <c r="U13" s="495">
        <v>4388.0120999999999</v>
      </c>
      <c r="V13" s="495">
        <v>230.07</v>
      </c>
      <c r="W13" s="495">
        <v>25.96</v>
      </c>
      <c r="X13" s="495">
        <v>3178.61</v>
      </c>
      <c r="Y13" s="495">
        <v>3434.6400000000003</v>
      </c>
      <c r="Z13" s="495">
        <v>215.16</v>
      </c>
      <c r="AA13" s="495">
        <v>23.46</v>
      </c>
      <c r="AB13" s="495">
        <v>2566.54</v>
      </c>
      <c r="AC13" s="495">
        <v>2805.16</v>
      </c>
      <c r="AD13" s="495">
        <v>630.29108219138402</v>
      </c>
      <c r="AE13" s="495">
        <v>101.639287972635</v>
      </c>
      <c r="AF13" s="495">
        <v>2783.3532327099801</v>
      </c>
      <c r="AG13" s="495">
        <v>3515.2836028739994</v>
      </c>
      <c r="AH13" s="495">
        <v>408.27534194290899</v>
      </c>
      <c r="AI13" s="495">
        <v>74.292532160302798</v>
      </c>
      <c r="AJ13" s="495">
        <v>3298.8986360477802</v>
      </c>
      <c r="AK13" s="495">
        <v>3781.4665101509918</v>
      </c>
      <c r="AL13" s="495">
        <v>329.99983077085699</v>
      </c>
      <c r="AM13" s="495">
        <v>68.9504815619688</v>
      </c>
      <c r="AN13" s="495">
        <v>3129.4786796721801</v>
      </c>
      <c r="AO13" s="495">
        <v>3528.428992005006</v>
      </c>
      <c r="AP13" s="495">
        <v>386.47028575101001</v>
      </c>
      <c r="AQ13" s="495">
        <v>81.056659044793506</v>
      </c>
      <c r="AR13" s="495">
        <v>3570.5130403471999</v>
      </c>
      <c r="AS13" s="495">
        <v>4038.0399851430034</v>
      </c>
      <c r="AT13" s="495">
        <v>431.07893367566902</v>
      </c>
      <c r="AU13" s="495">
        <v>67.748534247678606</v>
      </c>
      <c r="AV13" s="495">
        <v>3328.4010803096298</v>
      </c>
      <c r="AW13" s="495">
        <v>3827.2285482329776</v>
      </c>
      <c r="AX13" s="495">
        <v>598.74120340572301</v>
      </c>
      <c r="AY13" s="495">
        <v>83.960505028355698</v>
      </c>
      <c r="AZ13" s="495">
        <v>4693.94454308892</v>
      </c>
      <c r="BA13" s="495">
        <v>5376.6462515229987</v>
      </c>
      <c r="BB13" s="495">
        <v>377.823022737862</v>
      </c>
      <c r="BC13" s="495">
        <v>69.848112542943795</v>
      </c>
      <c r="BD13" s="495">
        <v>3566.1136827092</v>
      </c>
      <c r="BE13" s="495">
        <v>4013.7848179900002</v>
      </c>
      <c r="BF13" s="495">
        <v>344.73832970000001</v>
      </c>
      <c r="BG13" s="495">
        <v>99.647786300000007</v>
      </c>
      <c r="BH13" s="495">
        <v>2135.7047650999998</v>
      </c>
      <c r="BI13" s="495">
        <v>2580.0908810999999</v>
      </c>
      <c r="BJ13" s="495">
        <v>259.45391219999999</v>
      </c>
      <c r="BK13" s="495">
        <v>41.674756299999999</v>
      </c>
      <c r="BL13" s="495">
        <v>2454.4158339000001</v>
      </c>
      <c r="BM13" s="495">
        <v>2755.5445024000001</v>
      </c>
      <c r="BN13" s="495">
        <v>204.0155</v>
      </c>
      <c r="BO13" s="495">
        <v>29.533100000000001</v>
      </c>
      <c r="BP13" s="495">
        <v>2375.884</v>
      </c>
      <c r="BQ13" s="495">
        <v>2609.4326000000001</v>
      </c>
      <c r="BR13" s="495">
        <v>221.7642998</v>
      </c>
      <c r="BS13" s="495">
        <v>49.021609599999998</v>
      </c>
      <c r="BT13" s="495">
        <v>2194.7334842999999</v>
      </c>
      <c r="BU13" s="495">
        <v>2465.5193936999999</v>
      </c>
      <c r="BV13" s="495">
        <v>373.28</v>
      </c>
      <c r="BW13" s="495">
        <v>72.783900000000003</v>
      </c>
      <c r="BX13" s="495">
        <v>2996.4711000000002</v>
      </c>
      <c r="BY13" s="495">
        <v>3442.5350000000003</v>
      </c>
      <c r="BZ13" s="495">
        <v>424.34</v>
      </c>
      <c r="CA13" s="495">
        <v>63.86</v>
      </c>
      <c r="CB13" s="495">
        <v>2554.61</v>
      </c>
      <c r="CC13" s="495">
        <v>3042.81</v>
      </c>
      <c r="CD13" s="495">
        <v>413.9509261</v>
      </c>
      <c r="CE13" s="495">
        <v>70.353343800000005</v>
      </c>
      <c r="CF13" s="495">
        <v>2705.4739708000002</v>
      </c>
      <c r="CG13" s="495">
        <v>3189.7782407</v>
      </c>
      <c r="CH13" s="495">
        <v>336.3339383</v>
      </c>
      <c r="CI13" s="495">
        <v>80.410668000000001</v>
      </c>
      <c r="CJ13" s="495">
        <v>2507.3213562999999</v>
      </c>
      <c r="CK13" s="495">
        <v>2924.0659625999997</v>
      </c>
      <c r="CL13" s="495">
        <v>271.96780000000001</v>
      </c>
      <c r="CM13" s="495">
        <v>57.607300000000002</v>
      </c>
      <c r="CN13" s="495">
        <v>2639.5412000000001</v>
      </c>
      <c r="CO13" s="495">
        <v>2969.1163000000001</v>
      </c>
      <c r="CP13" s="495">
        <v>209.49379999999999</v>
      </c>
      <c r="CQ13" s="495">
        <v>41.239899999999999</v>
      </c>
      <c r="CR13" s="495">
        <v>2347.0706</v>
      </c>
      <c r="CS13" s="495">
        <v>2597.8042999999998</v>
      </c>
      <c r="CT13" s="495">
        <v>233.1373681</v>
      </c>
      <c r="CU13" s="495">
        <v>46.594399500000002</v>
      </c>
      <c r="CV13" s="495">
        <v>2779.6758885999998</v>
      </c>
      <c r="CW13" s="495">
        <v>3059.4076562</v>
      </c>
      <c r="CX13" s="495">
        <v>335.2088</v>
      </c>
      <c r="CY13" s="495">
        <v>58.935000000000002</v>
      </c>
      <c r="CZ13" s="495">
        <v>3038.8346000000001</v>
      </c>
      <c r="DA13" s="495">
        <v>3432.9784</v>
      </c>
      <c r="DB13" s="495">
        <v>437.21</v>
      </c>
      <c r="DC13" s="495">
        <v>63.28</v>
      </c>
      <c r="DD13" s="495">
        <v>3404.53</v>
      </c>
      <c r="DE13" s="495">
        <v>3905.0200000000004</v>
      </c>
      <c r="DF13" s="495">
        <v>531.46</v>
      </c>
      <c r="DG13" s="495">
        <v>75.790000000000006</v>
      </c>
      <c r="DH13" s="495">
        <v>3533.68</v>
      </c>
      <c r="DI13" s="495">
        <v>4140.93</v>
      </c>
      <c r="DJ13" s="495">
        <f t="shared" si="0"/>
        <v>1195.15378575101</v>
      </c>
      <c r="DK13" s="495">
        <f t="shared" si="1"/>
        <v>215.5166590447935</v>
      </c>
      <c r="DL13" s="495">
        <f t="shared" si="2"/>
        <v>12593.930540347199</v>
      </c>
      <c r="DM13" s="495">
        <f t="shared" si="3"/>
        <v>14004.600985143003</v>
      </c>
      <c r="DN13" s="495">
        <f t="shared" si="4"/>
        <v>1077.497033475669</v>
      </c>
      <c r="DO13" s="495">
        <f t="shared" si="5"/>
        <v>181.47004384767862</v>
      </c>
      <c r="DP13" s="495">
        <f t="shared" si="6"/>
        <v>10436.745164609631</v>
      </c>
      <c r="DQ13" s="495">
        <f t="shared" si="7"/>
        <v>11695.712241932977</v>
      </c>
      <c r="DR13" s="495">
        <v>918.87453077085695</v>
      </c>
      <c r="DS13" s="495">
        <v>160.7574815619688</v>
      </c>
      <c r="DT13" s="495">
        <v>10551.934579672179</v>
      </c>
      <c r="DU13" s="495">
        <v>11631.566592005005</v>
      </c>
      <c r="DV13" s="495">
        <v>1000.8219536510101</v>
      </c>
      <c r="DW13" s="495">
        <v>202.32266814479351</v>
      </c>
      <c r="DX13" s="495">
        <v>10958.732413247199</v>
      </c>
      <c r="DY13" s="495">
        <v>12161.877035043002</v>
      </c>
      <c r="DZ13" s="495">
        <v>1472.2679336756689</v>
      </c>
      <c r="EA13" s="495">
        <v>246.78703424767863</v>
      </c>
      <c r="EB13" s="495">
        <v>13371.699080309631</v>
      </c>
      <c r="EC13" s="495">
        <v>15090.754048232977</v>
      </c>
      <c r="ED13" s="495">
        <v>1690.361203405723</v>
      </c>
      <c r="EE13" s="495">
        <v>237.06050502835572</v>
      </c>
      <c r="EF13" s="495">
        <v>13831.694543088921</v>
      </c>
      <c r="EG13" s="495">
        <v>15759.116251522999</v>
      </c>
      <c r="EH13" s="495">
        <v>1538.3939488378621</v>
      </c>
      <c r="EI13" s="495">
        <v>239.45145634294383</v>
      </c>
      <c r="EJ13" s="495">
        <v>12371.8076535092</v>
      </c>
      <c r="EK13" s="495">
        <v>14149.653058690006</v>
      </c>
      <c r="EL13" s="495">
        <v>0</v>
      </c>
      <c r="EM13" s="495">
        <v>0</v>
      </c>
      <c r="EN13" s="495">
        <v>13.952199999999999</v>
      </c>
      <c r="EO13" s="495">
        <v>13.952199999999999</v>
      </c>
      <c r="EP13" s="495">
        <v>0</v>
      </c>
      <c r="EQ13" s="495">
        <v>0</v>
      </c>
      <c r="ER13" s="495">
        <v>163.48691009999999</v>
      </c>
      <c r="ES13" s="495">
        <v>163.48691009999999</v>
      </c>
      <c r="ET13" s="495">
        <v>0</v>
      </c>
      <c r="EU13" s="495">
        <v>0</v>
      </c>
      <c r="EV13" s="495">
        <v>296.414520848</v>
      </c>
      <c r="EW13" s="495">
        <v>296.414520848</v>
      </c>
      <c r="EX13" s="495">
        <v>1.28695668187454E-2</v>
      </c>
      <c r="EY13" s="495">
        <v>0</v>
      </c>
      <c r="EZ13" s="495">
        <v>208.87933047418099</v>
      </c>
      <c r="FA13" s="495">
        <v>208.89220004099974</v>
      </c>
      <c r="FB13" s="495">
        <v>1.53119580816775E-2</v>
      </c>
      <c r="FC13" s="495">
        <v>0</v>
      </c>
      <c r="FD13" s="495">
        <v>468.73527794991799</v>
      </c>
      <c r="FE13" s="495">
        <v>468.75058990799999</v>
      </c>
      <c r="FF13" s="495">
        <v>55.036573799999999</v>
      </c>
      <c r="FG13" s="495">
        <v>21.172426300000001</v>
      </c>
      <c r="FH13" s="495">
        <v>1285.2399456000001</v>
      </c>
      <c r="FI13" s="495">
        <v>1361.4489457</v>
      </c>
      <c r="FJ13" s="495">
        <v>57.323900000000002</v>
      </c>
      <c r="FK13" s="495">
        <v>18.226900000000001</v>
      </c>
      <c r="FL13" s="495">
        <v>1329.5813000000001</v>
      </c>
      <c r="FM13" s="495">
        <v>1405.1321</v>
      </c>
      <c r="FN13" s="495">
        <v>69.563977699999995</v>
      </c>
      <c r="FO13" s="495">
        <v>22.8936429</v>
      </c>
      <c r="FP13" s="495">
        <v>1714.6513645</v>
      </c>
      <c r="FQ13" s="495">
        <v>1807.1089850999999</v>
      </c>
      <c r="FR13" s="495">
        <v>241.758410381641</v>
      </c>
      <c r="FS13" s="495">
        <v>31.668831715901899</v>
      </c>
      <c r="FT13" s="495">
        <v>2046.8682055024599</v>
      </c>
      <c r="FU13" s="495">
        <v>2320.2954476000027</v>
      </c>
      <c r="FV13" s="495">
        <v>286.06931432169398</v>
      </c>
      <c r="FW13" s="495">
        <v>27.542726456652101</v>
      </c>
      <c r="FX13" s="495">
        <v>1746.15930192165</v>
      </c>
      <c r="FY13" s="495">
        <v>2059.7713426999962</v>
      </c>
      <c r="FZ13" s="495">
        <v>322.58069732241597</v>
      </c>
      <c r="GA13" s="495">
        <v>32.884308106746801</v>
      </c>
      <c r="GB13" s="495">
        <v>1809.3627976708401</v>
      </c>
      <c r="GC13" s="495">
        <v>2164.8278031</v>
      </c>
      <c r="GD13" s="495">
        <v>17.207095196068501</v>
      </c>
      <c r="GE13" s="495">
        <v>5.0326805985014804</v>
      </c>
      <c r="GF13" s="495">
        <v>372.51226427219001</v>
      </c>
      <c r="GG13" s="495">
        <v>394.75204006676</v>
      </c>
      <c r="GH13" s="495">
        <v>6.6530007339999999</v>
      </c>
      <c r="GI13" s="495">
        <v>5.734107936</v>
      </c>
      <c r="GJ13" s="495">
        <v>350.95292128599999</v>
      </c>
      <c r="GK13" s="495">
        <v>363.34002995600002</v>
      </c>
      <c r="GL13" s="495">
        <v>11.442174312278601</v>
      </c>
      <c r="GM13" s="495">
        <v>11.122055736902899</v>
      </c>
      <c r="GN13" s="495">
        <v>499.57913453291002</v>
      </c>
      <c r="GO13" s="495">
        <v>522.14336458209152</v>
      </c>
      <c r="GP13" s="495">
        <v>19.915170230308298</v>
      </c>
      <c r="GQ13" s="495">
        <v>18.806763059635401</v>
      </c>
      <c r="GR13" s="495">
        <v>697.45811774279298</v>
      </c>
      <c r="GS13" s="495">
        <v>736.18005103273663</v>
      </c>
      <c r="GT13" s="495">
        <v>32.758489405258103</v>
      </c>
      <c r="GU13" s="495">
        <v>18.201149792771702</v>
      </c>
      <c r="GV13" s="495">
        <v>759.20728721362798</v>
      </c>
      <c r="GW13" s="495">
        <v>810.16692641165776</v>
      </c>
      <c r="GX13" s="495">
        <v>22.951316299999998</v>
      </c>
      <c r="GY13" s="495">
        <v>2.7391956</v>
      </c>
      <c r="GZ13" s="495">
        <v>687.57014709999999</v>
      </c>
      <c r="HA13" s="495">
        <v>713.26065900000003</v>
      </c>
      <c r="HB13" s="495">
        <v>46.950499999999998</v>
      </c>
      <c r="HC13" s="495">
        <v>6.0178000000000003</v>
      </c>
      <c r="HD13" s="495">
        <v>806.19389999999999</v>
      </c>
      <c r="HE13" s="495">
        <v>859.16219999999998</v>
      </c>
      <c r="HF13" s="495">
        <v>19.996099999999998</v>
      </c>
      <c r="HG13" s="495">
        <v>8.1049035000000007</v>
      </c>
      <c r="HH13" s="495">
        <v>898.78049999999996</v>
      </c>
      <c r="HI13" s="495">
        <v>926.88150350000001</v>
      </c>
      <c r="HJ13" s="495">
        <v>24.077999999999999</v>
      </c>
      <c r="HK13" s="495">
        <v>8.5010413000000007</v>
      </c>
      <c r="HL13" s="495">
        <v>1022.7016</v>
      </c>
      <c r="HM13" s="495">
        <v>1055.2806413000001</v>
      </c>
      <c r="HN13" s="495">
        <v>53.122684965386597</v>
      </c>
      <c r="HO13" s="495">
        <v>7.3937764326939899</v>
      </c>
      <c r="HP13" s="495">
        <v>1054.31533584001</v>
      </c>
      <c r="HQ13" s="495">
        <v>1114.8317972380905</v>
      </c>
      <c r="HR13" s="495">
        <v>65.643315720764505</v>
      </c>
      <c r="HS13" s="495">
        <v>9.8184814960959201</v>
      </c>
      <c r="HT13" s="495">
        <v>1256.4560163609101</v>
      </c>
      <c r="HU13" s="495">
        <v>1331.9178135777699</v>
      </c>
      <c r="HV13" s="495">
        <v>0</v>
      </c>
      <c r="HW13" s="495">
        <v>0</v>
      </c>
      <c r="HX13" s="495">
        <v>18.831278699999999</v>
      </c>
      <c r="HY13" s="495">
        <v>18.831278699999999</v>
      </c>
      <c r="HZ13" s="495">
        <v>1.3642664978052299</v>
      </c>
      <c r="IA13" s="495">
        <v>2.7750000000000001E-3</v>
      </c>
      <c r="IB13" s="495">
        <v>61.002483145194802</v>
      </c>
      <c r="IC13" s="495">
        <v>62.369524643000034</v>
      </c>
      <c r="ID13" s="495">
        <v>1.639167</v>
      </c>
      <c r="IE13" s="495">
        <v>3.1238499999999999E-2</v>
      </c>
      <c r="IF13" s="495">
        <v>85.973630785799998</v>
      </c>
      <c r="IG13" s="495">
        <v>87.644036285799999</v>
      </c>
      <c r="IH13" s="495">
        <v>1.5233011000000001</v>
      </c>
      <c r="II13" s="495">
        <v>0.11825670000000001</v>
      </c>
      <c r="IJ13" s="495">
        <v>107.903968242</v>
      </c>
      <c r="IK13" s="495">
        <v>109.54552604200001</v>
      </c>
      <c r="IL13" s="495">
        <v>3.5694056000000001</v>
      </c>
      <c r="IM13" s="495">
        <v>0.1381076</v>
      </c>
      <c r="IN13" s="495">
        <v>138.94930717099601</v>
      </c>
      <c r="IO13" s="495">
        <v>142.656820370996</v>
      </c>
      <c r="IP13" s="495">
        <v>29.2056942</v>
      </c>
      <c r="IQ13" s="495">
        <v>8.4200655999999992</v>
      </c>
      <c r="IR13" s="495">
        <v>413.89819990000001</v>
      </c>
      <c r="IS13" s="495">
        <v>451.52395969999998</v>
      </c>
      <c r="IT13" s="495">
        <v>40.712699999999998</v>
      </c>
      <c r="IU13" s="495">
        <v>8.4263999999999992</v>
      </c>
      <c r="IV13" s="495">
        <v>415.52890000000002</v>
      </c>
      <c r="IW13" s="495">
        <v>464.66800000000001</v>
      </c>
      <c r="IX13" s="495">
        <v>73.376739000000001</v>
      </c>
      <c r="IY13" s="495">
        <v>8.9716977999999994</v>
      </c>
      <c r="IZ13" s="495">
        <v>500.1832248</v>
      </c>
      <c r="JA13" s="495">
        <v>582.53166160000001</v>
      </c>
      <c r="JB13" s="495">
        <v>62.022199999999998</v>
      </c>
      <c r="JC13" s="495">
        <v>15.713500399999999</v>
      </c>
      <c r="JD13" s="495">
        <v>778.34529999999995</v>
      </c>
      <c r="JE13" s="495">
        <v>856.08100039999999</v>
      </c>
      <c r="JF13" s="495">
        <v>64.586699999999993</v>
      </c>
      <c r="JG13" s="495">
        <v>15.0350698</v>
      </c>
      <c r="JH13" s="495">
        <v>782.31460000000004</v>
      </c>
      <c r="JI13" s="495">
        <v>861.93636980000008</v>
      </c>
      <c r="JJ13" s="495">
        <v>106.1481951</v>
      </c>
      <c r="JK13" s="495">
        <v>19.2621465</v>
      </c>
      <c r="JL13" s="495">
        <v>873.35087620000002</v>
      </c>
      <c r="JM13" s="495">
        <v>998.76121780000005</v>
      </c>
      <c r="JN13" s="495">
        <v>1.4623999999999999</v>
      </c>
      <c r="JO13" s="495">
        <v>3.5999999999999999E-3</v>
      </c>
      <c r="JP13" s="495">
        <v>81.029200000000003</v>
      </c>
      <c r="JQ13" s="495">
        <v>82.495199999999997</v>
      </c>
      <c r="JR13" s="495">
        <v>3.8118563000000001</v>
      </c>
      <c r="JS13" s="495">
        <v>3.3538800000000001E-2</v>
      </c>
      <c r="JT13" s="495">
        <v>409.41980182999998</v>
      </c>
      <c r="JU13" s="495">
        <v>413.26519693</v>
      </c>
      <c r="JV13" s="495">
        <v>12.331799999999999</v>
      </c>
      <c r="JW13" s="495">
        <v>2.7400000000000001E-2</v>
      </c>
      <c r="JX13" s="495">
        <v>669.08</v>
      </c>
      <c r="JY13" s="495">
        <v>681.43920000000003</v>
      </c>
      <c r="JZ13" s="495">
        <v>84.831900000000005</v>
      </c>
      <c r="KA13" s="495">
        <v>0.20519999999999999</v>
      </c>
      <c r="KB13" s="495">
        <v>778.71395402601104</v>
      </c>
      <c r="KC13" s="495">
        <v>863.75105402601105</v>
      </c>
      <c r="KD13" s="495">
        <v>102.9306</v>
      </c>
      <c r="KE13" s="495">
        <v>3.2639999999999998</v>
      </c>
      <c r="KF13" s="495">
        <v>1349.3647000000001</v>
      </c>
      <c r="KG13" s="495">
        <v>1455.5592999999999</v>
      </c>
      <c r="KH13" s="495">
        <v>38.311500000000002</v>
      </c>
      <c r="KI13" s="495">
        <v>8.6178000000000008</v>
      </c>
      <c r="KJ13" s="495">
        <v>418.22179999999997</v>
      </c>
      <c r="KK13" s="495">
        <v>465.15109999999999</v>
      </c>
      <c r="KL13" s="495">
        <v>96.319699999999997</v>
      </c>
      <c r="KM13" s="495">
        <v>22.050599999999999</v>
      </c>
      <c r="KN13" s="495">
        <v>936.1</v>
      </c>
      <c r="KO13" s="495">
        <v>1054.4703</v>
      </c>
      <c r="KP13" s="495">
        <v>100.9</v>
      </c>
      <c r="KQ13" s="495">
        <v>24.623799999999999</v>
      </c>
      <c r="KR13" s="495">
        <v>1005.8045</v>
      </c>
      <c r="KS13" s="495">
        <v>1131.3282999999999</v>
      </c>
      <c r="KT13" s="495">
        <v>157.191</v>
      </c>
      <c r="KU13" s="495">
        <v>28.748899999999999</v>
      </c>
      <c r="KV13" s="495">
        <v>1224.6178</v>
      </c>
      <c r="KW13" s="495">
        <v>1410.5577000000001</v>
      </c>
      <c r="KX13" s="495">
        <v>203.47</v>
      </c>
      <c r="KY13" s="495">
        <v>24.84</v>
      </c>
      <c r="KZ13" s="495">
        <v>1758.58</v>
      </c>
      <c r="LA13" s="495">
        <v>1986.8899999999999</v>
      </c>
      <c r="LB13" s="495">
        <v>210.65110442518201</v>
      </c>
      <c r="LC13" s="495">
        <v>25.594096584752101</v>
      </c>
      <c r="LD13" s="495">
        <v>1706.2348151629999</v>
      </c>
      <c r="LE13" s="495">
        <v>1942.4800161729299</v>
      </c>
      <c r="LF13" s="495">
        <v>35.417712899999998</v>
      </c>
      <c r="LG13" s="495">
        <v>45.464798999999999</v>
      </c>
      <c r="LH13" s="495">
        <v>1901.1546416000001</v>
      </c>
      <c r="LI13" s="495">
        <v>1982.0371535000002</v>
      </c>
      <c r="LJ13" s="495">
        <v>45.581169000000003</v>
      </c>
      <c r="LK13" s="495">
        <v>38.247744300000001</v>
      </c>
      <c r="LL13" s="495">
        <v>2028.0383905000001</v>
      </c>
      <c r="LM13" s="495">
        <v>2111.8673038000002</v>
      </c>
      <c r="LN13" s="495">
        <v>41.157499999999999</v>
      </c>
      <c r="LO13" s="495">
        <v>64.246780900000005</v>
      </c>
      <c r="LP13" s="495">
        <v>1884.3739</v>
      </c>
      <c r="LQ13" s="495">
        <v>1989.7781809000001</v>
      </c>
      <c r="LR13" s="495">
        <v>88.5672</v>
      </c>
      <c r="LS13" s="495">
        <v>43.182438300000001</v>
      </c>
      <c r="LT13" s="495">
        <v>2161.3523</v>
      </c>
      <c r="LU13" s="495">
        <v>2293.1019383000003</v>
      </c>
      <c r="LV13" s="495">
        <v>127.11110100000001</v>
      </c>
      <c r="LW13" s="495">
        <v>43.585884900000003</v>
      </c>
      <c r="LX13" s="495">
        <v>2563.486973</v>
      </c>
      <c r="LY13" s="495">
        <v>2734.1839589000001</v>
      </c>
      <c r="LZ13" s="495">
        <v>203.24</v>
      </c>
      <c r="MA13" s="495">
        <v>75.510000000000005</v>
      </c>
      <c r="MB13" s="495">
        <v>3641.37</v>
      </c>
      <c r="MC13" s="495">
        <v>3920.12</v>
      </c>
      <c r="MD13" s="495">
        <v>12.1900529</v>
      </c>
      <c r="ME13" s="495">
        <v>15.004581699999999</v>
      </c>
      <c r="MF13" s="495">
        <v>884.85817099999997</v>
      </c>
      <c r="MG13" s="495">
        <v>912.05280559999994</v>
      </c>
      <c r="MH13" s="495">
        <v>9.1500687999999997</v>
      </c>
      <c r="MI13" s="495">
        <v>11.5854959</v>
      </c>
      <c r="MJ13" s="495">
        <v>692.98129370000004</v>
      </c>
      <c r="MK13" s="495">
        <v>713.71685839999998</v>
      </c>
      <c r="ML13" s="495">
        <v>7.3533122000000004</v>
      </c>
      <c r="MM13" s="495">
        <v>9.1414633999999992</v>
      </c>
      <c r="MN13" s="495">
        <v>540.43416079999997</v>
      </c>
      <c r="MO13" s="495">
        <v>556.9289364</v>
      </c>
      <c r="MP13" s="495">
        <v>11.8377</v>
      </c>
      <c r="MQ13" s="495">
        <v>12.3561</v>
      </c>
      <c r="MR13" s="495">
        <v>720.01220000000001</v>
      </c>
      <c r="MS13" s="495">
        <v>744.20600000000002</v>
      </c>
      <c r="MT13" s="495">
        <v>10.931584900000001</v>
      </c>
      <c r="MU13" s="495">
        <v>11.632202899999999</v>
      </c>
      <c r="MV13" s="495">
        <v>759.81456619999994</v>
      </c>
      <c r="MW13" s="495">
        <v>782.37835399999994</v>
      </c>
      <c r="MX13" s="495">
        <v>28.856764399999999</v>
      </c>
      <c r="MY13" s="495">
        <v>19.703828699999999</v>
      </c>
      <c r="MZ13" s="495">
        <v>896.70254850000003</v>
      </c>
      <c r="NA13" s="495">
        <v>945.26314160000004</v>
      </c>
      <c r="NB13" s="495">
        <v>1.74425E-2</v>
      </c>
      <c r="NC13" s="495">
        <v>0</v>
      </c>
      <c r="ND13" s="495">
        <v>52.700753400000004</v>
      </c>
      <c r="NE13" s="495">
        <v>52.718195900000005</v>
      </c>
      <c r="NF13" s="495">
        <v>1.3356182000000001</v>
      </c>
      <c r="NG13" s="495">
        <v>0</v>
      </c>
      <c r="NH13" s="495">
        <v>67.493963800000003</v>
      </c>
      <c r="NI13" s="495">
        <v>68.829582000000002</v>
      </c>
      <c r="NJ13" s="495">
        <v>3.7680625999999999</v>
      </c>
      <c r="NK13" s="495">
        <v>0</v>
      </c>
      <c r="NL13" s="495">
        <v>100.7661126</v>
      </c>
      <c r="NM13" s="495">
        <v>104.53417519999999</v>
      </c>
      <c r="NN13" s="495">
        <v>8.2888716999999996</v>
      </c>
      <c r="NO13" s="495">
        <v>0</v>
      </c>
      <c r="NP13" s="495">
        <v>128.29990860000001</v>
      </c>
      <c r="NQ13" s="495">
        <v>136.5887803</v>
      </c>
      <c r="NR13" s="495">
        <v>6.7999198999999999</v>
      </c>
      <c r="NS13" s="495">
        <v>7.6648000000000003E-3</v>
      </c>
      <c r="NT13" s="495">
        <v>155.62058640000001</v>
      </c>
      <c r="NU13" s="495">
        <v>162.42817110000001</v>
      </c>
      <c r="NV13" s="495">
        <v>9.9021048999999994</v>
      </c>
      <c r="NW13" s="495">
        <v>0.56570430000000005</v>
      </c>
      <c r="NX13" s="495">
        <v>227.21443803903199</v>
      </c>
      <c r="NY13" s="495">
        <v>237.68224723903199</v>
      </c>
      <c r="NZ13" s="495">
        <v>6.5268876145612698</v>
      </c>
      <c r="OA13" s="495">
        <v>4.0303919091469602</v>
      </c>
      <c r="OB13" s="495">
        <v>306.005042180011</v>
      </c>
      <c r="OC13" s="495">
        <v>316.56232170371925</v>
      </c>
      <c r="OD13" s="495">
        <v>9.5538149436682698</v>
      </c>
      <c r="OE13" s="495">
        <v>5.3661582558328398</v>
      </c>
      <c r="OF13" s="495">
        <v>324.60768561849898</v>
      </c>
      <c r="OG13" s="495">
        <v>339.52765881800002</v>
      </c>
      <c r="OH13" s="495">
        <v>10.726551555667401</v>
      </c>
      <c r="OI13" s="495">
        <v>2.5878689289824299</v>
      </c>
      <c r="OJ13" s="495">
        <v>264.71518551645198</v>
      </c>
      <c r="OK13" s="495">
        <v>278.0296060011018</v>
      </c>
      <c r="OL13" s="495">
        <v>10.927364201228899</v>
      </c>
      <c r="OM13" s="495">
        <v>6.6359093540589003</v>
      </c>
      <c r="ON13" s="495">
        <v>445.81687749152502</v>
      </c>
      <c r="OO13" s="495">
        <v>463.38015104681284</v>
      </c>
      <c r="OP13" s="495">
        <v>13.923103943577701</v>
      </c>
      <c r="OQ13" s="495">
        <v>8.0377468439759294</v>
      </c>
      <c r="OR13" s="495">
        <v>466.08281022752999</v>
      </c>
      <c r="OS13" s="495">
        <v>488.04366101508361</v>
      </c>
      <c r="OT13" s="495">
        <v>16.4979577323288</v>
      </c>
      <c r="OU13" s="495">
        <v>10.5830447072815</v>
      </c>
      <c r="OV13" s="495">
        <v>462.257573083225</v>
      </c>
      <c r="OW13" s="495">
        <v>489.33857552283598</v>
      </c>
      <c r="OX13" s="495">
        <v>11.196</v>
      </c>
      <c r="OY13" s="495">
        <v>5.0969656273221098</v>
      </c>
      <c r="OZ13" s="495">
        <v>125.27719999999999</v>
      </c>
      <c r="PA13" s="495">
        <v>141.5701656273221</v>
      </c>
      <c r="PB13" s="495">
        <v>20.387699999999999</v>
      </c>
      <c r="PC13" s="495">
        <v>5.4848999999999997</v>
      </c>
      <c r="PD13" s="495">
        <v>125.9057</v>
      </c>
      <c r="PE13" s="495">
        <v>151.7783</v>
      </c>
      <c r="PF13" s="495">
        <v>26.678599999999999</v>
      </c>
      <c r="PG13" s="495">
        <v>5.5069999999999997</v>
      </c>
      <c r="PH13" s="495">
        <v>211.5019001</v>
      </c>
      <c r="PI13" s="495">
        <v>243.68750009999999</v>
      </c>
      <c r="PJ13" s="495">
        <v>38.822899999999997</v>
      </c>
      <c r="PK13" s="495">
        <v>6.5069999999999997</v>
      </c>
      <c r="PL13" s="495">
        <v>305.20749999999998</v>
      </c>
      <c r="PM13" s="495">
        <v>350.53739999999999</v>
      </c>
      <c r="PN13" s="495">
        <v>54.030799999999999</v>
      </c>
      <c r="PO13" s="495">
        <v>6.3903999999999996</v>
      </c>
      <c r="PP13" s="495">
        <v>316.86759999999998</v>
      </c>
      <c r="PQ13" s="495">
        <v>377.28879999999998</v>
      </c>
      <c r="PR13" s="495">
        <v>83.318799999999996</v>
      </c>
      <c r="PS13" s="495">
        <v>7.8609</v>
      </c>
      <c r="PT13" s="495">
        <v>479.13879989999998</v>
      </c>
      <c r="PU13" s="495">
        <v>570.31849990000001</v>
      </c>
      <c r="PV13" s="495">
        <v>27.654315612000001</v>
      </c>
      <c r="PW13" s="495">
        <v>0</v>
      </c>
      <c r="PX13" s="495">
        <v>36.846495601000001</v>
      </c>
      <c r="PY13" s="495">
        <v>64.500811213000006</v>
      </c>
      <c r="PZ13" s="495">
        <v>46.353347292000002</v>
      </c>
      <c r="QA13" s="495">
        <v>0</v>
      </c>
      <c r="QB13" s="495">
        <v>83.599838684999995</v>
      </c>
      <c r="QC13" s="495">
        <v>129.953185977</v>
      </c>
      <c r="QD13" s="495">
        <v>16.249532779999999</v>
      </c>
      <c r="QE13" s="495">
        <v>0</v>
      </c>
      <c r="QF13" s="495">
        <v>101.699737176</v>
      </c>
      <c r="QG13" s="495">
        <v>117.94926995599999</v>
      </c>
      <c r="QH13" s="495">
        <v>22.60181682</v>
      </c>
      <c r="QI13" s="495">
        <v>0</v>
      </c>
      <c r="QJ13" s="495">
        <v>63.216649236999999</v>
      </c>
      <c r="QK13" s="495">
        <v>85.818466056999995</v>
      </c>
      <c r="QL13" s="495">
        <v>14.51</v>
      </c>
      <c r="QM13" s="495">
        <v>0</v>
      </c>
      <c r="QN13" s="495">
        <v>117.31</v>
      </c>
      <c r="QO13" s="495">
        <v>131.82</v>
      </c>
      <c r="QP13" s="495">
        <v>0.1155796</v>
      </c>
      <c r="QQ13" s="495">
        <v>4.1529000000000002E-3</v>
      </c>
      <c r="QR13" s="495">
        <v>17.2348748</v>
      </c>
      <c r="QS13" s="495">
        <v>17.354607300000001</v>
      </c>
      <c r="QT13" s="495">
        <v>0.1599179</v>
      </c>
      <c r="QU13" s="495">
        <v>8.9917E-3</v>
      </c>
      <c r="QV13" s="495">
        <v>25.8404186</v>
      </c>
      <c r="QW13" s="495">
        <v>26.009328199999999</v>
      </c>
      <c r="QX13" s="495">
        <v>0.22838040000000001</v>
      </c>
      <c r="QY13" s="495">
        <v>1.8800500000000001E-2</v>
      </c>
      <c r="QZ13" s="495">
        <v>36.503419899999997</v>
      </c>
      <c r="RA13" s="495">
        <v>36.750600799999994</v>
      </c>
      <c r="RB13" s="495">
        <v>0.80256369999999999</v>
      </c>
      <c r="RC13" s="495">
        <v>9.2417000000000003E-3</v>
      </c>
      <c r="RD13" s="495">
        <v>93.999105200000002</v>
      </c>
      <c r="RE13" s="495">
        <v>94.8109106</v>
      </c>
      <c r="RF13" s="495">
        <v>7.3463573999999996</v>
      </c>
      <c r="RG13" s="495">
        <v>9.2099500000000001E-2</v>
      </c>
      <c r="RH13" s="495">
        <v>104.3123399</v>
      </c>
      <c r="RI13" s="495">
        <v>111.7507968</v>
      </c>
      <c r="RJ13" s="495">
        <v>8.7406264999999994</v>
      </c>
      <c r="RK13" s="495">
        <v>5.2315E-3</v>
      </c>
      <c r="RL13" s="495">
        <v>142.6026392</v>
      </c>
      <c r="RM13" s="495">
        <v>151.3484972</v>
      </c>
      <c r="RN13" s="495">
        <v>31.0195495800914</v>
      </c>
      <c r="RO13" s="495">
        <v>1.8271452071766601</v>
      </c>
      <c r="RP13" s="495">
        <v>761.25681813773099</v>
      </c>
      <c r="RQ13" s="495">
        <v>794.103512924999</v>
      </c>
      <c r="RR13" s="495">
        <v>34.688443959855</v>
      </c>
      <c r="RS13" s="495">
        <v>1.6394458899395901</v>
      </c>
      <c r="RT13" s="495">
        <v>853.06568258320499</v>
      </c>
      <c r="RU13" s="495">
        <v>889.39357243299901</v>
      </c>
      <c r="RV13" s="495">
        <v>48.518687814851702</v>
      </c>
      <c r="RW13" s="495">
        <v>2.1166411024913399</v>
      </c>
      <c r="RX13" s="495">
        <v>924.06424043765605</v>
      </c>
      <c r="RY13" s="495">
        <v>974.69956935499908</v>
      </c>
      <c r="RZ13" s="495">
        <v>64.964494143516802</v>
      </c>
      <c r="SA13" s="495">
        <v>3.4045432590561999</v>
      </c>
      <c r="SB13" s="495">
        <v>1191.4160929101199</v>
      </c>
      <c r="SC13" s="495">
        <v>1259.7851303126929</v>
      </c>
      <c r="SD13" s="495">
        <v>118.460032944452</v>
      </c>
      <c r="SE13" s="495">
        <v>5.2365291434043897</v>
      </c>
      <c r="SF13" s="495">
        <v>1458.3803426511399</v>
      </c>
      <c r="SG13" s="495">
        <v>1582.0769047389963</v>
      </c>
      <c r="SH13" s="495">
        <v>129.89521555153499</v>
      </c>
      <c r="SI13" s="495">
        <v>7.2716404722934902</v>
      </c>
      <c r="SJ13" s="495">
        <v>1693.46727136441</v>
      </c>
      <c r="SK13" s="495">
        <v>1830.6341273882399</v>
      </c>
      <c r="SL13" s="495">
        <v>11.864888499999999</v>
      </c>
      <c r="SM13" s="495">
        <v>4.6737494999999996</v>
      </c>
      <c r="SN13" s="495">
        <v>541.92017299999998</v>
      </c>
      <c r="SO13" s="495">
        <v>558.45881099999997</v>
      </c>
      <c r="SP13" s="495">
        <v>17.118939900000001</v>
      </c>
      <c r="SQ13" s="495">
        <v>4.7690270000000003</v>
      </c>
      <c r="SR13" s="495">
        <v>505.82806590000001</v>
      </c>
      <c r="SS13" s="495">
        <v>527.71603279999999</v>
      </c>
      <c r="ST13" s="495">
        <v>15.449827300000001</v>
      </c>
      <c r="SU13" s="495">
        <v>5.5067434000000004</v>
      </c>
      <c r="SV13" s="495">
        <v>409.64620129999997</v>
      </c>
      <c r="SW13" s="495">
        <v>430.60277199999996</v>
      </c>
      <c r="SX13" s="495">
        <v>16.905447200000001</v>
      </c>
      <c r="SY13" s="495">
        <v>4.3742409999999996</v>
      </c>
      <c r="SZ13" s="495">
        <v>441.01985969999998</v>
      </c>
      <c r="TA13" s="495">
        <v>462.29954789999999</v>
      </c>
      <c r="TB13" s="495">
        <v>14.3883346</v>
      </c>
      <c r="TC13" s="495">
        <v>4.2317952999999999</v>
      </c>
      <c r="TD13" s="495">
        <v>477.81624674774798</v>
      </c>
      <c r="TE13" s="495">
        <v>496.43637664774798</v>
      </c>
      <c r="TF13" s="495">
        <v>20.2601342</v>
      </c>
      <c r="TG13" s="495">
        <v>5.4068598999999997</v>
      </c>
      <c r="TH13" s="495">
        <v>531.12958779999997</v>
      </c>
      <c r="TI13" s="495">
        <v>556.79658189999998</v>
      </c>
      <c r="TJ13" s="495">
        <v>64.646275818305597</v>
      </c>
      <c r="TK13" s="495">
        <v>2.7748327375499899</v>
      </c>
      <c r="TL13" s="495">
        <v>431.49452794681798</v>
      </c>
      <c r="TM13" s="495">
        <v>498.91563650267358</v>
      </c>
      <c r="TN13" s="495">
        <v>64.166058497532305</v>
      </c>
      <c r="TO13" s="495">
        <v>2.5737730642750001</v>
      </c>
      <c r="TP13" s="495">
        <v>505.108018490522</v>
      </c>
      <c r="TQ13" s="495">
        <v>571.84785005232902</v>
      </c>
      <c r="TR13" s="495">
        <v>56.263828760095699</v>
      </c>
      <c r="TS13" s="495">
        <v>2.7305589352309401</v>
      </c>
      <c r="TT13" s="495">
        <v>535.24234165699499</v>
      </c>
      <c r="TU13" s="495">
        <v>594.23672935232162</v>
      </c>
      <c r="TV13" s="495">
        <v>62.883103696039001</v>
      </c>
      <c r="TW13" s="495">
        <v>4.0210524185623502</v>
      </c>
      <c r="TX13" s="495">
        <v>841.81895706100397</v>
      </c>
      <c r="TY13" s="495">
        <v>908.72311317560536</v>
      </c>
      <c r="TZ13" s="495">
        <v>74.905600000000007</v>
      </c>
      <c r="UA13" s="495">
        <v>4.7896000000000001</v>
      </c>
      <c r="UB13" s="495">
        <v>954.07669999999996</v>
      </c>
      <c r="UC13" s="495">
        <v>1033.7719</v>
      </c>
      <c r="UD13" s="495">
        <v>107.18729999999999</v>
      </c>
      <c r="UE13" s="495">
        <v>13.0754</v>
      </c>
      <c r="UF13" s="495">
        <v>1194.0458997999999</v>
      </c>
      <c r="UG13" s="495">
        <v>1314.3085997999999</v>
      </c>
      <c r="UH13" s="495">
        <v>3.4076018000000001</v>
      </c>
      <c r="UI13" s="495">
        <v>0.1191184</v>
      </c>
      <c r="UJ13" s="495">
        <v>207.5904745</v>
      </c>
      <c r="UK13" s="495">
        <v>211.1171947</v>
      </c>
      <c r="UL13" s="495">
        <v>3.9918355999999999</v>
      </c>
      <c r="UM13" s="495">
        <v>0.17591319999999999</v>
      </c>
      <c r="UN13" s="495">
        <v>224.5736287</v>
      </c>
      <c r="UO13" s="495">
        <v>228.7413775</v>
      </c>
      <c r="UP13" s="495">
        <v>4.3019825999999997</v>
      </c>
      <c r="UQ13" s="495">
        <v>0.159521</v>
      </c>
      <c r="UR13" s="495">
        <v>278.43240780000002</v>
      </c>
      <c r="US13" s="495">
        <v>282.89391140000004</v>
      </c>
      <c r="UT13" s="495">
        <v>4.9290143000000004</v>
      </c>
      <c r="UU13" s="495">
        <v>0.17796809999999999</v>
      </c>
      <c r="UV13" s="495">
        <v>468.09325389999998</v>
      </c>
      <c r="UW13" s="495">
        <v>473.20023629999997</v>
      </c>
      <c r="UX13" s="495">
        <v>4.4772447</v>
      </c>
      <c r="UY13" s="495">
        <v>0.1192333</v>
      </c>
      <c r="UZ13" s="495">
        <v>396.80961280000002</v>
      </c>
      <c r="VA13" s="495">
        <v>401.40609080000002</v>
      </c>
      <c r="VB13" s="495">
        <v>15.79</v>
      </c>
      <c r="VC13" s="495">
        <v>0.23</v>
      </c>
      <c r="VD13" s="495">
        <v>458.87</v>
      </c>
      <c r="VE13" s="495">
        <v>474.89</v>
      </c>
      <c r="VF13" s="495">
        <v>108.18859999999999</v>
      </c>
      <c r="VG13" s="495">
        <v>29.760200000000001</v>
      </c>
      <c r="VH13" s="495">
        <v>740.0797</v>
      </c>
      <c r="VI13" s="495">
        <v>878.02850000000001</v>
      </c>
      <c r="VJ13" s="495">
        <v>159.71690000000001</v>
      </c>
      <c r="VK13" s="495">
        <v>25.116900000000001</v>
      </c>
      <c r="VL13" s="495">
        <v>903.61490000000003</v>
      </c>
      <c r="VM13" s="495">
        <v>1088.4486999999999</v>
      </c>
      <c r="VN13" s="495">
        <v>169.95214139999999</v>
      </c>
      <c r="VO13" s="495">
        <v>26.876758599999999</v>
      </c>
      <c r="VP13" s="495">
        <v>1252.2728102000001</v>
      </c>
      <c r="VQ13" s="495">
        <v>1449.1017102000001</v>
      </c>
      <c r="VR13" s="495">
        <v>206.7644616</v>
      </c>
      <c r="VS13" s="495">
        <v>31.2847388</v>
      </c>
      <c r="VT13" s="495">
        <v>1309.924585</v>
      </c>
      <c r="VU13" s="495">
        <v>1547.9737854</v>
      </c>
      <c r="VV13" s="495">
        <v>299.49766670000002</v>
      </c>
      <c r="VW13" s="495">
        <v>36.241301</v>
      </c>
      <c r="VX13" s="495">
        <v>1428.038916</v>
      </c>
      <c r="VY13" s="495">
        <v>1763.7778837000001</v>
      </c>
      <c r="VZ13" s="495">
        <v>305.92173320000001</v>
      </c>
      <c r="WA13" s="495">
        <v>35.866108599999997</v>
      </c>
      <c r="WB13" s="495">
        <v>1889.8940551999999</v>
      </c>
      <c r="WC13" s="495">
        <v>2231.6818969999999</v>
      </c>
      <c r="WD13" s="495">
        <v>19.649701799999999</v>
      </c>
      <c r="WE13" s="495">
        <v>1.4444238</v>
      </c>
      <c r="WF13" s="495">
        <v>209.8667557</v>
      </c>
      <c r="WG13" s="495">
        <v>230.96088129999998</v>
      </c>
      <c r="WH13" s="495">
        <v>9.6904534000000009</v>
      </c>
      <c r="WI13" s="495">
        <v>0.98986870000000005</v>
      </c>
      <c r="WJ13" s="495">
        <v>276.53513570000001</v>
      </c>
      <c r="WK13" s="495">
        <v>287.21545780000002</v>
      </c>
      <c r="WL13" s="495">
        <v>9.3369660999999997</v>
      </c>
      <c r="WM13" s="495">
        <v>0.78703120000000004</v>
      </c>
      <c r="WN13" s="495">
        <v>249.83674329999999</v>
      </c>
      <c r="WO13" s="495">
        <v>259.96074060000001</v>
      </c>
      <c r="WP13" s="495">
        <v>9.2909130999999991</v>
      </c>
      <c r="WQ13" s="495">
        <v>0.91659069999999998</v>
      </c>
      <c r="WR13" s="495">
        <v>275.56527160000002</v>
      </c>
      <c r="WS13" s="495">
        <v>285.7727754</v>
      </c>
      <c r="WT13" s="495">
        <v>9.1650729999999996</v>
      </c>
      <c r="WU13" s="495">
        <v>0.55953209999999998</v>
      </c>
      <c r="WV13" s="495">
        <v>263.0856781</v>
      </c>
      <c r="WW13" s="495">
        <v>272.81028320000001</v>
      </c>
      <c r="WX13" s="495">
        <v>8.7346432929999995</v>
      </c>
      <c r="WY13" s="495">
        <v>0.55007270799999997</v>
      </c>
      <c r="WZ13" s="495">
        <v>321.213165656</v>
      </c>
      <c r="XA13" s="495">
        <v>330.49788165699999</v>
      </c>
      <c r="XB13" s="495">
        <v>533.68934264906295</v>
      </c>
      <c r="XC13" s="495">
        <v>171.8323525182181</v>
      </c>
      <c r="XD13" s="495">
        <v>9988.6983171250322</v>
      </c>
      <c r="XE13" s="495">
        <v>10694.220012292313</v>
      </c>
      <c r="XF13" s="495">
        <v>652.6174365470556</v>
      </c>
      <c r="XG13" s="495">
        <v>156.41762594604739</v>
      </c>
      <c r="XH13" s="495">
        <v>10522.609079179225</v>
      </c>
      <c r="XI13" s="495">
        <v>11331.644141672328</v>
      </c>
      <c r="XJ13" s="495">
        <v>720.54430183269858</v>
      </c>
      <c r="XK13" s="495">
        <v>195.43158170360761</v>
      </c>
      <c r="XL13" s="495">
        <v>12024.297181204212</v>
      </c>
      <c r="XM13" s="495">
        <v>12940.273064740513</v>
      </c>
      <c r="XN13" s="495">
        <v>1060.1693140327341</v>
      </c>
      <c r="XO13" s="495">
        <v>216.36749860721471</v>
      </c>
      <c r="XP13" s="495">
        <v>15305.6848235177</v>
      </c>
      <c r="XQ13" s="495">
        <v>16582.221636157647</v>
      </c>
      <c r="XR13" s="495">
        <v>1490.0138952671873</v>
      </c>
      <c r="XS13" s="495">
        <v>214.2601689694981</v>
      </c>
      <c r="XT13" s="495">
        <v>16603.682798980899</v>
      </c>
      <c r="XU13" s="495">
        <v>18307.956863217583</v>
      </c>
      <c r="XV13" s="495">
        <v>1764.393909903308</v>
      </c>
      <c r="XW13" s="495">
        <v>267.58993117516985</v>
      </c>
      <c r="XX13" s="495">
        <v>19657.669769058335</v>
      </c>
      <c r="XY13" s="495">
        <v>21689.653610136804</v>
      </c>
      <c r="XZ13" s="495">
        <v>85.193825351505197</v>
      </c>
      <c r="YA13" s="495">
        <v>206.936398</v>
      </c>
      <c r="YB13" s="495">
        <v>371.53276</v>
      </c>
      <c r="YC13" s="495">
        <v>529.58230001799996</v>
      </c>
      <c r="YD13" s="495">
        <v>647.53579999999999</v>
      </c>
      <c r="YE13" s="495">
        <v>746.09510090000003</v>
      </c>
      <c r="YF13" s="495">
        <v>257.05131535855401</v>
      </c>
      <c r="YG13" s="495">
        <v>320.93860419999999</v>
      </c>
      <c r="YH13" s="495">
        <v>440.081637897983</v>
      </c>
      <c r="YI13" s="495">
        <v>532.22928039999999</v>
      </c>
      <c r="YJ13" s="495">
        <v>660.63594039999998</v>
      </c>
      <c r="YK13" s="495">
        <v>721.04180020000001</v>
      </c>
      <c r="YL13" s="495">
        <v>1070.8143631999999</v>
      </c>
      <c r="YM13" s="495">
        <v>285.80705410000002</v>
      </c>
      <c r="YN13" s="495">
        <v>280.79000000000002</v>
      </c>
      <c r="YO13" s="495">
        <v>371.46801527320002</v>
      </c>
      <c r="YP13" s="495">
        <v>465.69698779999999</v>
      </c>
      <c r="YQ13" s="495">
        <v>619.07069049999996</v>
      </c>
      <c r="YR13" s="495">
        <v>179.62937824400001</v>
      </c>
      <c r="YS13" s="495">
        <v>222.372398239707</v>
      </c>
      <c r="YT13" s="495">
        <v>228.25332946120301</v>
      </c>
      <c r="YU13" s="495">
        <v>293.65971458774197</v>
      </c>
      <c r="YV13" s="495">
        <v>288.113235384061</v>
      </c>
      <c r="YW13" s="495">
        <v>329.16399771259597</v>
      </c>
      <c r="YX13" s="495">
        <v>397.807391178356</v>
      </c>
      <c r="YY13" s="495">
        <v>221.23488734961001</v>
      </c>
      <c r="YZ13" s="495">
        <v>151.11972521148098</v>
      </c>
      <c r="ZA13" s="495">
        <v>183.94087696900002</v>
      </c>
      <c r="ZB13" s="495">
        <v>357.47276946099998</v>
      </c>
      <c r="ZC13" s="495">
        <v>419.45770423300098</v>
      </c>
      <c r="ZD13" s="495">
        <v>549.54199795</v>
      </c>
      <c r="ZE13" s="495">
        <v>857.39436456300098</v>
      </c>
      <c r="ZF13" s="495">
        <v>57.141600199999999</v>
      </c>
      <c r="ZG13" s="495">
        <v>1.8547</v>
      </c>
      <c r="ZH13" s="495">
        <v>12.53</v>
      </c>
      <c r="ZI13" s="495">
        <v>14.6</v>
      </c>
      <c r="ZJ13" s="495">
        <v>453.06720000000001</v>
      </c>
      <c r="ZK13" s="495">
        <v>635.768637582</v>
      </c>
      <c r="ZL13" s="495">
        <v>861.35929999999996</v>
      </c>
      <c r="ZM13" s="495">
        <v>987.916134919</v>
      </c>
      <c r="ZN13" s="495">
        <v>1101.3224395</v>
      </c>
      <c r="ZO13" s="495">
        <v>1403.0510919000001</v>
      </c>
      <c r="ZP13" s="495">
        <v>1838.5275380999999</v>
      </c>
      <c r="ZQ13" s="495">
        <f t="shared" si="8"/>
        <v>1396.7898350521641</v>
      </c>
      <c r="ZR13" s="495">
        <v>1696.183190584693</v>
      </c>
      <c r="ZS13" s="495">
        <v>2292.0395576013862</v>
      </c>
      <c r="ZT13" s="495">
        <v>3008.5076471677417</v>
      </c>
      <c r="ZU13" s="495">
        <v>3620.0370100350619</v>
      </c>
      <c r="ZV13" s="495">
        <v>3662.8646877625961</v>
      </c>
      <c r="ZW13" s="495">
        <v>4925.2387579413562</v>
      </c>
      <c r="ZX13" s="495">
        <v>115.90089999999999</v>
      </c>
      <c r="ZY13" s="495">
        <v>166.66744929999999</v>
      </c>
      <c r="ZZ13" s="495">
        <v>163.40969459999999</v>
      </c>
      <c r="AAA13" s="495">
        <v>213.24816603400001</v>
      </c>
      <c r="AAB13" s="495">
        <v>284.28564679999999</v>
      </c>
      <c r="AAC13" s="495">
        <v>280.58</v>
      </c>
      <c r="AAD13" s="495">
        <v>409.22790759999998</v>
      </c>
      <c r="AAE13" s="495">
        <v>185.5664807</v>
      </c>
      <c r="AAF13" s="495">
        <v>199.1184384</v>
      </c>
      <c r="AAG13" s="495">
        <v>192.784571</v>
      </c>
      <c r="AAH13" s="495">
        <v>243.0484573</v>
      </c>
      <c r="AAI13" s="495">
        <v>267.63235969999999</v>
      </c>
      <c r="AAJ13" s="495">
        <v>270.92575540000001</v>
      </c>
      <c r="AAK13" s="495">
        <v>281.51565900000003</v>
      </c>
      <c r="AAL13" s="495">
        <v>301.46738069999998</v>
      </c>
      <c r="AAM13" s="495">
        <v>365.78588769999999</v>
      </c>
      <c r="AAN13" s="495">
        <v>356.19426559999999</v>
      </c>
      <c r="AAO13" s="495">
        <v>456.296623334</v>
      </c>
      <c r="AAP13" s="495">
        <v>551.91800650000005</v>
      </c>
      <c r="AAQ13" s="495">
        <v>551.5057554</v>
      </c>
      <c r="AAR13" s="495">
        <v>690.74356660000001</v>
      </c>
    </row>
    <row r="14" spans="1:752" ht="15" customHeight="1" x14ac:dyDescent="0.25">
      <c r="A14" s="492" t="s">
        <v>244</v>
      </c>
      <c r="B14" s="495">
        <v>0</v>
      </c>
      <c r="C14" s="495">
        <v>0</v>
      </c>
      <c r="D14" s="495">
        <v>0</v>
      </c>
      <c r="E14" s="495">
        <v>0</v>
      </c>
      <c r="F14" s="495">
        <v>0</v>
      </c>
      <c r="G14" s="495">
        <v>0</v>
      </c>
      <c r="H14" s="495">
        <v>0</v>
      </c>
      <c r="I14" s="495">
        <v>0</v>
      </c>
      <c r="J14" s="495">
        <v>0</v>
      </c>
      <c r="K14" s="495">
        <v>0</v>
      </c>
      <c r="L14" s="495">
        <v>0</v>
      </c>
      <c r="M14" s="495">
        <v>0</v>
      </c>
      <c r="N14" s="495">
        <v>0</v>
      </c>
      <c r="O14" s="495">
        <v>0</v>
      </c>
      <c r="P14" s="495">
        <v>0</v>
      </c>
      <c r="Q14" s="495">
        <v>0</v>
      </c>
      <c r="R14" s="495">
        <v>0</v>
      </c>
      <c r="S14" s="495">
        <v>0</v>
      </c>
      <c r="T14" s="495">
        <v>0</v>
      </c>
      <c r="U14" s="495">
        <v>0</v>
      </c>
      <c r="V14" s="495">
        <v>0</v>
      </c>
      <c r="W14" s="495">
        <v>0</v>
      </c>
      <c r="X14" s="495">
        <v>0</v>
      </c>
      <c r="Y14" s="495">
        <v>0</v>
      </c>
      <c r="Z14" s="495"/>
      <c r="AA14" s="495"/>
      <c r="AB14" s="495"/>
      <c r="AC14" s="495">
        <v>0</v>
      </c>
      <c r="AD14" s="495">
        <v>0</v>
      </c>
      <c r="AE14" s="495">
        <v>0</v>
      </c>
      <c r="AF14" s="495">
        <v>0</v>
      </c>
      <c r="AG14" s="495">
        <v>0</v>
      </c>
      <c r="AH14" s="495">
        <v>0</v>
      </c>
      <c r="AI14" s="495">
        <v>0</v>
      </c>
      <c r="AJ14" s="495">
        <v>0</v>
      </c>
      <c r="AK14" s="495">
        <v>0</v>
      </c>
      <c r="AL14" s="495">
        <v>0</v>
      </c>
      <c r="AM14" s="495">
        <v>0</v>
      </c>
      <c r="AN14" s="495">
        <v>0</v>
      </c>
      <c r="AO14" s="495">
        <v>0</v>
      </c>
      <c r="AP14" s="495">
        <v>0</v>
      </c>
      <c r="AQ14" s="495">
        <v>0</v>
      </c>
      <c r="AR14" s="495">
        <v>0</v>
      </c>
      <c r="AS14" s="495">
        <v>0</v>
      </c>
      <c r="AT14" s="495">
        <v>0</v>
      </c>
      <c r="AU14" s="495">
        <v>0</v>
      </c>
      <c r="AV14" s="495">
        <v>0</v>
      </c>
      <c r="AW14" s="495">
        <v>0</v>
      </c>
      <c r="AX14" s="495">
        <v>0</v>
      </c>
      <c r="AY14" s="495">
        <v>0</v>
      </c>
      <c r="AZ14" s="495">
        <v>0</v>
      </c>
      <c r="BA14" s="495">
        <v>0</v>
      </c>
      <c r="BB14" s="495">
        <v>0</v>
      </c>
      <c r="BC14" s="495">
        <v>0</v>
      </c>
      <c r="BD14" s="495">
        <v>0</v>
      </c>
      <c r="BE14" s="495">
        <v>0</v>
      </c>
      <c r="BF14" s="495">
        <v>0</v>
      </c>
      <c r="BG14" s="495">
        <v>0</v>
      </c>
      <c r="BH14" s="495">
        <v>0</v>
      </c>
      <c r="BI14" s="495">
        <v>0</v>
      </c>
      <c r="BJ14" s="495">
        <v>0</v>
      </c>
      <c r="BK14" s="495">
        <v>4.3946690999999998</v>
      </c>
      <c r="BL14" s="495">
        <v>0</v>
      </c>
      <c r="BM14" s="495">
        <v>4.3946690999999998</v>
      </c>
      <c r="BN14" s="495">
        <v>0</v>
      </c>
      <c r="BO14" s="495">
        <v>-4.3947000000000003</v>
      </c>
      <c r="BP14" s="495">
        <v>0</v>
      </c>
      <c r="BQ14" s="495">
        <v>-4.3947000000000003</v>
      </c>
      <c r="BR14" s="495">
        <v>36.1036</v>
      </c>
      <c r="BS14" s="495">
        <v>0</v>
      </c>
      <c r="BT14" s="495">
        <v>0</v>
      </c>
      <c r="BU14" s="495">
        <v>36.1036</v>
      </c>
      <c r="BV14" s="495">
        <v>-36.1036</v>
      </c>
      <c r="BW14" s="495">
        <v>0</v>
      </c>
      <c r="BX14" s="495">
        <v>0</v>
      </c>
      <c r="BY14" s="495">
        <v>-36.1036</v>
      </c>
      <c r="BZ14" s="495">
        <v>0</v>
      </c>
      <c r="CA14" s="495">
        <v>0</v>
      </c>
      <c r="CB14" s="495">
        <v>300.23</v>
      </c>
      <c r="CC14" s="495">
        <v>300.23</v>
      </c>
      <c r="CD14" s="495">
        <v>0</v>
      </c>
      <c r="CE14" s="495">
        <v>0</v>
      </c>
      <c r="CF14" s="495">
        <v>-84.034734</v>
      </c>
      <c r="CG14" s="495">
        <v>-84.034734</v>
      </c>
      <c r="CH14" s="495">
        <v>0</v>
      </c>
      <c r="CI14" s="495">
        <v>0</v>
      </c>
      <c r="CJ14" s="495">
        <v>0</v>
      </c>
      <c r="CK14" s="495">
        <v>0</v>
      </c>
      <c r="CL14" s="495">
        <v>0</v>
      </c>
      <c r="CM14" s="495">
        <v>0</v>
      </c>
      <c r="CN14" s="495">
        <v>0</v>
      </c>
      <c r="CO14" s="495">
        <v>0</v>
      </c>
      <c r="CP14" s="495">
        <v>0</v>
      </c>
      <c r="CQ14" s="495">
        <v>0</v>
      </c>
      <c r="CR14" s="495">
        <v>0</v>
      </c>
      <c r="CS14" s="495">
        <v>0</v>
      </c>
      <c r="CT14" s="495">
        <v>0</v>
      </c>
      <c r="CU14" s="495">
        <v>0</v>
      </c>
      <c r="CV14" s="495">
        <v>0</v>
      </c>
      <c r="CW14" s="495">
        <v>0</v>
      </c>
      <c r="CX14" s="495">
        <v>0</v>
      </c>
      <c r="CY14" s="495">
        <v>0</v>
      </c>
      <c r="CZ14" s="495">
        <v>0</v>
      </c>
      <c r="DA14" s="495">
        <v>0</v>
      </c>
      <c r="DB14" s="495">
        <v>0</v>
      </c>
      <c r="DC14" s="495">
        <v>0</v>
      </c>
      <c r="DD14" s="495">
        <v>0</v>
      </c>
      <c r="DE14" s="495">
        <v>0</v>
      </c>
      <c r="DF14" s="495">
        <v>0</v>
      </c>
      <c r="DG14" s="495">
        <v>0</v>
      </c>
      <c r="DH14" s="495">
        <v>0</v>
      </c>
      <c r="DI14" s="495"/>
      <c r="DJ14" s="495">
        <f t="shared" si="0"/>
        <v>0</v>
      </c>
      <c r="DK14" s="495">
        <f t="shared" si="1"/>
        <v>-4.3947000000000003</v>
      </c>
      <c r="DL14" s="495">
        <f t="shared" si="2"/>
        <v>0</v>
      </c>
      <c r="DM14" s="495">
        <f t="shared" si="3"/>
        <v>-4.3947000000000003</v>
      </c>
      <c r="DN14" s="495">
        <f t="shared" si="4"/>
        <v>36.1036</v>
      </c>
      <c r="DO14" s="495">
        <f t="shared" si="5"/>
        <v>0</v>
      </c>
      <c r="DP14" s="495">
        <f t="shared" si="6"/>
        <v>0</v>
      </c>
      <c r="DQ14" s="495">
        <f t="shared" si="7"/>
        <v>36.1036</v>
      </c>
      <c r="DR14" s="495">
        <v>0</v>
      </c>
      <c r="DS14" s="495">
        <v>-4.3947000000000003</v>
      </c>
      <c r="DT14" s="495">
        <v>0</v>
      </c>
      <c r="DU14" s="495">
        <v>-4.3947000000000003</v>
      </c>
      <c r="DV14" s="495">
        <v>36.1036</v>
      </c>
      <c r="DW14" s="495">
        <v>0</v>
      </c>
      <c r="DX14" s="495">
        <v>0</v>
      </c>
      <c r="DY14" s="495">
        <v>36.1036</v>
      </c>
      <c r="DZ14" s="495">
        <v>-36.1036</v>
      </c>
      <c r="EA14" s="495">
        <v>0</v>
      </c>
      <c r="EB14" s="495">
        <v>0</v>
      </c>
      <c r="EC14" s="495">
        <v>-36.1036</v>
      </c>
      <c r="ED14" s="495">
        <v>0</v>
      </c>
      <c r="EE14" s="495">
        <v>0</v>
      </c>
      <c r="EF14" s="495">
        <v>300.23</v>
      </c>
      <c r="EG14" s="495">
        <v>300.23</v>
      </c>
      <c r="EH14" s="495">
        <v>0</v>
      </c>
      <c r="EI14" s="495">
        <v>0</v>
      </c>
      <c r="EJ14" s="495">
        <v>-84.034734</v>
      </c>
      <c r="EK14" s="495">
        <v>-84.034734</v>
      </c>
      <c r="EL14" s="495">
        <v>0</v>
      </c>
      <c r="EM14" s="495">
        <v>0</v>
      </c>
      <c r="EN14" s="495">
        <v>0</v>
      </c>
      <c r="EO14" s="495">
        <v>0</v>
      </c>
      <c r="EP14" s="495">
        <v>0</v>
      </c>
      <c r="EQ14" s="495">
        <v>0</v>
      </c>
      <c r="ER14" s="495">
        <v>3.4526287860645102</v>
      </c>
      <c r="ES14" s="495">
        <v>3.4526287860645102</v>
      </c>
      <c r="ET14" s="495">
        <v>0</v>
      </c>
      <c r="EU14" s="495">
        <v>0</v>
      </c>
      <c r="EV14" s="495">
        <v>-3.4526286999999898</v>
      </c>
      <c r="EW14" s="495">
        <v>-3.4526286999999898</v>
      </c>
      <c r="EX14" s="495">
        <v>0</v>
      </c>
      <c r="EY14" s="495">
        <v>0</v>
      </c>
      <c r="EZ14" s="495">
        <v>0</v>
      </c>
      <c r="FA14" s="495">
        <v>0</v>
      </c>
      <c r="FB14" s="495">
        <v>0</v>
      </c>
      <c r="FC14" s="495">
        <v>0</v>
      </c>
      <c r="FD14" s="495">
        <v>0</v>
      </c>
      <c r="FE14" s="495">
        <v>0</v>
      </c>
      <c r="FF14" s="495">
        <v>0</v>
      </c>
      <c r="FG14" s="495">
        <v>0</v>
      </c>
      <c r="FH14" s="495">
        <v>0</v>
      </c>
      <c r="FI14" s="495">
        <v>0</v>
      </c>
      <c r="FJ14" s="495">
        <v>0</v>
      </c>
      <c r="FK14" s="495">
        <v>0</v>
      </c>
      <c r="FL14" s="495">
        <v>4.4070999999999998</v>
      </c>
      <c r="FM14" s="495">
        <v>4.4070999999999998</v>
      </c>
      <c r="FN14" s="495">
        <v>0</v>
      </c>
      <c r="FO14" s="495">
        <v>0</v>
      </c>
      <c r="FP14" s="495">
        <v>-4.4070796999999997</v>
      </c>
      <c r="FQ14" s="495">
        <v>-4.4070796999999997</v>
      </c>
      <c r="FR14" s="495">
        <v>0</v>
      </c>
      <c r="FS14" s="495">
        <v>0</v>
      </c>
      <c r="FT14" s="495">
        <v>0</v>
      </c>
      <c r="FU14" s="495">
        <v>0</v>
      </c>
      <c r="FV14" s="495">
        <v>0</v>
      </c>
      <c r="FW14" s="495">
        <v>0</v>
      </c>
      <c r="FX14" s="495">
        <v>0</v>
      </c>
      <c r="FY14" s="495">
        <v>0</v>
      </c>
      <c r="FZ14" s="495">
        <v>0</v>
      </c>
      <c r="GA14" s="495">
        <v>0</v>
      </c>
      <c r="GB14" s="495">
        <v>0</v>
      </c>
      <c r="GC14" s="495">
        <v>0</v>
      </c>
      <c r="GD14" s="495">
        <v>-1.5422999716283801</v>
      </c>
      <c r="GE14" s="495">
        <v>0</v>
      </c>
      <c r="GF14" s="495">
        <v>-3.0425801223835398</v>
      </c>
      <c r="GG14" s="495">
        <v>-4.5848800940119201</v>
      </c>
      <c r="GH14" s="495">
        <v>1.03467138381594</v>
      </c>
      <c r="GI14" s="495">
        <v>0</v>
      </c>
      <c r="GJ14" s="495">
        <v>0</v>
      </c>
      <c r="GK14" s="495">
        <v>1.03467138381594</v>
      </c>
      <c r="GL14" s="495">
        <v>0.64983816900000002</v>
      </c>
      <c r="GM14" s="495">
        <v>0</v>
      </c>
      <c r="GN14" s="495">
        <v>0</v>
      </c>
      <c r="GO14" s="495">
        <v>0.64983816900000002</v>
      </c>
      <c r="GP14" s="495">
        <v>-2.8909648739999998</v>
      </c>
      <c r="GQ14" s="495">
        <v>1.47507430838939</v>
      </c>
      <c r="GR14" s="495">
        <v>0</v>
      </c>
      <c r="GS14" s="495">
        <v>-1.4158905656106098</v>
      </c>
      <c r="GT14" s="495">
        <v>0</v>
      </c>
      <c r="GU14" s="495">
        <v>0.64694252613182701</v>
      </c>
      <c r="GV14" s="495">
        <v>0</v>
      </c>
      <c r="GW14" s="495">
        <v>0.64694252613182701</v>
      </c>
      <c r="GX14" s="495">
        <v>0</v>
      </c>
      <c r="GY14" s="495">
        <v>0</v>
      </c>
      <c r="GZ14" s="495">
        <v>-0.29554940000000002</v>
      </c>
      <c r="HA14" s="495">
        <v>-0.29554940000000002</v>
      </c>
      <c r="HB14" s="495">
        <v>0</v>
      </c>
      <c r="HC14" s="495">
        <v>0</v>
      </c>
      <c r="HD14" s="495">
        <v>0</v>
      </c>
      <c r="HE14" s="495">
        <v>0</v>
      </c>
      <c r="HF14" s="495">
        <v>0</v>
      </c>
      <c r="HG14" s="495">
        <v>0</v>
      </c>
      <c r="HH14" s="495">
        <v>0</v>
      </c>
      <c r="HI14" s="495">
        <v>0</v>
      </c>
      <c r="HJ14" s="495">
        <v>0</v>
      </c>
      <c r="HK14" s="495">
        <v>0</v>
      </c>
      <c r="HL14" s="495">
        <v>0</v>
      </c>
      <c r="HM14" s="495">
        <v>0</v>
      </c>
      <c r="HN14" s="495">
        <v>0</v>
      </c>
      <c r="HO14" s="495">
        <v>0</v>
      </c>
      <c r="HP14" s="495">
        <v>0</v>
      </c>
      <c r="HQ14" s="495">
        <v>0</v>
      </c>
      <c r="HR14" s="495">
        <v>0</v>
      </c>
      <c r="HS14" s="495">
        <v>0</v>
      </c>
      <c r="HT14" s="495">
        <v>0</v>
      </c>
      <c r="HU14" s="495">
        <v>0</v>
      </c>
      <c r="HV14" s="495">
        <v>0</v>
      </c>
      <c r="HW14" s="495">
        <v>0</v>
      </c>
      <c r="HX14" s="495">
        <v>0</v>
      </c>
      <c r="HY14" s="495">
        <v>0</v>
      </c>
      <c r="HZ14" s="495">
        <v>0</v>
      </c>
      <c r="IA14" s="495">
        <v>0</v>
      </c>
      <c r="IB14" s="495">
        <v>7.277771531</v>
      </c>
      <c r="IC14" s="495">
        <v>7.277771531</v>
      </c>
      <c r="ID14" s="495">
        <v>0</v>
      </c>
      <c r="IE14" s="495">
        <v>0</v>
      </c>
      <c r="IF14" s="495">
        <v>-3.3006251</v>
      </c>
      <c r="IG14" s="495">
        <v>-3.3006251</v>
      </c>
      <c r="IH14" s="495">
        <v>0</v>
      </c>
      <c r="II14" s="495">
        <v>5.55171E-2</v>
      </c>
      <c r="IJ14" s="495">
        <v>-0.19642190000000001</v>
      </c>
      <c r="IK14" s="495">
        <v>-0.1409048</v>
      </c>
      <c r="IL14" s="495">
        <v>0</v>
      </c>
      <c r="IM14" s="495">
        <v>-5.55171E-2</v>
      </c>
      <c r="IN14" s="495">
        <v>-3.7807244999999998</v>
      </c>
      <c r="IO14" s="495">
        <v>-3.8362416000000001</v>
      </c>
      <c r="IP14" s="495">
        <v>0</v>
      </c>
      <c r="IQ14" s="495">
        <v>0</v>
      </c>
      <c r="IR14" s="495">
        <v>0</v>
      </c>
      <c r="IS14" s="495">
        <v>0</v>
      </c>
      <c r="IT14" s="495">
        <v>0</v>
      </c>
      <c r="IU14" s="495">
        <v>0</v>
      </c>
      <c r="IV14" s="495">
        <v>0</v>
      </c>
      <c r="IW14" s="495">
        <v>0</v>
      </c>
      <c r="IX14" s="495">
        <v>0</v>
      </c>
      <c r="IY14" s="495">
        <v>0</v>
      </c>
      <c r="IZ14" s="495">
        <v>0</v>
      </c>
      <c r="JA14" s="495">
        <v>0</v>
      </c>
      <c r="JB14" s="495">
        <v>0</v>
      </c>
      <c r="JC14" s="495">
        <v>0</v>
      </c>
      <c r="JD14" s="495">
        <v>0</v>
      </c>
      <c r="JE14" s="495">
        <v>0</v>
      </c>
      <c r="JF14" s="495">
        <v>0</v>
      </c>
      <c r="JG14" s="495">
        <v>0</v>
      </c>
      <c r="JH14" s="495">
        <v>0</v>
      </c>
      <c r="JI14" s="495">
        <v>0</v>
      </c>
      <c r="JJ14" s="495">
        <v>0</v>
      </c>
      <c r="JK14" s="495">
        <v>0</v>
      </c>
      <c r="JL14" s="495">
        <v>0</v>
      </c>
      <c r="JM14" s="495">
        <v>0</v>
      </c>
      <c r="JN14" s="495">
        <v>0</v>
      </c>
      <c r="JO14" s="495">
        <v>0</v>
      </c>
      <c r="JP14" s="495">
        <v>0</v>
      </c>
      <c r="JQ14" s="495">
        <v>0</v>
      </c>
      <c r="JR14" s="495">
        <v>1.0955017</v>
      </c>
      <c r="JS14" s="495">
        <v>0</v>
      </c>
      <c r="JT14" s="495">
        <v>0</v>
      </c>
      <c r="JU14" s="495">
        <v>1.0955017</v>
      </c>
      <c r="JV14" s="495">
        <v>-1.0954999999999999</v>
      </c>
      <c r="JW14" s="495">
        <v>0</v>
      </c>
      <c r="JX14" s="495">
        <v>0</v>
      </c>
      <c r="JY14" s="495">
        <v>-1.0954999999999999</v>
      </c>
      <c r="JZ14" s="495">
        <v>0</v>
      </c>
      <c r="KA14" s="495">
        <v>5.0599999999999999E-2</v>
      </c>
      <c r="KB14" s="495">
        <v>0</v>
      </c>
      <c r="KC14" s="495">
        <v>5.0599999999999999E-2</v>
      </c>
      <c r="KD14" s="495">
        <v>0</v>
      </c>
      <c r="KE14" s="495">
        <v>-5.0599999999999999E-2</v>
      </c>
      <c r="KF14" s="495">
        <v>0</v>
      </c>
      <c r="KG14" s="495">
        <v>-5.0599999999999999E-2</v>
      </c>
      <c r="KH14" s="495">
        <v>0</v>
      </c>
      <c r="KI14" s="495">
        <v>0</v>
      </c>
      <c r="KJ14" s="495">
        <v>0</v>
      </c>
      <c r="KK14" s="495">
        <v>0</v>
      </c>
      <c r="KL14" s="495">
        <v>0</v>
      </c>
      <c r="KM14" s="495">
        <v>0</v>
      </c>
      <c r="KN14" s="495">
        <v>0</v>
      </c>
      <c r="KO14" s="495">
        <v>0</v>
      </c>
      <c r="KP14" s="495">
        <v>0</v>
      </c>
      <c r="KQ14" s="495">
        <v>0</v>
      </c>
      <c r="KR14" s="495">
        <v>0</v>
      </c>
      <c r="KS14" s="495">
        <v>0</v>
      </c>
      <c r="KT14" s="495">
        <v>0</v>
      </c>
      <c r="KU14" s="495">
        <v>0</v>
      </c>
      <c r="KV14" s="495">
        <v>0</v>
      </c>
      <c r="KW14" s="495">
        <v>0</v>
      </c>
      <c r="KX14" s="495">
        <v>0</v>
      </c>
      <c r="KY14" s="495">
        <v>0</v>
      </c>
      <c r="KZ14" s="495">
        <v>0</v>
      </c>
      <c r="LA14" s="495">
        <v>0</v>
      </c>
      <c r="LB14" s="495">
        <v>0</v>
      </c>
      <c r="LC14" s="495">
        <v>0</v>
      </c>
      <c r="LD14" s="495">
        <v>0</v>
      </c>
      <c r="LE14" s="495">
        <v>0</v>
      </c>
      <c r="LF14" s="495">
        <v>0</v>
      </c>
      <c r="LG14" s="495">
        <v>0</v>
      </c>
      <c r="LH14" s="495">
        <v>0</v>
      </c>
      <c r="LI14" s="495">
        <v>0</v>
      </c>
      <c r="LJ14" s="495">
        <v>0</v>
      </c>
      <c r="LK14" s="495">
        <v>0</v>
      </c>
      <c r="LL14" s="495">
        <v>0</v>
      </c>
      <c r="LM14" s="495">
        <v>0</v>
      </c>
      <c r="LN14" s="495">
        <v>0</v>
      </c>
      <c r="LO14" s="495">
        <v>0</v>
      </c>
      <c r="LP14" s="495">
        <v>0</v>
      </c>
      <c r="LQ14" s="495">
        <v>0</v>
      </c>
      <c r="LR14" s="495">
        <v>0</v>
      </c>
      <c r="LS14" s="495">
        <v>0</v>
      </c>
      <c r="LT14" s="495">
        <v>0</v>
      </c>
      <c r="LU14" s="495">
        <v>0</v>
      </c>
      <c r="LV14" s="495">
        <v>0</v>
      </c>
      <c r="LW14" s="495">
        <v>0</v>
      </c>
      <c r="LX14" s="495">
        <v>0</v>
      </c>
      <c r="LY14" s="495">
        <v>0</v>
      </c>
      <c r="LZ14" s="495">
        <v>0</v>
      </c>
      <c r="MA14" s="495">
        <v>0</v>
      </c>
      <c r="MB14" s="495">
        <v>0</v>
      </c>
      <c r="MC14" s="495">
        <v>0</v>
      </c>
      <c r="MD14" s="495">
        <v>0</v>
      </c>
      <c r="ME14" s="495">
        <v>-0.48851099999999997</v>
      </c>
      <c r="MF14" s="495">
        <v>0</v>
      </c>
      <c r="MG14" s="495">
        <v>-0.48851099999999997</v>
      </c>
      <c r="MH14" s="495">
        <v>0</v>
      </c>
      <c r="MI14" s="495">
        <v>0</v>
      </c>
      <c r="MJ14" s="495">
        <v>0</v>
      </c>
      <c r="MK14" s="495">
        <v>0</v>
      </c>
      <c r="ML14" s="495">
        <v>0</v>
      </c>
      <c r="MM14" s="495">
        <v>0</v>
      </c>
      <c r="MN14" s="495">
        <v>0</v>
      </c>
      <c r="MO14" s="495">
        <v>0</v>
      </c>
      <c r="MP14" s="495">
        <v>0</v>
      </c>
      <c r="MQ14" s="495">
        <v>0</v>
      </c>
      <c r="MR14" s="495">
        <v>0</v>
      </c>
      <c r="MS14" s="495">
        <v>0</v>
      </c>
      <c r="MT14" s="495">
        <v>0</v>
      </c>
      <c r="MU14" s="495">
        <v>0</v>
      </c>
      <c r="MV14" s="495">
        <v>0</v>
      </c>
      <c r="MW14" s="495">
        <v>0</v>
      </c>
      <c r="MX14" s="495">
        <v>0</v>
      </c>
      <c r="MY14" s="495">
        <v>0</v>
      </c>
      <c r="MZ14" s="495">
        <v>0</v>
      </c>
      <c r="NA14" s="495">
        <v>0</v>
      </c>
      <c r="NB14" s="495">
        <v>0</v>
      </c>
      <c r="NC14" s="495">
        <v>0</v>
      </c>
      <c r="ND14" s="495">
        <v>0</v>
      </c>
      <c r="NE14" s="495">
        <v>0</v>
      </c>
      <c r="NF14" s="495">
        <v>0</v>
      </c>
      <c r="NG14" s="495">
        <v>0</v>
      </c>
      <c r="NH14" s="495">
        <v>0</v>
      </c>
      <c r="NI14" s="495">
        <v>0</v>
      </c>
      <c r="NJ14" s="495">
        <v>0</v>
      </c>
      <c r="NK14" s="495">
        <v>0</v>
      </c>
      <c r="NL14" s="495">
        <v>0</v>
      </c>
      <c r="NM14" s="495">
        <v>0</v>
      </c>
      <c r="NN14" s="495">
        <v>0</v>
      </c>
      <c r="NO14" s="495">
        <v>0</v>
      </c>
      <c r="NP14" s="495">
        <v>0</v>
      </c>
      <c r="NQ14" s="495">
        <v>0</v>
      </c>
      <c r="NR14" s="495">
        <v>0</v>
      </c>
      <c r="NS14" s="495">
        <v>0</v>
      </c>
      <c r="NT14" s="495">
        <v>0</v>
      </c>
      <c r="NU14" s="495">
        <v>0</v>
      </c>
      <c r="NV14" s="495">
        <v>0</v>
      </c>
      <c r="NW14" s="495">
        <v>0</v>
      </c>
      <c r="NX14" s="495">
        <v>0</v>
      </c>
      <c r="NY14" s="495">
        <v>0</v>
      </c>
      <c r="NZ14" s="495">
        <v>-1.0881708000000001</v>
      </c>
      <c r="OA14" s="495">
        <v>0</v>
      </c>
      <c r="OB14" s="495">
        <v>0</v>
      </c>
      <c r="OC14" s="495">
        <v>-1.0881708000000001</v>
      </c>
      <c r="OD14" s="495">
        <v>0</v>
      </c>
      <c r="OE14" s="495">
        <v>0</v>
      </c>
      <c r="OF14" s="495">
        <v>0</v>
      </c>
      <c r="OG14" s="495">
        <v>0</v>
      </c>
      <c r="OH14" s="495">
        <v>0</v>
      </c>
      <c r="OI14" s="495">
        <v>0</v>
      </c>
      <c r="OJ14" s="495">
        <v>0</v>
      </c>
      <c r="OK14" s="495">
        <v>0</v>
      </c>
      <c r="OL14" s="495">
        <v>0</v>
      </c>
      <c r="OM14" s="495">
        <v>0</v>
      </c>
      <c r="ON14" s="495">
        <v>0</v>
      </c>
      <c r="OO14" s="495">
        <v>0</v>
      </c>
      <c r="OP14" s="495">
        <v>0</v>
      </c>
      <c r="OQ14" s="495">
        <v>0</v>
      </c>
      <c r="OR14" s="495">
        <v>0</v>
      </c>
      <c r="OS14" s="495">
        <v>0</v>
      </c>
      <c r="OT14" s="495">
        <v>0</v>
      </c>
      <c r="OU14" s="495">
        <v>0</v>
      </c>
      <c r="OV14" s="495">
        <v>0</v>
      </c>
      <c r="OW14" s="495">
        <v>0</v>
      </c>
      <c r="OX14" s="495">
        <v>-1.1449</v>
      </c>
      <c r="OY14" s="495">
        <v>-0.19980000000000001</v>
      </c>
      <c r="OZ14" s="495">
        <v>0</v>
      </c>
      <c r="PA14" s="495">
        <v>-1.3447</v>
      </c>
      <c r="PB14" s="495">
        <v>0.31280000000000002</v>
      </c>
      <c r="PC14" s="495">
        <v>-0.1361</v>
      </c>
      <c r="PD14" s="495">
        <v>0</v>
      </c>
      <c r="PE14" s="495">
        <v>0.1767</v>
      </c>
      <c r="PF14" s="495">
        <v>-0.31285380000000002</v>
      </c>
      <c r="PG14" s="495">
        <v>7.7160099999999995E-2</v>
      </c>
      <c r="PH14" s="495">
        <v>0</v>
      </c>
      <c r="PI14" s="495">
        <v>-0.23569370000000001</v>
      </c>
      <c r="PJ14" s="495">
        <v>0</v>
      </c>
      <c r="PK14" s="495">
        <v>3.3799999999999997E-2</v>
      </c>
      <c r="PL14" s="495">
        <v>0</v>
      </c>
      <c r="PM14" s="495">
        <v>3.3799999999999997E-2</v>
      </c>
      <c r="PN14" s="495">
        <v>0</v>
      </c>
      <c r="PO14" s="495">
        <v>2.8718E-2</v>
      </c>
      <c r="PP14" s="495">
        <v>0</v>
      </c>
      <c r="PQ14" s="495">
        <v>2.8718E-2</v>
      </c>
      <c r="PR14" s="495">
        <v>0</v>
      </c>
      <c r="PS14" s="495">
        <v>-8.1637399999999999E-2</v>
      </c>
      <c r="PT14" s="495">
        <v>0</v>
      </c>
      <c r="PU14" s="495">
        <v>-8.1637399999999999E-2</v>
      </c>
      <c r="PV14" s="495">
        <v>5.5040034479999997</v>
      </c>
      <c r="PW14" s="495">
        <v>0</v>
      </c>
      <c r="PX14" s="495">
        <v>5.9429686630000003</v>
      </c>
      <c r="PY14" s="495">
        <v>11.446972110999999</v>
      </c>
      <c r="PZ14" s="495">
        <v>6.7376710229999999</v>
      </c>
      <c r="QA14" s="495">
        <v>0</v>
      </c>
      <c r="QB14" s="495">
        <v>22.818164818</v>
      </c>
      <c r="QC14" s="495">
        <v>29.555835841</v>
      </c>
      <c r="QD14" s="495">
        <v>3.1278375390000002</v>
      </c>
      <c r="QE14" s="495">
        <v>0</v>
      </c>
      <c r="QF14" s="495">
        <v>-11.131052800000001</v>
      </c>
      <c r="QG14" s="495">
        <v>-8.0032152610000011</v>
      </c>
      <c r="QH14" s="495">
        <v>0</v>
      </c>
      <c r="QI14" s="495">
        <v>0</v>
      </c>
      <c r="QJ14" s="495">
        <v>0</v>
      </c>
      <c r="QK14" s="495">
        <v>0</v>
      </c>
      <c r="QL14" s="495"/>
      <c r="QM14" s="495">
        <v>0</v>
      </c>
      <c r="QN14" s="495"/>
      <c r="QO14" s="495"/>
      <c r="QP14" s="495">
        <v>0.3412152</v>
      </c>
      <c r="QQ14" s="495">
        <v>0</v>
      </c>
      <c r="QR14" s="495">
        <v>3.0398000000000001E-2</v>
      </c>
      <c r="QS14" s="495">
        <v>0.37161319999999998</v>
      </c>
      <c r="QT14" s="495">
        <v>-0.3412152</v>
      </c>
      <c r="QU14" s="495">
        <v>0</v>
      </c>
      <c r="QV14" s="495">
        <v>2.1167700000000001E-2</v>
      </c>
      <c r="QW14" s="495">
        <v>-0.32004749999999998</v>
      </c>
      <c r="QX14" s="495">
        <v>0</v>
      </c>
      <c r="QY14" s="495">
        <v>0</v>
      </c>
      <c r="QZ14" s="495">
        <v>3.6143399999999999E-2</v>
      </c>
      <c r="RA14" s="495">
        <v>3.6143399999999999E-2</v>
      </c>
      <c r="RB14" s="495">
        <v>0</v>
      </c>
      <c r="RC14" s="495">
        <v>0</v>
      </c>
      <c r="RD14" s="495">
        <v>-9.0318300000000004E-2</v>
      </c>
      <c r="RE14" s="495">
        <v>-9.0318300000000004E-2</v>
      </c>
      <c r="RF14" s="495">
        <v>0</v>
      </c>
      <c r="RG14" s="495">
        <v>0</v>
      </c>
      <c r="RH14" s="495">
        <v>0</v>
      </c>
      <c r="RI14" s="495">
        <v>0</v>
      </c>
      <c r="RJ14" s="495">
        <v>0</v>
      </c>
      <c r="RK14" s="495">
        <v>0</v>
      </c>
      <c r="RL14" s="495">
        <v>0</v>
      </c>
      <c r="RM14" s="495">
        <v>0</v>
      </c>
      <c r="RN14" s="495">
        <v>0</v>
      </c>
      <c r="RO14" s="495">
        <v>-2.5791040000000001</v>
      </c>
      <c r="RP14" s="495">
        <v>0</v>
      </c>
      <c r="RQ14" s="495">
        <v>-2.5791040000000001</v>
      </c>
      <c r="RR14" s="495">
        <v>0</v>
      </c>
      <c r="RS14" s="495">
        <v>0</v>
      </c>
      <c r="RT14" s="495">
        <v>0</v>
      </c>
      <c r="RU14" s="495">
        <v>0</v>
      </c>
      <c r="RV14" s="495">
        <v>0</v>
      </c>
      <c r="RW14" s="495">
        <v>0</v>
      </c>
      <c r="RX14" s="495">
        <v>0</v>
      </c>
      <c r="RY14" s="495">
        <v>0</v>
      </c>
      <c r="RZ14" s="495">
        <v>0</v>
      </c>
      <c r="SA14" s="495">
        <v>0</v>
      </c>
      <c r="SB14" s="495">
        <v>0</v>
      </c>
      <c r="SC14" s="495">
        <v>0</v>
      </c>
      <c r="SD14" s="495">
        <v>0</v>
      </c>
      <c r="SE14" s="495">
        <v>0</v>
      </c>
      <c r="SF14" s="495">
        <v>0</v>
      </c>
      <c r="SG14" s="495">
        <v>0</v>
      </c>
      <c r="SH14" s="495">
        <v>0</v>
      </c>
      <c r="SI14" s="495">
        <v>0</v>
      </c>
      <c r="SJ14" s="495">
        <v>0</v>
      </c>
      <c r="SK14" s="495">
        <v>0</v>
      </c>
      <c r="SL14" s="495">
        <v>0</v>
      </c>
      <c r="SM14" s="495">
        <v>0</v>
      </c>
      <c r="SN14" s="495">
        <v>0</v>
      </c>
      <c r="SO14" s="495">
        <v>0</v>
      </c>
      <c r="SP14" s="495">
        <v>0</v>
      </c>
      <c r="SQ14" s="495">
        <v>0</v>
      </c>
      <c r="SR14" s="495">
        <v>0</v>
      </c>
      <c r="SS14" s="495">
        <v>0</v>
      </c>
      <c r="ST14" s="495">
        <v>0</v>
      </c>
      <c r="SU14" s="495">
        <v>0</v>
      </c>
      <c r="SV14" s="495">
        <v>0</v>
      </c>
      <c r="SW14" s="495">
        <v>0</v>
      </c>
      <c r="SX14" s="495">
        <v>0</v>
      </c>
      <c r="SY14" s="495">
        <v>0</v>
      </c>
      <c r="SZ14" s="495">
        <v>0</v>
      </c>
      <c r="TA14" s="495">
        <v>0</v>
      </c>
      <c r="TB14" s="495">
        <v>0</v>
      </c>
      <c r="TC14" s="495">
        <v>0</v>
      </c>
      <c r="TD14" s="495">
        <v>0</v>
      </c>
      <c r="TE14" s="495">
        <v>0</v>
      </c>
      <c r="TF14" s="495">
        <v>0</v>
      </c>
      <c r="TG14" s="495">
        <v>0</v>
      </c>
      <c r="TH14" s="495">
        <v>0</v>
      </c>
      <c r="TI14" s="495">
        <v>0</v>
      </c>
      <c r="TJ14" s="495">
        <v>0</v>
      </c>
      <c r="TK14" s="495">
        <v>0</v>
      </c>
      <c r="TL14" s="495">
        <v>0</v>
      </c>
      <c r="TM14" s="495">
        <v>0</v>
      </c>
      <c r="TN14" s="495">
        <v>0</v>
      </c>
      <c r="TO14" s="495">
        <v>0</v>
      </c>
      <c r="TP14" s="495">
        <v>0</v>
      </c>
      <c r="TQ14" s="495">
        <v>0</v>
      </c>
      <c r="TR14" s="495">
        <v>0</v>
      </c>
      <c r="TS14" s="495">
        <v>0</v>
      </c>
      <c r="TT14" s="495">
        <v>0</v>
      </c>
      <c r="TU14" s="495">
        <v>0</v>
      </c>
      <c r="TV14" s="495">
        <v>0</v>
      </c>
      <c r="TW14" s="495">
        <v>0</v>
      </c>
      <c r="TX14" s="495">
        <v>0</v>
      </c>
      <c r="TY14" s="495">
        <v>0</v>
      </c>
      <c r="TZ14" s="495">
        <v>0</v>
      </c>
      <c r="UA14" s="495">
        <v>0</v>
      </c>
      <c r="UB14" s="495">
        <v>0</v>
      </c>
      <c r="UC14" s="495">
        <v>0</v>
      </c>
      <c r="UD14" s="495">
        <v>0</v>
      </c>
      <c r="UE14" s="495">
        <v>0</v>
      </c>
      <c r="UF14" s="495">
        <v>0</v>
      </c>
      <c r="UG14" s="495">
        <v>0</v>
      </c>
      <c r="UH14" s="495">
        <v>0</v>
      </c>
      <c r="UI14" s="495">
        <v>0</v>
      </c>
      <c r="UJ14" s="495">
        <v>0</v>
      </c>
      <c r="UK14" s="495">
        <v>0</v>
      </c>
      <c r="UL14" s="495">
        <v>0</v>
      </c>
      <c r="UM14" s="495">
        <v>0</v>
      </c>
      <c r="UN14" s="495">
        <v>0</v>
      </c>
      <c r="UO14" s="495">
        <v>0</v>
      </c>
      <c r="UP14" s="495">
        <v>0</v>
      </c>
      <c r="UQ14" s="495">
        <v>0</v>
      </c>
      <c r="UR14" s="495">
        <v>0</v>
      </c>
      <c r="US14" s="495">
        <v>0</v>
      </c>
      <c r="UT14" s="495">
        <v>0</v>
      </c>
      <c r="UU14" s="495">
        <v>0</v>
      </c>
      <c r="UV14" s="495">
        <v>0</v>
      </c>
      <c r="UW14" s="495">
        <v>0</v>
      </c>
      <c r="UX14" s="495">
        <v>0</v>
      </c>
      <c r="UY14" s="495">
        <v>0</v>
      </c>
      <c r="UZ14" s="495">
        <v>0</v>
      </c>
      <c r="VA14" s="495">
        <v>0</v>
      </c>
      <c r="VB14" s="495"/>
      <c r="VC14" s="495"/>
      <c r="VD14" s="495"/>
      <c r="VE14" s="495"/>
      <c r="VF14" s="495">
        <v>0</v>
      </c>
      <c r="VG14" s="495">
        <v>0</v>
      </c>
      <c r="VH14" s="495">
        <v>0</v>
      </c>
      <c r="VI14" s="495">
        <v>0</v>
      </c>
      <c r="VJ14" s="495">
        <v>0</v>
      </c>
      <c r="VK14" s="495">
        <v>0</v>
      </c>
      <c r="VL14" s="495">
        <v>0</v>
      </c>
      <c r="VM14" s="495">
        <v>0</v>
      </c>
      <c r="VN14" s="495">
        <v>0</v>
      </c>
      <c r="VO14" s="495">
        <v>0</v>
      </c>
      <c r="VP14" s="495">
        <v>0</v>
      </c>
      <c r="VQ14" s="495">
        <v>0</v>
      </c>
      <c r="VR14" s="495">
        <v>0</v>
      </c>
      <c r="VS14" s="495">
        <v>0</v>
      </c>
      <c r="VT14" s="495">
        <v>0</v>
      </c>
      <c r="VU14" s="495">
        <v>0</v>
      </c>
      <c r="VV14" s="495">
        <v>0</v>
      </c>
      <c r="VW14" s="495">
        <v>0</v>
      </c>
      <c r="VX14" s="495">
        <v>0</v>
      </c>
      <c r="VY14" s="495">
        <v>0</v>
      </c>
      <c r="VZ14" s="495">
        <v>0</v>
      </c>
      <c r="WA14" s="495">
        <v>0</v>
      </c>
      <c r="WB14" s="495">
        <v>0</v>
      </c>
      <c r="WC14" s="495">
        <v>0</v>
      </c>
      <c r="WD14" s="495">
        <v>0</v>
      </c>
      <c r="WE14" s="495">
        <v>0</v>
      </c>
      <c r="WF14" s="495">
        <v>0</v>
      </c>
      <c r="WG14" s="495">
        <v>0</v>
      </c>
      <c r="WH14" s="495">
        <v>0</v>
      </c>
      <c r="WI14" s="495">
        <v>0</v>
      </c>
      <c r="WJ14" s="495">
        <v>0</v>
      </c>
      <c r="WK14" s="495">
        <v>0</v>
      </c>
      <c r="WL14" s="495">
        <v>0</v>
      </c>
      <c r="WM14" s="495">
        <v>0</v>
      </c>
      <c r="WN14" s="495">
        <v>0</v>
      </c>
      <c r="WO14" s="495">
        <v>0</v>
      </c>
      <c r="WP14" s="495">
        <v>0</v>
      </c>
      <c r="WQ14" s="495">
        <v>0</v>
      </c>
      <c r="WR14" s="495">
        <v>0</v>
      </c>
      <c r="WS14" s="495">
        <v>0</v>
      </c>
      <c r="WT14" s="495">
        <v>0</v>
      </c>
      <c r="WU14" s="495">
        <v>0</v>
      </c>
      <c r="WV14" s="495">
        <v>0</v>
      </c>
      <c r="WW14" s="495">
        <v>0</v>
      </c>
      <c r="WX14" s="495">
        <v>0</v>
      </c>
      <c r="WY14" s="495">
        <v>0</v>
      </c>
      <c r="WZ14" s="495">
        <v>0</v>
      </c>
      <c r="XA14" s="495">
        <v>0</v>
      </c>
      <c r="XB14" s="495">
        <v>-3.4341555716283803</v>
      </c>
      <c r="XC14" s="495">
        <v>-3.2674150000000002</v>
      </c>
      <c r="XD14" s="495">
        <v>-3.30773152238354</v>
      </c>
      <c r="XE14" s="495">
        <v>-10.00930209401192</v>
      </c>
      <c r="XF14" s="495">
        <v>6.5102596318159396</v>
      </c>
      <c r="XG14" s="495">
        <v>-0.1361</v>
      </c>
      <c r="XH14" s="495">
        <v>10.371236363000001</v>
      </c>
      <c r="XI14" s="495">
        <v>16.74539599481594</v>
      </c>
      <c r="XJ14" s="495">
        <v>8.1701570920000002</v>
      </c>
      <c r="XK14" s="495">
        <v>7.7160099999999995E-2</v>
      </c>
      <c r="XL14" s="495">
        <v>29.17762883506451</v>
      </c>
      <c r="XM14" s="495">
        <v>37.424946027064514</v>
      </c>
      <c r="XN14" s="495">
        <v>-0.85862733499999955</v>
      </c>
      <c r="XO14" s="495">
        <v>1.5088743083893901</v>
      </c>
      <c r="XP14" s="495">
        <v>-17.974624899999991</v>
      </c>
      <c r="XQ14" s="495">
        <v>-17.324377926610602</v>
      </c>
      <c r="XR14" s="495">
        <v>0</v>
      </c>
      <c r="XS14" s="495">
        <v>0.781777626131827</v>
      </c>
      <c r="XT14" s="495">
        <v>-0.19642190000000001</v>
      </c>
      <c r="XU14" s="495">
        <v>0.58535572613182696</v>
      </c>
      <c r="XV14" s="495">
        <v>0</v>
      </c>
      <c r="XW14" s="495">
        <v>-0.18775449999999999</v>
      </c>
      <c r="XX14" s="495">
        <v>-3.7807244999999998</v>
      </c>
      <c r="XY14" s="495">
        <v>-3.9684790000000003</v>
      </c>
      <c r="XZ14" s="495">
        <v>3.7846682999999999</v>
      </c>
      <c r="YA14" s="495">
        <v>-3.7846682999999999</v>
      </c>
      <c r="YB14" s="495">
        <v>0</v>
      </c>
      <c r="YC14" s="495">
        <v>0</v>
      </c>
      <c r="YD14" s="495">
        <v>0</v>
      </c>
      <c r="YE14" s="495">
        <v>0</v>
      </c>
      <c r="YF14" s="495">
        <v>0</v>
      </c>
      <c r="YG14" s="495">
        <v>0</v>
      </c>
      <c r="YH14" s="495">
        <v>0</v>
      </c>
      <c r="YI14" s="495">
        <v>0</v>
      </c>
      <c r="YJ14" s="495">
        <v>24.4561919</v>
      </c>
      <c r="YK14" s="495">
        <v>111.4220507</v>
      </c>
      <c r="YL14" s="495">
        <v>-135.87824259999999</v>
      </c>
      <c r="YM14" s="495">
        <v>0</v>
      </c>
      <c r="YN14" s="495">
        <v>0</v>
      </c>
      <c r="YO14" s="495">
        <v>0</v>
      </c>
      <c r="YP14" s="495">
        <v>0</v>
      </c>
      <c r="YQ14" s="495">
        <v>0</v>
      </c>
      <c r="YR14" s="495">
        <v>2.8050899660000002</v>
      </c>
      <c r="YS14" s="495">
        <v>-2.8050899660000002</v>
      </c>
      <c r="YT14" s="495">
        <v>0</v>
      </c>
      <c r="YU14" s="495">
        <v>0</v>
      </c>
      <c r="YV14" s="495">
        <v>0</v>
      </c>
      <c r="YW14" s="495">
        <v>0</v>
      </c>
      <c r="YX14" s="495">
        <v>0</v>
      </c>
      <c r="YY14" s="495">
        <v>0</v>
      </c>
      <c r="YZ14" s="495">
        <v>0</v>
      </c>
      <c r="ZA14" s="495">
        <v>0</v>
      </c>
      <c r="ZB14" s="495">
        <v>0</v>
      </c>
      <c r="ZC14" s="495">
        <v>0</v>
      </c>
      <c r="ZD14" s="495">
        <v>0</v>
      </c>
      <c r="ZE14" s="495">
        <v>0</v>
      </c>
      <c r="ZF14" s="495">
        <v>0.24003659999999999</v>
      </c>
      <c r="ZG14" s="495">
        <v>-0.24</v>
      </c>
      <c r="ZH14" s="495">
        <v>0</v>
      </c>
      <c r="ZI14" s="495"/>
      <c r="ZJ14" s="495">
        <v>0</v>
      </c>
      <c r="ZK14" s="495">
        <v>0</v>
      </c>
      <c r="ZL14" s="495">
        <v>0</v>
      </c>
      <c r="ZM14" s="495">
        <v>0</v>
      </c>
      <c r="ZN14" s="495">
        <v>0</v>
      </c>
      <c r="ZO14" s="495">
        <v>0</v>
      </c>
      <c r="ZP14" s="495">
        <v>0</v>
      </c>
      <c r="ZQ14" s="495">
        <f t="shared" si="8"/>
        <v>2.8050899660000002</v>
      </c>
      <c r="ZR14" s="495">
        <v>0.97957833399999972</v>
      </c>
      <c r="ZS14" s="495">
        <v>-3.7846682999999999</v>
      </c>
      <c r="ZT14" s="495">
        <v>0</v>
      </c>
      <c r="ZU14" s="495">
        <v>24.216191900000002</v>
      </c>
      <c r="ZV14" s="495">
        <v>111.4220507</v>
      </c>
      <c r="ZW14" s="495">
        <v>-135.87824259999999</v>
      </c>
      <c r="ZX14" s="495">
        <v>-21.674700000000001</v>
      </c>
      <c r="ZY14" s="495">
        <v>0</v>
      </c>
      <c r="ZZ14" s="495">
        <v>0</v>
      </c>
      <c r="AAA14" s="495">
        <v>0</v>
      </c>
      <c r="AAB14" s="495">
        <v>0</v>
      </c>
      <c r="AAC14" s="495">
        <v>101</v>
      </c>
      <c r="AAD14" s="495">
        <v>78</v>
      </c>
      <c r="AAE14" s="495">
        <v>110.200059</v>
      </c>
      <c r="AAF14" s="495">
        <v>-68.200058999999996</v>
      </c>
      <c r="AAG14" s="495">
        <v>121.05</v>
      </c>
      <c r="AAH14" s="495">
        <v>28.33</v>
      </c>
      <c r="AAI14" s="495">
        <v>18.920000000000002</v>
      </c>
      <c r="AAJ14" s="495">
        <v>106.24</v>
      </c>
      <c r="AAK14" s="495">
        <v>-8.02</v>
      </c>
      <c r="AAL14" s="495">
        <v>88.525358999999995</v>
      </c>
      <c r="AAM14" s="495">
        <v>-68.200058999999996</v>
      </c>
      <c r="AAN14" s="495">
        <v>121.05</v>
      </c>
      <c r="AAO14" s="495">
        <v>28.33</v>
      </c>
      <c r="AAP14" s="495">
        <v>18.920000000000002</v>
      </c>
      <c r="AAQ14" s="495">
        <v>207.24</v>
      </c>
      <c r="AAR14" s="495">
        <v>69.98</v>
      </c>
    </row>
    <row r="15" spans="1:752" s="409" customFormat="1" ht="15" customHeight="1" x14ac:dyDescent="0.25">
      <c r="A15" s="491" t="s">
        <v>245</v>
      </c>
      <c r="B15" s="497">
        <v>966.18599059999997</v>
      </c>
      <c r="C15" s="497">
        <v>153.81671650000001</v>
      </c>
      <c r="D15" s="497">
        <v>13291.264625899999</v>
      </c>
      <c r="E15" s="497">
        <v>14411.267333</v>
      </c>
      <c r="F15" s="497">
        <v>693.80240000000003</v>
      </c>
      <c r="G15" s="497">
        <v>159.12869999999998</v>
      </c>
      <c r="H15" s="497">
        <v>13275.041300000001</v>
      </c>
      <c r="I15" s="497">
        <v>14127.972399999999</v>
      </c>
      <c r="J15" s="497">
        <v>1130.5196876</v>
      </c>
      <c r="K15" s="497">
        <v>116.94121539999998</v>
      </c>
      <c r="L15" s="497">
        <v>15619.4825516</v>
      </c>
      <c r="M15" s="497">
        <v>16866.943454600001</v>
      </c>
      <c r="N15" s="497">
        <v>619.04</v>
      </c>
      <c r="O15" s="497">
        <v>171.04999999999998</v>
      </c>
      <c r="P15" s="497">
        <v>14060.06</v>
      </c>
      <c r="Q15" s="497">
        <v>14850.15</v>
      </c>
      <c r="R15" s="497">
        <v>926.85289999999998</v>
      </c>
      <c r="S15" s="497">
        <v>133.25900000000001</v>
      </c>
      <c r="T15" s="497">
        <v>14382.0116</v>
      </c>
      <c r="U15" s="497">
        <v>15442.123499999998</v>
      </c>
      <c r="V15" s="497">
        <v>895.55</v>
      </c>
      <c r="W15" s="497">
        <v>136.77000000000001</v>
      </c>
      <c r="X15" s="497">
        <v>13063.67</v>
      </c>
      <c r="Y15" s="497">
        <v>14095.990000000002</v>
      </c>
      <c r="Z15" s="497">
        <v>1138.99</v>
      </c>
      <c r="AA15" s="497">
        <v>165.84</v>
      </c>
      <c r="AB15" s="497">
        <v>15173.46</v>
      </c>
      <c r="AC15" s="497">
        <v>16478.29</v>
      </c>
      <c r="AD15" s="497">
        <v>2483.8123717943799</v>
      </c>
      <c r="AE15" s="497">
        <v>422.08209512963498</v>
      </c>
      <c r="AF15" s="497">
        <v>15154.321122255</v>
      </c>
      <c r="AG15" s="497">
        <v>18060.215589178999</v>
      </c>
      <c r="AH15" s="497">
        <v>2708.2482885039099</v>
      </c>
      <c r="AI15" s="497">
        <v>469.020934031303</v>
      </c>
      <c r="AJ15" s="497">
        <v>18184.2643357118</v>
      </c>
      <c r="AK15" s="497">
        <v>21361.533558246992</v>
      </c>
      <c r="AL15" s="497">
        <v>2129.141177276857</v>
      </c>
      <c r="AM15" s="497">
        <v>351.73044644696881</v>
      </c>
      <c r="AN15" s="497">
        <v>19768.032415750182</v>
      </c>
      <c r="AO15" s="497">
        <v>22248.904039474004</v>
      </c>
      <c r="AP15" s="497">
        <v>2973.16285487601</v>
      </c>
      <c r="AQ15" s="497">
        <v>487.83439961679346</v>
      </c>
      <c r="AR15" s="497">
        <v>23272.724084362198</v>
      </c>
      <c r="AS15" s="497">
        <v>26733.721338855004</v>
      </c>
      <c r="AT15" s="497">
        <v>2723.3859024916687</v>
      </c>
      <c r="AU15" s="497">
        <v>432.56421767367857</v>
      </c>
      <c r="AV15" s="497">
        <v>24477.654731312628</v>
      </c>
      <c r="AW15" s="497">
        <v>27633.60485147798</v>
      </c>
      <c r="AX15" s="497">
        <v>3392.2067349067229</v>
      </c>
      <c r="AY15" s="497">
        <v>453.64834239735569</v>
      </c>
      <c r="AZ15" s="497">
        <v>26084.309422079921</v>
      </c>
      <c r="BA15" s="497">
        <v>29930.164499383998</v>
      </c>
      <c r="BB15" s="497">
        <v>2945.4490112658623</v>
      </c>
      <c r="BC15" s="497">
        <v>523.67539446594378</v>
      </c>
      <c r="BD15" s="497">
        <v>31587.742973992201</v>
      </c>
      <c r="BE15" s="497">
        <v>35056.867379723997</v>
      </c>
      <c r="BF15" s="497">
        <v>832.73690669999996</v>
      </c>
      <c r="BG15" s="497">
        <v>338.61942679999999</v>
      </c>
      <c r="BH15" s="497">
        <v>7751.4259300000003</v>
      </c>
      <c r="BI15" s="497">
        <v>8922.7822634999993</v>
      </c>
      <c r="BJ15" s="497">
        <v>883.58298390000004</v>
      </c>
      <c r="BK15" s="497">
        <v>280.66786109999998</v>
      </c>
      <c r="BL15" s="497">
        <v>11494.045166800001</v>
      </c>
      <c r="BM15" s="497">
        <v>12658.296011799999</v>
      </c>
      <c r="BN15" s="497">
        <v>809.65229999999997</v>
      </c>
      <c r="BO15" s="497">
        <v>207.55769999999998</v>
      </c>
      <c r="BP15" s="497">
        <v>10446.243399999999</v>
      </c>
      <c r="BQ15" s="497">
        <v>11463.4534</v>
      </c>
      <c r="BR15" s="497">
        <v>1020.7139158</v>
      </c>
      <c r="BS15" s="497">
        <v>208.06700300000003</v>
      </c>
      <c r="BT15" s="497">
        <v>13179.4676444</v>
      </c>
      <c r="BU15" s="497">
        <v>14408.248563200001</v>
      </c>
      <c r="BV15" s="497">
        <v>986.26350000000002</v>
      </c>
      <c r="BW15" s="497">
        <v>285.4735</v>
      </c>
      <c r="BX15" s="497">
        <v>14131.4292</v>
      </c>
      <c r="BY15" s="497">
        <v>15403.166200000001</v>
      </c>
      <c r="BZ15" s="497">
        <v>933.47</v>
      </c>
      <c r="CA15" s="497">
        <v>240.51999999999998</v>
      </c>
      <c r="CB15" s="497">
        <v>13592.26</v>
      </c>
      <c r="CC15" s="497">
        <v>14766.25</v>
      </c>
      <c r="CD15" s="497">
        <v>997.50602019999997</v>
      </c>
      <c r="CE15" s="497">
        <v>272.90170699999999</v>
      </c>
      <c r="CF15" s="497">
        <v>15656.465169399999</v>
      </c>
      <c r="CG15" s="497">
        <v>16926.872896599998</v>
      </c>
      <c r="CH15" s="497">
        <v>991.92075130000001</v>
      </c>
      <c r="CI15" s="497">
        <v>309.66411890000001</v>
      </c>
      <c r="CJ15" s="497">
        <v>10936.9251501</v>
      </c>
      <c r="CK15" s="497">
        <v>12238.510020299998</v>
      </c>
      <c r="CL15" s="497">
        <v>1231.7637</v>
      </c>
      <c r="CM15" s="497">
        <v>270.90469999999999</v>
      </c>
      <c r="CN15" s="497">
        <v>14974.225999999999</v>
      </c>
      <c r="CO15" s="497">
        <v>16476.894399999997</v>
      </c>
      <c r="CP15" s="497">
        <v>1145.2612000000001</v>
      </c>
      <c r="CQ15" s="497">
        <v>241.1867</v>
      </c>
      <c r="CR15" s="497">
        <v>14016.7585</v>
      </c>
      <c r="CS15" s="497">
        <v>15403.206399999999</v>
      </c>
      <c r="CT15" s="497">
        <v>1011.0007741000001</v>
      </c>
      <c r="CU15" s="497">
        <v>291.8756874</v>
      </c>
      <c r="CV15" s="497">
        <v>16825.324170100001</v>
      </c>
      <c r="CW15" s="497">
        <v>18128.200631600001</v>
      </c>
      <c r="CX15" s="497">
        <v>1477.9177</v>
      </c>
      <c r="CY15" s="497">
        <v>215.30900000000003</v>
      </c>
      <c r="CZ15" s="497">
        <v>16449.767800000001</v>
      </c>
      <c r="DA15" s="497">
        <v>18142.994500000001</v>
      </c>
      <c r="DB15" s="497">
        <v>1071.0899999999999</v>
      </c>
      <c r="DC15" s="497">
        <v>181.66</v>
      </c>
      <c r="DD15" s="497">
        <v>15872.720000000001</v>
      </c>
      <c r="DE15" s="497">
        <v>17125.47</v>
      </c>
      <c r="DF15" s="497">
        <v>1189.76</v>
      </c>
      <c r="DG15" s="497">
        <v>281.65000000000003</v>
      </c>
      <c r="DH15" s="497">
        <v>17072.03</v>
      </c>
      <c r="DI15" s="497">
        <v>18543.439999999999</v>
      </c>
      <c r="DJ15" s="497">
        <f t="shared" si="0"/>
        <v>5941.43175487601</v>
      </c>
      <c r="DK15" s="497">
        <f t="shared" si="1"/>
        <v>1099.5557996167934</v>
      </c>
      <c r="DL15" s="497">
        <f t="shared" si="2"/>
        <v>63075.205084362198</v>
      </c>
      <c r="DM15" s="497">
        <f t="shared" si="3"/>
        <v>70116.192638854991</v>
      </c>
      <c r="DN15" s="497">
        <f t="shared" si="4"/>
        <v>6028.3510182916689</v>
      </c>
      <c r="DO15" s="497">
        <f t="shared" si="5"/>
        <v>1047.6579206736785</v>
      </c>
      <c r="DP15" s="497">
        <f t="shared" si="6"/>
        <v>66847.340875712631</v>
      </c>
      <c r="DQ15" s="497">
        <f t="shared" si="7"/>
        <v>73923.349814677975</v>
      </c>
      <c r="DR15" s="497">
        <v>5214.5743648768566</v>
      </c>
      <c r="DS15" s="497">
        <v>917.41606184696877</v>
      </c>
      <c r="DT15" s="497">
        <v>59850.516867350176</v>
      </c>
      <c r="DU15" s="497">
        <v>65982.507294074006</v>
      </c>
      <c r="DV15" s="497">
        <v>5623.9175447760099</v>
      </c>
      <c r="DW15" s="497">
        <v>1158.8270900167936</v>
      </c>
      <c r="DX15" s="497">
        <v>67337.575898862196</v>
      </c>
      <c r="DY15" s="497">
        <v>74120.320533655002</v>
      </c>
      <c r="DZ15" s="497">
        <v>6114.4200024916681</v>
      </c>
      <c r="EA15" s="497">
        <v>1066.6057176736786</v>
      </c>
      <c r="EB15" s="497">
        <v>69440.863331312634</v>
      </c>
      <c r="EC15" s="497">
        <v>76621.889051477978</v>
      </c>
      <c r="ED15" s="497">
        <v>6292.3167349067235</v>
      </c>
      <c r="EE15" s="497">
        <v>1012.5983423973556</v>
      </c>
      <c r="EF15" s="497">
        <v>68612.959422079919</v>
      </c>
      <c r="EG15" s="497">
        <v>75917.874499384008</v>
      </c>
      <c r="EH15" s="497">
        <v>6271.7050314658618</v>
      </c>
      <c r="EI15" s="497">
        <v>1244.0671014659438</v>
      </c>
      <c r="EJ15" s="497">
        <v>79489.69814339219</v>
      </c>
      <c r="EK15" s="497">
        <v>87005.470276323991</v>
      </c>
      <c r="EL15" s="497">
        <v>0</v>
      </c>
      <c r="EM15" s="497">
        <v>0</v>
      </c>
      <c r="EN15" s="497">
        <v>14.046899999999999</v>
      </c>
      <c r="EO15" s="497">
        <v>14.046899999999999</v>
      </c>
      <c r="EP15" s="497">
        <v>0</v>
      </c>
      <c r="EQ15" s="497">
        <v>0</v>
      </c>
      <c r="ER15" s="497">
        <v>193.08186675104002</v>
      </c>
      <c r="ES15" s="497">
        <v>193.08186675104002</v>
      </c>
      <c r="ET15" s="497">
        <v>0</v>
      </c>
      <c r="EU15" s="497">
        <v>0</v>
      </c>
      <c r="EV15" s="497">
        <v>379.29489732456113</v>
      </c>
      <c r="EW15" s="497">
        <v>379.29489732456113</v>
      </c>
      <c r="EX15" s="497">
        <v>1.74138688187454E-2</v>
      </c>
      <c r="EY15" s="497">
        <v>0</v>
      </c>
      <c r="EZ15" s="497">
        <v>340.98103283618099</v>
      </c>
      <c r="FA15" s="497">
        <v>340.99844670499976</v>
      </c>
      <c r="FB15" s="497">
        <v>3.8115956081677498E-2</v>
      </c>
      <c r="FC15" s="497">
        <v>0</v>
      </c>
      <c r="FD15" s="497">
        <v>869.196231272918</v>
      </c>
      <c r="FE15" s="497">
        <v>869.23434722899992</v>
      </c>
      <c r="FF15" s="497">
        <v>99.8465159</v>
      </c>
      <c r="FG15" s="497">
        <v>84.583281700000001</v>
      </c>
      <c r="FH15" s="497">
        <v>4688.9392004000001</v>
      </c>
      <c r="FI15" s="497">
        <v>4873.3689979999999</v>
      </c>
      <c r="FJ15" s="497">
        <v>157.85579999999999</v>
      </c>
      <c r="FK15" s="497">
        <v>86.960099999999997</v>
      </c>
      <c r="FL15" s="497">
        <v>5525.3676000000005</v>
      </c>
      <c r="FM15" s="497">
        <v>5770.1835000000001</v>
      </c>
      <c r="FN15" s="497">
        <v>190.89602239999999</v>
      </c>
      <c r="FO15" s="497">
        <v>135.0320279</v>
      </c>
      <c r="FP15" s="497">
        <v>6661.8993852999993</v>
      </c>
      <c r="FQ15" s="497">
        <v>6987.8274355999993</v>
      </c>
      <c r="FR15" s="497">
        <v>279.755849681641</v>
      </c>
      <c r="FS15" s="497">
        <v>125.61125951590191</v>
      </c>
      <c r="FT15" s="497">
        <v>7811.3509866024606</v>
      </c>
      <c r="FU15" s="497">
        <v>8216.7180958000026</v>
      </c>
      <c r="FV15" s="497">
        <v>270.35320312169398</v>
      </c>
      <c r="FW15" s="497">
        <v>106.3513382566521</v>
      </c>
      <c r="FX15" s="497">
        <v>6822.6684599216496</v>
      </c>
      <c r="FY15" s="497">
        <v>7199.3730012999958</v>
      </c>
      <c r="FZ15" s="497">
        <v>208.60130162241597</v>
      </c>
      <c r="GA15" s="497">
        <v>122.2902182067468</v>
      </c>
      <c r="GB15" s="497">
        <v>7415.6787935708408</v>
      </c>
      <c r="GC15" s="497">
        <v>7746.5703134000005</v>
      </c>
      <c r="GD15" s="497">
        <v>21.515780857724941</v>
      </c>
      <c r="GE15" s="497">
        <v>19.455838567935182</v>
      </c>
      <c r="GF15" s="497">
        <v>1376.2514749684146</v>
      </c>
      <c r="GG15" s="497">
        <v>1417.2230943940747</v>
      </c>
      <c r="GH15" s="497">
        <v>11.12926088014904</v>
      </c>
      <c r="GI15" s="497">
        <v>20.4253096415481</v>
      </c>
      <c r="GJ15" s="497">
        <v>1400.9965305623859</v>
      </c>
      <c r="GK15" s="497">
        <v>1432.551101084086</v>
      </c>
      <c r="GL15" s="497">
        <v>18.788588247387999</v>
      </c>
      <c r="GM15" s="497">
        <v>36.360147190140509</v>
      </c>
      <c r="GN15" s="497">
        <v>1597.7720928441042</v>
      </c>
      <c r="GO15" s="497">
        <v>1652.9208282816328</v>
      </c>
      <c r="GP15" s="497">
        <v>25.624286706030198</v>
      </c>
      <c r="GQ15" s="497">
        <v>87.771044900618293</v>
      </c>
      <c r="GR15" s="497">
        <v>2162.4530678653241</v>
      </c>
      <c r="GS15" s="497">
        <v>2275.8483994719727</v>
      </c>
      <c r="GT15" s="497">
        <v>67.565647802166609</v>
      </c>
      <c r="GU15" s="497">
        <v>59.509866856500025</v>
      </c>
      <c r="GV15" s="497">
        <v>1920.1690731917915</v>
      </c>
      <c r="GW15" s="497">
        <v>2047.2445878504579</v>
      </c>
      <c r="GX15" s="497">
        <v>41.331095400000002</v>
      </c>
      <c r="GY15" s="497">
        <v>2.3986125999999999</v>
      </c>
      <c r="GZ15" s="497">
        <v>2323.5010120000002</v>
      </c>
      <c r="HA15" s="497">
        <v>2367.23072</v>
      </c>
      <c r="HB15" s="497">
        <v>60.308099999999996</v>
      </c>
      <c r="HC15" s="497">
        <v>10.342097800000001</v>
      </c>
      <c r="HD15" s="497">
        <v>2879.2037</v>
      </c>
      <c r="HE15" s="497">
        <v>2949.8538977999997</v>
      </c>
      <c r="HF15" s="497">
        <v>5.1920999999999964</v>
      </c>
      <c r="HG15" s="497">
        <v>13.9581491</v>
      </c>
      <c r="HH15" s="497">
        <v>3255.9542059999994</v>
      </c>
      <c r="HI15" s="497">
        <v>3275.1044550999995</v>
      </c>
      <c r="HJ15" s="497">
        <v>54.7183663</v>
      </c>
      <c r="HK15" s="497">
        <v>15.482266500000001</v>
      </c>
      <c r="HL15" s="497">
        <v>3614.3155999999994</v>
      </c>
      <c r="HM15" s="497">
        <v>3684.5162327999997</v>
      </c>
      <c r="HN15" s="497">
        <v>76.055440189488593</v>
      </c>
      <c r="HO15" s="497">
        <v>22.41895175967856</v>
      </c>
      <c r="HP15" s="497">
        <v>3391.0494644247378</v>
      </c>
      <c r="HQ15" s="497">
        <v>3489.5238563739053</v>
      </c>
      <c r="HR15" s="497">
        <v>67.247652168571705</v>
      </c>
      <c r="HS15" s="497">
        <v>29.574764378205739</v>
      </c>
      <c r="HT15" s="497">
        <v>3773.1943648691495</v>
      </c>
      <c r="HU15" s="497">
        <v>3870.0167814159267</v>
      </c>
      <c r="HV15" s="497">
        <v>0</v>
      </c>
      <c r="HW15" s="497">
        <v>0</v>
      </c>
      <c r="HX15" s="497">
        <v>18.244336999999998</v>
      </c>
      <c r="HY15" s="497">
        <v>18.244336999999998</v>
      </c>
      <c r="HZ15" s="497">
        <v>2.5691972888052299</v>
      </c>
      <c r="IA15" s="497">
        <v>8.2800000000000018E-4</v>
      </c>
      <c r="IB15" s="497">
        <v>92.000668018194801</v>
      </c>
      <c r="IC15" s="497">
        <v>94.570693307000028</v>
      </c>
      <c r="ID15" s="497">
        <v>3.2647705</v>
      </c>
      <c r="IE15" s="497">
        <v>8.0225399999999988E-2</v>
      </c>
      <c r="IF15" s="497">
        <v>192.34165183627249</v>
      </c>
      <c r="IG15" s="497">
        <v>195.68664773627248</v>
      </c>
      <c r="IH15" s="497">
        <v>3.6129958999999996</v>
      </c>
      <c r="II15" s="497">
        <v>0.7680556999999999</v>
      </c>
      <c r="IJ15" s="497">
        <v>283.037718251</v>
      </c>
      <c r="IK15" s="497">
        <v>287.41876985100004</v>
      </c>
      <c r="IL15" s="497">
        <v>6.3196133003657122</v>
      </c>
      <c r="IM15" s="497">
        <v>0.70037119959338201</v>
      </c>
      <c r="IN15" s="497">
        <v>360.970562073503</v>
      </c>
      <c r="IO15" s="497">
        <v>367.9905465734621</v>
      </c>
      <c r="IP15" s="497">
        <v>60.378864499999999</v>
      </c>
      <c r="IQ15" s="497">
        <v>45.209456600000003</v>
      </c>
      <c r="IR15" s="497">
        <v>1154.5032134</v>
      </c>
      <c r="IS15" s="497">
        <v>1260.0915345000001</v>
      </c>
      <c r="IT15" s="497">
        <v>68.818744100000004</v>
      </c>
      <c r="IU15" s="497">
        <v>39.185035999999997</v>
      </c>
      <c r="IV15" s="497">
        <v>1330.8386829000001</v>
      </c>
      <c r="IW15" s="497">
        <v>1438.842463</v>
      </c>
      <c r="IX15" s="497">
        <v>119.623606</v>
      </c>
      <c r="IY15" s="497">
        <v>52.307618599999998</v>
      </c>
      <c r="IZ15" s="497">
        <v>1567.1322150000001</v>
      </c>
      <c r="JA15" s="497">
        <v>1739.0634396</v>
      </c>
      <c r="JB15" s="497">
        <v>117.842</v>
      </c>
      <c r="JC15" s="497">
        <v>53.654659500000001</v>
      </c>
      <c r="JD15" s="497">
        <v>1955.4929999999999</v>
      </c>
      <c r="JE15" s="497">
        <v>2126.9896595</v>
      </c>
      <c r="JF15" s="497">
        <v>139.7047</v>
      </c>
      <c r="JG15" s="497">
        <v>64.297117499999999</v>
      </c>
      <c r="JH15" s="497">
        <v>2189.6336000000001</v>
      </c>
      <c r="JI15" s="497">
        <v>2393.6354175000001</v>
      </c>
      <c r="JJ15" s="497">
        <v>188.69488230000002</v>
      </c>
      <c r="JK15" s="497">
        <v>68.996075300000001</v>
      </c>
      <c r="JL15" s="497">
        <v>2460.3312412999999</v>
      </c>
      <c r="JM15" s="497">
        <v>2718.0221989000001</v>
      </c>
      <c r="JN15" s="497">
        <v>0.5996999999999999</v>
      </c>
      <c r="JO15" s="497">
        <v>-1.5000000000000005E-3</v>
      </c>
      <c r="JP15" s="497">
        <v>90.1738</v>
      </c>
      <c r="JQ15" s="497">
        <v>90.771999999999991</v>
      </c>
      <c r="JR15" s="497">
        <v>8.4223035999999993</v>
      </c>
      <c r="JS15" s="497">
        <v>2.0003300000000002E-2</v>
      </c>
      <c r="JT15" s="497">
        <v>817.39721902999997</v>
      </c>
      <c r="JU15" s="497">
        <v>825.83952592999992</v>
      </c>
      <c r="JV15" s="497">
        <v>11.543699999999999</v>
      </c>
      <c r="JW15" s="497">
        <v>5.5300000000000002E-2</v>
      </c>
      <c r="JX15" s="497">
        <v>1580.1847</v>
      </c>
      <c r="JY15" s="497">
        <v>1591.7837000000002</v>
      </c>
      <c r="JZ15" s="497">
        <v>84.396099500000005</v>
      </c>
      <c r="KA15" s="497">
        <v>1.4295798</v>
      </c>
      <c r="KB15" s="497">
        <v>2284.707844126011</v>
      </c>
      <c r="KC15" s="497">
        <v>2370.533523426011</v>
      </c>
      <c r="KD15" s="497">
        <v>104.9243013</v>
      </c>
      <c r="KE15" s="497">
        <v>0.95286589999999971</v>
      </c>
      <c r="KF15" s="497">
        <v>4028.7353115000001</v>
      </c>
      <c r="KG15" s="497">
        <v>4134.6124786999999</v>
      </c>
      <c r="KH15" s="497">
        <v>44.360600000000005</v>
      </c>
      <c r="KI15" s="497">
        <v>23.715400000000002</v>
      </c>
      <c r="KJ15" s="497">
        <v>1014.4582</v>
      </c>
      <c r="KK15" s="497">
        <v>1082.5341999999998</v>
      </c>
      <c r="KL15" s="497">
        <v>142.1217</v>
      </c>
      <c r="KM15" s="497">
        <v>65.218800000000002</v>
      </c>
      <c r="KN15" s="497">
        <v>2805.3863000000001</v>
      </c>
      <c r="KO15" s="497">
        <v>3012.7268000000004</v>
      </c>
      <c r="KP15" s="497">
        <v>98.790500000000009</v>
      </c>
      <c r="KQ15" s="497">
        <v>90.042199999999994</v>
      </c>
      <c r="KR15" s="497">
        <v>3699.0844999999999</v>
      </c>
      <c r="KS15" s="497">
        <v>3887.9171999999999</v>
      </c>
      <c r="KT15" s="497">
        <v>230.11750000000001</v>
      </c>
      <c r="KU15" s="497">
        <v>97.230799999999988</v>
      </c>
      <c r="KV15" s="497">
        <v>4233.9351999999999</v>
      </c>
      <c r="KW15" s="497">
        <v>4561.2835000000005</v>
      </c>
      <c r="KX15" s="497">
        <v>318.93</v>
      </c>
      <c r="KY15" s="497">
        <v>107.56</v>
      </c>
      <c r="KZ15" s="497">
        <v>6214.12</v>
      </c>
      <c r="LA15" s="497">
        <v>6640.6100000000006</v>
      </c>
      <c r="LB15" s="497">
        <v>260.90254305671499</v>
      </c>
      <c r="LC15" s="497">
        <v>156.5462297532379</v>
      </c>
      <c r="LD15" s="497">
        <v>7029.0380508474627</v>
      </c>
      <c r="LE15" s="497">
        <v>7446.4868236574112</v>
      </c>
      <c r="LF15" s="497">
        <v>70.561093499999998</v>
      </c>
      <c r="LG15" s="497">
        <v>224.71695270000001</v>
      </c>
      <c r="LH15" s="497">
        <v>6206.9602735999997</v>
      </c>
      <c r="LI15" s="497">
        <v>6502.2383197999998</v>
      </c>
      <c r="LJ15" s="497">
        <v>59.450233400000002</v>
      </c>
      <c r="LK15" s="497">
        <v>169.093997</v>
      </c>
      <c r="LL15" s="497">
        <v>6914.0924191999993</v>
      </c>
      <c r="LM15" s="497">
        <v>7142.6366495999991</v>
      </c>
      <c r="LN15" s="497">
        <v>146.60840000000002</v>
      </c>
      <c r="LO15" s="497">
        <v>294.8911402</v>
      </c>
      <c r="LP15" s="497">
        <v>8079.3014999999996</v>
      </c>
      <c r="LQ15" s="497">
        <v>8520.8010402</v>
      </c>
      <c r="LR15" s="497">
        <v>235.15269999999998</v>
      </c>
      <c r="LS15" s="497">
        <v>243.04214590000001</v>
      </c>
      <c r="LT15" s="497">
        <v>9030.4775000000009</v>
      </c>
      <c r="LU15" s="497">
        <v>9508.6723459000004</v>
      </c>
      <c r="LV15" s="497">
        <v>324.05166960000003</v>
      </c>
      <c r="LW15" s="497">
        <v>290.81593199999998</v>
      </c>
      <c r="LX15" s="497">
        <v>9591.0634535999998</v>
      </c>
      <c r="LY15" s="497">
        <v>10205.931055200001</v>
      </c>
      <c r="LZ15" s="497">
        <v>381.92999999999995</v>
      </c>
      <c r="MA15" s="497">
        <v>414.29999999999995</v>
      </c>
      <c r="MB15" s="497">
        <v>13539.669999999998</v>
      </c>
      <c r="MC15" s="497">
        <v>14335.899999999998</v>
      </c>
      <c r="MD15" s="497">
        <v>-4.4532527000000002</v>
      </c>
      <c r="ME15" s="497">
        <v>48.661551000000003</v>
      </c>
      <c r="MF15" s="497">
        <v>3558.8628773999999</v>
      </c>
      <c r="MG15" s="497">
        <v>3603.0711756999999</v>
      </c>
      <c r="MH15" s="497">
        <v>52.196199100000001</v>
      </c>
      <c r="MI15" s="497">
        <v>41.4493844</v>
      </c>
      <c r="MJ15" s="497">
        <v>3415.8559134000002</v>
      </c>
      <c r="MK15" s="497">
        <v>3509.5014969000003</v>
      </c>
      <c r="ML15" s="497">
        <v>22.201204600000001</v>
      </c>
      <c r="MM15" s="497">
        <v>48.327059800000001</v>
      </c>
      <c r="MN15" s="497">
        <v>4258.3122093000002</v>
      </c>
      <c r="MO15" s="497">
        <v>4328.8404737000001</v>
      </c>
      <c r="MP15" s="497">
        <v>-14.815300000000002</v>
      </c>
      <c r="MQ15" s="497">
        <v>57.850699999999996</v>
      </c>
      <c r="MR15" s="497">
        <v>4964.9144999999999</v>
      </c>
      <c r="MS15" s="497">
        <v>5007.9499000000005</v>
      </c>
      <c r="MT15" s="497">
        <v>25.520828900000001</v>
      </c>
      <c r="MU15" s="497">
        <v>69.174782399999998</v>
      </c>
      <c r="MV15" s="497">
        <v>5069.8072271999999</v>
      </c>
      <c r="MW15" s="497">
        <v>5164.5028385000005</v>
      </c>
      <c r="MX15" s="497">
        <v>42.668251400000003</v>
      </c>
      <c r="MY15" s="497">
        <v>147.45005949999998</v>
      </c>
      <c r="MZ15" s="497">
        <v>6368.7233678000011</v>
      </c>
      <c r="NA15" s="497">
        <v>6558.8416787000006</v>
      </c>
      <c r="NB15" s="497">
        <v>-8.9385500000000007E-2</v>
      </c>
      <c r="NC15" s="497">
        <v>0</v>
      </c>
      <c r="ND15" s="497">
        <v>80.507448400000001</v>
      </c>
      <c r="NE15" s="497">
        <v>80.41806290000001</v>
      </c>
      <c r="NF15" s="497">
        <v>2.2498341000000002</v>
      </c>
      <c r="NG15" s="497">
        <v>0</v>
      </c>
      <c r="NH15" s="497">
        <v>163.01943690000002</v>
      </c>
      <c r="NI15" s="497">
        <v>165.269271</v>
      </c>
      <c r="NJ15" s="497">
        <v>7.1131513999999996</v>
      </c>
      <c r="NK15" s="497">
        <v>0</v>
      </c>
      <c r="NL15" s="497">
        <v>251.66563070000001</v>
      </c>
      <c r="NM15" s="497">
        <v>258.7787821</v>
      </c>
      <c r="NN15" s="497">
        <v>16.960807899999999</v>
      </c>
      <c r="NO15" s="497">
        <v>0</v>
      </c>
      <c r="NP15" s="497">
        <v>347.81538239999998</v>
      </c>
      <c r="NQ15" s="497">
        <v>364.7761903</v>
      </c>
      <c r="NR15" s="497">
        <v>11.374919200000001</v>
      </c>
      <c r="NS15" s="497">
        <v>1.55864E-2</v>
      </c>
      <c r="NT15" s="497">
        <v>441.18194989999995</v>
      </c>
      <c r="NU15" s="497">
        <v>452.57245550000005</v>
      </c>
      <c r="NV15" s="497">
        <v>9.9651037999999996</v>
      </c>
      <c r="NW15" s="497">
        <v>1.4943194000000002</v>
      </c>
      <c r="NX15" s="497">
        <v>620.869926239032</v>
      </c>
      <c r="NY15" s="497">
        <v>632.32934943903206</v>
      </c>
      <c r="NZ15" s="497">
        <v>17.801938482561301</v>
      </c>
      <c r="OA15" s="497">
        <v>10.851196365147</v>
      </c>
      <c r="OB15" s="497">
        <v>638.62077198641498</v>
      </c>
      <c r="OC15" s="497">
        <v>667.27390683412432</v>
      </c>
      <c r="OD15" s="497">
        <v>12.27577387966827</v>
      </c>
      <c r="OE15" s="497">
        <v>15.733495533832841</v>
      </c>
      <c r="OF15" s="497">
        <v>769.10641729851898</v>
      </c>
      <c r="OG15" s="497">
        <v>797.11568671202008</v>
      </c>
      <c r="OH15" s="497">
        <v>22.328814711667398</v>
      </c>
      <c r="OI15" s="497">
        <v>25.67462413698243</v>
      </c>
      <c r="OJ15" s="497">
        <v>932.347606479452</v>
      </c>
      <c r="OK15" s="497">
        <v>980.35104532810169</v>
      </c>
      <c r="OL15" s="497">
        <v>7.8847891852289003</v>
      </c>
      <c r="OM15" s="497">
        <v>24.7614123760589</v>
      </c>
      <c r="ON15" s="497">
        <v>1414.280932225525</v>
      </c>
      <c r="OO15" s="497">
        <v>1446.9271337868129</v>
      </c>
      <c r="OP15" s="497">
        <v>19.436993573577702</v>
      </c>
      <c r="OQ15" s="497">
        <v>28.283571528975926</v>
      </c>
      <c r="OR15" s="497">
        <v>1351.3976185025299</v>
      </c>
      <c r="OS15" s="497">
        <v>1399.1181836050837</v>
      </c>
      <c r="OT15" s="497">
        <v>13.071471512328801</v>
      </c>
      <c r="OU15" s="497">
        <v>52.213523694281498</v>
      </c>
      <c r="OV15" s="497">
        <v>1384.9822794182251</v>
      </c>
      <c r="OW15" s="497">
        <v>1450.2672746248359</v>
      </c>
      <c r="OX15" s="497">
        <v>12.0108520946394</v>
      </c>
      <c r="OY15" s="497">
        <v>6.1248031481845402</v>
      </c>
      <c r="OZ15" s="497">
        <v>384.65973682036201</v>
      </c>
      <c r="PA15" s="497">
        <v>402.79539206318566</v>
      </c>
      <c r="PB15" s="497">
        <v>23.00889988425828</v>
      </c>
      <c r="PC15" s="497">
        <v>4.8095000665445289</v>
      </c>
      <c r="PD15" s="497">
        <v>389.70382702732036</v>
      </c>
      <c r="PE15" s="497">
        <v>417.52222697812374</v>
      </c>
      <c r="PF15" s="497">
        <v>27.952378498062721</v>
      </c>
      <c r="PG15" s="497">
        <v>6.4548449898226101</v>
      </c>
      <c r="PH15" s="497">
        <v>451.78727984426888</v>
      </c>
      <c r="PI15" s="497">
        <v>486.19450333215417</v>
      </c>
      <c r="PJ15" s="497">
        <v>39.061131580320996</v>
      </c>
      <c r="PK15" s="497">
        <v>7.2459340451382896</v>
      </c>
      <c r="PL15" s="497">
        <v>838.78207171340296</v>
      </c>
      <c r="PM15" s="497">
        <v>885.08913733886232</v>
      </c>
      <c r="PN15" s="497">
        <v>70.574663102395547</v>
      </c>
      <c r="PO15" s="497">
        <v>8.9840127077469294</v>
      </c>
      <c r="PP15" s="497">
        <v>849.11056278441652</v>
      </c>
      <c r="PQ15" s="497">
        <v>928.66923859455892</v>
      </c>
      <c r="PR15" s="497">
        <v>89.098763489779998</v>
      </c>
      <c r="PS15" s="497">
        <v>6.6916460936524089</v>
      </c>
      <c r="PT15" s="497">
        <v>1080.255778370102</v>
      </c>
      <c r="PU15" s="497">
        <v>1176.0461879535349</v>
      </c>
      <c r="PV15" s="497">
        <v>43.093270879999999</v>
      </c>
      <c r="PW15" s="497">
        <v>0</v>
      </c>
      <c r="PX15" s="497">
        <v>24.381371483000002</v>
      </c>
      <c r="PY15" s="497">
        <v>67.474642363000001</v>
      </c>
      <c r="PZ15" s="497">
        <v>46.603596638999996</v>
      </c>
      <c r="QA15" s="497">
        <v>0</v>
      </c>
      <c r="QB15" s="497">
        <v>103.61949928999999</v>
      </c>
      <c r="QC15" s="497">
        <v>150.22309592900001</v>
      </c>
      <c r="QD15" s="497">
        <v>10.703931705999999</v>
      </c>
      <c r="QE15" s="497">
        <v>0</v>
      </c>
      <c r="QF15" s="497">
        <v>177.22802214000001</v>
      </c>
      <c r="QG15" s="497">
        <v>187.93195384599997</v>
      </c>
      <c r="QH15" s="497">
        <v>29.715470333999999</v>
      </c>
      <c r="QI15" s="497">
        <v>0</v>
      </c>
      <c r="QJ15" s="497">
        <v>118.043515243</v>
      </c>
      <c r="QK15" s="497">
        <v>147.758985577</v>
      </c>
      <c r="QL15" s="497">
        <v>15.27</v>
      </c>
      <c r="QM15" s="497">
        <v>0</v>
      </c>
      <c r="QN15" s="497">
        <v>178.97</v>
      </c>
      <c r="QO15" s="497">
        <v>194.24</v>
      </c>
      <c r="QP15" s="497">
        <v>1.4610000999999999</v>
      </c>
      <c r="QQ15" s="497">
        <v>-9.8459999999999997E-4</v>
      </c>
      <c r="QR15" s="497">
        <v>47.316822000000002</v>
      </c>
      <c r="QS15" s="497">
        <v>48.776837499999999</v>
      </c>
      <c r="QT15" s="497">
        <v>-0.76055279999999992</v>
      </c>
      <c r="QU15" s="497">
        <v>2.13279E-2</v>
      </c>
      <c r="QV15" s="497">
        <v>77.63977890000001</v>
      </c>
      <c r="QW15" s="497">
        <v>76.900554</v>
      </c>
      <c r="QX15" s="497">
        <v>0.19697160000000002</v>
      </c>
      <c r="QY15" s="497">
        <v>3.0174800000000002E-2</v>
      </c>
      <c r="QZ15" s="497">
        <v>118.8031419</v>
      </c>
      <c r="RA15" s="497">
        <v>119.03028829999998</v>
      </c>
      <c r="RB15" s="497">
        <v>1.1638843000000001</v>
      </c>
      <c r="RC15" s="497">
        <v>2.7123000000000008E-3</v>
      </c>
      <c r="RD15" s="497">
        <v>190.56837490000001</v>
      </c>
      <c r="RE15" s="497">
        <v>191.7349715</v>
      </c>
      <c r="RF15" s="497">
        <v>8.7783005999999997</v>
      </c>
      <c r="RG15" s="497">
        <v>0.17075609999999999</v>
      </c>
      <c r="RH15" s="497">
        <v>295.35254529999997</v>
      </c>
      <c r="RI15" s="497">
        <v>304.301602</v>
      </c>
      <c r="RJ15" s="497">
        <v>11.175059999999998</v>
      </c>
      <c r="RK15" s="497">
        <v>-2.8675800000000001E-2</v>
      </c>
      <c r="RL15" s="497">
        <v>426.12421790000002</v>
      </c>
      <c r="RM15" s="497">
        <v>437.27060210000002</v>
      </c>
      <c r="RN15" s="497">
        <v>73.120368580091395</v>
      </c>
      <c r="RO15" s="497">
        <v>14.3142430071767</v>
      </c>
      <c r="RP15" s="497">
        <v>2461.72594693773</v>
      </c>
      <c r="RQ15" s="497">
        <v>2549.1605585249995</v>
      </c>
      <c r="RR15" s="497">
        <v>77.674669058855088</v>
      </c>
      <c r="RS15" s="497">
        <v>3.8588062660929001</v>
      </c>
      <c r="RT15" s="497">
        <v>3169.4232695439023</v>
      </c>
      <c r="RU15" s="497">
        <v>3250.9567448688563</v>
      </c>
      <c r="RV15" s="497">
        <v>104.10281554018189</v>
      </c>
      <c r="RW15" s="497">
        <v>11.97662609636434</v>
      </c>
      <c r="RX15" s="497">
        <v>3878.1176025108462</v>
      </c>
      <c r="RY15" s="497">
        <v>3994.1970441473923</v>
      </c>
      <c r="RZ15" s="497">
        <v>66.592708362008494</v>
      </c>
      <c r="SA15" s="497">
        <v>7.2978612062217589</v>
      </c>
      <c r="SB15" s="497">
        <v>4377.37991375406</v>
      </c>
      <c r="SC15" s="497">
        <v>4451.2704833222906</v>
      </c>
      <c r="SD15" s="497">
        <v>236.455395947694</v>
      </c>
      <c r="SE15" s="497">
        <v>18.181649073638091</v>
      </c>
      <c r="SF15" s="497">
        <v>4060.7304044805605</v>
      </c>
      <c r="SG15" s="497">
        <v>4315.3674495018931</v>
      </c>
      <c r="SH15" s="497">
        <v>190.08813497570577</v>
      </c>
      <c r="SI15" s="497">
        <v>22.682110363148571</v>
      </c>
      <c r="SJ15" s="497">
        <v>5449.5142304817909</v>
      </c>
      <c r="SK15" s="497">
        <v>5662.2844758206502</v>
      </c>
      <c r="SL15" s="497">
        <v>21.486112299999998</v>
      </c>
      <c r="SM15" s="497">
        <v>12.8368941</v>
      </c>
      <c r="SN15" s="497">
        <v>1928.7197772</v>
      </c>
      <c r="SO15" s="497">
        <v>1963.0427835999999</v>
      </c>
      <c r="SP15" s="497">
        <v>30.2115565</v>
      </c>
      <c r="SQ15" s="497">
        <v>13.270395400000002</v>
      </c>
      <c r="SR15" s="497">
        <v>2096.7502069000002</v>
      </c>
      <c r="SS15" s="497">
        <v>2140.2321588</v>
      </c>
      <c r="ST15" s="497">
        <v>39.512541800000001</v>
      </c>
      <c r="SU15" s="497">
        <v>21.509657300000001</v>
      </c>
      <c r="SV15" s="497">
        <v>2308.9778820000001</v>
      </c>
      <c r="SW15" s="497">
        <v>2370.0000811</v>
      </c>
      <c r="SX15" s="497">
        <v>39.296960800000001</v>
      </c>
      <c r="SY15" s="497">
        <v>18.8434621</v>
      </c>
      <c r="SZ15" s="497">
        <v>2494.71486</v>
      </c>
      <c r="TA15" s="497">
        <v>2552.8552829000005</v>
      </c>
      <c r="TB15" s="497">
        <v>42.3946708</v>
      </c>
      <c r="TC15" s="497">
        <v>16.119251800000001</v>
      </c>
      <c r="TD15" s="497">
        <v>2279.129160647748</v>
      </c>
      <c r="TE15" s="497">
        <v>2337.6430832477481</v>
      </c>
      <c r="TF15" s="497">
        <v>26.8042099</v>
      </c>
      <c r="TG15" s="497">
        <v>26.527942599999999</v>
      </c>
      <c r="TH15" s="497">
        <v>2488.024148</v>
      </c>
      <c r="TI15" s="497">
        <v>2541.3563005000001</v>
      </c>
      <c r="TJ15" s="497">
        <v>78.304772168305604</v>
      </c>
      <c r="TK15" s="497">
        <v>18.68582512255</v>
      </c>
      <c r="TL15" s="497">
        <v>1530.57729819632</v>
      </c>
      <c r="TM15" s="497">
        <v>1627.5678954871735</v>
      </c>
      <c r="TN15" s="497">
        <v>-130.61804836946769</v>
      </c>
      <c r="TO15" s="497">
        <v>13.365760290275</v>
      </c>
      <c r="TP15" s="497">
        <v>1864.7871195062999</v>
      </c>
      <c r="TQ15" s="497">
        <v>1747.5348314271071</v>
      </c>
      <c r="TR15" s="497">
        <v>6.9480883590956992</v>
      </c>
      <c r="TS15" s="497">
        <v>18.804947767230942</v>
      </c>
      <c r="TT15" s="497">
        <v>2280.4045271124951</v>
      </c>
      <c r="TU15" s="497">
        <v>2306.1575632388217</v>
      </c>
      <c r="TV15" s="497">
        <v>-52.630708944960986</v>
      </c>
      <c r="TW15" s="497">
        <v>20.222404917562351</v>
      </c>
      <c r="TX15" s="497">
        <v>2988.2591325577137</v>
      </c>
      <c r="TY15" s="497">
        <v>2955.8508285303155</v>
      </c>
      <c r="TZ15" s="497">
        <v>-19.863060049999987</v>
      </c>
      <c r="UA15" s="497">
        <v>40.620343599999998</v>
      </c>
      <c r="UB15" s="497">
        <v>3452.9594355558702</v>
      </c>
      <c r="UC15" s="497">
        <v>3473.7167191058697</v>
      </c>
      <c r="UD15" s="497">
        <v>124.5917</v>
      </c>
      <c r="UE15" s="497">
        <v>78.151499999999999</v>
      </c>
      <c r="UF15" s="497">
        <v>4682.9044335136878</v>
      </c>
      <c r="UG15" s="497">
        <v>4885.6476335136877</v>
      </c>
      <c r="UH15" s="497">
        <v>8.6735976000000008</v>
      </c>
      <c r="UI15" s="497">
        <v>1.3191611000000001</v>
      </c>
      <c r="UJ15" s="497">
        <v>1944.6973619</v>
      </c>
      <c r="UK15" s="497">
        <v>1954.6901206</v>
      </c>
      <c r="UL15" s="497">
        <v>12.096332299999998</v>
      </c>
      <c r="UM15" s="497">
        <v>1.3974476</v>
      </c>
      <c r="UN15" s="497">
        <v>2010.8544411999999</v>
      </c>
      <c r="UO15" s="497">
        <v>2024.3482211</v>
      </c>
      <c r="UP15" s="497">
        <v>17.440320999999997</v>
      </c>
      <c r="UQ15" s="497">
        <v>1.0143835000000001</v>
      </c>
      <c r="UR15" s="497">
        <v>1751.8323468999999</v>
      </c>
      <c r="US15" s="497">
        <v>1770.2870514000001</v>
      </c>
      <c r="UT15" s="497">
        <v>7.5531445000000001</v>
      </c>
      <c r="UU15" s="497">
        <v>0.10180569999999997</v>
      </c>
      <c r="UV15" s="497">
        <v>2065.4513653999998</v>
      </c>
      <c r="UW15" s="497">
        <v>2073.1063156</v>
      </c>
      <c r="UX15" s="497">
        <v>16.807241699999999</v>
      </c>
      <c r="UY15" s="497">
        <v>-8.063049999999998E-2</v>
      </c>
      <c r="UZ15" s="497">
        <v>2176.0885093000002</v>
      </c>
      <c r="VA15" s="497">
        <v>2192.8151204999999</v>
      </c>
      <c r="VB15" s="497">
        <v>28.56</v>
      </c>
      <c r="VC15" s="497">
        <v>0.45</v>
      </c>
      <c r="VD15" s="497">
        <v>1831.4899999999998</v>
      </c>
      <c r="VE15" s="497">
        <v>1860.4999999999998</v>
      </c>
      <c r="VF15" s="497">
        <v>74.826999999999998</v>
      </c>
      <c r="VG15" s="497">
        <v>207.60680000000002</v>
      </c>
      <c r="VH15" s="497">
        <v>2389.5936999999999</v>
      </c>
      <c r="VI15" s="497">
        <v>2672.0275000000001</v>
      </c>
      <c r="VJ15" s="497">
        <v>139.7261111790001</v>
      </c>
      <c r="VK15" s="497">
        <v>258.11413295699998</v>
      </c>
      <c r="VL15" s="497">
        <v>3211.1926610139999</v>
      </c>
      <c r="VM15" s="497">
        <v>3609.0329051500003</v>
      </c>
      <c r="VN15" s="497">
        <v>237.78208549999999</v>
      </c>
      <c r="VO15" s="497">
        <v>315.0637499</v>
      </c>
      <c r="VP15" s="497">
        <v>4510.6797896999997</v>
      </c>
      <c r="VQ15" s="497">
        <v>5063.5256251000001</v>
      </c>
      <c r="VR15" s="497">
        <v>162.52444180000003</v>
      </c>
      <c r="VS15" s="497">
        <v>297.03252889999999</v>
      </c>
      <c r="VT15" s="497">
        <v>4816.4265004950003</v>
      </c>
      <c r="VU15" s="497">
        <v>5275.9834711949998</v>
      </c>
      <c r="VV15" s="497">
        <v>287.78646570000001</v>
      </c>
      <c r="VW15" s="497">
        <v>316.20125690000003</v>
      </c>
      <c r="VX15" s="497">
        <v>4831.8475313509998</v>
      </c>
      <c r="VY15" s="497">
        <v>5435.8352539509997</v>
      </c>
      <c r="VZ15" s="497">
        <v>439.21577288399982</v>
      </c>
      <c r="WA15" s="497">
        <v>486.01609933600014</v>
      </c>
      <c r="WB15" s="497">
        <v>6517.1331604693169</v>
      </c>
      <c r="WC15" s="497">
        <v>7442.3650326893166</v>
      </c>
      <c r="WD15" s="497">
        <v>38.039667600000001</v>
      </c>
      <c r="WE15" s="497">
        <v>2.1249104000000001</v>
      </c>
      <c r="WF15" s="497">
        <v>659.07889409999996</v>
      </c>
      <c r="WG15" s="497">
        <v>699.24347209999996</v>
      </c>
      <c r="WH15" s="497">
        <v>34.372062400000004</v>
      </c>
      <c r="WI15" s="497">
        <v>5.8102431999999995</v>
      </c>
      <c r="WJ15" s="497">
        <v>867.13057782600004</v>
      </c>
      <c r="WK15" s="497">
        <v>907.3128834260001</v>
      </c>
      <c r="WL15" s="497">
        <v>39.452166800000001</v>
      </c>
      <c r="WM15" s="497">
        <v>5.0387767999999999</v>
      </c>
      <c r="WN15" s="497">
        <v>1161.5651310000001</v>
      </c>
      <c r="WO15" s="497">
        <v>1206.0560746000001</v>
      </c>
      <c r="WP15" s="497">
        <v>38.874117300000002</v>
      </c>
      <c r="WQ15" s="497">
        <v>3.1312804999999999</v>
      </c>
      <c r="WR15" s="497">
        <v>1257.7408544</v>
      </c>
      <c r="WS15" s="497">
        <v>1299.7462522000001</v>
      </c>
      <c r="WT15" s="497">
        <v>44.468189800000005</v>
      </c>
      <c r="WU15" s="497">
        <v>2.5302438</v>
      </c>
      <c r="WV15" s="497">
        <v>1448.4335389</v>
      </c>
      <c r="WW15" s="497">
        <v>1495.4319725</v>
      </c>
      <c r="WX15" s="497">
        <v>25.333701792999996</v>
      </c>
      <c r="WY15" s="497">
        <v>2.4854102079999998</v>
      </c>
      <c r="WZ15" s="497">
        <v>1425.0854308559999</v>
      </c>
      <c r="XA15" s="497">
        <v>1452.9045428569998</v>
      </c>
      <c r="XB15" s="497">
        <v>741.445260569825</v>
      </c>
      <c r="XC15" s="497">
        <v>792.19856125816216</v>
      </c>
      <c r="XD15" s="497">
        <v>33996.508883063863</v>
      </c>
      <c r="XE15" s="497">
        <v>35530.152704891851</v>
      </c>
      <c r="XF15" s="497">
        <v>795.809646492463</v>
      </c>
      <c r="XG15" s="497">
        <v>749.05433405529334</v>
      </c>
      <c r="XH15" s="497">
        <v>39038.195290661417</v>
      </c>
      <c r="XI15" s="497">
        <v>40583.059271209189</v>
      </c>
      <c r="XJ15" s="497">
        <v>1162.5248539842009</v>
      </c>
      <c r="XK15" s="497">
        <v>1076.5069593805408</v>
      </c>
      <c r="XL15" s="497">
        <v>47971.736299680415</v>
      </c>
      <c r="XM15" s="497">
        <v>50210.768113045146</v>
      </c>
      <c r="XN15" s="497">
        <v>1281.1890816762684</v>
      </c>
      <c r="XO15" s="497">
        <v>1059.4178037615015</v>
      </c>
      <c r="XP15" s="497">
        <v>56893.408513614319</v>
      </c>
      <c r="XQ15" s="497">
        <v>59234.015399052085</v>
      </c>
      <c r="XR15" s="497">
        <v>2058.1372495898354</v>
      </c>
      <c r="XS15" s="497">
        <v>1153.3516656831916</v>
      </c>
      <c r="XT15" s="497">
        <v>59411.512645516486</v>
      </c>
      <c r="XU15" s="497">
        <v>62623.001560789526</v>
      </c>
      <c r="XV15" s="497">
        <v>2234.5005794589642</v>
      </c>
      <c r="XW15" s="497">
        <v>1617.4944601328664</v>
      </c>
      <c r="XX15" s="497">
        <v>71930.891528482025</v>
      </c>
      <c r="XY15" s="497">
        <v>75782.886568073853</v>
      </c>
      <c r="XZ15" s="497">
        <v>107.15143547005501</v>
      </c>
      <c r="YA15" s="497">
        <v>357.41581140017502</v>
      </c>
      <c r="YB15" s="497">
        <v>623.09513170018238</v>
      </c>
      <c r="YC15" s="497">
        <v>868.41207442112295</v>
      </c>
      <c r="YD15" s="497">
        <v>1120.5967948258065</v>
      </c>
      <c r="YE15" s="497">
        <v>1592.4484731611458</v>
      </c>
      <c r="YF15" s="497">
        <v>397.18830195855401</v>
      </c>
      <c r="YG15" s="497">
        <v>522.42202450000002</v>
      </c>
      <c r="YH15" s="497">
        <v>751.97523229798298</v>
      </c>
      <c r="YI15" s="497">
        <v>1103.4815837000001</v>
      </c>
      <c r="YJ15" s="497">
        <v>1554.8667770999998</v>
      </c>
      <c r="YK15" s="497">
        <v>1812.8887865000002</v>
      </c>
      <c r="YL15" s="497">
        <v>2678.8354833000003</v>
      </c>
      <c r="YM15" s="497">
        <v>836.64292820000003</v>
      </c>
      <c r="YN15" s="497">
        <v>981.27886450000005</v>
      </c>
      <c r="YO15" s="497">
        <v>1272.7345515732</v>
      </c>
      <c r="YP15" s="497">
        <v>1649.7655179000001</v>
      </c>
      <c r="YQ15" s="497">
        <v>2155.8320932000001</v>
      </c>
      <c r="YR15" s="497">
        <v>250.24492425</v>
      </c>
      <c r="YS15" s="497">
        <v>331.65839628470701</v>
      </c>
      <c r="YT15" s="497">
        <v>389.05353540020303</v>
      </c>
      <c r="YU15" s="497">
        <v>586.41845254674195</v>
      </c>
      <c r="YV15" s="497">
        <v>661.45528515596106</v>
      </c>
      <c r="YW15" s="497">
        <v>797.23741359559597</v>
      </c>
      <c r="YX15" s="497">
        <v>1126.826133078356</v>
      </c>
      <c r="YY15" s="497">
        <v>500.05479552569102</v>
      </c>
      <c r="YZ15" s="497">
        <v>492.90273923298099</v>
      </c>
      <c r="ZA15" s="497">
        <v>495.63611718642414</v>
      </c>
      <c r="ZB15" s="497">
        <v>743.96539280883394</v>
      </c>
      <c r="ZC15" s="497">
        <v>912.40243795539777</v>
      </c>
      <c r="ZD15" s="497">
        <v>1258.5777197279995</v>
      </c>
      <c r="ZE15" s="497">
        <v>2066.4399397654511</v>
      </c>
      <c r="ZF15" s="497">
        <v>57.214049899999999</v>
      </c>
      <c r="ZG15" s="497">
        <v>3.2748999999999997</v>
      </c>
      <c r="ZH15" s="497">
        <v>13.27</v>
      </c>
      <c r="ZI15" s="497">
        <v>15.17</v>
      </c>
      <c r="ZJ15" s="497">
        <v>1328.6800321795899</v>
      </c>
      <c r="ZK15" s="497">
        <v>1887.77126062</v>
      </c>
      <c r="ZL15" s="497">
        <v>2689.9518627519997</v>
      </c>
      <c r="ZM15" s="497">
        <v>3542.4170703820196</v>
      </c>
      <c r="ZN15" s="497">
        <v>4529.1628344587998</v>
      </c>
      <c r="ZO15" s="497">
        <v>6358.2678538999999</v>
      </c>
      <c r="ZP15" s="497">
        <v>11870.69549232208</v>
      </c>
      <c r="ZQ15" s="497">
        <f t="shared" si="8"/>
        <v>3312.8109821138351</v>
      </c>
      <c r="ZR15" s="497">
        <v>4323.1847206077427</v>
      </c>
      <c r="ZS15" s="497">
        <v>5956.7671106099851</v>
      </c>
      <c r="ZT15" s="497">
        <v>8249.1431490377781</v>
      </c>
      <c r="ZU15" s="497">
        <v>10685.406402291283</v>
      </c>
      <c r="ZV15" s="497">
        <v>11360.838568549401</v>
      </c>
      <c r="ZW15" s="497">
        <v>19350.41552162703</v>
      </c>
      <c r="ZX15" s="497">
        <v>1800.5646435589999</v>
      </c>
      <c r="ZY15" s="497">
        <v>1971.3899416116201</v>
      </c>
      <c r="ZZ15" s="497">
        <v>1442.1291716999999</v>
      </c>
      <c r="AAA15" s="497">
        <v>1473.5534329223799</v>
      </c>
      <c r="AAB15" s="497">
        <v>2149.5225856679999</v>
      </c>
      <c r="AAC15" s="497">
        <v>6522.84</v>
      </c>
      <c r="AAD15" s="497">
        <v>6884.7232786000004</v>
      </c>
      <c r="AAE15" s="497">
        <v>1228.6813684000001</v>
      </c>
      <c r="AAF15" s="497">
        <v>1117.5204873</v>
      </c>
      <c r="AAG15" s="497">
        <v>1394.323048</v>
      </c>
      <c r="AAH15" s="497">
        <v>1360.9799171999998</v>
      </c>
      <c r="AAI15" s="497">
        <v>1208.0158789</v>
      </c>
      <c r="AAJ15" s="497">
        <v>1235.4877045999999</v>
      </c>
      <c r="AAK15" s="497">
        <v>788.31015570000011</v>
      </c>
      <c r="AAL15" s="497">
        <v>3029.246011959</v>
      </c>
      <c r="AAM15" s="497">
        <v>3088.9104289116203</v>
      </c>
      <c r="AAN15" s="497">
        <v>2836.4522196999997</v>
      </c>
      <c r="AAO15" s="497">
        <v>2834.5333501223795</v>
      </c>
      <c r="AAP15" s="497">
        <v>3357.5384645679997</v>
      </c>
      <c r="AAQ15" s="497">
        <v>7758.3277046000003</v>
      </c>
      <c r="AAR15" s="497">
        <v>7673.0334343000004</v>
      </c>
      <c r="AAS15" s="408"/>
      <c r="AAT15" s="408"/>
      <c r="AAU15" s="408"/>
      <c r="AAV15" s="408"/>
      <c r="AAW15" s="408"/>
      <c r="AAX15" s="408"/>
      <c r="AAY15" s="408"/>
      <c r="AAZ15" s="408"/>
      <c r="ABA15" s="408"/>
      <c r="ABB15" s="408"/>
      <c r="ABC15" s="408"/>
      <c r="ABD15" s="408"/>
      <c r="ABE15" s="408"/>
      <c r="ABF15" s="408"/>
      <c r="ABG15" s="408"/>
      <c r="ABH15" s="408"/>
      <c r="ABI15" s="408"/>
      <c r="ABJ15" s="408"/>
      <c r="ABK15" s="408"/>
      <c r="ABL15" s="408"/>
      <c r="ABM15" s="408"/>
      <c r="ABN15" s="408"/>
      <c r="ABO15" s="408"/>
      <c r="ABP15" s="408"/>
      <c r="ABQ15" s="408"/>
      <c r="ABR15" s="408"/>
      <c r="ABS15" s="408"/>
      <c r="ABT15" s="408"/>
      <c r="ABU15" s="408"/>
      <c r="ABV15" s="408"/>
      <c r="ABW15" s="408"/>
      <c r="ABX15" s="408"/>
    </row>
    <row r="16" spans="1:752" s="409" customFormat="1" ht="30" customHeight="1" x14ac:dyDescent="0.25">
      <c r="A16" s="493" t="s">
        <v>475</v>
      </c>
      <c r="B16" s="497">
        <v>72.062268099999983</v>
      </c>
      <c r="C16" s="497">
        <v>126.26258039999996</v>
      </c>
      <c r="D16" s="497">
        <v>-910.78892809999888</v>
      </c>
      <c r="E16" s="497">
        <v>-712.46407960000033</v>
      </c>
      <c r="F16" s="497">
        <v>376.22779999999989</v>
      </c>
      <c r="G16" s="497">
        <v>71.225000000000023</v>
      </c>
      <c r="H16" s="497">
        <v>-810.23190000000068</v>
      </c>
      <c r="I16" s="497">
        <v>-362.77909999999792</v>
      </c>
      <c r="J16" s="497">
        <v>-190.44560034853566</v>
      </c>
      <c r="K16" s="497">
        <v>94.598334450899443</v>
      </c>
      <c r="L16" s="497">
        <v>-2736.0788798979884</v>
      </c>
      <c r="M16" s="497">
        <v>-2831.9261457956254</v>
      </c>
      <c r="N16" s="497">
        <v>335.96000000000004</v>
      </c>
      <c r="O16" s="497">
        <v>8.7199999999999989</v>
      </c>
      <c r="P16" s="497">
        <v>-2177.2399999999998</v>
      </c>
      <c r="Q16" s="497">
        <v>-1832.5599999999977</v>
      </c>
      <c r="R16" s="497">
        <v>-15.111699999999928</v>
      </c>
      <c r="S16" s="497">
        <v>49.876100000000008</v>
      </c>
      <c r="T16" s="497">
        <v>-2822.1776000000009</v>
      </c>
      <c r="U16" s="497">
        <v>-2787.4131999999991</v>
      </c>
      <c r="V16" s="497">
        <v>75.409999999999968</v>
      </c>
      <c r="W16" s="497">
        <v>23.619999999999976</v>
      </c>
      <c r="X16" s="497">
        <v>62.670000000000073</v>
      </c>
      <c r="Y16" s="497">
        <v>161.70000000000073</v>
      </c>
      <c r="Z16" s="497">
        <v>-39.959999999999809</v>
      </c>
      <c r="AA16" s="497">
        <v>2.2699999999999818</v>
      </c>
      <c r="AB16" s="497">
        <v>-1582.7600000000002</v>
      </c>
      <c r="AC16" s="497">
        <v>-1620.4500000000007</v>
      </c>
      <c r="AD16" s="497">
        <v>9.6891447946163698</v>
      </c>
      <c r="AE16" s="497">
        <v>147.70763152436501</v>
      </c>
      <c r="AF16" s="497">
        <v>-592.47329769498003</v>
      </c>
      <c r="AG16" s="497">
        <v>-435.07652137599871</v>
      </c>
      <c r="AH16" s="497">
        <v>-346.608220100045</v>
      </c>
      <c r="AI16" s="497">
        <v>87.284789760726596</v>
      </c>
      <c r="AJ16" s="497">
        <v>-297.628594277714</v>
      </c>
      <c r="AK16" s="497">
        <v>-556.95202461702138</v>
      </c>
      <c r="AL16" s="497">
        <v>429.36558308567373</v>
      </c>
      <c r="AM16" s="497">
        <v>110.64973880444524</v>
      </c>
      <c r="AN16" s="497">
        <v>463.36723241255459</v>
      </c>
      <c r="AO16" s="497">
        <v>1003.3825543026869</v>
      </c>
      <c r="AP16" s="497">
        <v>-585.09485128839333</v>
      </c>
      <c r="AQ16" s="497">
        <v>11.453893469370712</v>
      </c>
      <c r="AR16" s="497">
        <v>-887.70290778617709</v>
      </c>
      <c r="AS16" s="497">
        <v>-1461.3438656052022</v>
      </c>
      <c r="AT16" s="497">
        <v>341.70644534286703</v>
      </c>
      <c r="AU16" s="497">
        <v>85.841177597490798</v>
      </c>
      <c r="AV16" s="497">
        <v>-14.590581726457458</v>
      </c>
      <c r="AW16" s="497">
        <v>412.95704121389281</v>
      </c>
      <c r="AX16" s="497">
        <v>192.89481488703586</v>
      </c>
      <c r="AY16" s="497">
        <v>42.815985225184988</v>
      </c>
      <c r="AZ16" s="497">
        <v>463.18843522206589</v>
      </c>
      <c r="BA16" s="497">
        <v>698.89923533428373</v>
      </c>
      <c r="BB16" s="497">
        <v>509.59987825222697</v>
      </c>
      <c r="BC16" s="497">
        <v>35.643146378271197</v>
      </c>
      <c r="BD16" s="497">
        <v>-2016.4895806288901</v>
      </c>
      <c r="BE16" s="497">
        <v>-1471.24655599839</v>
      </c>
      <c r="BF16" s="497">
        <v>-136.54011019999999</v>
      </c>
      <c r="BG16" s="497">
        <v>0.322472699999935</v>
      </c>
      <c r="BH16" s="497">
        <v>-375.65893049999897</v>
      </c>
      <c r="BI16" s="497">
        <v>-511.87656799999968</v>
      </c>
      <c r="BJ16" s="497">
        <v>-111.85211510000001</v>
      </c>
      <c r="BK16" s="497">
        <v>33.378400599999999</v>
      </c>
      <c r="BL16" s="497">
        <v>-2321.6636738000002</v>
      </c>
      <c r="BM16" s="497">
        <v>-2400.1373882999997</v>
      </c>
      <c r="BN16" s="497">
        <v>10.502899999999954</v>
      </c>
      <c r="BO16" s="497">
        <v>112.50280000000006</v>
      </c>
      <c r="BP16" s="497">
        <v>1024.6420999999991</v>
      </c>
      <c r="BQ16" s="497">
        <v>1147.647799999997</v>
      </c>
      <c r="BR16" s="497">
        <v>-185.48183570000003</v>
      </c>
      <c r="BS16" s="497">
        <v>96.753804700000018</v>
      </c>
      <c r="BT16" s="497">
        <v>-1128.6764659</v>
      </c>
      <c r="BU16" s="497">
        <v>-1217.4044969000006</v>
      </c>
      <c r="BV16" s="497">
        <v>0.24090000000001055</v>
      </c>
      <c r="BW16" s="497">
        <v>1.3645999999999958</v>
      </c>
      <c r="BX16" s="497">
        <v>-1384.3574000000026</v>
      </c>
      <c r="BY16" s="497">
        <v>-1382.7519000000029</v>
      </c>
      <c r="BZ16" s="497">
        <v>43.149999999999977</v>
      </c>
      <c r="CA16" s="497">
        <v>31.29000000000002</v>
      </c>
      <c r="CB16" s="497">
        <v>-1307.2699999999986</v>
      </c>
      <c r="CC16" s="497">
        <v>-1232.8300000000017</v>
      </c>
      <c r="CD16" s="497">
        <v>-16.478908100000002</v>
      </c>
      <c r="CE16" s="497">
        <v>10.747967600000001</v>
      </c>
      <c r="CF16" s="497">
        <v>-3019.5224441</v>
      </c>
      <c r="CG16" s="497">
        <v>-3025.2533846000001</v>
      </c>
      <c r="CH16" s="497">
        <v>-47.234040199999981</v>
      </c>
      <c r="CI16" s="497">
        <v>41.090163599999983</v>
      </c>
      <c r="CJ16" s="497">
        <v>-512.61018850000073</v>
      </c>
      <c r="CK16" s="497">
        <v>-518.75406509999812</v>
      </c>
      <c r="CL16" s="497">
        <v>-149.45249999999987</v>
      </c>
      <c r="CM16" s="497">
        <v>55.058499999999924</v>
      </c>
      <c r="CN16" s="497">
        <v>-2240.6844999999958</v>
      </c>
      <c r="CO16" s="497">
        <v>-2335.078499999996</v>
      </c>
      <c r="CP16" s="497">
        <v>54.550799999999754</v>
      </c>
      <c r="CQ16" s="497">
        <v>73.198599999999971</v>
      </c>
      <c r="CR16" s="497">
        <v>414.80149999999958</v>
      </c>
      <c r="CS16" s="497">
        <v>542.55090000000018</v>
      </c>
      <c r="CT16" s="497">
        <v>20.364027499999906</v>
      </c>
      <c r="CU16" s="497">
        <v>-8.3350203999999621</v>
      </c>
      <c r="CV16" s="497">
        <v>-2149.4114112000007</v>
      </c>
      <c r="CW16" s="497">
        <v>-2137.3824041000007</v>
      </c>
      <c r="CX16" s="497">
        <v>-390.7340999999999</v>
      </c>
      <c r="CY16" s="497">
        <v>37.36099999999999</v>
      </c>
      <c r="CZ16" s="497">
        <v>-1249.6000000000022</v>
      </c>
      <c r="DA16" s="497">
        <v>-1602.9731000000029</v>
      </c>
      <c r="DB16" s="497">
        <v>79.970000000000255</v>
      </c>
      <c r="DC16" s="497">
        <v>47.500000000000028</v>
      </c>
      <c r="DD16" s="497">
        <v>-1180.7700000000023</v>
      </c>
      <c r="DE16" s="497">
        <v>-1053.3000000000029</v>
      </c>
      <c r="DF16" s="497">
        <v>93.319999999999936</v>
      </c>
      <c r="DG16" s="497">
        <v>-20.960000000000036</v>
      </c>
      <c r="DH16" s="497">
        <v>-1750.25</v>
      </c>
      <c r="DI16" s="497">
        <v>-1677.89</v>
      </c>
      <c r="DJ16" s="497">
        <f t="shared" si="0"/>
        <v>-739.15615128839318</v>
      </c>
      <c r="DK16" s="497">
        <f t="shared" si="1"/>
        <v>228.89129346937071</v>
      </c>
      <c r="DL16" s="497">
        <f t="shared" si="2"/>
        <v>-4925.9229077861746</v>
      </c>
      <c r="DM16" s="497">
        <f t="shared" si="3"/>
        <v>-5436.1877656052002</v>
      </c>
      <c r="DN16" s="497">
        <f t="shared" si="4"/>
        <v>170.81540964286694</v>
      </c>
      <c r="DO16" s="497">
        <f t="shared" si="5"/>
        <v>258.06358229749077</v>
      </c>
      <c r="DP16" s="497">
        <f t="shared" si="6"/>
        <v>-2311.2255476264581</v>
      </c>
      <c r="DQ16" s="497">
        <f t="shared" si="7"/>
        <v>-1882.3465556861083</v>
      </c>
      <c r="DR16" s="497">
        <v>303.97368273713778</v>
      </c>
      <c r="DS16" s="497">
        <v>390.94947325534474</v>
      </c>
      <c r="DT16" s="497">
        <v>-833.26804748543509</v>
      </c>
      <c r="DU16" s="497">
        <v>-138.34489149294131</v>
      </c>
      <c r="DV16" s="497">
        <v>-414.25265948839206</v>
      </c>
      <c r="DW16" s="497">
        <v>108.59267776937054</v>
      </c>
      <c r="DX16" s="497">
        <v>-6343.0307848861776</v>
      </c>
      <c r="DY16" s="497">
        <v>-6648.6907666051993</v>
      </c>
      <c r="DZ16" s="497">
        <v>-63.898454657132788</v>
      </c>
      <c r="EA16" s="497">
        <v>174.44287759749079</v>
      </c>
      <c r="EB16" s="497">
        <v>-5470.7255817264631</v>
      </c>
      <c r="EC16" s="497">
        <v>-5360.1811587861121</v>
      </c>
      <c r="ED16" s="497">
        <v>391.42481488703606</v>
      </c>
      <c r="EE16" s="497">
        <v>145.22598522518501</v>
      </c>
      <c r="EF16" s="497">
        <v>-1962.1815647779349</v>
      </c>
      <c r="EG16" s="497">
        <v>-1425.5307646657202</v>
      </c>
      <c r="EH16" s="497">
        <v>546.48097015222709</v>
      </c>
      <c r="EI16" s="497">
        <v>27.701113978271145</v>
      </c>
      <c r="EJ16" s="497">
        <v>-8369.0220247288908</v>
      </c>
      <c r="EK16" s="497">
        <v>-7794.8399405983928</v>
      </c>
      <c r="EL16" s="497">
        <v>0</v>
      </c>
      <c r="EM16" s="497">
        <v>0</v>
      </c>
      <c r="EN16" s="497">
        <v>-14.335899999999999</v>
      </c>
      <c r="EO16" s="497">
        <v>-14.335899999999999</v>
      </c>
      <c r="EP16" s="497">
        <v>0</v>
      </c>
      <c r="EQ16" s="497">
        <v>0</v>
      </c>
      <c r="ER16" s="497">
        <v>-140.64827314582251</v>
      </c>
      <c r="ES16" s="497">
        <v>-140.64827314582251</v>
      </c>
      <c r="ET16" s="497">
        <v>0</v>
      </c>
      <c r="EU16" s="497">
        <v>0</v>
      </c>
      <c r="EV16" s="497">
        <v>-198.00950567898931</v>
      </c>
      <c r="EW16" s="497">
        <v>-198.00950567898931</v>
      </c>
      <c r="EX16" s="497">
        <v>-1.1169659859509269E-2</v>
      </c>
      <c r="EY16" s="497">
        <v>0</v>
      </c>
      <c r="EZ16" s="497">
        <v>-145.30535519847029</v>
      </c>
      <c r="FA16" s="497">
        <v>-145.31652485832984</v>
      </c>
      <c r="FB16" s="497">
        <v>-1.35088709285718E-2</v>
      </c>
      <c r="FC16" s="497">
        <v>0</v>
      </c>
      <c r="FD16" s="497">
        <v>-392.99920429917898</v>
      </c>
      <c r="FE16" s="497">
        <v>-393.01271317010799</v>
      </c>
      <c r="FF16" s="497">
        <v>117.2100255</v>
      </c>
      <c r="FG16" s="497">
        <v>11.6256377</v>
      </c>
      <c r="FH16" s="497">
        <v>685.64144569999996</v>
      </c>
      <c r="FI16" s="497">
        <v>814.47710889999962</v>
      </c>
      <c r="FJ16" s="497">
        <v>68.736500000000007</v>
      </c>
      <c r="FK16" s="497">
        <v>13.912099999999995</v>
      </c>
      <c r="FL16" s="497">
        <v>1104.6563999999998</v>
      </c>
      <c r="FM16" s="497">
        <v>1187.3049999999998</v>
      </c>
      <c r="FN16" s="497">
        <v>45.662658100000016</v>
      </c>
      <c r="FO16" s="497">
        <v>-18.016506399999997</v>
      </c>
      <c r="FP16" s="497">
        <v>940.03831060000084</v>
      </c>
      <c r="FQ16" s="497">
        <v>967.68446230000063</v>
      </c>
      <c r="FR16" s="497">
        <v>33.686333589895014</v>
      </c>
      <c r="FS16" s="497">
        <v>13.529271967883318</v>
      </c>
      <c r="FT16" s="497">
        <v>1195.8748601422185</v>
      </c>
      <c r="FU16" s="497">
        <v>1243.0904656999974</v>
      </c>
      <c r="FV16" s="497">
        <v>44.130405670755181</v>
      </c>
      <c r="FW16" s="497">
        <v>17.974857979491915</v>
      </c>
      <c r="FX16" s="497">
        <v>1416.7709324497573</v>
      </c>
      <c r="FY16" s="497">
        <v>1478.8761961000046</v>
      </c>
      <c r="FZ16" s="497">
        <v>93.617214789558702</v>
      </c>
      <c r="GA16" s="497">
        <v>20.928582658430599</v>
      </c>
      <c r="GB16" s="497">
        <v>1321.1699830520099</v>
      </c>
      <c r="GC16" s="497">
        <v>1435.7157804999999</v>
      </c>
      <c r="GD16" s="497">
        <v>-9.3165992277751464</v>
      </c>
      <c r="GE16" s="497">
        <v>2.2982523627847797</v>
      </c>
      <c r="GF16" s="497">
        <v>-19.167386237548044</v>
      </c>
      <c r="GG16" s="497">
        <v>-26.185733102538279</v>
      </c>
      <c r="GH16" s="497">
        <v>3.4516626020755101</v>
      </c>
      <c r="GI16" s="497">
        <v>-3.6662387671492298</v>
      </c>
      <c r="GJ16" s="497">
        <v>7.2467566343900103</v>
      </c>
      <c r="GK16" s="497">
        <v>7.0321804693162804</v>
      </c>
      <c r="GL16" s="497">
        <v>6.0649075686136129</v>
      </c>
      <c r="GM16" s="497">
        <v>-4.8414987068207793</v>
      </c>
      <c r="GN16" s="497">
        <v>130.63798415136694</v>
      </c>
      <c r="GO16" s="497">
        <v>131.86139301315984</v>
      </c>
      <c r="GP16" s="497">
        <v>11.80441553731621</v>
      </c>
      <c r="GQ16" s="497">
        <v>-25.813605502221954</v>
      </c>
      <c r="GR16" s="497">
        <v>118.84958974835217</v>
      </c>
      <c r="GS16" s="497">
        <v>104.84039978344617</v>
      </c>
      <c r="GT16" s="497">
        <v>-7.905799102632777</v>
      </c>
      <c r="GU16" s="497">
        <v>-3.3617615055998158</v>
      </c>
      <c r="GV16" s="497">
        <v>437.52337562615003</v>
      </c>
      <c r="GW16" s="497">
        <v>426.25581501791771</v>
      </c>
      <c r="GX16" s="497">
        <v>27.2209945</v>
      </c>
      <c r="GY16" s="497">
        <v>9.6324590000000008</v>
      </c>
      <c r="GZ16" s="497">
        <v>199.81747859999999</v>
      </c>
      <c r="HA16" s="497">
        <v>236.67093209999985</v>
      </c>
      <c r="HB16" s="497">
        <v>50.600700000000003</v>
      </c>
      <c r="HC16" s="497">
        <v>6.5877999999999997</v>
      </c>
      <c r="HD16" s="497">
        <v>253.08760000000001</v>
      </c>
      <c r="HE16" s="497">
        <v>310.27610000000004</v>
      </c>
      <c r="HF16" s="497">
        <v>110.78569999999999</v>
      </c>
      <c r="HG16" s="497">
        <v>5.6085672000000031</v>
      </c>
      <c r="HH16" s="497">
        <v>141.71579400000019</v>
      </c>
      <c r="HI16" s="497">
        <v>258.11006120000002</v>
      </c>
      <c r="HJ16" s="497">
        <v>71.006478699999988</v>
      </c>
      <c r="HK16" s="497">
        <v>6.3304425999999978</v>
      </c>
      <c r="HL16" s="497">
        <v>461.68510000000015</v>
      </c>
      <c r="HM16" s="497">
        <v>539.02202130000023</v>
      </c>
      <c r="HN16" s="497">
        <v>80.277751110511417</v>
      </c>
      <c r="HO16" s="497">
        <v>4.7035874403214386</v>
      </c>
      <c r="HP16" s="497">
        <v>495.4584614492619</v>
      </c>
      <c r="HQ16" s="497">
        <v>580.43980000009424</v>
      </c>
      <c r="HR16" s="497">
        <v>109.386900531428</v>
      </c>
      <c r="HS16" s="497">
        <v>7.69975182179427</v>
      </c>
      <c r="HT16" s="497">
        <v>477.71499313085502</v>
      </c>
      <c r="HU16" s="497">
        <v>594.80164548407799</v>
      </c>
      <c r="HV16" s="497">
        <v>0</v>
      </c>
      <c r="HW16" s="497">
        <v>0</v>
      </c>
      <c r="HX16" s="497">
        <v>-18.235662300000001</v>
      </c>
      <c r="HY16" s="497">
        <v>-18.235662300000001</v>
      </c>
      <c r="HZ16" s="497">
        <v>-1.8386116698052288</v>
      </c>
      <c r="IA16" s="497">
        <v>-3.1344920000000403E-3</v>
      </c>
      <c r="IB16" s="497">
        <v>-62.4720015451949</v>
      </c>
      <c r="IC16" s="497">
        <v>-64.313747707000118</v>
      </c>
      <c r="ID16" s="497">
        <v>-1.4190356</v>
      </c>
      <c r="IE16" s="497">
        <v>-0.15572179999999999</v>
      </c>
      <c r="IF16" s="497">
        <v>-96.143328552272493</v>
      </c>
      <c r="IG16" s="497">
        <v>-97.718085952272489</v>
      </c>
      <c r="IH16" s="497">
        <v>-0.85571692199999916</v>
      </c>
      <c r="II16" s="497">
        <v>-0.69126315299999996</v>
      </c>
      <c r="IJ16" s="497">
        <v>-100.70732685799999</v>
      </c>
      <c r="IK16" s="497">
        <v>-102.25430693300004</v>
      </c>
      <c r="IL16" s="497">
        <v>-1.5110997793657099</v>
      </c>
      <c r="IM16" s="497">
        <v>-0.29912662259338202</v>
      </c>
      <c r="IN16" s="497">
        <v>-112.094773802503</v>
      </c>
      <c r="IO16" s="497">
        <v>-113.905000204462</v>
      </c>
      <c r="IP16" s="497">
        <v>9.0779789999999903</v>
      </c>
      <c r="IQ16" s="497">
        <v>7.6121938999999896</v>
      </c>
      <c r="IR16" s="497">
        <v>1.09202989999972</v>
      </c>
      <c r="IS16" s="497">
        <v>17.782202799999823</v>
      </c>
      <c r="IT16" s="497">
        <v>14.685218900000001</v>
      </c>
      <c r="IU16" s="497">
        <v>10.504437100000001</v>
      </c>
      <c r="IV16" s="497">
        <v>10.9085051999998</v>
      </c>
      <c r="IW16" s="497">
        <v>36.098161199999801</v>
      </c>
      <c r="IX16" s="497">
        <v>-26.341600999999997</v>
      </c>
      <c r="IY16" s="497">
        <v>2.2045147000000043</v>
      </c>
      <c r="IZ16" s="497">
        <v>89.24133669999992</v>
      </c>
      <c r="JA16" s="497">
        <v>65.104250399999728</v>
      </c>
      <c r="JB16" s="497">
        <v>9.4398843000000028</v>
      </c>
      <c r="JC16" s="497">
        <v>10.189204599999997</v>
      </c>
      <c r="JD16" s="497">
        <v>300.19119999999975</v>
      </c>
      <c r="JE16" s="497">
        <v>319.82028889999992</v>
      </c>
      <c r="JF16" s="497">
        <v>36.906205699999958</v>
      </c>
      <c r="JG16" s="497">
        <v>-3.7362478999999951</v>
      </c>
      <c r="JH16" s="497">
        <v>263.15769999999975</v>
      </c>
      <c r="JI16" s="497">
        <v>296.3276578</v>
      </c>
      <c r="JJ16" s="497">
        <v>16.613911999999971</v>
      </c>
      <c r="JK16" s="497">
        <v>11.992255900000004</v>
      </c>
      <c r="JL16" s="497">
        <v>201.93745740000031</v>
      </c>
      <c r="JM16" s="497">
        <v>230.5436252999998</v>
      </c>
      <c r="JN16" s="497">
        <v>-0.70269999999999988</v>
      </c>
      <c r="JO16" s="497">
        <v>1.5000000000000005E-3</v>
      </c>
      <c r="JP16" s="497">
        <v>-82.605800000000002</v>
      </c>
      <c r="JQ16" s="497">
        <v>-83.307000000000002</v>
      </c>
      <c r="JR16" s="497">
        <v>-4.3311786999999997</v>
      </c>
      <c r="JS16" s="497">
        <v>-1.4883900000000002E-2</v>
      </c>
      <c r="JT16" s="497">
        <v>-295.63690713000005</v>
      </c>
      <c r="JU16" s="497">
        <v>-299.98296973000004</v>
      </c>
      <c r="JV16" s="497">
        <v>5.9129000000000023</v>
      </c>
      <c r="JW16" s="497">
        <v>-8.5000000000000006E-3</v>
      </c>
      <c r="JX16" s="497">
        <v>-232.84819999999991</v>
      </c>
      <c r="JY16" s="497">
        <v>-226.94380000000001</v>
      </c>
      <c r="JZ16" s="497">
        <v>-42.570709200000003</v>
      </c>
      <c r="KA16" s="497">
        <v>-0.50441019999999992</v>
      </c>
      <c r="KB16" s="497">
        <v>-142.41282472601097</v>
      </c>
      <c r="KC16" s="497">
        <v>-185.48794412601092</v>
      </c>
      <c r="KD16" s="497">
        <v>-41.757135900000002</v>
      </c>
      <c r="KE16" s="497">
        <v>9.2693900000000204E-2</v>
      </c>
      <c r="KF16" s="497">
        <v>-333.48782920000002</v>
      </c>
      <c r="KG16" s="497">
        <v>-375.15227119999997</v>
      </c>
      <c r="KH16" s="497">
        <v>-7.7748000000000062</v>
      </c>
      <c r="KI16" s="497">
        <v>-1.2441000000000031</v>
      </c>
      <c r="KJ16" s="497">
        <v>90.958099999999831</v>
      </c>
      <c r="KK16" s="497">
        <v>81.939200000000028</v>
      </c>
      <c r="KL16" s="497">
        <v>-13.45010000000002</v>
      </c>
      <c r="KM16" s="497">
        <v>-9.8262</v>
      </c>
      <c r="KN16" s="497">
        <v>494.41810000000032</v>
      </c>
      <c r="KO16" s="497">
        <v>471.14180000000033</v>
      </c>
      <c r="KP16" s="497">
        <v>33.337199999999996</v>
      </c>
      <c r="KQ16" s="497">
        <v>-23.052700000000002</v>
      </c>
      <c r="KR16" s="497">
        <v>483.61949999999979</v>
      </c>
      <c r="KS16" s="497">
        <v>493.90399999999954</v>
      </c>
      <c r="KT16" s="497">
        <v>-44.497399999999971</v>
      </c>
      <c r="KU16" s="497">
        <v>-17.850899999999982</v>
      </c>
      <c r="KV16" s="497">
        <v>615.96050000000105</v>
      </c>
      <c r="KW16" s="497">
        <v>553.61220000000048</v>
      </c>
      <c r="KX16" s="497">
        <v>-25.46999999999997</v>
      </c>
      <c r="KY16" s="497">
        <v>-20.709999999999994</v>
      </c>
      <c r="KZ16" s="497">
        <v>777.06000000000131</v>
      </c>
      <c r="LA16" s="497">
        <v>730.88000000000011</v>
      </c>
      <c r="LB16" s="497">
        <v>87.272457742706479</v>
      </c>
      <c r="LC16" s="497">
        <v>-25.96029182737405</v>
      </c>
      <c r="LD16" s="497">
        <v>412.98794757816631</v>
      </c>
      <c r="LE16" s="497">
        <v>474.30011349349661</v>
      </c>
      <c r="LF16" s="497">
        <v>99.676835600000103</v>
      </c>
      <c r="LG16" s="497">
        <v>-9.6735021000000092</v>
      </c>
      <c r="LH16" s="497">
        <v>617.25222800000097</v>
      </c>
      <c r="LI16" s="497">
        <v>707.25556150000011</v>
      </c>
      <c r="LJ16" s="497">
        <v>132.811103</v>
      </c>
      <c r="LK16" s="497">
        <v>46.936591800000002</v>
      </c>
      <c r="LL16" s="497">
        <v>743.96148240000105</v>
      </c>
      <c r="LM16" s="497">
        <v>923.70917720000102</v>
      </c>
      <c r="LN16" s="497">
        <v>56.711037999999974</v>
      </c>
      <c r="LO16" s="497">
        <v>-36.260943599999962</v>
      </c>
      <c r="LP16" s="497">
        <v>1210.9672690999996</v>
      </c>
      <c r="LQ16" s="497">
        <v>1231.4173634999988</v>
      </c>
      <c r="LR16" s="497">
        <v>95.142304000000024</v>
      </c>
      <c r="LS16" s="497">
        <v>35.467189499999932</v>
      </c>
      <c r="LT16" s="497">
        <v>1413.4757085999991</v>
      </c>
      <c r="LU16" s="497">
        <v>1544.0852020999992</v>
      </c>
      <c r="LV16" s="497">
        <v>232.70595659999998</v>
      </c>
      <c r="LW16" s="497">
        <v>-9.8890791999999124</v>
      </c>
      <c r="LX16" s="497">
        <v>1732.6280497000007</v>
      </c>
      <c r="LY16" s="497">
        <v>1955.4449270999994</v>
      </c>
      <c r="LZ16" s="497">
        <v>408.19000000000005</v>
      </c>
      <c r="MA16" s="497">
        <v>-7.6899999999999409</v>
      </c>
      <c r="MB16" s="497">
        <v>1393.4700000000012</v>
      </c>
      <c r="MC16" s="497">
        <v>1793.9700000000012</v>
      </c>
      <c r="MD16" s="497">
        <v>55.075494399999997</v>
      </c>
      <c r="ME16" s="497">
        <v>15.114991</v>
      </c>
      <c r="MF16" s="497">
        <v>384.92224080000102</v>
      </c>
      <c r="MG16" s="497">
        <v>455.11272620000045</v>
      </c>
      <c r="MH16" s="497">
        <v>2.8899035</v>
      </c>
      <c r="MI16" s="497">
        <v>22.6460252</v>
      </c>
      <c r="MJ16" s="497">
        <v>99.429136300000394</v>
      </c>
      <c r="MK16" s="497">
        <v>124.965065</v>
      </c>
      <c r="ML16" s="497">
        <v>33.275618699999995</v>
      </c>
      <c r="MM16" s="497">
        <v>25.9361344</v>
      </c>
      <c r="MN16" s="497">
        <v>80.669766400000299</v>
      </c>
      <c r="MO16" s="497">
        <v>139.88151949999974</v>
      </c>
      <c r="MP16" s="497">
        <v>83.179900000000004</v>
      </c>
      <c r="MQ16" s="497">
        <v>22.780499999999996</v>
      </c>
      <c r="MR16" s="497">
        <v>48.614300000000185</v>
      </c>
      <c r="MS16" s="497">
        <v>154.57469999999921</v>
      </c>
      <c r="MT16" s="497">
        <v>67.441388099999998</v>
      </c>
      <c r="MU16" s="497">
        <v>12.512205299999991</v>
      </c>
      <c r="MV16" s="497">
        <v>263.51112430000012</v>
      </c>
      <c r="MW16" s="497">
        <v>343.46471769999971</v>
      </c>
      <c r="MX16" s="497">
        <v>96.283342599999997</v>
      </c>
      <c r="MY16" s="497">
        <v>-24.0928419</v>
      </c>
      <c r="MZ16" s="497">
        <v>-271.37317560000002</v>
      </c>
      <c r="NA16" s="497">
        <v>-199.18267489999999</v>
      </c>
      <c r="NB16" s="497">
        <v>1.5598599</v>
      </c>
      <c r="NC16" s="497">
        <v>0</v>
      </c>
      <c r="ND16" s="497">
        <v>-45.5909312</v>
      </c>
      <c r="NE16" s="497">
        <v>-44.031071300000008</v>
      </c>
      <c r="NF16" s="497">
        <v>0.39394010000000002</v>
      </c>
      <c r="NG16" s="497">
        <v>0</v>
      </c>
      <c r="NH16" s="497">
        <v>-39.664790799630502</v>
      </c>
      <c r="NI16" s="497">
        <v>-39.2708506996305</v>
      </c>
      <c r="NJ16" s="497">
        <v>-1.387558799999999</v>
      </c>
      <c r="NK16" s="497">
        <v>0</v>
      </c>
      <c r="NL16" s="497">
        <v>-40.449618600000008</v>
      </c>
      <c r="NM16" s="497">
        <v>-41.837177400000002</v>
      </c>
      <c r="NN16" s="497">
        <v>-7.676267799999998</v>
      </c>
      <c r="NO16" s="497">
        <v>0</v>
      </c>
      <c r="NP16" s="497">
        <v>-30.429169100000024</v>
      </c>
      <c r="NQ16" s="497">
        <v>-38.105436899999972</v>
      </c>
      <c r="NR16" s="497">
        <v>0.64633639999999914</v>
      </c>
      <c r="NS16" s="497">
        <v>-1.5084E-2</v>
      </c>
      <c r="NT16" s="497">
        <v>-12.134770599999968</v>
      </c>
      <c r="NU16" s="497">
        <v>-11.50351820000003</v>
      </c>
      <c r="NV16" s="497">
        <v>5.2061636</v>
      </c>
      <c r="NW16" s="497">
        <v>-1.1104159</v>
      </c>
      <c r="NX16" s="497">
        <v>-63.531414399646302</v>
      </c>
      <c r="NY16" s="497">
        <v>-59.435666699646298</v>
      </c>
      <c r="NZ16" s="497">
        <v>-11.5188878650621</v>
      </c>
      <c r="OA16" s="497">
        <v>-3.6826392846756502</v>
      </c>
      <c r="OB16" s="497">
        <v>-195.16094080066199</v>
      </c>
      <c r="OC16" s="497">
        <v>-210.36246795040051</v>
      </c>
      <c r="OD16" s="497">
        <v>-4.9043292809713703</v>
      </c>
      <c r="OE16" s="497">
        <v>-4.0575800131658397</v>
      </c>
      <c r="OF16" s="497">
        <v>-156.61666557900799</v>
      </c>
      <c r="OG16" s="497">
        <v>-165.57857487314499</v>
      </c>
      <c r="OH16" s="497">
        <v>-14.462348010111373</v>
      </c>
      <c r="OI16" s="497">
        <v>-7.4518941660893852</v>
      </c>
      <c r="OJ16" s="497">
        <v>-64.10951220849438</v>
      </c>
      <c r="OK16" s="497">
        <v>-86.023754384694939</v>
      </c>
      <c r="OL16" s="497">
        <v>6.7655576026336472</v>
      </c>
      <c r="OM16" s="497">
        <v>4.7068601480162151</v>
      </c>
      <c r="ON16" s="497">
        <v>-44.531575135326648</v>
      </c>
      <c r="OO16" s="497">
        <v>-33.059157384677064</v>
      </c>
      <c r="OP16" s="497">
        <v>7.7671173688258435</v>
      </c>
      <c r="OQ16" s="497">
        <v>2.7446949108477696</v>
      </c>
      <c r="OR16" s="497">
        <v>147.48725254594569</v>
      </c>
      <c r="OS16" s="497">
        <v>157.99906482561937</v>
      </c>
      <c r="OT16" s="497">
        <v>23.737650352690199</v>
      </c>
      <c r="OU16" s="497">
        <v>-8.0312592524283701</v>
      </c>
      <c r="OV16" s="497">
        <v>101.272399178439</v>
      </c>
      <c r="OW16" s="497">
        <v>116.978790278701</v>
      </c>
      <c r="OX16" s="497">
        <v>-3.5574767456393501</v>
      </c>
      <c r="OY16" s="497">
        <v>-4.3678648521845398</v>
      </c>
      <c r="OZ16" s="497">
        <v>-2.9156159025378101</v>
      </c>
      <c r="PA16" s="497">
        <v>-10.840957500360673</v>
      </c>
      <c r="PB16" s="497">
        <v>-16.189199884258301</v>
      </c>
      <c r="PC16" s="497">
        <v>-3.7016000665445299</v>
      </c>
      <c r="PD16" s="497">
        <v>8.5745775422078303</v>
      </c>
      <c r="PE16" s="497">
        <v>-11.316222408594999</v>
      </c>
      <c r="PF16" s="497">
        <v>-19.873271198062721</v>
      </c>
      <c r="PG16" s="497">
        <v>-5.1443381898226104</v>
      </c>
      <c r="PH16" s="497">
        <v>16.264003055731109</v>
      </c>
      <c r="PI16" s="497">
        <v>-8.7536063321542201</v>
      </c>
      <c r="PJ16" s="497">
        <v>-27.722294080320996</v>
      </c>
      <c r="PK16" s="497">
        <v>-4.1044081451382901</v>
      </c>
      <c r="PL16" s="497">
        <v>39.614744486597033</v>
      </c>
      <c r="PM16" s="497">
        <v>7.7880422611377753</v>
      </c>
      <c r="PN16" s="497">
        <v>-40.094161033664648</v>
      </c>
      <c r="PO16" s="497">
        <v>-6.8640354438495619</v>
      </c>
      <c r="PP16" s="497">
        <v>76.326159568587514</v>
      </c>
      <c r="PQ16" s="497">
        <v>29.367963091073307</v>
      </c>
      <c r="PR16" s="497">
        <v>-41.310146189779999</v>
      </c>
      <c r="PS16" s="497">
        <v>-2.97745009365241</v>
      </c>
      <c r="PT16" s="497">
        <v>76.701138030897596</v>
      </c>
      <c r="PU16" s="497">
        <v>32.413541747465203</v>
      </c>
      <c r="PV16" s="497">
        <v>-14.517414064</v>
      </c>
      <c r="PW16" s="497">
        <v>0</v>
      </c>
      <c r="PX16" s="497">
        <v>-6.907391938</v>
      </c>
      <c r="PY16" s="497">
        <v>-21.424806002</v>
      </c>
      <c r="PZ16" s="497">
        <v>9.927358947000009</v>
      </c>
      <c r="QA16" s="497">
        <v>0</v>
      </c>
      <c r="QB16" s="497">
        <v>-41.689193620999994</v>
      </c>
      <c r="QC16" s="497">
        <v>-31.761834674000013</v>
      </c>
      <c r="QD16" s="497">
        <v>24.134761819000005</v>
      </c>
      <c r="QE16" s="497">
        <v>0</v>
      </c>
      <c r="QF16" s="497">
        <v>-72.326770335000006</v>
      </c>
      <c r="QG16" s="497">
        <v>-48.192008515999959</v>
      </c>
      <c r="QH16" s="497">
        <v>-96.796951075999999</v>
      </c>
      <c r="QI16" s="497">
        <v>0</v>
      </c>
      <c r="QJ16" s="497">
        <v>-39.88689766200001</v>
      </c>
      <c r="QK16" s="497">
        <v>-136.68384873799999</v>
      </c>
      <c r="QL16" s="497">
        <v>5.740000000000002</v>
      </c>
      <c r="QM16" s="497">
        <v>0</v>
      </c>
      <c r="QN16" s="497">
        <v>-83.170000000000016</v>
      </c>
      <c r="QO16" s="497">
        <v>-77.430000000000007</v>
      </c>
      <c r="QP16" s="497">
        <v>-0.73110750000000002</v>
      </c>
      <c r="QQ16" s="497">
        <v>1.13469E-2</v>
      </c>
      <c r="QR16" s="497">
        <v>-2.8904778000000002</v>
      </c>
      <c r="QS16" s="497">
        <v>-3.6102384000000072</v>
      </c>
      <c r="QT16" s="497">
        <v>1.8892949999999999</v>
      </c>
      <c r="QU16" s="497">
        <v>1.88404E-2</v>
      </c>
      <c r="QV16" s="497">
        <v>-7.1554500999999897</v>
      </c>
      <c r="QW16" s="497">
        <v>-5.2473146999999898</v>
      </c>
      <c r="QX16" s="497">
        <v>0.78793639999999998</v>
      </c>
      <c r="QY16" s="497">
        <v>3.5543400000000003E-2</v>
      </c>
      <c r="QZ16" s="497">
        <v>-14.748969500000001</v>
      </c>
      <c r="RA16" s="497">
        <v>-13.925489699999986</v>
      </c>
      <c r="RB16" s="497">
        <v>0.56117019999999984</v>
      </c>
      <c r="RC16" s="497">
        <v>2.8284299999999995E-2</v>
      </c>
      <c r="RD16" s="497">
        <v>-11.383731299999994</v>
      </c>
      <c r="RE16" s="497">
        <v>-10.794276800000006</v>
      </c>
      <c r="RF16" s="497">
        <v>-2.5871326999999997</v>
      </c>
      <c r="RG16" s="497">
        <v>9.7036900000000009E-2</v>
      </c>
      <c r="RH16" s="497">
        <v>-48.873162899999983</v>
      </c>
      <c r="RI16" s="497">
        <v>-51.363258700000017</v>
      </c>
      <c r="RJ16" s="497">
        <v>-4.3136485999999996</v>
      </c>
      <c r="RK16" s="497">
        <v>4.9270300000000003E-2</v>
      </c>
      <c r="RL16" s="497">
        <v>-40.4197311</v>
      </c>
      <c r="RM16" s="497">
        <v>-44.684109399999997</v>
      </c>
      <c r="RN16" s="497">
        <v>4.35430097143289</v>
      </c>
      <c r="RO16" s="497">
        <v>7.2055557677904298</v>
      </c>
      <c r="RP16" s="497">
        <v>39.881063874782697</v>
      </c>
      <c r="RQ16" s="497">
        <v>51.440920614004426</v>
      </c>
      <c r="RR16" s="497">
        <v>15.962999999999999</v>
      </c>
      <c r="RS16" s="497">
        <v>3.7063999999999999</v>
      </c>
      <c r="RT16" s="497">
        <v>102.26690000000001</v>
      </c>
      <c r="RU16" s="497">
        <v>121.9363</v>
      </c>
      <c r="RV16" s="497">
        <v>21.937026160999196</v>
      </c>
      <c r="RW16" s="497">
        <v>-4.1332365570599432</v>
      </c>
      <c r="RX16" s="497">
        <v>144.11621028361697</v>
      </c>
      <c r="RY16" s="497">
        <v>161.91999988755651</v>
      </c>
      <c r="RZ16" s="497">
        <v>128.69996849385385</v>
      </c>
      <c r="SA16" s="497">
        <v>1.491980183710087</v>
      </c>
      <c r="SB16" s="497">
        <v>300.86851608488723</v>
      </c>
      <c r="SC16" s="497">
        <v>431.06046476245047</v>
      </c>
      <c r="SD16" s="497">
        <v>42.524011643609015</v>
      </c>
      <c r="SE16" s="497">
        <v>-4.4167397217974891</v>
      </c>
      <c r="SF16" s="497">
        <v>457.54233858240514</v>
      </c>
      <c r="SG16" s="497">
        <v>495.64961050421607</v>
      </c>
      <c r="SH16" s="497">
        <v>192.556909982961</v>
      </c>
      <c r="SI16" s="497">
        <v>-1.04878312060191</v>
      </c>
      <c r="SJ16" s="497">
        <v>500.00926144781801</v>
      </c>
      <c r="SK16" s="497">
        <v>691.51738831017701</v>
      </c>
      <c r="SL16" s="497">
        <v>14.4472507</v>
      </c>
      <c r="SM16" s="497">
        <v>3.7232650999999999</v>
      </c>
      <c r="SN16" s="497">
        <v>-9.5118554999999105</v>
      </c>
      <c r="SO16" s="497">
        <v>8.6586295000001883</v>
      </c>
      <c r="SP16" s="497">
        <v>11.8859493</v>
      </c>
      <c r="SQ16" s="497">
        <v>4.4198285999999998</v>
      </c>
      <c r="SR16" s="497">
        <v>52.108469099999802</v>
      </c>
      <c r="SS16" s="497">
        <v>68.414246999999804</v>
      </c>
      <c r="ST16" s="497">
        <v>4.7657302999999942</v>
      </c>
      <c r="SU16" s="497">
        <v>-1.319619000000003</v>
      </c>
      <c r="SV16" s="497">
        <v>115.06385779999982</v>
      </c>
      <c r="SW16" s="497">
        <v>118.50996909999958</v>
      </c>
      <c r="SX16" s="497">
        <v>12.049070899999997</v>
      </c>
      <c r="SY16" s="497">
        <v>3.2368009999999998</v>
      </c>
      <c r="SZ16" s="497">
        <v>49.953801600000133</v>
      </c>
      <c r="TA16" s="497">
        <v>65.239673499998844</v>
      </c>
      <c r="TB16" s="497">
        <v>29.358423008499997</v>
      </c>
      <c r="TC16" s="497">
        <v>5.6866847999999983</v>
      </c>
      <c r="TD16" s="497">
        <v>130.77649147625198</v>
      </c>
      <c r="TE16" s="497">
        <v>165.82159928475221</v>
      </c>
      <c r="TF16" s="497">
        <v>50.983494499999999</v>
      </c>
      <c r="TG16" s="497">
        <v>-2.2814532000000001</v>
      </c>
      <c r="TH16" s="497">
        <v>16.5628845999994</v>
      </c>
      <c r="TI16" s="497">
        <v>65.264925899999398</v>
      </c>
      <c r="TJ16" s="497">
        <v>174.78714634265401</v>
      </c>
      <c r="TK16" s="497">
        <v>-3.0364387076858601</v>
      </c>
      <c r="TL16" s="497">
        <v>-61.632119054824003</v>
      </c>
      <c r="TM16" s="497">
        <v>110.11858858014443</v>
      </c>
      <c r="TN16" s="497">
        <v>331.11778937129702</v>
      </c>
      <c r="TO16" s="497">
        <v>-1.1139218576190799</v>
      </c>
      <c r="TP16" s="497">
        <v>47.284229795777001</v>
      </c>
      <c r="TQ16" s="497">
        <v>377.288097309455</v>
      </c>
      <c r="TR16" s="497">
        <v>190.88906168427948</v>
      </c>
      <c r="TS16" s="497">
        <v>-5.2912620020599626</v>
      </c>
      <c r="TT16" s="497">
        <v>176.42332182618611</v>
      </c>
      <c r="TU16" s="497">
        <v>362.02112150840594</v>
      </c>
      <c r="TV16" s="497">
        <v>313.95778950046008</v>
      </c>
      <c r="TW16" s="497">
        <v>-0.4663018178944931</v>
      </c>
      <c r="TX16" s="497">
        <v>161.43604421263808</v>
      </c>
      <c r="TY16" s="497">
        <v>474.92753189520363</v>
      </c>
      <c r="TZ16" s="497">
        <v>378.73904245</v>
      </c>
      <c r="UA16" s="497">
        <v>-14.516678999999996</v>
      </c>
      <c r="UB16" s="497">
        <v>149.8814825343793</v>
      </c>
      <c r="UC16" s="497">
        <v>514.10384598438031</v>
      </c>
      <c r="UD16" s="497">
        <v>306.01302459999999</v>
      </c>
      <c r="UE16" s="497">
        <v>-27.296964800000001</v>
      </c>
      <c r="UF16" s="497">
        <v>-353.46822261369198</v>
      </c>
      <c r="UG16" s="497">
        <v>-74.752162813691896</v>
      </c>
      <c r="UH16" s="497">
        <v>12.599415499999999</v>
      </c>
      <c r="UI16" s="497">
        <v>-0.14618890000000001</v>
      </c>
      <c r="UJ16" s="497">
        <v>248.70731029999999</v>
      </c>
      <c r="UK16" s="497">
        <v>261.16053690000012</v>
      </c>
      <c r="UL16" s="497">
        <v>18.5576142</v>
      </c>
      <c r="UM16" s="497">
        <v>0.52857310000000002</v>
      </c>
      <c r="UN16" s="497">
        <v>481.90503510000002</v>
      </c>
      <c r="UO16" s="497">
        <v>500.99122240000003</v>
      </c>
      <c r="UP16" s="497">
        <v>11.5727115</v>
      </c>
      <c r="UQ16" s="497">
        <v>0.82595489999999994</v>
      </c>
      <c r="UR16" s="497">
        <v>942.03671320000035</v>
      </c>
      <c r="US16" s="497">
        <v>954.43537960000003</v>
      </c>
      <c r="UT16" s="497">
        <v>19.893485399999996</v>
      </c>
      <c r="UU16" s="497">
        <v>1.2647871000000002</v>
      </c>
      <c r="UV16" s="497">
        <v>886.83691410000029</v>
      </c>
      <c r="UW16" s="497">
        <v>907.99518660000012</v>
      </c>
      <c r="UX16" s="497">
        <v>16.607441200000004</v>
      </c>
      <c r="UY16" s="497">
        <v>1.1935886</v>
      </c>
      <c r="UZ16" s="497">
        <v>624.81254029999991</v>
      </c>
      <c r="VA16" s="497">
        <v>642.61357009999983</v>
      </c>
      <c r="VB16" s="497">
        <v>20.440000000000008</v>
      </c>
      <c r="VC16" s="497">
        <v>0.79</v>
      </c>
      <c r="VD16" s="497">
        <v>694.13999999999987</v>
      </c>
      <c r="VE16" s="497">
        <v>715.37000000000012</v>
      </c>
      <c r="VF16" s="497">
        <v>-17.528299999999994</v>
      </c>
      <c r="VG16" s="497">
        <v>42.998299999999972</v>
      </c>
      <c r="VH16" s="497">
        <v>9.0981000000001586</v>
      </c>
      <c r="VI16" s="497">
        <v>34.568099999999959</v>
      </c>
      <c r="VJ16" s="497">
        <v>-47.711886079000102</v>
      </c>
      <c r="VK16" s="497">
        <v>10.0631658430001</v>
      </c>
      <c r="VL16" s="497">
        <v>148.919587286</v>
      </c>
      <c r="VM16" s="497">
        <v>111.27086705000001</v>
      </c>
      <c r="VN16" s="497">
        <v>-91.798288200000002</v>
      </c>
      <c r="VO16" s="497">
        <v>-10.079642999999976</v>
      </c>
      <c r="VP16" s="497">
        <v>134.72859060000064</v>
      </c>
      <c r="VQ16" s="497">
        <v>32.85065940000004</v>
      </c>
      <c r="VR16" s="497">
        <v>34.073506099999975</v>
      </c>
      <c r="VS16" s="497">
        <v>28.204738099999986</v>
      </c>
      <c r="VT16" s="497">
        <v>253.29516270499971</v>
      </c>
      <c r="VU16" s="497">
        <v>315.57340690500041</v>
      </c>
      <c r="VV16" s="497">
        <v>-4.7662129000000277</v>
      </c>
      <c r="VW16" s="497">
        <v>9.9348489999999288</v>
      </c>
      <c r="VX16" s="497">
        <v>417.77167864900002</v>
      </c>
      <c r="VY16" s="497">
        <v>422.9403147489993</v>
      </c>
      <c r="VZ16" s="497">
        <v>26.6694055269998</v>
      </c>
      <c r="WA16" s="497">
        <v>-26.290396175000101</v>
      </c>
      <c r="WB16" s="497">
        <v>456.17964780752999</v>
      </c>
      <c r="WC16" s="497">
        <v>456.55865715953001</v>
      </c>
      <c r="WD16" s="497">
        <v>32.405414</v>
      </c>
      <c r="WE16" s="497">
        <v>5.0841626</v>
      </c>
      <c r="WF16" s="497">
        <v>15.9367406999999</v>
      </c>
      <c r="WG16" s="497">
        <v>53.426317299999937</v>
      </c>
      <c r="WH16" s="497">
        <v>34.164544599999999</v>
      </c>
      <c r="WI16" s="497">
        <v>0.20338490000000001</v>
      </c>
      <c r="WJ16" s="497">
        <v>357.13194067400002</v>
      </c>
      <c r="WK16" s="497">
        <v>391.49987017400002</v>
      </c>
      <c r="WL16" s="497">
        <v>32.298087499999994</v>
      </c>
      <c r="WM16" s="497">
        <v>0.98894140000000075</v>
      </c>
      <c r="WN16" s="497">
        <v>152.69090130000018</v>
      </c>
      <c r="WO16" s="497">
        <v>185.97793019999995</v>
      </c>
      <c r="WP16" s="497">
        <v>32.095067100000001</v>
      </c>
      <c r="WQ16" s="497">
        <v>3.4893006999999994</v>
      </c>
      <c r="WR16" s="497">
        <v>118.70441619999997</v>
      </c>
      <c r="WS16" s="497">
        <v>154.28878400000008</v>
      </c>
      <c r="WT16" s="497">
        <v>27.279988599999996</v>
      </c>
      <c r="WU16" s="497">
        <v>1.7076174999999996</v>
      </c>
      <c r="WV16" s="497">
        <v>-0.96652399999993577</v>
      </c>
      <c r="WW16" s="497">
        <v>28.021082100000285</v>
      </c>
      <c r="WX16" s="497">
        <v>48.048035106999997</v>
      </c>
      <c r="WY16" s="497">
        <v>2.6419524920000002</v>
      </c>
      <c r="WZ16" s="497">
        <v>60.631467143999899</v>
      </c>
      <c r="XA16" s="497">
        <v>111.321454743</v>
      </c>
      <c r="XB16" s="497">
        <v>495.21214280391479</v>
      </c>
      <c r="XC16" s="497">
        <v>63.547648812496256</v>
      </c>
      <c r="XD16" s="497">
        <v>2127.9372772494567</v>
      </c>
      <c r="XE16" s="497">
        <v>2686.6970380658645</v>
      </c>
      <c r="XF16" s="497">
        <v>589.67159126514264</v>
      </c>
      <c r="XG16" s="497">
        <v>97.163106238521408</v>
      </c>
      <c r="XH16" s="497">
        <v>3586.3770593157378</v>
      </c>
      <c r="XI16" s="497">
        <v>4273.2117568194017</v>
      </c>
      <c r="XJ16" s="497">
        <v>397.9821772829132</v>
      </c>
      <c r="XK16" s="497">
        <v>-80.010004013852722</v>
      </c>
      <c r="XL16" s="497">
        <v>4098.4590832663671</v>
      </c>
      <c r="XM16" s="497">
        <v>4416.4312565354412</v>
      </c>
      <c r="XN16" s="497">
        <v>801.08759576283774</v>
      </c>
      <c r="XO16" s="497">
        <v>82.319922934354821</v>
      </c>
      <c r="XP16" s="497">
        <v>5279.6885777781044</v>
      </c>
      <c r="XQ16" s="497">
        <v>6163.0960964752949</v>
      </c>
      <c r="XR16" s="497">
        <v>743.3262152580445</v>
      </c>
      <c r="XS16" s="497">
        <v>-8.1501776935857251</v>
      </c>
      <c r="XT16" s="497">
        <v>6900.4207252372598</v>
      </c>
      <c r="XU16" s="497">
        <v>7635.5967628017142</v>
      </c>
      <c r="XV16" s="497">
        <v>1401.8529719932699</v>
      </c>
      <c r="XW16" s="497">
        <v>-82.88447581942529</v>
      </c>
      <c r="XX16" s="497">
        <v>4062.2328283546967</v>
      </c>
      <c r="XY16" s="497">
        <v>5381.2013245285389</v>
      </c>
      <c r="XZ16" s="497">
        <v>-87.729187130055195</v>
      </c>
      <c r="YA16" s="497">
        <v>-195.30349773976701</v>
      </c>
      <c r="YB16" s="497">
        <v>-256.33995034981331</v>
      </c>
      <c r="YC16" s="497">
        <v>-248.248665097909</v>
      </c>
      <c r="YD16" s="497">
        <v>-211.29634566477353</v>
      </c>
      <c r="YE16" s="497">
        <v>-332.45121301996397</v>
      </c>
      <c r="YF16" s="497">
        <v>-84.752600562553198</v>
      </c>
      <c r="YG16" s="497">
        <v>-5.2501020184631697</v>
      </c>
      <c r="YH16" s="497">
        <v>-28.546718659982599</v>
      </c>
      <c r="YI16" s="497">
        <v>241.18412549547611</v>
      </c>
      <c r="YJ16" s="497">
        <v>256.20529620000025</v>
      </c>
      <c r="YK16" s="497">
        <v>262.74387769999976</v>
      </c>
      <c r="YL16" s="497">
        <v>282.95786808100002</v>
      </c>
      <c r="YM16" s="497">
        <v>-17.2716794</v>
      </c>
      <c r="YN16" s="497">
        <v>187.30946570000015</v>
      </c>
      <c r="YO16" s="497">
        <v>64.971029526800095</v>
      </c>
      <c r="YP16" s="497">
        <v>112.57050170000002</v>
      </c>
      <c r="YQ16" s="497">
        <v>-1.2657804000000397</v>
      </c>
      <c r="YR16" s="497">
        <v>-174.20693282400001</v>
      </c>
      <c r="YS16" s="497">
        <v>-137.08577965854201</v>
      </c>
      <c r="YT16" s="497">
        <v>-107.73980082620299</v>
      </c>
      <c r="YU16" s="497">
        <v>-169.05447649774186</v>
      </c>
      <c r="YV16" s="497">
        <v>23.627609915249877</v>
      </c>
      <c r="YW16" s="497">
        <v>5.1965831065240309</v>
      </c>
      <c r="YX16" s="497">
        <v>-89.497261027000107</v>
      </c>
      <c r="YY16" s="497">
        <v>-81.468709291789594</v>
      </c>
      <c r="YZ16" s="497">
        <v>85.072799661935505</v>
      </c>
      <c r="ZA16" s="497">
        <v>110.16541959350999</v>
      </c>
      <c r="ZB16" s="497">
        <v>85.725348107114542</v>
      </c>
      <c r="ZC16" s="497">
        <v>117.15775476197155</v>
      </c>
      <c r="ZD16" s="497">
        <v>124.95725850296412</v>
      </c>
      <c r="ZE16" s="497">
        <v>45.083130840813197</v>
      </c>
      <c r="ZF16" s="497">
        <v>-55.804043700000001</v>
      </c>
      <c r="ZG16" s="497">
        <v>2.1373000000000006</v>
      </c>
      <c r="ZH16" s="497">
        <v>0.96000000000000085</v>
      </c>
      <c r="ZI16" s="497">
        <v>-0.35000000000000142</v>
      </c>
      <c r="ZJ16" s="497">
        <v>248.52810626859991</v>
      </c>
      <c r="ZK16" s="497">
        <v>86.081331450814304</v>
      </c>
      <c r="ZL16" s="497">
        <v>138.40756402500028</v>
      </c>
      <c r="ZM16" s="497">
        <v>229.50950768802068</v>
      </c>
      <c r="ZN16" s="497">
        <v>330.29717764120051</v>
      </c>
      <c r="ZO16" s="497">
        <v>-1481.1113132999999</v>
      </c>
      <c r="ZP16" s="497">
        <v>-1581.9701641558499</v>
      </c>
      <c r="ZQ16" s="497">
        <f t="shared" si="8"/>
        <v>-109.1718158097429</v>
      </c>
      <c r="ZR16" s="497">
        <v>128.39852800568957</v>
      </c>
      <c r="ZS16" s="497">
        <v>-18.046004080642206</v>
      </c>
      <c r="ZT16" s="497">
        <v>243.59505614305618</v>
      </c>
      <c r="ZU16" s="497">
        <v>479.91069302051312</v>
      </c>
      <c r="ZV16" s="497">
        <v>-1298.5499396552855</v>
      </c>
      <c r="ZW16" s="497">
        <v>-1676.2276392810006</v>
      </c>
      <c r="ZX16" s="497">
        <v>300.16204157231999</v>
      </c>
      <c r="ZY16" s="497">
        <v>298.51028671601898</v>
      </c>
      <c r="ZZ16" s="497">
        <v>703.39754540000104</v>
      </c>
      <c r="AAA16" s="497">
        <v>507.33644987162029</v>
      </c>
      <c r="AAB16" s="497">
        <v>123.9015416000002</v>
      </c>
      <c r="AAC16" s="497">
        <v>825.44999999999982</v>
      </c>
      <c r="AAD16" s="497">
        <v>712.68010361972699</v>
      </c>
      <c r="AAE16" s="497">
        <v>106.72551009999999</v>
      </c>
      <c r="AAF16" s="497">
        <v>138.0989141</v>
      </c>
      <c r="AAG16" s="497">
        <v>-130.05028599999997</v>
      </c>
      <c r="AAH16" s="497">
        <v>-42.766330399999788</v>
      </c>
      <c r="AAI16" s="497">
        <v>86.910770200000115</v>
      </c>
      <c r="AAJ16" s="497">
        <v>159.09714120000012</v>
      </c>
      <c r="AAK16" s="497">
        <v>684.88071979999995</v>
      </c>
      <c r="AAL16" s="497">
        <v>406.88755167232</v>
      </c>
      <c r="AAM16" s="497">
        <v>436.60920081601898</v>
      </c>
      <c r="AAN16" s="497">
        <v>573.34725940000112</v>
      </c>
      <c r="AAO16" s="497">
        <v>464.5701194716205</v>
      </c>
      <c r="AAP16" s="497">
        <v>210.81231180000032</v>
      </c>
      <c r="AAQ16" s="497">
        <v>984.54714119999994</v>
      </c>
      <c r="AAR16" s="497">
        <v>1397.5608234197271</v>
      </c>
      <c r="AAS16" s="408"/>
      <c r="AAT16" s="408"/>
      <c r="AAU16" s="408"/>
      <c r="AAV16" s="408"/>
      <c r="AAW16" s="408"/>
      <c r="AAX16" s="408"/>
      <c r="AAY16" s="408"/>
      <c r="AAZ16" s="408"/>
      <c r="ABA16" s="408"/>
      <c r="ABB16" s="408"/>
      <c r="ABC16" s="408"/>
      <c r="ABD16" s="408"/>
      <c r="ABE16" s="408"/>
      <c r="ABF16" s="408"/>
      <c r="ABG16" s="408"/>
      <c r="ABH16" s="408"/>
      <c r="ABI16" s="408"/>
      <c r="ABJ16" s="408"/>
      <c r="ABK16" s="408"/>
      <c r="ABL16" s="408"/>
      <c r="ABM16" s="408"/>
      <c r="ABN16" s="408"/>
      <c r="ABO16" s="408"/>
      <c r="ABP16" s="408"/>
      <c r="ABQ16" s="408"/>
      <c r="ABR16" s="408"/>
      <c r="ABS16" s="408"/>
      <c r="ABT16" s="408"/>
      <c r="ABU16" s="408"/>
      <c r="ABV16" s="408"/>
      <c r="ABW16" s="408"/>
      <c r="ABX16" s="408"/>
    </row>
    <row r="17" spans="1:16384" s="409" customFormat="1" ht="15" customHeight="1" x14ac:dyDescent="0.25">
      <c r="A17" s="494" t="s">
        <v>246</v>
      </c>
      <c r="B17" s="498">
        <v>72.062268099999997</v>
      </c>
      <c r="C17" s="498">
        <v>126.26258039999996</v>
      </c>
      <c r="D17" s="498">
        <v>-910.78892809999888</v>
      </c>
      <c r="E17" s="498">
        <v>-712.46407959999897</v>
      </c>
      <c r="F17" s="498">
        <v>376.22779999999989</v>
      </c>
      <c r="G17" s="498">
        <v>71.225000000000023</v>
      </c>
      <c r="H17" s="498">
        <v>-810.23190000000068</v>
      </c>
      <c r="I17" s="498">
        <v>-362.77910000000077</v>
      </c>
      <c r="J17" s="498">
        <v>-190.44560034853566</v>
      </c>
      <c r="K17" s="498">
        <v>94.598334450899443</v>
      </c>
      <c r="L17" s="498">
        <v>-2736.0788798979884</v>
      </c>
      <c r="M17" s="498">
        <v>-2831.9261457956254</v>
      </c>
      <c r="N17" s="498">
        <v>335.96000000000004</v>
      </c>
      <c r="O17" s="498">
        <v>8.7199999999999989</v>
      </c>
      <c r="P17" s="498">
        <v>-2177.2399999999998</v>
      </c>
      <c r="Q17" s="498">
        <v>-1832.5599999999997</v>
      </c>
      <c r="R17" s="498">
        <v>-15.111699999999928</v>
      </c>
      <c r="S17" s="498">
        <v>49.876100000000008</v>
      </c>
      <c r="T17" s="498">
        <v>-2822.1776000000009</v>
      </c>
      <c r="U17" s="498">
        <v>-2787.4131999999991</v>
      </c>
      <c r="V17" s="498">
        <v>75.409999999999968</v>
      </c>
      <c r="W17" s="498">
        <v>23.619999999999976</v>
      </c>
      <c r="X17" s="498">
        <v>62.670000000000073</v>
      </c>
      <c r="Y17" s="498">
        <v>161.70000000000073</v>
      </c>
      <c r="Z17" s="498">
        <v>-39.959999999999809</v>
      </c>
      <c r="AA17" s="498">
        <v>2.2699999999999818</v>
      </c>
      <c r="AB17" s="498">
        <v>-1582.7600000000002</v>
      </c>
      <c r="AC17" s="498">
        <v>-1620.4500000000007</v>
      </c>
      <c r="AD17" s="498">
        <v>9.6891381139996504</v>
      </c>
      <c r="AE17" s="498">
        <v>147.707629903</v>
      </c>
      <c r="AF17" s="498">
        <v>-592.47332717699896</v>
      </c>
      <c r="AG17" s="498">
        <v>-435.07655915999931</v>
      </c>
      <c r="AH17" s="498">
        <v>-346.60822010004398</v>
      </c>
      <c r="AI17" s="498">
        <v>87.284789760726497</v>
      </c>
      <c r="AJ17" s="498">
        <v>-297.62859427171799</v>
      </c>
      <c r="AK17" s="498">
        <v>-556.95202461103554</v>
      </c>
      <c r="AL17" s="498">
        <v>429.36558308567373</v>
      </c>
      <c r="AM17" s="498">
        <v>110.64973880444524</v>
      </c>
      <c r="AN17" s="498">
        <v>463.36723241255459</v>
      </c>
      <c r="AO17" s="498">
        <v>1003.3825543026869</v>
      </c>
      <c r="AP17" s="498">
        <v>-585.09474640439305</v>
      </c>
      <c r="AQ17" s="498">
        <v>11.4538834733707</v>
      </c>
      <c r="AR17" s="498">
        <v>-887.70291821117598</v>
      </c>
      <c r="AS17" s="498">
        <v>-1461.3437811421982</v>
      </c>
      <c r="AT17" s="498">
        <v>341.70644534286703</v>
      </c>
      <c r="AU17" s="498">
        <v>85.841177597490798</v>
      </c>
      <c r="AV17" s="498">
        <v>-14.590581726457458</v>
      </c>
      <c r="AW17" s="498">
        <v>412.95704121389281</v>
      </c>
      <c r="AX17" s="498">
        <v>192.89481488703586</v>
      </c>
      <c r="AY17" s="498">
        <v>42.815985225184988</v>
      </c>
      <c r="AZ17" s="498">
        <v>463.18843522206589</v>
      </c>
      <c r="BA17" s="498">
        <v>698.89923533428373</v>
      </c>
      <c r="BB17" s="498">
        <v>509.599893719139</v>
      </c>
      <c r="BC17" s="498">
        <v>35.643146378271297</v>
      </c>
      <c r="BD17" s="498">
        <v>-2016.4895775238899</v>
      </c>
      <c r="BE17" s="498">
        <v>-1471.24653742648</v>
      </c>
      <c r="BF17" s="498">
        <v>-136.54011019999999</v>
      </c>
      <c r="BG17" s="498">
        <v>0.3224727</v>
      </c>
      <c r="BH17" s="498">
        <v>-375.65893080000001</v>
      </c>
      <c r="BI17" s="498">
        <v>-511.87656830000003</v>
      </c>
      <c r="BJ17" s="498">
        <v>-111.85211510000001</v>
      </c>
      <c r="BK17" s="498">
        <v>33.378400599999999</v>
      </c>
      <c r="BL17" s="498">
        <v>-2321.6636738000002</v>
      </c>
      <c r="BM17" s="498">
        <v>-2400.1373883000001</v>
      </c>
      <c r="BN17" s="498">
        <v>10.502899999999954</v>
      </c>
      <c r="BO17" s="498">
        <v>112.50280000000006</v>
      </c>
      <c r="BP17" s="498">
        <v>1024.6420999999991</v>
      </c>
      <c r="BQ17" s="498">
        <v>1147.647799999997</v>
      </c>
      <c r="BR17" s="498">
        <v>-185.4818358</v>
      </c>
      <c r="BS17" s="498">
        <v>96.753804700000003</v>
      </c>
      <c r="BT17" s="498">
        <v>-1128.6759658000001</v>
      </c>
      <c r="BU17" s="498">
        <v>-1217.4039969</v>
      </c>
      <c r="BV17" s="498">
        <v>0.24090000000001055</v>
      </c>
      <c r="BW17" s="498">
        <v>1.3645999999999958</v>
      </c>
      <c r="BX17" s="498">
        <v>-1384.3574000000026</v>
      </c>
      <c r="BY17" s="498">
        <v>-1382.7519000000029</v>
      </c>
      <c r="BZ17" s="498">
        <v>43.149999999999977</v>
      </c>
      <c r="CA17" s="498">
        <v>31.29000000000002</v>
      </c>
      <c r="CB17" s="498">
        <v>-1307.2699999999986</v>
      </c>
      <c r="CC17" s="498">
        <v>-1232.8300000000017</v>
      </c>
      <c r="CD17" s="498">
        <v>-16.478908100000002</v>
      </c>
      <c r="CE17" s="498">
        <v>10.747967600000001</v>
      </c>
      <c r="CF17" s="498">
        <v>-3019.5224443000002</v>
      </c>
      <c r="CG17" s="498">
        <v>-3025.2533847999998</v>
      </c>
      <c r="CH17" s="498">
        <v>-47.234040199999981</v>
      </c>
      <c r="CI17" s="498">
        <v>41.090163599999983</v>
      </c>
      <c r="CJ17" s="498">
        <v>-512.61018850000073</v>
      </c>
      <c r="CK17" s="498">
        <v>-518.75406510000073</v>
      </c>
      <c r="CL17" s="498">
        <v>-149.45249999999987</v>
      </c>
      <c r="CM17" s="498">
        <v>55.058499999999924</v>
      </c>
      <c r="CN17" s="498">
        <v>-2240.6844999999958</v>
      </c>
      <c r="CO17" s="498">
        <v>-2335.0784999999955</v>
      </c>
      <c r="CP17" s="498">
        <v>54.550799999999754</v>
      </c>
      <c r="CQ17" s="498">
        <v>73.198599999999971</v>
      </c>
      <c r="CR17" s="498">
        <v>414.80149999999958</v>
      </c>
      <c r="CS17" s="498">
        <v>542.55090000000018</v>
      </c>
      <c r="CT17" s="498">
        <v>20.3640273</v>
      </c>
      <c r="CU17" s="498">
        <v>-8.3350202000000007</v>
      </c>
      <c r="CV17" s="498">
        <v>-2149.4114107</v>
      </c>
      <c r="CW17" s="498">
        <v>-2137.3824036000001</v>
      </c>
      <c r="CX17" s="498">
        <v>-390.7340999999999</v>
      </c>
      <c r="CY17" s="498">
        <v>37.36099999999999</v>
      </c>
      <c r="CZ17" s="498">
        <v>-1249.6000000000022</v>
      </c>
      <c r="DA17" s="498">
        <v>-1602.9731000000029</v>
      </c>
      <c r="DB17" s="498">
        <v>79.970000000000255</v>
      </c>
      <c r="DC17" s="498">
        <v>47.500000000000028</v>
      </c>
      <c r="DD17" s="498">
        <v>-1180.7700000000023</v>
      </c>
      <c r="DE17" s="498">
        <v>-1053.3000000000029</v>
      </c>
      <c r="DF17" s="498">
        <v>93.319999999999936</v>
      </c>
      <c r="DG17" s="498">
        <v>-20.960000000000036</v>
      </c>
      <c r="DH17" s="498">
        <v>-1750.25</v>
      </c>
      <c r="DI17" s="498">
        <v>-1677.89</v>
      </c>
      <c r="DJ17" s="498">
        <f t="shared" si="0"/>
        <v>-739.1560464043929</v>
      </c>
      <c r="DK17" s="498">
        <f t="shared" si="1"/>
        <v>228.89128347337069</v>
      </c>
      <c r="DL17" s="498">
        <f t="shared" si="2"/>
        <v>-4925.922918211174</v>
      </c>
      <c r="DM17" s="498">
        <f t="shared" si="3"/>
        <v>-5436.1876811421953</v>
      </c>
      <c r="DN17" s="498">
        <f t="shared" si="4"/>
        <v>170.81540954286697</v>
      </c>
      <c r="DO17" s="498">
        <f t="shared" si="5"/>
        <v>258.06358229749071</v>
      </c>
      <c r="DP17" s="498">
        <f t="shared" si="6"/>
        <v>-2311.2250475264582</v>
      </c>
      <c r="DQ17" s="498">
        <f t="shared" si="7"/>
        <v>-1882.3460556861078</v>
      </c>
      <c r="DR17" s="498">
        <v>303.97368273713778</v>
      </c>
      <c r="DS17" s="498">
        <v>390.94947325534474</v>
      </c>
      <c r="DT17" s="498">
        <v>-833.26804748543509</v>
      </c>
      <c r="DU17" s="498">
        <v>-138.34489149294131</v>
      </c>
      <c r="DV17" s="498">
        <v>-414.25255490439304</v>
      </c>
      <c r="DW17" s="498">
        <v>108.59266797337069</v>
      </c>
      <c r="DX17" s="498">
        <v>-6343.0302947111759</v>
      </c>
      <c r="DY17" s="498">
        <v>-6648.6901816421978</v>
      </c>
      <c r="DZ17" s="498">
        <v>-63.898454657132788</v>
      </c>
      <c r="EA17" s="498">
        <v>174.44287759749079</v>
      </c>
      <c r="EB17" s="498">
        <v>-5470.7255817264631</v>
      </c>
      <c r="EC17" s="498">
        <v>-5360.1811587861121</v>
      </c>
      <c r="ED17" s="498">
        <v>391.42481488703606</v>
      </c>
      <c r="EE17" s="498">
        <v>145.22598522518501</v>
      </c>
      <c r="EF17" s="498">
        <v>-1962.1815647779349</v>
      </c>
      <c r="EG17" s="498">
        <v>-1425.5307646657202</v>
      </c>
      <c r="EH17" s="498">
        <v>546.48098561913912</v>
      </c>
      <c r="EI17" s="498">
        <v>27.701113978271245</v>
      </c>
      <c r="EJ17" s="498">
        <v>-8369.0220218238901</v>
      </c>
      <c r="EK17" s="498">
        <v>-7794.8399222264798</v>
      </c>
      <c r="EL17" s="498">
        <v>0</v>
      </c>
      <c r="EM17" s="498">
        <v>0</v>
      </c>
      <c r="EN17" s="498">
        <v>-14.335899999999999</v>
      </c>
      <c r="EO17" s="498">
        <v>-14.335899999999999</v>
      </c>
      <c r="EP17" s="498">
        <v>0</v>
      </c>
      <c r="EQ17" s="498">
        <v>0</v>
      </c>
      <c r="ER17" s="498">
        <v>-140.64827314600001</v>
      </c>
      <c r="ES17" s="498">
        <v>-140.64827314600001</v>
      </c>
      <c r="ET17" s="498">
        <v>0</v>
      </c>
      <c r="EU17" s="498">
        <v>0</v>
      </c>
      <c r="EV17" s="498">
        <v>-198.00950567898931</v>
      </c>
      <c r="EW17" s="498">
        <v>-198.00950567898931</v>
      </c>
      <c r="EX17" s="498">
        <v>-1.1169659859509269E-2</v>
      </c>
      <c r="EY17" s="498">
        <v>0</v>
      </c>
      <c r="EZ17" s="498">
        <v>-145.30535519847029</v>
      </c>
      <c r="FA17" s="498">
        <v>-145.31652485832984</v>
      </c>
      <c r="FB17" s="498">
        <v>-1.28478796247845E-2</v>
      </c>
      <c r="FC17" s="498">
        <v>0</v>
      </c>
      <c r="FD17" s="498">
        <v>-392.99955212037497</v>
      </c>
      <c r="FE17" s="498">
        <v>-393.01240000000001</v>
      </c>
      <c r="FF17" s="498">
        <v>117.2100255</v>
      </c>
      <c r="FG17" s="498">
        <v>11.6257302</v>
      </c>
      <c r="FH17" s="498">
        <v>685.64125130000002</v>
      </c>
      <c r="FI17" s="498">
        <v>814.47700699999996</v>
      </c>
      <c r="FJ17" s="498">
        <v>68.736500000000007</v>
      </c>
      <c r="FK17" s="498">
        <v>13.912099999999995</v>
      </c>
      <c r="FL17" s="498">
        <v>1104.6563999999998</v>
      </c>
      <c r="FM17" s="498">
        <v>1187.3049999999998</v>
      </c>
      <c r="FN17" s="498">
        <v>45.662658100000002</v>
      </c>
      <c r="FO17" s="498">
        <v>-18.016506400000001</v>
      </c>
      <c r="FP17" s="498">
        <v>940.03831070000001</v>
      </c>
      <c r="FQ17" s="498">
        <v>967.68446240000003</v>
      </c>
      <c r="FR17" s="498">
        <v>33.686333589895014</v>
      </c>
      <c r="FS17" s="498">
        <v>13.529271967883318</v>
      </c>
      <c r="FT17" s="498">
        <v>1195.8748601422185</v>
      </c>
      <c r="FU17" s="498">
        <v>1243.0904656999974</v>
      </c>
      <c r="FV17" s="498">
        <v>44.130405670755181</v>
      </c>
      <c r="FW17" s="498">
        <v>17.974857979491915</v>
      </c>
      <c r="FX17" s="498">
        <v>1416.7709324497573</v>
      </c>
      <c r="FY17" s="498">
        <v>1478.8761961000046</v>
      </c>
      <c r="FZ17" s="498">
        <v>93.617214789558602</v>
      </c>
      <c r="GA17" s="498">
        <v>20.928582658430599</v>
      </c>
      <c r="GB17" s="498">
        <v>1321.1699830520099</v>
      </c>
      <c r="GC17" s="498">
        <v>1435.7157804999999</v>
      </c>
      <c r="GD17" s="498">
        <v>-9.3165992277751464</v>
      </c>
      <c r="GE17" s="498">
        <v>2.2982523627847797</v>
      </c>
      <c r="GF17" s="498">
        <v>-19.167386237548044</v>
      </c>
      <c r="GG17" s="498">
        <v>-26.185733102538411</v>
      </c>
      <c r="GH17" s="498">
        <v>3.4518426029351201</v>
      </c>
      <c r="GI17" s="498">
        <v>-3.66628088825725</v>
      </c>
      <c r="GJ17" s="498">
        <v>7.2470691645072796</v>
      </c>
      <c r="GK17" s="498">
        <v>7.0326308791851497</v>
      </c>
      <c r="GL17" s="498">
        <v>6.0649075686134699</v>
      </c>
      <c r="GM17" s="498">
        <v>-4.8414987068207598</v>
      </c>
      <c r="GN17" s="498">
        <v>130.63798415137401</v>
      </c>
      <c r="GO17" s="498">
        <v>131.86139301316672</v>
      </c>
      <c r="GP17" s="498">
        <v>11.80441553731621</v>
      </c>
      <c r="GQ17" s="498">
        <v>-25.813605502221954</v>
      </c>
      <c r="GR17" s="498">
        <v>118.84958974835217</v>
      </c>
      <c r="GS17" s="498">
        <v>104.84039978344617</v>
      </c>
      <c r="GT17" s="498">
        <v>-7.905799102632777</v>
      </c>
      <c r="GU17" s="498">
        <v>-3.3617615055998158</v>
      </c>
      <c r="GV17" s="498">
        <v>437.52337562615003</v>
      </c>
      <c r="GW17" s="498">
        <v>426.25581501791771</v>
      </c>
      <c r="GX17" s="498">
        <v>27.222877100000002</v>
      </c>
      <c r="GY17" s="498">
        <v>9.6326321999999998</v>
      </c>
      <c r="GZ17" s="498">
        <v>199.81542260000001</v>
      </c>
      <c r="HA17" s="498">
        <v>236.6709319</v>
      </c>
      <c r="HB17" s="498">
        <v>50.600700000000003</v>
      </c>
      <c r="HC17" s="498">
        <v>6.5877999999999997</v>
      </c>
      <c r="HD17" s="498">
        <v>253.08760000000001</v>
      </c>
      <c r="HE17" s="498">
        <v>310.27610000000004</v>
      </c>
      <c r="HF17" s="498">
        <v>110.78569999999999</v>
      </c>
      <c r="HG17" s="498">
        <v>5.6085669999999999</v>
      </c>
      <c r="HH17" s="498">
        <v>141.71579400000019</v>
      </c>
      <c r="HI17" s="498">
        <v>258.1100610000002</v>
      </c>
      <c r="HJ17" s="498">
        <v>71.006478699999988</v>
      </c>
      <c r="HK17" s="498">
        <v>6.3304425999999978</v>
      </c>
      <c r="HL17" s="498">
        <v>461.68510000000015</v>
      </c>
      <c r="HM17" s="498">
        <v>539.02202130000023</v>
      </c>
      <c r="HN17" s="498">
        <v>80.277751110511417</v>
      </c>
      <c r="HO17" s="498">
        <v>4.7035874403214386</v>
      </c>
      <c r="HP17" s="498">
        <v>495.4584614492619</v>
      </c>
      <c r="HQ17" s="498">
        <v>580.43980000009424</v>
      </c>
      <c r="HR17" s="498">
        <v>109.386900531428</v>
      </c>
      <c r="HS17" s="498">
        <v>7.6997523217942598</v>
      </c>
      <c r="HT17" s="498">
        <v>477.714992630854</v>
      </c>
      <c r="HU17" s="498">
        <v>594.80164548407595</v>
      </c>
      <c r="HV17" s="498">
        <v>0</v>
      </c>
      <c r="HW17" s="498">
        <v>0</v>
      </c>
      <c r="HX17" s="498">
        <v>-18.235499999999998</v>
      </c>
      <c r="HY17" s="498">
        <v>-18.235499999999998</v>
      </c>
      <c r="HZ17" s="498">
        <v>-1.8386117099999999</v>
      </c>
      <c r="IA17" s="498">
        <v>-3.134492E-3</v>
      </c>
      <c r="IB17" s="498">
        <v>-62.472001504654401</v>
      </c>
      <c r="IC17" s="498">
        <v>-64.313747706654397</v>
      </c>
      <c r="ID17" s="498">
        <v>-1.4190356</v>
      </c>
      <c r="IE17" s="498">
        <v>-0.15572179999999999</v>
      </c>
      <c r="IF17" s="498">
        <v>-96.143328552272493</v>
      </c>
      <c r="IG17" s="498">
        <v>-97.718085952272489</v>
      </c>
      <c r="IH17" s="498">
        <v>-0.85571692199999916</v>
      </c>
      <c r="II17" s="498">
        <v>-0.69126315299999996</v>
      </c>
      <c r="IJ17" s="498">
        <v>-100.70732685799999</v>
      </c>
      <c r="IK17" s="498">
        <v>-102.25430693300004</v>
      </c>
      <c r="IL17" s="498">
        <v>-1.5110996000000001</v>
      </c>
      <c r="IM17" s="498">
        <v>-0.29912660000000002</v>
      </c>
      <c r="IN17" s="498">
        <v>-112.0947742</v>
      </c>
      <c r="IO17" s="498">
        <v>-113.90500040000001</v>
      </c>
      <c r="IP17" s="498">
        <v>9.0779789999999991</v>
      </c>
      <c r="IQ17" s="498">
        <v>7.6121939000000003</v>
      </c>
      <c r="IR17" s="498">
        <v>1.0920297999999999</v>
      </c>
      <c r="IS17" s="498">
        <v>17.782202699999999</v>
      </c>
      <c r="IT17" s="498">
        <v>14.685218799999999</v>
      </c>
      <c r="IU17" s="498">
        <v>10.5044372</v>
      </c>
      <c r="IV17" s="498">
        <v>10.9085056</v>
      </c>
      <c r="IW17" s="498">
        <v>36.098161599999997</v>
      </c>
      <c r="IX17" s="498">
        <v>-26.341601099999998</v>
      </c>
      <c r="IY17" s="498">
        <v>2.2045146</v>
      </c>
      <c r="IZ17" s="498">
        <v>89.241336599999997</v>
      </c>
      <c r="JA17" s="498">
        <v>65.104250100000002</v>
      </c>
      <c r="JB17" s="498">
        <v>9.4398843000000028</v>
      </c>
      <c r="JC17" s="498">
        <v>10.189204599999997</v>
      </c>
      <c r="JD17" s="498">
        <v>300.19119999999975</v>
      </c>
      <c r="JE17" s="498">
        <v>319.82028889999992</v>
      </c>
      <c r="JF17" s="498">
        <v>36.906205699999958</v>
      </c>
      <c r="JG17" s="498">
        <v>-3.7362478999999951</v>
      </c>
      <c r="JH17" s="498">
        <v>263.15769999999975</v>
      </c>
      <c r="JI17" s="498">
        <v>296.3276578</v>
      </c>
      <c r="JJ17" s="498">
        <v>16.612724700000001</v>
      </c>
      <c r="JK17" s="498">
        <v>11.992280299999999</v>
      </c>
      <c r="JL17" s="498">
        <v>201.9386451</v>
      </c>
      <c r="JM17" s="498">
        <v>230.54365010000001</v>
      </c>
      <c r="JN17" s="498">
        <v>-0.70269999999999988</v>
      </c>
      <c r="JO17" s="498">
        <v>1.5000000000000005E-3</v>
      </c>
      <c r="JP17" s="498">
        <v>-82.605800000000002</v>
      </c>
      <c r="JQ17" s="498">
        <v>-83.307000000000002</v>
      </c>
      <c r="JR17" s="498">
        <v>-4.3311786999999997</v>
      </c>
      <c r="JS17" s="498">
        <v>-1.48839E-2</v>
      </c>
      <c r="JT17" s="498">
        <v>-295.63690659999997</v>
      </c>
      <c r="JU17" s="498">
        <v>-299.98296919999996</v>
      </c>
      <c r="JV17" s="498">
        <v>5.9129000000000023</v>
      </c>
      <c r="JW17" s="498">
        <v>-8.5000000000000006E-3</v>
      </c>
      <c r="JX17" s="498">
        <v>-232.84819999999991</v>
      </c>
      <c r="JY17" s="498">
        <v>-226.94380000000001</v>
      </c>
      <c r="JZ17" s="498">
        <v>-42.570709200000003</v>
      </c>
      <c r="KA17" s="498">
        <v>-0.50441019999999992</v>
      </c>
      <c r="KB17" s="498">
        <v>-142.41282472601097</v>
      </c>
      <c r="KC17" s="498">
        <v>-185.48794412601092</v>
      </c>
      <c r="KD17" s="498">
        <v>-41.7572428</v>
      </c>
      <c r="KE17" s="498">
        <v>9.2693700000000004E-2</v>
      </c>
      <c r="KF17" s="498">
        <v>-333.48832759999999</v>
      </c>
      <c r="KG17" s="498">
        <v>-375.15287669999998</v>
      </c>
      <c r="KH17" s="498">
        <v>-7.7748000000000062</v>
      </c>
      <c r="KI17" s="498">
        <v>-1.2441000000000031</v>
      </c>
      <c r="KJ17" s="498">
        <v>90.958099999999831</v>
      </c>
      <c r="KK17" s="498">
        <v>81.939199999999829</v>
      </c>
      <c r="KL17" s="498">
        <v>-13.45010000000002</v>
      </c>
      <c r="KM17" s="498">
        <v>-9.8262</v>
      </c>
      <c r="KN17" s="498">
        <v>494.41810000000032</v>
      </c>
      <c r="KO17" s="498">
        <v>471.14180000000033</v>
      </c>
      <c r="KP17" s="498">
        <v>33.337199999999996</v>
      </c>
      <c r="KQ17" s="498">
        <v>-23.052700000000002</v>
      </c>
      <c r="KR17" s="498">
        <v>483.61949999999979</v>
      </c>
      <c r="KS17" s="498">
        <v>493.90399999999977</v>
      </c>
      <c r="KT17" s="498">
        <v>-44.497399999999971</v>
      </c>
      <c r="KU17" s="498">
        <v>-17.850899999999982</v>
      </c>
      <c r="KV17" s="498">
        <v>615.96050000000105</v>
      </c>
      <c r="KW17" s="498">
        <v>553.61220000000048</v>
      </c>
      <c r="KX17" s="498">
        <v>-25.46999999999997</v>
      </c>
      <c r="KY17" s="498">
        <v>-20.709999999999994</v>
      </c>
      <c r="KZ17" s="498">
        <v>777.06000000000131</v>
      </c>
      <c r="LA17" s="498">
        <v>730.88000000000011</v>
      </c>
      <c r="LB17" s="498">
        <v>87.272457742706607</v>
      </c>
      <c r="LC17" s="498">
        <v>-25.960291827373201</v>
      </c>
      <c r="LD17" s="498">
        <v>412.98794757816</v>
      </c>
      <c r="LE17" s="498">
        <v>474.300113493494</v>
      </c>
      <c r="LF17" s="498">
        <v>99.676835600000004</v>
      </c>
      <c r="LG17" s="498">
        <v>-9.6735019999999992</v>
      </c>
      <c r="LH17" s="498">
        <v>617.25222789999998</v>
      </c>
      <c r="LI17" s="498">
        <v>707.2555615</v>
      </c>
      <c r="LJ17" s="498">
        <v>132.811103</v>
      </c>
      <c r="LK17" s="498">
        <v>46.936591800000002</v>
      </c>
      <c r="LL17" s="498">
        <v>743.96148240000002</v>
      </c>
      <c r="LM17" s="498">
        <v>923.7091772</v>
      </c>
      <c r="LN17" s="498">
        <v>56.7110451</v>
      </c>
      <c r="LO17" s="498">
        <v>-36.260933799999997</v>
      </c>
      <c r="LP17" s="498">
        <v>1210.9673012000001</v>
      </c>
      <c r="LQ17" s="498">
        <v>1231.4174125</v>
      </c>
      <c r="LR17" s="498">
        <v>95.142304000000024</v>
      </c>
      <c r="LS17" s="498">
        <v>35.467189499999932</v>
      </c>
      <c r="LT17" s="498">
        <v>1413.4757085999991</v>
      </c>
      <c r="LU17" s="498">
        <v>1544.0852020999992</v>
      </c>
      <c r="LV17" s="498">
        <v>232.70595659999998</v>
      </c>
      <c r="LW17" s="498">
        <v>-9.8890791999999124</v>
      </c>
      <c r="LX17" s="498">
        <v>1732.6280497000007</v>
      </c>
      <c r="LY17" s="498">
        <v>1955.4449270999994</v>
      </c>
      <c r="LZ17" s="498">
        <v>408.19000000000005</v>
      </c>
      <c r="MA17" s="498">
        <v>-7.6899999999999409</v>
      </c>
      <c r="MB17" s="498">
        <v>1393.4700000000012</v>
      </c>
      <c r="MC17" s="498">
        <v>1793.9700000000012</v>
      </c>
      <c r="MD17" s="498">
        <v>55.075494499999998</v>
      </c>
      <c r="ME17" s="498">
        <v>15.114990799999999</v>
      </c>
      <c r="MF17" s="498">
        <v>384.92224190000002</v>
      </c>
      <c r="MG17" s="498">
        <v>455.11272719999999</v>
      </c>
      <c r="MH17" s="498">
        <v>2.8899035</v>
      </c>
      <c r="MI17" s="498">
        <v>22.6460252</v>
      </c>
      <c r="MJ17" s="498">
        <v>99.429136299999996</v>
      </c>
      <c r="MK17" s="498">
        <v>124.965065</v>
      </c>
      <c r="ML17" s="498">
        <v>33.275618799999997</v>
      </c>
      <c r="MM17" s="498">
        <v>25.936134299999999</v>
      </c>
      <c r="MN17" s="498">
        <v>80.6697664</v>
      </c>
      <c r="MO17" s="498">
        <v>139.8815195</v>
      </c>
      <c r="MP17" s="498">
        <v>83.179900000000004</v>
      </c>
      <c r="MQ17" s="498">
        <v>22.780499999999996</v>
      </c>
      <c r="MR17" s="498">
        <v>48.614300000000185</v>
      </c>
      <c r="MS17" s="498">
        <v>154.57469999999921</v>
      </c>
      <c r="MT17" s="498">
        <v>67.441388099999998</v>
      </c>
      <c r="MU17" s="498">
        <v>12.512205299999991</v>
      </c>
      <c r="MV17" s="498">
        <v>263.51112430000012</v>
      </c>
      <c r="MW17" s="498">
        <v>343.46471769999971</v>
      </c>
      <c r="MX17" s="498">
        <v>96.283342599999997</v>
      </c>
      <c r="MY17" s="498">
        <v>-24.0928419</v>
      </c>
      <c r="MZ17" s="498">
        <v>-271.37317560000002</v>
      </c>
      <c r="NA17" s="498">
        <v>-199.18267489999999</v>
      </c>
      <c r="NB17" s="498">
        <v>1.5598599</v>
      </c>
      <c r="NC17" s="498">
        <v>0</v>
      </c>
      <c r="ND17" s="498">
        <v>-45.5909312</v>
      </c>
      <c r="NE17" s="498">
        <v>-44.031071300000001</v>
      </c>
      <c r="NF17" s="498">
        <v>0.39394010000000002</v>
      </c>
      <c r="NG17" s="498">
        <v>0</v>
      </c>
      <c r="NH17" s="498">
        <v>-39.664790799999999</v>
      </c>
      <c r="NI17" s="498">
        <v>-39.270850699999997</v>
      </c>
      <c r="NJ17" s="498">
        <v>-1.387558834</v>
      </c>
      <c r="NK17" s="498">
        <v>0</v>
      </c>
      <c r="NL17" s="498">
        <v>-40.4496184010574</v>
      </c>
      <c r="NM17" s="498">
        <v>-41.837177235057396</v>
      </c>
      <c r="NN17" s="498">
        <v>-7.676267799999998</v>
      </c>
      <c r="NO17" s="498">
        <v>0</v>
      </c>
      <c r="NP17" s="498">
        <v>-30.429169100000024</v>
      </c>
      <c r="NQ17" s="498">
        <v>-38.105436899999972</v>
      </c>
      <c r="NR17" s="498">
        <v>0.64633639999999914</v>
      </c>
      <c r="NS17" s="498">
        <v>-1.5084E-2</v>
      </c>
      <c r="NT17" s="498">
        <v>-12.134770599999968</v>
      </c>
      <c r="NU17" s="498">
        <v>-11.50351820000003</v>
      </c>
      <c r="NV17" s="498">
        <v>5.2061636</v>
      </c>
      <c r="NW17" s="498">
        <v>-1.1104159</v>
      </c>
      <c r="NX17" s="498">
        <v>-63.531414399646302</v>
      </c>
      <c r="NY17" s="498">
        <v>-59.435666699646298</v>
      </c>
      <c r="NZ17" s="498">
        <v>-11.518884165057701</v>
      </c>
      <c r="OA17" s="498">
        <v>-3.6826392846756599</v>
      </c>
      <c r="OB17" s="498">
        <v>-195.16094080525701</v>
      </c>
      <c r="OC17" s="498">
        <v>-210.36246425499039</v>
      </c>
      <c r="OD17" s="498">
        <v>-4.9043292809713899</v>
      </c>
      <c r="OE17" s="498">
        <v>-4.0575800131658504</v>
      </c>
      <c r="OF17" s="498">
        <v>-156.61666566198801</v>
      </c>
      <c r="OG17" s="498">
        <v>-165.57857495612501</v>
      </c>
      <c r="OH17" s="498">
        <v>-14.462273506100001</v>
      </c>
      <c r="OI17" s="498">
        <v>-7.451898302</v>
      </c>
      <c r="OJ17" s="498">
        <v>-64.109668453608705</v>
      </c>
      <c r="OK17" s="498">
        <v>-86.023840261708699</v>
      </c>
      <c r="OL17" s="498">
        <v>6.7655576026336472</v>
      </c>
      <c r="OM17" s="498">
        <v>4.7068601480162151</v>
      </c>
      <c r="ON17" s="498">
        <v>-44.531575135326648</v>
      </c>
      <c r="OO17" s="498">
        <v>-33.059157384677064</v>
      </c>
      <c r="OP17" s="498">
        <v>7.7671173688258435</v>
      </c>
      <c r="OQ17" s="498">
        <v>2.7446949108477696</v>
      </c>
      <c r="OR17" s="498">
        <v>147.48725254594569</v>
      </c>
      <c r="OS17" s="498">
        <v>157.99906482561937</v>
      </c>
      <c r="OT17" s="498">
        <v>23.7376503526901</v>
      </c>
      <c r="OU17" s="498">
        <v>-8.0312592524283808</v>
      </c>
      <c r="OV17" s="498">
        <v>101.272399148438</v>
      </c>
      <c r="OW17" s="498">
        <v>116.97879024869999</v>
      </c>
      <c r="OX17" s="498">
        <v>-3.5574767999999999</v>
      </c>
      <c r="OY17" s="498">
        <v>-4.3679449000000004</v>
      </c>
      <c r="OZ17" s="498">
        <v>-2.9155357999999998</v>
      </c>
      <c r="PA17" s="498">
        <v>-10.8409575</v>
      </c>
      <c r="PB17" s="498">
        <v>-16.189199899999998</v>
      </c>
      <c r="PC17" s="498">
        <v>-3.7016000999999998</v>
      </c>
      <c r="PD17" s="498">
        <v>8.5745593000000007</v>
      </c>
      <c r="PE17" s="498">
        <v>-11.3162407</v>
      </c>
      <c r="PF17" s="498">
        <v>-19.873271239420401</v>
      </c>
      <c r="PG17" s="498">
        <v>-5.1443381516271298</v>
      </c>
      <c r="PH17" s="498">
        <v>16.264002867644798</v>
      </c>
      <c r="PI17" s="498">
        <v>-8.7536065234027305</v>
      </c>
      <c r="PJ17" s="498">
        <v>-27.722294080320996</v>
      </c>
      <c r="PK17" s="498">
        <v>-4.1044081451382901</v>
      </c>
      <c r="PL17" s="498">
        <v>39.614744486597033</v>
      </c>
      <c r="PM17" s="498">
        <v>7.7880422611377753</v>
      </c>
      <c r="PN17" s="498">
        <v>-40.094161033664648</v>
      </c>
      <c r="PO17" s="498">
        <v>-6.8640354438495619</v>
      </c>
      <c r="PP17" s="498">
        <v>76.326159568587514</v>
      </c>
      <c r="PQ17" s="498">
        <v>29.367963091073307</v>
      </c>
      <c r="PR17" s="498">
        <v>-41.310146189999998</v>
      </c>
      <c r="PS17" s="498">
        <v>-2.9774500939999999</v>
      </c>
      <c r="PT17" s="498">
        <v>76.701138122000003</v>
      </c>
      <c r="PU17" s="498">
        <v>32.413541838</v>
      </c>
      <c r="PV17" s="498">
        <v>-14.517414064</v>
      </c>
      <c r="PW17" s="498">
        <v>0</v>
      </c>
      <c r="PX17" s="498">
        <v>-6.9073919369999999</v>
      </c>
      <c r="PY17" s="498">
        <v>-21.424806001</v>
      </c>
      <c r="PZ17" s="498">
        <v>9.9272870990000008</v>
      </c>
      <c r="QA17" s="498">
        <v>0</v>
      </c>
      <c r="QB17" s="498">
        <v>-41.689168141000003</v>
      </c>
      <c r="QC17" s="498">
        <v>-31.761881042000002</v>
      </c>
      <c r="QD17" s="498">
        <v>24.134761819000005</v>
      </c>
      <c r="QE17" s="498">
        <v>0</v>
      </c>
      <c r="QF17" s="498">
        <v>-72.326770335000006</v>
      </c>
      <c r="QG17" s="498">
        <v>-48.192008515999959</v>
      </c>
      <c r="QH17" s="498">
        <v>-96.796951075999999</v>
      </c>
      <c r="QI17" s="498">
        <v>0</v>
      </c>
      <c r="QJ17" s="498">
        <v>-39.88689766200001</v>
      </c>
      <c r="QK17" s="498">
        <v>-136.68384873799999</v>
      </c>
      <c r="QL17" s="498">
        <v>5.740000000000002</v>
      </c>
      <c r="QM17" s="498">
        <v>0</v>
      </c>
      <c r="QN17" s="498">
        <v>-83.170000000000016</v>
      </c>
      <c r="QO17" s="498">
        <v>-77.430000000000007</v>
      </c>
      <c r="QP17" s="498">
        <v>-0.73110750000000002</v>
      </c>
      <c r="QQ17" s="498">
        <v>1.13469E-2</v>
      </c>
      <c r="QR17" s="498">
        <v>-2.8904779</v>
      </c>
      <c r="QS17" s="498">
        <v>-3.6102384999999999</v>
      </c>
      <c r="QT17" s="498">
        <v>1.8892949999999999</v>
      </c>
      <c r="QU17" s="498">
        <v>1.88404E-2</v>
      </c>
      <c r="QV17" s="498">
        <v>-7.1554501000000004</v>
      </c>
      <c r="QW17" s="498">
        <v>-5.2473147000000004</v>
      </c>
      <c r="QX17" s="498">
        <v>0.78793630000000003</v>
      </c>
      <c r="QY17" s="498">
        <v>3.55433E-2</v>
      </c>
      <c r="QZ17" s="498">
        <v>-14.7488235</v>
      </c>
      <c r="RA17" s="498">
        <v>-13.9253439</v>
      </c>
      <c r="RB17" s="498">
        <v>0.56117019999999984</v>
      </c>
      <c r="RC17" s="498">
        <v>2.8284299999999995E-2</v>
      </c>
      <c r="RD17" s="498">
        <v>-11.383731299999994</v>
      </c>
      <c r="RE17" s="498">
        <v>-10.794276800000006</v>
      </c>
      <c r="RF17" s="498">
        <v>-2.5871326999999997</v>
      </c>
      <c r="RG17" s="498">
        <v>9.7036900000000009E-2</v>
      </c>
      <c r="RH17" s="498">
        <v>-48.873162899999983</v>
      </c>
      <c r="RI17" s="498">
        <v>-51.363258700000017</v>
      </c>
      <c r="RJ17" s="498">
        <v>-4.3136486999999999</v>
      </c>
      <c r="RK17" s="498">
        <v>4.9270300000000003E-2</v>
      </c>
      <c r="RL17" s="498">
        <v>-40.4197317</v>
      </c>
      <c r="RM17" s="498">
        <v>-44.684110099999998</v>
      </c>
      <c r="RN17" s="498">
        <v>4.3543010000000004</v>
      </c>
      <c r="RO17" s="498">
        <v>7.2055458000000003</v>
      </c>
      <c r="RP17" s="498">
        <v>39.880821293999901</v>
      </c>
      <c r="RQ17" s="498">
        <v>51.440668093999903</v>
      </c>
      <c r="RR17" s="498">
        <v>15.962999999999999</v>
      </c>
      <c r="RS17" s="498">
        <v>3.7063999999999999</v>
      </c>
      <c r="RT17" s="498">
        <v>102.26690000000001</v>
      </c>
      <c r="RU17" s="498">
        <v>121.9363</v>
      </c>
      <c r="RV17" s="498">
        <v>21.937026100000001</v>
      </c>
      <c r="RW17" s="498">
        <v>-4.1332367999999997</v>
      </c>
      <c r="RX17" s="498">
        <v>144.11621037244299</v>
      </c>
      <c r="RY17" s="498">
        <v>161.919999672443</v>
      </c>
      <c r="RZ17" s="498">
        <v>128.69996849385385</v>
      </c>
      <c r="SA17" s="498">
        <v>1.491980183710087</v>
      </c>
      <c r="SB17" s="498">
        <v>300.86851608488723</v>
      </c>
      <c r="SC17" s="498">
        <v>431.06046476245047</v>
      </c>
      <c r="SD17" s="498">
        <v>42.524011643609015</v>
      </c>
      <c r="SE17" s="498">
        <v>-4.4167397217974891</v>
      </c>
      <c r="SF17" s="498">
        <v>457.54233858240514</v>
      </c>
      <c r="SG17" s="498">
        <v>495.64961050421607</v>
      </c>
      <c r="SH17" s="498">
        <v>192.55690998296001</v>
      </c>
      <c r="SI17" s="498">
        <v>-1.0487831206018501</v>
      </c>
      <c r="SJ17" s="498">
        <v>500.00926144784898</v>
      </c>
      <c r="SK17" s="498">
        <v>691.51738831020702</v>
      </c>
      <c r="SL17" s="498">
        <v>14.447250800000001</v>
      </c>
      <c r="SM17" s="498">
        <v>3.7232649000000002</v>
      </c>
      <c r="SN17" s="498">
        <v>-9.5118556999999999</v>
      </c>
      <c r="SO17" s="498">
        <v>8.6586600000000029</v>
      </c>
      <c r="SP17" s="498">
        <v>11.8859493</v>
      </c>
      <c r="SQ17" s="498">
        <v>4.4198285000000004</v>
      </c>
      <c r="SR17" s="498">
        <v>52.1084684</v>
      </c>
      <c r="SS17" s="498">
        <v>68.414246199999994</v>
      </c>
      <c r="ST17" s="498">
        <v>4.7657303000000004</v>
      </c>
      <c r="SU17" s="498">
        <v>-1.3196186999999999</v>
      </c>
      <c r="SV17" s="498">
        <v>115.0638575</v>
      </c>
      <c r="SW17" s="498">
        <v>118.50996909999999</v>
      </c>
      <c r="SX17" s="498">
        <v>12.049070899999997</v>
      </c>
      <c r="SY17" s="498">
        <v>3.2368009999999998</v>
      </c>
      <c r="SZ17" s="498">
        <v>49.953801600000133</v>
      </c>
      <c r="TA17" s="498">
        <v>65.239673499998844</v>
      </c>
      <c r="TB17" s="498">
        <v>29.358423008499997</v>
      </c>
      <c r="TC17" s="498">
        <v>5.6866847999999983</v>
      </c>
      <c r="TD17" s="498">
        <v>130.77649147625198</v>
      </c>
      <c r="TE17" s="498">
        <v>165.82159928475221</v>
      </c>
      <c r="TF17" s="498">
        <v>50.9834952</v>
      </c>
      <c r="TG17" s="498">
        <v>-2.2814535</v>
      </c>
      <c r="TH17" s="498">
        <v>16.5628931</v>
      </c>
      <c r="TI17" s="498">
        <v>65.264934800000006</v>
      </c>
      <c r="TJ17" s="498">
        <v>174.78714634265401</v>
      </c>
      <c r="TK17" s="498">
        <v>-3.0364387076858601</v>
      </c>
      <c r="TL17" s="498">
        <v>-61.632119054824301</v>
      </c>
      <c r="TM17" s="498">
        <v>110.11858858014386</v>
      </c>
      <c r="TN17" s="498">
        <v>331.11778923029601</v>
      </c>
      <c r="TO17" s="498">
        <v>-1.1139218926190699</v>
      </c>
      <c r="TP17" s="498">
        <v>47.284297581897398</v>
      </c>
      <c r="TQ17" s="498">
        <v>377.288164919574</v>
      </c>
      <c r="TR17" s="498">
        <v>190.88906161727999</v>
      </c>
      <c r="TS17" s="498">
        <v>-5.2912619980599702</v>
      </c>
      <c r="TT17" s="498">
        <v>176.42325073592201</v>
      </c>
      <c r="TU17" s="498">
        <v>362.02105035514205</v>
      </c>
      <c r="TV17" s="498">
        <v>313.95778950046008</v>
      </c>
      <c r="TW17" s="498">
        <v>-0.4663018178944931</v>
      </c>
      <c r="TX17" s="498">
        <v>161.43604421263808</v>
      </c>
      <c r="TY17" s="498">
        <v>474.92753189520363</v>
      </c>
      <c r="TZ17" s="498">
        <v>378.73904245</v>
      </c>
      <c r="UA17" s="498">
        <v>-14.516678999999996</v>
      </c>
      <c r="UB17" s="498">
        <v>149.8814825343793</v>
      </c>
      <c r="UC17" s="498">
        <v>514.10384598438031</v>
      </c>
      <c r="UD17" s="498">
        <v>306.01299999999998</v>
      </c>
      <c r="UE17" s="498">
        <v>-27.297000000000001</v>
      </c>
      <c r="UF17" s="498">
        <v>-353.46929999999998</v>
      </c>
      <c r="UG17" s="498">
        <v>-74.753299999999996</v>
      </c>
      <c r="UH17" s="498">
        <v>12.599415499999999</v>
      </c>
      <c r="UI17" s="498">
        <v>-0.14618890000000001</v>
      </c>
      <c r="UJ17" s="498">
        <v>248.70731029999999</v>
      </c>
      <c r="UK17" s="498">
        <v>261.16053690000001</v>
      </c>
      <c r="UL17" s="498">
        <v>18.5576142</v>
      </c>
      <c r="UM17" s="498">
        <v>0.52857310000000002</v>
      </c>
      <c r="UN17" s="498">
        <v>481.90503510000002</v>
      </c>
      <c r="UO17" s="498">
        <v>500.99122240000003</v>
      </c>
      <c r="UP17" s="498">
        <v>11.5727115</v>
      </c>
      <c r="UQ17" s="498">
        <v>0.82595490000000005</v>
      </c>
      <c r="UR17" s="498">
        <v>942.03671320000001</v>
      </c>
      <c r="US17" s="498">
        <v>954.43537960000003</v>
      </c>
      <c r="UT17" s="498">
        <v>19.893485399999996</v>
      </c>
      <c r="UU17" s="498">
        <v>1.2647871000000002</v>
      </c>
      <c r="UV17" s="498">
        <v>886.83691410000029</v>
      </c>
      <c r="UW17" s="498">
        <v>907.99518660000012</v>
      </c>
      <c r="UX17" s="498">
        <v>16.607441200000004</v>
      </c>
      <c r="UY17" s="498">
        <v>1.1935886</v>
      </c>
      <c r="UZ17" s="498">
        <v>624.81254029999991</v>
      </c>
      <c r="VA17" s="498">
        <v>642.61357009999983</v>
      </c>
      <c r="VB17" s="498">
        <v>20.440000000000001</v>
      </c>
      <c r="VC17" s="498">
        <v>0.78</v>
      </c>
      <c r="VD17" s="498">
        <v>694.15</v>
      </c>
      <c r="VE17" s="498">
        <v>715.37</v>
      </c>
      <c r="VF17" s="498">
        <v>-17.528299999999994</v>
      </c>
      <c r="VG17" s="498">
        <v>42.998299999999972</v>
      </c>
      <c r="VH17" s="498">
        <v>9.0981000000001586</v>
      </c>
      <c r="VI17" s="498">
        <v>34.568100000000136</v>
      </c>
      <c r="VJ17" s="498">
        <v>-47.711886100000001</v>
      </c>
      <c r="VK17" s="498">
        <v>10.0631658</v>
      </c>
      <c r="VL17" s="498">
        <v>148.9195872</v>
      </c>
      <c r="VM17" s="498">
        <v>111.2708669</v>
      </c>
      <c r="VN17" s="498">
        <v>-91.798288200000002</v>
      </c>
      <c r="VO17" s="498">
        <v>-10.079643000000001</v>
      </c>
      <c r="VP17" s="498">
        <v>134.72859059999999</v>
      </c>
      <c r="VQ17" s="498">
        <v>32.850659399999984</v>
      </c>
      <c r="VR17" s="498">
        <v>34.073506099999975</v>
      </c>
      <c r="VS17" s="498">
        <v>28.204738099999986</v>
      </c>
      <c r="VT17" s="498">
        <v>253.29516270499971</v>
      </c>
      <c r="VU17" s="498">
        <v>315.57340690500041</v>
      </c>
      <c r="VV17" s="498">
        <v>-4.7662129000000277</v>
      </c>
      <c r="VW17" s="498">
        <v>9.9348489999999288</v>
      </c>
      <c r="VX17" s="498">
        <v>417.77167864900002</v>
      </c>
      <c r="VY17" s="498">
        <v>422.9403147489993</v>
      </c>
      <c r="VZ17" s="498">
        <v>26.669405600000001</v>
      </c>
      <c r="WA17" s="498">
        <v>-26.2903962</v>
      </c>
      <c r="WB17" s="498">
        <v>456.17964713984901</v>
      </c>
      <c r="WC17" s="498">
        <v>456.55865653984898</v>
      </c>
      <c r="WD17" s="498">
        <v>32.405414</v>
      </c>
      <c r="WE17" s="498">
        <v>5.0841626</v>
      </c>
      <c r="WF17" s="498">
        <v>15.9367407</v>
      </c>
      <c r="WG17" s="498">
        <v>53.426317300000001</v>
      </c>
      <c r="WH17" s="498">
        <v>34.164544800000002</v>
      </c>
      <c r="WI17" s="498">
        <v>0.20338500000000001</v>
      </c>
      <c r="WJ17" s="498">
        <v>357.13194049999998</v>
      </c>
      <c r="WK17" s="498">
        <v>391.4998703</v>
      </c>
      <c r="WL17" s="498">
        <v>32.2980874</v>
      </c>
      <c r="WM17" s="498">
        <v>0.98894130000000002</v>
      </c>
      <c r="WN17" s="498">
        <v>152.6909014</v>
      </c>
      <c r="WO17" s="498">
        <v>185.97793010000001</v>
      </c>
      <c r="WP17" s="498">
        <v>32.095067100000001</v>
      </c>
      <c r="WQ17" s="498">
        <v>3.4893006999999994</v>
      </c>
      <c r="WR17" s="498">
        <v>118.70441619999997</v>
      </c>
      <c r="WS17" s="498">
        <v>154.28878400000008</v>
      </c>
      <c r="WT17" s="498">
        <v>27.279988599999996</v>
      </c>
      <c r="WU17" s="498">
        <v>1.7076174999999996</v>
      </c>
      <c r="WV17" s="498">
        <v>-0.96652399999993577</v>
      </c>
      <c r="WW17" s="498">
        <v>28.021082100000285</v>
      </c>
      <c r="WX17" s="498">
        <v>48.048035200000001</v>
      </c>
      <c r="WY17" s="498">
        <v>2.6419524999999999</v>
      </c>
      <c r="WZ17" s="498">
        <v>60.631467200000003</v>
      </c>
      <c r="XA17" s="498">
        <v>111.32145490000001</v>
      </c>
      <c r="XB17" s="498">
        <v>495.21402927812551</v>
      </c>
      <c r="XC17" s="498">
        <v>63.547824196890375</v>
      </c>
      <c r="XD17" s="498">
        <v>2127.934864966614</v>
      </c>
      <c r="XE17" s="498">
        <v>2686.6967184416303</v>
      </c>
      <c r="XF17" s="498">
        <v>589.67177118825964</v>
      </c>
      <c r="XG17" s="498">
        <v>97.163064105957829</v>
      </c>
      <c r="XH17" s="498">
        <v>3586.3775830474183</v>
      </c>
      <c r="XI17" s="498">
        <v>4273.2124183416336</v>
      </c>
      <c r="XJ17" s="498">
        <v>397.98218659537304</v>
      </c>
      <c r="XK17" s="498">
        <v>-80.009998850507856</v>
      </c>
      <c r="XL17" s="498">
        <v>4098.4590599810626</v>
      </c>
      <c r="XM17" s="498">
        <v>4416.4312477259282</v>
      </c>
      <c r="XN17" s="498">
        <v>801.08759576283774</v>
      </c>
      <c r="XO17" s="498">
        <v>82.319922934354821</v>
      </c>
      <c r="XP17" s="498">
        <v>5279.6885777781044</v>
      </c>
      <c r="XQ17" s="498">
        <v>6163.0960964752949</v>
      </c>
      <c r="XR17" s="498">
        <v>743.3262152580445</v>
      </c>
      <c r="XS17" s="498">
        <v>-8.1501776935857251</v>
      </c>
      <c r="XT17" s="498">
        <v>6900.4207252372598</v>
      </c>
      <c r="XU17" s="498">
        <v>7635.5967628017142</v>
      </c>
      <c r="XV17" s="498">
        <v>1401.8523151297181</v>
      </c>
      <c r="XW17" s="498">
        <v>-82.89448661417849</v>
      </c>
      <c r="XX17" s="498">
        <v>4062.2420988991394</v>
      </c>
      <c r="XY17" s="498">
        <v>5381.1999274146801</v>
      </c>
      <c r="XZ17" s="498">
        <v>-87.729187130550002</v>
      </c>
      <c r="YA17" s="498">
        <v>-195.30349774003801</v>
      </c>
      <c r="YB17" s="498">
        <v>-256.34002640830897</v>
      </c>
      <c r="YC17" s="498">
        <v>-248.248665097909</v>
      </c>
      <c r="YD17" s="498">
        <v>-211.29634566477353</v>
      </c>
      <c r="YE17" s="498">
        <v>-332.45102980000001</v>
      </c>
      <c r="YF17" s="498">
        <v>-84.752600562553397</v>
      </c>
      <c r="YG17" s="498">
        <v>-5.2501020184632798</v>
      </c>
      <c r="YH17" s="498">
        <v>-28.5467251599833</v>
      </c>
      <c r="YI17" s="498">
        <v>241.18412573575301</v>
      </c>
      <c r="YJ17" s="498">
        <v>256.20529620000025</v>
      </c>
      <c r="YK17" s="498">
        <v>262.74387769999976</v>
      </c>
      <c r="YL17" s="498">
        <v>282.95786850000002</v>
      </c>
      <c r="YM17" s="498">
        <v>-17.271679200000001</v>
      </c>
      <c r="YN17" s="498">
        <v>187.30946570000015</v>
      </c>
      <c r="YO17" s="498">
        <v>64.971029799999997</v>
      </c>
      <c r="YP17" s="498">
        <v>112.57050169999999</v>
      </c>
      <c r="YQ17" s="498">
        <v>-1.2657804000000397</v>
      </c>
      <c r="YR17" s="498">
        <v>-174.21467790495799</v>
      </c>
      <c r="YS17" s="498">
        <v>-137.08573754486</v>
      </c>
      <c r="YT17" s="498">
        <v>-107.739869726203</v>
      </c>
      <c r="YU17" s="498">
        <v>-169.05447649800001</v>
      </c>
      <c r="YV17" s="498">
        <v>23.627609915249877</v>
      </c>
      <c r="YW17" s="498">
        <v>5.1965831065240309</v>
      </c>
      <c r="YX17" s="498">
        <v>-89.497208506996799</v>
      </c>
      <c r="YY17" s="498">
        <v>-81.468678838000002</v>
      </c>
      <c r="YZ17" s="498">
        <v>85.072799662000094</v>
      </c>
      <c r="ZA17" s="498">
        <v>110.165419579</v>
      </c>
      <c r="ZB17" s="498">
        <v>85.725348108000006</v>
      </c>
      <c r="ZC17" s="498">
        <v>117.15775476197155</v>
      </c>
      <c r="ZD17" s="498">
        <v>124.95725850296412</v>
      </c>
      <c r="ZE17" s="498">
        <v>45.083130840999999</v>
      </c>
      <c r="ZF17" s="498">
        <v>-55.804043700000001</v>
      </c>
      <c r="ZG17" s="498">
        <v>2.1373000000000006</v>
      </c>
      <c r="ZH17" s="498">
        <v>0.96000000000000085</v>
      </c>
      <c r="ZI17" s="498">
        <v>-0.35000000000000142</v>
      </c>
      <c r="ZJ17" s="498">
        <v>248.52798836700001</v>
      </c>
      <c r="ZK17" s="498">
        <v>86.081331354</v>
      </c>
      <c r="ZL17" s="498">
        <v>138.40756402500028</v>
      </c>
      <c r="ZM17" s="498">
        <v>229.50950768800001</v>
      </c>
      <c r="ZN17" s="498">
        <v>330.29717764120051</v>
      </c>
      <c r="ZO17" s="498">
        <v>-1481.1113132999999</v>
      </c>
      <c r="ZP17" s="498">
        <v>-1581.970148809</v>
      </c>
      <c r="ZQ17" s="498">
        <f t="shared" si="8"/>
        <v>-109.1796481385114</v>
      </c>
      <c r="ZR17" s="498">
        <v>128.39857002212696</v>
      </c>
      <c r="ZS17" s="498">
        <v>-18.046079222224051</v>
      </c>
      <c r="ZT17" s="498">
        <v>243.59498032544406</v>
      </c>
      <c r="ZU17" s="498">
        <v>479.91069302051312</v>
      </c>
      <c r="ZV17" s="498">
        <v>-1298.5499396552855</v>
      </c>
      <c r="ZW17" s="498">
        <v>-1676.2273877749967</v>
      </c>
      <c r="ZX17" s="498">
        <v>300.16204157210399</v>
      </c>
      <c r="ZY17" s="498">
        <v>298.510286716</v>
      </c>
      <c r="ZZ17" s="498">
        <v>703.39754540000104</v>
      </c>
      <c r="AAA17" s="498">
        <v>507.336449872</v>
      </c>
      <c r="AAB17" s="498">
        <v>123.9015416000002</v>
      </c>
      <c r="AAC17" s="498">
        <v>825.44999999999982</v>
      </c>
      <c r="AAD17" s="498">
        <v>712.68013757690198</v>
      </c>
      <c r="AAE17" s="498">
        <v>106.72551009999999</v>
      </c>
      <c r="AAF17" s="498">
        <v>138.0989141</v>
      </c>
      <c r="AAG17" s="498">
        <v>-130.05028599999997</v>
      </c>
      <c r="AAH17" s="498">
        <v>-42.766330400000001</v>
      </c>
      <c r="AAI17" s="498">
        <v>86.910770200000115</v>
      </c>
      <c r="AAJ17" s="498">
        <v>159.09714120000012</v>
      </c>
      <c r="AAK17" s="498">
        <v>684.88072</v>
      </c>
      <c r="AAL17" s="498">
        <v>406.887551672104</v>
      </c>
      <c r="AAM17" s="498">
        <v>436.609200816</v>
      </c>
      <c r="AAN17" s="498">
        <v>573.34725940000112</v>
      </c>
      <c r="AAO17" s="498">
        <v>464.57011947199999</v>
      </c>
      <c r="AAP17" s="498">
        <v>210.81231180000032</v>
      </c>
      <c r="AAQ17" s="498">
        <v>984.54714119999994</v>
      </c>
      <c r="AAR17" s="498">
        <v>1397.560857576902</v>
      </c>
      <c r="AAS17" s="408"/>
      <c r="AAT17" s="408"/>
      <c r="AAU17" s="408"/>
      <c r="AAV17" s="408"/>
      <c r="AAW17" s="408"/>
      <c r="AAX17" s="408"/>
      <c r="AAY17" s="408"/>
      <c r="AAZ17" s="408"/>
      <c r="ABA17" s="408"/>
      <c r="ABB17" s="408"/>
      <c r="ABC17" s="408"/>
      <c r="ABD17" s="408"/>
      <c r="ABE17" s="408"/>
      <c r="ABF17" s="408"/>
      <c r="ABG17" s="408"/>
      <c r="ABH17" s="408"/>
      <c r="ABI17" s="408"/>
      <c r="ABJ17" s="408"/>
      <c r="ABK17" s="408"/>
      <c r="ABL17" s="408"/>
      <c r="ABM17" s="408"/>
      <c r="ABN17" s="408"/>
      <c r="ABO17" s="408"/>
      <c r="ABP17" s="408"/>
      <c r="ABQ17" s="408"/>
      <c r="ABR17" s="408"/>
      <c r="ABS17" s="408"/>
      <c r="ABT17" s="408"/>
      <c r="ABU17" s="408"/>
      <c r="ABV17" s="408"/>
      <c r="ABW17" s="408"/>
      <c r="ABX17" s="408"/>
    </row>
    <row r="18" spans="1:16384" s="410" customFormat="1" x14ac:dyDescent="0.2">
      <c r="A18" s="465" t="s">
        <v>472</v>
      </c>
      <c r="B18" s="465"/>
      <c r="C18" s="465"/>
      <c r="D18" s="465"/>
      <c r="E18" s="465"/>
      <c r="F18" s="465"/>
      <c r="G18" s="465"/>
      <c r="H18" s="465"/>
      <c r="I18" s="465"/>
      <c r="J18" s="457"/>
      <c r="K18" s="457"/>
      <c r="L18" s="457"/>
      <c r="M18" s="457"/>
      <c r="N18" s="457"/>
      <c r="O18" s="457"/>
      <c r="P18" s="457"/>
      <c r="Q18" s="457"/>
      <c r="R18" s="466"/>
      <c r="S18" s="466"/>
      <c r="T18" s="466"/>
      <c r="U18" s="466"/>
      <c r="V18" s="466"/>
      <c r="W18" s="466"/>
      <c r="X18" s="466"/>
      <c r="Y18" s="466"/>
      <c r="Z18" s="466"/>
      <c r="AA18" s="466"/>
      <c r="AB18" s="466"/>
      <c r="AC18" s="466"/>
      <c r="AD18" s="466"/>
      <c r="AE18" s="466"/>
      <c r="AF18" s="466"/>
      <c r="AG18" s="466"/>
      <c r="AH18" s="466"/>
      <c r="AI18" s="466"/>
      <c r="AJ18" s="466"/>
      <c r="AK18" s="466"/>
      <c r="AL18" s="460"/>
      <c r="AM18" s="460"/>
      <c r="AN18" s="460"/>
      <c r="AO18" s="460"/>
      <c r="AP18" s="460"/>
      <c r="AQ18" s="460"/>
      <c r="AR18" s="460"/>
      <c r="AS18" s="460"/>
      <c r="AT18" s="416"/>
      <c r="AU18" s="416"/>
      <c r="AV18" s="416"/>
      <c r="AW18" s="416"/>
      <c r="AX18" s="416"/>
      <c r="AY18" s="416"/>
      <c r="AZ18" s="416"/>
      <c r="BA18" s="416"/>
      <c r="BB18" s="416"/>
      <c r="BC18" s="416"/>
      <c r="BD18" s="416"/>
      <c r="BE18" s="416"/>
      <c r="BF18" s="981"/>
      <c r="BG18" s="981"/>
      <c r="BH18" s="981"/>
      <c r="BI18" s="981"/>
      <c r="BJ18" s="981"/>
      <c r="BK18" s="981"/>
      <c r="BL18" s="981"/>
      <c r="BM18" s="981"/>
      <c r="BN18" s="460"/>
      <c r="BO18" s="460"/>
      <c r="BP18" s="460"/>
      <c r="BQ18" s="460"/>
      <c r="BR18" s="460"/>
      <c r="BS18" s="460"/>
      <c r="BT18" s="460"/>
      <c r="BU18" s="460"/>
      <c r="BV18" s="416"/>
      <c r="BW18" s="416"/>
      <c r="BX18" s="416"/>
      <c r="BY18" s="416"/>
      <c r="BZ18" s="416"/>
      <c r="CA18" s="416"/>
      <c r="CB18" s="416"/>
      <c r="CC18" s="416"/>
      <c r="CD18" s="416"/>
      <c r="CE18" s="416"/>
      <c r="CF18" s="416"/>
      <c r="CG18" s="416"/>
      <c r="CH18" s="416"/>
      <c r="CI18" s="416"/>
      <c r="CJ18" s="416"/>
      <c r="CK18" s="416"/>
      <c r="CL18" s="416"/>
      <c r="CM18" s="416"/>
      <c r="CN18" s="416"/>
      <c r="CO18" s="416"/>
      <c r="CP18" s="416"/>
      <c r="CQ18" s="416"/>
      <c r="CR18" s="416"/>
      <c r="CS18" s="416"/>
      <c r="CT18" s="416"/>
      <c r="CU18" s="416"/>
      <c r="CV18" s="416"/>
      <c r="CW18" s="416"/>
      <c r="CX18" s="416"/>
      <c r="CY18" s="416"/>
      <c r="CZ18" s="416"/>
      <c r="DA18" s="416"/>
      <c r="DB18" s="416"/>
      <c r="DC18" s="416"/>
      <c r="DD18" s="416"/>
      <c r="DE18" s="416"/>
      <c r="DF18" s="416"/>
      <c r="DG18" s="416"/>
      <c r="DH18" s="416"/>
      <c r="DI18" s="416"/>
      <c r="DJ18" s="416"/>
      <c r="DK18" s="416"/>
      <c r="DL18" s="416"/>
      <c r="DM18" s="416"/>
      <c r="DN18" s="416"/>
      <c r="DO18" s="416"/>
      <c r="DP18" s="416"/>
      <c r="DQ18" s="416"/>
      <c r="DR18" s="467"/>
      <c r="DS18" s="467"/>
      <c r="DT18" s="467"/>
      <c r="DU18" s="467"/>
      <c r="DV18" s="196"/>
      <c r="DW18" s="196"/>
      <c r="DX18" s="196"/>
      <c r="DY18" s="468"/>
      <c r="DZ18" s="416"/>
      <c r="EA18" s="416"/>
      <c r="EB18" s="416"/>
      <c r="EC18" s="416"/>
      <c r="ED18" s="416"/>
      <c r="EE18" s="416"/>
      <c r="EF18" s="416"/>
      <c r="EG18" s="416"/>
      <c r="EH18" s="416"/>
      <c r="EI18" s="416"/>
      <c r="EJ18" s="416"/>
      <c r="EK18" s="416"/>
      <c r="EL18" s="490"/>
      <c r="EM18" s="490"/>
      <c r="EN18" s="490"/>
      <c r="EO18" s="490"/>
      <c r="EP18" s="490"/>
      <c r="EQ18" s="490"/>
      <c r="ER18" s="490"/>
      <c r="ES18" s="490"/>
      <c r="ET18" s="416"/>
      <c r="EU18" s="416"/>
      <c r="EV18" s="416"/>
      <c r="EW18" s="416"/>
      <c r="EX18" s="416"/>
      <c r="EY18" s="416"/>
      <c r="EZ18" s="416"/>
      <c r="FA18" s="416"/>
      <c r="FB18" s="416"/>
      <c r="FC18" s="416"/>
      <c r="FD18" s="416"/>
      <c r="FE18" s="416"/>
      <c r="FF18" s="490"/>
      <c r="FG18" s="490"/>
      <c r="FH18" s="490"/>
      <c r="FI18" s="490"/>
      <c r="FJ18" s="490"/>
      <c r="FK18" s="490"/>
      <c r="FL18" s="490"/>
      <c r="FM18" s="490"/>
      <c r="FN18" s="490"/>
      <c r="FO18" s="490"/>
      <c r="FP18" s="490"/>
      <c r="FQ18" s="490"/>
      <c r="FR18" s="416"/>
      <c r="FS18" s="416"/>
      <c r="FT18" s="416"/>
      <c r="FU18" s="416"/>
      <c r="FV18" s="416"/>
      <c r="FW18" s="416"/>
      <c r="FX18" s="416"/>
      <c r="FY18" s="416"/>
      <c r="FZ18" s="416"/>
      <c r="GA18" s="416"/>
      <c r="GB18" s="416"/>
      <c r="GC18" s="416"/>
      <c r="GD18" s="490"/>
      <c r="GE18" s="490"/>
      <c r="GF18" s="490"/>
      <c r="GG18" s="490"/>
      <c r="GH18" s="471"/>
      <c r="GI18" s="471"/>
      <c r="GJ18" s="471"/>
      <c r="GK18" s="471"/>
      <c r="GL18" s="471"/>
      <c r="GM18" s="471"/>
      <c r="GN18" s="471"/>
      <c r="GO18" s="471"/>
      <c r="GX18" s="490"/>
      <c r="GY18" s="490"/>
      <c r="GZ18" s="490"/>
      <c r="HA18" s="490"/>
      <c r="HB18" s="471"/>
      <c r="HC18" s="471"/>
      <c r="HD18" s="471"/>
      <c r="HE18" s="471"/>
      <c r="HF18" s="471"/>
      <c r="HG18" s="471"/>
      <c r="HH18" s="471"/>
      <c r="HI18" s="471"/>
      <c r="HV18" s="471"/>
      <c r="HW18" s="471"/>
      <c r="HX18" s="471"/>
      <c r="HY18" s="471"/>
      <c r="HZ18" s="471"/>
      <c r="IA18" s="471"/>
      <c r="IB18" s="471"/>
      <c r="IC18" s="471"/>
      <c r="IP18" s="490"/>
      <c r="IQ18" s="490"/>
      <c r="IR18" s="490"/>
      <c r="IS18" s="490"/>
      <c r="IT18" s="471"/>
      <c r="IU18" s="471"/>
      <c r="IV18" s="471"/>
      <c r="IW18" s="471"/>
      <c r="IX18" s="471"/>
      <c r="IY18" s="471"/>
      <c r="IZ18" s="471"/>
      <c r="JA18" s="471"/>
      <c r="JN18" s="471"/>
      <c r="JO18" s="471"/>
      <c r="JP18" s="471"/>
      <c r="JQ18" s="471"/>
      <c r="JR18" s="471"/>
      <c r="JS18" s="471"/>
      <c r="JT18" s="471"/>
      <c r="JU18" s="471"/>
      <c r="KH18" s="490"/>
      <c r="KI18" s="490"/>
      <c r="KJ18" s="490"/>
      <c r="KK18" s="490"/>
      <c r="KL18" s="471"/>
      <c r="KM18" s="471"/>
      <c r="KN18" s="471"/>
      <c r="KO18" s="471"/>
      <c r="KP18" s="471"/>
      <c r="KQ18" s="471"/>
      <c r="KR18" s="471"/>
      <c r="KS18" s="471"/>
      <c r="LF18" s="490"/>
      <c r="LG18" s="490"/>
      <c r="LH18" s="490"/>
      <c r="LI18" s="490"/>
      <c r="LJ18" s="471"/>
      <c r="LK18" s="471"/>
      <c r="LL18" s="471"/>
      <c r="LM18" s="471"/>
      <c r="LN18" s="471"/>
      <c r="LO18" s="471"/>
      <c r="LP18" s="471"/>
      <c r="LQ18" s="471"/>
      <c r="MD18" s="490"/>
      <c r="ME18" s="490"/>
      <c r="MF18" s="490"/>
      <c r="MG18" s="490"/>
      <c r="MH18" s="471"/>
      <c r="MI18" s="471"/>
      <c r="MJ18" s="471"/>
      <c r="MK18" s="471"/>
      <c r="ML18" s="471"/>
      <c r="MM18" s="471"/>
      <c r="MN18" s="471"/>
      <c r="MO18" s="471"/>
      <c r="NB18" s="490"/>
      <c r="NC18" s="490"/>
      <c r="ND18" s="490"/>
      <c r="NE18" s="490"/>
      <c r="NF18" s="471"/>
      <c r="NG18" s="471"/>
      <c r="NH18" s="471"/>
      <c r="NI18" s="471"/>
      <c r="NJ18" s="471"/>
      <c r="NK18" s="471"/>
      <c r="NL18" s="471"/>
      <c r="NM18" s="471"/>
      <c r="NZ18" s="490"/>
      <c r="OA18" s="490"/>
      <c r="OB18" s="490"/>
      <c r="OC18" s="490"/>
      <c r="OD18" s="471"/>
      <c r="OE18" s="471"/>
      <c r="OF18" s="471"/>
      <c r="OG18" s="471"/>
      <c r="OH18" s="471"/>
      <c r="OI18" s="471"/>
      <c r="OJ18" s="471"/>
      <c r="OK18" s="471"/>
      <c r="OX18" s="490"/>
      <c r="OY18" s="490"/>
      <c r="OZ18" s="490"/>
      <c r="PA18" s="490"/>
      <c r="PB18" s="471"/>
      <c r="PC18" s="471"/>
      <c r="PD18" s="471"/>
      <c r="PE18" s="471"/>
      <c r="PF18" s="471"/>
      <c r="PG18" s="471"/>
      <c r="PH18" s="471"/>
      <c r="PI18" s="471"/>
      <c r="PV18" s="471"/>
      <c r="PW18" s="471"/>
      <c r="PX18" s="471"/>
      <c r="PY18" s="471"/>
      <c r="PZ18" s="471"/>
      <c r="QA18" s="471"/>
      <c r="QB18" s="471"/>
      <c r="QC18" s="471"/>
      <c r="QP18" s="490"/>
      <c r="QQ18" s="490"/>
      <c r="QR18" s="490"/>
      <c r="QS18" s="490"/>
      <c r="QT18" s="471"/>
      <c r="QU18" s="471"/>
      <c r="QV18" s="471"/>
      <c r="QW18" s="471"/>
      <c r="QX18" s="471"/>
      <c r="QY18" s="471"/>
      <c r="QZ18" s="471"/>
      <c r="RA18" s="471"/>
      <c r="RN18" s="490"/>
      <c r="RO18" s="490"/>
      <c r="RP18" s="490"/>
      <c r="RQ18" s="490"/>
      <c r="RR18" s="471"/>
      <c r="RS18" s="471"/>
      <c r="RT18" s="471"/>
      <c r="RU18" s="471"/>
      <c r="RV18" s="471"/>
      <c r="RW18" s="471"/>
      <c r="RX18" s="471"/>
      <c r="RY18" s="471"/>
      <c r="SL18" s="490"/>
      <c r="SM18" s="490"/>
      <c r="SN18" s="490"/>
      <c r="SO18" s="490"/>
      <c r="SP18" s="471"/>
      <c r="SQ18" s="471"/>
      <c r="SR18" s="471"/>
      <c r="SS18" s="471"/>
      <c r="ST18" s="471"/>
      <c r="SU18" s="471"/>
      <c r="SV18" s="471"/>
      <c r="SW18" s="471"/>
      <c r="TJ18" s="490"/>
      <c r="TK18" s="490"/>
      <c r="TL18" s="490"/>
      <c r="TM18" s="490"/>
      <c r="TN18" s="471"/>
      <c r="TO18" s="471"/>
      <c r="TP18" s="471"/>
      <c r="TQ18" s="471"/>
      <c r="TR18" s="471"/>
      <c r="TS18" s="471"/>
      <c r="TT18" s="471"/>
      <c r="TU18" s="471"/>
      <c r="UH18" s="490"/>
      <c r="UI18" s="490"/>
      <c r="UJ18" s="490"/>
      <c r="UK18" s="490"/>
      <c r="UL18" s="471"/>
      <c r="UM18" s="471"/>
      <c r="UN18" s="471"/>
      <c r="UO18" s="471"/>
      <c r="UP18" s="471"/>
      <c r="UQ18" s="471"/>
      <c r="UR18" s="471"/>
      <c r="US18" s="471"/>
      <c r="VF18" s="456"/>
      <c r="VG18" s="456"/>
      <c r="VH18" s="456"/>
      <c r="VI18" s="456"/>
      <c r="VJ18" s="456"/>
      <c r="VK18" s="456"/>
      <c r="VL18" s="456"/>
      <c r="VM18" s="456"/>
      <c r="VN18" s="456"/>
      <c r="VO18" s="456"/>
      <c r="VP18" s="456"/>
      <c r="VQ18" s="456"/>
      <c r="WD18" s="456"/>
      <c r="WE18" s="456"/>
      <c r="WF18" s="456"/>
      <c r="WG18" s="456"/>
      <c r="WH18" s="456"/>
      <c r="WI18" s="456"/>
      <c r="WJ18" s="456"/>
      <c r="WK18" s="456"/>
      <c r="WL18" s="456"/>
      <c r="WM18" s="456"/>
      <c r="WN18" s="456"/>
      <c r="WO18" s="456"/>
      <c r="XB18" s="456"/>
      <c r="XC18" s="456"/>
      <c r="XD18" s="456"/>
      <c r="XE18" s="456"/>
      <c r="XF18" s="456"/>
      <c r="XG18" s="456"/>
      <c r="XH18" s="456"/>
      <c r="XI18" s="456"/>
      <c r="XJ18" s="456"/>
      <c r="XK18" s="456"/>
      <c r="XL18" s="456"/>
      <c r="XM18" s="456"/>
      <c r="XN18" s="415"/>
      <c r="XO18" s="415"/>
      <c r="XP18" s="415"/>
      <c r="XQ18" s="415"/>
      <c r="XR18" s="415"/>
      <c r="XS18" s="415"/>
      <c r="XT18" s="415"/>
      <c r="XU18" s="415"/>
      <c r="XV18" s="415"/>
      <c r="XW18" s="415"/>
      <c r="XX18" s="415"/>
      <c r="XY18" s="415"/>
      <c r="XZ18" s="458"/>
      <c r="YA18" s="458"/>
      <c r="YB18" s="458"/>
      <c r="YF18" s="458"/>
      <c r="YG18" s="458"/>
      <c r="YH18" s="458"/>
      <c r="YI18" s="458"/>
      <c r="YM18" s="459"/>
      <c r="YN18" s="459"/>
      <c r="YO18" s="459"/>
      <c r="YP18" s="459"/>
      <c r="YR18" s="458"/>
      <c r="YS18" s="458"/>
      <c r="YT18" s="458"/>
      <c r="YU18" s="458"/>
      <c r="YY18" s="458"/>
      <c r="YZ18" s="458"/>
      <c r="ZA18" s="458"/>
      <c r="ZB18" s="458"/>
      <c r="ZF18" s="458"/>
      <c r="ZJ18" s="458"/>
      <c r="ZK18" s="458"/>
      <c r="ZL18" s="458"/>
      <c r="ZM18" s="458"/>
      <c r="ZQ18" s="458"/>
      <c r="ZR18" s="458"/>
      <c r="ZS18" s="458"/>
      <c r="ZT18" s="458"/>
      <c r="ZU18" s="415"/>
      <c r="ZV18" s="415"/>
      <c r="ZW18" s="415"/>
      <c r="ZX18" s="415"/>
      <c r="ZY18" s="415"/>
      <c r="ZZ18" s="415"/>
      <c r="AAA18" s="415"/>
      <c r="AAB18" s="415"/>
      <c r="AAC18" s="415"/>
      <c r="AAD18" s="415"/>
      <c r="AAE18" s="415"/>
      <c r="AAF18" s="415"/>
      <c r="AAG18" s="415"/>
      <c r="AAL18" s="417"/>
      <c r="AAM18" s="417"/>
      <c r="AAN18" s="417"/>
      <c r="AAO18" s="417"/>
      <c r="AAP18" s="417"/>
      <c r="AAQ18" s="417"/>
      <c r="AAR18" s="417"/>
      <c r="AAS18" s="408"/>
      <c r="AAT18" s="408"/>
      <c r="AAU18" s="408"/>
      <c r="AAV18" s="408"/>
      <c r="AAW18" s="408"/>
      <c r="AAX18" s="408"/>
      <c r="AAY18" s="408"/>
      <c r="AAZ18" s="408"/>
      <c r="ABA18" s="408"/>
      <c r="ABB18" s="408"/>
      <c r="ABC18" s="408"/>
      <c r="ABD18" s="408"/>
      <c r="ABE18" s="408"/>
      <c r="ABF18" s="408"/>
      <c r="ABG18" s="408"/>
      <c r="ABH18" s="408"/>
      <c r="ABI18" s="408"/>
      <c r="ABJ18" s="408"/>
      <c r="ABK18" s="408"/>
      <c r="ABL18" s="408"/>
      <c r="ABM18" s="408"/>
      <c r="ABN18" s="408"/>
      <c r="ABO18" s="408"/>
      <c r="ABP18" s="408"/>
      <c r="ABQ18" s="408"/>
      <c r="ABR18" s="408"/>
      <c r="ABS18" s="408"/>
      <c r="ABT18" s="408"/>
      <c r="ABU18" s="408"/>
      <c r="ABV18" s="408"/>
      <c r="ABW18" s="408"/>
      <c r="ABX18" s="408"/>
    </row>
    <row r="19" spans="1:16384" s="409" customFormat="1" ht="15" customHeight="1" x14ac:dyDescent="0.2">
      <c r="A19" s="469" t="s">
        <v>131</v>
      </c>
      <c r="B19" s="457"/>
      <c r="C19" s="457"/>
      <c r="D19" s="457"/>
      <c r="E19" s="457"/>
      <c r="F19" s="457"/>
      <c r="G19" s="457"/>
      <c r="H19" s="457"/>
      <c r="I19" s="457"/>
      <c r="J19" s="457"/>
      <c r="K19" s="457"/>
      <c r="L19" s="457"/>
      <c r="M19" s="457"/>
      <c r="N19" s="457"/>
      <c r="O19" s="457"/>
      <c r="P19" s="457"/>
      <c r="Q19" s="457"/>
      <c r="R19" s="470"/>
      <c r="S19" s="470"/>
      <c r="T19" s="470"/>
      <c r="U19" s="470"/>
      <c r="V19" s="470"/>
      <c r="W19" s="470"/>
      <c r="X19" s="470"/>
      <c r="Y19" s="470"/>
      <c r="Z19" s="470"/>
      <c r="AA19" s="470"/>
      <c r="AB19" s="470"/>
      <c r="AC19" s="466"/>
      <c r="AD19" s="466"/>
      <c r="AE19" s="466"/>
      <c r="AF19" s="466"/>
      <c r="AG19" s="466"/>
      <c r="AH19" s="466"/>
      <c r="AI19" s="466"/>
      <c r="AJ19" s="466"/>
      <c r="AK19" s="466"/>
      <c r="AL19" s="460"/>
      <c r="AM19" s="460"/>
      <c r="AN19" s="460"/>
      <c r="AO19" s="460"/>
      <c r="AP19" s="460"/>
      <c r="AQ19" s="460"/>
      <c r="AR19" s="460"/>
      <c r="AS19" s="460"/>
      <c r="AT19" s="411"/>
      <c r="AU19" s="411"/>
      <c r="AV19" s="411"/>
      <c r="AW19" s="411"/>
      <c r="AX19" s="411"/>
      <c r="AY19" s="411"/>
      <c r="AZ19" s="411"/>
      <c r="BA19" s="411"/>
      <c r="BB19" s="411"/>
      <c r="BC19" s="411"/>
      <c r="BD19" s="411"/>
      <c r="BE19" s="411"/>
      <c r="BF19" s="460"/>
      <c r="BG19" s="460"/>
      <c r="BH19" s="460"/>
      <c r="BI19" s="460"/>
      <c r="BJ19" s="460"/>
      <c r="BK19" s="460"/>
      <c r="BL19" s="460"/>
      <c r="BM19" s="460"/>
      <c r="BN19" s="460"/>
      <c r="BO19" s="460"/>
      <c r="BP19" s="460"/>
      <c r="BQ19" s="460"/>
      <c r="BR19" s="460"/>
      <c r="BS19" s="460"/>
      <c r="BT19" s="460"/>
      <c r="BU19" s="460"/>
      <c r="BV19" s="411"/>
      <c r="BW19" s="411"/>
      <c r="BX19" s="411"/>
      <c r="BY19" s="411"/>
      <c r="BZ19" s="411"/>
      <c r="CA19" s="411"/>
      <c r="CB19" s="411"/>
      <c r="CC19" s="411"/>
      <c r="CD19" s="411"/>
      <c r="CE19" s="411"/>
      <c r="CF19" s="411"/>
      <c r="CG19" s="411"/>
      <c r="CH19" s="467"/>
      <c r="CI19" s="467"/>
      <c r="CJ19" s="467"/>
      <c r="CK19" s="467"/>
      <c r="CL19" s="467"/>
      <c r="CM19" s="467"/>
      <c r="CN19" s="467"/>
      <c r="CO19" s="467"/>
      <c r="CP19" s="467"/>
      <c r="CQ19" s="467"/>
      <c r="CR19" s="467"/>
      <c r="CS19" s="467"/>
      <c r="CT19" s="467"/>
      <c r="CU19" s="467"/>
      <c r="CV19" s="467"/>
      <c r="CW19" s="467"/>
      <c r="CX19" s="411"/>
      <c r="CY19" s="411"/>
      <c r="CZ19" s="411"/>
      <c r="DA19" s="411"/>
      <c r="DB19" s="411"/>
      <c r="DC19" s="411"/>
      <c r="DD19" s="411"/>
      <c r="DE19" s="411"/>
      <c r="DF19" s="411"/>
      <c r="DG19" s="411"/>
      <c r="DH19" s="411"/>
      <c r="DI19" s="411"/>
      <c r="DJ19" s="467"/>
      <c r="DK19" s="467"/>
      <c r="DL19" s="467"/>
      <c r="DM19" s="467"/>
      <c r="DN19" s="467"/>
      <c r="DO19" s="467"/>
      <c r="DP19" s="467"/>
      <c r="DQ19" s="467"/>
      <c r="DR19" s="467"/>
      <c r="DS19" s="467"/>
      <c r="DT19" s="467"/>
      <c r="DU19" s="467"/>
      <c r="DV19" s="196"/>
      <c r="DW19" s="196"/>
      <c r="DX19" s="196"/>
      <c r="DY19" s="468"/>
      <c r="DZ19" s="411"/>
      <c r="EA19" s="411"/>
      <c r="EB19" s="411"/>
      <c r="EC19" s="411"/>
      <c r="ED19" s="411"/>
      <c r="EE19" s="411"/>
      <c r="EF19" s="411"/>
      <c r="EG19" s="411"/>
      <c r="EH19" s="411"/>
      <c r="EI19" s="411"/>
      <c r="EJ19" s="411"/>
      <c r="EK19" s="411"/>
      <c r="EL19" s="471"/>
      <c r="EM19" s="471"/>
      <c r="EN19" s="471"/>
      <c r="EO19" s="471"/>
      <c r="EP19" s="471"/>
      <c r="EQ19" s="471"/>
      <c r="ER19" s="471"/>
      <c r="ES19" s="471"/>
      <c r="ET19" s="411"/>
      <c r="EU19" s="411"/>
      <c r="EV19" s="411"/>
      <c r="EW19" s="411"/>
      <c r="EX19" s="411"/>
      <c r="EY19" s="411"/>
      <c r="EZ19" s="411"/>
      <c r="FA19" s="411"/>
      <c r="FB19" s="411"/>
      <c r="FC19" s="411"/>
      <c r="FD19" s="411"/>
      <c r="FE19" s="411"/>
      <c r="FF19" s="471"/>
      <c r="FG19" s="471"/>
      <c r="FH19" s="471"/>
      <c r="FI19" s="471"/>
      <c r="FJ19" s="471"/>
      <c r="FK19" s="471"/>
      <c r="FL19" s="471"/>
      <c r="FM19" s="471"/>
      <c r="FN19" s="471"/>
      <c r="FO19" s="471"/>
      <c r="FP19" s="471"/>
      <c r="FQ19" s="471"/>
      <c r="FR19" s="411"/>
      <c r="FS19" s="411"/>
      <c r="FT19" s="411"/>
      <c r="FU19" s="411"/>
      <c r="FV19" s="411"/>
      <c r="FW19" s="411"/>
      <c r="FX19" s="411"/>
      <c r="FY19" s="411"/>
      <c r="FZ19" s="411"/>
      <c r="GA19" s="411"/>
      <c r="GB19" s="411"/>
      <c r="GC19" s="411"/>
      <c r="GD19" s="471"/>
      <c r="GE19" s="471"/>
      <c r="GF19" s="471"/>
      <c r="GG19" s="471"/>
      <c r="GH19" s="471"/>
      <c r="GI19" s="471"/>
      <c r="GJ19" s="471"/>
      <c r="GK19" s="471"/>
      <c r="GL19" s="471"/>
      <c r="GM19" s="471"/>
      <c r="GN19" s="471"/>
      <c r="GO19" s="471"/>
      <c r="GP19" s="411"/>
      <c r="GQ19" s="411"/>
      <c r="GR19" s="411"/>
      <c r="GS19" s="411"/>
      <c r="GT19" s="411"/>
      <c r="GU19" s="411"/>
      <c r="GV19" s="411"/>
      <c r="GW19" s="411"/>
      <c r="GX19" s="471"/>
      <c r="GY19" s="471"/>
      <c r="GZ19" s="471"/>
      <c r="HA19" s="471"/>
      <c r="HB19" s="471"/>
      <c r="HC19" s="471"/>
      <c r="HD19" s="471"/>
      <c r="HE19" s="471"/>
      <c r="HF19" s="471"/>
      <c r="HG19" s="471"/>
      <c r="HH19" s="471"/>
      <c r="HI19" s="471"/>
      <c r="HJ19" s="411"/>
      <c r="HK19" s="411"/>
      <c r="HL19" s="411"/>
      <c r="HM19" s="411"/>
      <c r="HN19" s="411"/>
      <c r="HO19" s="411"/>
      <c r="HP19" s="411"/>
      <c r="HQ19" s="411"/>
      <c r="HR19" s="411"/>
      <c r="HS19" s="411"/>
      <c r="HT19" s="411"/>
      <c r="HU19" s="411"/>
      <c r="HV19" s="471"/>
      <c r="HW19" s="471"/>
      <c r="HX19" s="471"/>
      <c r="HY19" s="471"/>
      <c r="HZ19" s="471"/>
      <c r="IA19" s="471"/>
      <c r="IB19" s="471"/>
      <c r="IC19" s="471"/>
      <c r="ID19" s="411"/>
      <c r="IE19" s="411"/>
      <c r="IF19" s="411"/>
      <c r="IG19" s="411"/>
      <c r="IH19" s="411"/>
      <c r="II19" s="411"/>
      <c r="IJ19" s="411"/>
      <c r="IK19" s="411"/>
      <c r="IL19" s="411"/>
      <c r="IM19" s="411"/>
      <c r="IN19" s="411"/>
      <c r="IO19" s="411"/>
      <c r="IP19" s="471"/>
      <c r="IQ19" s="471"/>
      <c r="IR19" s="471"/>
      <c r="IS19" s="471"/>
      <c r="IT19" s="471"/>
      <c r="IU19" s="471"/>
      <c r="IV19" s="471"/>
      <c r="IW19" s="471"/>
      <c r="IX19" s="471"/>
      <c r="IY19" s="471"/>
      <c r="IZ19" s="471"/>
      <c r="JA19" s="471"/>
      <c r="JB19" s="411"/>
      <c r="JC19" s="411"/>
      <c r="JD19" s="411"/>
      <c r="JE19" s="411"/>
      <c r="JF19" s="411"/>
      <c r="JG19" s="411"/>
      <c r="JH19" s="411"/>
      <c r="JI19" s="411"/>
      <c r="JJ19" s="411"/>
      <c r="JK19" s="411"/>
      <c r="JL19" s="411"/>
      <c r="JM19" s="411"/>
      <c r="JN19" s="471"/>
      <c r="JO19" s="471"/>
      <c r="JP19" s="471"/>
      <c r="JQ19" s="471"/>
      <c r="JR19" s="471"/>
      <c r="JS19" s="471"/>
      <c r="JT19" s="471"/>
      <c r="JU19" s="471"/>
      <c r="JV19" s="411"/>
      <c r="JW19" s="411"/>
      <c r="JX19" s="411"/>
      <c r="JY19" s="411"/>
      <c r="JZ19" s="411"/>
      <c r="KA19" s="411"/>
      <c r="KB19" s="411"/>
      <c r="KC19" s="411"/>
      <c r="KD19" s="411"/>
      <c r="KE19" s="411"/>
      <c r="KF19" s="411"/>
      <c r="KG19" s="411"/>
      <c r="KH19" s="471"/>
      <c r="KI19" s="471"/>
      <c r="KJ19" s="471"/>
      <c r="KK19" s="471"/>
      <c r="KL19" s="471"/>
      <c r="KM19" s="471"/>
      <c r="KN19" s="471"/>
      <c r="KO19" s="471"/>
      <c r="KP19" s="471"/>
      <c r="KQ19" s="471"/>
      <c r="KR19" s="471"/>
      <c r="KS19" s="471"/>
      <c r="KT19" s="411"/>
      <c r="KU19" s="411"/>
      <c r="KV19" s="411"/>
      <c r="KW19" s="411"/>
      <c r="KX19" s="411"/>
      <c r="KY19" s="411"/>
      <c r="KZ19" s="411"/>
      <c r="LA19" s="411"/>
      <c r="LB19" s="411"/>
      <c r="LC19" s="411"/>
      <c r="LD19" s="411"/>
      <c r="LE19" s="411"/>
      <c r="LF19" s="471"/>
      <c r="LG19" s="471"/>
      <c r="LH19" s="471"/>
      <c r="LI19" s="471"/>
      <c r="LJ19" s="471"/>
      <c r="LK19" s="471"/>
      <c r="LL19" s="471"/>
      <c r="LM19" s="471"/>
      <c r="LN19" s="471"/>
      <c r="LO19" s="471"/>
      <c r="LP19" s="471"/>
      <c r="LQ19" s="471"/>
      <c r="LR19" s="411"/>
      <c r="LS19" s="411"/>
      <c r="LT19" s="411"/>
      <c r="LU19" s="411"/>
      <c r="LV19" s="411"/>
      <c r="LW19" s="411"/>
      <c r="LX19" s="411"/>
      <c r="LY19" s="411"/>
      <c r="LZ19" s="411"/>
      <c r="MA19" s="411"/>
      <c r="MB19" s="411"/>
      <c r="MC19" s="411"/>
      <c r="MD19" s="471"/>
      <c r="ME19" s="471"/>
      <c r="MF19" s="471"/>
      <c r="MG19" s="471"/>
      <c r="MH19" s="471"/>
      <c r="MI19" s="471"/>
      <c r="MJ19" s="471"/>
      <c r="MK19" s="471"/>
      <c r="ML19" s="471"/>
      <c r="MM19" s="471"/>
      <c r="MN19" s="471"/>
      <c r="MO19" s="471"/>
      <c r="MP19" s="411"/>
      <c r="MQ19" s="411"/>
      <c r="MR19" s="411"/>
      <c r="MS19" s="411"/>
      <c r="MT19" s="411"/>
      <c r="MU19" s="411"/>
      <c r="MV19" s="411"/>
      <c r="MW19" s="411"/>
      <c r="MX19" s="411"/>
      <c r="MY19" s="411"/>
      <c r="MZ19" s="411"/>
      <c r="NA19" s="411"/>
      <c r="NB19" s="471"/>
      <c r="NC19" s="471"/>
      <c r="ND19" s="471"/>
      <c r="NE19" s="471"/>
      <c r="NF19" s="471"/>
      <c r="NG19" s="471"/>
      <c r="NH19" s="471"/>
      <c r="NI19" s="471"/>
      <c r="NJ19" s="471"/>
      <c r="NK19" s="471"/>
      <c r="NL19" s="471"/>
      <c r="NM19" s="471"/>
      <c r="NN19" s="411"/>
      <c r="NO19" s="411"/>
      <c r="NP19" s="411"/>
      <c r="NQ19" s="411"/>
      <c r="NR19" s="411"/>
      <c r="NS19" s="411"/>
      <c r="NT19" s="411"/>
      <c r="NU19" s="411"/>
      <c r="NV19" s="411"/>
      <c r="NW19" s="411"/>
      <c r="NX19" s="411"/>
      <c r="NY19" s="411"/>
      <c r="NZ19" s="471"/>
      <c r="OA19" s="471"/>
      <c r="OB19" s="471"/>
      <c r="OC19" s="471"/>
      <c r="OD19" s="471"/>
      <c r="OE19" s="471"/>
      <c r="OF19" s="471"/>
      <c r="OG19" s="471"/>
      <c r="OH19" s="471"/>
      <c r="OI19" s="471"/>
      <c r="OJ19" s="471"/>
      <c r="OK19" s="471"/>
      <c r="OL19" s="411"/>
      <c r="OM19" s="411"/>
      <c r="ON19" s="411"/>
      <c r="OO19" s="411"/>
      <c r="OP19" s="411"/>
      <c r="OQ19" s="411"/>
      <c r="OR19" s="411"/>
      <c r="OS19" s="411"/>
      <c r="OT19" s="411"/>
      <c r="OU19" s="411"/>
      <c r="OV19" s="411"/>
      <c r="OW19" s="411"/>
      <c r="OX19" s="471"/>
      <c r="OY19" s="471"/>
      <c r="OZ19" s="471"/>
      <c r="PA19" s="471"/>
      <c r="PB19" s="471"/>
      <c r="PC19" s="471"/>
      <c r="PD19" s="471"/>
      <c r="PE19" s="471"/>
      <c r="PF19" s="471"/>
      <c r="PG19" s="471"/>
      <c r="PH19" s="471"/>
      <c r="PI19" s="471"/>
      <c r="PJ19" s="411"/>
      <c r="PK19" s="411"/>
      <c r="PL19" s="411"/>
      <c r="PM19" s="411"/>
      <c r="PN19" s="411"/>
      <c r="PO19" s="411"/>
      <c r="PP19" s="411"/>
      <c r="PQ19" s="411"/>
      <c r="PR19" s="411"/>
      <c r="PS19" s="411"/>
      <c r="PT19" s="411"/>
      <c r="PU19" s="411"/>
      <c r="PV19" s="471"/>
      <c r="PW19" s="471"/>
      <c r="PX19" s="471"/>
      <c r="PY19" s="471"/>
      <c r="PZ19" s="471"/>
      <c r="QA19" s="471"/>
      <c r="QB19" s="471"/>
      <c r="QC19" s="471"/>
      <c r="QD19" s="411"/>
      <c r="QE19" s="411"/>
      <c r="QF19" s="411"/>
      <c r="QG19" s="411"/>
      <c r="QH19" s="411"/>
      <c r="QI19" s="411"/>
      <c r="QJ19" s="411"/>
      <c r="QK19" s="411"/>
      <c r="QL19" s="411"/>
      <c r="QM19" s="411"/>
      <c r="QN19" s="411"/>
      <c r="QO19" s="411"/>
      <c r="QP19" s="471"/>
      <c r="QQ19" s="471"/>
      <c r="QR19" s="471"/>
      <c r="QS19" s="471"/>
      <c r="QT19" s="471"/>
      <c r="QU19" s="471"/>
      <c r="QV19" s="471"/>
      <c r="QW19" s="471"/>
      <c r="QX19" s="471"/>
      <c r="QY19" s="471"/>
      <c r="QZ19" s="471"/>
      <c r="RA19" s="471"/>
      <c r="RB19" s="411"/>
      <c r="RC19" s="411"/>
      <c r="RD19" s="411"/>
      <c r="RE19" s="411"/>
      <c r="RF19" s="411"/>
      <c r="RG19" s="411"/>
      <c r="RH19" s="411"/>
      <c r="RI19" s="411"/>
      <c r="RJ19" s="411"/>
      <c r="RK19" s="411"/>
      <c r="RL19" s="411"/>
      <c r="RM19" s="411"/>
      <c r="RN19" s="471"/>
      <c r="RO19" s="471"/>
      <c r="RP19" s="471"/>
      <c r="RQ19" s="471"/>
      <c r="RR19" s="471"/>
      <c r="RS19" s="471"/>
      <c r="RT19" s="471"/>
      <c r="RU19" s="471"/>
      <c r="RV19" s="471"/>
      <c r="RW19" s="471"/>
      <c r="RX19" s="471"/>
      <c r="RY19" s="471"/>
      <c r="RZ19" s="411"/>
      <c r="SA19" s="411"/>
      <c r="SB19" s="411"/>
      <c r="SC19" s="411"/>
      <c r="SD19" s="411"/>
      <c r="SE19" s="411"/>
      <c r="SF19" s="411"/>
      <c r="SG19" s="411"/>
      <c r="SH19" s="411"/>
      <c r="SI19" s="411"/>
      <c r="SJ19" s="411"/>
      <c r="SK19" s="411"/>
      <c r="SL19" s="471"/>
      <c r="SM19" s="471"/>
      <c r="SN19" s="471"/>
      <c r="SO19" s="471"/>
      <c r="SP19" s="471"/>
      <c r="SQ19" s="471"/>
      <c r="SR19" s="471"/>
      <c r="SS19" s="471"/>
      <c r="ST19" s="471"/>
      <c r="SU19" s="471"/>
      <c r="SV19" s="471"/>
      <c r="SW19" s="471"/>
      <c r="SX19" s="411"/>
      <c r="SY19" s="411"/>
      <c r="SZ19" s="411"/>
      <c r="TA19" s="411"/>
      <c r="TB19" s="411"/>
      <c r="TC19" s="411"/>
      <c r="TD19" s="411"/>
      <c r="TE19" s="411"/>
      <c r="TF19" s="411"/>
      <c r="TG19" s="411"/>
      <c r="TH19" s="411"/>
      <c r="TI19" s="411"/>
      <c r="TJ19" s="471"/>
      <c r="TK19" s="471"/>
      <c r="TL19" s="471"/>
      <c r="TM19" s="471"/>
      <c r="TN19" s="471"/>
      <c r="TO19" s="471"/>
      <c r="TP19" s="471"/>
      <c r="TQ19" s="471"/>
      <c r="TR19" s="471"/>
      <c r="TS19" s="471"/>
      <c r="TT19" s="471"/>
      <c r="TU19" s="471"/>
      <c r="TV19" s="411"/>
      <c r="TW19" s="411"/>
      <c r="TX19" s="411"/>
      <c r="TY19" s="411"/>
      <c r="TZ19" s="411"/>
      <c r="UA19" s="411"/>
      <c r="UB19" s="411"/>
      <c r="UC19" s="411"/>
      <c r="UD19" s="411"/>
      <c r="UE19" s="411"/>
      <c r="UF19" s="411"/>
      <c r="UG19" s="411"/>
      <c r="UH19" s="471"/>
      <c r="UI19" s="471"/>
      <c r="UJ19" s="471"/>
      <c r="UK19" s="471"/>
      <c r="UL19" s="471"/>
      <c r="UM19" s="471"/>
      <c r="UN19" s="471"/>
      <c r="UO19" s="471"/>
      <c r="UP19" s="471"/>
      <c r="UQ19" s="471"/>
      <c r="UR19" s="471"/>
      <c r="US19" s="471"/>
      <c r="UT19" s="411"/>
      <c r="UU19" s="411"/>
      <c r="UV19" s="411"/>
      <c r="UW19" s="411"/>
      <c r="UX19" s="411"/>
      <c r="UY19" s="411"/>
      <c r="UZ19" s="411"/>
      <c r="VA19" s="411"/>
      <c r="VB19" s="411"/>
      <c r="VC19" s="411"/>
      <c r="VD19" s="411"/>
      <c r="VE19" s="411"/>
      <c r="VF19" s="456"/>
      <c r="VG19" s="456"/>
      <c r="VH19" s="456"/>
      <c r="VI19" s="456"/>
      <c r="VJ19" s="456"/>
      <c r="VK19" s="456"/>
      <c r="VL19" s="456"/>
      <c r="VM19" s="456"/>
      <c r="VN19" s="456"/>
      <c r="VO19" s="456"/>
      <c r="VP19" s="456"/>
      <c r="VQ19" s="456"/>
      <c r="VR19" s="411"/>
      <c r="VS19" s="411"/>
      <c r="VT19" s="411"/>
      <c r="VU19" s="411"/>
      <c r="VV19" s="411"/>
      <c r="VW19" s="411"/>
      <c r="VX19" s="411"/>
      <c r="VY19" s="411"/>
      <c r="VZ19" s="411"/>
      <c r="WA19" s="411"/>
      <c r="WB19" s="411"/>
      <c r="WC19" s="411"/>
      <c r="WD19" s="456"/>
      <c r="WE19" s="456"/>
      <c r="WF19" s="456"/>
      <c r="WG19" s="456"/>
      <c r="WH19" s="456"/>
      <c r="WI19" s="456"/>
      <c r="WJ19" s="456"/>
      <c r="WK19" s="456"/>
      <c r="WL19" s="456"/>
      <c r="WM19" s="456"/>
      <c r="WN19" s="456"/>
      <c r="WO19" s="456"/>
      <c r="WP19" s="411"/>
      <c r="WQ19" s="411"/>
      <c r="WR19" s="411"/>
      <c r="WS19" s="411"/>
      <c r="WT19" s="411"/>
      <c r="WU19" s="411"/>
      <c r="WV19" s="411"/>
      <c r="WW19" s="411"/>
      <c r="WX19" s="411"/>
      <c r="WY19" s="411"/>
      <c r="WZ19" s="411"/>
      <c r="XA19" s="411"/>
      <c r="XB19" s="456"/>
      <c r="XC19" s="456"/>
      <c r="XD19" s="456"/>
      <c r="XE19" s="456"/>
      <c r="XF19" s="456"/>
      <c r="XG19" s="456"/>
      <c r="XH19" s="456"/>
      <c r="XI19" s="456"/>
      <c r="XJ19" s="456"/>
      <c r="XK19" s="456"/>
      <c r="XL19" s="456"/>
      <c r="XM19" s="456"/>
      <c r="XN19" s="411"/>
      <c r="XO19" s="411"/>
      <c r="XP19" s="411"/>
      <c r="XQ19" s="411"/>
      <c r="XR19" s="411"/>
      <c r="XS19" s="411"/>
      <c r="XT19" s="411"/>
      <c r="XU19" s="411"/>
      <c r="XV19" s="411"/>
      <c r="XW19" s="411"/>
      <c r="XX19" s="411"/>
      <c r="XY19" s="411"/>
      <c r="XZ19" s="458"/>
      <c r="YA19" s="458"/>
      <c r="YB19" s="458"/>
      <c r="YC19" s="411"/>
      <c r="YD19" s="411"/>
      <c r="YE19" s="411"/>
      <c r="YF19" s="458"/>
      <c r="YG19" s="458"/>
      <c r="YH19" s="458"/>
      <c r="YI19" s="458"/>
      <c r="YJ19" s="411"/>
      <c r="YK19" s="411"/>
      <c r="YL19" s="411"/>
      <c r="YM19" s="458"/>
      <c r="YN19" s="458"/>
      <c r="YO19" s="458"/>
      <c r="YP19" s="458"/>
      <c r="YQ19" s="411"/>
      <c r="YR19" s="458"/>
      <c r="YS19" s="458"/>
      <c r="YT19" s="458"/>
      <c r="YU19" s="458"/>
      <c r="YV19" s="411"/>
      <c r="YW19" s="411"/>
      <c r="YX19" s="411"/>
      <c r="YY19" s="458"/>
      <c r="YZ19" s="458"/>
      <c r="ZA19" s="458"/>
      <c r="ZB19" s="458"/>
      <c r="ZC19" s="411"/>
      <c r="ZD19" s="411"/>
      <c r="ZE19" s="411"/>
      <c r="ZF19" s="458"/>
      <c r="ZG19" s="411"/>
      <c r="ZH19" s="411"/>
      <c r="ZI19" s="411"/>
      <c r="ZJ19" s="458"/>
      <c r="ZK19" s="458"/>
      <c r="ZL19" s="458"/>
      <c r="ZM19" s="458"/>
      <c r="ZN19" s="411"/>
      <c r="ZO19" s="411"/>
      <c r="ZP19" s="411"/>
      <c r="ZQ19" s="458"/>
      <c r="ZR19" s="458"/>
      <c r="ZS19" s="458"/>
      <c r="ZT19" s="458"/>
      <c r="ZU19" s="458"/>
      <c r="ZV19" s="458"/>
      <c r="ZW19" s="458"/>
      <c r="ZX19" s="458"/>
      <c r="ZY19" s="458"/>
      <c r="ZZ19" s="458"/>
      <c r="AAA19" s="458"/>
      <c r="AAB19" s="458"/>
      <c r="AAC19" s="458"/>
      <c r="AAD19" s="458"/>
      <c r="AAE19" s="458"/>
      <c r="AAF19" s="458"/>
      <c r="AAG19" s="458"/>
      <c r="AAH19" s="411"/>
      <c r="AAI19" s="411"/>
      <c r="AAJ19" s="411"/>
      <c r="AAK19" s="411"/>
      <c r="AAL19" s="411"/>
      <c r="AAM19" s="411"/>
      <c r="AAN19" s="411"/>
      <c r="AAO19" s="411"/>
      <c r="AAP19" s="411"/>
      <c r="AAQ19" s="411"/>
      <c r="AAR19" s="411"/>
      <c r="AAS19" s="408"/>
      <c r="AAT19" s="408"/>
      <c r="AAU19" s="408"/>
      <c r="AAV19" s="408"/>
      <c r="AAW19" s="408"/>
      <c r="AAX19" s="408"/>
      <c r="AAY19" s="408"/>
      <c r="AAZ19" s="408"/>
      <c r="ABA19" s="408"/>
      <c r="ABB19" s="408"/>
      <c r="ABC19" s="408"/>
      <c r="ABD19" s="408"/>
      <c r="ABE19" s="408"/>
      <c r="ABF19" s="408"/>
      <c r="ABG19" s="408"/>
      <c r="ABH19" s="408"/>
      <c r="ABI19" s="408"/>
      <c r="ABJ19" s="408"/>
      <c r="ABK19" s="408"/>
      <c r="ABL19" s="408"/>
      <c r="ABM19" s="408"/>
      <c r="ABN19" s="408"/>
      <c r="ABO19" s="408"/>
      <c r="ABP19" s="408"/>
      <c r="ABQ19" s="408"/>
      <c r="ABR19" s="408"/>
      <c r="ABS19" s="408"/>
      <c r="ABT19" s="408"/>
      <c r="ABU19" s="408"/>
      <c r="ABV19" s="408"/>
      <c r="ABW19" s="408"/>
      <c r="ABX19" s="408"/>
    </row>
    <row r="20" spans="1:16384" ht="17.25" customHeight="1" x14ac:dyDescent="0.2">
      <c r="A20" s="465" t="s">
        <v>307</v>
      </c>
      <c r="B20" s="465"/>
      <c r="C20" s="465"/>
      <c r="D20" s="465"/>
      <c r="E20" s="465"/>
      <c r="F20" s="465"/>
      <c r="G20" s="465"/>
      <c r="H20" s="465"/>
      <c r="I20" s="465"/>
      <c r="J20" s="461"/>
      <c r="K20" s="461"/>
      <c r="L20" s="461"/>
      <c r="M20" s="461"/>
      <c r="N20" s="461"/>
      <c r="O20" s="461"/>
      <c r="P20" s="461"/>
      <c r="Q20" s="461"/>
      <c r="R20" s="472"/>
      <c r="S20" s="472"/>
      <c r="T20" s="472"/>
      <c r="U20" s="472"/>
      <c r="V20" s="472"/>
      <c r="W20" s="472"/>
      <c r="X20" s="472"/>
      <c r="Y20" s="472"/>
      <c r="Z20" s="472"/>
      <c r="AA20" s="472"/>
      <c r="AB20" s="472"/>
      <c r="AC20" s="472"/>
      <c r="AD20" s="470"/>
      <c r="AE20" s="470"/>
      <c r="AF20" s="470"/>
      <c r="AG20" s="470"/>
      <c r="AH20" s="470"/>
      <c r="AI20" s="470"/>
      <c r="AJ20" s="470"/>
      <c r="AK20" s="470"/>
      <c r="AL20" s="461"/>
      <c r="AM20" s="461"/>
      <c r="AN20" s="461"/>
      <c r="AO20" s="461"/>
      <c r="AP20" s="461"/>
      <c r="AQ20" s="461"/>
      <c r="AR20" s="461"/>
      <c r="AS20" s="461"/>
      <c r="AT20" s="412"/>
      <c r="AU20" s="412"/>
      <c r="AV20" s="412"/>
      <c r="AW20" s="412"/>
      <c r="AX20" s="412"/>
      <c r="AY20" s="412"/>
      <c r="AZ20" s="412"/>
      <c r="BA20" s="412"/>
      <c r="BB20" s="412"/>
      <c r="BC20" s="412"/>
      <c r="BD20" s="412"/>
      <c r="BE20" s="412"/>
      <c r="BF20" s="982"/>
      <c r="BG20" s="982"/>
      <c r="BH20" s="982"/>
      <c r="BI20" s="982"/>
      <c r="BJ20" s="982"/>
      <c r="BK20" s="982"/>
      <c r="BL20" s="982"/>
      <c r="BM20" s="982"/>
      <c r="BN20" s="461"/>
      <c r="BO20" s="461"/>
      <c r="BP20" s="461"/>
      <c r="BQ20" s="461"/>
      <c r="BR20" s="461"/>
      <c r="BS20" s="461"/>
      <c r="BT20" s="461"/>
      <c r="BU20" s="461"/>
      <c r="BV20" s="412"/>
      <c r="BW20" s="412"/>
      <c r="BX20" s="412"/>
      <c r="BY20" s="412"/>
      <c r="BZ20" s="412"/>
      <c r="CA20" s="412"/>
      <c r="CB20" s="412"/>
      <c r="CC20" s="412"/>
      <c r="CD20" s="412"/>
      <c r="CE20" s="412"/>
      <c r="CF20" s="412"/>
      <c r="CG20" s="412"/>
      <c r="CH20" s="412"/>
      <c r="CI20" s="412"/>
      <c r="CJ20" s="412"/>
      <c r="CK20" s="412"/>
      <c r="CL20" s="412"/>
      <c r="CM20" s="412"/>
      <c r="CN20" s="412"/>
      <c r="CO20" s="412"/>
      <c r="CP20" s="412"/>
      <c r="CQ20" s="412"/>
      <c r="CR20" s="412"/>
      <c r="CS20" s="412"/>
      <c r="CT20" s="412"/>
      <c r="CU20" s="412"/>
      <c r="CV20" s="412"/>
      <c r="CW20" s="412"/>
      <c r="CX20" s="412"/>
      <c r="CY20" s="412"/>
      <c r="CZ20" s="412"/>
      <c r="DA20" s="412"/>
      <c r="DB20" s="412"/>
      <c r="DC20" s="412"/>
      <c r="DD20" s="412"/>
      <c r="DE20" s="412"/>
      <c r="DF20" s="412"/>
      <c r="DG20" s="412"/>
      <c r="DH20" s="412"/>
      <c r="DI20" s="412"/>
      <c r="DJ20" s="412"/>
      <c r="DK20" s="412"/>
      <c r="DL20" s="412"/>
      <c r="DM20" s="412"/>
      <c r="DN20" s="412"/>
      <c r="DO20" s="412"/>
      <c r="DP20" s="412"/>
      <c r="DQ20" s="412"/>
      <c r="DR20" s="443"/>
      <c r="DS20" s="443"/>
      <c r="DT20" s="443"/>
      <c r="DU20" s="443"/>
      <c r="DZ20" s="412"/>
      <c r="EA20" s="412"/>
      <c r="EB20" s="412"/>
      <c r="EC20" s="412"/>
      <c r="ED20" s="412"/>
      <c r="EE20" s="412"/>
      <c r="EF20" s="412"/>
      <c r="EG20" s="412"/>
      <c r="EH20" s="412"/>
      <c r="EI20" s="412"/>
      <c r="EJ20" s="412"/>
      <c r="EK20" s="412"/>
      <c r="EL20" s="473"/>
      <c r="EM20" s="473"/>
      <c r="EN20" s="473"/>
      <c r="EO20" s="473"/>
      <c r="EP20" s="473"/>
      <c r="EQ20" s="473"/>
      <c r="ER20" s="473"/>
      <c r="ES20" s="473"/>
      <c r="ET20" s="412"/>
      <c r="EU20" s="412"/>
      <c r="EV20" s="412"/>
      <c r="EW20" s="412"/>
      <c r="EX20" s="412"/>
      <c r="EY20" s="412"/>
      <c r="EZ20" s="412"/>
      <c r="FA20" s="412"/>
      <c r="FB20" s="412"/>
      <c r="FC20" s="412"/>
      <c r="FD20" s="412"/>
      <c r="FE20" s="412"/>
      <c r="FF20" s="446"/>
      <c r="FG20" s="446"/>
      <c r="FH20" s="446"/>
      <c r="FI20" s="446"/>
      <c r="FJ20" s="473"/>
      <c r="FK20" s="473"/>
      <c r="FL20" s="473"/>
      <c r="FM20" s="473"/>
      <c r="FN20" s="473"/>
      <c r="FO20" s="473"/>
      <c r="FP20" s="473"/>
      <c r="FQ20" s="473"/>
      <c r="FR20" s="412"/>
      <c r="FS20" s="412"/>
      <c r="FT20" s="412"/>
      <c r="FU20" s="412"/>
      <c r="FV20" s="413"/>
      <c r="FW20" s="412"/>
      <c r="FX20" s="412"/>
      <c r="FY20" s="412"/>
      <c r="FZ20" s="413"/>
      <c r="GA20" s="412"/>
      <c r="GB20" s="412"/>
      <c r="GC20" s="412"/>
      <c r="GD20" s="446"/>
      <c r="GE20" s="446"/>
      <c r="GF20" s="446"/>
      <c r="GG20" s="446"/>
      <c r="GH20" s="473"/>
      <c r="GI20" s="473"/>
      <c r="GJ20" s="473"/>
      <c r="GK20" s="473"/>
      <c r="GL20" s="473"/>
      <c r="GM20" s="473"/>
      <c r="GN20" s="473"/>
      <c r="GO20" s="473"/>
      <c r="GX20" s="446"/>
      <c r="GY20" s="446"/>
      <c r="GZ20" s="446"/>
      <c r="HA20" s="446"/>
      <c r="HB20" s="473"/>
      <c r="HC20" s="473"/>
      <c r="HD20" s="473"/>
      <c r="HE20" s="473"/>
      <c r="HF20" s="473"/>
      <c r="HG20" s="473"/>
      <c r="HH20" s="473"/>
      <c r="HI20" s="473"/>
      <c r="HV20" s="473"/>
      <c r="HW20" s="473"/>
      <c r="HX20" s="473"/>
      <c r="HY20" s="473"/>
      <c r="HZ20" s="473"/>
      <c r="IA20" s="473"/>
      <c r="IB20" s="473"/>
      <c r="IC20" s="473"/>
      <c r="IP20" s="446"/>
      <c r="IQ20" s="446"/>
      <c r="IR20" s="446"/>
      <c r="IS20" s="446"/>
      <c r="IT20" s="473"/>
      <c r="IU20" s="473"/>
      <c r="IV20" s="473"/>
      <c r="IW20" s="473"/>
      <c r="IX20" s="473"/>
      <c r="IY20" s="473"/>
      <c r="IZ20" s="473"/>
      <c r="JA20" s="473"/>
      <c r="JN20" s="473"/>
      <c r="JO20" s="473"/>
      <c r="JP20" s="473"/>
      <c r="JQ20" s="473"/>
      <c r="JR20" s="473"/>
      <c r="JS20" s="473"/>
      <c r="JT20" s="473"/>
      <c r="JU20" s="473"/>
      <c r="KH20" s="446"/>
      <c r="KI20" s="446"/>
      <c r="KJ20" s="446"/>
      <c r="KK20" s="446"/>
      <c r="KL20" s="473"/>
      <c r="KM20" s="473"/>
      <c r="KN20" s="473"/>
      <c r="KO20" s="473"/>
      <c r="KP20" s="473"/>
      <c r="KQ20" s="473"/>
      <c r="KR20" s="473"/>
      <c r="KS20" s="473"/>
      <c r="KW20" s="414"/>
      <c r="LF20" s="446"/>
      <c r="LG20" s="446"/>
      <c r="LH20" s="446"/>
      <c r="LI20" s="446"/>
      <c r="LJ20" s="473"/>
      <c r="LK20" s="473"/>
      <c r="LL20" s="473"/>
      <c r="LM20" s="473"/>
      <c r="LN20" s="473"/>
      <c r="LO20" s="473"/>
      <c r="LP20" s="473"/>
      <c r="LQ20" s="473"/>
      <c r="MD20" s="446"/>
      <c r="ME20" s="446"/>
      <c r="MF20" s="448"/>
      <c r="MG20" s="446"/>
      <c r="MH20" s="473"/>
      <c r="MI20" s="473"/>
      <c r="MJ20" s="473"/>
      <c r="MK20" s="473"/>
      <c r="ML20" s="473"/>
      <c r="MM20" s="473"/>
      <c r="MN20" s="473"/>
      <c r="MO20" s="473"/>
      <c r="NB20" s="446"/>
      <c r="NC20" s="446"/>
      <c r="ND20" s="446"/>
      <c r="NE20" s="446"/>
      <c r="NF20" s="473"/>
      <c r="NG20" s="473"/>
      <c r="NH20" s="473"/>
      <c r="NI20" s="473"/>
      <c r="NJ20" s="473"/>
      <c r="NK20" s="473"/>
      <c r="NL20" s="473"/>
      <c r="NM20" s="473"/>
      <c r="NZ20" s="446"/>
      <c r="OA20" s="446"/>
      <c r="OB20" s="446"/>
      <c r="OC20" s="446"/>
      <c r="OD20" s="473"/>
      <c r="OE20" s="473"/>
      <c r="OF20" s="473"/>
      <c r="OG20" s="473"/>
      <c r="OH20" s="473"/>
      <c r="OI20" s="473"/>
      <c r="OJ20" s="473"/>
      <c r="OK20" s="473"/>
      <c r="OX20" s="446"/>
      <c r="OY20" s="446"/>
      <c r="OZ20" s="446"/>
      <c r="PA20" s="446"/>
      <c r="PB20" s="473"/>
      <c r="PC20" s="473"/>
      <c r="PD20" s="473"/>
      <c r="PE20" s="473"/>
      <c r="PF20" s="473"/>
      <c r="PG20" s="473"/>
      <c r="PH20" s="473"/>
      <c r="PI20" s="473"/>
      <c r="PV20" s="473"/>
      <c r="PW20" s="473"/>
      <c r="PX20" s="473"/>
      <c r="PY20" s="473"/>
      <c r="PZ20" s="473"/>
      <c r="QA20" s="473"/>
      <c r="QB20" s="473"/>
      <c r="QC20" s="473"/>
      <c r="QP20" s="446"/>
      <c r="QQ20" s="446"/>
      <c r="QR20" s="446"/>
      <c r="QS20" s="446"/>
      <c r="QT20" s="473"/>
      <c r="QU20" s="473"/>
      <c r="QV20" s="473"/>
      <c r="QW20" s="473"/>
      <c r="QX20" s="473"/>
      <c r="QY20" s="473"/>
      <c r="QZ20" s="473"/>
      <c r="RA20" s="473"/>
      <c r="RN20" s="446"/>
      <c r="RO20" s="446"/>
      <c r="RP20" s="446"/>
      <c r="RQ20" s="446"/>
      <c r="RR20" s="473"/>
      <c r="RS20" s="473"/>
      <c r="RT20" s="473"/>
      <c r="RU20" s="473"/>
      <c r="RV20" s="473"/>
      <c r="RW20" s="473"/>
      <c r="RX20" s="473"/>
      <c r="RY20" s="473"/>
      <c r="SL20" s="449"/>
      <c r="SM20" s="449"/>
      <c r="SN20" s="449"/>
      <c r="SO20" s="449"/>
      <c r="SP20" s="473"/>
      <c r="SQ20" s="473"/>
      <c r="SR20" s="473"/>
      <c r="SS20" s="473"/>
      <c r="ST20" s="473"/>
      <c r="SU20" s="473"/>
      <c r="SV20" s="473"/>
      <c r="SW20" s="473"/>
      <c r="TJ20" s="449"/>
      <c r="TK20" s="449"/>
      <c r="TL20" s="449"/>
      <c r="TM20" s="449"/>
      <c r="TN20" s="473"/>
      <c r="TO20" s="473"/>
      <c r="TP20" s="473"/>
      <c r="TQ20" s="473"/>
      <c r="TR20" s="473"/>
      <c r="TS20" s="473"/>
      <c r="TT20" s="473"/>
      <c r="TU20" s="473"/>
      <c r="UH20" s="449"/>
      <c r="UI20" s="449"/>
      <c r="UJ20" s="449"/>
      <c r="UK20" s="449"/>
      <c r="UL20" s="473"/>
      <c r="UM20" s="473"/>
      <c r="UN20" s="473"/>
      <c r="UO20" s="473"/>
      <c r="UP20" s="473"/>
      <c r="UQ20" s="473"/>
      <c r="UR20" s="473"/>
      <c r="US20" s="473"/>
      <c r="XN20" s="415"/>
      <c r="XO20" s="415"/>
      <c r="XP20" s="415"/>
      <c r="XQ20" s="415"/>
      <c r="XR20" s="415"/>
      <c r="XS20" s="415"/>
      <c r="XT20" s="415"/>
      <c r="XU20" s="415"/>
      <c r="XV20" s="415"/>
      <c r="XW20" s="415"/>
      <c r="XX20" s="415"/>
      <c r="XY20" s="415"/>
      <c r="ZU20" s="458"/>
      <c r="ZV20" s="458"/>
      <c r="ZW20" s="458"/>
      <c r="ZX20" s="458"/>
      <c r="ZY20" s="458"/>
      <c r="ZZ20" s="458"/>
      <c r="AAA20" s="458"/>
      <c r="AAB20" s="458"/>
      <c r="AAC20" s="458"/>
      <c r="AAD20" s="458"/>
      <c r="AAE20" s="458"/>
      <c r="AAF20" s="458"/>
      <c r="AAG20" s="458"/>
      <c r="AAH20" s="408"/>
    </row>
    <row r="21" spans="1:16384" x14ac:dyDescent="0.2">
      <c r="A21" s="465" t="s">
        <v>247</v>
      </c>
      <c r="B21" s="419"/>
      <c r="C21" s="419"/>
      <c r="D21" s="419"/>
      <c r="E21" s="420"/>
      <c r="F21" s="421"/>
      <c r="G21" s="421"/>
      <c r="H21" s="421"/>
      <c r="I21" s="68"/>
      <c r="J21" s="68"/>
      <c r="K21" s="68"/>
      <c r="L21" s="68"/>
      <c r="M21" s="68"/>
      <c r="N21" s="68"/>
      <c r="O21" s="68"/>
      <c r="P21" s="68"/>
      <c r="Q21" s="68"/>
      <c r="R21" s="474"/>
      <c r="S21" s="474"/>
      <c r="T21" s="474"/>
      <c r="U21" s="474"/>
      <c r="V21" s="474"/>
      <c r="W21" s="474"/>
      <c r="X21" s="474"/>
      <c r="Y21" s="474"/>
      <c r="Z21" s="474"/>
      <c r="AA21" s="474"/>
      <c r="AB21" s="474"/>
      <c r="AC21" s="474"/>
      <c r="AD21" s="431"/>
      <c r="AE21" s="431"/>
      <c r="AF21" s="431"/>
      <c r="AG21" s="432"/>
      <c r="AH21" s="433"/>
      <c r="AI21" s="433"/>
      <c r="AJ21" s="433"/>
      <c r="AK21" s="68"/>
      <c r="AL21" s="68"/>
      <c r="AM21" s="68"/>
      <c r="AN21" s="68"/>
      <c r="AO21" s="68"/>
      <c r="AP21" s="68"/>
      <c r="AQ21" s="68"/>
      <c r="AR21" s="68"/>
      <c r="AS21" s="68"/>
      <c r="AT21" s="412"/>
      <c r="AU21" s="412"/>
      <c r="AV21" s="412"/>
      <c r="AW21" s="412"/>
      <c r="AX21" s="412"/>
      <c r="AY21" s="412"/>
      <c r="AZ21" s="412"/>
      <c r="BA21" s="412"/>
      <c r="BB21" s="412"/>
      <c r="BC21" s="412"/>
      <c r="BD21" s="412"/>
      <c r="BE21" s="412"/>
      <c r="BF21" s="439"/>
      <c r="BG21" s="439"/>
      <c r="BH21" s="439"/>
      <c r="BI21" s="439"/>
      <c r="BJ21" s="433"/>
      <c r="BK21" s="433"/>
      <c r="BL21" s="433"/>
      <c r="BM21" s="68"/>
      <c r="BN21" s="68"/>
      <c r="BO21" s="68"/>
      <c r="BP21" s="68"/>
      <c r="BQ21" s="68"/>
      <c r="BR21" s="68"/>
      <c r="BS21" s="68"/>
      <c r="BT21" s="68"/>
      <c r="BU21" s="68"/>
      <c r="BV21" s="412"/>
      <c r="BW21" s="412"/>
      <c r="BX21" s="412"/>
      <c r="BY21" s="412"/>
      <c r="BZ21" s="412"/>
      <c r="CA21" s="412"/>
      <c r="CB21" s="412"/>
      <c r="CC21" s="412"/>
      <c r="CD21" s="412"/>
      <c r="CE21" s="412"/>
      <c r="CF21" s="412"/>
      <c r="CG21" s="412"/>
      <c r="CH21" s="68"/>
      <c r="CI21" s="68"/>
      <c r="CJ21" s="68"/>
      <c r="CK21" s="68"/>
      <c r="CL21" s="433"/>
      <c r="CM21" s="433"/>
      <c r="CN21" s="433"/>
      <c r="CO21" s="68"/>
      <c r="CP21" s="68"/>
      <c r="CQ21" s="68"/>
      <c r="CR21" s="68"/>
      <c r="CS21" s="68"/>
      <c r="CT21" s="68"/>
      <c r="CU21" s="68"/>
      <c r="CV21" s="68"/>
      <c r="CW21" s="68"/>
      <c r="CX21" s="412"/>
      <c r="CY21" s="412"/>
      <c r="CZ21" s="412"/>
      <c r="DA21" s="412"/>
      <c r="DB21" s="412"/>
      <c r="DC21" s="412"/>
      <c r="DD21" s="412"/>
      <c r="DE21" s="412"/>
      <c r="DF21" s="412"/>
      <c r="DG21" s="412"/>
      <c r="DH21" s="412"/>
      <c r="DI21" s="412"/>
      <c r="DJ21" s="68"/>
      <c r="DK21" s="68"/>
      <c r="DL21" s="68"/>
      <c r="DM21" s="68"/>
      <c r="DN21" s="68"/>
      <c r="DO21" s="68"/>
      <c r="DP21" s="68"/>
      <c r="DQ21" s="68"/>
      <c r="DR21" s="68"/>
      <c r="DS21" s="68"/>
      <c r="DT21" s="68"/>
      <c r="DU21" s="68"/>
      <c r="DV21" s="475"/>
      <c r="DW21" s="475"/>
      <c r="DX21" s="475"/>
      <c r="DY21" s="476"/>
      <c r="DZ21" s="412"/>
      <c r="EA21" s="412"/>
      <c r="EB21" s="412"/>
      <c r="EC21" s="412"/>
      <c r="ED21" s="412"/>
      <c r="EE21" s="412"/>
      <c r="EF21" s="412"/>
      <c r="EG21" s="412"/>
      <c r="EH21" s="412"/>
      <c r="EI21" s="412"/>
      <c r="EJ21" s="412"/>
      <c r="EK21" s="412"/>
      <c r="EL21" s="473"/>
      <c r="EM21" s="473"/>
      <c r="EN21" s="473"/>
      <c r="EO21" s="473"/>
      <c r="EP21" s="473"/>
      <c r="EQ21" s="473"/>
      <c r="ER21" s="473"/>
      <c r="ES21" s="473"/>
      <c r="ET21" s="412"/>
      <c r="EU21" s="412"/>
      <c r="EV21" s="412"/>
      <c r="EW21" s="412"/>
      <c r="EX21" s="412"/>
      <c r="EY21" s="412"/>
      <c r="EZ21" s="412"/>
      <c r="FA21" s="412"/>
      <c r="FB21" s="412"/>
      <c r="FC21" s="412"/>
      <c r="FD21" s="412"/>
      <c r="FE21" s="412"/>
      <c r="FF21" s="446"/>
      <c r="FG21" s="446"/>
      <c r="FH21" s="446"/>
      <c r="FI21" s="446"/>
      <c r="FJ21" s="473"/>
      <c r="FK21" s="473"/>
      <c r="FL21" s="473"/>
      <c r="FM21" s="473"/>
      <c r="FN21" s="473"/>
      <c r="FO21" s="473"/>
      <c r="FP21" s="473"/>
      <c r="FQ21" s="473"/>
      <c r="FR21" s="412"/>
      <c r="FS21" s="412"/>
      <c r="FT21" s="412"/>
      <c r="FU21" s="412"/>
      <c r="FV21" s="413"/>
      <c r="FW21" s="412"/>
      <c r="FX21" s="412"/>
      <c r="FY21" s="412"/>
      <c r="FZ21" s="413"/>
      <c r="GA21" s="412"/>
      <c r="GB21" s="412"/>
      <c r="GC21" s="412"/>
      <c r="GD21" s="446"/>
      <c r="GE21" s="446"/>
      <c r="GF21" s="446"/>
      <c r="GG21" s="446"/>
      <c r="GH21" s="473"/>
      <c r="GI21" s="473"/>
      <c r="GJ21" s="473"/>
      <c r="GK21" s="473"/>
      <c r="GL21" s="473"/>
      <c r="GM21" s="473"/>
      <c r="GN21" s="473"/>
      <c r="GO21" s="473"/>
      <c r="GX21" s="446"/>
      <c r="GY21" s="446"/>
      <c r="GZ21" s="446"/>
      <c r="HA21" s="446"/>
      <c r="HB21" s="473"/>
      <c r="HC21" s="473"/>
      <c r="HD21" s="473"/>
      <c r="HE21" s="473"/>
      <c r="HF21" s="473"/>
      <c r="HG21" s="473"/>
      <c r="HH21" s="473"/>
      <c r="HI21" s="473"/>
      <c r="HV21" s="473"/>
      <c r="HW21" s="473"/>
      <c r="HX21" s="473"/>
      <c r="HY21" s="473"/>
      <c r="HZ21" s="473"/>
      <c r="IA21" s="473"/>
      <c r="IB21" s="473"/>
      <c r="IC21" s="473"/>
      <c r="IP21" s="446"/>
      <c r="IQ21" s="446"/>
      <c r="IR21" s="446"/>
      <c r="IS21" s="446"/>
      <c r="IT21" s="473"/>
      <c r="IU21" s="473"/>
      <c r="IV21" s="473"/>
      <c r="IW21" s="473"/>
      <c r="IX21" s="473"/>
      <c r="IY21" s="473"/>
      <c r="IZ21" s="473"/>
      <c r="JA21" s="473"/>
      <c r="JN21" s="473"/>
      <c r="JO21" s="473"/>
      <c r="JP21" s="473"/>
      <c r="JQ21" s="473"/>
      <c r="JR21" s="473"/>
      <c r="JS21" s="473"/>
      <c r="JT21" s="473"/>
      <c r="JU21" s="473"/>
      <c r="KH21" s="446"/>
      <c r="KI21" s="446"/>
      <c r="KJ21" s="446"/>
      <c r="KK21" s="446"/>
      <c r="KL21" s="473"/>
      <c r="KM21" s="473"/>
      <c r="KN21" s="473"/>
      <c r="KO21" s="473"/>
      <c r="KP21" s="473"/>
      <c r="KQ21" s="473"/>
      <c r="KR21" s="473"/>
      <c r="KS21" s="473"/>
      <c r="KW21" s="414"/>
      <c r="LF21" s="448"/>
      <c r="LG21" s="448"/>
      <c r="LH21" s="448"/>
      <c r="LI21" s="446"/>
      <c r="LJ21" s="473"/>
      <c r="LK21" s="473"/>
      <c r="LL21" s="473"/>
      <c r="LM21" s="473"/>
      <c r="LN21" s="473"/>
      <c r="LO21" s="473"/>
      <c r="LP21" s="473"/>
      <c r="LQ21" s="473"/>
      <c r="MD21" s="446"/>
      <c r="ME21" s="446"/>
      <c r="MF21" s="448"/>
      <c r="MG21" s="446"/>
      <c r="MH21" s="473"/>
      <c r="MI21" s="473"/>
      <c r="MJ21" s="473"/>
      <c r="MK21" s="473"/>
      <c r="ML21" s="473"/>
      <c r="MM21" s="473"/>
      <c r="MN21" s="473"/>
      <c r="MO21" s="473"/>
      <c r="NB21" s="446"/>
      <c r="NC21" s="446"/>
      <c r="ND21" s="446"/>
      <c r="NE21" s="446"/>
      <c r="NF21" s="473"/>
      <c r="NG21" s="473"/>
      <c r="NH21" s="473"/>
      <c r="NI21" s="473"/>
      <c r="NJ21" s="473"/>
      <c r="NK21" s="473"/>
      <c r="NL21" s="473"/>
      <c r="NM21" s="473"/>
      <c r="NZ21" s="446"/>
      <c r="OA21" s="446"/>
      <c r="OB21" s="446"/>
      <c r="OC21" s="446"/>
      <c r="OD21" s="473"/>
      <c r="OE21" s="473"/>
      <c r="OF21" s="473"/>
      <c r="OG21" s="473"/>
      <c r="OH21" s="473"/>
      <c r="OI21" s="473"/>
      <c r="OJ21" s="473"/>
      <c r="OK21" s="473"/>
      <c r="OX21" s="446"/>
      <c r="OY21" s="446"/>
      <c r="OZ21" s="446"/>
      <c r="PA21" s="446"/>
      <c r="PB21" s="473"/>
      <c r="PC21" s="473"/>
      <c r="PD21" s="473"/>
      <c r="PE21" s="473"/>
      <c r="PF21" s="473"/>
      <c r="PG21" s="473"/>
      <c r="PH21" s="473"/>
      <c r="PI21" s="473"/>
      <c r="PV21" s="473"/>
      <c r="PW21" s="473"/>
      <c r="PX21" s="473"/>
      <c r="PY21" s="473"/>
      <c r="PZ21" s="473"/>
      <c r="QA21" s="473"/>
      <c r="QB21" s="473"/>
      <c r="QC21" s="473"/>
      <c r="QP21" s="446"/>
      <c r="QQ21" s="446"/>
      <c r="QR21" s="446"/>
      <c r="QS21" s="446"/>
      <c r="QT21" s="473"/>
      <c r="QU21" s="473"/>
      <c r="QV21" s="473"/>
      <c r="QW21" s="473"/>
      <c r="QX21" s="473"/>
      <c r="QY21" s="473"/>
      <c r="QZ21" s="473"/>
      <c r="RA21" s="473"/>
      <c r="RN21" s="446"/>
      <c r="RO21" s="446"/>
      <c r="RP21" s="446"/>
      <c r="RQ21" s="446"/>
      <c r="RR21" s="473"/>
      <c r="RS21" s="473"/>
      <c r="RT21" s="473"/>
      <c r="RU21" s="473"/>
      <c r="RV21" s="473"/>
      <c r="RW21" s="473"/>
      <c r="RX21" s="473"/>
      <c r="RY21" s="473"/>
      <c r="SL21" s="449"/>
      <c r="SM21" s="449"/>
      <c r="SN21" s="449"/>
      <c r="SO21" s="449"/>
      <c r="SP21" s="473"/>
      <c r="SQ21" s="473"/>
      <c r="SR21" s="473"/>
      <c r="SS21" s="473"/>
      <c r="ST21" s="473"/>
      <c r="SU21" s="473"/>
      <c r="SV21" s="473"/>
      <c r="SW21" s="473"/>
      <c r="TJ21" s="449"/>
      <c r="TK21" s="449"/>
      <c r="TL21" s="449"/>
      <c r="TM21" s="449"/>
      <c r="TN21" s="473"/>
      <c r="TO21" s="473"/>
      <c r="TP21" s="473"/>
      <c r="TQ21" s="473"/>
      <c r="TR21" s="473"/>
      <c r="TS21" s="473"/>
      <c r="TT21" s="473"/>
      <c r="TU21" s="473"/>
      <c r="UH21" s="449"/>
      <c r="UI21" s="449"/>
      <c r="UJ21" s="449"/>
      <c r="UK21" s="449"/>
      <c r="UL21" s="473"/>
      <c r="UM21" s="473"/>
      <c r="UN21" s="473"/>
      <c r="UO21" s="473"/>
      <c r="UP21" s="473"/>
      <c r="UQ21" s="473"/>
      <c r="UR21" s="473"/>
      <c r="US21" s="473"/>
      <c r="XN21" s="415"/>
      <c r="XO21" s="415"/>
      <c r="XP21" s="415"/>
      <c r="XQ21" s="415"/>
      <c r="XR21" s="415"/>
      <c r="XS21" s="415"/>
      <c r="XT21" s="415"/>
      <c r="XU21" s="415"/>
      <c r="XV21" s="415"/>
      <c r="XW21" s="415"/>
      <c r="XX21" s="415"/>
      <c r="XY21" s="415"/>
      <c r="ZU21" s="458"/>
      <c r="ZV21" s="458"/>
      <c r="ZW21" s="458"/>
      <c r="ZX21" s="458"/>
      <c r="ZY21" s="458"/>
      <c r="ZZ21" s="458"/>
      <c r="AAA21" s="458"/>
      <c r="AAB21" s="458"/>
      <c r="AAC21" s="458"/>
      <c r="AAD21" s="458"/>
      <c r="AAE21" s="458"/>
      <c r="AAF21" s="458"/>
      <c r="AAG21" s="458"/>
      <c r="AAH21" s="410"/>
      <c r="AAI21" s="410"/>
      <c r="AAJ21" s="410"/>
      <c r="AAK21" s="410"/>
    </row>
    <row r="22" spans="1:16384" x14ac:dyDescent="0.2">
      <c r="B22" s="419"/>
      <c r="C22" s="419"/>
      <c r="D22" s="419"/>
      <c r="E22" s="420"/>
      <c r="F22" s="421"/>
      <c r="G22" s="421"/>
      <c r="H22" s="421"/>
      <c r="I22" s="68"/>
      <c r="J22" s="68"/>
      <c r="K22" s="68"/>
      <c r="L22" s="68"/>
      <c r="M22" s="68"/>
      <c r="N22" s="68"/>
      <c r="O22" s="68"/>
      <c r="P22" s="68"/>
      <c r="Q22" s="68"/>
      <c r="AD22" s="431"/>
      <c r="AE22" s="431"/>
      <c r="AF22" s="431"/>
      <c r="AG22" s="432"/>
      <c r="AH22" s="433"/>
      <c r="AI22" s="433"/>
      <c r="AJ22" s="433"/>
      <c r="AK22" s="68"/>
      <c r="AL22" s="68"/>
      <c r="AM22" s="68"/>
      <c r="AN22" s="68"/>
      <c r="AO22" s="68"/>
      <c r="AP22" s="68"/>
      <c r="AQ22" s="68"/>
      <c r="AR22" s="68"/>
      <c r="AS22" s="68"/>
      <c r="BF22" s="439"/>
      <c r="BG22" s="439"/>
      <c r="BH22" s="439"/>
      <c r="BI22" s="439"/>
      <c r="BJ22" s="433"/>
      <c r="BK22" s="433"/>
      <c r="BL22" s="433"/>
      <c r="BM22" s="68"/>
      <c r="BN22" s="68"/>
      <c r="BO22" s="68"/>
      <c r="BP22" s="68"/>
      <c r="BQ22" s="68"/>
      <c r="BR22" s="68"/>
      <c r="BS22" s="68"/>
      <c r="BT22" s="68"/>
      <c r="BU22" s="68"/>
      <c r="CH22" s="68"/>
      <c r="CI22" s="68"/>
      <c r="CJ22" s="68"/>
      <c r="CK22" s="68"/>
      <c r="CL22" s="433"/>
      <c r="CM22" s="433"/>
      <c r="CN22" s="433"/>
      <c r="CO22" s="68"/>
      <c r="CP22" s="68"/>
      <c r="CQ22" s="68"/>
      <c r="CR22" s="68"/>
      <c r="CS22" s="68"/>
      <c r="CT22" s="68"/>
      <c r="CU22" s="68"/>
      <c r="CV22" s="68"/>
      <c r="CW22" s="68"/>
      <c r="CX22" s="414"/>
      <c r="DJ22" s="68"/>
      <c r="DK22" s="68"/>
      <c r="DL22" s="68"/>
      <c r="DM22" s="68"/>
      <c r="DN22" s="68"/>
      <c r="DO22" s="68"/>
      <c r="DP22" s="68"/>
      <c r="DQ22" s="68"/>
      <c r="DR22" s="68"/>
      <c r="DS22" s="68"/>
      <c r="DT22" s="68"/>
      <c r="DU22" s="68"/>
      <c r="DV22" s="475"/>
      <c r="DW22" s="475"/>
      <c r="DX22" s="475"/>
      <c r="DY22" s="476"/>
      <c r="DZ22" s="415"/>
      <c r="EA22" s="415"/>
      <c r="EB22" s="415"/>
      <c r="EC22" s="415"/>
      <c r="ED22" s="415"/>
      <c r="EE22" s="415"/>
      <c r="EF22" s="415"/>
      <c r="EG22" s="415"/>
      <c r="EH22" s="415"/>
      <c r="EI22" s="415"/>
      <c r="EJ22" s="415"/>
      <c r="EK22" s="415"/>
      <c r="EL22" s="471"/>
      <c r="EM22" s="471"/>
      <c r="EN22" s="471"/>
      <c r="EO22" s="471"/>
      <c r="EP22" s="471"/>
      <c r="EQ22" s="471"/>
      <c r="ER22" s="471"/>
      <c r="ES22" s="471"/>
      <c r="FF22" s="446"/>
      <c r="FG22" s="446"/>
      <c r="FH22" s="446"/>
      <c r="FI22" s="446"/>
      <c r="FJ22" s="471"/>
      <c r="FK22" s="471"/>
      <c r="FL22" s="471"/>
      <c r="FM22" s="471"/>
      <c r="FN22" s="471"/>
      <c r="FO22" s="471"/>
      <c r="FP22" s="471"/>
      <c r="FQ22" s="471"/>
      <c r="GD22" s="446"/>
      <c r="GE22" s="446"/>
      <c r="GF22" s="446"/>
      <c r="GG22" s="446"/>
      <c r="GH22" s="471"/>
      <c r="GI22" s="471"/>
      <c r="GJ22" s="471"/>
      <c r="GK22" s="471"/>
      <c r="GL22" s="471"/>
      <c r="GM22" s="471"/>
      <c r="GN22" s="471"/>
      <c r="GO22" s="471"/>
      <c r="GX22" s="446"/>
      <c r="GY22" s="446"/>
      <c r="GZ22" s="446"/>
      <c r="HA22" s="446"/>
      <c r="HB22" s="471"/>
      <c r="HC22" s="471"/>
      <c r="HD22" s="471"/>
      <c r="HE22" s="471"/>
      <c r="HF22" s="471"/>
      <c r="HG22" s="471"/>
      <c r="HH22" s="471"/>
      <c r="HI22" s="471"/>
      <c r="HV22" s="471"/>
      <c r="HW22" s="471"/>
      <c r="HX22" s="471"/>
      <c r="HY22" s="471"/>
      <c r="HZ22" s="471"/>
      <c r="IA22" s="471"/>
      <c r="IB22" s="471"/>
      <c r="IC22" s="471"/>
      <c r="IP22" s="446"/>
      <c r="IQ22" s="446"/>
      <c r="IR22" s="446"/>
      <c r="IS22" s="446"/>
      <c r="IT22" s="471"/>
      <c r="IU22" s="471"/>
      <c r="IV22" s="471"/>
      <c r="IW22" s="471"/>
      <c r="IX22" s="471"/>
      <c r="IY22" s="471"/>
      <c r="IZ22" s="471"/>
      <c r="JA22" s="471"/>
      <c r="JN22" s="471"/>
      <c r="JO22" s="471"/>
      <c r="JP22" s="471"/>
      <c r="JQ22" s="471"/>
      <c r="JR22" s="471"/>
      <c r="JS22" s="471"/>
      <c r="JT22" s="471"/>
      <c r="JU22" s="471"/>
      <c r="KH22" s="446"/>
      <c r="KI22" s="446"/>
      <c r="KJ22" s="446"/>
      <c r="KK22" s="446"/>
      <c r="KL22" s="471"/>
      <c r="KM22" s="471"/>
      <c r="KN22" s="471"/>
      <c r="KO22" s="471"/>
      <c r="KP22" s="471"/>
      <c r="KQ22" s="471"/>
      <c r="KR22" s="471"/>
      <c r="KS22" s="471"/>
      <c r="LF22" s="446"/>
      <c r="LG22" s="446"/>
      <c r="LH22" s="446"/>
      <c r="LI22" s="446"/>
      <c r="LJ22" s="471"/>
      <c r="LK22" s="471"/>
      <c r="LL22" s="471"/>
      <c r="LM22" s="471"/>
      <c r="LN22" s="471"/>
      <c r="LO22" s="471"/>
      <c r="LP22" s="471"/>
      <c r="LQ22" s="471"/>
      <c r="MD22" s="446"/>
      <c r="ME22" s="446"/>
      <c r="MF22" s="448"/>
      <c r="MG22" s="446"/>
      <c r="MH22" s="471"/>
      <c r="MI22" s="471"/>
      <c r="MJ22" s="471"/>
      <c r="MK22" s="471"/>
      <c r="ML22" s="471"/>
      <c r="MM22" s="471"/>
      <c r="MN22" s="471"/>
      <c r="MO22" s="471"/>
      <c r="NB22" s="446"/>
      <c r="NC22" s="446"/>
      <c r="ND22" s="446"/>
      <c r="NE22" s="446"/>
      <c r="NF22" s="471"/>
      <c r="NG22" s="471"/>
      <c r="NH22" s="471"/>
      <c r="NI22" s="471"/>
      <c r="NJ22" s="471"/>
      <c r="NK22" s="471"/>
      <c r="NL22" s="471"/>
      <c r="NM22" s="471"/>
      <c r="NZ22" s="446"/>
      <c r="OA22" s="446"/>
      <c r="OB22" s="446"/>
      <c r="OC22" s="446"/>
      <c r="OD22" s="471"/>
      <c r="OE22" s="471"/>
      <c r="OF22" s="471"/>
      <c r="OG22" s="471"/>
      <c r="OH22" s="471"/>
      <c r="OI22" s="471"/>
      <c r="OJ22" s="471"/>
      <c r="OK22" s="471"/>
      <c r="OX22" s="446"/>
      <c r="OY22" s="446"/>
      <c r="OZ22" s="446"/>
      <c r="PA22" s="446"/>
      <c r="PB22" s="471"/>
      <c r="PC22" s="471"/>
      <c r="PD22" s="471"/>
      <c r="PE22" s="471"/>
      <c r="PF22" s="471"/>
      <c r="PG22" s="471"/>
      <c r="PH22" s="471"/>
      <c r="PI22" s="471"/>
      <c r="PV22" s="471"/>
      <c r="PW22" s="471"/>
      <c r="PX22" s="471"/>
      <c r="PY22" s="471"/>
      <c r="PZ22" s="471"/>
      <c r="QA22" s="471"/>
      <c r="QB22" s="471"/>
      <c r="QC22" s="471"/>
      <c r="QP22" s="446"/>
      <c r="QQ22" s="446"/>
      <c r="QR22" s="446"/>
      <c r="QS22" s="446"/>
      <c r="QT22" s="471"/>
      <c r="QU22" s="471"/>
      <c r="QV22" s="471"/>
      <c r="QW22" s="471"/>
      <c r="QX22" s="471"/>
      <c r="QY22" s="471"/>
      <c r="QZ22" s="471"/>
      <c r="RA22" s="471"/>
      <c r="RN22" s="446"/>
      <c r="RO22" s="446"/>
      <c r="RP22" s="446"/>
      <c r="RQ22" s="446"/>
      <c r="RR22" s="471"/>
      <c r="RS22" s="471"/>
      <c r="RT22" s="471"/>
      <c r="RU22" s="471"/>
      <c r="RV22" s="471"/>
      <c r="RW22" s="471"/>
      <c r="RX22" s="471"/>
      <c r="RY22" s="471"/>
      <c r="SL22" s="450"/>
      <c r="SM22" s="450"/>
      <c r="SN22" s="450"/>
      <c r="SO22" s="449"/>
      <c r="SP22" s="471"/>
      <c r="SQ22" s="471"/>
      <c r="SR22" s="471"/>
      <c r="SS22" s="471"/>
      <c r="ST22" s="471"/>
      <c r="SU22" s="471"/>
      <c r="SV22" s="471"/>
      <c r="SW22" s="471"/>
      <c r="TJ22" s="449"/>
      <c r="TK22" s="449"/>
      <c r="TL22" s="449"/>
      <c r="TM22" s="449"/>
      <c r="TN22" s="471"/>
      <c r="TO22" s="471"/>
      <c r="TP22" s="471"/>
      <c r="TQ22" s="471"/>
      <c r="TR22" s="471"/>
      <c r="TS22" s="471"/>
      <c r="TT22" s="471"/>
      <c r="TU22" s="471"/>
      <c r="UH22" s="449"/>
      <c r="UI22" s="449"/>
      <c r="UJ22" s="449"/>
      <c r="UK22" s="449"/>
      <c r="UL22" s="471"/>
      <c r="UM22" s="471"/>
      <c r="UN22" s="471"/>
      <c r="UO22" s="471"/>
      <c r="UP22" s="471"/>
      <c r="UQ22" s="471"/>
      <c r="UR22" s="471"/>
      <c r="US22" s="471"/>
      <c r="XN22" s="415"/>
      <c r="XO22" s="415"/>
      <c r="XP22" s="415"/>
      <c r="XQ22" s="415"/>
      <c r="XR22" s="415"/>
      <c r="XS22" s="415"/>
      <c r="XT22" s="415"/>
      <c r="XU22" s="415"/>
      <c r="XV22" s="415"/>
      <c r="XW22" s="415"/>
      <c r="XX22" s="415"/>
      <c r="XY22" s="415"/>
      <c r="ZU22" s="458"/>
      <c r="ZV22" s="458"/>
      <c r="ZW22" s="415"/>
      <c r="ZX22" s="415"/>
      <c r="ZY22" s="415"/>
      <c r="ZZ22" s="415"/>
      <c r="AAA22" s="415"/>
      <c r="AAB22" s="415"/>
      <c r="AAC22" s="415"/>
      <c r="AAD22" s="415"/>
      <c r="AAE22" s="415"/>
      <c r="AAF22" s="415"/>
      <c r="AAG22" s="415"/>
      <c r="AAH22" s="411"/>
      <c r="AAI22" s="411"/>
      <c r="AAJ22" s="411"/>
      <c r="AAK22" s="411"/>
      <c r="AAP22" s="417"/>
      <c r="AAQ22" s="417"/>
      <c r="AAR22" s="417"/>
    </row>
    <row r="23" spans="1:16384" x14ac:dyDescent="0.2">
      <c r="B23" s="419"/>
      <c r="C23" s="419"/>
      <c r="D23" s="419"/>
      <c r="E23" s="420"/>
      <c r="F23" s="421"/>
      <c r="G23" s="421"/>
      <c r="H23" s="421"/>
      <c r="I23" s="68"/>
      <c r="J23" s="68"/>
      <c r="K23" s="68"/>
      <c r="L23" s="68"/>
      <c r="M23" s="68"/>
      <c r="N23" s="68"/>
      <c r="O23" s="68"/>
      <c r="P23" s="68"/>
      <c r="Q23" s="68"/>
      <c r="R23" s="414"/>
      <c r="S23" s="414"/>
      <c r="T23" s="414"/>
      <c r="U23" s="414"/>
      <c r="V23" s="414"/>
      <c r="W23" s="414"/>
      <c r="X23" s="414"/>
      <c r="Y23" s="414"/>
      <c r="Z23" s="414"/>
      <c r="AA23" s="414"/>
      <c r="AB23" s="414"/>
      <c r="AC23" s="414"/>
      <c r="AD23" s="431"/>
      <c r="AE23" s="431"/>
      <c r="AF23" s="431"/>
      <c r="AG23" s="432"/>
      <c r="AH23" s="433"/>
      <c r="AI23" s="433"/>
      <c r="AJ23" s="433"/>
      <c r="AK23" s="68"/>
      <c r="AL23" s="68"/>
      <c r="AM23" s="68"/>
      <c r="AN23" s="68"/>
      <c r="AO23" s="68"/>
      <c r="AP23" s="68"/>
      <c r="AQ23" s="68"/>
      <c r="AR23" s="68"/>
      <c r="AS23" s="68"/>
      <c r="AT23" s="414"/>
      <c r="AU23" s="414"/>
      <c r="AV23" s="414"/>
      <c r="AW23" s="414"/>
      <c r="AX23" s="414"/>
      <c r="AY23" s="414"/>
      <c r="AZ23" s="414"/>
      <c r="BA23" s="414"/>
      <c r="BB23" s="414"/>
      <c r="BC23" s="414"/>
      <c r="BD23" s="414"/>
      <c r="BE23" s="414"/>
      <c r="BF23" s="439"/>
      <c r="BG23" s="439"/>
      <c r="BH23" s="439"/>
      <c r="BI23" s="439"/>
      <c r="BJ23" s="433"/>
      <c r="BK23" s="433"/>
      <c r="BL23" s="433"/>
      <c r="BM23" s="68"/>
      <c r="BN23" s="68"/>
      <c r="BO23" s="68"/>
      <c r="BP23" s="68"/>
      <c r="BQ23" s="68"/>
      <c r="BR23" s="68"/>
      <c r="BS23" s="68"/>
      <c r="BT23" s="68"/>
      <c r="BU23" s="68"/>
      <c r="BV23" s="414"/>
      <c r="BW23" s="414"/>
      <c r="BX23" s="414"/>
      <c r="BY23" s="414"/>
      <c r="BZ23" s="414"/>
      <c r="CA23" s="414"/>
      <c r="CB23" s="414"/>
      <c r="CC23" s="414"/>
      <c r="CD23" s="414"/>
      <c r="CE23" s="414"/>
      <c r="CF23" s="414"/>
      <c r="CG23" s="414"/>
      <c r="CH23" s="68"/>
      <c r="CI23" s="68"/>
      <c r="CJ23" s="68"/>
      <c r="CK23" s="68"/>
      <c r="CL23" s="433"/>
      <c r="CM23" s="433"/>
      <c r="CN23" s="433"/>
      <c r="CO23" s="68"/>
      <c r="CP23" s="68"/>
      <c r="CQ23" s="68"/>
      <c r="CR23" s="68"/>
      <c r="CS23" s="68"/>
      <c r="CT23" s="68"/>
      <c r="CU23" s="68"/>
      <c r="CV23" s="68"/>
      <c r="CW23" s="68"/>
      <c r="CX23" s="414"/>
      <c r="CY23" s="414"/>
      <c r="CZ23" s="414"/>
      <c r="DA23" s="414"/>
      <c r="DB23" s="414"/>
      <c r="DC23" s="414"/>
      <c r="DD23" s="414"/>
      <c r="DE23" s="414"/>
      <c r="DF23" s="414"/>
      <c r="DG23" s="414"/>
      <c r="DH23" s="414"/>
      <c r="DI23" s="414"/>
      <c r="DJ23" s="68"/>
      <c r="DK23" s="68"/>
      <c r="DL23" s="68"/>
      <c r="DM23" s="68"/>
      <c r="DN23" s="68"/>
      <c r="DO23" s="68"/>
      <c r="DP23" s="68"/>
      <c r="DQ23" s="68"/>
      <c r="DR23" s="68"/>
      <c r="DS23" s="68"/>
      <c r="DT23" s="68"/>
      <c r="DU23" s="68"/>
      <c r="DV23" s="475"/>
      <c r="DW23" s="475"/>
      <c r="DX23" s="475"/>
      <c r="DY23" s="476"/>
      <c r="DZ23" s="415"/>
      <c r="EA23" s="415"/>
      <c r="EB23" s="415"/>
      <c r="EC23" s="415"/>
      <c r="ED23" s="415"/>
      <c r="EE23" s="415"/>
      <c r="EF23" s="415"/>
      <c r="EG23" s="415"/>
      <c r="EH23" s="415"/>
      <c r="EI23" s="415"/>
      <c r="EJ23" s="415"/>
      <c r="EK23" s="415"/>
      <c r="EL23" s="473"/>
      <c r="EM23" s="473"/>
      <c r="EN23" s="473"/>
      <c r="EO23" s="473"/>
      <c r="EP23" s="473"/>
      <c r="EQ23" s="473"/>
      <c r="ER23" s="473"/>
      <c r="ES23" s="473"/>
      <c r="ET23" s="414"/>
      <c r="EU23" s="414"/>
      <c r="EV23" s="414"/>
      <c r="EW23" s="414"/>
      <c r="EX23" s="414"/>
      <c r="EY23" s="414"/>
      <c r="EZ23" s="414"/>
      <c r="FA23" s="414"/>
      <c r="FB23" s="414"/>
      <c r="FC23" s="414"/>
      <c r="FD23" s="414"/>
      <c r="FE23" s="414"/>
      <c r="FF23" s="447"/>
      <c r="FG23" s="447"/>
      <c r="FH23" s="447"/>
      <c r="FI23" s="446"/>
      <c r="FJ23" s="473"/>
      <c r="FK23" s="473"/>
      <c r="FL23" s="473"/>
      <c r="FM23" s="473"/>
      <c r="FN23" s="473"/>
      <c r="FO23" s="473"/>
      <c r="FP23" s="473"/>
      <c r="FQ23" s="473"/>
      <c r="FR23" s="414"/>
      <c r="FS23" s="414"/>
      <c r="FT23" s="414"/>
      <c r="FU23" s="414"/>
      <c r="FV23" s="414"/>
      <c r="FW23" s="414"/>
      <c r="FX23" s="414"/>
      <c r="FY23" s="414"/>
      <c r="FZ23" s="414"/>
      <c r="GA23" s="414"/>
      <c r="GB23" s="414"/>
      <c r="GC23" s="414"/>
      <c r="GD23" s="447"/>
      <c r="GE23" s="447"/>
      <c r="GF23" s="447"/>
      <c r="GG23" s="446"/>
      <c r="GH23" s="473"/>
      <c r="GI23" s="473"/>
      <c r="GJ23" s="473"/>
      <c r="GK23" s="473"/>
      <c r="GL23" s="473"/>
      <c r="GM23" s="473"/>
      <c r="GN23" s="473"/>
      <c r="GO23" s="473"/>
      <c r="GP23" s="414"/>
      <c r="GQ23" s="414"/>
      <c r="GR23" s="414"/>
      <c r="GS23" s="414"/>
      <c r="GT23" s="414"/>
      <c r="GU23" s="414"/>
      <c r="GV23" s="414"/>
      <c r="GW23" s="414"/>
      <c r="GX23" s="447"/>
      <c r="GY23" s="447"/>
      <c r="GZ23" s="447"/>
      <c r="HA23" s="446"/>
      <c r="HB23" s="473"/>
      <c r="HC23" s="473"/>
      <c r="HD23" s="473"/>
      <c r="HE23" s="473"/>
      <c r="HF23" s="473"/>
      <c r="HG23" s="473"/>
      <c r="HH23" s="473"/>
      <c r="HI23" s="473"/>
      <c r="HJ23" s="414"/>
      <c r="HK23" s="414"/>
      <c r="HL23" s="414"/>
      <c r="HM23" s="414"/>
      <c r="HN23" s="414"/>
      <c r="HO23" s="414"/>
      <c r="HP23" s="414"/>
      <c r="HQ23" s="414"/>
      <c r="HR23" s="414"/>
      <c r="HS23" s="414"/>
      <c r="HT23" s="414"/>
      <c r="HU23" s="414"/>
      <c r="HV23" s="473"/>
      <c r="HW23" s="473"/>
      <c r="HX23" s="473"/>
      <c r="HY23" s="473"/>
      <c r="HZ23" s="473"/>
      <c r="IA23" s="473"/>
      <c r="IB23" s="473"/>
      <c r="IC23" s="473"/>
      <c r="ID23" s="414"/>
      <c r="IE23" s="414"/>
      <c r="IF23" s="414"/>
      <c r="IG23" s="414"/>
      <c r="IH23" s="414"/>
      <c r="II23" s="414"/>
      <c r="IJ23" s="414"/>
      <c r="IK23" s="414"/>
      <c r="IL23" s="414"/>
      <c r="IM23" s="414"/>
      <c r="IN23" s="414"/>
      <c r="IO23" s="414"/>
      <c r="IP23" s="447"/>
      <c r="IQ23" s="447"/>
      <c r="IR23" s="447"/>
      <c r="IS23" s="446"/>
      <c r="IT23" s="473"/>
      <c r="IU23" s="473"/>
      <c r="IV23" s="473"/>
      <c r="IW23" s="473"/>
      <c r="IX23" s="473"/>
      <c r="IY23" s="473"/>
      <c r="IZ23" s="473"/>
      <c r="JA23" s="473"/>
      <c r="JB23" s="414"/>
      <c r="JC23" s="414"/>
      <c r="JD23" s="414"/>
      <c r="JE23" s="414"/>
      <c r="JF23" s="414"/>
      <c r="JG23" s="414"/>
      <c r="JH23" s="414"/>
      <c r="JI23" s="414"/>
      <c r="JJ23" s="414"/>
      <c r="JK23" s="414"/>
      <c r="JL23" s="414"/>
      <c r="JM23" s="414"/>
      <c r="JN23" s="473"/>
      <c r="JO23" s="473"/>
      <c r="JP23" s="473"/>
      <c r="JQ23" s="473"/>
      <c r="JR23" s="473"/>
      <c r="JS23" s="473"/>
      <c r="JT23" s="473"/>
      <c r="JU23" s="473"/>
      <c r="JV23" s="414"/>
      <c r="JW23" s="414"/>
      <c r="JX23" s="414"/>
      <c r="JY23" s="414"/>
      <c r="JZ23" s="414"/>
      <c r="KA23" s="414"/>
      <c r="KB23" s="414"/>
      <c r="KC23" s="414"/>
      <c r="KD23" s="414"/>
      <c r="KE23" s="414"/>
      <c r="KF23" s="414"/>
      <c r="KG23" s="414"/>
      <c r="KH23" s="447"/>
      <c r="KI23" s="447"/>
      <c r="KJ23" s="447"/>
      <c r="KK23" s="446"/>
      <c r="KL23" s="473"/>
      <c r="KM23" s="473"/>
      <c r="KN23" s="473"/>
      <c r="KO23" s="473"/>
      <c r="KP23" s="473"/>
      <c r="KQ23" s="473"/>
      <c r="KR23" s="473"/>
      <c r="KS23" s="473"/>
      <c r="KT23" s="414"/>
      <c r="KU23" s="414"/>
      <c r="KV23" s="414"/>
      <c r="KW23" s="414"/>
      <c r="KX23" s="414"/>
      <c r="KY23" s="414"/>
      <c r="KZ23" s="414"/>
      <c r="LA23" s="414"/>
      <c r="LB23" s="414"/>
      <c r="LC23" s="414"/>
      <c r="LD23" s="414"/>
      <c r="LE23" s="414"/>
      <c r="LF23" s="447"/>
      <c r="LG23" s="447"/>
      <c r="LH23" s="447"/>
      <c r="LI23" s="446"/>
      <c r="LJ23" s="473"/>
      <c r="LK23" s="473"/>
      <c r="LL23" s="473"/>
      <c r="LM23" s="473"/>
      <c r="LN23" s="473"/>
      <c r="LO23" s="473"/>
      <c r="LP23" s="473"/>
      <c r="LQ23" s="473"/>
      <c r="LR23" s="414"/>
      <c r="LS23" s="414"/>
      <c r="LT23" s="414"/>
      <c r="LU23" s="414"/>
      <c r="LV23" s="414"/>
      <c r="LW23" s="414"/>
      <c r="LX23" s="414"/>
      <c r="LY23" s="414"/>
      <c r="LZ23" s="414"/>
      <c r="MA23" s="414"/>
      <c r="MB23" s="414"/>
      <c r="MC23" s="414"/>
      <c r="MD23" s="446"/>
      <c r="ME23" s="446"/>
      <c r="MF23" s="448"/>
      <c r="MG23" s="446"/>
      <c r="MH23" s="473"/>
      <c r="MI23" s="473"/>
      <c r="MJ23" s="473"/>
      <c r="MK23" s="473"/>
      <c r="ML23" s="473"/>
      <c r="MM23" s="473"/>
      <c r="MN23" s="473"/>
      <c r="MO23" s="473"/>
      <c r="MP23" s="414"/>
      <c r="MQ23" s="414"/>
      <c r="MR23" s="414"/>
      <c r="MS23" s="414"/>
      <c r="MT23" s="414"/>
      <c r="MU23" s="414"/>
      <c r="MV23" s="414"/>
      <c r="MW23" s="414"/>
      <c r="MX23" s="414"/>
      <c r="MY23" s="414"/>
      <c r="MZ23" s="414"/>
      <c r="NA23" s="414"/>
      <c r="NB23" s="447"/>
      <c r="NC23" s="447"/>
      <c r="ND23" s="447"/>
      <c r="NE23" s="446"/>
      <c r="NF23" s="473"/>
      <c r="NG23" s="473"/>
      <c r="NH23" s="473"/>
      <c r="NI23" s="473"/>
      <c r="NJ23" s="473"/>
      <c r="NK23" s="473"/>
      <c r="NL23" s="473"/>
      <c r="NM23" s="473"/>
      <c r="NN23" s="414"/>
      <c r="NO23" s="414"/>
      <c r="NP23" s="414"/>
      <c r="NQ23" s="414"/>
      <c r="NR23" s="414"/>
      <c r="NS23" s="414"/>
      <c r="NT23" s="414"/>
      <c r="NU23" s="414"/>
      <c r="NV23" s="414"/>
      <c r="NW23" s="414"/>
      <c r="NX23" s="414"/>
      <c r="NY23" s="414"/>
      <c r="NZ23" s="447"/>
      <c r="OA23" s="447"/>
      <c r="OB23" s="447"/>
      <c r="OC23" s="446"/>
      <c r="OD23" s="473"/>
      <c r="OE23" s="473"/>
      <c r="OF23" s="473"/>
      <c r="OG23" s="473"/>
      <c r="OH23" s="473"/>
      <c r="OI23" s="473"/>
      <c r="OJ23" s="473"/>
      <c r="OK23" s="473"/>
      <c r="OL23" s="414"/>
      <c r="OM23" s="414"/>
      <c r="ON23" s="414"/>
      <c r="OO23" s="414"/>
      <c r="OP23" s="414"/>
      <c r="OQ23" s="414"/>
      <c r="OR23" s="414"/>
      <c r="OS23" s="414"/>
      <c r="OT23" s="414"/>
      <c r="OU23" s="414"/>
      <c r="OV23" s="414"/>
      <c r="OW23" s="414"/>
      <c r="OX23" s="447"/>
      <c r="OY23" s="447"/>
      <c r="OZ23" s="447"/>
      <c r="PA23" s="446"/>
      <c r="PB23" s="473"/>
      <c r="PC23" s="473"/>
      <c r="PD23" s="473"/>
      <c r="PE23" s="473"/>
      <c r="PF23" s="473"/>
      <c r="PG23" s="473"/>
      <c r="PH23" s="473"/>
      <c r="PI23" s="473"/>
      <c r="PJ23" s="414"/>
      <c r="PK23" s="414"/>
      <c r="PL23" s="414"/>
      <c r="PM23" s="414"/>
      <c r="PN23" s="414"/>
      <c r="PO23" s="414"/>
      <c r="PP23" s="414"/>
      <c r="PQ23" s="414"/>
      <c r="PR23" s="414"/>
      <c r="PS23" s="414"/>
      <c r="PT23" s="414"/>
      <c r="PU23" s="414"/>
      <c r="PV23" s="473"/>
      <c r="PW23" s="473"/>
      <c r="PX23" s="473"/>
      <c r="PY23" s="473"/>
      <c r="PZ23" s="473"/>
      <c r="QA23" s="473"/>
      <c r="QB23" s="473"/>
      <c r="QC23" s="473"/>
      <c r="QD23" s="414"/>
      <c r="QE23" s="414"/>
      <c r="QF23" s="414"/>
      <c r="QG23" s="414"/>
      <c r="QH23" s="414"/>
      <c r="QI23" s="414"/>
      <c r="QJ23" s="414"/>
      <c r="QK23" s="414"/>
      <c r="QL23" s="414"/>
      <c r="QM23" s="414"/>
      <c r="QN23" s="414"/>
      <c r="QO23" s="414"/>
      <c r="QP23" s="447"/>
      <c r="QQ23" s="447"/>
      <c r="QR23" s="447"/>
      <c r="QS23" s="446"/>
      <c r="QT23" s="473"/>
      <c r="QU23" s="473"/>
      <c r="QV23" s="473"/>
      <c r="QW23" s="473"/>
      <c r="QX23" s="473"/>
      <c r="QY23" s="473"/>
      <c r="QZ23" s="473"/>
      <c r="RA23" s="473"/>
      <c r="RB23" s="414"/>
      <c r="RC23" s="414"/>
      <c r="RD23" s="414"/>
      <c r="RE23" s="414"/>
      <c r="RF23" s="414"/>
      <c r="RG23" s="414"/>
      <c r="RH23" s="414"/>
      <c r="RI23" s="414"/>
      <c r="RJ23" s="414"/>
      <c r="RK23" s="414"/>
      <c r="RL23" s="414"/>
      <c r="RM23" s="414"/>
      <c r="RN23" s="447"/>
      <c r="RO23" s="447"/>
      <c r="RP23" s="447"/>
      <c r="RQ23" s="446"/>
      <c r="RR23" s="473"/>
      <c r="RS23" s="473"/>
      <c r="RT23" s="473"/>
      <c r="RU23" s="473"/>
      <c r="RV23" s="473"/>
      <c r="RW23" s="473"/>
      <c r="RX23" s="473"/>
      <c r="RY23" s="473"/>
      <c r="RZ23" s="414"/>
      <c r="SA23" s="414"/>
      <c r="SB23" s="414"/>
      <c r="SC23" s="414"/>
      <c r="SD23" s="414"/>
      <c r="SE23" s="414"/>
      <c r="SF23" s="414"/>
      <c r="SG23" s="414"/>
      <c r="SH23" s="414"/>
      <c r="SI23" s="414"/>
      <c r="SJ23" s="414"/>
      <c r="SK23" s="414"/>
      <c r="SL23" s="451"/>
      <c r="SM23" s="451"/>
      <c r="SN23" s="451"/>
      <c r="SO23" s="449"/>
      <c r="SP23" s="473"/>
      <c r="SQ23" s="473"/>
      <c r="SR23" s="473"/>
      <c r="SS23" s="473"/>
      <c r="ST23" s="473"/>
      <c r="SU23" s="473"/>
      <c r="SV23" s="473"/>
      <c r="SW23" s="473"/>
      <c r="SX23" s="414"/>
      <c r="SY23" s="414"/>
      <c r="SZ23" s="414"/>
      <c r="TA23" s="414"/>
      <c r="TB23" s="414"/>
      <c r="TC23" s="414"/>
      <c r="TD23" s="414"/>
      <c r="TE23" s="414"/>
      <c r="TF23" s="414"/>
      <c r="TG23" s="414"/>
      <c r="TH23" s="414"/>
      <c r="TI23" s="414"/>
      <c r="TJ23" s="451"/>
      <c r="TK23" s="451"/>
      <c r="TL23" s="451"/>
      <c r="TM23" s="449"/>
      <c r="TN23" s="473"/>
      <c r="TO23" s="473"/>
      <c r="TP23" s="473"/>
      <c r="TQ23" s="473"/>
      <c r="TR23" s="473"/>
      <c r="TS23" s="473"/>
      <c r="TT23" s="473"/>
      <c r="TU23" s="473"/>
      <c r="TV23" s="414"/>
      <c r="TW23" s="414"/>
      <c r="TX23" s="414"/>
      <c r="TY23" s="414"/>
      <c r="TZ23" s="414"/>
      <c r="UA23" s="414"/>
      <c r="UB23" s="414"/>
      <c r="UC23" s="414"/>
      <c r="UD23" s="414"/>
      <c r="UE23" s="414"/>
      <c r="UF23" s="414"/>
      <c r="UG23" s="414"/>
      <c r="UH23" s="452"/>
      <c r="UI23" s="452"/>
      <c r="UJ23" s="451"/>
      <c r="UK23" s="449"/>
      <c r="UL23" s="473"/>
      <c r="UM23" s="473"/>
      <c r="UN23" s="473"/>
      <c r="UO23" s="473"/>
      <c r="UP23" s="473"/>
      <c r="UQ23" s="473"/>
      <c r="UR23" s="473"/>
      <c r="US23" s="473"/>
      <c r="UT23" s="414"/>
      <c r="UU23" s="414"/>
      <c r="UV23" s="414"/>
      <c r="UW23" s="414"/>
      <c r="UX23" s="414"/>
      <c r="UY23" s="414"/>
      <c r="UZ23" s="414"/>
      <c r="VA23" s="414"/>
      <c r="VB23" s="414"/>
      <c r="VC23" s="414"/>
      <c r="VD23" s="414"/>
      <c r="VE23" s="414"/>
      <c r="VR23" s="414"/>
      <c r="VS23" s="414"/>
      <c r="VT23" s="414"/>
      <c r="VU23" s="414"/>
      <c r="VV23" s="414"/>
      <c r="VW23" s="414"/>
      <c r="VX23" s="414"/>
      <c r="VY23" s="414"/>
      <c r="VZ23" s="414"/>
      <c r="WA23" s="414"/>
      <c r="WB23" s="414"/>
      <c r="WC23" s="414"/>
      <c r="WP23" s="414"/>
      <c r="WQ23" s="414"/>
      <c r="WR23" s="414"/>
      <c r="WS23" s="414"/>
      <c r="WT23" s="414"/>
      <c r="WU23" s="414"/>
      <c r="WV23" s="414"/>
      <c r="WW23" s="414"/>
      <c r="WX23" s="414"/>
      <c r="WY23" s="414"/>
      <c r="WZ23" s="414"/>
      <c r="XA23" s="414"/>
      <c r="XN23" s="415">
        <v>0</v>
      </c>
      <c r="XO23" s="415">
        <v>0</v>
      </c>
      <c r="XP23" s="415">
        <v>0</v>
      </c>
      <c r="XQ23" s="415">
        <v>0</v>
      </c>
      <c r="XR23" s="415"/>
      <c r="XS23" s="415"/>
      <c r="XT23" s="415"/>
      <c r="XU23" s="415"/>
      <c r="XV23" s="415"/>
      <c r="XW23" s="415"/>
      <c r="XX23" s="415"/>
      <c r="XY23" s="415"/>
      <c r="YC23" s="414"/>
      <c r="YD23" s="414"/>
      <c r="YE23" s="414"/>
      <c r="YJ23" s="414"/>
      <c r="YK23" s="414"/>
      <c r="YL23" s="414"/>
      <c r="YQ23" s="414"/>
      <c r="YV23" s="414"/>
      <c r="YW23" s="414"/>
      <c r="YX23" s="414"/>
      <c r="ZC23" s="414"/>
      <c r="ZD23" s="414"/>
      <c r="ZE23" s="414"/>
      <c r="ZG23" s="414"/>
      <c r="ZH23" s="414"/>
      <c r="ZI23" s="414"/>
      <c r="ZN23" s="414"/>
      <c r="ZO23" s="414"/>
      <c r="ZP23" s="414"/>
      <c r="ZU23" s="458"/>
      <c r="ZV23" s="458"/>
      <c r="ZW23" s="458"/>
      <c r="ZX23" s="458"/>
      <c r="ZY23" s="458"/>
      <c r="ZZ23" s="458"/>
      <c r="AAA23" s="458"/>
      <c r="AAB23" s="458"/>
      <c r="AAC23" s="458"/>
      <c r="AAD23" s="458"/>
      <c r="AAE23" s="458"/>
      <c r="AAF23" s="458"/>
      <c r="AAG23" s="458"/>
      <c r="AAI23" s="414"/>
      <c r="AAJ23" s="414"/>
      <c r="AAK23" s="414"/>
      <c r="AAL23" s="415"/>
      <c r="AAM23" s="415"/>
      <c r="AAN23" s="415"/>
      <c r="AAO23" s="415"/>
      <c r="AAP23" s="414"/>
      <c r="AAQ23" s="417"/>
      <c r="AAR23" s="417"/>
      <c r="ABY23" s="414"/>
      <c r="ABZ23" s="414"/>
      <c r="ACA23" s="414"/>
      <c r="ACB23" s="414"/>
      <c r="ACC23" s="414"/>
      <c r="ACD23" s="414"/>
      <c r="ACE23" s="414"/>
      <c r="ACF23" s="414"/>
      <c r="ACG23" s="414"/>
      <c r="ACH23" s="414"/>
      <c r="ACI23" s="414"/>
      <c r="ACJ23" s="414"/>
      <c r="ACK23" s="414"/>
      <c r="ACL23" s="414"/>
      <c r="ACM23" s="414"/>
      <c r="ACN23" s="414"/>
      <c r="ACO23" s="414"/>
      <c r="ACP23" s="414"/>
      <c r="ACQ23" s="414"/>
      <c r="ACR23" s="414"/>
      <c r="ACS23" s="414"/>
      <c r="ACT23" s="414"/>
      <c r="ACU23" s="414"/>
      <c r="ACV23" s="414"/>
      <c r="ACW23" s="414"/>
      <c r="ACX23" s="414"/>
      <c r="ACY23" s="414"/>
      <c r="ACZ23" s="414"/>
      <c r="ADA23" s="414"/>
      <c r="ADB23" s="414"/>
      <c r="ADC23" s="414"/>
      <c r="ADD23" s="414"/>
      <c r="ADE23" s="414"/>
      <c r="ADF23" s="414"/>
      <c r="ADG23" s="414"/>
      <c r="ADH23" s="414"/>
      <c r="ADI23" s="414"/>
      <c r="ADJ23" s="414"/>
      <c r="ADK23" s="414"/>
      <c r="ADL23" s="414"/>
      <c r="ADM23" s="414"/>
      <c r="ADN23" s="414"/>
      <c r="ADO23" s="414"/>
      <c r="ADP23" s="414"/>
      <c r="ADQ23" s="414"/>
      <c r="ADR23" s="414"/>
      <c r="ADS23" s="414"/>
      <c r="ADT23" s="414"/>
      <c r="ADU23" s="414"/>
      <c r="ADV23" s="414"/>
      <c r="ADW23" s="414"/>
      <c r="ADX23" s="414"/>
      <c r="ADY23" s="414"/>
      <c r="ADZ23" s="414"/>
      <c r="AEA23" s="414"/>
      <c r="AEB23" s="414"/>
      <c r="AEC23" s="414"/>
      <c r="AED23" s="414"/>
      <c r="AEE23" s="414"/>
      <c r="AEF23" s="414"/>
      <c r="AEG23" s="414"/>
      <c r="AEH23" s="414"/>
      <c r="AEI23" s="414"/>
      <c r="AEJ23" s="414"/>
      <c r="AEK23" s="414"/>
      <c r="AEL23" s="414"/>
      <c r="AEM23" s="414"/>
      <c r="AEN23" s="414"/>
      <c r="AEO23" s="414"/>
      <c r="AEP23" s="414"/>
      <c r="AEQ23" s="414"/>
      <c r="AER23" s="414"/>
      <c r="AES23" s="414"/>
      <c r="AET23" s="414"/>
      <c r="AEU23" s="414"/>
      <c r="AEV23" s="414"/>
      <c r="AEW23" s="414"/>
      <c r="AEX23" s="414"/>
      <c r="AEY23" s="414"/>
      <c r="AEZ23" s="414"/>
      <c r="AFA23" s="414"/>
      <c r="AFB23" s="414"/>
      <c r="AFC23" s="414"/>
      <c r="AFD23" s="414"/>
      <c r="AFE23" s="414"/>
      <c r="AFF23" s="414"/>
      <c r="AFG23" s="414"/>
      <c r="AFH23" s="414"/>
      <c r="AFI23" s="414"/>
      <c r="AFJ23" s="414"/>
      <c r="AFK23" s="414"/>
      <c r="AFL23" s="414"/>
      <c r="AFM23" s="414"/>
      <c r="AFN23" s="414"/>
      <c r="AFO23" s="414"/>
      <c r="AFP23" s="414"/>
      <c r="AFQ23" s="414"/>
      <c r="AFR23" s="414"/>
      <c r="AFS23" s="414"/>
      <c r="AFT23" s="414"/>
      <c r="AFU23" s="414"/>
      <c r="AFV23" s="414"/>
      <c r="AFW23" s="414"/>
      <c r="AFX23" s="414"/>
      <c r="AFY23" s="414"/>
      <c r="AFZ23" s="414"/>
      <c r="AGA23" s="414"/>
      <c r="AGB23" s="414"/>
      <c r="AGC23" s="414"/>
      <c r="AGD23" s="414"/>
      <c r="AGE23" s="414"/>
      <c r="AGF23" s="414"/>
      <c r="AGG23" s="414"/>
      <c r="AGH23" s="414"/>
      <c r="AGI23" s="414"/>
      <c r="AGJ23" s="414"/>
      <c r="AGK23" s="414"/>
      <c r="AGL23" s="414"/>
      <c r="AGM23" s="414"/>
      <c r="AGN23" s="414"/>
      <c r="AGO23" s="414"/>
      <c r="AGP23" s="414"/>
      <c r="AGQ23" s="414"/>
      <c r="AGR23" s="414"/>
      <c r="AGS23" s="414"/>
      <c r="AGT23" s="414"/>
      <c r="AGU23" s="414"/>
      <c r="AGV23" s="414"/>
      <c r="AGW23" s="414"/>
      <c r="AGX23" s="414"/>
      <c r="AGY23" s="414"/>
      <c r="AGZ23" s="414"/>
      <c r="AHA23" s="414"/>
      <c r="AHB23" s="414"/>
      <c r="AHC23" s="414"/>
      <c r="AHD23" s="414"/>
      <c r="AHE23" s="414"/>
      <c r="AHF23" s="414"/>
      <c r="AHG23" s="414"/>
      <c r="AHH23" s="414"/>
      <c r="AHI23" s="414"/>
      <c r="AHJ23" s="414"/>
      <c r="AHK23" s="414"/>
      <c r="AHL23" s="414"/>
      <c r="AHM23" s="414"/>
      <c r="AHN23" s="414"/>
      <c r="AHO23" s="414"/>
      <c r="AHP23" s="414"/>
      <c r="AHQ23" s="414"/>
      <c r="AHR23" s="414"/>
      <c r="AHS23" s="414"/>
      <c r="AHT23" s="414"/>
      <c r="AHU23" s="414"/>
      <c r="AHV23" s="414"/>
      <c r="AHW23" s="414"/>
      <c r="AHX23" s="414"/>
      <c r="AHY23" s="414"/>
      <c r="AHZ23" s="414"/>
      <c r="AIA23" s="414"/>
      <c r="AIB23" s="414"/>
      <c r="AIC23" s="414"/>
      <c r="AID23" s="414"/>
      <c r="AIE23" s="414"/>
      <c r="AIF23" s="414"/>
      <c r="AIG23" s="414"/>
      <c r="AIH23" s="414"/>
      <c r="AII23" s="414"/>
      <c r="AIJ23" s="414"/>
      <c r="AIK23" s="414"/>
      <c r="AIL23" s="414"/>
      <c r="AIM23" s="414"/>
      <c r="AIN23" s="414"/>
      <c r="AIO23" s="414"/>
      <c r="AIP23" s="414"/>
      <c r="AIQ23" s="414"/>
      <c r="AIR23" s="414"/>
      <c r="AIS23" s="414"/>
      <c r="AIT23" s="414"/>
      <c r="AIU23" s="414"/>
      <c r="AIV23" s="414"/>
      <c r="AIW23" s="414"/>
      <c r="AIX23" s="414"/>
      <c r="AIY23" s="414"/>
      <c r="AIZ23" s="414"/>
      <c r="AJA23" s="414"/>
      <c r="AJB23" s="414"/>
      <c r="AJC23" s="414"/>
      <c r="AJD23" s="414"/>
      <c r="AJE23" s="414"/>
      <c r="AJF23" s="414"/>
      <c r="AJG23" s="414"/>
      <c r="AJH23" s="414"/>
      <c r="AJI23" s="414"/>
      <c r="AJJ23" s="414"/>
      <c r="AJK23" s="414"/>
      <c r="AJL23" s="414"/>
      <c r="AJM23" s="414"/>
      <c r="AJN23" s="414"/>
      <c r="AJO23" s="414"/>
      <c r="AJP23" s="414"/>
      <c r="AJQ23" s="414"/>
      <c r="AJR23" s="414"/>
      <c r="AJS23" s="414"/>
      <c r="AJT23" s="414"/>
      <c r="AJU23" s="414"/>
      <c r="AJV23" s="414"/>
      <c r="AJW23" s="414"/>
      <c r="AJX23" s="414"/>
      <c r="AJY23" s="414"/>
      <c r="AJZ23" s="414"/>
      <c r="AKA23" s="414"/>
      <c r="AKB23" s="414"/>
      <c r="AKC23" s="414"/>
      <c r="AKD23" s="414"/>
      <c r="AKE23" s="414"/>
      <c r="AKF23" s="414"/>
      <c r="AKG23" s="414"/>
      <c r="AKH23" s="414"/>
      <c r="AKI23" s="414"/>
      <c r="AKJ23" s="414"/>
      <c r="AKK23" s="414"/>
      <c r="AKL23" s="414"/>
      <c r="AKM23" s="414"/>
      <c r="AKN23" s="414"/>
      <c r="AKO23" s="414"/>
      <c r="AKP23" s="414"/>
      <c r="AKQ23" s="414"/>
      <c r="AKR23" s="414"/>
      <c r="AKS23" s="414"/>
      <c r="AKT23" s="414"/>
      <c r="AKU23" s="414"/>
      <c r="AKV23" s="414"/>
      <c r="AKW23" s="414"/>
      <c r="AKX23" s="414"/>
      <c r="AKY23" s="414"/>
      <c r="AKZ23" s="414"/>
      <c r="ALA23" s="414"/>
      <c r="ALB23" s="414"/>
      <c r="ALC23" s="414"/>
      <c r="ALD23" s="414"/>
      <c r="ALE23" s="414"/>
      <c r="ALF23" s="414"/>
      <c r="ALG23" s="414"/>
      <c r="ALH23" s="414"/>
      <c r="ALI23" s="414"/>
      <c r="ALJ23" s="414"/>
      <c r="ALK23" s="414"/>
      <c r="ALL23" s="414"/>
      <c r="ALM23" s="414"/>
      <c r="ALN23" s="414"/>
      <c r="ALO23" s="414"/>
      <c r="ALP23" s="414"/>
      <c r="ALQ23" s="414"/>
      <c r="ALR23" s="414"/>
      <c r="ALS23" s="414"/>
      <c r="ALT23" s="414"/>
      <c r="ALU23" s="414"/>
      <c r="ALV23" s="414"/>
      <c r="ALW23" s="414"/>
      <c r="ALX23" s="414"/>
      <c r="ALY23" s="414"/>
      <c r="ALZ23" s="414"/>
      <c r="AMA23" s="414"/>
      <c r="AMB23" s="414"/>
      <c r="AMC23" s="414"/>
      <c r="AMD23" s="414"/>
      <c r="AME23" s="414"/>
      <c r="AMF23" s="414"/>
      <c r="AMG23" s="414"/>
      <c r="AMH23" s="414"/>
      <c r="AMI23" s="414"/>
      <c r="AMJ23" s="414"/>
      <c r="AMK23" s="414"/>
      <c r="AML23" s="414"/>
      <c r="AMM23" s="414"/>
      <c r="AMN23" s="414"/>
      <c r="AMO23" s="414"/>
      <c r="AMP23" s="414"/>
      <c r="AMQ23" s="414"/>
      <c r="AMR23" s="414"/>
      <c r="AMS23" s="414"/>
      <c r="AMT23" s="414"/>
      <c r="AMU23" s="414"/>
      <c r="AMV23" s="414"/>
      <c r="AMW23" s="414"/>
      <c r="AMX23" s="414"/>
      <c r="AMY23" s="414"/>
      <c r="AMZ23" s="414"/>
      <c r="ANA23" s="414"/>
      <c r="ANB23" s="414"/>
      <c r="ANC23" s="414"/>
      <c r="AND23" s="414"/>
      <c r="ANE23" s="414"/>
      <c r="ANF23" s="414"/>
      <c r="ANG23" s="414"/>
      <c r="ANH23" s="414"/>
      <c r="ANI23" s="414"/>
      <c r="ANJ23" s="414"/>
      <c r="ANK23" s="414"/>
      <c r="ANL23" s="414"/>
      <c r="ANM23" s="414"/>
      <c r="ANN23" s="414"/>
      <c r="ANO23" s="414"/>
      <c r="ANP23" s="414"/>
      <c r="ANQ23" s="414"/>
      <c r="ANR23" s="414"/>
      <c r="ANS23" s="414"/>
      <c r="ANT23" s="414"/>
      <c r="ANU23" s="414"/>
      <c r="ANV23" s="414"/>
      <c r="ANW23" s="414"/>
      <c r="ANX23" s="414"/>
      <c r="ANY23" s="414"/>
      <c r="ANZ23" s="414"/>
      <c r="AOA23" s="414"/>
      <c r="AOB23" s="414"/>
      <c r="AOC23" s="414"/>
      <c r="AOD23" s="414"/>
      <c r="AOE23" s="414"/>
      <c r="AOF23" s="414"/>
      <c r="AOG23" s="414"/>
      <c r="AOH23" s="414"/>
      <c r="AOI23" s="414"/>
      <c r="AOJ23" s="414"/>
      <c r="AOK23" s="414"/>
      <c r="AOL23" s="414"/>
      <c r="AOM23" s="414"/>
      <c r="AON23" s="414"/>
      <c r="AOO23" s="414"/>
      <c r="AOP23" s="414"/>
      <c r="AOQ23" s="414"/>
      <c r="AOR23" s="414"/>
      <c r="AOS23" s="414"/>
      <c r="AOT23" s="414"/>
      <c r="AOU23" s="414"/>
      <c r="AOV23" s="414"/>
      <c r="AOW23" s="414"/>
      <c r="AOX23" s="414"/>
      <c r="AOY23" s="414"/>
      <c r="AOZ23" s="414"/>
      <c r="APA23" s="414"/>
      <c r="APB23" s="414"/>
      <c r="APC23" s="414"/>
      <c r="APD23" s="414"/>
      <c r="APE23" s="414"/>
      <c r="APF23" s="414"/>
      <c r="APG23" s="414"/>
      <c r="APH23" s="414"/>
      <c r="API23" s="414"/>
      <c r="APJ23" s="414"/>
      <c r="APK23" s="414"/>
      <c r="APL23" s="414"/>
      <c r="APM23" s="414"/>
      <c r="APN23" s="414"/>
      <c r="APO23" s="414"/>
      <c r="APP23" s="414"/>
      <c r="APQ23" s="414"/>
      <c r="APR23" s="414"/>
      <c r="APS23" s="414"/>
      <c r="APT23" s="414"/>
      <c r="APU23" s="414"/>
      <c r="APV23" s="414"/>
      <c r="APW23" s="414"/>
      <c r="APX23" s="414"/>
      <c r="APY23" s="414"/>
      <c r="APZ23" s="414"/>
      <c r="AQA23" s="414"/>
      <c r="AQB23" s="414"/>
      <c r="AQC23" s="414"/>
      <c r="AQD23" s="414"/>
      <c r="AQE23" s="414"/>
      <c r="AQF23" s="414"/>
      <c r="AQG23" s="414"/>
      <c r="AQH23" s="414"/>
      <c r="AQI23" s="414"/>
      <c r="AQJ23" s="414"/>
      <c r="AQK23" s="414"/>
      <c r="AQL23" s="414"/>
      <c r="AQM23" s="414"/>
      <c r="AQN23" s="414"/>
      <c r="AQO23" s="414"/>
      <c r="AQP23" s="414"/>
      <c r="AQQ23" s="414"/>
      <c r="AQR23" s="414"/>
      <c r="AQS23" s="414"/>
      <c r="AQT23" s="414"/>
      <c r="AQU23" s="414"/>
      <c r="AQV23" s="414"/>
      <c r="AQW23" s="414"/>
      <c r="AQX23" s="414"/>
      <c r="AQY23" s="414"/>
      <c r="AQZ23" s="414"/>
      <c r="ARA23" s="414"/>
      <c r="ARB23" s="414"/>
      <c r="ARC23" s="414"/>
      <c r="ARD23" s="414"/>
      <c r="ARE23" s="414"/>
      <c r="ARF23" s="414"/>
      <c r="ARG23" s="414"/>
      <c r="ARH23" s="414"/>
      <c r="ARI23" s="414"/>
      <c r="ARJ23" s="414"/>
      <c r="ARK23" s="414"/>
      <c r="ARL23" s="414"/>
      <c r="ARM23" s="414"/>
      <c r="ARN23" s="414"/>
      <c r="ARO23" s="414"/>
      <c r="ARP23" s="414"/>
      <c r="ARQ23" s="414"/>
      <c r="ARR23" s="414"/>
      <c r="ARS23" s="414"/>
      <c r="ART23" s="414"/>
      <c r="ARU23" s="414"/>
      <c r="ARV23" s="414"/>
      <c r="ARW23" s="414"/>
      <c r="ARX23" s="414"/>
      <c r="ARY23" s="414"/>
      <c r="ARZ23" s="414"/>
      <c r="ASA23" s="414"/>
      <c r="ASB23" s="414"/>
      <c r="ASC23" s="414"/>
      <c r="ASD23" s="414"/>
      <c r="ASE23" s="414"/>
      <c r="ASF23" s="414"/>
      <c r="ASG23" s="414"/>
      <c r="ASH23" s="414"/>
      <c r="ASI23" s="414"/>
      <c r="ASJ23" s="414"/>
      <c r="ASK23" s="414"/>
      <c r="ASL23" s="414"/>
      <c r="ASM23" s="414"/>
      <c r="ASN23" s="414"/>
      <c r="ASO23" s="414"/>
      <c r="ASP23" s="414"/>
      <c r="ASQ23" s="414"/>
      <c r="ASR23" s="414"/>
      <c r="ASS23" s="414"/>
      <c r="AST23" s="414"/>
      <c r="ASU23" s="414"/>
      <c r="ASV23" s="414"/>
      <c r="ASW23" s="414"/>
      <c r="ASX23" s="414"/>
      <c r="ASY23" s="414"/>
      <c r="ASZ23" s="414"/>
      <c r="ATA23" s="414"/>
      <c r="ATB23" s="414"/>
      <c r="ATC23" s="414"/>
      <c r="ATD23" s="414"/>
      <c r="ATE23" s="414"/>
      <c r="ATF23" s="414"/>
      <c r="ATG23" s="414"/>
      <c r="ATH23" s="414"/>
      <c r="ATI23" s="414"/>
      <c r="ATJ23" s="414"/>
      <c r="ATK23" s="414"/>
      <c r="ATL23" s="414"/>
      <c r="ATM23" s="414"/>
      <c r="ATN23" s="414"/>
      <c r="ATO23" s="414"/>
      <c r="ATP23" s="414"/>
      <c r="ATQ23" s="414"/>
      <c r="ATR23" s="414"/>
      <c r="ATS23" s="414"/>
      <c r="ATT23" s="414"/>
      <c r="ATU23" s="414"/>
      <c r="ATV23" s="414"/>
      <c r="ATW23" s="414"/>
      <c r="ATX23" s="414"/>
      <c r="ATY23" s="414"/>
      <c r="ATZ23" s="414"/>
      <c r="AUA23" s="414"/>
      <c r="AUB23" s="414"/>
      <c r="AUC23" s="414"/>
      <c r="AUD23" s="414"/>
      <c r="AUE23" s="414"/>
      <c r="AUF23" s="414"/>
      <c r="AUG23" s="414"/>
      <c r="AUH23" s="414"/>
      <c r="AUI23" s="414"/>
      <c r="AUJ23" s="414"/>
      <c r="AUK23" s="414"/>
      <c r="AUL23" s="414"/>
      <c r="AUM23" s="414"/>
      <c r="AUN23" s="414"/>
      <c r="AUO23" s="414"/>
      <c r="AUP23" s="414"/>
      <c r="AUQ23" s="414"/>
      <c r="AUR23" s="414"/>
      <c r="AUS23" s="414"/>
      <c r="AUT23" s="414"/>
      <c r="AUU23" s="414"/>
      <c r="AUV23" s="414"/>
      <c r="AUW23" s="414"/>
      <c r="AUX23" s="414"/>
      <c r="AUY23" s="414"/>
      <c r="AUZ23" s="414"/>
      <c r="AVA23" s="414"/>
      <c r="AVB23" s="414"/>
      <c r="AVC23" s="414"/>
      <c r="AVD23" s="414"/>
      <c r="AVE23" s="414"/>
      <c r="AVF23" s="414"/>
      <c r="AVG23" s="414"/>
      <c r="AVH23" s="414"/>
      <c r="AVI23" s="414"/>
      <c r="AVJ23" s="414"/>
      <c r="AVK23" s="414"/>
      <c r="AVL23" s="414"/>
      <c r="AVM23" s="414"/>
      <c r="AVN23" s="414"/>
      <c r="AVO23" s="414"/>
      <c r="AVP23" s="414"/>
      <c r="AVQ23" s="414"/>
      <c r="AVR23" s="414"/>
      <c r="AVS23" s="414"/>
      <c r="AVT23" s="414"/>
      <c r="AVU23" s="414"/>
      <c r="AVV23" s="414"/>
      <c r="AVW23" s="414"/>
      <c r="AVX23" s="414"/>
      <c r="AVY23" s="414"/>
      <c r="AVZ23" s="414"/>
      <c r="AWA23" s="414"/>
      <c r="AWB23" s="414"/>
      <c r="AWC23" s="414"/>
      <c r="AWD23" s="414"/>
      <c r="AWE23" s="414"/>
      <c r="AWF23" s="414"/>
      <c r="AWG23" s="414"/>
      <c r="AWH23" s="414"/>
      <c r="AWI23" s="414"/>
      <c r="AWJ23" s="414"/>
      <c r="AWK23" s="414"/>
      <c r="AWL23" s="414"/>
      <c r="AWM23" s="414"/>
      <c r="AWN23" s="414"/>
      <c r="AWO23" s="414"/>
      <c r="AWP23" s="414"/>
      <c r="AWQ23" s="414"/>
      <c r="AWR23" s="414"/>
      <c r="AWS23" s="414"/>
      <c r="AWT23" s="414"/>
      <c r="AWU23" s="414"/>
      <c r="AWV23" s="414"/>
      <c r="AWW23" s="414"/>
      <c r="AWX23" s="414"/>
      <c r="AWY23" s="414"/>
      <c r="AWZ23" s="414"/>
      <c r="AXA23" s="414"/>
      <c r="AXB23" s="414"/>
      <c r="AXC23" s="414"/>
      <c r="AXD23" s="414"/>
      <c r="AXE23" s="414"/>
      <c r="AXF23" s="414"/>
      <c r="AXG23" s="414"/>
      <c r="AXH23" s="414"/>
      <c r="AXI23" s="414"/>
      <c r="AXJ23" s="414"/>
      <c r="AXK23" s="414"/>
      <c r="AXL23" s="414"/>
      <c r="AXM23" s="414"/>
      <c r="AXN23" s="414"/>
      <c r="AXO23" s="414"/>
      <c r="AXP23" s="414"/>
      <c r="AXQ23" s="414"/>
      <c r="AXR23" s="414"/>
      <c r="AXS23" s="414"/>
      <c r="AXT23" s="414"/>
      <c r="AXU23" s="414"/>
      <c r="AXV23" s="414"/>
      <c r="AXW23" s="414"/>
      <c r="AXX23" s="414"/>
      <c r="AXY23" s="414"/>
      <c r="AXZ23" s="414"/>
      <c r="AYA23" s="414"/>
      <c r="AYB23" s="414"/>
      <c r="AYC23" s="414"/>
      <c r="AYD23" s="414"/>
      <c r="AYE23" s="414"/>
      <c r="AYF23" s="414"/>
      <c r="AYG23" s="414"/>
      <c r="AYH23" s="414"/>
      <c r="AYI23" s="414"/>
      <c r="AYJ23" s="414"/>
      <c r="AYK23" s="414"/>
      <c r="AYL23" s="414"/>
      <c r="AYM23" s="414"/>
      <c r="AYN23" s="414"/>
      <c r="AYO23" s="414"/>
      <c r="AYP23" s="414"/>
      <c r="AYQ23" s="414"/>
      <c r="AYR23" s="414"/>
      <c r="AYS23" s="414"/>
      <c r="AYT23" s="414"/>
      <c r="AYU23" s="414"/>
      <c r="AYV23" s="414"/>
      <c r="AYW23" s="414"/>
      <c r="AYX23" s="414"/>
      <c r="AYY23" s="414"/>
      <c r="AYZ23" s="414"/>
      <c r="AZA23" s="414"/>
      <c r="AZB23" s="414"/>
      <c r="AZC23" s="414"/>
      <c r="AZD23" s="414"/>
      <c r="AZE23" s="414"/>
      <c r="AZF23" s="414"/>
      <c r="AZG23" s="414"/>
      <c r="AZH23" s="414"/>
      <c r="AZI23" s="414"/>
      <c r="AZJ23" s="414"/>
      <c r="AZK23" s="414"/>
      <c r="AZL23" s="414"/>
      <c r="AZM23" s="414"/>
      <c r="AZN23" s="414"/>
      <c r="AZO23" s="414"/>
      <c r="AZP23" s="414"/>
      <c r="AZQ23" s="414"/>
      <c r="AZR23" s="414"/>
      <c r="AZS23" s="414"/>
      <c r="AZT23" s="414"/>
      <c r="AZU23" s="414"/>
      <c r="AZV23" s="414"/>
      <c r="AZW23" s="414"/>
      <c r="AZX23" s="414"/>
      <c r="AZY23" s="414"/>
      <c r="AZZ23" s="414"/>
      <c r="BAA23" s="414"/>
      <c r="BAB23" s="414"/>
      <c r="BAC23" s="414"/>
      <c r="BAD23" s="414"/>
      <c r="BAE23" s="414"/>
      <c r="BAF23" s="414"/>
      <c r="BAG23" s="414"/>
      <c r="BAH23" s="414"/>
      <c r="BAI23" s="414"/>
      <c r="BAJ23" s="414"/>
      <c r="BAK23" s="414"/>
      <c r="BAL23" s="414"/>
      <c r="BAM23" s="414"/>
      <c r="BAN23" s="414"/>
      <c r="BAO23" s="414"/>
      <c r="BAP23" s="414"/>
      <c r="BAQ23" s="414"/>
      <c r="BAR23" s="414"/>
      <c r="BAS23" s="414"/>
      <c r="BAT23" s="414"/>
      <c r="BAU23" s="414"/>
      <c r="BAV23" s="414"/>
      <c r="BAW23" s="414"/>
      <c r="BAX23" s="414"/>
      <c r="BAY23" s="414"/>
      <c r="BAZ23" s="414"/>
      <c r="BBA23" s="414"/>
      <c r="BBB23" s="414"/>
      <c r="BBC23" s="414"/>
      <c r="BBD23" s="414"/>
      <c r="BBE23" s="414"/>
      <c r="BBF23" s="414"/>
      <c r="BBG23" s="414"/>
      <c r="BBH23" s="414"/>
      <c r="BBI23" s="414"/>
      <c r="BBJ23" s="414"/>
      <c r="BBK23" s="414"/>
      <c r="BBL23" s="414"/>
      <c r="BBM23" s="414"/>
      <c r="BBN23" s="414"/>
      <c r="BBO23" s="414"/>
      <c r="BBP23" s="414"/>
      <c r="BBQ23" s="414"/>
      <c r="BBR23" s="414"/>
      <c r="BBS23" s="414"/>
      <c r="BBT23" s="414"/>
      <c r="BBU23" s="414"/>
      <c r="BBV23" s="414"/>
      <c r="BBW23" s="414"/>
      <c r="BBX23" s="414"/>
      <c r="BBY23" s="414"/>
      <c r="BBZ23" s="414"/>
      <c r="BCA23" s="414"/>
      <c r="BCB23" s="414"/>
      <c r="BCC23" s="414"/>
      <c r="BCD23" s="414"/>
      <c r="BCE23" s="414"/>
      <c r="BCF23" s="414"/>
      <c r="BCG23" s="414"/>
      <c r="BCH23" s="414"/>
      <c r="BCI23" s="414"/>
      <c r="BCJ23" s="414"/>
      <c r="BCK23" s="414"/>
      <c r="BCL23" s="414"/>
      <c r="BCM23" s="414"/>
      <c r="BCN23" s="414"/>
      <c r="BCO23" s="414"/>
      <c r="BCP23" s="414"/>
      <c r="BCQ23" s="414"/>
      <c r="BCR23" s="414"/>
      <c r="BCS23" s="414"/>
      <c r="BCT23" s="414"/>
      <c r="BCU23" s="414"/>
      <c r="BCV23" s="414"/>
      <c r="BCW23" s="414"/>
      <c r="BCX23" s="414"/>
      <c r="BCY23" s="414"/>
      <c r="BCZ23" s="414"/>
      <c r="BDA23" s="414"/>
      <c r="BDB23" s="414"/>
      <c r="BDC23" s="414"/>
      <c r="BDD23" s="414"/>
      <c r="BDE23" s="414"/>
      <c r="BDF23" s="414"/>
      <c r="BDG23" s="414"/>
      <c r="BDH23" s="414"/>
      <c r="BDI23" s="414"/>
      <c r="BDJ23" s="414"/>
      <c r="BDK23" s="414"/>
      <c r="BDL23" s="414"/>
      <c r="BDM23" s="414"/>
      <c r="BDN23" s="414"/>
      <c r="BDO23" s="414"/>
      <c r="BDP23" s="414"/>
      <c r="BDQ23" s="414"/>
      <c r="BDR23" s="414"/>
      <c r="BDS23" s="414"/>
      <c r="BDT23" s="414"/>
      <c r="BDU23" s="414"/>
      <c r="BDV23" s="414"/>
      <c r="BDW23" s="414"/>
      <c r="BDX23" s="414"/>
      <c r="BDY23" s="414"/>
      <c r="BDZ23" s="414"/>
      <c r="BEA23" s="414"/>
      <c r="BEB23" s="414"/>
      <c r="BEC23" s="414"/>
      <c r="BED23" s="414"/>
      <c r="BEE23" s="414"/>
      <c r="BEF23" s="414"/>
      <c r="BEG23" s="414"/>
      <c r="BEH23" s="414"/>
      <c r="BEI23" s="414"/>
      <c r="BEJ23" s="414"/>
      <c r="BEK23" s="414"/>
      <c r="BEL23" s="414"/>
      <c r="BEM23" s="414"/>
      <c r="BEN23" s="414"/>
      <c r="BEO23" s="414"/>
      <c r="BEP23" s="414"/>
      <c r="BEQ23" s="414"/>
      <c r="BER23" s="414"/>
      <c r="BES23" s="414"/>
      <c r="BET23" s="414"/>
      <c r="BEU23" s="414"/>
      <c r="BEV23" s="414"/>
      <c r="BEW23" s="414"/>
      <c r="BEX23" s="414"/>
      <c r="BEY23" s="414"/>
      <c r="BEZ23" s="414"/>
      <c r="BFA23" s="414"/>
      <c r="BFB23" s="414"/>
      <c r="BFC23" s="414"/>
      <c r="BFD23" s="414"/>
      <c r="BFE23" s="414"/>
      <c r="BFF23" s="414"/>
      <c r="BFG23" s="414"/>
      <c r="BFH23" s="414"/>
      <c r="BFI23" s="414"/>
      <c r="BFJ23" s="414"/>
      <c r="BFK23" s="414"/>
      <c r="BFL23" s="414"/>
      <c r="BFM23" s="414"/>
      <c r="BFN23" s="414"/>
      <c r="BFO23" s="414"/>
      <c r="BFP23" s="414"/>
      <c r="BFQ23" s="414"/>
      <c r="BFR23" s="414"/>
      <c r="BFS23" s="414"/>
      <c r="BFT23" s="414"/>
      <c r="BFU23" s="414"/>
      <c r="BFV23" s="414"/>
      <c r="BFW23" s="414"/>
      <c r="BFX23" s="414"/>
      <c r="BFY23" s="414"/>
      <c r="BFZ23" s="414"/>
      <c r="BGA23" s="414"/>
      <c r="BGB23" s="414"/>
      <c r="BGC23" s="414"/>
      <c r="BGD23" s="414"/>
      <c r="BGE23" s="414"/>
      <c r="BGF23" s="414"/>
      <c r="BGG23" s="414"/>
      <c r="BGH23" s="414"/>
      <c r="BGI23" s="414"/>
      <c r="BGJ23" s="414"/>
      <c r="BGK23" s="414"/>
      <c r="BGL23" s="414"/>
      <c r="BGM23" s="414"/>
      <c r="BGN23" s="414"/>
      <c r="BGO23" s="414"/>
      <c r="BGP23" s="414"/>
      <c r="BGQ23" s="414"/>
      <c r="BGR23" s="414"/>
      <c r="BGS23" s="414"/>
      <c r="BGT23" s="414"/>
      <c r="BGU23" s="414"/>
      <c r="BGV23" s="414"/>
      <c r="BGW23" s="414"/>
      <c r="BGX23" s="414"/>
      <c r="BGY23" s="414"/>
      <c r="BGZ23" s="414"/>
      <c r="BHA23" s="414"/>
      <c r="BHB23" s="414"/>
      <c r="BHC23" s="414"/>
      <c r="BHD23" s="414"/>
      <c r="BHE23" s="414"/>
      <c r="BHF23" s="414"/>
      <c r="BHG23" s="414"/>
      <c r="BHH23" s="414"/>
      <c r="BHI23" s="414"/>
      <c r="BHJ23" s="414"/>
      <c r="BHK23" s="414"/>
      <c r="BHL23" s="414"/>
      <c r="BHM23" s="414"/>
      <c r="BHN23" s="414"/>
      <c r="BHO23" s="414"/>
      <c r="BHP23" s="414"/>
      <c r="BHQ23" s="414"/>
      <c r="BHR23" s="414"/>
      <c r="BHS23" s="414"/>
      <c r="BHT23" s="414"/>
      <c r="BHU23" s="414"/>
      <c r="BHV23" s="414"/>
      <c r="BHW23" s="414"/>
      <c r="BHX23" s="414"/>
      <c r="BHY23" s="414"/>
      <c r="BHZ23" s="414"/>
      <c r="BIA23" s="414"/>
      <c r="BIB23" s="414"/>
      <c r="BIC23" s="414"/>
      <c r="BID23" s="414"/>
      <c r="BIE23" s="414"/>
      <c r="BIF23" s="414"/>
      <c r="BIG23" s="414"/>
      <c r="BIH23" s="414"/>
      <c r="BII23" s="414"/>
      <c r="BIJ23" s="414"/>
      <c r="BIK23" s="414"/>
      <c r="BIL23" s="414"/>
      <c r="BIM23" s="414"/>
      <c r="BIN23" s="414"/>
      <c r="BIO23" s="414"/>
      <c r="BIP23" s="414"/>
      <c r="BIQ23" s="414"/>
      <c r="BIR23" s="414"/>
      <c r="BIS23" s="414"/>
      <c r="BIT23" s="414"/>
      <c r="BIU23" s="414"/>
      <c r="BIV23" s="414"/>
      <c r="BIW23" s="414"/>
      <c r="BIX23" s="414"/>
      <c r="BIY23" s="414"/>
      <c r="BIZ23" s="414"/>
      <c r="BJA23" s="414"/>
      <c r="BJB23" s="414"/>
      <c r="BJC23" s="414"/>
      <c r="BJD23" s="414"/>
      <c r="BJE23" s="414"/>
      <c r="BJF23" s="414"/>
      <c r="BJG23" s="414"/>
      <c r="BJH23" s="414"/>
      <c r="BJI23" s="414"/>
      <c r="BJJ23" s="414"/>
      <c r="BJK23" s="414"/>
      <c r="BJL23" s="414"/>
      <c r="BJM23" s="414"/>
      <c r="BJN23" s="414"/>
      <c r="BJO23" s="414"/>
      <c r="BJP23" s="414"/>
      <c r="BJQ23" s="414"/>
      <c r="BJR23" s="414"/>
      <c r="BJS23" s="414"/>
      <c r="BJT23" s="414"/>
      <c r="BJU23" s="414"/>
      <c r="BJV23" s="414"/>
      <c r="BJW23" s="414"/>
      <c r="BJX23" s="414"/>
      <c r="BJY23" s="414"/>
      <c r="BJZ23" s="414"/>
      <c r="BKA23" s="414"/>
      <c r="BKB23" s="414"/>
      <c r="BKC23" s="414"/>
      <c r="BKD23" s="414"/>
      <c r="BKE23" s="414"/>
      <c r="BKF23" s="414"/>
      <c r="BKG23" s="414"/>
      <c r="BKH23" s="414"/>
      <c r="BKI23" s="414"/>
      <c r="BKJ23" s="414"/>
      <c r="BKK23" s="414"/>
      <c r="BKL23" s="414"/>
      <c r="BKM23" s="414"/>
      <c r="BKN23" s="414"/>
      <c r="BKO23" s="414"/>
      <c r="BKP23" s="414"/>
      <c r="BKQ23" s="414"/>
      <c r="BKR23" s="414"/>
      <c r="BKS23" s="414"/>
      <c r="BKT23" s="414"/>
      <c r="BKU23" s="414"/>
      <c r="BKV23" s="414"/>
      <c r="BKW23" s="414"/>
      <c r="BKX23" s="414"/>
      <c r="BKY23" s="414"/>
      <c r="BKZ23" s="414"/>
      <c r="BLA23" s="414"/>
      <c r="BLB23" s="414"/>
      <c r="BLC23" s="414"/>
      <c r="BLD23" s="414"/>
      <c r="BLE23" s="414"/>
      <c r="BLF23" s="414"/>
      <c r="BLG23" s="414"/>
      <c r="BLH23" s="414"/>
      <c r="BLI23" s="414"/>
      <c r="BLJ23" s="414"/>
      <c r="BLK23" s="414"/>
      <c r="BLL23" s="414"/>
      <c r="BLM23" s="414"/>
      <c r="BLN23" s="414"/>
      <c r="BLO23" s="414"/>
      <c r="BLP23" s="414"/>
      <c r="BLQ23" s="414"/>
      <c r="BLR23" s="414"/>
      <c r="BLS23" s="414"/>
      <c r="BLT23" s="414"/>
      <c r="BLU23" s="414"/>
      <c r="BLV23" s="414"/>
      <c r="BLW23" s="414"/>
      <c r="BLX23" s="414"/>
      <c r="BLY23" s="414"/>
      <c r="BLZ23" s="414"/>
      <c r="BMA23" s="414"/>
      <c r="BMB23" s="414"/>
      <c r="BMC23" s="414"/>
      <c r="BMD23" s="414"/>
      <c r="BME23" s="414"/>
      <c r="BMF23" s="414"/>
      <c r="BMG23" s="414"/>
      <c r="BMH23" s="414"/>
      <c r="BMI23" s="414"/>
      <c r="BMJ23" s="414"/>
      <c r="BMK23" s="414"/>
      <c r="BML23" s="414"/>
      <c r="BMM23" s="414"/>
      <c r="BMN23" s="414"/>
      <c r="BMO23" s="414"/>
      <c r="BMP23" s="414"/>
      <c r="BMQ23" s="414"/>
      <c r="BMR23" s="414"/>
      <c r="BMS23" s="414"/>
      <c r="BMT23" s="414"/>
      <c r="BMU23" s="414"/>
      <c r="BMV23" s="414"/>
      <c r="BMW23" s="414"/>
      <c r="BMX23" s="414"/>
      <c r="BMY23" s="414"/>
      <c r="BMZ23" s="414"/>
      <c r="BNA23" s="414"/>
      <c r="BNB23" s="414"/>
      <c r="BNC23" s="414"/>
      <c r="BND23" s="414"/>
      <c r="BNE23" s="414"/>
      <c r="BNF23" s="414"/>
      <c r="BNG23" s="414"/>
      <c r="BNH23" s="414"/>
      <c r="BNI23" s="414"/>
      <c r="BNJ23" s="414"/>
      <c r="BNK23" s="414"/>
      <c r="BNL23" s="414"/>
      <c r="BNM23" s="414"/>
      <c r="BNN23" s="414"/>
      <c r="BNO23" s="414"/>
      <c r="BNP23" s="414"/>
      <c r="BNQ23" s="414"/>
      <c r="BNR23" s="414"/>
      <c r="BNS23" s="414"/>
      <c r="BNT23" s="414"/>
      <c r="BNU23" s="414"/>
      <c r="BNV23" s="414"/>
      <c r="BNW23" s="414"/>
      <c r="BNX23" s="414"/>
      <c r="BNY23" s="414"/>
      <c r="BNZ23" s="414"/>
      <c r="BOA23" s="414"/>
      <c r="BOB23" s="414"/>
      <c r="BOC23" s="414"/>
      <c r="BOD23" s="414"/>
      <c r="BOE23" s="414"/>
      <c r="BOF23" s="414"/>
      <c r="BOG23" s="414"/>
      <c r="BOH23" s="414"/>
      <c r="BOI23" s="414"/>
      <c r="BOJ23" s="414"/>
      <c r="BOK23" s="414"/>
      <c r="BOL23" s="414"/>
      <c r="BOM23" s="414"/>
      <c r="BON23" s="414"/>
      <c r="BOO23" s="414"/>
      <c r="BOP23" s="414"/>
      <c r="BOQ23" s="414"/>
      <c r="BOR23" s="414"/>
      <c r="BOS23" s="414"/>
      <c r="BOT23" s="414"/>
      <c r="BOU23" s="414"/>
      <c r="BOV23" s="414"/>
      <c r="BOW23" s="414"/>
      <c r="BOX23" s="414"/>
      <c r="BOY23" s="414"/>
      <c r="BOZ23" s="414"/>
      <c r="BPA23" s="414"/>
      <c r="BPB23" s="414"/>
      <c r="BPC23" s="414"/>
      <c r="BPD23" s="414"/>
      <c r="BPE23" s="414"/>
      <c r="BPF23" s="414"/>
      <c r="BPG23" s="414"/>
      <c r="BPH23" s="414"/>
      <c r="BPI23" s="414"/>
      <c r="BPJ23" s="414"/>
      <c r="BPK23" s="414"/>
      <c r="BPL23" s="414"/>
      <c r="BPM23" s="414"/>
      <c r="BPN23" s="414"/>
      <c r="BPO23" s="414"/>
      <c r="BPP23" s="414"/>
      <c r="BPQ23" s="414"/>
      <c r="BPR23" s="414"/>
      <c r="BPS23" s="414"/>
      <c r="BPT23" s="414"/>
      <c r="BPU23" s="414"/>
      <c r="BPV23" s="414"/>
      <c r="BPW23" s="414"/>
      <c r="BPX23" s="414"/>
      <c r="BPY23" s="414"/>
      <c r="BPZ23" s="414"/>
      <c r="BQA23" s="414"/>
      <c r="BQB23" s="414"/>
      <c r="BQC23" s="414"/>
      <c r="BQD23" s="414"/>
      <c r="BQE23" s="414"/>
      <c r="BQF23" s="414"/>
      <c r="BQG23" s="414"/>
      <c r="BQH23" s="414"/>
      <c r="BQI23" s="414"/>
      <c r="BQJ23" s="414"/>
      <c r="BQK23" s="414"/>
      <c r="BQL23" s="414"/>
      <c r="BQM23" s="414"/>
      <c r="BQN23" s="414"/>
      <c r="BQO23" s="414"/>
      <c r="BQP23" s="414"/>
      <c r="BQQ23" s="414"/>
      <c r="BQR23" s="414"/>
      <c r="BQS23" s="414"/>
      <c r="BQT23" s="414"/>
      <c r="BQU23" s="414"/>
      <c r="BQV23" s="414"/>
      <c r="BQW23" s="414"/>
      <c r="BQX23" s="414"/>
      <c r="BQY23" s="414"/>
      <c r="BQZ23" s="414"/>
      <c r="BRA23" s="414"/>
      <c r="BRB23" s="414"/>
      <c r="BRC23" s="414"/>
      <c r="BRD23" s="414"/>
      <c r="BRE23" s="414"/>
      <c r="BRF23" s="414"/>
      <c r="BRG23" s="414"/>
      <c r="BRH23" s="414"/>
      <c r="BRI23" s="414"/>
      <c r="BRJ23" s="414"/>
      <c r="BRK23" s="414"/>
      <c r="BRL23" s="414"/>
      <c r="BRM23" s="414"/>
      <c r="BRN23" s="414"/>
      <c r="BRO23" s="414"/>
      <c r="BRP23" s="414"/>
      <c r="BRQ23" s="414"/>
      <c r="BRR23" s="414"/>
      <c r="BRS23" s="414"/>
      <c r="BRT23" s="414"/>
      <c r="BRU23" s="414"/>
      <c r="BRV23" s="414"/>
      <c r="BRW23" s="414"/>
      <c r="BRX23" s="414"/>
      <c r="BRY23" s="414"/>
      <c r="BRZ23" s="414"/>
      <c r="BSA23" s="414"/>
      <c r="BSB23" s="414"/>
      <c r="BSC23" s="414"/>
      <c r="BSD23" s="414"/>
      <c r="BSE23" s="414"/>
      <c r="BSF23" s="414"/>
      <c r="BSG23" s="414"/>
      <c r="BSH23" s="414"/>
      <c r="BSI23" s="414"/>
      <c r="BSJ23" s="414"/>
      <c r="BSK23" s="414"/>
      <c r="BSL23" s="414"/>
      <c r="BSM23" s="414"/>
      <c r="BSN23" s="414"/>
      <c r="BSO23" s="414"/>
      <c r="BSP23" s="414"/>
      <c r="BSQ23" s="414"/>
      <c r="BSR23" s="414"/>
      <c r="BSS23" s="414"/>
      <c r="BST23" s="414"/>
      <c r="BSU23" s="414"/>
      <c r="BSV23" s="414"/>
      <c r="BSW23" s="414"/>
      <c r="BSX23" s="414"/>
      <c r="BSY23" s="414"/>
      <c r="BSZ23" s="414"/>
      <c r="BTA23" s="414"/>
      <c r="BTB23" s="414"/>
      <c r="BTC23" s="414"/>
      <c r="BTD23" s="414"/>
      <c r="BTE23" s="414"/>
      <c r="BTF23" s="414"/>
      <c r="BTG23" s="414"/>
      <c r="BTH23" s="414"/>
      <c r="BTI23" s="414"/>
      <c r="BTJ23" s="414"/>
      <c r="BTK23" s="414"/>
      <c r="BTL23" s="414"/>
      <c r="BTM23" s="414"/>
      <c r="BTN23" s="414"/>
      <c r="BTO23" s="414"/>
      <c r="BTP23" s="414"/>
      <c r="BTQ23" s="414"/>
      <c r="BTR23" s="414"/>
      <c r="BTS23" s="414"/>
      <c r="BTT23" s="414"/>
      <c r="BTU23" s="414"/>
      <c r="BTV23" s="414"/>
      <c r="BTW23" s="414"/>
      <c r="BTX23" s="414"/>
      <c r="BTY23" s="414"/>
      <c r="BTZ23" s="414"/>
      <c r="BUA23" s="414"/>
      <c r="BUB23" s="414"/>
      <c r="BUC23" s="414"/>
      <c r="BUD23" s="414"/>
      <c r="BUE23" s="414"/>
      <c r="BUF23" s="414"/>
      <c r="BUG23" s="414"/>
      <c r="BUH23" s="414"/>
      <c r="BUI23" s="414"/>
      <c r="BUJ23" s="414"/>
      <c r="BUK23" s="414"/>
      <c r="BUL23" s="414"/>
      <c r="BUM23" s="414"/>
      <c r="BUN23" s="414"/>
      <c r="BUO23" s="414"/>
      <c r="BUP23" s="414"/>
      <c r="BUQ23" s="414"/>
      <c r="BUR23" s="414"/>
      <c r="BUS23" s="414"/>
      <c r="BUT23" s="414"/>
      <c r="BUU23" s="414"/>
      <c r="BUV23" s="414"/>
      <c r="BUW23" s="414"/>
      <c r="BUX23" s="414"/>
      <c r="BUY23" s="414"/>
      <c r="BUZ23" s="414"/>
      <c r="BVA23" s="414"/>
      <c r="BVB23" s="414"/>
      <c r="BVC23" s="414"/>
      <c r="BVD23" s="414"/>
      <c r="BVE23" s="414"/>
      <c r="BVF23" s="414"/>
      <c r="BVG23" s="414"/>
      <c r="BVH23" s="414"/>
      <c r="BVI23" s="414"/>
      <c r="BVJ23" s="414"/>
      <c r="BVK23" s="414"/>
      <c r="BVL23" s="414"/>
      <c r="BVM23" s="414"/>
      <c r="BVN23" s="414"/>
      <c r="BVO23" s="414"/>
      <c r="BVP23" s="414"/>
      <c r="BVQ23" s="414"/>
      <c r="BVR23" s="414"/>
      <c r="BVS23" s="414"/>
      <c r="BVT23" s="414"/>
      <c r="BVU23" s="414"/>
      <c r="BVV23" s="414"/>
      <c r="BVW23" s="414"/>
      <c r="BVX23" s="414"/>
      <c r="BVY23" s="414"/>
      <c r="BVZ23" s="414"/>
      <c r="BWA23" s="414"/>
      <c r="BWB23" s="414"/>
      <c r="BWC23" s="414"/>
      <c r="BWD23" s="414"/>
      <c r="BWE23" s="414"/>
      <c r="BWF23" s="414"/>
      <c r="BWG23" s="414"/>
      <c r="BWH23" s="414"/>
      <c r="BWI23" s="414"/>
      <c r="BWJ23" s="414"/>
      <c r="BWK23" s="414"/>
      <c r="BWL23" s="414"/>
      <c r="BWM23" s="414"/>
      <c r="BWN23" s="414"/>
      <c r="BWO23" s="414"/>
      <c r="BWP23" s="414"/>
      <c r="BWQ23" s="414"/>
      <c r="BWR23" s="414"/>
      <c r="BWS23" s="414"/>
      <c r="BWT23" s="414"/>
      <c r="BWU23" s="414"/>
      <c r="BWV23" s="414"/>
      <c r="BWW23" s="414"/>
      <c r="BWX23" s="414"/>
      <c r="BWY23" s="414"/>
      <c r="BWZ23" s="414"/>
      <c r="BXA23" s="414"/>
      <c r="BXB23" s="414"/>
      <c r="BXC23" s="414"/>
      <c r="BXD23" s="414"/>
      <c r="BXE23" s="414"/>
      <c r="BXF23" s="414"/>
      <c r="BXG23" s="414"/>
      <c r="BXH23" s="414"/>
      <c r="BXI23" s="414"/>
      <c r="BXJ23" s="414"/>
      <c r="BXK23" s="414"/>
      <c r="BXL23" s="414"/>
      <c r="BXM23" s="414"/>
      <c r="BXN23" s="414"/>
      <c r="BXO23" s="414"/>
      <c r="BXP23" s="414"/>
      <c r="BXQ23" s="414"/>
      <c r="BXR23" s="414"/>
      <c r="BXS23" s="414"/>
      <c r="BXT23" s="414"/>
      <c r="BXU23" s="414"/>
      <c r="BXV23" s="414"/>
      <c r="BXW23" s="414"/>
      <c r="BXX23" s="414"/>
      <c r="BXY23" s="414"/>
      <c r="BXZ23" s="414"/>
      <c r="BYA23" s="414"/>
      <c r="BYB23" s="414"/>
      <c r="BYC23" s="414"/>
      <c r="BYD23" s="414"/>
      <c r="BYE23" s="414"/>
      <c r="BYF23" s="414"/>
      <c r="BYG23" s="414"/>
      <c r="BYH23" s="414"/>
      <c r="BYI23" s="414"/>
      <c r="BYJ23" s="414"/>
      <c r="BYK23" s="414"/>
      <c r="BYL23" s="414"/>
      <c r="BYM23" s="414"/>
      <c r="BYN23" s="414"/>
      <c r="BYO23" s="414"/>
      <c r="BYP23" s="414"/>
      <c r="BYQ23" s="414"/>
      <c r="BYR23" s="414"/>
      <c r="BYS23" s="414"/>
      <c r="BYT23" s="414"/>
      <c r="BYU23" s="414"/>
      <c r="BYV23" s="414"/>
      <c r="BYW23" s="414"/>
      <c r="BYX23" s="414"/>
      <c r="BYY23" s="414"/>
      <c r="BYZ23" s="414"/>
      <c r="BZA23" s="414"/>
      <c r="BZB23" s="414"/>
      <c r="BZC23" s="414"/>
      <c r="BZD23" s="414"/>
      <c r="BZE23" s="414"/>
      <c r="BZF23" s="414"/>
      <c r="BZG23" s="414"/>
      <c r="BZH23" s="414"/>
      <c r="BZI23" s="414"/>
      <c r="BZJ23" s="414"/>
      <c r="BZK23" s="414"/>
      <c r="BZL23" s="414"/>
      <c r="BZM23" s="414"/>
      <c r="BZN23" s="414"/>
      <c r="BZO23" s="414"/>
      <c r="BZP23" s="414"/>
      <c r="BZQ23" s="414"/>
      <c r="BZR23" s="414"/>
      <c r="BZS23" s="414"/>
      <c r="BZT23" s="414"/>
      <c r="BZU23" s="414"/>
      <c r="BZV23" s="414"/>
      <c r="BZW23" s="414"/>
      <c r="BZX23" s="414"/>
      <c r="BZY23" s="414"/>
      <c r="BZZ23" s="414"/>
      <c r="CAA23" s="414"/>
      <c r="CAB23" s="414"/>
      <c r="CAC23" s="414"/>
      <c r="CAD23" s="414"/>
      <c r="CAE23" s="414"/>
      <c r="CAF23" s="414"/>
      <c r="CAG23" s="414"/>
      <c r="CAH23" s="414"/>
      <c r="CAI23" s="414"/>
      <c r="CAJ23" s="414"/>
      <c r="CAK23" s="414"/>
      <c r="CAL23" s="414"/>
      <c r="CAM23" s="414"/>
      <c r="CAN23" s="414"/>
      <c r="CAO23" s="414"/>
      <c r="CAP23" s="414"/>
      <c r="CAQ23" s="414"/>
      <c r="CAR23" s="414"/>
      <c r="CAS23" s="414"/>
      <c r="CAT23" s="414"/>
      <c r="CAU23" s="414"/>
      <c r="CAV23" s="414"/>
      <c r="CAW23" s="414"/>
      <c r="CAX23" s="414"/>
      <c r="CAY23" s="414"/>
      <c r="CAZ23" s="414"/>
      <c r="CBA23" s="414"/>
      <c r="CBB23" s="414"/>
      <c r="CBC23" s="414"/>
      <c r="CBD23" s="414"/>
      <c r="CBE23" s="414"/>
      <c r="CBF23" s="414"/>
      <c r="CBG23" s="414"/>
      <c r="CBH23" s="414"/>
      <c r="CBI23" s="414"/>
      <c r="CBJ23" s="414"/>
      <c r="CBK23" s="414"/>
      <c r="CBL23" s="414"/>
      <c r="CBM23" s="414"/>
      <c r="CBN23" s="414"/>
      <c r="CBO23" s="414"/>
      <c r="CBP23" s="414"/>
      <c r="CBQ23" s="414"/>
      <c r="CBR23" s="414"/>
      <c r="CBS23" s="414"/>
      <c r="CBT23" s="414"/>
      <c r="CBU23" s="414"/>
      <c r="CBV23" s="414"/>
      <c r="CBW23" s="414"/>
      <c r="CBX23" s="414"/>
      <c r="CBY23" s="414"/>
      <c r="CBZ23" s="414"/>
      <c r="CCA23" s="414"/>
      <c r="CCB23" s="414"/>
      <c r="CCC23" s="414"/>
      <c r="CCD23" s="414"/>
      <c r="CCE23" s="414"/>
      <c r="CCF23" s="414"/>
      <c r="CCG23" s="414"/>
      <c r="CCH23" s="414"/>
      <c r="CCI23" s="414"/>
      <c r="CCJ23" s="414"/>
      <c r="CCK23" s="414"/>
      <c r="CCL23" s="414"/>
      <c r="CCM23" s="414"/>
      <c r="CCN23" s="414"/>
      <c r="CCO23" s="414"/>
      <c r="CCP23" s="414"/>
      <c r="CCQ23" s="414"/>
      <c r="CCR23" s="414"/>
      <c r="CCS23" s="414"/>
      <c r="CCT23" s="414"/>
      <c r="CCU23" s="414"/>
      <c r="CCV23" s="414"/>
      <c r="CCW23" s="414"/>
      <c r="CCX23" s="414"/>
      <c r="CCY23" s="414"/>
      <c r="CCZ23" s="414"/>
      <c r="CDA23" s="414"/>
      <c r="CDB23" s="414"/>
      <c r="CDC23" s="414"/>
      <c r="CDD23" s="414"/>
      <c r="CDE23" s="414"/>
      <c r="CDF23" s="414"/>
      <c r="CDG23" s="414"/>
      <c r="CDH23" s="414"/>
      <c r="CDI23" s="414"/>
      <c r="CDJ23" s="414"/>
      <c r="CDK23" s="414"/>
      <c r="CDL23" s="414"/>
      <c r="CDM23" s="414"/>
      <c r="CDN23" s="414"/>
      <c r="CDO23" s="414"/>
      <c r="CDP23" s="414"/>
      <c r="CDQ23" s="414"/>
      <c r="CDR23" s="414"/>
      <c r="CDS23" s="414"/>
      <c r="CDT23" s="414"/>
      <c r="CDU23" s="414"/>
      <c r="CDV23" s="414"/>
      <c r="CDW23" s="414"/>
      <c r="CDX23" s="414"/>
      <c r="CDY23" s="414"/>
      <c r="CDZ23" s="414"/>
      <c r="CEA23" s="414"/>
      <c r="CEB23" s="414"/>
      <c r="CEC23" s="414"/>
      <c r="CED23" s="414"/>
      <c r="CEE23" s="414"/>
      <c r="CEF23" s="414"/>
      <c r="CEG23" s="414"/>
      <c r="CEH23" s="414"/>
      <c r="CEI23" s="414"/>
      <c r="CEJ23" s="414"/>
      <c r="CEK23" s="414"/>
      <c r="CEL23" s="414"/>
      <c r="CEM23" s="414"/>
      <c r="CEN23" s="414"/>
      <c r="CEO23" s="414"/>
      <c r="CEP23" s="414"/>
      <c r="CEQ23" s="414"/>
      <c r="CER23" s="414"/>
      <c r="CES23" s="414"/>
      <c r="CET23" s="414"/>
      <c r="CEU23" s="414"/>
      <c r="CEV23" s="414"/>
      <c r="CEW23" s="414"/>
      <c r="CEX23" s="414"/>
      <c r="CEY23" s="414"/>
      <c r="CEZ23" s="414"/>
      <c r="CFA23" s="414"/>
      <c r="CFB23" s="414"/>
      <c r="CFC23" s="414"/>
      <c r="CFD23" s="414"/>
      <c r="CFE23" s="414"/>
      <c r="CFF23" s="414"/>
      <c r="CFG23" s="414"/>
      <c r="CFH23" s="414"/>
      <c r="CFI23" s="414"/>
      <c r="CFJ23" s="414"/>
      <c r="CFK23" s="414"/>
      <c r="CFL23" s="414"/>
      <c r="CFM23" s="414"/>
      <c r="CFN23" s="414"/>
      <c r="CFO23" s="414"/>
      <c r="CFP23" s="414"/>
      <c r="CFQ23" s="414"/>
      <c r="CFR23" s="414"/>
      <c r="CFS23" s="414"/>
      <c r="CFT23" s="414"/>
      <c r="CFU23" s="414"/>
      <c r="CFV23" s="414"/>
      <c r="CFW23" s="414"/>
      <c r="CFX23" s="414"/>
      <c r="CFY23" s="414"/>
      <c r="CFZ23" s="414"/>
      <c r="CGA23" s="414"/>
      <c r="CGB23" s="414"/>
      <c r="CGC23" s="414"/>
      <c r="CGD23" s="414"/>
      <c r="CGE23" s="414"/>
      <c r="CGF23" s="414"/>
      <c r="CGG23" s="414"/>
      <c r="CGH23" s="414"/>
      <c r="CGI23" s="414"/>
      <c r="CGJ23" s="414"/>
      <c r="CGK23" s="414"/>
      <c r="CGL23" s="414"/>
      <c r="CGM23" s="414"/>
      <c r="CGN23" s="414"/>
      <c r="CGO23" s="414"/>
      <c r="CGP23" s="414"/>
      <c r="CGQ23" s="414"/>
      <c r="CGR23" s="414"/>
      <c r="CGS23" s="414"/>
      <c r="CGT23" s="414"/>
      <c r="CGU23" s="414"/>
      <c r="CGV23" s="414"/>
      <c r="CGW23" s="414"/>
      <c r="CGX23" s="414"/>
      <c r="CGY23" s="414"/>
      <c r="CGZ23" s="414"/>
      <c r="CHA23" s="414"/>
      <c r="CHB23" s="414"/>
      <c r="CHC23" s="414"/>
      <c r="CHD23" s="414"/>
      <c r="CHE23" s="414"/>
      <c r="CHF23" s="414"/>
      <c r="CHG23" s="414"/>
      <c r="CHH23" s="414"/>
      <c r="CHI23" s="414"/>
      <c r="CHJ23" s="414"/>
      <c r="CHK23" s="414"/>
      <c r="CHL23" s="414"/>
      <c r="CHM23" s="414"/>
      <c r="CHN23" s="414"/>
      <c r="CHO23" s="414"/>
      <c r="CHP23" s="414"/>
      <c r="CHQ23" s="414"/>
      <c r="CHR23" s="414"/>
      <c r="CHS23" s="414"/>
      <c r="CHT23" s="414"/>
      <c r="CHU23" s="414"/>
      <c r="CHV23" s="414"/>
      <c r="CHW23" s="414"/>
      <c r="CHX23" s="414"/>
      <c r="CHY23" s="414"/>
      <c r="CHZ23" s="414"/>
      <c r="CIA23" s="414"/>
      <c r="CIB23" s="414"/>
      <c r="CIC23" s="414"/>
      <c r="CID23" s="414"/>
      <c r="CIE23" s="414"/>
      <c r="CIF23" s="414"/>
      <c r="CIG23" s="414"/>
      <c r="CIH23" s="414"/>
      <c r="CII23" s="414"/>
      <c r="CIJ23" s="414"/>
      <c r="CIK23" s="414"/>
      <c r="CIL23" s="414"/>
      <c r="CIM23" s="414"/>
      <c r="CIN23" s="414"/>
      <c r="CIO23" s="414"/>
      <c r="CIP23" s="414"/>
      <c r="CIQ23" s="414"/>
      <c r="CIR23" s="414"/>
      <c r="CIS23" s="414"/>
      <c r="CIT23" s="414"/>
      <c r="CIU23" s="414"/>
      <c r="CIV23" s="414"/>
      <c r="CIW23" s="414"/>
      <c r="CIX23" s="414"/>
      <c r="CIY23" s="414"/>
      <c r="CIZ23" s="414"/>
      <c r="CJA23" s="414"/>
      <c r="CJB23" s="414"/>
      <c r="CJC23" s="414"/>
      <c r="CJD23" s="414"/>
      <c r="CJE23" s="414"/>
      <c r="CJF23" s="414"/>
      <c r="CJG23" s="414"/>
      <c r="CJH23" s="414"/>
      <c r="CJI23" s="414"/>
      <c r="CJJ23" s="414"/>
      <c r="CJK23" s="414"/>
      <c r="CJL23" s="414"/>
      <c r="CJM23" s="414"/>
      <c r="CJN23" s="414"/>
      <c r="CJO23" s="414"/>
      <c r="CJP23" s="414"/>
      <c r="CJQ23" s="414"/>
      <c r="CJR23" s="414"/>
      <c r="CJS23" s="414"/>
      <c r="CJT23" s="414"/>
      <c r="CJU23" s="414"/>
      <c r="CJV23" s="414"/>
      <c r="CJW23" s="414"/>
      <c r="CJX23" s="414"/>
      <c r="CJY23" s="414"/>
      <c r="CJZ23" s="414"/>
      <c r="CKA23" s="414"/>
      <c r="CKB23" s="414"/>
      <c r="CKC23" s="414"/>
      <c r="CKD23" s="414"/>
      <c r="CKE23" s="414"/>
      <c r="CKF23" s="414"/>
      <c r="CKG23" s="414"/>
      <c r="CKH23" s="414"/>
      <c r="CKI23" s="414"/>
      <c r="CKJ23" s="414"/>
      <c r="CKK23" s="414"/>
      <c r="CKL23" s="414"/>
      <c r="CKM23" s="414"/>
      <c r="CKN23" s="414"/>
      <c r="CKO23" s="414"/>
      <c r="CKP23" s="414"/>
      <c r="CKQ23" s="414"/>
      <c r="CKR23" s="414"/>
      <c r="CKS23" s="414"/>
      <c r="CKT23" s="414"/>
      <c r="CKU23" s="414"/>
      <c r="CKV23" s="414"/>
      <c r="CKW23" s="414"/>
      <c r="CKX23" s="414"/>
      <c r="CKY23" s="414"/>
      <c r="CKZ23" s="414"/>
      <c r="CLA23" s="414"/>
      <c r="CLB23" s="414"/>
      <c r="CLC23" s="414"/>
      <c r="CLD23" s="414"/>
      <c r="CLE23" s="414"/>
      <c r="CLF23" s="414"/>
      <c r="CLG23" s="414"/>
      <c r="CLH23" s="414"/>
      <c r="CLI23" s="414"/>
      <c r="CLJ23" s="414"/>
      <c r="CLK23" s="414"/>
      <c r="CLL23" s="414"/>
      <c r="CLM23" s="414"/>
      <c r="CLN23" s="414"/>
      <c r="CLO23" s="414"/>
      <c r="CLP23" s="414"/>
      <c r="CLQ23" s="414"/>
      <c r="CLR23" s="414"/>
      <c r="CLS23" s="414"/>
      <c r="CLT23" s="414"/>
      <c r="CLU23" s="414"/>
      <c r="CLV23" s="414"/>
      <c r="CLW23" s="414"/>
      <c r="CLX23" s="414"/>
      <c r="CLY23" s="414"/>
      <c r="CLZ23" s="414"/>
      <c r="CMA23" s="414"/>
      <c r="CMB23" s="414"/>
      <c r="CMC23" s="414"/>
      <c r="CMD23" s="414"/>
      <c r="CME23" s="414"/>
      <c r="CMF23" s="414"/>
      <c r="CMG23" s="414"/>
      <c r="CMH23" s="414"/>
      <c r="CMI23" s="414"/>
      <c r="CMJ23" s="414"/>
      <c r="CMK23" s="414"/>
      <c r="CML23" s="414"/>
      <c r="CMM23" s="414"/>
      <c r="CMN23" s="414"/>
      <c r="CMO23" s="414"/>
      <c r="CMP23" s="414"/>
      <c r="CMQ23" s="414"/>
      <c r="CMR23" s="414"/>
      <c r="CMS23" s="414"/>
      <c r="CMT23" s="414"/>
      <c r="CMU23" s="414"/>
      <c r="CMV23" s="414"/>
      <c r="CMW23" s="414"/>
      <c r="CMX23" s="414"/>
      <c r="CMY23" s="414"/>
      <c r="CMZ23" s="414"/>
      <c r="CNA23" s="414"/>
      <c r="CNB23" s="414"/>
      <c r="CNC23" s="414"/>
      <c r="CND23" s="414"/>
      <c r="CNE23" s="414"/>
      <c r="CNF23" s="414"/>
      <c r="CNG23" s="414"/>
      <c r="CNH23" s="414"/>
      <c r="CNI23" s="414"/>
      <c r="CNJ23" s="414"/>
      <c r="CNK23" s="414"/>
      <c r="CNL23" s="414"/>
      <c r="CNM23" s="414"/>
      <c r="CNN23" s="414"/>
      <c r="CNO23" s="414"/>
      <c r="CNP23" s="414"/>
      <c r="CNQ23" s="414"/>
      <c r="CNR23" s="414"/>
      <c r="CNS23" s="414"/>
      <c r="CNT23" s="414"/>
      <c r="CNU23" s="414"/>
      <c r="CNV23" s="414"/>
      <c r="CNW23" s="414"/>
      <c r="CNX23" s="414"/>
      <c r="CNY23" s="414"/>
      <c r="CNZ23" s="414"/>
      <c r="COA23" s="414"/>
      <c r="COB23" s="414"/>
      <c r="COC23" s="414"/>
      <c r="COD23" s="414"/>
      <c r="COE23" s="414"/>
      <c r="COF23" s="414"/>
      <c r="COG23" s="414"/>
      <c r="COH23" s="414"/>
      <c r="COI23" s="414"/>
      <c r="COJ23" s="414"/>
      <c r="COK23" s="414"/>
      <c r="COL23" s="414"/>
      <c r="COM23" s="414"/>
      <c r="CON23" s="414"/>
      <c r="COO23" s="414"/>
      <c r="COP23" s="414"/>
      <c r="COQ23" s="414"/>
      <c r="COR23" s="414"/>
      <c r="COS23" s="414"/>
      <c r="COT23" s="414"/>
      <c r="COU23" s="414"/>
      <c r="COV23" s="414"/>
      <c r="COW23" s="414"/>
      <c r="COX23" s="414"/>
      <c r="COY23" s="414"/>
      <c r="COZ23" s="414"/>
      <c r="CPA23" s="414"/>
      <c r="CPB23" s="414"/>
      <c r="CPC23" s="414"/>
      <c r="CPD23" s="414"/>
      <c r="CPE23" s="414"/>
      <c r="CPF23" s="414"/>
      <c r="CPG23" s="414"/>
      <c r="CPH23" s="414"/>
      <c r="CPI23" s="414"/>
      <c r="CPJ23" s="414"/>
      <c r="CPK23" s="414"/>
      <c r="CPL23" s="414"/>
      <c r="CPM23" s="414"/>
      <c r="CPN23" s="414"/>
      <c r="CPO23" s="414"/>
      <c r="CPP23" s="414"/>
      <c r="CPQ23" s="414"/>
      <c r="CPR23" s="414"/>
      <c r="CPS23" s="414"/>
      <c r="CPT23" s="414"/>
      <c r="CPU23" s="414"/>
      <c r="CPV23" s="414"/>
      <c r="CPW23" s="414"/>
      <c r="CPX23" s="414"/>
      <c r="CPY23" s="414"/>
      <c r="CPZ23" s="414"/>
      <c r="CQA23" s="414"/>
      <c r="CQB23" s="414"/>
      <c r="CQC23" s="414"/>
      <c r="CQD23" s="414"/>
      <c r="CQE23" s="414"/>
      <c r="CQF23" s="414"/>
      <c r="CQG23" s="414"/>
      <c r="CQH23" s="414"/>
      <c r="CQI23" s="414"/>
      <c r="CQJ23" s="414"/>
      <c r="CQK23" s="414"/>
      <c r="CQL23" s="414"/>
      <c r="CQM23" s="414"/>
      <c r="CQN23" s="414"/>
      <c r="CQO23" s="414"/>
      <c r="CQP23" s="414"/>
      <c r="CQQ23" s="414"/>
      <c r="CQR23" s="414"/>
      <c r="CQS23" s="414"/>
      <c r="CQT23" s="414"/>
      <c r="CQU23" s="414"/>
      <c r="CQV23" s="414"/>
      <c r="CQW23" s="414"/>
      <c r="CQX23" s="414"/>
      <c r="CQY23" s="414"/>
      <c r="CQZ23" s="414"/>
      <c r="CRA23" s="414"/>
      <c r="CRB23" s="414"/>
      <c r="CRC23" s="414"/>
      <c r="CRD23" s="414"/>
      <c r="CRE23" s="414"/>
      <c r="CRF23" s="414"/>
      <c r="CRG23" s="414"/>
      <c r="CRH23" s="414"/>
      <c r="CRI23" s="414"/>
      <c r="CRJ23" s="414"/>
      <c r="CRK23" s="414"/>
      <c r="CRL23" s="414"/>
      <c r="CRM23" s="414"/>
      <c r="CRN23" s="414"/>
      <c r="CRO23" s="414"/>
      <c r="CRP23" s="414"/>
      <c r="CRQ23" s="414"/>
      <c r="CRR23" s="414"/>
      <c r="CRS23" s="414"/>
      <c r="CRT23" s="414"/>
      <c r="CRU23" s="414"/>
      <c r="CRV23" s="414"/>
      <c r="CRW23" s="414"/>
      <c r="CRX23" s="414"/>
      <c r="CRY23" s="414"/>
      <c r="CRZ23" s="414"/>
      <c r="CSA23" s="414"/>
      <c r="CSB23" s="414"/>
      <c r="CSC23" s="414"/>
      <c r="CSD23" s="414"/>
      <c r="CSE23" s="414"/>
      <c r="CSF23" s="414"/>
      <c r="CSG23" s="414"/>
      <c r="CSH23" s="414"/>
      <c r="CSI23" s="414"/>
      <c r="CSJ23" s="414"/>
      <c r="CSK23" s="414"/>
      <c r="CSL23" s="414"/>
      <c r="CSM23" s="414"/>
      <c r="CSN23" s="414"/>
      <c r="CSO23" s="414"/>
      <c r="CSP23" s="414"/>
      <c r="CSQ23" s="414"/>
      <c r="CSR23" s="414"/>
      <c r="CSS23" s="414"/>
      <c r="CST23" s="414"/>
      <c r="CSU23" s="414"/>
      <c r="CSV23" s="414"/>
      <c r="CSW23" s="414"/>
      <c r="CSX23" s="414"/>
      <c r="CSY23" s="414"/>
      <c r="CSZ23" s="414"/>
      <c r="CTA23" s="414"/>
      <c r="CTB23" s="414"/>
      <c r="CTC23" s="414"/>
      <c r="CTD23" s="414"/>
      <c r="CTE23" s="414"/>
      <c r="CTF23" s="414"/>
      <c r="CTG23" s="414"/>
      <c r="CTH23" s="414"/>
      <c r="CTI23" s="414"/>
      <c r="CTJ23" s="414"/>
      <c r="CTK23" s="414"/>
      <c r="CTL23" s="414"/>
      <c r="CTM23" s="414"/>
      <c r="CTN23" s="414"/>
      <c r="CTO23" s="414"/>
      <c r="CTP23" s="414"/>
      <c r="CTQ23" s="414"/>
      <c r="CTR23" s="414"/>
      <c r="CTS23" s="414"/>
      <c r="CTT23" s="414"/>
      <c r="CTU23" s="414"/>
      <c r="CTV23" s="414"/>
      <c r="CTW23" s="414"/>
      <c r="CTX23" s="414"/>
      <c r="CTY23" s="414"/>
      <c r="CTZ23" s="414"/>
      <c r="CUA23" s="414"/>
      <c r="CUB23" s="414"/>
      <c r="CUC23" s="414"/>
      <c r="CUD23" s="414"/>
      <c r="CUE23" s="414"/>
      <c r="CUF23" s="414"/>
      <c r="CUG23" s="414"/>
      <c r="CUH23" s="414"/>
      <c r="CUI23" s="414"/>
      <c r="CUJ23" s="414"/>
      <c r="CUK23" s="414"/>
      <c r="CUL23" s="414"/>
      <c r="CUM23" s="414"/>
      <c r="CUN23" s="414"/>
      <c r="CUO23" s="414"/>
      <c r="CUP23" s="414"/>
      <c r="CUQ23" s="414"/>
      <c r="CUR23" s="414"/>
      <c r="CUS23" s="414"/>
      <c r="CUT23" s="414"/>
      <c r="CUU23" s="414"/>
      <c r="CUV23" s="414"/>
      <c r="CUW23" s="414"/>
      <c r="CUX23" s="414"/>
      <c r="CUY23" s="414"/>
      <c r="CUZ23" s="414"/>
      <c r="CVA23" s="414"/>
      <c r="CVB23" s="414"/>
      <c r="CVC23" s="414"/>
      <c r="CVD23" s="414"/>
      <c r="CVE23" s="414"/>
      <c r="CVF23" s="414"/>
      <c r="CVG23" s="414"/>
      <c r="CVH23" s="414"/>
      <c r="CVI23" s="414"/>
      <c r="CVJ23" s="414"/>
      <c r="CVK23" s="414"/>
      <c r="CVL23" s="414"/>
      <c r="CVM23" s="414"/>
      <c r="CVN23" s="414"/>
      <c r="CVO23" s="414"/>
      <c r="CVP23" s="414"/>
      <c r="CVQ23" s="414"/>
      <c r="CVR23" s="414"/>
      <c r="CVS23" s="414"/>
      <c r="CVT23" s="414"/>
      <c r="CVU23" s="414"/>
      <c r="CVV23" s="414"/>
      <c r="CVW23" s="414"/>
      <c r="CVX23" s="414"/>
      <c r="CVY23" s="414"/>
      <c r="CVZ23" s="414"/>
      <c r="CWA23" s="414"/>
      <c r="CWB23" s="414"/>
      <c r="CWC23" s="414"/>
      <c r="CWD23" s="414"/>
      <c r="CWE23" s="414"/>
      <c r="CWF23" s="414"/>
      <c r="CWG23" s="414"/>
      <c r="CWH23" s="414"/>
      <c r="CWI23" s="414"/>
      <c r="CWJ23" s="414"/>
      <c r="CWK23" s="414"/>
      <c r="CWL23" s="414"/>
      <c r="CWM23" s="414"/>
      <c r="CWN23" s="414"/>
      <c r="CWO23" s="414"/>
      <c r="CWP23" s="414"/>
      <c r="CWQ23" s="414"/>
      <c r="CWR23" s="414"/>
      <c r="CWS23" s="414"/>
      <c r="CWT23" s="414"/>
      <c r="CWU23" s="414"/>
      <c r="CWV23" s="414"/>
      <c r="CWW23" s="414"/>
      <c r="CWX23" s="414"/>
      <c r="CWY23" s="414"/>
      <c r="CWZ23" s="414"/>
      <c r="CXA23" s="414"/>
      <c r="CXB23" s="414"/>
      <c r="CXC23" s="414"/>
      <c r="CXD23" s="414"/>
      <c r="CXE23" s="414"/>
      <c r="CXF23" s="414"/>
      <c r="CXG23" s="414"/>
      <c r="CXH23" s="414"/>
      <c r="CXI23" s="414"/>
      <c r="CXJ23" s="414"/>
      <c r="CXK23" s="414"/>
      <c r="CXL23" s="414"/>
      <c r="CXM23" s="414"/>
      <c r="CXN23" s="414"/>
      <c r="CXO23" s="414"/>
      <c r="CXP23" s="414"/>
      <c r="CXQ23" s="414"/>
      <c r="CXR23" s="414"/>
      <c r="CXS23" s="414"/>
      <c r="CXT23" s="414"/>
      <c r="CXU23" s="414"/>
      <c r="CXV23" s="414"/>
      <c r="CXW23" s="414"/>
      <c r="CXX23" s="414"/>
      <c r="CXY23" s="414"/>
      <c r="CXZ23" s="414"/>
      <c r="CYA23" s="414"/>
      <c r="CYB23" s="414"/>
      <c r="CYC23" s="414"/>
      <c r="CYD23" s="414"/>
      <c r="CYE23" s="414"/>
      <c r="CYF23" s="414"/>
      <c r="CYG23" s="414"/>
      <c r="CYH23" s="414"/>
      <c r="CYI23" s="414"/>
      <c r="CYJ23" s="414"/>
      <c r="CYK23" s="414"/>
      <c r="CYL23" s="414"/>
      <c r="CYM23" s="414"/>
      <c r="CYN23" s="414"/>
      <c r="CYO23" s="414"/>
      <c r="CYP23" s="414"/>
      <c r="CYQ23" s="414"/>
      <c r="CYR23" s="414"/>
      <c r="CYS23" s="414"/>
      <c r="CYT23" s="414"/>
      <c r="CYU23" s="414"/>
      <c r="CYV23" s="414"/>
      <c r="CYW23" s="414"/>
      <c r="CYX23" s="414"/>
      <c r="CYY23" s="414"/>
      <c r="CYZ23" s="414"/>
      <c r="CZA23" s="414"/>
      <c r="CZB23" s="414"/>
      <c r="CZC23" s="414"/>
      <c r="CZD23" s="414"/>
      <c r="CZE23" s="414"/>
      <c r="CZF23" s="414"/>
      <c r="CZG23" s="414"/>
      <c r="CZH23" s="414"/>
      <c r="CZI23" s="414"/>
      <c r="CZJ23" s="414"/>
      <c r="CZK23" s="414"/>
      <c r="CZL23" s="414"/>
      <c r="CZM23" s="414"/>
      <c r="CZN23" s="414"/>
      <c r="CZO23" s="414"/>
      <c r="CZP23" s="414"/>
      <c r="CZQ23" s="414"/>
      <c r="CZR23" s="414"/>
      <c r="CZS23" s="414"/>
      <c r="CZT23" s="414"/>
      <c r="CZU23" s="414"/>
      <c r="CZV23" s="414"/>
      <c r="CZW23" s="414"/>
      <c r="CZX23" s="414"/>
      <c r="CZY23" s="414"/>
      <c r="CZZ23" s="414"/>
      <c r="DAA23" s="414"/>
      <c r="DAB23" s="414"/>
      <c r="DAC23" s="414"/>
      <c r="DAD23" s="414"/>
      <c r="DAE23" s="414"/>
      <c r="DAF23" s="414"/>
      <c r="DAG23" s="414"/>
      <c r="DAH23" s="414"/>
      <c r="DAI23" s="414"/>
      <c r="DAJ23" s="414"/>
      <c r="DAK23" s="414"/>
      <c r="DAL23" s="414"/>
      <c r="DAM23" s="414"/>
      <c r="DAN23" s="414"/>
      <c r="DAO23" s="414"/>
      <c r="DAP23" s="414"/>
      <c r="DAQ23" s="414"/>
      <c r="DAR23" s="414"/>
      <c r="DAS23" s="414"/>
      <c r="DAT23" s="414"/>
      <c r="DAU23" s="414"/>
      <c r="DAV23" s="414"/>
      <c r="DAW23" s="414"/>
      <c r="DAX23" s="414"/>
      <c r="DAY23" s="414"/>
      <c r="DAZ23" s="414"/>
      <c r="DBA23" s="414"/>
      <c r="DBB23" s="414"/>
      <c r="DBC23" s="414"/>
      <c r="DBD23" s="414"/>
      <c r="DBE23" s="414"/>
      <c r="DBF23" s="414"/>
      <c r="DBG23" s="414"/>
      <c r="DBH23" s="414"/>
      <c r="DBI23" s="414"/>
      <c r="DBJ23" s="414"/>
      <c r="DBK23" s="414"/>
      <c r="DBL23" s="414"/>
      <c r="DBM23" s="414"/>
      <c r="DBN23" s="414"/>
      <c r="DBO23" s="414"/>
      <c r="DBP23" s="414"/>
      <c r="DBQ23" s="414"/>
      <c r="DBR23" s="414"/>
      <c r="DBS23" s="414"/>
      <c r="DBT23" s="414"/>
      <c r="DBU23" s="414"/>
      <c r="DBV23" s="414"/>
      <c r="DBW23" s="414"/>
      <c r="DBX23" s="414"/>
      <c r="DBY23" s="414"/>
      <c r="DBZ23" s="414"/>
      <c r="DCA23" s="414"/>
      <c r="DCB23" s="414"/>
      <c r="DCC23" s="414"/>
      <c r="DCD23" s="414"/>
      <c r="DCE23" s="414"/>
      <c r="DCF23" s="414"/>
      <c r="DCG23" s="414"/>
      <c r="DCH23" s="414"/>
      <c r="DCI23" s="414"/>
      <c r="DCJ23" s="414"/>
      <c r="DCK23" s="414"/>
      <c r="DCL23" s="414"/>
      <c r="DCM23" s="414"/>
      <c r="DCN23" s="414"/>
      <c r="DCO23" s="414"/>
      <c r="DCP23" s="414"/>
      <c r="DCQ23" s="414"/>
      <c r="DCR23" s="414"/>
      <c r="DCS23" s="414"/>
      <c r="DCT23" s="414"/>
      <c r="DCU23" s="414"/>
      <c r="DCV23" s="414"/>
      <c r="DCW23" s="414"/>
      <c r="DCX23" s="414"/>
      <c r="DCY23" s="414"/>
      <c r="DCZ23" s="414"/>
      <c r="DDA23" s="414"/>
      <c r="DDB23" s="414"/>
      <c r="DDC23" s="414"/>
      <c r="DDD23" s="414"/>
      <c r="DDE23" s="414"/>
      <c r="DDF23" s="414"/>
      <c r="DDG23" s="414"/>
      <c r="DDH23" s="414"/>
      <c r="DDI23" s="414"/>
      <c r="DDJ23" s="414"/>
      <c r="DDK23" s="414"/>
      <c r="DDL23" s="414"/>
      <c r="DDM23" s="414"/>
      <c r="DDN23" s="414"/>
      <c r="DDO23" s="414"/>
      <c r="DDP23" s="414"/>
      <c r="DDQ23" s="414"/>
      <c r="DDR23" s="414"/>
      <c r="DDS23" s="414"/>
      <c r="DDT23" s="414"/>
      <c r="DDU23" s="414"/>
      <c r="DDV23" s="414"/>
      <c r="DDW23" s="414"/>
      <c r="DDX23" s="414"/>
      <c r="DDY23" s="414"/>
      <c r="DDZ23" s="414"/>
      <c r="DEA23" s="414"/>
      <c r="DEB23" s="414"/>
      <c r="DEC23" s="414"/>
      <c r="DED23" s="414"/>
      <c r="DEE23" s="414"/>
      <c r="DEF23" s="414"/>
      <c r="DEG23" s="414"/>
      <c r="DEH23" s="414"/>
      <c r="DEI23" s="414"/>
      <c r="DEJ23" s="414"/>
      <c r="DEK23" s="414"/>
      <c r="DEL23" s="414"/>
      <c r="DEM23" s="414"/>
      <c r="DEN23" s="414"/>
      <c r="DEO23" s="414"/>
      <c r="DEP23" s="414"/>
      <c r="DEQ23" s="414"/>
      <c r="DER23" s="414"/>
      <c r="DES23" s="414"/>
      <c r="DET23" s="414"/>
      <c r="DEU23" s="414"/>
      <c r="DEV23" s="414"/>
      <c r="DEW23" s="414"/>
      <c r="DEX23" s="414"/>
      <c r="DEY23" s="414"/>
      <c r="DEZ23" s="414"/>
      <c r="DFA23" s="414"/>
      <c r="DFB23" s="414"/>
      <c r="DFC23" s="414"/>
      <c r="DFD23" s="414"/>
      <c r="DFE23" s="414"/>
      <c r="DFF23" s="414"/>
      <c r="DFG23" s="414"/>
      <c r="DFH23" s="414"/>
      <c r="DFI23" s="414"/>
      <c r="DFJ23" s="414"/>
      <c r="DFK23" s="414"/>
      <c r="DFL23" s="414"/>
      <c r="DFM23" s="414"/>
      <c r="DFN23" s="414"/>
      <c r="DFO23" s="414"/>
      <c r="DFP23" s="414"/>
      <c r="DFQ23" s="414"/>
      <c r="DFR23" s="414"/>
      <c r="DFS23" s="414"/>
      <c r="DFT23" s="414"/>
      <c r="DFU23" s="414"/>
      <c r="DFV23" s="414"/>
      <c r="DFW23" s="414"/>
      <c r="DFX23" s="414"/>
      <c r="DFY23" s="414"/>
      <c r="DFZ23" s="414"/>
      <c r="DGA23" s="414"/>
      <c r="DGB23" s="414"/>
      <c r="DGC23" s="414"/>
      <c r="DGD23" s="414"/>
      <c r="DGE23" s="414"/>
      <c r="DGF23" s="414"/>
      <c r="DGG23" s="414"/>
      <c r="DGH23" s="414"/>
      <c r="DGI23" s="414"/>
      <c r="DGJ23" s="414"/>
      <c r="DGK23" s="414"/>
      <c r="DGL23" s="414"/>
      <c r="DGM23" s="414"/>
      <c r="DGN23" s="414"/>
      <c r="DGO23" s="414"/>
      <c r="DGP23" s="414"/>
      <c r="DGQ23" s="414"/>
      <c r="DGR23" s="414"/>
      <c r="DGS23" s="414"/>
      <c r="DGT23" s="414"/>
      <c r="DGU23" s="414"/>
      <c r="DGV23" s="414"/>
      <c r="DGW23" s="414"/>
      <c r="DGX23" s="414"/>
      <c r="DGY23" s="414"/>
      <c r="DGZ23" s="414"/>
      <c r="DHA23" s="414"/>
      <c r="DHB23" s="414"/>
      <c r="DHC23" s="414"/>
      <c r="DHD23" s="414"/>
      <c r="DHE23" s="414"/>
      <c r="DHF23" s="414"/>
      <c r="DHG23" s="414"/>
      <c r="DHH23" s="414"/>
      <c r="DHI23" s="414"/>
      <c r="DHJ23" s="414"/>
      <c r="DHK23" s="414"/>
      <c r="DHL23" s="414"/>
      <c r="DHM23" s="414"/>
      <c r="DHN23" s="414"/>
      <c r="DHO23" s="414"/>
      <c r="DHP23" s="414"/>
      <c r="DHQ23" s="414"/>
      <c r="DHR23" s="414"/>
      <c r="DHS23" s="414"/>
      <c r="DHT23" s="414"/>
      <c r="DHU23" s="414"/>
      <c r="DHV23" s="414"/>
      <c r="DHW23" s="414"/>
      <c r="DHX23" s="414"/>
      <c r="DHY23" s="414"/>
      <c r="DHZ23" s="414"/>
      <c r="DIA23" s="414"/>
      <c r="DIB23" s="414"/>
      <c r="DIC23" s="414"/>
      <c r="DID23" s="414"/>
      <c r="DIE23" s="414"/>
      <c r="DIF23" s="414"/>
      <c r="DIG23" s="414"/>
      <c r="DIH23" s="414"/>
      <c r="DII23" s="414"/>
      <c r="DIJ23" s="414"/>
      <c r="DIK23" s="414"/>
      <c r="DIL23" s="414"/>
      <c r="DIM23" s="414"/>
      <c r="DIN23" s="414"/>
      <c r="DIO23" s="414"/>
      <c r="DIP23" s="414"/>
      <c r="DIQ23" s="414"/>
      <c r="DIR23" s="414"/>
      <c r="DIS23" s="414"/>
      <c r="DIT23" s="414"/>
      <c r="DIU23" s="414"/>
      <c r="DIV23" s="414"/>
      <c r="DIW23" s="414"/>
      <c r="DIX23" s="414"/>
      <c r="DIY23" s="414"/>
      <c r="DIZ23" s="414"/>
      <c r="DJA23" s="414"/>
      <c r="DJB23" s="414"/>
      <c r="DJC23" s="414"/>
      <c r="DJD23" s="414"/>
      <c r="DJE23" s="414"/>
      <c r="DJF23" s="414"/>
      <c r="DJG23" s="414"/>
      <c r="DJH23" s="414"/>
      <c r="DJI23" s="414"/>
      <c r="DJJ23" s="414"/>
      <c r="DJK23" s="414"/>
      <c r="DJL23" s="414"/>
      <c r="DJM23" s="414"/>
      <c r="DJN23" s="414"/>
      <c r="DJO23" s="414"/>
      <c r="DJP23" s="414"/>
      <c r="DJQ23" s="414"/>
      <c r="DJR23" s="414"/>
      <c r="DJS23" s="414"/>
      <c r="DJT23" s="414"/>
      <c r="DJU23" s="414"/>
      <c r="DJV23" s="414"/>
      <c r="DJW23" s="414"/>
      <c r="DJX23" s="414"/>
      <c r="DJY23" s="414"/>
      <c r="DJZ23" s="414"/>
      <c r="DKA23" s="414"/>
      <c r="DKB23" s="414"/>
      <c r="DKC23" s="414"/>
      <c r="DKD23" s="414"/>
      <c r="DKE23" s="414"/>
      <c r="DKF23" s="414"/>
      <c r="DKG23" s="414"/>
      <c r="DKH23" s="414"/>
      <c r="DKI23" s="414"/>
      <c r="DKJ23" s="414"/>
      <c r="DKK23" s="414"/>
      <c r="DKL23" s="414"/>
      <c r="DKM23" s="414"/>
      <c r="DKN23" s="414"/>
      <c r="DKO23" s="414"/>
      <c r="DKP23" s="414"/>
      <c r="DKQ23" s="414"/>
      <c r="DKR23" s="414"/>
      <c r="DKS23" s="414"/>
      <c r="DKT23" s="414"/>
      <c r="DKU23" s="414"/>
      <c r="DKV23" s="414"/>
      <c r="DKW23" s="414"/>
      <c r="DKX23" s="414"/>
      <c r="DKY23" s="414"/>
      <c r="DKZ23" s="414"/>
      <c r="DLA23" s="414"/>
      <c r="DLB23" s="414"/>
      <c r="DLC23" s="414"/>
      <c r="DLD23" s="414"/>
      <c r="DLE23" s="414"/>
      <c r="DLF23" s="414"/>
      <c r="DLG23" s="414"/>
      <c r="DLH23" s="414"/>
      <c r="DLI23" s="414"/>
      <c r="DLJ23" s="414"/>
      <c r="DLK23" s="414"/>
      <c r="DLL23" s="414"/>
      <c r="DLM23" s="414"/>
      <c r="DLN23" s="414"/>
      <c r="DLO23" s="414"/>
      <c r="DLP23" s="414"/>
      <c r="DLQ23" s="414"/>
      <c r="DLR23" s="414"/>
      <c r="DLS23" s="414"/>
      <c r="DLT23" s="414"/>
      <c r="DLU23" s="414"/>
      <c r="DLV23" s="414"/>
      <c r="DLW23" s="414"/>
      <c r="DLX23" s="414"/>
      <c r="DLY23" s="414"/>
      <c r="DLZ23" s="414"/>
      <c r="DMA23" s="414"/>
      <c r="DMB23" s="414"/>
      <c r="DMC23" s="414"/>
      <c r="DMD23" s="414"/>
      <c r="DME23" s="414"/>
      <c r="DMF23" s="414"/>
      <c r="DMG23" s="414"/>
      <c r="DMH23" s="414"/>
      <c r="DMI23" s="414"/>
      <c r="DMJ23" s="414"/>
      <c r="DMK23" s="414"/>
      <c r="DML23" s="414"/>
      <c r="DMM23" s="414"/>
      <c r="DMN23" s="414"/>
      <c r="DMO23" s="414"/>
      <c r="DMP23" s="414"/>
      <c r="DMQ23" s="414"/>
      <c r="DMR23" s="414"/>
      <c r="DMS23" s="414"/>
      <c r="DMT23" s="414"/>
      <c r="DMU23" s="414"/>
      <c r="DMV23" s="414"/>
      <c r="DMW23" s="414"/>
      <c r="DMX23" s="414"/>
      <c r="DMY23" s="414"/>
      <c r="DMZ23" s="414"/>
      <c r="DNA23" s="414"/>
      <c r="DNB23" s="414"/>
      <c r="DNC23" s="414"/>
      <c r="DND23" s="414"/>
      <c r="DNE23" s="414"/>
      <c r="DNF23" s="414"/>
      <c r="DNG23" s="414"/>
      <c r="DNH23" s="414"/>
      <c r="DNI23" s="414"/>
      <c r="DNJ23" s="414"/>
      <c r="DNK23" s="414"/>
      <c r="DNL23" s="414"/>
      <c r="DNM23" s="414"/>
      <c r="DNN23" s="414"/>
      <c r="DNO23" s="414"/>
      <c r="DNP23" s="414"/>
      <c r="DNQ23" s="414"/>
      <c r="DNR23" s="414"/>
      <c r="DNS23" s="414"/>
      <c r="DNT23" s="414"/>
      <c r="DNU23" s="414"/>
      <c r="DNV23" s="414"/>
      <c r="DNW23" s="414"/>
      <c r="DNX23" s="414"/>
      <c r="DNY23" s="414"/>
      <c r="DNZ23" s="414"/>
      <c r="DOA23" s="414"/>
      <c r="DOB23" s="414"/>
      <c r="DOC23" s="414"/>
      <c r="DOD23" s="414"/>
      <c r="DOE23" s="414"/>
      <c r="DOF23" s="414"/>
      <c r="DOG23" s="414"/>
      <c r="DOH23" s="414"/>
      <c r="DOI23" s="414"/>
      <c r="DOJ23" s="414"/>
      <c r="DOK23" s="414"/>
      <c r="DOL23" s="414"/>
      <c r="DOM23" s="414"/>
      <c r="DON23" s="414"/>
      <c r="DOO23" s="414"/>
      <c r="DOP23" s="414"/>
      <c r="DOQ23" s="414"/>
      <c r="DOR23" s="414"/>
      <c r="DOS23" s="414"/>
      <c r="DOT23" s="414"/>
      <c r="DOU23" s="414"/>
      <c r="DOV23" s="414"/>
      <c r="DOW23" s="414"/>
      <c r="DOX23" s="414"/>
      <c r="DOY23" s="414"/>
      <c r="DOZ23" s="414"/>
      <c r="DPA23" s="414"/>
      <c r="DPB23" s="414"/>
      <c r="DPC23" s="414"/>
      <c r="DPD23" s="414"/>
      <c r="DPE23" s="414"/>
      <c r="DPF23" s="414"/>
      <c r="DPG23" s="414"/>
      <c r="DPH23" s="414"/>
      <c r="DPI23" s="414"/>
      <c r="DPJ23" s="414"/>
      <c r="DPK23" s="414"/>
      <c r="DPL23" s="414"/>
      <c r="DPM23" s="414"/>
      <c r="DPN23" s="414"/>
      <c r="DPO23" s="414"/>
      <c r="DPP23" s="414"/>
      <c r="DPQ23" s="414"/>
      <c r="DPR23" s="414"/>
      <c r="DPS23" s="414"/>
      <c r="DPT23" s="414"/>
      <c r="DPU23" s="414"/>
      <c r="DPV23" s="414"/>
      <c r="DPW23" s="414"/>
      <c r="DPX23" s="414"/>
      <c r="DPY23" s="414"/>
      <c r="DPZ23" s="414"/>
      <c r="DQA23" s="414"/>
      <c r="DQB23" s="414"/>
      <c r="DQC23" s="414"/>
      <c r="DQD23" s="414"/>
      <c r="DQE23" s="414"/>
      <c r="DQF23" s="414"/>
      <c r="DQG23" s="414"/>
      <c r="DQH23" s="414"/>
      <c r="DQI23" s="414"/>
      <c r="DQJ23" s="414"/>
      <c r="DQK23" s="414"/>
      <c r="DQL23" s="414"/>
      <c r="DQM23" s="414"/>
      <c r="DQN23" s="414"/>
      <c r="DQO23" s="414"/>
      <c r="DQP23" s="414"/>
      <c r="DQQ23" s="414"/>
      <c r="DQR23" s="414"/>
      <c r="DQS23" s="414"/>
      <c r="DQT23" s="414"/>
      <c r="DQU23" s="414"/>
      <c r="DQV23" s="414"/>
      <c r="DQW23" s="414"/>
      <c r="DQX23" s="414"/>
      <c r="DQY23" s="414"/>
      <c r="DQZ23" s="414"/>
      <c r="DRA23" s="414"/>
      <c r="DRB23" s="414"/>
      <c r="DRC23" s="414"/>
      <c r="DRD23" s="414"/>
      <c r="DRE23" s="414"/>
      <c r="DRF23" s="414"/>
      <c r="DRG23" s="414"/>
      <c r="DRH23" s="414"/>
      <c r="DRI23" s="414"/>
      <c r="DRJ23" s="414"/>
      <c r="DRK23" s="414"/>
      <c r="DRL23" s="414"/>
      <c r="DRM23" s="414"/>
      <c r="DRN23" s="414"/>
      <c r="DRO23" s="414"/>
      <c r="DRP23" s="414"/>
      <c r="DRQ23" s="414"/>
      <c r="DRR23" s="414"/>
      <c r="DRS23" s="414"/>
      <c r="DRT23" s="414"/>
      <c r="DRU23" s="414"/>
      <c r="DRV23" s="414"/>
      <c r="DRW23" s="414"/>
      <c r="DRX23" s="414"/>
      <c r="DRY23" s="414"/>
      <c r="DRZ23" s="414"/>
      <c r="DSA23" s="414"/>
      <c r="DSB23" s="414"/>
      <c r="DSC23" s="414"/>
      <c r="DSD23" s="414"/>
      <c r="DSE23" s="414"/>
      <c r="DSF23" s="414"/>
      <c r="DSG23" s="414"/>
      <c r="DSH23" s="414"/>
      <c r="DSI23" s="414"/>
      <c r="DSJ23" s="414"/>
      <c r="DSK23" s="414"/>
      <c r="DSL23" s="414"/>
      <c r="DSM23" s="414"/>
      <c r="DSN23" s="414"/>
      <c r="DSO23" s="414"/>
      <c r="DSP23" s="414"/>
      <c r="DSQ23" s="414"/>
      <c r="DSR23" s="414"/>
      <c r="DSS23" s="414"/>
      <c r="DST23" s="414"/>
      <c r="DSU23" s="414"/>
      <c r="DSV23" s="414"/>
      <c r="DSW23" s="414"/>
      <c r="DSX23" s="414"/>
      <c r="DSY23" s="414"/>
      <c r="DSZ23" s="414"/>
      <c r="DTA23" s="414"/>
      <c r="DTB23" s="414"/>
      <c r="DTC23" s="414"/>
      <c r="DTD23" s="414"/>
      <c r="DTE23" s="414"/>
      <c r="DTF23" s="414"/>
      <c r="DTG23" s="414"/>
      <c r="DTH23" s="414"/>
      <c r="DTI23" s="414"/>
      <c r="DTJ23" s="414"/>
      <c r="DTK23" s="414"/>
      <c r="DTL23" s="414"/>
      <c r="DTM23" s="414"/>
      <c r="DTN23" s="414"/>
      <c r="DTO23" s="414"/>
      <c r="DTP23" s="414"/>
      <c r="DTQ23" s="414"/>
      <c r="DTR23" s="414"/>
      <c r="DTS23" s="414"/>
      <c r="DTT23" s="414"/>
      <c r="DTU23" s="414"/>
      <c r="DTV23" s="414"/>
      <c r="DTW23" s="414"/>
      <c r="DTX23" s="414"/>
      <c r="DTY23" s="414"/>
      <c r="DTZ23" s="414"/>
      <c r="DUA23" s="414"/>
      <c r="DUB23" s="414"/>
      <c r="DUC23" s="414"/>
      <c r="DUD23" s="414"/>
      <c r="DUE23" s="414"/>
      <c r="DUF23" s="414"/>
      <c r="DUG23" s="414"/>
      <c r="DUH23" s="414"/>
      <c r="DUI23" s="414"/>
      <c r="DUJ23" s="414"/>
      <c r="DUK23" s="414"/>
      <c r="DUL23" s="414"/>
      <c r="DUM23" s="414"/>
      <c r="DUN23" s="414"/>
      <c r="DUO23" s="414"/>
      <c r="DUP23" s="414"/>
      <c r="DUQ23" s="414"/>
      <c r="DUR23" s="414"/>
      <c r="DUS23" s="414"/>
      <c r="DUT23" s="414"/>
      <c r="DUU23" s="414"/>
      <c r="DUV23" s="414"/>
      <c r="DUW23" s="414"/>
      <c r="DUX23" s="414"/>
      <c r="DUY23" s="414"/>
      <c r="DUZ23" s="414"/>
      <c r="DVA23" s="414"/>
      <c r="DVB23" s="414"/>
      <c r="DVC23" s="414"/>
      <c r="DVD23" s="414"/>
      <c r="DVE23" s="414"/>
      <c r="DVF23" s="414"/>
      <c r="DVG23" s="414"/>
      <c r="DVH23" s="414"/>
      <c r="DVI23" s="414"/>
      <c r="DVJ23" s="414"/>
      <c r="DVK23" s="414"/>
      <c r="DVL23" s="414"/>
      <c r="DVM23" s="414"/>
      <c r="DVN23" s="414"/>
      <c r="DVO23" s="414"/>
      <c r="DVP23" s="414"/>
      <c r="DVQ23" s="414"/>
      <c r="DVR23" s="414"/>
      <c r="DVS23" s="414"/>
      <c r="DVT23" s="414"/>
      <c r="DVU23" s="414"/>
      <c r="DVV23" s="414"/>
      <c r="DVW23" s="414"/>
      <c r="DVX23" s="414"/>
      <c r="DVY23" s="414"/>
      <c r="DVZ23" s="414"/>
      <c r="DWA23" s="414"/>
      <c r="DWB23" s="414"/>
      <c r="DWC23" s="414"/>
      <c r="DWD23" s="414"/>
      <c r="DWE23" s="414"/>
      <c r="DWF23" s="414"/>
      <c r="DWG23" s="414"/>
      <c r="DWH23" s="414"/>
      <c r="DWI23" s="414"/>
      <c r="DWJ23" s="414"/>
      <c r="DWK23" s="414"/>
      <c r="DWL23" s="414"/>
      <c r="DWM23" s="414"/>
      <c r="DWN23" s="414"/>
      <c r="DWO23" s="414"/>
      <c r="DWP23" s="414"/>
      <c r="DWQ23" s="414"/>
      <c r="DWR23" s="414"/>
      <c r="DWS23" s="414"/>
      <c r="DWT23" s="414"/>
      <c r="DWU23" s="414"/>
      <c r="DWV23" s="414"/>
      <c r="DWW23" s="414"/>
      <c r="DWX23" s="414"/>
      <c r="DWY23" s="414"/>
      <c r="DWZ23" s="414"/>
      <c r="DXA23" s="414"/>
      <c r="DXB23" s="414"/>
      <c r="DXC23" s="414"/>
      <c r="DXD23" s="414"/>
      <c r="DXE23" s="414"/>
      <c r="DXF23" s="414"/>
      <c r="DXG23" s="414"/>
      <c r="DXH23" s="414"/>
      <c r="DXI23" s="414"/>
      <c r="DXJ23" s="414"/>
      <c r="DXK23" s="414"/>
      <c r="DXL23" s="414"/>
      <c r="DXM23" s="414"/>
      <c r="DXN23" s="414"/>
      <c r="DXO23" s="414"/>
      <c r="DXP23" s="414"/>
      <c r="DXQ23" s="414"/>
      <c r="DXR23" s="414"/>
      <c r="DXS23" s="414"/>
      <c r="DXT23" s="414"/>
      <c r="DXU23" s="414"/>
      <c r="DXV23" s="414"/>
      <c r="DXW23" s="414"/>
      <c r="DXX23" s="414"/>
      <c r="DXY23" s="414"/>
      <c r="DXZ23" s="414"/>
      <c r="DYA23" s="414"/>
      <c r="DYB23" s="414"/>
      <c r="DYC23" s="414"/>
      <c r="DYD23" s="414"/>
      <c r="DYE23" s="414"/>
      <c r="DYF23" s="414"/>
      <c r="DYG23" s="414"/>
      <c r="DYH23" s="414"/>
      <c r="DYI23" s="414"/>
      <c r="DYJ23" s="414"/>
      <c r="DYK23" s="414"/>
      <c r="DYL23" s="414"/>
      <c r="DYM23" s="414"/>
      <c r="DYN23" s="414"/>
      <c r="DYO23" s="414"/>
      <c r="DYP23" s="414"/>
      <c r="DYQ23" s="414"/>
      <c r="DYR23" s="414"/>
      <c r="DYS23" s="414"/>
      <c r="DYT23" s="414"/>
      <c r="DYU23" s="414"/>
      <c r="DYV23" s="414"/>
      <c r="DYW23" s="414"/>
      <c r="DYX23" s="414"/>
      <c r="DYY23" s="414"/>
      <c r="DYZ23" s="414"/>
      <c r="DZA23" s="414"/>
      <c r="DZB23" s="414"/>
      <c r="DZC23" s="414"/>
      <c r="DZD23" s="414"/>
      <c r="DZE23" s="414"/>
      <c r="DZF23" s="414"/>
      <c r="DZG23" s="414"/>
      <c r="DZH23" s="414"/>
      <c r="DZI23" s="414"/>
      <c r="DZJ23" s="414"/>
      <c r="DZK23" s="414"/>
      <c r="DZL23" s="414"/>
      <c r="DZM23" s="414"/>
      <c r="DZN23" s="414"/>
      <c r="DZO23" s="414"/>
      <c r="DZP23" s="414"/>
      <c r="DZQ23" s="414"/>
      <c r="DZR23" s="414"/>
      <c r="DZS23" s="414"/>
      <c r="DZT23" s="414"/>
      <c r="DZU23" s="414"/>
      <c r="DZV23" s="414"/>
      <c r="DZW23" s="414"/>
      <c r="DZX23" s="414"/>
      <c r="DZY23" s="414"/>
      <c r="DZZ23" s="414"/>
      <c r="EAA23" s="414"/>
      <c r="EAB23" s="414"/>
      <c r="EAC23" s="414"/>
      <c r="EAD23" s="414"/>
      <c r="EAE23" s="414"/>
      <c r="EAF23" s="414"/>
      <c r="EAG23" s="414"/>
      <c r="EAH23" s="414"/>
      <c r="EAI23" s="414"/>
      <c r="EAJ23" s="414"/>
      <c r="EAK23" s="414"/>
      <c r="EAL23" s="414"/>
      <c r="EAM23" s="414"/>
      <c r="EAN23" s="414"/>
      <c r="EAO23" s="414"/>
      <c r="EAP23" s="414"/>
      <c r="EAQ23" s="414"/>
      <c r="EAR23" s="414"/>
      <c r="EAS23" s="414"/>
      <c r="EAT23" s="414"/>
      <c r="EAU23" s="414"/>
      <c r="EAV23" s="414"/>
      <c r="EAW23" s="414"/>
      <c r="EAX23" s="414"/>
      <c r="EAY23" s="414"/>
      <c r="EAZ23" s="414"/>
      <c r="EBA23" s="414"/>
      <c r="EBB23" s="414"/>
      <c r="EBC23" s="414"/>
      <c r="EBD23" s="414"/>
      <c r="EBE23" s="414"/>
      <c r="EBF23" s="414"/>
      <c r="EBG23" s="414"/>
      <c r="EBH23" s="414"/>
      <c r="EBI23" s="414"/>
      <c r="EBJ23" s="414"/>
      <c r="EBK23" s="414"/>
      <c r="EBL23" s="414"/>
      <c r="EBM23" s="414"/>
      <c r="EBN23" s="414"/>
      <c r="EBO23" s="414"/>
      <c r="EBP23" s="414"/>
      <c r="EBQ23" s="414"/>
      <c r="EBR23" s="414"/>
      <c r="EBS23" s="414"/>
      <c r="EBT23" s="414"/>
      <c r="EBU23" s="414"/>
      <c r="EBV23" s="414"/>
      <c r="EBW23" s="414"/>
      <c r="EBX23" s="414"/>
      <c r="EBY23" s="414"/>
      <c r="EBZ23" s="414"/>
      <c r="ECA23" s="414"/>
      <c r="ECB23" s="414"/>
      <c r="ECC23" s="414"/>
      <c r="ECD23" s="414"/>
      <c r="ECE23" s="414"/>
      <c r="ECF23" s="414"/>
      <c r="ECG23" s="414"/>
      <c r="ECH23" s="414"/>
      <c r="ECI23" s="414"/>
      <c r="ECJ23" s="414"/>
      <c r="ECK23" s="414"/>
      <c r="ECL23" s="414"/>
      <c r="ECM23" s="414"/>
      <c r="ECN23" s="414"/>
      <c r="ECO23" s="414"/>
      <c r="ECP23" s="414"/>
      <c r="ECQ23" s="414"/>
      <c r="ECR23" s="414"/>
      <c r="ECS23" s="414"/>
      <c r="ECT23" s="414"/>
      <c r="ECU23" s="414"/>
      <c r="ECV23" s="414"/>
      <c r="ECW23" s="414"/>
      <c r="ECX23" s="414"/>
      <c r="ECY23" s="414"/>
      <c r="ECZ23" s="414"/>
      <c r="EDA23" s="414"/>
      <c r="EDB23" s="414"/>
      <c r="EDC23" s="414"/>
      <c r="EDD23" s="414"/>
      <c r="EDE23" s="414"/>
      <c r="EDF23" s="414"/>
      <c r="EDG23" s="414"/>
      <c r="EDH23" s="414"/>
      <c r="EDI23" s="414"/>
      <c r="EDJ23" s="414"/>
      <c r="EDK23" s="414"/>
      <c r="EDL23" s="414"/>
      <c r="EDM23" s="414"/>
      <c r="EDN23" s="414"/>
      <c r="EDO23" s="414"/>
      <c r="EDP23" s="414"/>
      <c r="EDQ23" s="414"/>
      <c r="EDR23" s="414"/>
      <c r="EDS23" s="414"/>
      <c r="EDT23" s="414"/>
      <c r="EDU23" s="414"/>
      <c r="EDV23" s="414"/>
      <c r="EDW23" s="414"/>
      <c r="EDX23" s="414"/>
      <c r="EDY23" s="414"/>
      <c r="EDZ23" s="414"/>
      <c r="EEA23" s="414"/>
      <c r="EEB23" s="414"/>
      <c r="EEC23" s="414"/>
      <c r="EED23" s="414"/>
      <c r="EEE23" s="414"/>
      <c r="EEF23" s="414"/>
      <c r="EEG23" s="414"/>
      <c r="EEH23" s="414"/>
      <c r="EEI23" s="414"/>
      <c r="EEJ23" s="414"/>
      <c r="EEK23" s="414"/>
      <c r="EEL23" s="414"/>
      <c r="EEM23" s="414"/>
      <c r="EEN23" s="414"/>
      <c r="EEO23" s="414"/>
      <c r="EEP23" s="414"/>
      <c r="EEQ23" s="414"/>
      <c r="EER23" s="414"/>
      <c r="EES23" s="414"/>
      <c r="EET23" s="414"/>
      <c r="EEU23" s="414"/>
      <c r="EEV23" s="414"/>
      <c r="EEW23" s="414"/>
      <c r="EEX23" s="414"/>
      <c r="EEY23" s="414"/>
      <c r="EEZ23" s="414"/>
      <c r="EFA23" s="414"/>
      <c r="EFB23" s="414"/>
      <c r="EFC23" s="414"/>
      <c r="EFD23" s="414"/>
      <c r="EFE23" s="414"/>
      <c r="EFF23" s="414"/>
      <c r="EFG23" s="414"/>
      <c r="EFH23" s="414"/>
      <c r="EFI23" s="414"/>
      <c r="EFJ23" s="414"/>
      <c r="EFK23" s="414"/>
      <c r="EFL23" s="414"/>
      <c r="EFM23" s="414"/>
      <c r="EFN23" s="414"/>
      <c r="EFO23" s="414"/>
      <c r="EFP23" s="414"/>
      <c r="EFQ23" s="414"/>
      <c r="EFR23" s="414"/>
      <c r="EFS23" s="414"/>
      <c r="EFT23" s="414"/>
      <c r="EFU23" s="414"/>
      <c r="EFV23" s="414"/>
      <c r="EFW23" s="414"/>
      <c r="EFX23" s="414"/>
      <c r="EFY23" s="414"/>
      <c r="EFZ23" s="414"/>
      <c r="EGA23" s="414"/>
      <c r="EGB23" s="414"/>
      <c r="EGC23" s="414"/>
      <c r="EGD23" s="414"/>
      <c r="EGE23" s="414"/>
      <c r="EGF23" s="414"/>
      <c r="EGG23" s="414"/>
      <c r="EGH23" s="414"/>
      <c r="EGI23" s="414"/>
      <c r="EGJ23" s="414"/>
      <c r="EGK23" s="414"/>
      <c r="EGL23" s="414"/>
      <c r="EGM23" s="414"/>
      <c r="EGN23" s="414"/>
      <c r="EGO23" s="414"/>
      <c r="EGP23" s="414"/>
      <c r="EGQ23" s="414"/>
      <c r="EGR23" s="414"/>
      <c r="EGS23" s="414"/>
      <c r="EGT23" s="414"/>
      <c r="EGU23" s="414"/>
      <c r="EGV23" s="414"/>
      <c r="EGW23" s="414"/>
      <c r="EGX23" s="414"/>
      <c r="EGY23" s="414"/>
      <c r="EGZ23" s="414"/>
      <c r="EHA23" s="414"/>
      <c r="EHB23" s="414"/>
      <c r="EHC23" s="414"/>
      <c r="EHD23" s="414"/>
      <c r="EHE23" s="414"/>
      <c r="EHF23" s="414"/>
      <c r="EHG23" s="414"/>
      <c r="EHH23" s="414"/>
      <c r="EHI23" s="414"/>
      <c r="EHJ23" s="414"/>
      <c r="EHK23" s="414"/>
      <c r="EHL23" s="414"/>
      <c r="EHM23" s="414"/>
      <c r="EHN23" s="414"/>
      <c r="EHO23" s="414"/>
      <c r="EHP23" s="414"/>
      <c r="EHQ23" s="414"/>
      <c r="EHR23" s="414"/>
      <c r="EHS23" s="414"/>
      <c r="EHT23" s="414"/>
      <c r="EHU23" s="414"/>
      <c r="EHV23" s="414"/>
      <c r="EHW23" s="414"/>
      <c r="EHX23" s="414"/>
      <c r="EHY23" s="414"/>
      <c r="EHZ23" s="414"/>
      <c r="EIA23" s="414"/>
      <c r="EIB23" s="414"/>
      <c r="EIC23" s="414"/>
      <c r="EID23" s="414"/>
      <c r="EIE23" s="414"/>
      <c r="EIF23" s="414"/>
      <c r="EIG23" s="414"/>
      <c r="EIH23" s="414"/>
      <c r="EII23" s="414"/>
      <c r="EIJ23" s="414"/>
      <c r="EIK23" s="414"/>
      <c r="EIL23" s="414"/>
      <c r="EIM23" s="414"/>
      <c r="EIN23" s="414"/>
      <c r="EIO23" s="414"/>
      <c r="EIP23" s="414"/>
      <c r="EIQ23" s="414"/>
      <c r="EIR23" s="414"/>
      <c r="EIS23" s="414"/>
      <c r="EIT23" s="414"/>
      <c r="EIU23" s="414"/>
      <c r="EIV23" s="414"/>
      <c r="EIW23" s="414"/>
      <c r="EIX23" s="414"/>
      <c r="EIY23" s="414"/>
      <c r="EIZ23" s="414"/>
      <c r="EJA23" s="414"/>
      <c r="EJB23" s="414"/>
      <c r="EJC23" s="414"/>
      <c r="EJD23" s="414"/>
      <c r="EJE23" s="414"/>
      <c r="EJF23" s="414"/>
      <c r="EJG23" s="414"/>
      <c r="EJH23" s="414"/>
      <c r="EJI23" s="414"/>
      <c r="EJJ23" s="414"/>
      <c r="EJK23" s="414"/>
      <c r="EJL23" s="414"/>
      <c r="EJM23" s="414"/>
      <c r="EJN23" s="414"/>
      <c r="EJO23" s="414"/>
      <c r="EJP23" s="414"/>
      <c r="EJQ23" s="414"/>
      <c r="EJR23" s="414"/>
      <c r="EJS23" s="414"/>
      <c r="EJT23" s="414"/>
      <c r="EJU23" s="414"/>
      <c r="EJV23" s="414"/>
      <c r="EJW23" s="414"/>
      <c r="EJX23" s="414"/>
      <c r="EJY23" s="414"/>
      <c r="EJZ23" s="414"/>
      <c r="EKA23" s="414"/>
      <c r="EKB23" s="414"/>
      <c r="EKC23" s="414"/>
      <c r="EKD23" s="414"/>
      <c r="EKE23" s="414"/>
      <c r="EKF23" s="414"/>
      <c r="EKG23" s="414"/>
      <c r="EKH23" s="414"/>
      <c r="EKI23" s="414"/>
      <c r="EKJ23" s="414"/>
      <c r="EKK23" s="414"/>
      <c r="EKL23" s="414"/>
      <c r="EKM23" s="414"/>
      <c r="EKN23" s="414"/>
      <c r="EKO23" s="414"/>
      <c r="EKP23" s="414"/>
      <c r="EKQ23" s="414"/>
      <c r="EKR23" s="414"/>
      <c r="EKS23" s="414"/>
      <c r="EKT23" s="414"/>
      <c r="EKU23" s="414"/>
      <c r="EKV23" s="414"/>
      <c r="EKW23" s="414"/>
      <c r="EKX23" s="414"/>
      <c r="EKY23" s="414"/>
      <c r="EKZ23" s="414"/>
      <c r="ELA23" s="414"/>
      <c r="ELB23" s="414"/>
      <c r="ELC23" s="414"/>
      <c r="ELD23" s="414"/>
      <c r="ELE23" s="414"/>
      <c r="ELF23" s="414"/>
      <c r="ELG23" s="414"/>
      <c r="ELH23" s="414"/>
      <c r="ELI23" s="414"/>
      <c r="ELJ23" s="414"/>
      <c r="ELK23" s="414"/>
      <c r="ELL23" s="414"/>
      <c r="ELM23" s="414"/>
      <c r="ELN23" s="414"/>
      <c r="ELO23" s="414"/>
      <c r="ELP23" s="414"/>
      <c r="ELQ23" s="414"/>
      <c r="ELR23" s="414"/>
      <c r="ELS23" s="414"/>
      <c r="ELT23" s="414"/>
      <c r="ELU23" s="414"/>
      <c r="ELV23" s="414"/>
      <c r="ELW23" s="414"/>
      <c r="ELX23" s="414"/>
      <c r="ELY23" s="414"/>
      <c r="ELZ23" s="414"/>
      <c r="EMA23" s="414"/>
      <c r="EMB23" s="414"/>
      <c r="EMC23" s="414"/>
      <c r="EMD23" s="414"/>
      <c r="EME23" s="414"/>
      <c r="EMF23" s="414"/>
      <c r="EMG23" s="414"/>
      <c r="EMH23" s="414"/>
      <c r="EMI23" s="414"/>
      <c r="EMJ23" s="414"/>
      <c r="EMK23" s="414"/>
      <c r="EML23" s="414"/>
      <c r="EMM23" s="414"/>
      <c r="EMN23" s="414"/>
      <c r="EMO23" s="414"/>
      <c r="EMP23" s="414"/>
      <c r="EMQ23" s="414"/>
      <c r="EMR23" s="414"/>
      <c r="EMS23" s="414"/>
      <c r="EMT23" s="414"/>
      <c r="EMU23" s="414"/>
      <c r="EMV23" s="414"/>
      <c r="EMW23" s="414"/>
      <c r="EMX23" s="414"/>
      <c r="EMY23" s="414"/>
      <c r="EMZ23" s="414"/>
      <c r="ENA23" s="414"/>
      <c r="ENB23" s="414"/>
      <c r="ENC23" s="414"/>
      <c r="END23" s="414"/>
      <c r="ENE23" s="414"/>
      <c r="ENF23" s="414"/>
      <c r="ENG23" s="414"/>
      <c r="ENH23" s="414"/>
      <c r="ENI23" s="414"/>
      <c r="ENJ23" s="414"/>
      <c r="ENK23" s="414"/>
      <c r="ENL23" s="414"/>
      <c r="ENM23" s="414"/>
      <c r="ENN23" s="414"/>
      <c r="ENO23" s="414"/>
      <c r="ENP23" s="414"/>
      <c r="ENQ23" s="414"/>
      <c r="ENR23" s="414"/>
      <c r="ENS23" s="414"/>
      <c r="ENT23" s="414"/>
      <c r="ENU23" s="414"/>
      <c r="ENV23" s="414"/>
      <c r="ENW23" s="414"/>
      <c r="ENX23" s="414"/>
      <c r="ENY23" s="414"/>
      <c r="ENZ23" s="414"/>
      <c r="EOA23" s="414"/>
      <c r="EOB23" s="414"/>
      <c r="EOC23" s="414"/>
      <c r="EOD23" s="414"/>
      <c r="EOE23" s="414"/>
      <c r="EOF23" s="414"/>
      <c r="EOG23" s="414"/>
      <c r="EOH23" s="414"/>
      <c r="EOI23" s="414"/>
      <c r="EOJ23" s="414"/>
      <c r="EOK23" s="414"/>
      <c r="EOL23" s="414"/>
      <c r="EOM23" s="414"/>
      <c r="EON23" s="414"/>
      <c r="EOO23" s="414"/>
      <c r="EOP23" s="414"/>
      <c r="EOQ23" s="414"/>
      <c r="EOR23" s="414"/>
      <c r="EOS23" s="414"/>
      <c r="EOT23" s="414"/>
      <c r="EOU23" s="414"/>
      <c r="EOV23" s="414"/>
      <c r="EOW23" s="414"/>
      <c r="EOX23" s="414"/>
      <c r="EOY23" s="414"/>
      <c r="EOZ23" s="414"/>
      <c r="EPA23" s="414"/>
      <c r="EPB23" s="414"/>
      <c r="EPC23" s="414"/>
      <c r="EPD23" s="414"/>
      <c r="EPE23" s="414"/>
      <c r="EPF23" s="414"/>
      <c r="EPG23" s="414"/>
      <c r="EPH23" s="414"/>
      <c r="EPI23" s="414"/>
      <c r="EPJ23" s="414"/>
      <c r="EPK23" s="414"/>
      <c r="EPL23" s="414"/>
      <c r="EPM23" s="414"/>
      <c r="EPN23" s="414"/>
      <c r="EPO23" s="414"/>
      <c r="EPP23" s="414"/>
      <c r="EPQ23" s="414"/>
      <c r="EPR23" s="414"/>
      <c r="EPS23" s="414"/>
      <c r="EPT23" s="414"/>
      <c r="EPU23" s="414"/>
      <c r="EPV23" s="414"/>
      <c r="EPW23" s="414"/>
      <c r="EPX23" s="414"/>
      <c r="EPY23" s="414"/>
      <c r="EPZ23" s="414"/>
      <c r="EQA23" s="414"/>
      <c r="EQB23" s="414"/>
      <c r="EQC23" s="414"/>
      <c r="EQD23" s="414"/>
      <c r="EQE23" s="414"/>
      <c r="EQF23" s="414"/>
      <c r="EQG23" s="414"/>
      <c r="EQH23" s="414"/>
      <c r="EQI23" s="414"/>
      <c r="EQJ23" s="414"/>
      <c r="EQK23" s="414"/>
      <c r="EQL23" s="414"/>
      <c r="EQM23" s="414"/>
      <c r="EQN23" s="414"/>
      <c r="EQO23" s="414"/>
      <c r="EQP23" s="414"/>
      <c r="EQQ23" s="414"/>
      <c r="EQR23" s="414"/>
      <c r="EQS23" s="414"/>
      <c r="EQT23" s="414"/>
      <c r="EQU23" s="414"/>
      <c r="EQV23" s="414"/>
      <c r="EQW23" s="414"/>
      <c r="EQX23" s="414"/>
      <c r="EQY23" s="414"/>
      <c r="EQZ23" s="414"/>
      <c r="ERA23" s="414"/>
      <c r="ERB23" s="414"/>
      <c r="ERC23" s="414"/>
      <c r="ERD23" s="414"/>
      <c r="ERE23" s="414"/>
      <c r="ERF23" s="414"/>
      <c r="ERG23" s="414"/>
      <c r="ERH23" s="414"/>
      <c r="ERI23" s="414"/>
      <c r="ERJ23" s="414"/>
      <c r="ERK23" s="414"/>
      <c r="ERL23" s="414"/>
      <c r="ERM23" s="414"/>
      <c r="ERN23" s="414"/>
      <c r="ERO23" s="414"/>
      <c r="ERP23" s="414"/>
      <c r="ERQ23" s="414"/>
      <c r="ERR23" s="414"/>
      <c r="ERS23" s="414"/>
      <c r="ERT23" s="414"/>
      <c r="ERU23" s="414"/>
      <c r="ERV23" s="414"/>
      <c r="ERW23" s="414"/>
      <c r="ERX23" s="414"/>
      <c r="ERY23" s="414"/>
      <c r="ERZ23" s="414"/>
      <c r="ESA23" s="414"/>
      <c r="ESB23" s="414"/>
      <c r="ESC23" s="414"/>
      <c r="ESD23" s="414"/>
      <c r="ESE23" s="414"/>
      <c r="ESF23" s="414"/>
      <c r="ESG23" s="414"/>
      <c r="ESH23" s="414"/>
      <c r="ESI23" s="414"/>
      <c r="ESJ23" s="414"/>
      <c r="ESK23" s="414"/>
      <c r="ESL23" s="414"/>
      <c r="ESM23" s="414"/>
      <c r="ESN23" s="414"/>
      <c r="ESO23" s="414"/>
      <c r="ESP23" s="414"/>
      <c r="ESQ23" s="414"/>
      <c r="ESR23" s="414"/>
      <c r="ESS23" s="414"/>
      <c r="EST23" s="414"/>
      <c r="ESU23" s="414"/>
      <c r="ESV23" s="414"/>
      <c r="ESW23" s="414"/>
      <c r="ESX23" s="414"/>
      <c r="ESY23" s="414"/>
      <c r="ESZ23" s="414"/>
      <c r="ETA23" s="414"/>
      <c r="ETB23" s="414"/>
      <c r="ETC23" s="414"/>
      <c r="ETD23" s="414"/>
      <c r="ETE23" s="414"/>
      <c r="ETF23" s="414"/>
      <c r="ETG23" s="414"/>
      <c r="ETH23" s="414"/>
      <c r="ETI23" s="414"/>
      <c r="ETJ23" s="414"/>
      <c r="ETK23" s="414"/>
      <c r="ETL23" s="414"/>
      <c r="ETM23" s="414"/>
      <c r="ETN23" s="414"/>
      <c r="ETO23" s="414"/>
      <c r="ETP23" s="414"/>
      <c r="ETQ23" s="414"/>
      <c r="ETR23" s="414"/>
      <c r="ETS23" s="414"/>
      <c r="ETT23" s="414"/>
      <c r="ETU23" s="414"/>
      <c r="ETV23" s="414"/>
      <c r="ETW23" s="414"/>
      <c r="ETX23" s="414"/>
      <c r="ETY23" s="414"/>
      <c r="ETZ23" s="414"/>
      <c r="EUA23" s="414"/>
      <c r="EUB23" s="414"/>
      <c r="EUC23" s="414"/>
      <c r="EUD23" s="414"/>
      <c r="EUE23" s="414"/>
      <c r="EUF23" s="414"/>
      <c r="EUG23" s="414"/>
      <c r="EUH23" s="414"/>
      <c r="EUI23" s="414"/>
      <c r="EUJ23" s="414"/>
      <c r="EUK23" s="414"/>
      <c r="EUL23" s="414"/>
      <c r="EUM23" s="414"/>
      <c r="EUN23" s="414"/>
      <c r="EUO23" s="414"/>
      <c r="EUP23" s="414"/>
      <c r="EUQ23" s="414"/>
      <c r="EUR23" s="414"/>
      <c r="EUS23" s="414"/>
      <c r="EUT23" s="414"/>
      <c r="EUU23" s="414"/>
      <c r="EUV23" s="414"/>
      <c r="EUW23" s="414"/>
      <c r="EUX23" s="414"/>
      <c r="EUY23" s="414"/>
      <c r="EUZ23" s="414"/>
      <c r="EVA23" s="414"/>
      <c r="EVB23" s="414"/>
      <c r="EVC23" s="414"/>
      <c r="EVD23" s="414"/>
      <c r="EVE23" s="414"/>
      <c r="EVF23" s="414"/>
      <c r="EVG23" s="414"/>
      <c r="EVH23" s="414"/>
      <c r="EVI23" s="414"/>
      <c r="EVJ23" s="414"/>
      <c r="EVK23" s="414"/>
      <c r="EVL23" s="414"/>
      <c r="EVM23" s="414"/>
      <c r="EVN23" s="414"/>
      <c r="EVO23" s="414"/>
      <c r="EVP23" s="414"/>
      <c r="EVQ23" s="414"/>
      <c r="EVR23" s="414"/>
      <c r="EVS23" s="414"/>
      <c r="EVT23" s="414"/>
      <c r="EVU23" s="414"/>
      <c r="EVV23" s="414"/>
      <c r="EVW23" s="414"/>
      <c r="EVX23" s="414"/>
      <c r="EVY23" s="414"/>
      <c r="EVZ23" s="414"/>
      <c r="EWA23" s="414"/>
      <c r="EWB23" s="414"/>
      <c r="EWC23" s="414"/>
      <c r="EWD23" s="414"/>
      <c r="EWE23" s="414"/>
      <c r="EWF23" s="414"/>
      <c r="EWG23" s="414"/>
      <c r="EWH23" s="414"/>
      <c r="EWI23" s="414"/>
      <c r="EWJ23" s="414"/>
      <c r="EWK23" s="414"/>
      <c r="EWL23" s="414"/>
      <c r="EWM23" s="414"/>
      <c r="EWN23" s="414"/>
      <c r="EWO23" s="414"/>
      <c r="EWP23" s="414"/>
      <c r="EWQ23" s="414"/>
      <c r="EWR23" s="414"/>
      <c r="EWS23" s="414"/>
      <c r="EWT23" s="414"/>
      <c r="EWU23" s="414"/>
      <c r="EWV23" s="414"/>
      <c r="EWW23" s="414"/>
      <c r="EWX23" s="414"/>
      <c r="EWY23" s="414"/>
      <c r="EWZ23" s="414"/>
      <c r="EXA23" s="414"/>
      <c r="EXB23" s="414"/>
      <c r="EXC23" s="414"/>
      <c r="EXD23" s="414"/>
      <c r="EXE23" s="414"/>
      <c r="EXF23" s="414"/>
      <c r="EXG23" s="414"/>
      <c r="EXH23" s="414"/>
      <c r="EXI23" s="414"/>
      <c r="EXJ23" s="414"/>
      <c r="EXK23" s="414"/>
      <c r="EXL23" s="414"/>
      <c r="EXM23" s="414"/>
      <c r="EXN23" s="414"/>
      <c r="EXO23" s="414"/>
      <c r="EXP23" s="414"/>
      <c r="EXQ23" s="414"/>
      <c r="EXR23" s="414"/>
      <c r="EXS23" s="414"/>
      <c r="EXT23" s="414"/>
      <c r="EXU23" s="414"/>
      <c r="EXV23" s="414"/>
      <c r="EXW23" s="414"/>
      <c r="EXX23" s="414"/>
      <c r="EXY23" s="414"/>
      <c r="EXZ23" s="414"/>
      <c r="EYA23" s="414"/>
      <c r="EYB23" s="414"/>
      <c r="EYC23" s="414"/>
      <c r="EYD23" s="414"/>
      <c r="EYE23" s="414"/>
      <c r="EYF23" s="414"/>
      <c r="EYG23" s="414"/>
      <c r="EYH23" s="414"/>
      <c r="EYI23" s="414"/>
      <c r="EYJ23" s="414"/>
      <c r="EYK23" s="414"/>
      <c r="EYL23" s="414"/>
      <c r="EYM23" s="414"/>
      <c r="EYN23" s="414"/>
      <c r="EYO23" s="414"/>
      <c r="EYP23" s="414"/>
      <c r="EYQ23" s="414"/>
      <c r="EYR23" s="414"/>
      <c r="EYS23" s="414"/>
      <c r="EYT23" s="414"/>
      <c r="EYU23" s="414"/>
      <c r="EYV23" s="414"/>
      <c r="EYW23" s="414"/>
      <c r="EYX23" s="414"/>
      <c r="EYY23" s="414"/>
      <c r="EYZ23" s="414"/>
      <c r="EZA23" s="414"/>
      <c r="EZB23" s="414"/>
      <c r="EZC23" s="414"/>
      <c r="EZD23" s="414"/>
      <c r="EZE23" s="414"/>
      <c r="EZF23" s="414"/>
      <c r="EZG23" s="414"/>
      <c r="EZH23" s="414"/>
      <c r="EZI23" s="414"/>
      <c r="EZJ23" s="414"/>
      <c r="EZK23" s="414"/>
      <c r="EZL23" s="414"/>
      <c r="EZM23" s="414"/>
      <c r="EZN23" s="414"/>
      <c r="EZO23" s="414"/>
      <c r="EZP23" s="414"/>
      <c r="EZQ23" s="414"/>
      <c r="EZR23" s="414"/>
      <c r="EZS23" s="414"/>
      <c r="EZT23" s="414"/>
      <c r="EZU23" s="414"/>
      <c r="EZV23" s="414"/>
      <c r="EZW23" s="414"/>
      <c r="EZX23" s="414"/>
      <c r="EZY23" s="414"/>
      <c r="EZZ23" s="414"/>
      <c r="FAA23" s="414"/>
      <c r="FAB23" s="414"/>
      <c r="FAC23" s="414"/>
      <c r="FAD23" s="414"/>
      <c r="FAE23" s="414"/>
      <c r="FAF23" s="414"/>
      <c r="FAG23" s="414"/>
      <c r="FAH23" s="414"/>
      <c r="FAI23" s="414"/>
      <c r="FAJ23" s="414"/>
      <c r="FAK23" s="414"/>
      <c r="FAL23" s="414"/>
      <c r="FAM23" s="414"/>
      <c r="FAN23" s="414"/>
      <c r="FAO23" s="414"/>
      <c r="FAP23" s="414"/>
      <c r="FAQ23" s="414"/>
      <c r="FAR23" s="414"/>
      <c r="FAS23" s="414"/>
      <c r="FAT23" s="414"/>
      <c r="FAU23" s="414"/>
      <c r="FAV23" s="414"/>
      <c r="FAW23" s="414"/>
      <c r="FAX23" s="414"/>
      <c r="FAY23" s="414"/>
      <c r="FAZ23" s="414"/>
      <c r="FBA23" s="414"/>
      <c r="FBB23" s="414"/>
      <c r="FBC23" s="414"/>
      <c r="FBD23" s="414"/>
      <c r="FBE23" s="414"/>
      <c r="FBF23" s="414"/>
      <c r="FBG23" s="414"/>
      <c r="FBH23" s="414"/>
      <c r="FBI23" s="414"/>
      <c r="FBJ23" s="414"/>
      <c r="FBK23" s="414"/>
      <c r="FBL23" s="414"/>
      <c r="FBM23" s="414"/>
      <c r="FBN23" s="414"/>
      <c r="FBO23" s="414"/>
      <c r="FBP23" s="414"/>
      <c r="FBQ23" s="414"/>
      <c r="FBR23" s="414"/>
      <c r="FBS23" s="414"/>
      <c r="FBT23" s="414"/>
      <c r="FBU23" s="414"/>
      <c r="FBV23" s="414"/>
      <c r="FBW23" s="414"/>
      <c r="FBX23" s="414"/>
      <c r="FBY23" s="414"/>
      <c r="FBZ23" s="414"/>
      <c r="FCA23" s="414"/>
      <c r="FCB23" s="414"/>
      <c r="FCC23" s="414"/>
      <c r="FCD23" s="414"/>
      <c r="FCE23" s="414"/>
      <c r="FCF23" s="414"/>
      <c r="FCG23" s="414"/>
      <c r="FCH23" s="414"/>
      <c r="FCI23" s="414"/>
      <c r="FCJ23" s="414"/>
      <c r="FCK23" s="414"/>
      <c r="FCL23" s="414"/>
      <c r="FCM23" s="414"/>
      <c r="FCN23" s="414"/>
      <c r="FCO23" s="414"/>
      <c r="FCP23" s="414"/>
      <c r="FCQ23" s="414"/>
      <c r="FCR23" s="414"/>
      <c r="FCS23" s="414"/>
      <c r="FCT23" s="414"/>
      <c r="FCU23" s="414"/>
      <c r="FCV23" s="414"/>
      <c r="FCW23" s="414"/>
      <c r="FCX23" s="414"/>
      <c r="FCY23" s="414"/>
      <c r="FCZ23" s="414"/>
      <c r="FDA23" s="414"/>
      <c r="FDB23" s="414"/>
      <c r="FDC23" s="414"/>
      <c r="FDD23" s="414"/>
      <c r="FDE23" s="414"/>
      <c r="FDF23" s="414"/>
      <c r="FDG23" s="414"/>
      <c r="FDH23" s="414"/>
      <c r="FDI23" s="414"/>
      <c r="FDJ23" s="414"/>
      <c r="FDK23" s="414"/>
      <c r="FDL23" s="414"/>
      <c r="FDM23" s="414"/>
      <c r="FDN23" s="414"/>
      <c r="FDO23" s="414"/>
      <c r="FDP23" s="414"/>
      <c r="FDQ23" s="414"/>
      <c r="FDR23" s="414"/>
      <c r="FDS23" s="414"/>
      <c r="FDT23" s="414"/>
      <c r="FDU23" s="414"/>
      <c r="FDV23" s="414"/>
      <c r="FDW23" s="414"/>
      <c r="FDX23" s="414"/>
      <c r="FDY23" s="414"/>
      <c r="FDZ23" s="414"/>
      <c r="FEA23" s="414"/>
      <c r="FEB23" s="414"/>
      <c r="FEC23" s="414"/>
      <c r="FED23" s="414"/>
      <c r="FEE23" s="414"/>
      <c r="FEF23" s="414"/>
      <c r="FEG23" s="414"/>
      <c r="FEH23" s="414"/>
      <c r="FEI23" s="414"/>
      <c r="FEJ23" s="414"/>
      <c r="FEK23" s="414"/>
      <c r="FEL23" s="414"/>
      <c r="FEM23" s="414"/>
      <c r="FEN23" s="414"/>
      <c r="FEO23" s="414"/>
      <c r="FEP23" s="414"/>
      <c r="FEQ23" s="414"/>
      <c r="FER23" s="414"/>
      <c r="FES23" s="414"/>
      <c r="FET23" s="414"/>
      <c r="FEU23" s="414"/>
      <c r="FEV23" s="414"/>
      <c r="FEW23" s="414"/>
      <c r="FEX23" s="414"/>
      <c r="FEY23" s="414"/>
      <c r="FEZ23" s="414"/>
      <c r="FFA23" s="414"/>
      <c r="FFB23" s="414"/>
      <c r="FFC23" s="414"/>
      <c r="FFD23" s="414"/>
      <c r="FFE23" s="414"/>
      <c r="FFF23" s="414"/>
      <c r="FFG23" s="414"/>
      <c r="FFH23" s="414"/>
      <c r="FFI23" s="414"/>
      <c r="FFJ23" s="414"/>
      <c r="FFK23" s="414"/>
      <c r="FFL23" s="414"/>
      <c r="FFM23" s="414"/>
      <c r="FFN23" s="414"/>
      <c r="FFO23" s="414"/>
      <c r="FFP23" s="414"/>
      <c r="FFQ23" s="414"/>
      <c r="FFR23" s="414"/>
      <c r="FFS23" s="414"/>
      <c r="FFT23" s="414"/>
      <c r="FFU23" s="414"/>
      <c r="FFV23" s="414"/>
      <c r="FFW23" s="414"/>
      <c r="FFX23" s="414"/>
      <c r="FFY23" s="414"/>
      <c r="FFZ23" s="414"/>
      <c r="FGA23" s="414"/>
      <c r="FGB23" s="414"/>
      <c r="FGC23" s="414"/>
      <c r="FGD23" s="414"/>
      <c r="FGE23" s="414"/>
      <c r="FGF23" s="414"/>
      <c r="FGG23" s="414"/>
      <c r="FGH23" s="414"/>
      <c r="FGI23" s="414"/>
      <c r="FGJ23" s="414"/>
      <c r="FGK23" s="414"/>
      <c r="FGL23" s="414"/>
      <c r="FGM23" s="414"/>
      <c r="FGN23" s="414"/>
      <c r="FGO23" s="414"/>
      <c r="FGP23" s="414"/>
      <c r="FGQ23" s="414"/>
      <c r="FGR23" s="414"/>
      <c r="FGS23" s="414"/>
      <c r="FGT23" s="414"/>
      <c r="FGU23" s="414"/>
      <c r="FGV23" s="414"/>
      <c r="FGW23" s="414"/>
      <c r="FGX23" s="414"/>
      <c r="FGY23" s="414"/>
      <c r="FGZ23" s="414"/>
      <c r="FHA23" s="414"/>
      <c r="FHB23" s="414"/>
      <c r="FHC23" s="414"/>
      <c r="FHD23" s="414"/>
      <c r="FHE23" s="414"/>
      <c r="FHF23" s="414"/>
      <c r="FHG23" s="414"/>
      <c r="FHH23" s="414"/>
      <c r="FHI23" s="414"/>
      <c r="FHJ23" s="414"/>
      <c r="FHK23" s="414"/>
      <c r="FHL23" s="414"/>
      <c r="FHM23" s="414"/>
      <c r="FHN23" s="414"/>
      <c r="FHO23" s="414"/>
      <c r="FHP23" s="414"/>
      <c r="FHQ23" s="414"/>
      <c r="FHR23" s="414"/>
      <c r="FHS23" s="414"/>
      <c r="FHT23" s="414"/>
      <c r="FHU23" s="414"/>
      <c r="FHV23" s="414"/>
      <c r="FHW23" s="414"/>
      <c r="FHX23" s="414"/>
      <c r="FHY23" s="414"/>
      <c r="FHZ23" s="414"/>
      <c r="FIA23" s="414"/>
      <c r="FIB23" s="414"/>
      <c r="FIC23" s="414"/>
      <c r="FID23" s="414"/>
      <c r="FIE23" s="414"/>
      <c r="FIF23" s="414"/>
      <c r="FIG23" s="414"/>
      <c r="FIH23" s="414"/>
      <c r="FII23" s="414"/>
      <c r="FIJ23" s="414"/>
      <c r="FIK23" s="414"/>
      <c r="FIL23" s="414"/>
      <c r="FIM23" s="414"/>
      <c r="FIN23" s="414"/>
      <c r="FIO23" s="414"/>
      <c r="FIP23" s="414"/>
      <c r="FIQ23" s="414"/>
      <c r="FIR23" s="414"/>
      <c r="FIS23" s="414"/>
      <c r="FIT23" s="414"/>
      <c r="FIU23" s="414"/>
      <c r="FIV23" s="414"/>
      <c r="FIW23" s="414"/>
      <c r="FIX23" s="414"/>
      <c r="FIY23" s="414"/>
      <c r="FIZ23" s="414"/>
      <c r="FJA23" s="414"/>
      <c r="FJB23" s="414"/>
      <c r="FJC23" s="414"/>
      <c r="FJD23" s="414"/>
      <c r="FJE23" s="414"/>
      <c r="FJF23" s="414"/>
      <c r="FJG23" s="414"/>
      <c r="FJH23" s="414"/>
      <c r="FJI23" s="414"/>
      <c r="FJJ23" s="414"/>
      <c r="FJK23" s="414"/>
      <c r="FJL23" s="414"/>
      <c r="FJM23" s="414"/>
      <c r="FJN23" s="414"/>
      <c r="FJO23" s="414"/>
      <c r="FJP23" s="414"/>
      <c r="FJQ23" s="414"/>
      <c r="FJR23" s="414"/>
      <c r="FJS23" s="414"/>
      <c r="FJT23" s="414"/>
      <c r="FJU23" s="414"/>
      <c r="FJV23" s="414"/>
      <c r="FJW23" s="414"/>
      <c r="FJX23" s="414"/>
      <c r="FJY23" s="414"/>
      <c r="FJZ23" s="414"/>
      <c r="FKA23" s="414"/>
      <c r="FKB23" s="414"/>
      <c r="FKC23" s="414"/>
      <c r="FKD23" s="414"/>
      <c r="FKE23" s="414"/>
      <c r="FKF23" s="414"/>
      <c r="FKG23" s="414"/>
      <c r="FKH23" s="414"/>
      <c r="FKI23" s="414"/>
      <c r="FKJ23" s="414"/>
      <c r="FKK23" s="414"/>
      <c r="FKL23" s="414"/>
      <c r="FKM23" s="414"/>
      <c r="FKN23" s="414"/>
      <c r="FKO23" s="414"/>
      <c r="FKP23" s="414"/>
      <c r="FKQ23" s="414"/>
      <c r="FKR23" s="414"/>
      <c r="FKS23" s="414"/>
      <c r="FKT23" s="414"/>
      <c r="FKU23" s="414"/>
      <c r="FKV23" s="414"/>
      <c r="FKW23" s="414"/>
      <c r="FKX23" s="414"/>
      <c r="FKY23" s="414"/>
      <c r="FKZ23" s="414"/>
      <c r="FLA23" s="414"/>
      <c r="FLB23" s="414"/>
      <c r="FLC23" s="414"/>
      <c r="FLD23" s="414"/>
      <c r="FLE23" s="414"/>
      <c r="FLF23" s="414"/>
      <c r="FLG23" s="414"/>
      <c r="FLH23" s="414"/>
      <c r="FLI23" s="414"/>
      <c r="FLJ23" s="414"/>
      <c r="FLK23" s="414"/>
      <c r="FLL23" s="414"/>
      <c r="FLM23" s="414"/>
      <c r="FLN23" s="414"/>
      <c r="FLO23" s="414"/>
      <c r="FLP23" s="414"/>
      <c r="FLQ23" s="414"/>
      <c r="FLR23" s="414"/>
      <c r="FLS23" s="414"/>
      <c r="FLT23" s="414"/>
      <c r="FLU23" s="414"/>
      <c r="FLV23" s="414"/>
      <c r="FLW23" s="414"/>
      <c r="FLX23" s="414"/>
      <c r="FLY23" s="414"/>
      <c r="FLZ23" s="414"/>
      <c r="FMA23" s="414"/>
      <c r="FMB23" s="414"/>
      <c r="FMC23" s="414"/>
      <c r="FMD23" s="414"/>
      <c r="FME23" s="414"/>
      <c r="FMF23" s="414"/>
      <c r="FMG23" s="414"/>
      <c r="FMH23" s="414"/>
      <c r="FMI23" s="414"/>
      <c r="FMJ23" s="414"/>
      <c r="FMK23" s="414"/>
      <c r="FML23" s="414"/>
      <c r="FMM23" s="414"/>
      <c r="FMN23" s="414"/>
      <c r="FMO23" s="414"/>
      <c r="FMP23" s="414"/>
      <c r="FMQ23" s="414"/>
      <c r="FMR23" s="414"/>
      <c r="FMS23" s="414"/>
      <c r="FMT23" s="414"/>
      <c r="FMU23" s="414"/>
      <c r="FMV23" s="414"/>
      <c r="FMW23" s="414"/>
      <c r="FMX23" s="414"/>
      <c r="FMY23" s="414"/>
      <c r="FMZ23" s="414"/>
      <c r="FNA23" s="414"/>
      <c r="FNB23" s="414"/>
      <c r="FNC23" s="414"/>
      <c r="FND23" s="414"/>
      <c r="FNE23" s="414"/>
      <c r="FNF23" s="414"/>
      <c r="FNG23" s="414"/>
      <c r="FNH23" s="414"/>
      <c r="FNI23" s="414"/>
      <c r="FNJ23" s="414"/>
      <c r="FNK23" s="414"/>
      <c r="FNL23" s="414"/>
      <c r="FNM23" s="414"/>
      <c r="FNN23" s="414"/>
      <c r="FNO23" s="414"/>
      <c r="FNP23" s="414"/>
      <c r="FNQ23" s="414"/>
      <c r="FNR23" s="414"/>
      <c r="FNS23" s="414"/>
      <c r="FNT23" s="414"/>
      <c r="FNU23" s="414"/>
      <c r="FNV23" s="414"/>
      <c r="FNW23" s="414"/>
      <c r="FNX23" s="414"/>
      <c r="FNY23" s="414"/>
      <c r="FNZ23" s="414"/>
      <c r="FOA23" s="414"/>
      <c r="FOB23" s="414"/>
      <c r="FOC23" s="414"/>
      <c r="FOD23" s="414"/>
      <c r="FOE23" s="414"/>
      <c r="FOF23" s="414"/>
      <c r="FOG23" s="414"/>
      <c r="FOH23" s="414"/>
      <c r="FOI23" s="414"/>
      <c r="FOJ23" s="414"/>
      <c r="FOK23" s="414"/>
      <c r="FOL23" s="414"/>
      <c r="FOM23" s="414"/>
      <c r="FON23" s="414"/>
      <c r="FOO23" s="414"/>
      <c r="FOP23" s="414"/>
      <c r="FOQ23" s="414"/>
      <c r="FOR23" s="414"/>
      <c r="FOS23" s="414"/>
      <c r="FOT23" s="414"/>
      <c r="FOU23" s="414"/>
      <c r="FOV23" s="414"/>
      <c r="FOW23" s="414"/>
      <c r="FOX23" s="414"/>
      <c r="FOY23" s="414"/>
      <c r="FOZ23" s="414"/>
      <c r="FPA23" s="414"/>
      <c r="FPB23" s="414"/>
      <c r="FPC23" s="414"/>
      <c r="FPD23" s="414"/>
      <c r="FPE23" s="414"/>
      <c r="FPF23" s="414"/>
      <c r="FPG23" s="414"/>
      <c r="FPH23" s="414"/>
      <c r="FPI23" s="414"/>
      <c r="FPJ23" s="414"/>
      <c r="FPK23" s="414"/>
      <c r="FPL23" s="414"/>
      <c r="FPM23" s="414"/>
      <c r="FPN23" s="414"/>
      <c r="FPO23" s="414"/>
      <c r="FPP23" s="414"/>
      <c r="FPQ23" s="414"/>
      <c r="FPR23" s="414"/>
      <c r="FPS23" s="414"/>
      <c r="FPT23" s="414"/>
      <c r="FPU23" s="414"/>
      <c r="FPV23" s="414"/>
      <c r="FPW23" s="414"/>
      <c r="FPX23" s="414"/>
      <c r="FPY23" s="414"/>
      <c r="FPZ23" s="414"/>
      <c r="FQA23" s="414"/>
      <c r="FQB23" s="414"/>
      <c r="FQC23" s="414"/>
      <c r="FQD23" s="414"/>
      <c r="FQE23" s="414"/>
      <c r="FQF23" s="414"/>
      <c r="FQG23" s="414"/>
      <c r="FQH23" s="414"/>
      <c r="FQI23" s="414"/>
      <c r="FQJ23" s="414"/>
      <c r="FQK23" s="414"/>
      <c r="FQL23" s="414"/>
      <c r="FQM23" s="414"/>
      <c r="FQN23" s="414"/>
      <c r="FQO23" s="414"/>
      <c r="FQP23" s="414"/>
      <c r="FQQ23" s="414"/>
      <c r="FQR23" s="414"/>
      <c r="FQS23" s="414"/>
      <c r="FQT23" s="414"/>
      <c r="FQU23" s="414"/>
      <c r="FQV23" s="414"/>
      <c r="FQW23" s="414"/>
      <c r="FQX23" s="414"/>
      <c r="FQY23" s="414"/>
      <c r="FQZ23" s="414"/>
      <c r="FRA23" s="414"/>
      <c r="FRB23" s="414"/>
      <c r="FRC23" s="414"/>
      <c r="FRD23" s="414"/>
      <c r="FRE23" s="414"/>
      <c r="FRF23" s="414"/>
      <c r="FRG23" s="414"/>
      <c r="FRH23" s="414"/>
      <c r="FRI23" s="414"/>
      <c r="FRJ23" s="414"/>
      <c r="FRK23" s="414"/>
      <c r="FRL23" s="414"/>
      <c r="FRM23" s="414"/>
      <c r="FRN23" s="414"/>
      <c r="FRO23" s="414"/>
      <c r="FRP23" s="414"/>
      <c r="FRQ23" s="414"/>
      <c r="FRR23" s="414"/>
      <c r="FRS23" s="414"/>
      <c r="FRT23" s="414"/>
      <c r="FRU23" s="414"/>
      <c r="FRV23" s="414"/>
      <c r="FRW23" s="414"/>
      <c r="FRX23" s="414"/>
      <c r="FRY23" s="414"/>
      <c r="FRZ23" s="414"/>
      <c r="FSA23" s="414"/>
      <c r="FSB23" s="414"/>
      <c r="FSC23" s="414"/>
      <c r="FSD23" s="414"/>
      <c r="FSE23" s="414"/>
      <c r="FSF23" s="414"/>
      <c r="FSG23" s="414"/>
      <c r="FSH23" s="414"/>
      <c r="FSI23" s="414"/>
      <c r="FSJ23" s="414"/>
      <c r="FSK23" s="414"/>
      <c r="FSL23" s="414"/>
      <c r="FSM23" s="414"/>
      <c r="FSN23" s="414"/>
      <c r="FSO23" s="414"/>
      <c r="FSP23" s="414"/>
      <c r="FSQ23" s="414"/>
      <c r="FSR23" s="414"/>
      <c r="FSS23" s="414"/>
      <c r="FST23" s="414"/>
      <c r="FSU23" s="414"/>
      <c r="FSV23" s="414"/>
      <c r="FSW23" s="414"/>
      <c r="FSX23" s="414"/>
      <c r="FSY23" s="414"/>
      <c r="FSZ23" s="414"/>
      <c r="FTA23" s="414"/>
      <c r="FTB23" s="414"/>
      <c r="FTC23" s="414"/>
      <c r="FTD23" s="414"/>
      <c r="FTE23" s="414"/>
      <c r="FTF23" s="414"/>
      <c r="FTG23" s="414"/>
      <c r="FTH23" s="414"/>
      <c r="FTI23" s="414"/>
      <c r="FTJ23" s="414"/>
      <c r="FTK23" s="414"/>
      <c r="FTL23" s="414"/>
      <c r="FTM23" s="414"/>
      <c r="FTN23" s="414"/>
      <c r="FTO23" s="414"/>
      <c r="FTP23" s="414"/>
      <c r="FTQ23" s="414"/>
      <c r="FTR23" s="414"/>
      <c r="FTS23" s="414"/>
      <c r="FTT23" s="414"/>
      <c r="FTU23" s="414"/>
      <c r="FTV23" s="414"/>
      <c r="FTW23" s="414"/>
      <c r="FTX23" s="414"/>
      <c r="FTY23" s="414"/>
      <c r="FTZ23" s="414"/>
      <c r="FUA23" s="414"/>
      <c r="FUB23" s="414"/>
      <c r="FUC23" s="414"/>
      <c r="FUD23" s="414"/>
      <c r="FUE23" s="414"/>
      <c r="FUF23" s="414"/>
      <c r="FUG23" s="414"/>
      <c r="FUH23" s="414"/>
      <c r="FUI23" s="414"/>
      <c r="FUJ23" s="414"/>
      <c r="FUK23" s="414"/>
      <c r="FUL23" s="414"/>
      <c r="FUM23" s="414"/>
      <c r="FUN23" s="414"/>
      <c r="FUO23" s="414"/>
      <c r="FUP23" s="414"/>
      <c r="FUQ23" s="414"/>
      <c r="FUR23" s="414"/>
      <c r="FUS23" s="414"/>
      <c r="FUT23" s="414"/>
      <c r="FUU23" s="414"/>
      <c r="FUV23" s="414"/>
      <c r="FUW23" s="414"/>
      <c r="FUX23" s="414"/>
      <c r="FUY23" s="414"/>
      <c r="FUZ23" s="414"/>
      <c r="FVA23" s="414"/>
      <c r="FVB23" s="414"/>
      <c r="FVC23" s="414"/>
      <c r="FVD23" s="414"/>
      <c r="FVE23" s="414"/>
      <c r="FVF23" s="414"/>
      <c r="FVG23" s="414"/>
      <c r="FVH23" s="414"/>
      <c r="FVI23" s="414"/>
      <c r="FVJ23" s="414"/>
      <c r="FVK23" s="414"/>
      <c r="FVL23" s="414"/>
      <c r="FVM23" s="414"/>
      <c r="FVN23" s="414"/>
      <c r="FVO23" s="414"/>
      <c r="FVP23" s="414"/>
      <c r="FVQ23" s="414"/>
      <c r="FVR23" s="414"/>
      <c r="FVS23" s="414"/>
      <c r="FVT23" s="414"/>
      <c r="FVU23" s="414"/>
      <c r="FVV23" s="414"/>
      <c r="FVW23" s="414"/>
      <c r="FVX23" s="414"/>
      <c r="FVY23" s="414"/>
      <c r="FVZ23" s="414"/>
      <c r="FWA23" s="414"/>
      <c r="FWB23" s="414"/>
      <c r="FWC23" s="414"/>
      <c r="FWD23" s="414"/>
      <c r="FWE23" s="414"/>
      <c r="FWF23" s="414"/>
      <c r="FWG23" s="414"/>
      <c r="FWH23" s="414"/>
      <c r="FWI23" s="414"/>
      <c r="FWJ23" s="414"/>
      <c r="FWK23" s="414"/>
      <c r="FWL23" s="414"/>
      <c r="FWM23" s="414"/>
      <c r="FWN23" s="414"/>
      <c r="FWO23" s="414"/>
      <c r="FWP23" s="414"/>
      <c r="FWQ23" s="414"/>
      <c r="FWR23" s="414"/>
      <c r="FWS23" s="414"/>
      <c r="FWT23" s="414"/>
      <c r="FWU23" s="414"/>
      <c r="FWV23" s="414"/>
      <c r="FWW23" s="414"/>
      <c r="FWX23" s="414"/>
      <c r="FWY23" s="414"/>
      <c r="FWZ23" s="414"/>
      <c r="FXA23" s="414"/>
      <c r="FXB23" s="414"/>
      <c r="FXC23" s="414"/>
      <c r="FXD23" s="414"/>
      <c r="FXE23" s="414"/>
      <c r="FXF23" s="414"/>
      <c r="FXG23" s="414"/>
      <c r="FXH23" s="414"/>
      <c r="FXI23" s="414"/>
      <c r="FXJ23" s="414"/>
      <c r="FXK23" s="414"/>
      <c r="FXL23" s="414"/>
      <c r="FXM23" s="414"/>
      <c r="FXN23" s="414"/>
      <c r="FXO23" s="414"/>
      <c r="FXP23" s="414"/>
      <c r="FXQ23" s="414"/>
      <c r="FXR23" s="414"/>
      <c r="FXS23" s="414"/>
      <c r="FXT23" s="414"/>
      <c r="FXU23" s="414"/>
      <c r="FXV23" s="414"/>
      <c r="FXW23" s="414"/>
      <c r="FXX23" s="414"/>
      <c r="FXY23" s="414"/>
      <c r="FXZ23" s="414"/>
      <c r="FYA23" s="414"/>
      <c r="FYB23" s="414"/>
      <c r="FYC23" s="414"/>
      <c r="FYD23" s="414"/>
      <c r="FYE23" s="414"/>
      <c r="FYF23" s="414"/>
      <c r="FYG23" s="414"/>
      <c r="FYH23" s="414"/>
      <c r="FYI23" s="414"/>
      <c r="FYJ23" s="414"/>
      <c r="FYK23" s="414"/>
      <c r="FYL23" s="414"/>
      <c r="FYM23" s="414"/>
      <c r="FYN23" s="414"/>
      <c r="FYO23" s="414"/>
      <c r="FYP23" s="414"/>
      <c r="FYQ23" s="414"/>
      <c r="FYR23" s="414"/>
      <c r="FYS23" s="414"/>
      <c r="FYT23" s="414"/>
      <c r="FYU23" s="414"/>
      <c r="FYV23" s="414"/>
      <c r="FYW23" s="414"/>
      <c r="FYX23" s="414"/>
      <c r="FYY23" s="414"/>
      <c r="FYZ23" s="414"/>
      <c r="FZA23" s="414"/>
      <c r="FZB23" s="414"/>
      <c r="FZC23" s="414"/>
      <c r="FZD23" s="414"/>
      <c r="FZE23" s="414"/>
      <c r="FZF23" s="414"/>
      <c r="FZG23" s="414"/>
      <c r="FZH23" s="414"/>
      <c r="FZI23" s="414"/>
      <c r="FZJ23" s="414"/>
      <c r="FZK23" s="414"/>
      <c r="FZL23" s="414"/>
      <c r="FZM23" s="414"/>
      <c r="FZN23" s="414"/>
      <c r="FZO23" s="414"/>
      <c r="FZP23" s="414"/>
      <c r="FZQ23" s="414"/>
      <c r="FZR23" s="414"/>
      <c r="FZS23" s="414"/>
      <c r="FZT23" s="414"/>
      <c r="FZU23" s="414"/>
      <c r="FZV23" s="414"/>
      <c r="FZW23" s="414"/>
      <c r="FZX23" s="414"/>
      <c r="FZY23" s="414"/>
      <c r="FZZ23" s="414"/>
      <c r="GAA23" s="414"/>
      <c r="GAB23" s="414"/>
      <c r="GAC23" s="414"/>
      <c r="GAD23" s="414"/>
      <c r="GAE23" s="414"/>
      <c r="GAF23" s="414"/>
      <c r="GAG23" s="414"/>
      <c r="GAH23" s="414"/>
      <c r="GAI23" s="414"/>
      <c r="GAJ23" s="414"/>
      <c r="GAK23" s="414"/>
      <c r="GAL23" s="414"/>
      <c r="GAM23" s="414"/>
      <c r="GAN23" s="414"/>
      <c r="GAO23" s="414"/>
      <c r="GAP23" s="414"/>
      <c r="GAQ23" s="414"/>
      <c r="GAR23" s="414"/>
      <c r="GAS23" s="414"/>
      <c r="GAT23" s="414"/>
      <c r="GAU23" s="414"/>
      <c r="GAV23" s="414"/>
      <c r="GAW23" s="414"/>
      <c r="GAX23" s="414"/>
      <c r="GAY23" s="414"/>
      <c r="GAZ23" s="414"/>
      <c r="GBA23" s="414"/>
      <c r="GBB23" s="414"/>
      <c r="GBC23" s="414"/>
      <c r="GBD23" s="414"/>
      <c r="GBE23" s="414"/>
      <c r="GBF23" s="414"/>
      <c r="GBG23" s="414"/>
      <c r="GBH23" s="414"/>
      <c r="GBI23" s="414"/>
      <c r="GBJ23" s="414"/>
      <c r="GBK23" s="414"/>
      <c r="GBL23" s="414"/>
      <c r="GBM23" s="414"/>
      <c r="GBN23" s="414"/>
      <c r="GBO23" s="414"/>
      <c r="GBP23" s="414"/>
      <c r="GBQ23" s="414"/>
      <c r="GBR23" s="414"/>
      <c r="GBS23" s="414"/>
      <c r="GBT23" s="414"/>
      <c r="GBU23" s="414"/>
      <c r="GBV23" s="414"/>
      <c r="GBW23" s="414"/>
      <c r="GBX23" s="414"/>
      <c r="GBY23" s="414"/>
      <c r="GBZ23" s="414"/>
      <c r="GCA23" s="414"/>
      <c r="GCB23" s="414"/>
      <c r="GCC23" s="414"/>
      <c r="GCD23" s="414"/>
      <c r="GCE23" s="414"/>
      <c r="GCF23" s="414"/>
      <c r="GCG23" s="414"/>
      <c r="GCH23" s="414"/>
      <c r="GCI23" s="414"/>
      <c r="GCJ23" s="414"/>
      <c r="GCK23" s="414"/>
      <c r="GCL23" s="414"/>
      <c r="GCM23" s="414"/>
      <c r="GCN23" s="414"/>
      <c r="GCO23" s="414"/>
      <c r="GCP23" s="414"/>
      <c r="GCQ23" s="414"/>
      <c r="GCR23" s="414"/>
      <c r="GCS23" s="414"/>
      <c r="GCT23" s="414"/>
      <c r="GCU23" s="414"/>
      <c r="GCV23" s="414"/>
      <c r="GCW23" s="414"/>
      <c r="GCX23" s="414"/>
      <c r="GCY23" s="414"/>
      <c r="GCZ23" s="414"/>
      <c r="GDA23" s="414"/>
      <c r="GDB23" s="414"/>
      <c r="GDC23" s="414"/>
      <c r="GDD23" s="414"/>
      <c r="GDE23" s="414"/>
      <c r="GDF23" s="414"/>
      <c r="GDG23" s="414"/>
      <c r="GDH23" s="414"/>
      <c r="GDI23" s="414"/>
      <c r="GDJ23" s="414"/>
      <c r="GDK23" s="414"/>
      <c r="GDL23" s="414"/>
      <c r="GDM23" s="414"/>
      <c r="GDN23" s="414"/>
      <c r="GDO23" s="414"/>
      <c r="GDP23" s="414"/>
      <c r="GDQ23" s="414"/>
      <c r="GDR23" s="414"/>
      <c r="GDS23" s="414"/>
      <c r="GDT23" s="414"/>
      <c r="GDU23" s="414"/>
      <c r="GDV23" s="414"/>
      <c r="GDW23" s="414"/>
      <c r="GDX23" s="414"/>
      <c r="GDY23" s="414"/>
      <c r="GDZ23" s="414"/>
      <c r="GEA23" s="414"/>
      <c r="GEB23" s="414"/>
      <c r="GEC23" s="414"/>
      <c r="GED23" s="414"/>
      <c r="GEE23" s="414"/>
      <c r="GEF23" s="414"/>
      <c r="GEG23" s="414"/>
      <c r="GEH23" s="414"/>
      <c r="GEI23" s="414"/>
      <c r="GEJ23" s="414"/>
      <c r="GEK23" s="414"/>
      <c r="GEL23" s="414"/>
      <c r="GEM23" s="414"/>
      <c r="GEN23" s="414"/>
      <c r="GEO23" s="414"/>
      <c r="GEP23" s="414"/>
      <c r="GEQ23" s="414"/>
      <c r="GER23" s="414"/>
      <c r="GES23" s="414"/>
      <c r="GET23" s="414"/>
      <c r="GEU23" s="414"/>
      <c r="GEV23" s="414"/>
      <c r="GEW23" s="414"/>
      <c r="GEX23" s="414"/>
      <c r="GEY23" s="414"/>
      <c r="GEZ23" s="414"/>
      <c r="GFA23" s="414"/>
      <c r="GFB23" s="414"/>
      <c r="GFC23" s="414"/>
      <c r="GFD23" s="414"/>
      <c r="GFE23" s="414"/>
      <c r="GFF23" s="414"/>
      <c r="GFG23" s="414"/>
      <c r="GFH23" s="414"/>
      <c r="GFI23" s="414"/>
      <c r="GFJ23" s="414"/>
      <c r="GFK23" s="414"/>
      <c r="GFL23" s="414"/>
      <c r="GFM23" s="414"/>
      <c r="GFN23" s="414"/>
      <c r="GFO23" s="414"/>
      <c r="GFP23" s="414"/>
      <c r="GFQ23" s="414"/>
      <c r="GFR23" s="414"/>
      <c r="GFS23" s="414"/>
      <c r="GFT23" s="414"/>
      <c r="GFU23" s="414"/>
      <c r="GFV23" s="414"/>
      <c r="GFW23" s="414"/>
      <c r="GFX23" s="414"/>
      <c r="GFY23" s="414"/>
      <c r="GFZ23" s="414"/>
      <c r="GGA23" s="414"/>
      <c r="GGB23" s="414"/>
      <c r="GGC23" s="414"/>
      <c r="GGD23" s="414"/>
      <c r="GGE23" s="414"/>
      <c r="GGF23" s="414"/>
      <c r="GGG23" s="414"/>
      <c r="GGH23" s="414"/>
      <c r="GGI23" s="414"/>
      <c r="GGJ23" s="414"/>
      <c r="GGK23" s="414"/>
      <c r="GGL23" s="414"/>
      <c r="GGM23" s="414"/>
      <c r="GGN23" s="414"/>
      <c r="GGO23" s="414"/>
      <c r="GGP23" s="414"/>
      <c r="GGQ23" s="414"/>
      <c r="GGR23" s="414"/>
      <c r="GGS23" s="414"/>
      <c r="GGT23" s="414"/>
      <c r="GGU23" s="414"/>
      <c r="GGV23" s="414"/>
      <c r="GGW23" s="414"/>
      <c r="GGX23" s="414"/>
      <c r="GGY23" s="414"/>
      <c r="GGZ23" s="414"/>
      <c r="GHA23" s="414"/>
      <c r="GHB23" s="414"/>
      <c r="GHC23" s="414"/>
      <c r="GHD23" s="414"/>
      <c r="GHE23" s="414"/>
      <c r="GHF23" s="414"/>
      <c r="GHG23" s="414"/>
      <c r="GHH23" s="414"/>
      <c r="GHI23" s="414"/>
      <c r="GHJ23" s="414"/>
      <c r="GHK23" s="414"/>
      <c r="GHL23" s="414"/>
      <c r="GHM23" s="414"/>
      <c r="GHN23" s="414"/>
      <c r="GHO23" s="414"/>
      <c r="GHP23" s="414"/>
      <c r="GHQ23" s="414"/>
      <c r="GHR23" s="414"/>
      <c r="GHS23" s="414"/>
      <c r="GHT23" s="414"/>
      <c r="GHU23" s="414"/>
      <c r="GHV23" s="414"/>
      <c r="GHW23" s="414"/>
      <c r="GHX23" s="414"/>
      <c r="GHY23" s="414"/>
      <c r="GHZ23" s="414"/>
      <c r="GIA23" s="414"/>
      <c r="GIB23" s="414"/>
      <c r="GIC23" s="414"/>
      <c r="GID23" s="414"/>
      <c r="GIE23" s="414"/>
      <c r="GIF23" s="414"/>
      <c r="GIG23" s="414"/>
      <c r="GIH23" s="414"/>
      <c r="GII23" s="414"/>
      <c r="GIJ23" s="414"/>
      <c r="GIK23" s="414"/>
      <c r="GIL23" s="414"/>
      <c r="GIM23" s="414"/>
      <c r="GIN23" s="414"/>
      <c r="GIO23" s="414"/>
      <c r="GIP23" s="414"/>
      <c r="GIQ23" s="414"/>
      <c r="GIR23" s="414"/>
      <c r="GIS23" s="414"/>
      <c r="GIT23" s="414"/>
      <c r="GIU23" s="414"/>
      <c r="GIV23" s="414"/>
      <c r="GIW23" s="414"/>
      <c r="GIX23" s="414"/>
      <c r="GIY23" s="414"/>
      <c r="GIZ23" s="414"/>
      <c r="GJA23" s="414"/>
      <c r="GJB23" s="414"/>
      <c r="GJC23" s="414"/>
      <c r="GJD23" s="414"/>
      <c r="GJE23" s="414"/>
      <c r="GJF23" s="414"/>
      <c r="GJG23" s="414"/>
      <c r="GJH23" s="414"/>
      <c r="GJI23" s="414"/>
      <c r="GJJ23" s="414"/>
      <c r="GJK23" s="414"/>
      <c r="GJL23" s="414"/>
      <c r="GJM23" s="414"/>
      <c r="GJN23" s="414"/>
      <c r="GJO23" s="414"/>
      <c r="GJP23" s="414"/>
      <c r="GJQ23" s="414"/>
      <c r="GJR23" s="414"/>
      <c r="GJS23" s="414"/>
      <c r="GJT23" s="414"/>
      <c r="GJU23" s="414"/>
      <c r="GJV23" s="414"/>
      <c r="GJW23" s="414"/>
      <c r="GJX23" s="414"/>
      <c r="GJY23" s="414"/>
      <c r="GJZ23" s="414"/>
      <c r="GKA23" s="414"/>
      <c r="GKB23" s="414"/>
      <c r="GKC23" s="414"/>
      <c r="GKD23" s="414"/>
      <c r="GKE23" s="414"/>
      <c r="GKF23" s="414"/>
      <c r="GKG23" s="414"/>
      <c r="GKH23" s="414"/>
      <c r="GKI23" s="414"/>
      <c r="GKJ23" s="414"/>
      <c r="GKK23" s="414"/>
      <c r="GKL23" s="414"/>
      <c r="GKM23" s="414"/>
      <c r="GKN23" s="414"/>
      <c r="GKO23" s="414"/>
      <c r="GKP23" s="414"/>
      <c r="GKQ23" s="414"/>
      <c r="GKR23" s="414"/>
      <c r="GKS23" s="414"/>
      <c r="GKT23" s="414"/>
      <c r="GKU23" s="414"/>
      <c r="GKV23" s="414"/>
      <c r="GKW23" s="414"/>
      <c r="GKX23" s="414"/>
      <c r="GKY23" s="414"/>
      <c r="GKZ23" s="414"/>
      <c r="GLA23" s="414"/>
      <c r="GLB23" s="414"/>
      <c r="GLC23" s="414"/>
      <c r="GLD23" s="414"/>
      <c r="GLE23" s="414"/>
      <c r="GLF23" s="414"/>
      <c r="GLG23" s="414"/>
      <c r="GLH23" s="414"/>
      <c r="GLI23" s="414"/>
      <c r="GLJ23" s="414"/>
      <c r="GLK23" s="414"/>
      <c r="GLL23" s="414"/>
      <c r="GLM23" s="414"/>
      <c r="GLN23" s="414"/>
      <c r="GLO23" s="414"/>
      <c r="GLP23" s="414"/>
      <c r="GLQ23" s="414"/>
      <c r="GLR23" s="414"/>
      <c r="GLS23" s="414"/>
      <c r="GLT23" s="414"/>
      <c r="GLU23" s="414"/>
      <c r="GLV23" s="414"/>
      <c r="GLW23" s="414"/>
      <c r="GLX23" s="414"/>
      <c r="GLY23" s="414"/>
      <c r="GLZ23" s="414"/>
      <c r="GMA23" s="414"/>
      <c r="GMB23" s="414"/>
      <c r="GMC23" s="414"/>
      <c r="GMD23" s="414"/>
      <c r="GME23" s="414"/>
      <c r="GMF23" s="414"/>
      <c r="GMG23" s="414"/>
      <c r="GMH23" s="414"/>
      <c r="GMI23" s="414"/>
      <c r="GMJ23" s="414"/>
      <c r="GMK23" s="414"/>
      <c r="GML23" s="414"/>
      <c r="GMM23" s="414"/>
      <c r="GMN23" s="414"/>
      <c r="GMO23" s="414"/>
      <c r="GMP23" s="414"/>
      <c r="GMQ23" s="414"/>
      <c r="GMR23" s="414"/>
      <c r="GMS23" s="414"/>
      <c r="GMT23" s="414"/>
      <c r="GMU23" s="414"/>
      <c r="GMV23" s="414"/>
      <c r="GMW23" s="414"/>
      <c r="GMX23" s="414"/>
      <c r="GMY23" s="414"/>
      <c r="GMZ23" s="414"/>
      <c r="GNA23" s="414"/>
      <c r="GNB23" s="414"/>
      <c r="GNC23" s="414"/>
      <c r="GND23" s="414"/>
      <c r="GNE23" s="414"/>
      <c r="GNF23" s="414"/>
      <c r="GNG23" s="414"/>
      <c r="GNH23" s="414"/>
      <c r="GNI23" s="414"/>
      <c r="GNJ23" s="414"/>
      <c r="GNK23" s="414"/>
      <c r="GNL23" s="414"/>
      <c r="GNM23" s="414"/>
      <c r="GNN23" s="414"/>
      <c r="GNO23" s="414"/>
      <c r="GNP23" s="414"/>
      <c r="GNQ23" s="414"/>
      <c r="GNR23" s="414"/>
      <c r="GNS23" s="414"/>
      <c r="GNT23" s="414"/>
      <c r="GNU23" s="414"/>
      <c r="GNV23" s="414"/>
      <c r="GNW23" s="414"/>
      <c r="GNX23" s="414"/>
      <c r="GNY23" s="414"/>
      <c r="GNZ23" s="414"/>
      <c r="GOA23" s="414"/>
      <c r="GOB23" s="414"/>
      <c r="GOC23" s="414"/>
      <c r="GOD23" s="414"/>
      <c r="GOE23" s="414"/>
      <c r="GOF23" s="414"/>
      <c r="GOG23" s="414"/>
      <c r="GOH23" s="414"/>
      <c r="GOI23" s="414"/>
      <c r="GOJ23" s="414"/>
      <c r="GOK23" s="414"/>
      <c r="GOL23" s="414"/>
      <c r="GOM23" s="414"/>
      <c r="GON23" s="414"/>
      <c r="GOO23" s="414"/>
      <c r="GOP23" s="414"/>
      <c r="GOQ23" s="414"/>
      <c r="GOR23" s="414"/>
      <c r="GOS23" s="414"/>
      <c r="GOT23" s="414"/>
      <c r="GOU23" s="414"/>
      <c r="GOV23" s="414"/>
      <c r="GOW23" s="414"/>
      <c r="GOX23" s="414"/>
      <c r="GOY23" s="414"/>
      <c r="GOZ23" s="414"/>
      <c r="GPA23" s="414"/>
      <c r="GPB23" s="414"/>
      <c r="GPC23" s="414"/>
      <c r="GPD23" s="414"/>
      <c r="GPE23" s="414"/>
      <c r="GPF23" s="414"/>
      <c r="GPG23" s="414"/>
      <c r="GPH23" s="414"/>
      <c r="GPI23" s="414"/>
      <c r="GPJ23" s="414"/>
      <c r="GPK23" s="414"/>
      <c r="GPL23" s="414"/>
      <c r="GPM23" s="414"/>
      <c r="GPN23" s="414"/>
      <c r="GPO23" s="414"/>
      <c r="GPP23" s="414"/>
      <c r="GPQ23" s="414"/>
      <c r="GPR23" s="414"/>
      <c r="GPS23" s="414"/>
      <c r="GPT23" s="414"/>
      <c r="GPU23" s="414"/>
      <c r="GPV23" s="414"/>
      <c r="GPW23" s="414"/>
      <c r="GPX23" s="414"/>
      <c r="GPY23" s="414"/>
      <c r="GPZ23" s="414"/>
      <c r="GQA23" s="414"/>
      <c r="GQB23" s="414"/>
      <c r="GQC23" s="414"/>
      <c r="GQD23" s="414"/>
      <c r="GQE23" s="414"/>
      <c r="GQF23" s="414"/>
      <c r="GQG23" s="414"/>
      <c r="GQH23" s="414"/>
      <c r="GQI23" s="414"/>
      <c r="GQJ23" s="414"/>
      <c r="GQK23" s="414"/>
      <c r="GQL23" s="414"/>
      <c r="GQM23" s="414"/>
      <c r="GQN23" s="414"/>
      <c r="GQO23" s="414"/>
      <c r="GQP23" s="414"/>
      <c r="GQQ23" s="414"/>
      <c r="GQR23" s="414"/>
      <c r="GQS23" s="414"/>
      <c r="GQT23" s="414"/>
      <c r="GQU23" s="414"/>
      <c r="GQV23" s="414"/>
      <c r="GQW23" s="414"/>
      <c r="GQX23" s="414"/>
      <c r="GQY23" s="414"/>
      <c r="GQZ23" s="414"/>
      <c r="GRA23" s="414"/>
      <c r="GRB23" s="414"/>
      <c r="GRC23" s="414"/>
      <c r="GRD23" s="414"/>
      <c r="GRE23" s="414"/>
      <c r="GRF23" s="414"/>
      <c r="GRG23" s="414"/>
      <c r="GRH23" s="414"/>
      <c r="GRI23" s="414"/>
      <c r="GRJ23" s="414"/>
      <c r="GRK23" s="414"/>
      <c r="GRL23" s="414"/>
      <c r="GRM23" s="414"/>
      <c r="GRN23" s="414"/>
      <c r="GRO23" s="414"/>
      <c r="GRP23" s="414"/>
      <c r="GRQ23" s="414"/>
      <c r="GRR23" s="414"/>
      <c r="GRS23" s="414"/>
      <c r="GRT23" s="414"/>
      <c r="GRU23" s="414"/>
      <c r="GRV23" s="414"/>
      <c r="GRW23" s="414"/>
      <c r="GRX23" s="414"/>
      <c r="GRY23" s="414"/>
      <c r="GRZ23" s="414"/>
      <c r="GSA23" s="414"/>
      <c r="GSB23" s="414"/>
      <c r="GSC23" s="414"/>
      <c r="GSD23" s="414"/>
      <c r="GSE23" s="414"/>
      <c r="GSF23" s="414"/>
      <c r="GSG23" s="414"/>
      <c r="GSH23" s="414"/>
      <c r="GSI23" s="414"/>
      <c r="GSJ23" s="414"/>
      <c r="GSK23" s="414"/>
      <c r="GSL23" s="414"/>
      <c r="GSM23" s="414"/>
      <c r="GSN23" s="414"/>
      <c r="GSO23" s="414"/>
      <c r="GSP23" s="414"/>
      <c r="GSQ23" s="414"/>
      <c r="GSR23" s="414"/>
      <c r="GSS23" s="414"/>
      <c r="GST23" s="414"/>
      <c r="GSU23" s="414"/>
      <c r="GSV23" s="414"/>
      <c r="GSW23" s="414"/>
      <c r="GSX23" s="414"/>
      <c r="GSY23" s="414"/>
      <c r="GSZ23" s="414"/>
      <c r="GTA23" s="414"/>
      <c r="GTB23" s="414"/>
      <c r="GTC23" s="414"/>
      <c r="GTD23" s="414"/>
      <c r="GTE23" s="414"/>
      <c r="GTF23" s="414"/>
      <c r="GTG23" s="414"/>
      <c r="GTH23" s="414"/>
      <c r="GTI23" s="414"/>
      <c r="GTJ23" s="414"/>
      <c r="GTK23" s="414"/>
      <c r="GTL23" s="414"/>
      <c r="GTM23" s="414"/>
      <c r="GTN23" s="414"/>
      <c r="GTO23" s="414"/>
      <c r="GTP23" s="414"/>
      <c r="GTQ23" s="414"/>
      <c r="GTR23" s="414"/>
      <c r="GTS23" s="414"/>
      <c r="GTT23" s="414"/>
      <c r="GTU23" s="414"/>
      <c r="GTV23" s="414"/>
      <c r="GTW23" s="414"/>
      <c r="GTX23" s="414"/>
      <c r="GTY23" s="414"/>
      <c r="GTZ23" s="414"/>
      <c r="GUA23" s="414"/>
      <c r="GUB23" s="414"/>
      <c r="GUC23" s="414"/>
      <c r="GUD23" s="414"/>
      <c r="GUE23" s="414"/>
      <c r="GUF23" s="414"/>
      <c r="GUG23" s="414"/>
      <c r="GUH23" s="414"/>
      <c r="GUI23" s="414"/>
      <c r="GUJ23" s="414"/>
      <c r="GUK23" s="414"/>
      <c r="GUL23" s="414"/>
      <c r="GUM23" s="414"/>
      <c r="GUN23" s="414"/>
      <c r="GUO23" s="414"/>
      <c r="GUP23" s="414"/>
      <c r="GUQ23" s="414"/>
      <c r="GUR23" s="414"/>
      <c r="GUS23" s="414"/>
      <c r="GUT23" s="414"/>
      <c r="GUU23" s="414"/>
      <c r="GUV23" s="414"/>
      <c r="GUW23" s="414"/>
      <c r="GUX23" s="414"/>
      <c r="GUY23" s="414"/>
      <c r="GUZ23" s="414"/>
      <c r="GVA23" s="414"/>
      <c r="GVB23" s="414"/>
      <c r="GVC23" s="414"/>
      <c r="GVD23" s="414"/>
      <c r="GVE23" s="414"/>
      <c r="GVF23" s="414"/>
      <c r="GVG23" s="414"/>
      <c r="GVH23" s="414"/>
      <c r="GVI23" s="414"/>
      <c r="GVJ23" s="414"/>
      <c r="GVK23" s="414"/>
      <c r="GVL23" s="414"/>
      <c r="GVM23" s="414"/>
      <c r="GVN23" s="414"/>
      <c r="GVO23" s="414"/>
      <c r="GVP23" s="414"/>
      <c r="GVQ23" s="414"/>
      <c r="GVR23" s="414"/>
      <c r="GVS23" s="414"/>
      <c r="GVT23" s="414"/>
      <c r="GVU23" s="414"/>
      <c r="GVV23" s="414"/>
      <c r="GVW23" s="414"/>
      <c r="GVX23" s="414"/>
      <c r="GVY23" s="414"/>
      <c r="GVZ23" s="414"/>
      <c r="GWA23" s="414"/>
      <c r="GWB23" s="414"/>
      <c r="GWC23" s="414"/>
      <c r="GWD23" s="414"/>
      <c r="GWE23" s="414"/>
      <c r="GWF23" s="414"/>
      <c r="GWG23" s="414"/>
      <c r="GWH23" s="414"/>
      <c r="GWI23" s="414"/>
      <c r="GWJ23" s="414"/>
      <c r="GWK23" s="414"/>
      <c r="GWL23" s="414"/>
      <c r="GWM23" s="414"/>
      <c r="GWN23" s="414"/>
      <c r="GWO23" s="414"/>
      <c r="GWP23" s="414"/>
      <c r="GWQ23" s="414"/>
      <c r="GWR23" s="414"/>
      <c r="GWS23" s="414"/>
      <c r="GWT23" s="414"/>
      <c r="GWU23" s="414"/>
      <c r="GWV23" s="414"/>
      <c r="GWW23" s="414"/>
      <c r="GWX23" s="414"/>
      <c r="GWY23" s="414"/>
      <c r="GWZ23" s="414"/>
      <c r="GXA23" s="414"/>
      <c r="GXB23" s="414"/>
      <c r="GXC23" s="414"/>
      <c r="GXD23" s="414"/>
      <c r="GXE23" s="414"/>
      <c r="GXF23" s="414"/>
      <c r="GXG23" s="414"/>
      <c r="GXH23" s="414"/>
      <c r="GXI23" s="414"/>
      <c r="GXJ23" s="414"/>
      <c r="GXK23" s="414"/>
      <c r="GXL23" s="414"/>
      <c r="GXM23" s="414"/>
      <c r="GXN23" s="414"/>
      <c r="GXO23" s="414"/>
      <c r="GXP23" s="414"/>
      <c r="GXQ23" s="414"/>
      <c r="GXR23" s="414"/>
      <c r="GXS23" s="414"/>
      <c r="GXT23" s="414"/>
      <c r="GXU23" s="414"/>
      <c r="GXV23" s="414"/>
      <c r="GXW23" s="414"/>
      <c r="GXX23" s="414"/>
      <c r="GXY23" s="414"/>
      <c r="GXZ23" s="414"/>
      <c r="GYA23" s="414"/>
      <c r="GYB23" s="414"/>
      <c r="GYC23" s="414"/>
      <c r="GYD23" s="414"/>
      <c r="GYE23" s="414"/>
      <c r="GYF23" s="414"/>
      <c r="GYG23" s="414"/>
      <c r="GYH23" s="414"/>
      <c r="GYI23" s="414"/>
      <c r="GYJ23" s="414"/>
      <c r="GYK23" s="414"/>
      <c r="GYL23" s="414"/>
      <c r="GYM23" s="414"/>
      <c r="GYN23" s="414"/>
      <c r="GYO23" s="414"/>
      <c r="GYP23" s="414"/>
      <c r="GYQ23" s="414"/>
      <c r="GYR23" s="414"/>
      <c r="GYS23" s="414"/>
      <c r="GYT23" s="414"/>
      <c r="GYU23" s="414"/>
      <c r="GYV23" s="414"/>
      <c r="GYW23" s="414"/>
      <c r="GYX23" s="414"/>
      <c r="GYY23" s="414"/>
      <c r="GYZ23" s="414"/>
      <c r="GZA23" s="414"/>
      <c r="GZB23" s="414"/>
      <c r="GZC23" s="414"/>
      <c r="GZD23" s="414"/>
      <c r="GZE23" s="414"/>
      <c r="GZF23" s="414"/>
      <c r="GZG23" s="414"/>
      <c r="GZH23" s="414"/>
      <c r="GZI23" s="414"/>
      <c r="GZJ23" s="414"/>
      <c r="GZK23" s="414"/>
      <c r="GZL23" s="414"/>
      <c r="GZM23" s="414"/>
      <c r="GZN23" s="414"/>
      <c r="GZO23" s="414"/>
      <c r="GZP23" s="414"/>
      <c r="GZQ23" s="414"/>
      <c r="GZR23" s="414"/>
      <c r="GZS23" s="414"/>
      <c r="GZT23" s="414"/>
      <c r="GZU23" s="414"/>
      <c r="GZV23" s="414"/>
      <c r="GZW23" s="414"/>
      <c r="GZX23" s="414"/>
      <c r="GZY23" s="414"/>
      <c r="GZZ23" s="414"/>
      <c r="HAA23" s="414"/>
      <c r="HAB23" s="414"/>
      <c r="HAC23" s="414"/>
      <c r="HAD23" s="414"/>
      <c r="HAE23" s="414"/>
      <c r="HAF23" s="414"/>
      <c r="HAG23" s="414"/>
      <c r="HAH23" s="414"/>
      <c r="HAI23" s="414"/>
      <c r="HAJ23" s="414"/>
      <c r="HAK23" s="414"/>
      <c r="HAL23" s="414"/>
      <c r="HAM23" s="414"/>
      <c r="HAN23" s="414"/>
      <c r="HAO23" s="414"/>
      <c r="HAP23" s="414"/>
      <c r="HAQ23" s="414"/>
      <c r="HAR23" s="414"/>
      <c r="HAS23" s="414"/>
      <c r="HAT23" s="414"/>
      <c r="HAU23" s="414"/>
      <c r="HAV23" s="414"/>
      <c r="HAW23" s="414"/>
      <c r="HAX23" s="414"/>
      <c r="HAY23" s="414"/>
      <c r="HAZ23" s="414"/>
      <c r="HBA23" s="414"/>
      <c r="HBB23" s="414"/>
      <c r="HBC23" s="414"/>
      <c r="HBD23" s="414"/>
      <c r="HBE23" s="414"/>
      <c r="HBF23" s="414"/>
      <c r="HBG23" s="414"/>
      <c r="HBH23" s="414"/>
      <c r="HBI23" s="414"/>
      <c r="HBJ23" s="414"/>
      <c r="HBK23" s="414"/>
      <c r="HBL23" s="414"/>
      <c r="HBM23" s="414"/>
      <c r="HBN23" s="414"/>
      <c r="HBO23" s="414"/>
      <c r="HBP23" s="414"/>
      <c r="HBQ23" s="414"/>
      <c r="HBR23" s="414"/>
      <c r="HBS23" s="414"/>
      <c r="HBT23" s="414"/>
      <c r="HBU23" s="414"/>
      <c r="HBV23" s="414"/>
      <c r="HBW23" s="414"/>
      <c r="HBX23" s="414"/>
      <c r="HBY23" s="414"/>
      <c r="HBZ23" s="414"/>
      <c r="HCA23" s="414"/>
      <c r="HCB23" s="414"/>
      <c r="HCC23" s="414"/>
      <c r="HCD23" s="414"/>
      <c r="HCE23" s="414"/>
      <c r="HCF23" s="414"/>
      <c r="HCG23" s="414"/>
      <c r="HCH23" s="414"/>
      <c r="HCI23" s="414"/>
      <c r="HCJ23" s="414"/>
      <c r="HCK23" s="414"/>
      <c r="HCL23" s="414"/>
      <c r="HCM23" s="414"/>
      <c r="HCN23" s="414"/>
      <c r="HCO23" s="414"/>
      <c r="HCP23" s="414"/>
      <c r="HCQ23" s="414"/>
      <c r="HCR23" s="414"/>
      <c r="HCS23" s="414"/>
      <c r="HCT23" s="414"/>
      <c r="HCU23" s="414"/>
      <c r="HCV23" s="414"/>
      <c r="HCW23" s="414"/>
      <c r="HCX23" s="414"/>
      <c r="HCY23" s="414"/>
      <c r="HCZ23" s="414"/>
      <c r="HDA23" s="414"/>
      <c r="HDB23" s="414"/>
      <c r="HDC23" s="414"/>
      <c r="HDD23" s="414"/>
      <c r="HDE23" s="414"/>
      <c r="HDF23" s="414"/>
      <c r="HDG23" s="414"/>
      <c r="HDH23" s="414"/>
      <c r="HDI23" s="414"/>
      <c r="HDJ23" s="414"/>
      <c r="HDK23" s="414"/>
      <c r="HDL23" s="414"/>
      <c r="HDM23" s="414"/>
      <c r="HDN23" s="414"/>
      <c r="HDO23" s="414"/>
      <c r="HDP23" s="414"/>
      <c r="HDQ23" s="414"/>
      <c r="HDR23" s="414"/>
      <c r="HDS23" s="414"/>
      <c r="HDT23" s="414"/>
      <c r="HDU23" s="414"/>
      <c r="HDV23" s="414"/>
      <c r="HDW23" s="414"/>
      <c r="HDX23" s="414"/>
      <c r="HDY23" s="414"/>
      <c r="HDZ23" s="414"/>
      <c r="HEA23" s="414"/>
      <c r="HEB23" s="414"/>
      <c r="HEC23" s="414"/>
      <c r="HED23" s="414"/>
      <c r="HEE23" s="414"/>
      <c r="HEF23" s="414"/>
      <c r="HEG23" s="414"/>
      <c r="HEH23" s="414"/>
      <c r="HEI23" s="414"/>
      <c r="HEJ23" s="414"/>
      <c r="HEK23" s="414"/>
      <c r="HEL23" s="414"/>
      <c r="HEM23" s="414"/>
      <c r="HEN23" s="414"/>
      <c r="HEO23" s="414"/>
      <c r="HEP23" s="414"/>
      <c r="HEQ23" s="414"/>
      <c r="HER23" s="414"/>
      <c r="HES23" s="414"/>
      <c r="HET23" s="414"/>
      <c r="HEU23" s="414"/>
      <c r="HEV23" s="414"/>
      <c r="HEW23" s="414"/>
      <c r="HEX23" s="414"/>
      <c r="HEY23" s="414"/>
      <c r="HEZ23" s="414"/>
      <c r="HFA23" s="414"/>
      <c r="HFB23" s="414"/>
      <c r="HFC23" s="414"/>
      <c r="HFD23" s="414"/>
      <c r="HFE23" s="414"/>
      <c r="HFF23" s="414"/>
      <c r="HFG23" s="414"/>
      <c r="HFH23" s="414"/>
      <c r="HFI23" s="414"/>
      <c r="HFJ23" s="414"/>
      <c r="HFK23" s="414"/>
      <c r="HFL23" s="414"/>
      <c r="HFM23" s="414"/>
      <c r="HFN23" s="414"/>
      <c r="HFO23" s="414"/>
      <c r="HFP23" s="414"/>
      <c r="HFQ23" s="414"/>
      <c r="HFR23" s="414"/>
      <c r="HFS23" s="414"/>
      <c r="HFT23" s="414"/>
      <c r="HFU23" s="414"/>
      <c r="HFV23" s="414"/>
      <c r="HFW23" s="414"/>
      <c r="HFX23" s="414"/>
      <c r="HFY23" s="414"/>
      <c r="HFZ23" s="414"/>
      <c r="HGA23" s="414"/>
      <c r="HGB23" s="414"/>
      <c r="HGC23" s="414"/>
      <c r="HGD23" s="414"/>
      <c r="HGE23" s="414"/>
      <c r="HGF23" s="414"/>
      <c r="HGG23" s="414"/>
      <c r="HGH23" s="414"/>
      <c r="HGI23" s="414"/>
      <c r="HGJ23" s="414"/>
      <c r="HGK23" s="414"/>
      <c r="HGL23" s="414"/>
      <c r="HGM23" s="414"/>
      <c r="HGN23" s="414"/>
      <c r="HGO23" s="414"/>
      <c r="HGP23" s="414"/>
      <c r="HGQ23" s="414"/>
      <c r="HGR23" s="414"/>
      <c r="HGS23" s="414"/>
      <c r="HGT23" s="414"/>
      <c r="HGU23" s="414"/>
      <c r="HGV23" s="414"/>
      <c r="HGW23" s="414"/>
      <c r="HGX23" s="414"/>
      <c r="HGY23" s="414"/>
      <c r="HGZ23" s="414"/>
      <c r="HHA23" s="414"/>
      <c r="HHB23" s="414"/>
      <c r="HHC23" s="414"/>
      <c r="HHD23" s="414"/>
      <c r="HHE23" s="414"/>
      <c r="HHF23" s="414"/>
      <c r="HHG23" s="414"/>
      <c r="HHH23" s="414"/>
      <c r="HHI23" s="414"/>
      <c r="HHJ23" s="414"/>
      <c r="HHK23" s="414"/>
      <c r="HHL23" s="414"/>
      <c r="HHM23" s="414"/>
      <c r="HHN23" s="414"/>
      <c r="HHO23" s="414"/>
      <c r="HHP23" s="414"/>
      <c r="HHQ23" s="414"/>
      <c r="HHR23" s="414"/>
      <c r="HHS23" s="414"/>
      <c r="HHT23" s="414"/>
      <c r="HHU23" s="414"/>
      <c r="HHV23" s="414"/>
      <c r="HHW23" s="414"/>
      <c r="HHX23" s="414"/>
      <c r="HHY23" s="414"/>
      <c r="HHZ23" s="414"/>
      <c r="HIA23" s="414"/>
      <c r="HIB23" s="414"/>
      <c r="HIC23" s="414"/>
      <c r="HID23" s="414"/>
      <c r="HIE23" s="414"/>
      <c r="HIF23" s="414"/>
      <c r="HIG23" s="414"/>
      <c r="HIH23" s="414"/>
      <c r="HII23" s="414"/>
      <c r="HIJ23" s="414"/>
      <c r="HIK23" s="414"/>
      <c r="HIL23" s="414"/>
      <c r="HIM23" s="414"/>
      <c r="HIN23" s="414"/>
      <c r="HIO23" s="414"/>
      <c r="HIP23" s="414"/>
      <c r="HIQ23" s="414"/>
      <c r="HIR23" s="414"/>
      <c r="HIS23" s="414"/>
      <c r="HIT23" s="414"/>
      <c r="HIU23" s="414"/>
      <c r="HIV23" s="414"/>
      <c r="HIW23" s="414"/>
      <c r="HIX23" s="414"/>
      <c r="HIY23" s="414"/>
      <c r="HIZ23" s="414"/>
      <c r="HJA23" s="414"/>
      <c r="HJB23" s="414"/>
      <c r="HJC23" s="414"/>
      <c r="HJD23" s="414"/>
      <c r="HJE23" s="414"/>
      <c r="HJF23" s="414"/>
      <c r="HJG23" s="414"/>
      <c r="HJH23" s="414"/>
      <c r="HJI23" s="414"/>
      <c r="HJJ23" s="414"/>
      <c r="HJK23" s="414"/>
      <c r="HJL23" s="414"/>
      <c r="HJM23" s="414"/>
      <c r="HJN23" s="414"/>
      <c r="HJO23" s="414"/>
      <c r="HJP23" s="414"/>
      <c r="HJQ23" s="414"/>
      <c r="HJR23" s="414"/>
      <c r="HJS23" s="414"/>
      <c r="HJT23" s="414"/>
      <c r="HJU23" s="414"/>
      <c r="HJV23" s="414"/>
      <c r="HJW23" s="414"/>
      <c r="HJX23" s="414"/>
      <c r="HJY23" s="414"/>
      <c r="HJZ23" s="414"/>
      <c r="HKA23" s="414"/>
      <c r="HKB23" s="414"/>
      <c r="HKC23" s="414"/>
      <c r="HKD23" s="414"/>
      <c r="HKE23" s="414"/>
      <c r="HKF23" s="414"/>
      <c r="HKG23" s="414"/>
      <c r="HKH23" s="414"/>
      <c r="HKI23" s="414"/>
      <c r="HKJ23" s="414"/>
      <c r="HKK23" s="414"/>
      <c r="HKL23" s="414"/>
      <c r="HKM23" s="414"/>
      <c r="HKN23" s="414"/>
      <c r="HKO23" s="414"/>
      <c r="HKP23" s="414"/>
      <c r="HKQ23" s="414"/>
      <c r="HKR23" s="414"/>
      <c r="HKS23" s="414"/>
      <c r="HKT23" s="414"/>
      <c r="HKU23" s="414"/>
      <c r="HKV23" s="414"/>
      <c r="HKW23" s="414"/>
      <c r="HKX23" s="414"/>
      <c r="HKY23" s="414"/>
      <c r="HKZ23" s="414"/>
      <c r="HLA23" s="414"/>
      <c r="HLB23" s="414"/>
      <c r="HLC23" s="414"/>
      <c r="HLD23" s="414"/>
      <c r="HLE23" s="414"/>
      <c r="HLF23" s="414"/>
      <c r="HLG23" s="414"/>
      <c r="HLH23" s="414"/>
      <c r="HLI23" s="414"/>
      <c r="HLJ23" s="414"/>
      <c r="HLK23" s="414"/>
      <c r="HLL23" s="414"/>
      <c r="HLM23" s="414"/>
      <c r="HLN23" s="414"/>
      <c r="HLO23" s="414"/>
      <c r="HLP23" s="414"/>
      <c r="HLQ23" s="414"/>
      <c r="HLR23" s="414"/>
      <c r="HLS23" s="414"/>
      <c r="HLT23" s="414"/>
      <c r="HLU23" s="414"/>
      <c r="HLV23" s="414"/>
      <c r="HLW23" s="414"/>
      <c r="HLX23" s="414"/>
      <c r="HLY23" s="414"/>
      <c r="HLZ23" s="414"/>
      <c r="HMA23" s="414"/>
      <c r="HMB23" s="414"/>
      <c r="HMC23" s="414"/>
      <c r="HMD23" s="414"/>
      <c r="HME23" s="414"/>
      <c r="HMF23" s="414"/>
      <c r="HMG23" s="414"/>
      <c r="HMH23" s="414"/>
      <c r="HMI23" s="414"/>
      <c r="HMJ23" s="414"/>
      <c r="HMK23" s="414"/>
      <c r="HML23" s="414"/>
      <c r="HMM23" s="414"/>
      <c r="HMN23" s="414"/>
      <c r="HMO23" s="414"/>
      <c r="HMP23" s="414"/>
      <c r="HMQ23" s="414"/>
      <c r="HMR23" s="414"/>
      <c r="HMS23" s="414"/>
      <c r="HMT23" s="414"/>
      <c r="HMU23" s="414"/>
      <c r="HMV23" s="414"/>
      <c r="HMW23" s="414"/>
      <c r="HMX23" s="414"/>
      <c r="HMY23" s="414"/>
      <c r="HMZ23" s="414"/>
      <c r="HNA23" s="414"/>
      <c r="HNB23" s="414"/>
      <c r="HNC23" s="414"/>
      <c r="HND23" s="414"/>
      <c r="HNE23" s="414"/>
      <c r="HNF23" s="414"/>
      <c r="HNG23" s="414"/>
      <c r="HNH23" s="414"/>
      <c r="HNI23" s="414"/>
      <c r="HNJ23" s="414"/>
      <c r="HNK23" s="414"/>
      <c r="HNL23" s="414"/>
      <c r="HNM23" s="414"/>
      <c r="HNN23" s="414"/>
      <c r="HNO23" s="414"/>
      <c r="HNP23" s="414"/>
      <c r="HNQ23" s="414"/>
      <c r="HNR23" s="414"/>
      <c r="HNS23" s="414"/>
      <c r="HNT23" s="414"/>
      <c r="HNU23" s="414"/>
      <c r="HNV23" s="414"/>
      <c r="HNW23" s="414"/>
      <c r="HNX23" s="414"/>
      <c r="HNY23" s="414"/>
      <c r="HNZ23" s="414"/>
      <c r="HOA23" s="414"/>
      <c r="HOB23" s="414"/>
      <c r="HOC23" s="414"/>
      <c r="HOD23" s="414"/>
      <c r="HOE23" s="414"/>
      <c r="HOF23" s="414"/>
      <c r="HOG23" s="414"/>
      <c r="HOH23" s="414"/>
      <c r="HOI23" s="414"/>
      <c r="HOJ23" s="414"/>
      <c r="HOK23" s="414"/>
      <c r="HOL23" s="414"/>
      <c r="HOM23" s="414"/>
      <c r="HON23" s="414"/>
      <c r="HOO23" s="414"/>
      <c r="HOP23" s="414"/>
      <c r="HOQ23" s="414"/>
      <c r="HOR23" s="414"/>
      <c r="HOS23" s="414"/>
      <c r="HOT23" s="414"/>
      <c r="HOU23" s="414"/>
      <c r="HOV23" s="414"/>
      <c r="HOW23" s="414"/>
      <c r="HOX23" s="414"/>
      <c r="HOY23" s="414"/>
      <c r="HOZ23" s="414"/>
      <c r="HPA23" s="414"/>
      <c r="HPB23" s="414"/>
      <c r="HPC23" s="414"/>
      <c r="HPD23" s="414"/>
      <c r="HPE23" s="414"/>
      <c r="HPF23" s="414"/>
      <c r="HPG23" s="414"/>
      <c r="HPH23" s="414"/>
      <c r="HPI23" s="414"/>
      <c r="HPJ23" s="414"/>
      <c r="HPK23" s="414"/>
      <c r="HPL23" s="414"/>
      <c r="HPM23" s="414"/>
      <c r="HPN23" s="414"/>
      <c r="HPO23" s="414"/>
      <c r="HPP23" s="414"/>
      <c r="HPQ23" s="414"/>
      <c r="HPR23" s="414"/>
      <c r="HPS23" s="414"/>
      <c r="HPT23" s="414"/>
      <c r="HPU23" s="414"/>
      <c r="HPV23" s="414"/>
      <c r="HPW23" s="414"/>
      <c r="HPX23" s="414"/>
      <c r="HPY23" s="414"/>
      <c r="HPZ23" s="414"/>
      <c r="HQA23" s="414"/>
      <c r="HQB23" s="414"/>
      <c r="HQC23" s="414"/>
      <c r="HQD23" s="414"/>
      <c r="HQE23" s="414"/>
      <c r="HQF23" s="414"/>
      <c r="HQG23" s="414"/>
      <c r="HQH23" s="414"/>
      <c r="HQI23" s="414"/>
      <c r="HQJ23" s="414"/>
      <c r="HQK23" s="414"/>
      <c r="HQL23" s="414"/>
      <c r="HQM23" s="414"/>
      <c r="HQN23" s="414"/>
      <c r="HQO23" s="414"/>
      <c r="HQP23" s="414"/>
      <c r="HQQ23" s="414"/>
      <c r="HQR23" s="414"/>
      <c r="HQS23" s="414"/>
      <c r="HQT23" s="414"/>
      <c r="HQU23" s="414"/>
      <c r="HQV23" s="414"/>
      <c r="HQW23" s="414"/>
      <c r="HQX23" s="414"/>
      <c r="HQY23" s="414"/>
      <c r="HQZ23" s="414"/>
      <c r="HRA23" s="414"/>
      <c r="HRB23" s="414"/>
      <c r="HRC23" s="414"/>
      <c r="HRD23" s="414"/>
      <c r="HRE23" s="414"/>
      <c r="HRF23" s="414"/>
      <c r="HRG23" s="414"/>
      <c r="HRH23" s="414"/>
      <c r="HRI23" s="414"/>
      <c r="HRJ23" s="414"/>
      <c r="HRK23" s="414"/>
      <c r="HRL23" s="414"/>
      <c r="HRM23" s="414"/>
      <c r="HRN23" s="414"/>
      <c r="HRO23" s="414"/>
      <c r="HRP23" s="414"/>
      <c r="HRQ23" s="414"/>
      <c r="HRR23" s="414"/>
      <c r="HRS23" s="414"/>
      <c r="HRT23" s="414"/>
      <c r="HRU23" s="414"/>
      <c r="HRV23" s="414"/>
      <c r="HRW23" s="414"/>
      <c r="HRX23" s="414"/>
      <c r="HRY23" s="414"/>
      <c r="HRZ23" s="414"/>
      <c r="HSA23" s="414"/>
      <c r="HSB23" s="414"/>
      <c r="HSC23" s="414"/>
      <c r="HSD23" s="414"/>
      <c r="HSE23" s="414"/>
      <c r="HSF23" s="414"/>
      <c r="HSG23" s="414"/>
      <c r="HSH23" s="414"/>
      <c r="HSI23" s="414"/>
      <c r="HSJ23" s="414"/>
      <c r="HSK23" s="414"/>
      <c r="HSL23" s="414"/>
      <c r="HSM23" s="414"/>
      <c r="HSN23" s="414"/>
      <c r="HSO23" s="414"/>
      <c r="HSP23" s="414"/>
      <c r="HSQ23" s="414"/>
      <c r="HSR23" s="414"/>
      <c r="HSS23" s="414"/>
      <c r="HST23" s="414"/>
      <c r="HSU23" s="414"/>
      <c r="HSV23" s="414"/>
      <c r="HSW23" s="414"/>
      <c r="HSX23" s="414"/>
      <c r="HSY23" s="414"/>
      <c r="HSZ23" s="414"/>
      <c r="HTA23" s="414"/>
      <c r="HTB23" s="414"/>
      <c r="HTC23" s="414"/>
      <c r="HTD23" s="414"/>
      <c r="HTE23" s="414"/>
      <c r="HTF23" s="414"/>
      <c r="HTG23" s="414"/>
      <c r="HTH23" s="414"/>
      <c r="HTI23" s="414"/>
      <c r="HTJ23" s="414"/>
      <c r="HTK23" s="414"/>
      <c r="HTL23" s="414"/>
      <c r="HTM23" s="414"/>
      <c r="HTN23" s="414"/>
      <c r="HTO23" s="414"/>
      <c r="HTP23" s="414"/>
      <c r="HTQ23" s="414"/>
      <c r="HTR23" s="414"/>
      <c r="HTS23" s="414"/>
      <c r="HTT23" s="414"/>
      <c r="HTU23" s="414"/>
      <c r="HTV23" s="414"/>
      <c r="HTW23" s="414"/>
      <c r="HTX23" s="414"/>
      <c r="HTY23" s="414"/>
      <c r="HTZ23" s="414"/>
      <c r="HUA23" s="414"/>
      <c r="HUB23" s="414"/>
      <c r="HUC23" s="414"/>
      <c r="HUD23" s="414"/>
      <c r="HUE23" s="414"/>
      <c r="HUF23" s="414"/>
      <c r="HUG23" s="414"/>
      <c r="HUH23" s="414"/>
      <c r="HUI23" s="414"/>
      <c r="HUJ23" s="414"/>
      <c r="HUK23" s="414"/>
      <c r="HUL23" s="414"/>
      <c r="HUM23" s="414"/>
      <c r="HUN23" s="414"/>
      <c r="HUO23" s="414"/>
      <c r="HUP23" s="414"/>
      <c r="HUQ23" s="414"/>
      <c r="HUR23" s="414"/>
      <c r="HUS23" s="414"/>
      <c r="HUT23" s="414"/>
      <c r="HUU23" s="414"/>
      <c r="HUV23" s="414"/>
      <c r="HUW23" s="414"/>
      <c r="HUX23" s="414"/>
      <c r="HUY23" s="414"/>
      <c r="HUZ23" s="414"/>
      <c r="HVA23" s="414"/>
      <c r="HVB23" s="414"/>
      <c r="HVC23" s="414"/>
      <c r="HVD23" s="414"/>
      <c r="HVE23" s="414"/>
      <c r="HVF23" s="414"/>
      <c r="HVG23" s="414"/>
      <c r="HVH23" s="414"/>
      <c r="HVI23" s="414"/>
      <c r="HVJ23" s="414"/>
      <c r="HVK23" s="414"/>
      <c r="HVL23" s="414"/>
      <c r="HVM23" s="414"/>
      <c r="HVN23" s="414"/>
      <c r="HVO23" s="414"/>
      <c r="HVP23" s="414"/>
      <c r="HVQ23" s="414"/>
      <c r="HVR23" s="414"/>
      <c r="HVS23" s="414"/>
      <c r="HVT23" s="414"/>
      <c r="HVU23" s="414"/>
      <c r="HVV23" s="414"/>
      <c r="HVW23" s="414"/>
      <c r="HVX23" s="414"/>
      <c r="HVY23" s="414"/>
      <c r="HVZ23" s="414"/>
      <c r="HWA23" s="414"/>
      <c r="HWB23" s="414"/>
      <c r="HWC23" s="414"/>
      <c r="HWD23" s="414"/>
      <c r="HWE23" s="414"/>
      <c r="HWF23" s="414"/>
      <c r="HWG23" s="414"/>
      <c r="HWH23" s="414"/>
      <c r="HWI23" s="414"/>
      <c r="HWJ23" s="414"/>
      <c r="HWK23" s="414"/>
      <c r="HWL23" s="414"/>
      <c r="HWM23" s="414"/>
      <c r="HWN23" s="414"/>
      <c r="HWO23" s="414"/>
      <c r="HWP23" s="414"/>
      <c r="HWQ23" s="414"/>
      <c r="HWR23" s="414"/>
      <c r="HWS23" s="414"/>
      <c r="HWT23" s="414"/>
      <c r="HWU23" s="414"/>
      <c r="HWV23" s="414"/>
      <c r="HWW23" s="414"/>
      <c r="HWX23" s="414"/>
      <c r="HWY23" s="414"/>
      <c r="HWZ23" s="414"/>
      <c r="HXA23" s="414"/>
      <c r="HXB23" s="414"/>
      <c r="HXC23" s="414"/>
      <c r="HXD23" s="414"/>
      <c r="HXE23" s="414"/>
      <c r="HXF23" s="414"/>
      <c r="HXG23" s="414"/>
      <c r="HXH23" s="414"/>
      <c r="HXI23" s="414"/>
      <c r="HXJ23" s="414"/>
      <c r="HXK23" s="414"/>
      <c r="HXL23" s="414"/>
      <c r="HXM23" s="414"/>
      <c r="HXN23" s="414"/>
      <c r="HXO23" s="414"/>
      <c r="HXP23" s="414"/>
      <c r="HXQ23" s="414"/>
      <c r="HXR23" s="414"/>
      <c r="HXS23" s="414"/>
      <c r="HXT23" s="414"/>
      <c r="HXU23" s="414"/>
      <c r="HXV23" s="414"/>
      <c r="HXW23" s="414"/>
      <c r="HXX23" s="414"/>
      <c r="HXY23" s="414"/>
      <c r="HXZ23" s="414"/>
      <c r="HYA23" s="414"/>
      <c r="HYB23" s="414"/>
      <c r="HYC23" s="414"/>
      <c r="HYD23" s="414"/>
      <c r="HYE23" s="414"/>
      <c r="HYF23" s="414"/>
      <c r="HYG23" s="414"/>
      <c r="HYH23" s="414"/>
      <c r="HYI23" s="414"/>
      <c r="HYJ23" s="414"/>
      <c r="HYK23" s="414"/>
      <c r="HYL23" s="414"/>
      <c r="HYM23" s="414"/>
      <c r="HYN23" s="414"/>
      <c r="HYO23" s="414"/>
      <c r="HYP23" s="414"/>
      <c r="HYQ23" s="414"/>
      <c r="HYR23" s="414"/>
      <c r="HYS23" s="414"/>
      <c r="HYT23" s="414"/>
      <c r="HYU23" s="414"/>
      <c r="HYV23" s="414"/>
      <c r="HYW23" s="414"/>
      <c r="HYX23" s="414"/>
      <c r="HYY23" s="414"/>
      <c r="HYZ23" s="414"/>
      <c r="HZA23" s="414"/>
      <c r="HZB23" s="414"/>
      <c r="HZC23" s="414"/>
      <c r="HZD23" s="414"/>
      <c r="HZE23" s="414"/>
      <c r="HZF23" s="414"/>
      <c r="HZG23" s="414"/>
      <c r="HZH23" s="414"/>
      <c r="HZI23" s="414"/>
      <c r="HZJ23" s="414"/>
      <c r="HZK23" s="414"/>
      <c r="HZL23" s="414"/>
      <c r="HZM23" s="414"/>
      <c r="HZN23" s="414"/>
      <c r="HZO23" s="414"/>
      <c r="HZP23" s="414"/>
      <c r="HZQ23" s="414"/>
      <c r="HZR23" s="414"/>
      <c r="HZS23" s="414"/>
      <c r="HZT23" s="414"/>
      <c r="HZU23" s="414"/>
      <c r="HZV23" s="414"/>
      <c r="HZW23" s="414"/>
      <c r="HZX23" s="414"/>
      <c r="HZY23" s="414"/>
      <c r="HZZ23" s="414"/>
      <c r="IAA23" s="414"/>
      <c r="IAB23" s="414"/>
      <c r="IAC23" s="414"/>
      <c r="IAD23" s="414"/>
      <c r="IAE23" s="414"/>
      <c r="IAF23" s="414"/>
      <c r="IAG23" s="414"/>
      <c r="IAH23" s="414"/>
      <c r="IAI23" s="414"/>
      <c r="IAJ23" s="414"/>
      <c r="IAK23" s="414"/>
      <c r="IAL23" s="414"/>
      <c r="IAM23" s="414"/>
      <c r="IAN23" s="414"/>
      <c r="IAO23" s="414"/>
      <c r="IAP23" s="414"/>
      <c r="IAQ23" s="414"/>
      <c r="IAR23" s="414"/>
      <c r="IAS23" s="414"/>
      <c r="IAT23" s="414"/>
      <c r="IAU23" s="414"/>
      <c r="IAV23" s="414"/>
      <c r="IAW23" s="414"/>
      <c r="IAX23" s="414"/>
      <c r="IAY23" s="414"/>
      <c r="IAZ23" s="414"/>
      <c r="IBA23" s="414"/>
      <c r="IBB23" s="414"/>
      <c r="IBC23" s="414"/>
      <c r="IBD23" s="414"/>
      <c r="IBE23" s="414"/>
      <c r="IBF23" s="414"/>
      <c r="IBG23" s="414"/>
      <c r="IBH23" s="414"/>
      <c r="IBI23" s="414"/>
      <c r="IBJ23" s="414"/>
      <c r="IBK23" s="414"/>
      <c r="IBL23" s="414"/>
      <c r="IBM23" s="414"/>
      <c r="IBN23" s="414"/>
      <c r="IBO23" s="414"/>
      <c r="IBP23" s="414"/>
      <c r="IBQ23" s="414"/>
      <c r="IBR23" s="414"/>
      <c r="IBS23" s="414"/>
      <c r="IBT23" s="414"/>
      <c r="IBU23" s="414"/>
      <c r="IBV23" s="414"/>
      <c r="IBW23" s="414"/>
      <c r="IBX23" s="414"/>
      <c r="IBY23" s="414"/>
      <c r="IBZ23" s="414"/>
      <c r="ICA23" s="414"/>
      <c r="ICB23" s="414"/>
      <c r="ICC23" s="414"/>
      <c r="ICD23" s="414"/>
      <c r="ICE23" s="414"/>
      <c r="ICF23" s="414"/>
      <c r="ICG23" s="414"/>
      <c r="ICH23" s="414"/>
      <c r="ICI23" s="414"/>
      <c r="ICJ23" s="414"/>
      <c r="ICK23" s="414"/>
      <c r="ICL23" s="414"/>
      <c r="ICM23" s="414"/>
      <c r="ICN23" s="414"/>
      <c r="ICO23" s="414"/>
      <c r="ICP23" s="414"/>
      <c r="ICQ23" s="414"/>
      <c r="ICR23" s="414"/>
      <c r="ICS23" s="414"/>
      <c r="ICT23" s="414"/>
      <c r="ICU23" s="414"/>
      <c r="ICV23" s="414"/>
      <c r="ICW23" s="414"/>
      <c r="ICX23" s="414"/>
      <c r="ICY23" s="414"/>
      <c r="ICZ23" s="414"/>
      <c r="IDA23" s="414"/>
      <c r="IDB23" s="414"/>
      <c r="IDC23" s="414"/>
      <c r="IDD23" s="414"/>
      <c r="IDE23" s="414"/>
      <c r="IDF23" s="414"/>
      <c r="IDG23" s="414"/>
      <c r="IDH23" s="414"/>
      <c r="IDI23" s="414"/>
      <c r="IDJ23" s="414"/>
      <c r="IDK23" s="414"/>
      <c r="IDL23" s="414"/>
      <c r="IDM23" s="414"/>
      <c r="IDN23" s="414"/>
      <c r="IDO23" s="414"/>
      <c r="IDP23" s="414"/>
      <c r="IDQ23" s="414"/>
      <c r="IDR23" s="414"/>
      <c r="IDS23" s="414"/>
      <c r="IDT23" s="414"/>
      <c r="IDU23" s="414"/>
      <c r="IDV23" s="414"/>
      <c r="IDW23" s="414"/>
      <c r="IDX23" s="414"/>
      <c r="IDY23" s="414"/>
      <c r="IDZ23" s="414"/>
      <c r="IEA23" s="414"/>
      <c r="IEB23" s="414"/>
      <c r="IEC23" s="414"/>
      <c r="IED23" s="414"/>
      <c r="IEE23" s="414"/>
      <c r="IEF23" s="414"/>
      <c r="IEG23" s="414"/>
      <c r="IEH23" s="414"/>
      <c r="IEI23" s="414"/>
      <c r="IEJ23" s="414"/>
      <c r="IEK23" s="414"/>
      <c r="IEL23" s="414"/>
      <c r="IEM23" s="414"/>
      <c r="IEN23" s="414"/>
      <c r="IEO23" s="414"/>
      <c r="IEP23" s="414"/>
      <c r="IEQ23" s="414"/>
      <c r="IER23" s="414"/>
      <c r="IES23" s="414"/>
      <c r="IET23" s="414"/>
      <c r="IEU23" s="414"/>
      <c r="IEV23" s="414"/>
      <c r="IEW23" s="414"/>
      <c r="IEX23" s="414"/>
      <c r="IEY23" s="414"/>
      <c r="IEZ23" s="414"/>
      <c r="IFA23" s="414"/>
      <c r="IFB23" s="414"/>
      <c r="IFC23" s="414"/>
      <c r="IFD23" s="414"/>
      <c r="IFE23" s="414"/>
      <c r="IFF23" s="414"/>
      <c r="IFG23" s="414"/>
      <c r="IFH23" s="414"/>
      <c r="IFI23" s="414"/>
      <c r="IFJ23" s="414"/>
      <c r="IFK23" s="414"/>
      <c r="IFL23" s="414"/>
      <c r="IFM23" s="414"/>
      <c r="IFN23" s="414"/>
      <c r="IFO23" s="414"/>
      <c r="IFP23" s="414"/>
      <c r="IFQ23" s="414"/>
      <c r="IFR23" s="414"/>
      <c r="IFS23" s="414"/>
      <c r="IFT23" s="414"/>
      <c r="IFU23" s="414"/>
      <c r="IFV23" s="414"/>
      <c r="IFW23" s="414"/>
      <c r="IFX23" s="414"/>
      <c r="IFY23" s="414"/>
      <c r="IFZ23" s="414"/>
      <c r="IGA23" s="414"/>
      <c r="IGB23" s="414"/>
      <c r="IGC23" s="414"/>
      <c r="IGD23" s="414"/>
      <c r="IGE23" s="414"/>
      <c r="IGF23" s="414"/>
      <c r="IGG23" s="414"/>
      <c r="IGH23" s="414"/>
      <c r="IGI23" s="414"/>
      <c r="IGJ23" s="414"/>
      <c r="IGK23" s="414"/>
      <c r="IGL23" s="414"/>
      <c r="IGM23" s="414"/>
      <c r="IGN23" s="414"/>
      <c r="IGO23" s="414"/>
      <c r="IGP23" s="414"/>
      <c r="IGQ23" s="414"/>
      <c r="IGR23" s="414"/>
      <c r="IGS23" s="414"/>
      <c r="IGT23" s="414"/>
      <c r="IGU23" s="414"/>
      <c r="IGV23" s="414"/>
      <c r="IGW23" s="414"/>
      <c r="IGX23" s="414"/>
      <c r="IGY23" s="414"/>
      <c r="IGZ23" s="414"/>
      <c r="IHA23" s="414"/>
      <c r="IHB23" s="414"/>
      <c r="IHC23" s="414"/>
      <c r="IHD23" s="414"/>
      <c r="IHE23" s="414"/>
      <c r="IHF23" s="414"/>
      <c r="IHG23" s="414"/>
      <c r="IHH23" s="414"/>
      <c r="IHI23" s="414"/>
      <c r="IHJ23" s="414"/>
      <c r="IHK23" s="414"/>
      <c r="IHL23" s="414"/>
      <c r="IHM23" s="414"/>
      <c r="IHN23" s="414"/>
      <c r="IHO23" s="414"/>
      <c r="IHP23" s="414"/>
      <c r="IHQ23" s="414"/>
      <c r="IHR23" s="414"/>
      <c r="IHS23" s="414"/>
      <c r="IHT23" s="414"/>
      <c r="IHU23" s="414"/>
      <c r="IHV23" s="414"/>
      <c r="IHW23" s="414"/>
      <c r="IHX23" s="414"/>
      <c r="IHY23" s="414"/>
      <c r="IHZ23" s="414"/>
      <c r="IIA23" s="414"/>
      <c r="IIB23" s="414"/>
      <c r="IIC23" s="414"/>
      <c r="IID23" s="414"/>
      <c r="IIE23" s="414"/>
      <c r="IIF23" s="414"/>
      <c r="IIG23" s="414"/>
      <c r="IIH23" s="414"/>
      <c r="III23" s="414"/>
      <c r="IIJ23" s="414"/>
      <c r="IIK23" s="414"/>
      <c r="IIL23" s="414"/>
      <c r="IIM23" s="414"/>
      <c r="IIN23" s="414"/>
      <c r="IIO23" s="414"/>
      <c r="IIP23" s="414"/>
      <c r="IIQ23" s="414"/>
      <c r="IIR23" s="414"/>
      <c r="IIS23" s="414"/>
      <c r="IIT23" s="414"/>
      <c r="IIU23" s="414"/>
      <c r="IIV23" s="414"/>
      <c r="IIW23" s="414"/>
      <c r="IIX23" s="414"/>
      <c r="IIY23" s="414"/>
      <c r="IIZ23" s="414"/>
      <c r="IJA23" s="414"/>
      <c r="IJB23" s="414"/>
      <c r="IJC23" s="414"/>
      <c r="IJD23" s="414"/>
      <c r="IJE23" s="414"/>
      <c r="IJF23" s="414"/>
      <c r="IJG23" s="414"/>
      <c r="IJH23" s="414"/>
      <c r="IJI23" s="414"/>
      <c r="IJJ23" s="414"/>
      <c r="IJK23" s="414"/>
      <c r="IJL23" s="414"/>
      <c r="IJM23" s="414"/>
      <c r="IJN23" s="414"/>
      <c r="IJO23" s="414"/>
      <c r="IJP23" s="414"/>
      <c r="IJQ23" s="414"/>
      <c r="IJR23" s="414"/>
      <c r="IJS23" s="414"/>
      <c r="IJT23" s="414"/>
      <c r="IJU23" s="414"/>
      <c r="IJV23" s="414"/>
      <c r="IJW23" s="414"/>
      <c r="IJX23" s="414"/>
      <c r="IJY23" s="414"/>
      <c r="IJZ23" s="414"/>
      <c r="IKA23" s="414"/>
      <c r="IKB23" s="414"/>
      <c r="IKC23" s="414"/>
      <c r="IKD23" s="414"/>
      <c r="IKE23" s="414"/>
      <c r="IKF23" s="414"/>
      <c r="IKG23" s="414"/>
      <c r="IKH23" s="414"/>
      <c r="IKI23" s="414"/>
      <c r="IKJ23" s="414"/>
      <c r="IKK23" s="414"/>
      <c r="IKL23" s="414"/>
      <c r="IKM23" s="414"/>
      <c r="IKN23" s="414"/>
      <c r="IKO23" s="414"/>
      <c r="IKP23" s="414"/>
      <c r="IKQ23" s="414"/>
      <c r="IKR23" s="414"/>
      <c r="IKS23" s="414"/>
      <c r="IKT23" s="414"/>
      <c r="IKU23" s="414"/>
      <c r="IKV23" s="414"/>
      <c r="IKW23" s="414"/>
      <c r="IKX23" s="414"/>
      <c r="IKY23" s="414"/>
      <c r="IKZ23" s="414"/>
      <c r="ILA23" s="414"/>
      <c r="ILB23" s="414"/>
      <c r="ILC23" s="414"/>
      <c r="ILD23" s="414"/>
      <c r="ILE23" s="414"/>
      <c r="ILF23" s="414"/>
      <c r="ILG23" s="414"/>
      <c r="ILH23" s="414"/>
      <c r="ILI23" s="414"/>
      <c r="ILJ23" s="414"/>
      <c r="ILK23" s="414"/>
      <c r="ILL23" s="414"/>
      <c r="ILM23" s="414"/>
      <c r="ILN23" s="414"/>
      <c r="ILO23" s="414"/>
      <c r="ILP23" s="414"/>
      <c r="ILQ23" s="414"/>
      <c r="ILR23" s="414"/>
      <c r="ILS23" s="414"/>
      <c r="ILT23" s="414"/>
      <c r="ILU23" s="414"/>
      <c r="ILV23" s="414"/>
      <c r="ILW23" s="414"/>
      <c r="ILX23" s="414"/>
      <c r="ILY23" s="414"/>
      <c r="ILZ23" s="414"/>
      <c r="IMA23" s="414"/>
      <c r="IMB23" s="414"/>
      <c r="IMC23" s="414"/>
      <c r="IMD23" s="414"/>
      <c r="IME23" s="414"/>
      <c r="IMF23" s="414"/>
      <c r="IMG23" s="414"/>
      <c r="IMH23" s="414"/>
      <c r="IMI23" s="414"/>
      <c r="IMJ23" s="414"/>
      <c r="IMK23" s="414"/>
      <c r="IML23" s="414"/>
      <c r="IMM23" s="414"/>
      <c r="IMN23" s="414"/>
      <c r="IMO23" s="414"/>
      <c r="IMP23" s="414"/>
      <c r="IMQ23" s="414"/>
      <c r="IMR23" s="414"/>
      <c r="IMS23" s="414"/>
      <c r="IMT23" s="414"/>
      <c r="IMU23" s="414"/>
      <c r="IMV23" s="414"/>
      <c r="IMW23" s="414"/>
      <c r="IMX23" s="414"/>
      <c r="IMY23" s="414"/>
      <c r="IMZ23" s="414"/>
      <c r="INA23" s="414"/>
      <c r="INB23" s="414"/>
      <c r="INC23" s="414"/>
      <c r="IND23" s="414"/>
      <c r="INE23" s="414"/>
      <c r="INF23" s="414"/>
      <c r="ING23" s="414"/>
      <c r="INH23" s="414"/>
      <c r="INI23" s="414"/>
      <c r="INJ23" s="414"/>
      <c r="INK23" s="414"/>
      <c r="INL23" s="414"/>
      <c r="INM23" s="414"/>
      <c r="INN23" s="414"/>
      <c r="INO23" s="414"/>
      <c r="INP23" s="414"/>
      <c r="INQ23" s="414"/>
      <c r="INR23" s="414"/>
      <c r="INS23" s="414"/>
      <c r="INT23" s="414"/>
      <c r="INU23" s="414"/>
      <c r="INV23" s="414"/>
      <c r="INW23" s="414"/>
      <c r="INX23" s="414"/>
      <c r="INY23" s="414"/>
      <c r="INZ23" s="414"/>
      <c r="IOA23" s="414"/>
      <c r="IOB23" s="414"/>
      <c r="IOC23" s="414"/>
      <c r="IOD23" s="414"/>
      <c r="IOE23" s="414"/>
      <c r="IOF23" s="414"/>
      <c r="IOG23" s="414"/>
      <c r="IOH23" s="414"/>
      <c r="IOI23" s="414"/>
      <c r="IOJ23" s="414"/>
      <c r="IOK23" s="414"/>
      <c r="IOL23" s="414"/>
      <c r="IOM23" s="414"/>
      <c r="ION23" s="414"/>
      <c r="IOO23" s="414"/>
      <c r="IOP23" s="414"/>
      <c r="IOQ23" s="414"/>
      <c r="IOR23" s="414"/>
      <c r="IOS23" s="414"/>
      <c r="IOT23" s="414"/>
      <c r="IOU23" s="414"/>
      <c r="IOV23" s="414"/>
      <c r="IOW23" s="414"/>
      <c r="IOX23" s="414"/>
      <c r="IOY23" s="414"/>
      <c r="IOZ23" s="414"/>
      <c r="IPA23" s="414"/>
      <c r="IPB23" s="414"/>
      <c r="IPC23" s="414"/>
      <c r="IPD23" s="414"/>
      <c r="IPE23" s="414"/>
      <c r="IPF23" s="414"/>
      <c r="IPG23" s="414"/>
      <c r="IPH23" s="414"/>
      <c r="IPI23" s="414"/>
      <c r="IPJ23" s="414"/>
      <c r="IPK23" s="414"/>
      <c r="IPL23" s="414"/>
      <c r="IPM23" s="414"/>
      <c r="IPN23" s="414"/>
      <c r="IPO23" s="414"/>
      <c r="IPP23" s="414"/>
      <c r="IPQ23" s="414"/>
      <c r="IPR23" s="414"/>
      <c r="IPS23" s="414"/>
      <c r="IPT23" s="414"/>
      <c r="IPU23" s="414"/>
      <c r="IPV23" s="414"/>
      <c r="IPW23" s="414"/>
      <c r="IPX23" s="414"/>
      <c r="IPY23" s="414"/>
      <c r="IPZ23" s="414"/>
      <c r="IQA23" s="414"/>
      <c r="IQB23" s="414"/>
      <c r="IQC23" s="414"/>
      <c r="IQD23" s="414"/>
      <c r="IQE23" s="414"/>
      <c r="IQF23" s="414"/>
      <c r="IQG23" s="414"/>
      <c r="IQH23" s="414"/>
      <c r="IQI23" s="414"/>
      <c r="IQJ23" s="414"/>
      <c r="IQK23" s="414"/>
      <c r="IQL23" s="414"/>
      <c r="IQM23" s="414"/>
      <c r="IQN23" s="414"/>
      <c r="IQO23" s="414"/>
      <c r="IQP23" s="414"/>
      <c r="IQQ23" s="414"/>
      <c r="IQR23" s="414"/>
      <c r="IQS23" s="414"/>
      <c r="IQT23" s="414"/>
      <c r="IQU23" s="414"/>
      <c r="IQV23" s="414"/>
      <c r="IQW23" s="414"/>
      <c r="IQX23" s="414"/>
      <c r="IQY23" s="414"/>
      <c r="IQZ23" s="414"/>
      <c r="IRA23" s="414"/>
      <c r="IRB23" s="414"/>
      <c r="IRC23" s="414"/>
      <c r="IRD23" s="414"/>
      <c r="IRE23" s="414"/>
      <c r="IRF23" s="414"/>
      <c r="IRG23" s="414"/>
      <c r="IRH23" s="414"/>
      <c r="IRI23" s="414"/>
      <c r="IRJ23" s="414"/>
      <c r="IRK23" s="414"/>
      <c r="IRL23" s="414"/>
      <c r="IRM23" s="414"/>
      <c r="IRN23" s="414"/>
      <c r="IRO23" s="414"/>
      <c r="IRP23" s="414"/>
      <c r="IRQ23" s="414"/>
      <c r="IRR23" s="414"/>
      <c r="IRS23" s="414"/>
      <c r="IRT23" s="414"/>
      <c r="IRU23" s="414"/>
      <c r="IRV23" s="414"/>
      <c r="IRW23" s="414"/>
      <c r="IRX23" s="414"/>
      <c r="IRY23" s="414"/>
      <c r="IRZ23" s="414"/>
      <c r="ISA23" s="414"/>
      <c r="ISB23" s="414"/>
      <c r="ISC23" s="414"/>
      <c r="ISD23" s="414"/>
      <c r="ISE23" s="414"/>
      <c r="ISF23" s="414"/>
      <c r="ISG23" s="414"/>
      <c r="ISH23" s="414"/>
      <c r="ISI23" s="414"/>
      <c r="ISJ23" s="414"/>
      <c r="ISK23" s="414"/>
      <c r="ISL23" s="414"/>
      <c r="ISM23" s="414"/>
      <c r="ISN23" s="414"/>
      <c r="ISO23" s="414"/>
      <c r="ISP23" s="414"/>
      <c r="ISQ23" s="414"/>
      <c r="ISR23" s="414"/>
      <c r="ISS23" s="414"/>
      <c r="IST23" s="414"/>
      <c r="ISU23" s="414"/>
      <c r="ISV23" s="414"/>
      <c r="ISW23" s="414"/>
      <c r="ISX23" s="414"/>
      <c r="ISY23" s="414"/>
      <c r="ISZ23" s="414"/>
      <c r="ITA23" s="414"/>
      <c r="ITB23" s="414"/>
      <c r="ITC23" s="414"/>
      <c r="ITD23" s="414"/>
      <c r="ITE23" s="414"/>
      <c r="ITF23" s="414"/>
      <c r="ITG23" s="414"/>
      <c r="ITH23" s="414"/>
      <c r="ITI23" s="414"/>
      <c r="ITJ23" s="414"/>
      <c r="ITK23" s="414"/>
      <c r="ITL23" s="414"/>
      <c r="ITM23" s="414"/>
      <c r="ITN23" s="414"/>
      <c r="ITO23" s="414"/>
      <c r="ITP23" s="414"/>
      <c r="ITQ23" s="414"/>
      <c r="ITR23" s="414"/>
      <c r="ITS23" s="414"/>
      <c r="ITT23" s="414"/>
      <c r="ITU23" s="414"/>
      <c r="ITV23" s="414"/>
      <c r="ITW23" s="414"/>
      <c r="ITX23" s="414"/>
      <c r="ITY23" s="414"/>
      <c r="ITZ23" s="414"/>
      <c r="IUA23" s="414"/>
      <c r="IUB23" s="414"/>
      <c r="IUC23" s="414"/>
      <c r="IUD23" s="414"/>
      <c r="IUE23" s="414"/>
      <c r="IUF23" s="414"/>
      <c r="IUG23" s="414"/>
      <c r="IUH23" s="414"/>
      <c r="IUI23" s="414"/>
      <c r="IUJ23" s="414"/>
      <c r="IUK23" s="414"/>
      <c r="IUL23" s="414"/>
      <c r="IUM23" s="414"/>
      <c r="IUN23" s="414"/>
      <c r="IUO23" s="414"/>
      <c r="IUP23" s="414"/>
      <c r="IUQ23" s="414"/>
      <c r="IUR23" s="414"/>
      <c r="IUS23" s="414"/>
      <c r="IUT23" s="414"/>
      <c r="IUU23" s="414"/>
      <c r="IUV23" s="414"/>
      <c r="IUW23" s="414"/>
      <c r="IUX23" s="414"/>
      <c r="IUY23" s="414"/>
      <c r="IUZ23" s="414"/>
      <c r="IVA23" s="414"/>
      <c r="IVB23" s="414"/>
      <c r="IVC23" s="414"/>
      <c r="IVD23" s="414"/>
      <c r="IVE23" s="414"/>
      <c r="IVF23" s="414"/>
      <c r="IVG23" s="414"/>
      <c r="IVH23" s="414"/>
      <c r="IVI23" s="414"/>
      <c r="IVJ23" s="414"/>
      <c r="IVK23" s="414"/>
      <c r="IVL23" s="414"/>
      <c r="IVM23" s="414"/>
      <c r="IVN23" s="414"/>
      <c r="IVO23" s="414"/>
      <c r="IVP23" s="414"/>
      <c r="IVQ23" s="414"/>
      <c r="IVR23" s="414"/>
      <c r="IVS23" s="414"/>
      <c r="IVT23" s="414"/>
      <c r="IVU23" s="414"/>
      <c r="IVV23" s="414"/>
      <c r="IVW23" s="414"/>
      <c r="IVX23" s="414"/>
      <c r="IVY23" s="414"/>
      <c r="IVZ23" s="414"/>
      <c r="IWA23" s="414"/>
      <c r="IWB23" s="414"/>
      <c r="IWC23" s="414"/>
      <c r="IWD23" s="414"/>
      <c r="IWE23" s="414"/>
      <c r="IWF23" s="414"/>
      <c r="IWG23" s="414"/>
      <c r="IWH23" s="414"/>
      <c r="IWI23" s="414"/>
      <c r="IWJ23" s="414"/>
      <c r="IWK23" s="414"/>
      <c r="IWL23" s="414"/>
      <c r="IWM23" s="414"/>
      <c r="IWN23" s="414"/>
      <c r="IWO23" s="414"/>
      <c r="IWP23" s="414"/>
      <c r="IWQ23" s="414"/>
      <c r="IWR23" s="414"/>
      <c r="IWS23" s="414"/>
      <c r="IWT23" s="414"/>
      <c r="IWU23" s="414"/>
      <c r="IWV23" s="414"/>
      <c r="IWW23" s="414"/>
      <c r="IWX23" s="414"/>
      <c r="IWY23" s="414"/>
      <c r="IWZ23" s="414"/>
      <c r="IXA23" s="414"/>
      <c r="IXB23" s="414"/>
      <c r="IXC23" s="414"/>
      <c r="IXD23" s="414"/>
      <c r="IXE23" s="414"/>
      <c r="IXF23" s="414"/>
      <c r="IXG23" s="414"/>
      <c r="IXH23" s="414"/>
      <c r="IXI23" s="414"/>
      <c r="IXJ23" s="414"/>
      <c r="IXK23" s="414"/>
      <c r="IXL23" s="414"/>
      <c r="IXM23" s="414"/>
      <c r="IXN23" s="414"/>
      <c r="IXO23" s="414"/>
      <c r="IXP23" s="414"/>
      <c r="IXQ23" s="414"/>
      <c r="IXR23" s="414"/>
      <c r="IXS23" s="414"/>
      <c r="IXT23" s="414"/>
      <c r="IXU23" s="414"/>
      <c r="IXV23" s="414"/>
      <c r="IXW23" s="414"/>
      <c r="IXX23" s="414"/>
      <c r="IXY23" s="414"/>
      <c r="IXZ23" s="414"/>
      <c r="IYA23" s="414"/>
      <c r="IYB23" s="414"/>
      <c r="IYC23" s="414"/>
      <c r="IYD23" s="414"/>
      <c r="IYE23" s="414"/>
      <c r="IYF23" s="414"/>
      <c r="IYG23" s="414"/>
      <c r="IYH23" s="414"/>
      <c r="IYI23" s="414"/>
      <c r="IYJ23" s="414"/>
      <c r="IYK23" s="414"/>
      <c r="IYL23" s="414"/>
      <c r="IYM23" s="414"/>
      <c r="IYN23" s="414"/>
      <c r="IYO23" s="414"/>
      <c r="IYP23" s="414"/>
      <c r="IYQ23" s="414"/>
      <c r="IYR23" s="414"/>
      <c r="IYS23" s="414"/>
      <c r="IYT23" s="414"/>
      <c r="IYU23" s="414"/>
      <c r="IYV23" s="414"/>
      <c r="IYW23" s="414"/>
      <c r="IYX23" s="414"/>
      <c r="IYY23" s="414"/>
      <c r="IYZ23" s="414"/>
      <c r="IZA23" s="414"/>
      <c r="IZB23" s="414"/>
      <c r="IZC23" s="414"/>
      <c r="IZD23" s="414"/>
      <c r="IZE23" s="414"/>
      <c r="IZF23" s="414"/>
      <c r="IZG23" s="414"/>
      <c r="IZH23" s="414"/>
      <c r="IZI23" s="414"/>
      <c r="IZJ23" s="414"/>
      <c r="IZK23" s="414"/>
      <c r="IZL23" s="414"/>
      <c r="IZM23" s="414"/>
      <c r="IZN23" s="414"/>
      <c r="IZO23" s="414"/>
      <c r="IZP23" s="414"/>
      <c r="IZQ23" s="414"/>
      <c r="IZR23" s="414"/>
      <c r="IZS23" s="414"/>
      <c r="IZT23" s="414"/>
      <c r="IZU23" s="414"/>
      <c r="IZV23" s="414"/>
      <c r="IZW23" s="414"/>
      <c r="IZX23" s="414"/>
      <c r="IZY23" s="414"/>
      <c r="IZZ23" s="414"/>
      <c r="JAA23" s="414"/>
      <c r="JAB23" s="414"/>
      <c r="JAC23" s="414"/>
      <c r="JAD23" s="414"/>
      <c r="JAE23" s="414"/>
      <c r="JAF23" s="414"/>
      <c r="JAG23" s="414"/>
      <c r="JAH23" s="414"/>
      <c r="JAI23" s="414"/>
      <c r="JAJ23" s="414"/>
      <c r="JAK23" s="414"/>
      <c r="JAL23" s="414"/>
      <c r="JAM23" s="414"/>
      <c r="JAN23" s="414"/>
      <c r="JAO23" s="414"/>
      <c r="JAP23" s="414"/>
      <c r="JAQ23" s="414"/>
      <c r="JAR23" s="414"/>
      <c r="JAS23" s="414"/>
      <c r="JAT23" s="414"/>
      <c r="JAU23" s="414"/>
      <c r="JAV23" s="414"/>
      <c r="JAW23" s="414"/>
      <c r="JAX23" s="414"/>
      <c r="JAY23" s="414"/>
      <c r="JAZ23" s="414"/>
      <c r="JBA23" s="414"/>
      <c r="JBB23" s="414"/>
      <c r="JBC23" s="414"/>
      <c r="JBD23" s="414"/>
      <c r="JBE23" s="414"/>
      <c r="JBF23" s="414"/>
      <c r="JBG23" s="414"/>
      <c r="JBH23" s="414"/>
      <c r="JBI23" s="414"/>
      <c r="JBJ23" s="414"/>
      <c r="JBK23" s="414"/>
      <c r="JBL23" s="414"/>
      <c r="JBM23" s="414"/>
      <c r="JBN23" s="414"/>
      <c r="JBO23" s="414"/>
      <c r="JBP23" s="414"/>
      <c r="JBQ23" s="414"/>
      <c r="JBR23" s="414"/>
      <c r="JBS23" s="414"/>
      <c r="JBT23" s="414"/>
      <c r="JBU23" s="414"/>
      <c r="JBV23" s="414"/>
      <c r="JBW23" s="414"/>
      <c r="JBX23" s="414"/>
      <c r="JBY23" s="414"/>
      <c r="JBZ23" s="414"/>
      <c r="JCA23" s="414"/>
      <c r="JCB23" s="414"/>
      <c r="JCC23" s="414"/>
      <c r="JCD23" s="414"/>
      <c r="JCE23" s="414"/>
      <c r="JCF23" s="414"/>
      <c r="JCG23" s="414"/>
      <c r="JCH23" s="414"/>
      <c r="JCI23" s="414"/>
      <c r="JCJ23" s="414"/>
      <c r="JCK23" s="414"/>
      <c r="JCL23" s="414"/>
      <c r="JCM23" s="414"/>
      <c r="JCN23" s="414"/>
      <c r="JCO23" s="414"/>
      <c r="JCP23" s="414"/>
      <c r="JCQ23" s="414"/>
      <c r="JCR23" s="414"/>
      <c r="JCS23" s="414"/>
      <c r="JCT23" s="414"/>
      <c r="JCU23" s="414"/>
      <c r="JCV23" s="414"/>
      <c r="JCW23" s="414"/>
      <c r="JCX23" s="414"/>
      <c r="JCY23" s="414"/>
      <c r="JCZ23" s="414"/>
      <c r="JDA23" s="414"/>
      <c r="JDB23" s="414"/>
      <c r="JDC23" s="414"/>
      <c r="JDD23" s="414"/>
      <c r="JDE23" s="414"/>
      <c r="JDF23" s="414"/>
      <c r="JDG23" s="414"/>
      <c r="JDH23" s="414"/>
      <c r="JDI23" s="414"/>
      <c r="JDJ23" s="414"/>
      <c r="JDK23" s="414"/>
      <c r="JDL23" s="414"/>
      <c r="JDM23" s="414"/>
      <c r="JDN23" s="414"/>
      <c r="JDO23" s="414"/>
      <c r="JDP23" s="414"/>
      <c r="JDQ23" s="414"/>
      <c r="JDR23" s="414"/>
      <c r="JDS23" s="414"/>
      <c r="JDT23" s="414"/>
      <c r="JDU23" s="414"/>
      <c r="JDV23" s="414"/>
      <c r="JDW23" s="414"/>
      <c r="JDX23" s="414"/>
      <c r="JDY23" s="414"/>
      <c r="JDZ23" s="414"/>
      <c r="JEA23" s="414"/>
      <c r="JEB23" s="414"/>
      <c r="JEC23" s="414"/>
      <c r="JED23" s="414"/>
      <c r="JEE23" s="414"/>
      <c r="JEF23" s="414"/>
      <c r="JEG23" s="414"/>
      <c r="JEH23" s="414"/>
      <c r="JEI23" s="414"/>
      <c r="JEJ23" s="414"/>
      <c r="JEK23" s="414"/>
      <c r="JEL23" s="414"/>
      <c r="JEM23" s="414"/>
      <c r="JEN23" s="414"/>
      <c r="JEO23" s="414"/>
      <c r="JEP23" s="414"/>
      <c r="JEQ23" s="414"/>
      <c r="JER23" s="414"/>
      <c r="JES23" s="414"/>
      <c r="JET23" s="414"/>
      <c r="JEU23" s="414"/>
      <c r="JEV23" s="414"/>
      <c r="JEW23" s="414"/>
      <c r="JEX23" s="414"/>
      <c r="JEY23" s="414"/>
      <c r="JEZ23" s="414"/>
      <c r="JFA23" s="414"/>
      <c r="JFB23" s="414"/>
      <c r="JFC23" s="414"/>
      <c r="JFD23" s="414"/>
      <c r="JFE23" s="414"/>
      <c r="JFF23" s="414"/>
      <c r="JFG23" s="414"/>
      <c r="JFH23" s="414"/>
      <c r="JFI23" s="414"/>
      <c r="JFJ23" s="414"/>
      <c r="JFK23" s="414"/>
      <c r="JFL23" s="414"/>
      <c r="JFM23" s="414"/>
      <c r="JFN23" s="414"/>
      <c r="JFO23" s="414"/>
      <c r="JFP23" s="414"/>
      <c r="JFQ23" s="414"/>
      <c r="JFR23" s="414"/>
      <c r="JFS23" s="414"/>
      <c r="JFT23" s="414"/>
      <c r="JFU23" s="414"/>
      <c r="JFV23" s="414"/>
      <c r="JFW23" s="414"/>
      <c r="JFX23" s="414"/>
      <c r="JFY23" s="414"/>
      <c r="JFZ23" s="414"/>
      <c r="JGA23" s="414"/>
      <c r="JGB23" s="414"/>
      <c r="JGC23" s="414"/>
      <c r="JGD23" s="414"/>
      <c r="JGE23" s="414"/>
      <c r="JGF23" s="414"/>
      <c r="JGG23" s="414"/>
      <c r="JGH23" s="414"/>
      <c r="JGI23" s="414"/>
      <c r="JGJ23" s="414"/>
      <c r="JGK23" s="414"/>
      <c r="JGL23" s="414"/>
      <c r="JGM23" s="414"/>
      <c r="JGN23" s="414"/>
      <c r="JGO23" s="414"/>
      <c r="JGP23" s="414"/>
      <c r="JGQ23" s="414"/>
      <c r="JGR23" s="414"/>
      <c r="JGS23" s="414"/>
      <c r="JGT23" s="414"/>
      <c r="JGU23" s="414"/>
      <c r="JGV23" s="414"/>
      <c r="JGW23" s="414"/>
      <c r="JGX23" s="414"/>
      <c r="JGY23" s="414"/>
      <c r="JGZ23" s="414"/>
      <c r="JHA23" s="414"/>
      <c r="JHB23" s="414"/>
      <c r="JHC23" s="414"/>
      <c r="JHD23" s="414"/>
      <c r="JHE23" s="414"/>
      <c r="JHF23" s="414"/>
      <c r="JHG23" s="414"/>
      <c r="JHH23" s="414"/>
      <c r="JHI23" s="414"/>
      <c r="JHJ23" s="414"/>
      <c r="JHK23" s="414"/>
      <c r="JHL23" s="414"/>
      <c r="JHM23" s="414"/>
      <c r="JHN23" s="414"/>
      <c r="JHO23" s="414"/>
      <c r="JHP23" s="414"/>
      <c r="JHQ23" s="414"/>
      <c r="JHR23" s="414"/>
      <c r="JHS23" s="414"/>
      <c r="JHT23" s="414"/>
      <c r="JHU23" s="414"/>
      <c r="JHV23" s="414"/>
      <c r="JHW23" s="414"/>
      <c r="JHX23" s="414"/>
      <c r="JHY23" s="414"/>
      <c r="JHZ23" s="414"/>
      <c r="JIA23" s="414"/>
      <c r="JIB23" s="414"/>
      <c r="JIC23" s="414"/>
      <c r="JID23" s="414"/>
      <c r="JIE23" s="414"/>
      <c r="JIF23" s="414"/>
      <c r="JIG23" s="414"/>
      <c r="JIH23" s="414"/>
      <c r="JII23" s="414"/>
      <c r="JIJ23" s="414"/>
      <c r="JIK23" s="414"/>
      <c r="JIL23" s="414"/>
      <c r="JIM23" s="414"/>
      <c r="JIN23" s="414"/>
      <c r="JIO23" s="414"/>
      <c r="JIP23" s="414"/>
      <c r="JIQ23" s="414"/>
      <c r="JIR23" s="414"/>
      <c r="JIS23" s="414"/>
      <c r="JIT23" s="414"/>
      <c r="JIU23" s="414"/>
      <c r="JIV23" s="414"/>
      <c r="JIW23" s="414"/>
      <c r="JIX23" s="414"/>
      <c r="JIY23" s="414"/>
      <c r="JIZ23" s="414"/>
      <c r="JJA23" s="414"/>
      <c r="JJB23" s="414"/>
      <c r="JJC23" s="414"/>
      <c r="JJD23" s="414"/>
      <c r="JJE23" s="414"/>
      <c r="JJF23" s="414"/>
      <c r="JJG23" s="414"/>
      <c r="JJH23" s="414"/>
      <c r="JJI23" s="414"/>
      <c r="JJJ23" s="414"/>
      <c r="JJK23" s="414"/>
      <c r="JJL23" s="414"/>
      <c r="JJM23" s="414"/>
      <c r="JJN23" s="414"/>
      <c r="JJO23" s="414"/>
      <c r="JJP23" s="414"/>
      <c r="JJQ23" s="414"/>
      <c r="JJR23" s="414"/>
      <c r="JJS23" s="414"/>
      <c r="JJT23" s="414"/>
      <c r="JJU23" s="414"/>
      <c r="JJV23" s="414"/>
      <c r="JJW23" s="414"/>
      <c r="JJX23" s="414"/>
      <c r="JJY23" s="414"/>
      <c r="JJZ23" s="414"/>
      <c r="JKA23" s="414"/>
      <c r="JKB23" s="414"/>
      <c r="JKC23" s="414"/>
      <c r="JKD23" s="414"/>
      <c r="JKE23" s="414"/>
      <c r="JKF23" s="414"/>
      <c r="JKG23" s="414"/>
      <c r="JKH23" s="414"/>
      <c r="JKI23" s="414"/>
      <c r="JKJ23" s="414"/>
      <c r="JKK23" s="414"/>
      <c r="JKL23" s="414"/>
      <c r="JKM23" s="414"/>
      <c r="JKN23" s="414"/>
      <c r="JKO23" s="414"/>
      <c r="JKP23" s="414"/>
      <c r="JKQ23" s="414"/>
      <c r="JKR23" s="414"/>
      <c r="JKS23" s="414"/>
      <c r="JKT23" s="414"/>
      <c r="JKU23" s="414"/>
      <c r="JKV23" s="414"/>
      <c r="JKW23" s="414"/>
      <c r="JKX23" s="414"/>
      <c r="JKY23" s="414"/>
      <c r="JKZ23" s="414"/>
      <c r="JLA23" s="414"/>
      <c r="JLB23" s="414"/>
      <c r="JLC23" s="414"/>
      <c r="JLD23" s="414"/>
      <c r="JLE23" s="414"/>
      <c r="JLF23" s="414"/>
      <c r="JLG23" s="414"/>
      <c r="JLH23" s="414"/>
      <c r="JLI23" s="414"/>
      <c r="JLJ23" s="414"/>
      <c r="JLK23" s="414"/>
      <c r="JLL23" s="414"/>
      <c r="JLM23" s="414"/>
      <c r="JLN23" s="414"/>
      <c r="JLO23" s="414"/>
      <c r="JLP23" s="414"/>
      <c r="JLQ23" s="414"/>
      <c r="JLR23" s="414"/>
      <c r="JLS23" s="414"/>
      <c r="JLT23" s="414"/>
      <c r="JLU23" s="414"/>
      <c r="JLV23" s="414"/>
      <c r="JLW23" s="414"/>
      <c r="JLX23" s="414"/>
      <c r="JLY23" s="414"/>
      <c r="JLZ23" s="414"/>
      <c r="JMA23" s="414"/>
      <c r="JMB23" s="414"/>
      <c r="JMC23" s="414"/>
      <c r="JMD23" s="414"/>
      <c r="JME23" s="414"/>
      <c r="JMF23" s="414"/>
      <c r="JMG23" s="414"/>
      <c r="JMH23" s="414"/>
      <c r="JMI23" s="414"/>
      <c r="JMJ23" s="414"/>
      <c r="JMK23" s="414"/>
      <c r="JML23" s="414"/>
      <c r="JMM23" s="414"/>
      <c r="JMN23" s="414"/>
      <c r="JMO23" s="414"/>
      <c r="JMP23" s="414"/>
      <c r="JMQ23" s="414"/>
      <c r="JMR23" s="414"/>
      <c r="JMS23" s="414"/>
      <c r="JMT23" s="414"/>
      <c r="JMU23" s="414"/>
      <c r="JMV23" s="414"/>
      <c r="JMW23" s="414"/>
      <c r="JMX23" s="414"/>
      <c r="JMY23" s="414"/>
      <c r="JMZ23" s="414"/>
      <c r="JNA23" s="414"/>
      <c r="JNB23" s="414"/>
      <c r="JNC23" s="414"/>
      <c r="JND23" s="414"/>
      <c r="JNE23" s="414"/>
      <c r="JNF23" s="414"/>
      <c r="JNG23" s="414"/>
      <c r="JNH23" s="414"/>
      <c r="JNI23" s="414"/>
      <c r="JNJ23" s="414"/>
      <c r="JNK23" s="414"/>
      <c r="JNL23" s="414"/>
      <c r="JNM23" s="414"/>
      <c r="JNN23" s="414"/>
      <c r="JNO23" s="414"/>
      <c r="JNP23" s="414"/>
      <c r="JNQ23" s="414"/>
      <c r="JNR23" s="414"/>
      <c r="JNS23" s="414"/>
      <c r="JNT23" s="414"/>
      <c r="JNU23" s="414"/>
      <c r="JNV23" s="414"/>
      <c r="JNW23" s="414"/>
      <c r="JNX23" s="414"/>
      <c r="JNY23" s="414"/>
      <c r="JNZ23" s="414"/>
      <c r="JOA23" s="414"/>
      <c r="JOB23" s="414"/>
      <c r="JOC23" s="414"/>
      <c r="JOD23" s="414"/>
      <c r="JOE23" s="414"/>
      <c r="JOF23" s="414"/>
      <c r="JOG23" s="414"/>
      <c r="JOH23" s="414"/>
      <c r="JOI23" s="414"/>
      <c r="JOJ23" s="414"/>
      <c r="JOK23" s="414"/>
      <c r="JOL23" s="414"/>
      <c r="JOM23" s="414"/>
      <c r="JON23" s="414"/>
      <c r="JOO23" s="414"/>
      <c r="JOP23" s="414"/>
      <c r="JOQ23" s="414"/>
      <c r="JOR23" s="414"/>
      <c r="JOS23" s="414"/>
      <c r="JOT23" s="414"/>
      <c r="JOU23" s="414"/>
      <c r="JOV23" s="414"/>
      <c r="JOW23" s="414"/>
      <c r="JOX23" s="414"/>
      <c r="JOY23" s="414"/>
      <c r="JOZ23" s="414"/>
      <c r="JPA23" s="414"/>
      <c r="JPB23" s="414"/>
      <c r="JPC23" s="414"/>
      <c r="JPD23" s="414"/>
      <c r="JPE23" s="414"/>
      <c r="JPF23" s="414"/>
      <c r="JPG23" s="414"/>
      <c r="JPH23" s="414"/>
      <c r="JPI23" s="414"/>
      <c r="JPJ23" s="414"/>
      <c r="JPK23" s="414"/>
      <c r="JPL23" s="414"/>
      <c r="JPM23" s="414"/>
      <c r="JPN23" s="414"/>
      <c r="JPO23" s="414"/>
      <c r="JPP23" s="414"/>
      <c r="JPQ23" s="414"/>
      <c r="JPR23" s="414"/>
      <c r="JPS23" s="414"/>
      <c r="JPT23" s="414"/>
      <c r="JPU23" s="414"/>
      <c r="JPV23" s="414"/>
      <c r="JPW23" s="414"/>
      <c r="JPX23" s="414"/>
      <c r="JPY23" s="414"/>
      <c r="JPZ23" s="414"/>
      <c r="JQA23" s="414"/>
      <c r="JQB23" s="414"/>
      <c r="JQC23" s="414"/>
      <c r="JQD23" s="414"/>
      <c r="JQE23" s="414"/>
      <c r="JQF23" s="414"/>
      <c r="JQG23" s="414"/>
      <c r="JQH23" s="414"/>
      <c r="JQI23" s="414"/>
      <c r="JQJ23" s="414"/>
      <c r="JQK23" s="414"/>
      <c r="JQL23" s="414"/>
      <c r="JQM23" s="414"/>
      <c r="JQN23" s="414"/>
      <c r="JQO23" s="414"/>
      <c r="JQP23" s="414"/>
      <c r="JQQ23" s="414"/>
      <c r="JQR23" s="414"/>
      <c r="JQS23" s="414"/>
      <c r="JQT23" s="414"/>
      <c r="JQU23" s="414"/>
      <c r="JQV23" s="414"/>
      <c r="JQW23" s="414"/>
      <c r="JQX23" s="414"/>
      <c r="JQY23" s="414"/>
      <c r="JQZ23" s="414"/>
      <c r="JRA23" s="414"/>
      <c r="JRB23" s="414"/>
      <c r="JRC23" s="414"/>
      <c r="JRD23" s="414"/>
      <c r="JRE23" s="414"/>
      <c r="JRF23" s="414"/>
      <c r="JRG23" s="414"/>
      <c r="JRH23" s="414"/>
      <c r="JRI23" s="414"/>
      <c r="JRJ23" s="414"/>
      <c r="JRK23" s="414"/>
      <c r="JRL23" s="414"/>
      <c r="JRM23" s="414"/>
      <c r="JRN23" s="414"/>
      <c r="JRO23" s="414"/>
      <c r="JRP23" s="414"/>
      <c r="JRQ23" s="414"/>
      <c r="JRR23" s="414"/>
      <c r="JRS23" s="414"/>
      <c r="JRT23" s="414"/>
      <c r="JRU23" s="414"/>
      <c r="JRV23" s="414"/>
      <c r="JRW23" s="414"/>
      <c r="JRX23" s="414"/>
      <c r="JRY23" s="414"/>
      <c r="JRZ23" s="414"/>
      <c r="JSA23" s="414"/>
      <c r="JSB23" s="414"/>
      <c r="JSC23" s="414"/>
      <c r="JSD23" s="414"/>
      <c r="JSE23" s="414"/>
      <c r="JSF23" s="414"/>
      <c r="JSG23" s="414"/>
      <c r="JSH23" s="414"/>
      <c r="JSI23" s="414"/>
      <c r="JSJ23" s="414"/>
      <c r="JSK23" s="414"/>
      <c r="JSL23" s="414"/>
      <c r="JSM23" s="414"/>
      <c r="JSN23" s="414"/>
      <c r="JSO23" s="414"/>
      <c r="JSP23" s="414"/>
      <c r="JSQ23" s="414"/>
      <c r="JSR23" s="414"/>
      <c r="JSS23" s="414"/>
      <c r="JST23" s="414"/>
      <c r="JSU23" s="414"/>
      <c r="JSV23" s="414"/>
      <c r="JSW23" s="414"/>
      <c r="JSX23" s="414"/>
      <c r="JSY23" s="414"/>
      <c r="JSZ23" s="414"/>
      <c r="JTA23" s="414"/>
      <c r="JTB23" s="414"/>
      <c r="JTC23" s="414"/>
      <c r="JTD23" s="414"/>
      <c r="JTE23" s="414"/>
      <c r="JTF23" s="414"/>
      <c r="JTG23" s="414"/>
      <c r="JTH23" s="414"/>
      <c r="JTI23" s="414"/>
      <c r="JTJ23" s="414"/>
      <c r="JTK23" s="414"/>
      <c r="JTL23" s="414"/>
      <c r="JTM23" s="414"/>
      <c r="JTN23" s="414"/>
      <c r="JTO23" s="414"/>
      <c r="JTP23" s="414"/>
      <c r="JTQ23" s="414"/>
      <c r="JTR23" s="414"/>
      <c r="JTS23" s="414"/>
      <c r="JTT23" s="414"/>
      <c r="JTU23" s="414"/>
      <c r="JTV23" s="414"/>
      <c r="JTW23" s="414"/>
      <c r="JTX23" s="414"/>
      <c r="JTY23" s="414"/>
      <c r="JTZ23" s="414"/>
      <c r="JUA23" s="414"/>
      <c r="JUB23" s="414"/>
      <c r="JUC23" s="414"/>
      <c r="JUD23" s="414"/>
      <c r="JUE23" s="414"/>
      <c r="JUF23" s="414"/>
      <c r="JUG23" s="414"/>
      <c r="JUH23" s="414"/>
      <c r="JUI23" s="414"/>
      <c r="JUJ23" s="414"/>
      <c r="JUK23" s="414"/>
      <c r="JUL23" s="414"/>
      <c r="JUM23" s="414"/>
      <c r="JUN23" s="414"/>
      <c r="JUO23" s="414"/>
      <c r="JUP23" s="414"/>
      <c r="JUQ23" s="414"/>
      <c r="JUR23" s="414"/>
      <c r="JUS23" s="414"/>
      <c r="JUT23" s="414"/>
      <c r="JUU23" s="414"/>
      <c r="JUV23" s="414"/>
      <c r="JUW23" s="414"/>
      <c r="JUX23" s="414"/>
      <c r="JUY23" s="414"/>
      <c r="JUZ23" s="414"/>
      <c r="JVA23" s="414"/>
      <c r="JVB23" s="414"/>
      <c r="JVC23" s="414"/>
      <c r="JVD23" s="414"/>
      <c r="JVE23" s="414"/>
      <c r="JVF23" s="414"/>
      <c r="JVG23" s="414"/>
      <c r="JVH23" s="414"/>
      <c r="JVI23" s="414"/>
      <c r="JVJ23" s="414"/>
      <c r="JVK23" s="414"/>
      <c r="JVL23" s="414"/>
      <c r="JVM23" s="414"/>
      <c r="JVN23" s="414"/>
      <c r="JVO23" s="414"/>
      <c r="JVP23" s="414"/>
      <c r="JVQ23" s="414"/>
      <c r="JVR23" s="414"/>
      <c r="JVS23" s="414"/>
      <c r="JVT23" s="414"/>
      <c r="JVU23" s="414"/>
      <c r="JVV23" s="414"/>
      <c r="JVW23" s="414"/>
      <c r="JVX23" s="414"/>
      <c r="JVY23" s="414"/>
      <c r="JVZ23" s="414"/>
      <c r="JWA23" s="414"/>
      <c r="JWB23" s="414"/>
      <c r="JWC23" s="414"/>
      <c r="JWD23" s="414"/>
      <c r="JWE23" s="414"/>
      <c r="JWF23" s="414"/>
      <c r="JWG23" s="414"/>
      <c r="JWH23" s="414"/>
      <c r="JWI23" s="414"/>
      <c r="JWJ23" s="414"/>
      <c r="JWK23" s="414"/>
      <c r="JWL23" s="414"/>
      <c r="JWM23" s="414"/>
      <c r="JWN23" s="414"/>
      <c r="JWO23" s="414"/>
      <c r="JWP23" s="414"/>
      <c r="JWQ23" s="414"/>
      <c r="JWR23" s="414"/>
      <c r="JWS23" s="414"/>
      <c r="JWT23" s="414"/>
      <c r="JWU23" s="414"/>
      <c r="JWV23" s="414"/>
      <c r="JWW23" s="414"/>
      <c r="JWX23" s="414"/>
      <c r="JWY23" s="414"/>
      <c r="JWZ23" s="414"/>
      <c r="JXA23" s="414"/>
      <c r="JXB23" s="414"/>
      <c r="JXC23" s="414"/>
      <c r="JXD23" s="414"/>
      <c r="JXE23" s="414"/>
      <c r="JXF23" s="414"/>
      <c r="JXG23" s="414"/>
      <c r="JXH23" s="414"/>
      <c r="JXI23" s="414"/>
      <c r="JXJ23" s="414"/>
      <c r="JXK23" s="414"/>
      <c r="JXL23" s="414"/>
      <c r="JXM23" s="414"/>
      <c r="JXN23" s="414"/>
      <c r="JXO23" s="414"/>
      <c r="JXP23" s="414"/>
      <c r="JXQ23" s="414"/>
      <c r="JXR23" s="414"/>
      <c r="JXS23" s="414"/>
      <c r="JXT23" s="414"/>
      <c r="JXU23" s="414"/>
      <c r="JXV23" s="414"/>
      <c r="JXW23" s="414"/>
      <c r="JXX23" s="414"/>
      <c r="JXY23" s="414"/>
      <c r="JXZ23" s="414"/>
      <c r="JYA23" s="414"/>
      <c r="JYB23" s="414"/>
      <c r="JYC23" s="414"/>
      <c r="JYD23" s="414"/>
      <c r="JYE23" s="414"/>
      <c r="JYF23" s="414"/>
      <c r="JYG23" s="414"/>
      <c r="JYH23" s="414"/>
      <c r="JYI23" s="414"/>
      <c r="JYJ23" s="414"/>
      <c r="JYK23" s="414"/>
      <c r="JYL23" s="414"/>
      <c r="JYM23" s="414"/>
      <c r="JYN23" s="414"/>
      <c r="JYO23" s="414"/>
      <c r="JYP23" s="414"/>
      <c r="JYQ23" s="414"/>
      <c r="JYR23" s="414"/>
      <c r="JYS23" s="414"/>
      <c r="JYT23" s="414"/>
      <c r="JYU23" s="414"/>
      <c r="JYV23" s="414"/>
      <c r="JYW23" s="414"/>
      <c r="JYX23" s="414"/>
      <c r="JYY23" s="414"/>
      <c r="JYZ23" s="414"/>
      <c r="JZA23" s="414"/>
      <c r="JZB23" s="414"/>
      <c r="JZC23" s="414"/>
      <c r="JZD23" s="414"/>
      <c r="JZE23" s="414"/>
      <c r="JZF23" s="414"/>
      <c r="JZG23" s="414"/>
      <c r="JZH23" s="414"/>
      <c r="JZI23" s="414"/>
      <c r="JZJ23" s="414"/>
      <c r="JZK23" s="414"/>
      <c r="JZL23" s="414"/>
      <c r="JZM23" s="414"/>
      <c r="JZN23" s="414"/>
      <c r="JZO23" s="414"/>
      <c r="JZP23" s="414"/>
      <c r="JZQ23" s="414"/>
      <c r="JZR23" s="414"/>
      <c r="JZS23" s="414"/>
      <c r="JZT23" s="414"/>
      <c r="JZU23" s="414"/>
      <c r="JZV23" s="414"/>
      <c r="JZW23" s="414"/>
      <c r="JZX23" s="414"/>
      <c r="JZY23" s="414"/>
      <c r="JZZ23" s="414"/>
      <c r="KAA23" s="414"/>
      <c r="KAB23" s="414"/>
      <c r="KAC23" s="414"/>
      <c r="KAD23" s="414"/>
      <c r="KAE23" s="414"/>
      <c r="KAF23" s="414"/>
      <c r="KAG23" s="414"/>
      <c r="KAH23" s="414"/>
      <c r="KAI23" s="414"/>
      <c r="KAJ23" s="414"/>
      <c r="KAK23" s="414"/>
      <c r="KAL23" s="414"/>
      <c r="KAM23" s="414"/>
      <c r="KAN23" s="414"/>
      <c r="KAO23" s="414"/>
      <c r="KAP23" s="414"/>
      <c r="KAQ23" s="414"/>
      <c r="KAR23" s="414"/>
      <c r="KAS23" s="414"/>
      <c r="KAT23" s="414"/>
      <c r="KAU23" s="414"/>
      <c r="KAV23" s="414"/>
      <c r="KAW23" s="414"/>
      <c r="KAX23" s="414"/>
      <c r="KAY23" s="414"/>
      <c r="KAZ23" s="414"/>
      <c r="KBA23" s="414"/>
      <c r="KBB23" s="414"/>
      <c r="KBC23" s="414"/>
      <c r="KBD23" s="414"/>
      <c r="KBE23" s="414"/>
      <c r="KBF23" s="414"/>
      <c r="KBG23" s="414"/>
      <c r="KBH23" s="414"/>
      <c r="KBI23" s="414"/>
      <c r="KBJ23" s="414"/>
      <c r="KBK23" s="414"/>
      <c r="KBL23" s="414"/>
      <c r="KBM23" s="414"/>
      <c r="KBN23" s="414"/>
      <c r="KBO23" s="414"/>
      <c r="KBP23" s="414"/>
      <c r="KBQ23" s="414"/>
      <c r="KBR23" s="414"/>
      <c r="KBS23" s="414"/>
      <c r="KBT23" s="414"/>
      <c r="KBU23" s="414"/>
      <c r="KBV23" s="414"/>
      <c r="KBW23" s="414"/>
      <c r="KBX23" s="414"/>
      <c r="KBY23" s="414"/>
      <c r="KBZ23" s="414"/>
      <c r="KCA23" s="414"/>
      <c r="KCB23" s="414"/>
      <c r="KCC23" s="414"/>
      <c r="KCD23" s="414"/>
      <c r="KCE23" s="414"/>
      <c r="KCF23" s="414"/>
      <c r="KCG23" s="414"/>
      <c r="KCH23" s="414"/>
      <c r="KCI23" s="414"/>
      <c r="KCJ23" s="414"/>
      <c r="KCK23" s="414"/>
      <c r="KCL23" s="414"/>
      <c r="KCM23" s="414"/>
      <c r="KCN23" s="414"/>
      <c r="KCO23" s="414"/>
      <c r="KCP23" s="414"/>
      <c r="KCQ23" s="414"/>
      <c r="KCR23" s="414"/>
      <c r="KCS23" s="414"/>
      <c r="KCT23" s="414"/>
      <c r="KCU23" s="414"/>
      <c r="KCV23" s="414"/>
      <c r="KCW23" s="414"/>
      <c r="KCX23" s="414"/>
      <c r="KCY23" s="414"/>
      <c r="KCZ23" s="414"/>
      <c r="KDA23" s="414"/>
      <c r="KDB23" s="414"/>
      <c r="KDC23" s="414"/>
      <c r="KDD23" s="414"/>
      <c r="KDE23" s="414"/>
      <c r="KDF23" s="414"/>
      <c r="KDG23" s="414"/>
      <c r="KDH23" s="414"/>
      <c r="KDI23" s="414"/>
      <c r="KDJ23" s="414"/>
      <c r="KDK23" s="414"/>
      <c r="KDL23" s="414"/>
      <c r="KDM23" s="414"/>
      <c r="KDN23" s="414"/>
      <c r="KDO23" s="414"/>
      <c r="KDP23" s="414"/>
      <c r="KDQ23" s="414"/>
      <c r="KDR23" s="414"/>
      <c r="KDS23" s="414"/>
      <c r="KDT23" s="414"/>
      <c r="KDU23" s="414"/>
      <c r="KDV23" s="414"/>
      <c r="KDW23" s="414"/>
      <c r="KDX23" s="414"/>
      <c r="KDY23" s="414"/>
      <c r="KDZ23" s="414"/>
      <c r="KEA23" s="414"/>
      <c r="KEB23" s="414"/>
      <c r="KEC23" s="414"/>
      <c r="KED23" s="414"/>
      <c r="KEE23" s="414"/>
      <c r="KEF23" s="414"/>
      <c r="KEG23" s="414"/>
      <c r="KEH23" s="414"/>
      <c r="KEI23" s="414"/>
      <c r="KEJ23" s="414"/>
      <c r="KEK23" s="414"/>
      <c r="KEL23" s="414"/>
      <c r="KEM23" s="414"/>
      <c r="KEN23" s="414"/>
      <c r="KEO23" s="414"/>
      <c r="KEP23" s="414"/>
      <c r="KEQ23" s="414"/>
      <c r="KER23" s="414"/>
      <c r="KES23" s="414"/>
      <c r="KET23" s="414"/>
      <c r="KEU23" s="414"/>
      <c r="KEV23" s="414"/>
      <c r="KEW23" s="414"/>
      <c r="KEX23" s="414"/>
      <c r="KEY23" s="414"/>
      <c r="KEZ23" s="414"/>
      <c r="KFA23" s="414"/>
      <c r="KFB23" s="414"/>
      <c r="KFC23" s="414"/>
      <c r="KFD23" s="414"/>
      <c r="KFE23" s="414"/>
      <c r="KFF23" s="414"/>
      <c r="KFG23" s="414"/>
      <c r="KFH23" s="414"/>
      <c r="KFI23" s="414"/>
      <c r="KFJ23" s="414"/>
      <c r="KFK23" s="414"/>
      <c r="KFL23" s="414"/>
      <c r="KFM23" s="414"/>
      <c r="KFN23" s="414"/>
      <c r="KFO23" s="414"/>
      <c r="KFP23" s="414"/>
      <c r="KFQ23" s="414"/>
      <c r="KFR23" s="414"/>
      <c r="KFS23" s="414"/>
      <c r="KFT23" s="414"/>
      <c r="KFU23" s="414"/>
      <c r="KFV23" s="414"/>
      <c r="KFW23" s="414"/>
      <c r="KFX23" s="414"/>
      <c r="KFY23" s="414"/>
      <c r="KFZ23" s="414"/>
      <c r="KGA23" s="414"/>
      <c r="KGB23" s="414"/>
      <c r="KGC23" s="414"/>
      <c r="KGD23" s="414"/>
      <c r="KGE23" s="414"/>
      <c r="KGF23" s="414"/>
      <c r="KGG23" s="414"/>
      <c r="KGH23" s="414"/>
      <c r="KGI23" s="414"/>
      <c r="KGJ23" s="414"/>
      <c r="KGK23" s="414"/>
      <c r="KGL23" s="414"/>
      <c r="KGM23" s="414"/>
      <c r="KGN23" s="414"/>
      <c r="KGO23" s="414"/>
      <c r="KGP23" s="414"/>
      <c r="KGQ23" s="414"/>
      <c r="KGR23" s="414"/>
      <c r="KGS23" s="414"/>
      <c r="KGT23" s="414"/>
      <c r="KGU23" s="414"/>
      <c r="KGV23" s="414"/>
      <c r="KGW23" s="414"/>
      <c r="KGX23" s="414"/>
      <c r="KGY23" s="414"/>
      <c r="KGZ23" s="414"/>
      <c r="KHA23" s="414"/>
      <c r="KHB23" s="414"/>
      <c r="KHC23" s="414"/>
      <c r="KHD23" s="414"/>
      <c r="KHE23" s="414"/>
      <c r="KHF23" s="414"/>
      <c r="KHG23" s="414"/>
      <c r="KHH23" s="414"/>
      <c r="KHI23" s="414"/>
      <c r="KHJ23" s="414"/>
      <c r="KHK23" s="414"/>
      <c r="KHL23" s="414"/>
      <c r="KHM23" s="414"/>
      <c r="KHN23" s="414"/>
      <c r="KHO23" s="414"/>
      <c r="KHP23" s="414"/>
      <c r="KHQ23" s="414"/>
      <c r="KHR23" s="414"/>
      <c r="KHS23" s="414"/>
      <c r="KHT23" s="414"/>
      <c r="KHU23" s="414"/>
      <c r="KHV23" s="414"/>
      <c r="KHW23" s="414"/>
      <c r="KHX23" s="414"/>
      <c r="KHY23" s="414"/>
      <c r="KHZ23" s="414"/>
      <c r="KIA23" s="414"/>
      <c r="KIB23" s="414"/>
      <c r="KIC23" s="414"/>
      <c r="KID23" s="414"/>
      <c r="KIE23" s="414"/>
      <c r="KIF23" s="414"/>
      <c r="KIG23" s="414"/>
      <c r="KIH23" s="414"/>
      <c r="KII23" s="414"/>
      <c r="KIJ23" s="414"/>
      <c r="KIK23" s="414"/>
      <c r="KIL23" s="414"/>
      <c r="KIM23" s="414"/>
      <c r="KIN23" s="414"/>
      <c r="KIO23" s="414"/>
      <c r="KIP23" s="414"/>
      <c r="KIQ23" s="414"/>
      <c r="KIR23" s="414"/>
      <c r="KIS23" s="414"/>
      <c r="KIT23" s="414"/>
      <c r="KIU23" s="414"/>
      <c r="KIV23" s="414"/>
      <c r="KIW23" s="414"/>
      <c r="KIX23" s="414"/>
      <c r="KIY23" s="414"/>
      <c r="KIZ23" s="414"/>
      <c r="KJA23" s="414"/>
      <c r="KJB23" s="414"/>
      <c r="KJC23" s="414"/>
      <c r="KJD23" s="414"/>
      <c r="KJE23" s="414"/>
      <c r="KJF23" s="414"/>
      <c r="KJG23" s="414"/>
      <c r="KJH23" s="414"/>
      <c r="KJI23" s="414"/>
      <c r="KJJ23" s="414"/>
      <c r="KJK23" s="414"/>
      <c r="KJL23" s="414"/>
      <c r="KJM23" s="414"/>
      <c r="KJN23" s="414"/>
      <c r="KJO23" s="414"/>
      <c r="KJP23" s="414"/>
      <c r="KJQ23" s="414"/>
      <c r="KJR23" s="414"/>
      <c r="KJS23" s="414"/>
      <c r="KJT23" s="414"/>
      <c r="KJU23" s="414"/>
      <c r="KJV23" s="414"/>
      <c r="KJW23" s="414"/>
      <c r="KJX23" s="414"/>
      <c r="KJY23" s="414"/>
      <c r="KJZ23" s="414"/>
      <c r="KKA23" s="414"/>
      <c r="KKB23" s="414"/>
      <c r="KKC23" s="414"/>
      <c r="KKD23" s="414"/>
      <c r="KKE23" s="414"/>
      <c r="KKF23" s="414"/>
      <c r="KKG23" s="414"/>
      <c r="KKH23" s="414"/>
      <c r="KKI23" s="414"/>
      <c r="KKJ23" s="414"/>
      <c r="KKK23" s="414"/>
      <c r="KKL23" s="414"/>
      <c r="KKM23" s="414"/>
      <c r="KKN23" s="414"/>
      <c r="KKO23" s="414"/>
      <c r="KKP23" s="414"/>
      <c r="KKQ23" s="414"/>
      <c r="KKR23" s="414"/>
      <c r="KKS23" s="414"/>
      <c r="KKT23" s="414"/>
      <c r="KKU23" s="414"/>
      <c r="KKV23" s="414"/>
      <c r="KKW23" s="414"/>
      <c r="KKX23" s="414"/>
      <c r="KKY23" s="414"/>
      <c r="KKZ23" s="414"/>
      <c r="KLA23" s="414"/>
      <c r="KLB23" s="414"/>
      <c r="KLC23" s="414"/>
      <c r="KLD23" s="414"/>
      <c r="KLE23" s="414"/>
      <c r="KLF23" s="414"/>
      <c r="KLG23" s="414"/>
      <c r="KLH23" s="414"/>
      <c r="KLI23" s="414"/>
      <c r="KLJ23" s="414"/>
      <c r="KLK23" s="414"/>
      <c r="KLL23" s="414"/>
      <c r="KLM23" s="414"/>
      <c r="KLN23" s="414"/>
      <c r="KLO23" s="414"/>
      <c r="KLP23" s="414"/>
      <c r="KLQ23" s="414"/>
      <c r="KLR23" s="414"/>
      <c r="KLS23" s="414"/>
      <c r="KLT23" s="414"/>
      <c r="KLU23" s="414"/>
      <c r="KLV23" s="414"/>
      <c r="KLW23" s="414"/>
      <c r="KLX23" s="414"/>
      <c r="KLY23" s="414"/>
      <c r="KLZ23" s="414"/>
      <c r="KMA23" s="414"/>
      <c r="KMB23" s="414"/>
      <c r="KMC23" s="414"/>
      <c r="KMD23" s="414"/>
      <c r="KME23" s="414"/>
      <c r="KMF23" s="414"/>
      <c r="KMG23" s="414"/>
      <c r="KMH23" s="414"/>
      <c r="KMI23" s="414"/>
      <c r="KMJ23" s="414"/>
      <c r="KMK23" s="414"/>
      <c r="KML23" s="414"/>
      <c r="KMM23" s="414"/>
      <c r="KMN23" s="414"/>
      <c r="KMO23" s="414"/>
      <c r="KMP23" s="414"/>
      <c r="KMQ23" s="414"/>
      <c r="KMR23" s="414"/>
      <c r="KMS23" s="414"/>
      <c r="KMT23" s="414"/>
      <c r="KMU23" s="414"/>
      <c r="KMV23" s="414"/>
      <c r="KMW23" s="414"/>
      <c r="KMX23" s="414"/>
      <c r="KMY23" s="414"/>
      <c r="KMZ23" s="414"/>
      <c r="KNA23" s="414"/>
      <c r="KNB23" s="414"/>
      <c r="KNC23" s="414"/>
      <c r="KND23" s="414"/>
      <c r="KNE23" s="414"/>
      <c r="KNF23" s="414"/>
      <c r="KNG23" s="414"/>
      <c r="KNH23" s="414"/>
      <c r="KNI23" s="414"/>
      <c r="KNJ23" s="414"/>
      <c r="KNK23" s="414"/>
      <c r="KNL23" s="414"/>
      <c r="KNM23" s="414"/>
      <c r="KNN23" s="414"/>
      <c r="KNO23" s="414"/>
      <c r="KNP23" s="414"/>
      <c r="KNQ23" s="414"/>
      <c r="KNR23" s="414"/>
      <c r="KNS23" s="414"/>
      <c r="KNT23" s="414"/>
      <c r="KNU23" s="414"/>
      <c r="KNV23" s="414"/>
      <c r="KNW23" s="414"/>
      <c r="KNX23" s="414"/>
      <c r="KNY23" s="414"/>
      <c r="KNZ23" s="414"/>
      <c r="KOA23" s="414"/>
      <c r="KOB23" s="414"/>
      <c r="KOC23" s="414"/>
      <c r="KOD23" s="414"/>
      <c r="KOE23" s="414"/>
      <c r="KOF23" s="414"/>
      <c r="KOG23" s="414"/>
      <c r="KOH23" s="414"/>
      <c r="KOI23" s="414"/>
      <c r="KOJ23" s="414"/>
      <c r="KOK23" s="414"/>
      <c r="KOL23" s="414"/>
      <c r="KOM23" s="414"/>
      <c r="KON23" s="414"/>
      <c r="KOO23" s="414"/>
      <c r="KOP23" s="414"/>
      <c r="KOQ23" s="414"/>
      <c r="KOR23" s="414"/>
      <c r="KOS23" s="414"/>
      <c r="KOT23" s="414"/>
      <c r="KOU23" s="414"/>
      <c r="KOV23" s="414"/>
      <c r="KOW23" s="414"/>
      <c r="KOX23" s="414"/>
      <c r="KOY23" s="414"/>
      <c r="KOZ23" s="414"/>
      <c r="KPA23" s="414"/>
      <c r="KPB23" s="414"/>
      <c r="KPC23" s="414"/>
      <c r="KPD23" s="414"/>
      <c r="KPE23" s="414"/>
      <c r="KPF23" s="414"/>
      <c r="KPG23" s="414"/>
      <c r="KPH23" s="414"/>
      <c r="KPI23" s="414"/>
      <c r="KPJ23" s="414"/>
      <c r="KPK23" s="414"/>
      <c r="KPL23" s="414"/>
      <c r="KPM23" s="414"/>
      <c r="KPN23" s="414"/>
      <c r="KPO23" s="414"/>
      <c r="KPP23" s="414"/>
      <c r="KPQ23" s="414"/>
      <c r="KPR23" s="414"/>
      <c r="KPS23" s="414"/>
      <c r="KPT23" s="414"/>
      <c r="KPU23" s="414"/>
      <c r="KPV23" s="414"/>
      <c r="KPW23" s="414"/>
      <c r="KPX23" s="414"/>
      <c r="KPY23" s="414"/>
      <c r="KPZ23" s="414"/>
      <c r="KQA23" s="414"/>
      <c r="KQB23" s="414"/>
      <c r="KQC23" s="414"/>
      <c r="KQD23" s="414"/>
      <c r="KQE23" s="414"/>
      <c r="KQF23" s="414"/>
      <c r="KQG23" s="414"/>
      <c r="KQH23" s="414"/>
      <c r="KQI23" s="414"/>
      <c r="KQJ23" s="414"/>
      <c r="KQK23" s="414"/>
      <c r="KQL23" s="414"/>
      <c r="KQM23" s="414"/>
      <c r="KQN23" s="414"/>
      <c r="KQO23" s="414"/>
      <c r="KQP23" s="414"/>
      <c r="KQQ23" s="414"/>
      <c r="KQR23" s="414"/>
      <c r="KQS23" s="414"/>
      <c r="KQT23" s="414"/>
      <c r="KQU23" s="414"/>
      <c r="KQV23" s="414"/>
      <c r="KQW23" s="414"/>
      <c r="KQX23" s="414"/>
      <c r="KQY23" s="414"/>
      <c r="KQZ23" s="414"/>
      <c r="KRA23" s="414"/>
      <c r="KRB23" s="414"/>
      <c r="KRC23" s="414"/>
      <c r="KRD23" s="414"/>
      <c r="KRE23" s="414"/>
      <c r="KRF23" s="414"/>
      <c r="KRG23" s="414"/>
      <c r="KRH23" s="414"/>
      <c r="KRI23" s="414"/>
      <c r="KRJ23" s="414"/>
      <c r="KRK23" s="414"/>
      <c r="KRL23" s="414"/>
      <c r="KRM23" s="414"/>
      <c r="KRN23" s="414"/>
      <c r="KRO23" s="414"/>
      <c r="KRP23" s="414"/>
      <c r="KRQ23" s="414"/>
      <c r="KRR23" s="414"/>
      <c r="KRS23" s="414"/>
      <c r="KRT23" s="414"/>
      <c r="KRU23" s="414"/>
      <c r="KRV23" s="414"/>
      <c r="KRW23" s="414"/>
      <c r="KRX23" s="414"/>
      <c r="KRY23" s="414"/>
      <c r="KRZ23" s="414"/>
      <c r="KSA23" s="414"/>
      <c r="KSB23" s="414"/>
      <c r="KSC23" s="414"/>
      <c r="KSD23" s="414"/>
      <c r="KSE23" s="414"/>
      <c r="KSF23" s="414"/>
      <c r="KSG23" s="414"/>
      <c r="KSH23" s="414"/>
      <c r="KSI23" s="414"/>
      <c r="KSJ23" s="414"/>
      <c r="KSK23" s="414"/>
      <c r="KSL23" s="414"/>
      <c r="KSM23" s="414"/>
      <c r="KSN23" s="414"/>
      <c r="KSO23" s="414"/>
      <c r="KSP23" s="414"/>
      <c r="KSQ23" s="414"/>
      <c r="KSR23" s="414"/>
      <c r="KSS23" s="414"/>
      <c r="KST23" s="414"/>
      <c r="KSU23" s="414"/>
      <c r="KSV23" s="414"/>
      <c r="KSW23" s="414"/>
      <c r="KSX23" s="414"/>
      <c r="KSY23" s="414"/>
      <c r="KSZ23" s="414"/>
      <c r="KTA23" s="414"/>
      <c r="KTB23" s="414"/>
      <c r="KTC23" s="414"/>
      <c r="KTD23" s="414"/>
      <c r="KTE23" s="414"/>
      <c r="KTF23" s="414"/>
      <c r="KTG23" s="414"/>
      <c r="KTH23" s="414"/>
      <c r="KTI23" s="414"/>
      <c r="KTJ23" s="414"/>
      <c r="KTK23" s="414"/>
      <c r="KTL23" s="414"/>
      <c r="KTM23" s="414"/>
      <c r="KTN23" s="414"/>
      <c r="KTO23" s="414"/>
      <c r="KTP23" s="414"/>
      <c r="KTQ23" s="414"/>
      <c r="KTR23" s="414"/>
      <c r="KTS23" s="414"/>
      <c r="KTT23" s="414"/>
      <c r="KTU23" s="414"/>
      <c r="KTV23" s="414"/>
      <c r="KTW23" s="414"/>
      <c r="KTX23" s="414"/>
      <c r="KTY23" s="414"/>
      <c r="KTZ23" s="414"/>
      <c r="KUA23" s="414"/>
      <c r="KUB23" s="414"/>
      <c r="KUC23" s="414"/>
      <c r="KUD23" s="414"/>
      <c r="KUE23" s="414"/>
      <c r="KUF23" s="414"/>
      <c r="KUG23" s="414"/>
      <c r="KUH23" s="414"/>
      <c r="KUI23" s="414"/>
      <c r="KUJ23" s="414"/>
      <c r="KUK23" s="414"/>
      <c r="KUL23" s="414"/>
      <c r="KUM23" s="414"/>
      <c r="KUN23" s="414"/>
      <c r="KUO23" s="414"/>
      <c r="KUP23" s="414"/>
      <c r="KUQ23" s="414"/>
      <c r="KUR23" s="414"/>
      <c r="KUS23" s="414"/>
      <c r="KUT23" s="414"/>
      <c r="KUU23" s="414"/>
      <c r="KUV23" s="414"/>
      <c r="KUW23" s="414"/>
      <c r="KUX23" s="414"/>
      <c r="KUY23" s="414"/>
      <c r="KUZ23" s="414"/>
      <c r="KVA23" s="414"/>
      <c r="KVB23" s="414"/>
      <c r="KVC23" s="414"/>
      <c r="KVD23" s="414"/>
      <c r="KVE23" s="414"/>
      <c r="KVF23" s="414"/>
      <c r="KVG23" s="414"/>
      <c r="KVH23" s="414"/>
      <c r="KVI23" s="414"/>
      <c r="KVJ23" s="414"/>
      <c r="KVK23" s="414"/>
      <c r="KVL23" s="414"/>
      <c r="KVM23" s="414"/>
      <c r="KVN23" s="414"/>
      <c r="KVO23" s="414"/>
      <c r="KVP23" s="414"/>
      <c r="KVQ23" s="414"/>
      <c r="KVR23" s="414"/>
      <c r="KVS23" s="414"/>
      <c r="KVT23" s="414"/>
      <c r="KVU23" s="414"/>
      <c r="KVV23" s="414"/>
      <c r="KVW23" s="414"/>
      <c r="KVX23" s="414"/>
      <c r="KVY23" s="414"/>
      <c r="KVZ23" s="414"/>
      <c r="KWA23" s="414"/>
      <c r="KWB23" s="414"/>
      <c r="KWC23" s="414"/>
      <c r="KWD23" s="414"/>
      <c r="KWE23" s="414"/>
      <c r="KWF23" s="414"/>
      <c r="KWG23" s="414"/>
      <c r="KWH23" s="414"/>
      <c r="KWI23" s="414"/>
      <c r="KWJ23" s="414"/>
      <c r="KWK23" s="414"/>
      <c r="KWL23" s="414"/>
      <c r="KWM23" s="414"/>
      <c r="KWN23" s="414"/>
      <c r="KWO23" s="414"/>
      <c r="KWP23" s="414"/>
      <c r="KWQ23" s="414"/>
      <c r="KWR23" s="414"/>
      <c r="KWS23" s="414"/>
      <c r="KWT23" s="414"/>
      <c r="KWU23" s="414"/>
      <c r="KWV23" s="414"/>
      <c r="KWW23" s="414"/>
      <c r="KWX23" s="414"/>
      <c r="KWY23" s="414"/>
      <c r="KWZ23" s="414"/>
      <c r="KXA23" s="414"/>
      <c r="KXB23" s="414"/>
      <c r="KXC23" s="414"/>
      <c r="KXD23" s="414"/>
      <c r="KXE23" s="414"/>
      <c r="KXF23" s="414"/>
      <c r="KXG23" s="414"/>
      <c r="KXH23" s="414"/>
      <c r="KXI23" s="414"/>
      <c r="KXJ23" s="414"/>
      <c r="KXK23" s="414"/>
      <c r="KXL23" s="414"/>
      <c r="KXM23" s="414"/>
      <c r="KXN23" s="414"/>
      <c r="KXO23" s="414"/>
      <c r="KXP23" s="414"/>
      <c r="KXQ23" s="414"/>
      <c r="KXR23" s="414"/>
      <c r="KXS23" s="414"/>
      <c r="KXT23" s="414"/>
      <c r="KXU23" s="414"/>
      <c r="KXV23" s="414"/>
      <c r="KXW23" s="414"/>
      <c r="KXX23" s="414"/>
      <c r="KXY23" s="414"/>
      <c r="KXZ23" s="414"/>
      <c r="KYA23" s="414"/>
      <c r="KYB23" s="414"/>
      <c r="KYC23" s="414"/>
      <c r="KYD23" s="414"/>
      <c r="KYE23" s="414"/>
      <c r="KYF23" s="414"/>
      <c r="KYG23" s="414"/>
      <c r="KYH23" s="414"/>
      <c r="KYI23" s="414"/>
      <c r="KYJ23" s="414"/>
      <c r="KYK23" s="414"/>
      <c r="KYL23" s="414"/>
      <c r="KYM23" s="414"/>
      <c r="KYN23" s="414"/>
      <c r="KYO23" s="414"/>
      <c r="KYP23" s="414"/>
      <c r="KYQ23" s="414"/>
      <c r="KYR23" s="414"/>
      <c r="KYS23" s="414"/>
      <c r="KYT23" s="414"/>
      <c r="KYU23" s="414"/>
      <c r="KYV23" s="414"/>
      <c r="KYW23" s="414"/>
      <c r="KYX23" s="414"/>
      <c r="KYY23" s="414"/>
      <c r="KYZ23" s="414"/>
      <c r="KZA23" s="414"/>
      <c r="KZB23" s="414"/>
      <c r="KZC23" s="414"/>
      <c r="KZD23" s="414"/>
      <c r="KZE23" s="414"/>
      <c r="KZF23" s="414"/>
      <c r="KZG23" s="414"/>
      <c r="KZH23" s="414"/>
      <c r="KZI23" s="414"/>
      <c r="KZJ23" s="414"/>
      <c r="KZK23" s="414"/>
      <c r="KZL23" s="414"/>
      <c r="KZM23" s="414"/>
      <c r="KZN23" s="414"/>
      <c r="KZO23" s="414"/>
      <c r="KZP23" s="414"/>
      <c r="KZQ23" s="414"/>
      <c r="KZR23" s="414"/>
      <c r="KZS23" s="414"/>
      <c r="KZT23" s="414"/>
      <c r="KZU23" s="414"/>
      <c r="KZV23" s="414"/>
      <c r="KZW23" s="414"/>
      <c r="KZX23" s="414"/>
      <c r="KZY23" s="414"/>
      <c r="KZZ23" s="414"/>
      <c r="LAA23" s="414"/>
      <c r="LAB23" s="414"/>
      <c r="LAC23" s="414"/>
      <c r="LAD23" s="414"/>
      <c r="LAE23" s="414"/>
      <c r="LAF23" s="414"/>
      <c r="LAG23" s="414"/>
      <c r="LAH23" s="414"/>
      <c r="LAI23" s="414"/>
      <c r="LAJ23" s="414"/>
      <c r="LAK23" s="414"/>
      <c r="LAL23" s="414"/>
      <c r="LAM23" s="414"/>
      <c r="LAN23" s="414"/>
      <c r="LAO23" s="414"/>
      <c r="LAP23" s="414"/>
      <c r="LAQ23" s="414"/>
      <c r="LAR23" s="414"/>
      <c r="LAS23" s="414"/>
      <c r="LAT23" s="414"/>
      <c r="LAU23" s="414"/>
      <c r="LAV23" s="414"/>
      <c r="LAW23" s="414"/>
      <c r="LAX23" s="414"/>
      <c r="LAY23" s="414"/>
      <c r="LAZ23" s="414"/>
      <c r="LBA23" s="414"/>
      <c r="LBB23" s="414"/>
      <c r="LBC23" s="414"/>
      <c r="LBD23" s="414"/>
      <c r="LBE23" s="414"/>
      <c r="LBF23" s="414"/>
      <c r="LBG23" s="414"/>
      <c r="LBH23" s="414"/>
      <c r="LBI23" s="414"/>
      <c r="LBJ23" s="414"/>
      <c r="LBK23" s="414"/>
      <c r="LBL23" s="414"/>
      <c r="LBM23" s="414"/>
      <c r="LBN23" s="414"/>
      <c r="LBO23" s="414"/>
      <c r="LBP23" s="414"/>
      <c r="LBQ23" s="414"/>
      <c r="LBR23" s="414"/>
      <c r="LBS23" s="414"/>
      <c r="LBT23" s="414"/>
      <c r="LBU23" s="414"/>
      <c r="LBV23" s="414"/>
      <c r="LBW23" s="414"/>
      <c r="LBX23" s="414"/>
      <c r="LBY23" s="414"/>
      <c r="LBZ23" s="414"/>
      <c r="LCA23" s="414"/>
      <c r="LCB23" s="414"/>
      <c r="LCC23" s="414"/>
      <c r="LCD23" s="414"/>
      <c r="LCE23" s="414"/>
      <c r="LCF23" s="414"/>
      <c r="LCG23" s="414"/>
      <c r="LCH23" s="414"/>
      <c r="LCI23" s="414"/>
      <c r="LCJ23" s="414"/>
      <c r="LCK23" s="414"/>
      <c r="LCL23" s="414"/>
      <c r="LCM23" s="414"/>
      <c r="LCN23" s="414"/>
      <c r="LCO23" s="414"/>
      <c r="LCP23" s="414"/>
      <c r="LCQ23" s="414"/>
      <c r="LCR23" s="414"/>
      <c r="LCS23" s="414"/>
      <c r="LCT23" s="414"/>
      <c r="LCU23" s="414"/>
      <c r="LCV23" s="414"/>
      <c r="LCW23" s="414"/>
      <c r="LCX23" s="414"/>
      <c r="LCY23" s="414"/>
      <c r="LCZ23" s="414"/>
      <c r="LDA23" s="414"/>
      <c r="LDB23" s="414"/>
      <c r="LDC23" s="414"/>
      <c r="LDD23" s="414"/>
      <c r="LDE23" s="414"/>
      <c r="LDF23" s="414"/>
      <c r="LDG23" s="414"/>
      <c r="LDH23" s="414"/>
      <c r="LDI23" s="414"/>
      <c r="LDJ23" s="414"/>
      <c r="LDK23" s="414"/>
      <c r="LDL23" s="414"/>
      <c r="LDM23" s="414"/>
      <c r="LDN23" s="414"/>
      <c r="LDO23" s="414"/>
      <c r="LDP23" s="414"/>
      <c r="LDQ23" s="414"/>
      <c r="LDR23" s="414"/>
      <c r="LDS23" s="414"/>
      <c r="LDT23" s="414"/>
      <c r="LDU23" s="414"/>
      <c r="LDV23" s="414"/>
      <c r="LDW23" s="414"/>
      <c r="LDX23" s="414"/>
      <c r="LDY23" s="414"/>
      <c r="LDZ23" s="414"/>
      <c r="LEA23" s="414"/>
      <c r="LEB23" s="414"/>
      <c r="LEC23" s="414"/>
      <c r="LED23" s="414"/>
      <c r="LEE23" s="414"/>
      <c r="LEF23" s="414"/>
      <c r="LEG23" s="414"/>
      <c r="LEH23" s="414"/>
      <c r="LEI23" s="414"/>
      <c r="LEJ23" s="414"/>
      <c r="LEK23" s="414"/>
      <c r="LEL23" s="414"/>
      <c r="LEM23" s="414"/>
      <c r="LEN23" s="414"/>
      <c r="LEO23" s="414"/>
      <c r="LEP23" s="414"/>
      <c r="LEQ23" s="414"/>
      <c r="LER23" s="414"/>
      <c r="LES23" s="414"/>
      <c r="LET23" s="414"/>
      <c r="LEU23" s="414"/>
      <c r="LEV23" s="414"/>
      <c r="LEW23" s="414"/>
      <c r="LEX23" s="414"/>
      <c r="LEY23" s="414"/>
      <c r="LEZ23" s="414"/>
      <c r="LFA23" s="414"/>
      <c r="LFB23" s="414"/>
      <c r="LFC23" s="414"/>
      <c r="LFD23" s="414"/>
      <c r="LFE23" s="414"/>
      <c r="LFF23" s="414"/>
      <c r="LFG23" s="414"/>
      <c r="LFH23" s="414"/>
      <c r="LFI23" s="414"/>
      <c r="LFJ23" s="414"/>
      <c r="LFK23" s="414"/>
      <c r="LFL23" s="414"/>
      <c r="LFM23" s="414"/>
      <c r="LFN23" s="414"/>
      <c r="LFO23" s="414"/>
      <c r="LFP23" s="414"/>
      <c r="LFQ23" s="414"/>
      <c r="LFR23" s="414"/>
      <c r="LFS23" s="414"/>
      <c r="LFT23" s="414"/>
      <c r="LFU23" s="414"/>
      <c r="LFV23" s="414"/>
      <c r="LFW23" s="414"/>
      <c r="LFX23" s="414"/>
      <c r="LFY23" s="414"/>
      <c r="LFZ23" s="414"/>
      <c r="LGA23" s="414"/>
      <c r="LGB23" s="414"/>
      <c r="LGC23" s="414"/>
      <c r="LGD23" s="414"/>
      <c r="LGE23" s="414"/>
      <c r="LGF23" s="414"/>
      <c r="LGG23" s="414"/>
      <c r="LGH23" s="414"/>
      <c r="LGI23" s="414"/>
      <c r="LGJ23" s="414"/>
      <c r="LGK23" s="414"/>
      <c r="LGL23" s="414"/>
      <c r="LGM23" s="414"/>
      <c r="LGN23" s="414"/>
      <c r="LGO23" s="414"/>
      <c r="LGP23" s="414"/>
      <c r="LGQ23" s="414"/>
      <c r="LGR23" s="414"/>
      <c r="LGS23" s="414"/>
      <c r="LGT23" s="414"/>
      <c r="LGU23" s="414"/>
      <c r="LGV23" s="414"/>
      <c r="LGW23" s="414"/>
      <c r="LGX23" s="414"/>
      <c r="LGY23" s="414"/>
      <c r="LGZ23" s="414"/>
      <c r="LHA23" s="414"/>
      <c r="LHB23" s="414"/>
      <c r="LHC23" s="414"/>
      <c r="LHD23" s="414"/>
      <c r="LHE23" s="414"/>
      <c r="LHF23" s="414"/>
      <c r="LHG23" s="414"/>
      <c r="LHH23" s="414"/>
      <c r="LHI23" s="414"/>
      <c r="LHJ23" s="414"/>
      <c r="LHK23" s="414"/>
      <c r="LHL23" s="414"/>
      <c r="LHM23" s="414"/>
      <c r="LHN23" s="414"/>
      <c r="LHO23" s="414"/>
      <c r="LHP23" s="414"/>
      <c r="LHQ23" s="414"/>
      <c r="LHR23" s="414"/>
      <c r="LHS23" s="414"/>
      <c r="LHT23" s="414"/>
      <c r="LHU23" s="414"/>
      <c r="LHV23" s="414"/>
      <c r="LHW23" s="414"/>
      <c r="LHX23" s="414"/>
      <c r="LHY23" s="414"/>
      <c r="LHZ23" s="414"/>
      <c r="LIA23" s="414"/>
      <c r="LIB23" s="414"/>
      <c r="LIC23" s="414"/>
      <c r="LID23" s="414"/>
      <c r="LIE23" s="414"/>
      <c r="LIF23" s="414"/>
      <c r="LIG23" s="414"/>
      <c r="LIH23" s="414"/>
      <c r="LII23" s="414"/>
      <c r="LIJ23" s="414"/>
      <c r="LIK23" s="414"/>
      <c r="LIL23" s="414"/>
      <c r="LIM23" s="414"/>
      <c r="LIN23" s="414"/>
      <c r="LIO23" s="414"/>
      <c r="LIP23" s="414"/>
      <c r="LIQ23" s="414"/>
      <c r="LIR23" s="414"/>
      <c r="LIS23" s="414"/>
      <c r="LIT23" s="414"/>
      <c r="LIU23" s="414"/>
      <c r="LIV23" s="414"/>
      <c r="LIW23" s="414"/>
      <c r="LIX23" s="414"/>
      <c r="LIY23" s="414"/>
      <c r="LIZ23" s="414"/>
      <c r="LJA23" s="414"/>
      <c r="LJB23" s="414"/>
      <c r="LJC23" s="414"/>
      <c r="LJD23" s="414"/>
      <c r="LJE23" s="414"/>
      <c r="LJF23" s="414"/>
      <c r="LJG23" s="414"/>
      <c r="LJH23" s="414"/>
      <c r="LJI23" s="414"/>
      <c r="LJJ23" s="414"/>
      <c r="LJK23" s="414"/>
      <c r="LJL23" s="414"/>
      <c r="LJM23" s="414"/>
      <c r="LJN23" s="414"/>
      <c r="LJO23" s="414"/>
      <c r="LJP23" s="414"/>
      <c r="LJQ23" s="414"/>
      <c r="LJR23" s="414"/>
      <c r="LJS23" s="414"/>
      <c r="LJT23" s="414"/>
      <c r="LJU23" s="414"/>
      <c r="LJV23" s="414"/>
      <c r="LJW23" s="414"/>
      <c r="LJX23" s="414"/>
      <c r="LJY23" s="414"/>
      <c r="LJZ23" s="414"/>
      <c r="LKA23" s="414"/>
      <c r="LKB23" s="414"/>
      <c r="LKC23" s="414"/>
      <c r="LKD23" s="414"/>
      <c r="LKE23" s="414"/>
      <c r="LKF23" s="414"/>
      <c r="LKG23" s="414"/>
      <c r="LKH23" s="414"/>
      <c r="LKI23" s="414"/>
      <c r="LKJ23" s="414"/>
      <c r="LKK23" s="414"/>
      <c r="LKL23" s="414"/>
      <c r="LKM23" s="414"/>
      <c r="LKN23" s="414"/>
      <c r="LKO23" s="414"/>
      <c r="LKP23" s="414"/>
      <c r="LKQ23" s="414"/>
      <c r="LKR23" s="414"/>
      <c r="LKS23" s="414"/>
      <c r="LKT23" s="414"/>
      <c r="LKU23" s="414"/>
      <c r="LKV23" s="414"/>
      <c r="LKW23" s="414"/>
      <c r="LKX23" s="414"/>
      <c r="LKY23" s="414"/>
      <c r="LKZ23" s="414"/>
      <c r="LLA23" s="414"/>
      <c r="LLB23" s="414"/>
      <c r="LLC23" s="414"/>
      <c r="LLD23" s="414"/>
      <c r="LLE23" s="414"/>
      <c r="LLF23" s="414"/>
      <c r="LLG23" s="414"/>
      <c r="LLH23" s="414"/>
      <c r="LLI23" s="414"/>
      <c r="LLJ23" s="414"/>
      <c r="LLK23" s="414"/>
      <c r="LLL23" s="414"/>
      <c r="LLM23" s="414"/>
      <c r="LLN23" s="414"/>
      <c r="LLO23" s="414"/>
      <c r="LLP23" s="414"/>
      <c r="LLQ23" s="414"/>
      <c r="LLR23" s="414"/>
      <c r="LLS23" s="414"/>
      <c r="LLT23" s="414"/>
      <c r="LLU23" s="414"/>
      <c r="LLV23" s="414"/>
      <c r="LLW23" s="414"/>
      <c r="LLX23" s="414"/>
      <c r="LLY23" s="414"/>
      <c r="LLZ23" s="414"/>
      <c r="LMA23" s="414"/>
      <c r="LMB23" s="414"/>
      <c r="LMC23" s="414"/>
      <c r="LMD23" s="414"/>
      <c r="LME23" s="414"/>
      <c r="LMF23" s="414"/>
      <c r="LMG23" s="414"/>
      <c r="LMH23" s="414"/>
      <c r="LMI23" s="414"/>
      <c r="LMJ23" s="414"/>
      <c r="LMK23" s="414"/>
      <c r="LML23" s="414"/>
      <c r="LMM23" s="414"/>
      <c r="LMN23" s="414"/>
      <c r="LMO23" s="414"/>
      <c r="LMP23" s="414"/>
      <c r="LMQ23" s="414"/>
      <c r="LMR23" s="414"/>
      <c r="LMS23" s="414"/>
      <c r="LMT23" s="414"/>
      <c r="LMU23" s="414"/>
      <c r="LMV23" s="414"/>
      <c r="LMW23" s="414"/>
      <c r="LMX23" s="414"/>
      <c r="LMY23" s="414"/>
      <c r="LMZ23" s="414"/>
      <c r="LNA23" s="414"/>
      <c r="LNB23" s="414"/>
      <c r="LNC23" s="414"/>
      <c r="LND23" s="414"/>
      <c r="LNE23" s="414"/>
      <c r="LNF23" s="414"/>
      <c r="LNG23" s="414"/>
      <c r="LNH23" s="414"/>
      <c r="LNI23" s="414"/>
      <c r="LNJ23" s="414"/>
      <c r="LNK23" s="414"/>
      <c r="LNL23" s="414"/>
      <c r="LNM23" s="414"/>
      <c r="LNN23" s="414"/>
      <c r="LNO23" s="414"/>
      <c r="LNP23" s="414"/>
      <c r="LNQ23" s="414"/>
      <c r="LNR23" s="414"/>
      <c r="LNS23" s="414"/>
      <c r="LNT23" s="414"/>
      <c r="LNU23" s="414"/>
      <c r="LNV23" s="414"/>
      <c r="LNW23" s="414"/>
      <c r="LNX23" s="414"/>
      <c r="LNY23" s="414"/>
      <c r="LNZ23" s="414"/>
      <c r="LOA23" s="414"/>
      <c r="LOB23" s="414"/>
      <c r="LOC23" s="414"/>
      <c r="LOD23" s="414"/>
      <c r="LOE23" s="414"/>
      <c r="LOF23" s="414"/>
      <c r="LOG23" s="414"/>
      <c r="LOH23" s="414"/>
      <c r="LOI23" s="414"/>
      <c r="LOJ23" s="414"/>
      <c r="LOK23" s="414"/>
      <c r="LOL23" s="414"/>
      <c r="LOM23" s="414"/>
      <c r="LON23" s="414"/>
      <c r="LOO23" s="414"/>
      <c r="LOP23" s="414"/>
      <c r="LOQ23" s="414"/>
      <c r="LOR23" s="414"/>
      <c r="LOS23" s="414"/>
      <c r="LOT23" s="414"/>
      <c r="LOU23" s="414"/>
      <c r="LOV23" s="414"/>
      <c r="LOW23" s="414"/>
      <c r="LOX23" s="414"/>
      <c r="LOY23" s="414"/>
      <c r="LOZ23" s="414"/>
      <c r="LPA23" s="414"/>
      <c r="LPB23" s="414"/>
      <c r="LPC23" s="414"/>
      <c r="LPD23" s="414"/>
      <c r="LPE23" s="414"/>
      <c r="LPF23" s="414"/>
      <c r="LPG23" s="414"/>
      <c r="LPH23" s="414"/>
      <c r="LPI23" s="414"/>
      <c r="LPJ23" s="414"/>
      <c r="LPK23" s="414"/>
      <c r="LPL23" s="414"/>
      <c r="LPM23" s="414"/>
      <c r="LPN23" s="414"/>
      <c r="LPO23" s="414"/>
      <c r="LPP23" s="414"/>
      <c r="LPQ23" s="414"/>
      <c r="LPR23" s="414"/>
      <c r="LPS23" s="414"/>
      <c r="LPT23" s="414"/>
      <c r="LPU23" s="414"/>
      <c r="LPV23" s="414"/>
      <c r="LPW23" s="414"/>
      <c r="LPX23" s="414"/>
      <c r="LPY23" s="414"/>
      <c r="LPZ23" s="414"/>
      <c r="LQA23" s="414"/>
      <c r="LQB23" s="414"/>
      <c r="LQC23" s="414"/>
      <c r="LQD23" s="414"/>
      <c r="LQE23" s="414"/>
      <c r="LQF23" s="414"/>
      <c r="LQG23" s="414"/>
      <c r="LQH23" s="414"/>
      <c r="LQI23" s="414"/>
      <c r="LQJ23" s="414"/>
      <c r="LQK23" s="414"/>
      <c r="LQL23" s="414"/>
      <c r="LQM23" s="414"/>
      <c r="LQN23" s="414"/>
      <c r="LQO23" s="414"/>
      <c r="LQP23" s="414"/>
      <c r="LQQ23" s="414"/>
      <c r="LQR23" s="414"/>
      <c r="LQS23" s="414"/>
      <c r="LQT23" s="414"/>
      <c r="LQU23" s="414"/>
      <c r="LQV23" s="414"/>
      <c r="LQW23" s="414"/>
      <c r="LQX23" s="414"/>
      <c r="LQY23" s="414"/>
      <c r="LQZ23" s="414"/>
      <c r="LRA23" s="414"/>
      <c r="LRB23" s="414"/>
      <c r="LRC23" s="414"/>
      <c r="LRD23" s="414"/>
      <c r="LRE23" s="414"/>
      <c r="LRF23" s="414"/>
      <c r="LRG23" s="414"/>
      <c r="LRH23" s="414"/>
      <c r="LRI23" s="414"/>
      <c r="LRJ23" s="414"/>
      <c r="LRK23" s="414"/>
      <c r="LRL23" s="414"/>
      <c r="LRM23" s="414"/>
      <c r="LRN23" s="414"/>
      <c r="LRO23" s="414"/>
      <c r="LRP23" s="414"/>
      <c r="LRQ23" s="414"/>
      <c r="LRR23" s="414"/>
      <c r="LRS23" s="414"/>
      <c r="LRT23" s="414"/>
      <c r="LRU23" s="414"/>
      <c r="LRV23" s="414"/>
      <c r="LRW23" s="414"/>
      <c r="LRX23" s="414"/>
      <c r="LRY23" s="414"/>
      <c r="LRZ23" s="414"/>
      <c r="LSA23" s="414"/>
      <c r="LSB23" s="414"/>
      <c r="LSC23" s="414"/>
      <c r="LSD23" s="414"/>
      <c r="LSE23" s="414"/>
      <c r="LSF23" s="414"/>
      <c r="LSG23" s="414"/>
      <c r="LSH23" s="414"/>
      <c r="LSI23" s="414"/>
      <c r="LSJ23" s="414"/>
      <c r="LSK23" s="414"/>
      <c r="LSL23" s="414"/>
      <c r="LSM23" s="414"/>
      <c r="LSN23" s="414"/>
      <c r="LSO23" s="414"/>
      <c r="LSP23" s="414"/>
      <c r="LSQ23" s="414"/>
      <c r="LSR23" s="414"/>
      <c r="LSS23" s="414"/>
      <c r="LST23" s="414"/>
      <c r="LSU23" s="414"/>
      <c r="LSV23" s="414"/>
      <c r="LSW23" s="414"/>
      <c r="LSX23" s="414"/>
      <c r="LSY23" s="414"/>
      <c r="LSZ23" s="414"/>
      <c r="LTA23" s="414"/>
      <c r="LTB23" s="414"/>
      <c r="LTC23" s="414"/>
      <c r="LTD23" s="414"/>
      <c r="LTE23" s="414"/>
      <c r="LTF23" s="414"/>
      <c r="LTG23" s="414"/>
      <c r="LTH23" s="414"/>
      <c r="LTI23" s="414"/>
      <c r="LTJ23" s="414"/>
      <c r="LTK23" s="414"/>
      <c r="LTL23" s="414"/>
      <c r="LTM23" s="414"/>
      <c r="LTN23" s="414"/>
      <c r="LTO23" s="414"/>
      <c r="LTP23" s="414"/>
      <c r="LTQ23" s="414"/>
      <c r="LTR23" s="414"/>
      <c r="LTS23" s="414"/>
      <c r="LTT23" s="414"/>
      <c r="LTU23" s="414"/>
      <c r="LTV23" s="414"/>
      <c r="LTW23" s="414"/>
      <c r="LTX23" s="414"/>
      <c r="LTY23" s="414"/>
      <c r="LTZ23" s="414"/>
      <c r="LUA23" s="414"/>
      <c r="LUB23" s="414"/>
      <c r="LUC23" s="414"/>
      <c r="LUD23" s="414"/>
      <c r="LUE23" s="414"/>
      <c r="LUF23" s="414"/>
      <c r="LUG23" s="414"/>
      <c r="LUH23" s="414"/>
      <c r="LUI23" s="414"/>
      <c r="LUJ23" s="414"/>
      <c r="LUK23" s="414"/>
      <c r="LUL23" s="414"/>
      <c r="LUM23" s="414"/>
      <c r="LUN23" s="414"/>
      <c r="LUO23" s="414"/>
      <c r="LUP23" s="414"/>
      <c r="LUQ23" s="414"/>
      <c r="LUR23" s="414"/>
      <c r="LUS23" s="414"/>
      <c r="LUT23" s="414"/>
      <c r="LUU23" s="414"/>
      <c r="LUV23" s="414"/>
      <c r="LUW23" s="414"/>
      <c r="LUX23" s="414"/>
      <c r="LUY23" s="414"/>
      <c r="LUZ23" s="414"/>
      <c r="LVA23" s="414"/>
      <c r="LVB23" s="414"/>
      <c r="LVC23" s="414"/>
      <c r="LVD23" s="414"/>
      <c r="LVE23" s="414"/>
      <c r="LVF23" s="414"/>
      <c r="LVG23" s="414"/>
      <c r="LVH23" s="414"/>
      <c r="LVI23" s="414"/>
      <c r="LVJ23" s="414"/>
      <c r="LVK23" s="414"/>
      <c r="LVL23" s="414"/>
      <c r="LVM23" s="414"/>
      <c r="LVN23" s="414"/>
      <c r="LVO23" s="414"/>
      <c r="LVP23" s="414"/>
      <c r="LVQ23" s="414"/>
      <c r="LVR23" s="414"/>
      <c r="LVS23" s="414"/>
      <c r="LVT23" s="414"/>
      <c r="LVU23" s="414"/>
      <c r="LVV23" s="414"/>
      <c r="LVW23" s="414"/>
      <c r="LVX23" s="414"/>
      <c r="LVY23" s="414"/>
      <c r="LVZ23" s="414"/>
      <c r="LWA23" s="414"/>
      <c r="LWB23" s="414"/>
      <c r="LWC23" s="414"/>
      <c r="LWD23" s="414"/>
      <c r="LWE23" s="414"/>
      <c r="LWF23" s="414"/>
      <c r="LWG23" s="414"/>
      <c r="LWH23" s="414"/>
      <c r="LWI23" s="414"/>
      <c r="LWJ23" s="414"/>
      <c r="LWK23" s="414"/>
      <c r="LWL23" s="414"/>
      <c r="LWM23" s="414"/>
      <c r="LWN23" s="414"/>
      <c r="LWO23" s="414"/>
      <c r="LWP23" s="414"/>
      <c r="LWQ23" s="414"/>
      <c r="LWR23" s="414"/>
      <c r="LWS23" s="414"/>
      <c r="LWT23" s="414"/>
      <c r="LWU23" s="414"/>
      <c r="LWV23" s="414"/>
      <c r="LWW23" s="414"/>
      <c r="LWX23" s="414"/>
      <c r="LWY23" s="414"/>
      <c r="LWZ23" s="414"/>
      <c r="LXA23" s="414"/>
      <c r="LXB23" s="414"/>
      <c r="LXC23" s="414"/>
      <c r="LXD23" s="414"/>
      <c r="LXE23" s="414"/>
      <c r="LXF23" s="414"/>
      <c r="LXG23" s="414"/>
      <c r="LXH23" s="414"/>
      <c r="LXI23" s="414"/>
      <c r="LXJ23" s="414"/>
      <c r="LXK23" s="414"/>
      <c r="LXL23" s="414"/>
      <c r="LXM23" s="414"/>
      <c r="LXN23" s="414"/>
      <c r="LXO23" s="414"/>
      <c r="LXP23" s="414"/>
      <c r="LXQ23" s="414"/>
      <c r="LXR23" s="414"/>
      <c r="LXS23" s="414"/>
      <c r="LXT23" s="414"/>
      <c r="LXU23" s="414"/>
      <c r="LXV23" s="414"/>
      <c r="LXW23" s="414"/>
      <c r="LXX23" s="414"/>
      <c r="LXY23" s="414"/>
      <c r="LXZ23" s="414"/>
      <c r="LYA23" s="414"/>
      <c r="LYB23" s="414"/>
      <c r="LYC23" s="414"/>
      <c r="LYD23" s="414"/>
      <c r="LYE23" s="414"/>
      <c r="LYF23" s="414"/>
      <c r="LYG23" s="414"/>
      <c r="LYH23" s="414"/>
      <c r="LYI23" s="414"/>
      <c r="LYJ23" s="414"/>
      <c r="LYK23" s="414"/>
      <c r="LYL23" s="414"/>
      <c r="LYM23" s="414"/>
      <c r="LYN23" s="414"/>
      <c r="LYO23" s="414"/>
      <c r="LYP23" s="414"/>
      <c r="LYQ23" s="414"/>
      <c r="LYR23" s="414"/>
      <c r="LYS23" s="414"/>
      <c r="LYT23" s="414"/>
      <c r="LYU23" s="414"/>
      <c r="LYV23" s="414"/>
      <c r="LYW23" s="414"/>
      <c r="LYX23" s="414"/>
      <c r="LYY23" s="414"/>
      <c r="LYZ23" s="414"/>
      <c r="LZA23" s="414"/>
      <c r="LZB23" s="414"/>
      <c r="LZC23" s="414"/>
      <c r="LZD23" s="414"/>
      <c r="LZE23" s="414"/>
      <c r="LZF23" s="414"/>
      <c r="LZG23" s="414"/>
      <c r="LZH23" s="414"/>
      <c r="LZI23" s="414"/>
      <c r="LZJ23" s="414"/>
      <c r="LZK23" s="414"/>
      <c r="LZL23" s="414"/>
      <c r="LZM23" s="414"/>
      <c r="LZN23" s="414"/>
      <c r="LZO23" s="414"/>
      <c r="LZP23" s="414"/>
      <c r="LZQ23" s="414"/>
      <c r="LZR23" s="414"/>
      <c r="LZS23" s="414"/>
      <c r="LZT23" s="414"/>
      <c r="LZU23" s="414"/>
      <c r="LZV23" s="414"/>
      <c r="LZW23" s="414"/>
      <c r="LZX23" s="414"/>
      <c r="LZY23" s="414"/>
      <c r="LZZ23" s="414"/>
      <c r="MAA23" s="414"/>
      <c r="MAB23" s="414"/>
      <c r="MAC23" s="414"/>
      <c r="MAD23" s="414"/>
      <c r="MAE23" s="414"/>
      <c r="MAF23" s="414"/>
      <c r="MAG23" s="414"/>
      <c r="MAH23" s="414"/>
      <c r="MAI23" s="414"/>
      <c r="MAJ23" s="414"/>
      <c r="MAK23" s="414"/>
      <c r="MAL23" s="414"/>
      <c r="MAM23" s="414"/>
      <c r="MAN23" s="414"/>
      <c r="MAO23" s="414"/>
      <c r="MAP23" s="414"/>
      <c r="MAQ23" s="414"/>
      <c r="MAR23" s="414"/>
      <c r="MAS23" s="414"/>
      <c r="MAT23" s="414"/>
      <c r="MAU23" s="414"/>
      <c r="MAV23" s="414"/>
      <c r="MAW23" s="414"/>
      <c r="MAX23" s="414"/>
      <c r="MAY23" s="414"/>
      <c r="MAZ23" s="414"/>
      <c r="MBA23" s="414"/>
      <c r="MBB23" s="414"/>
      <c r="MBC23" s="414"/>
      <c r="MBD23" s="414"/>
      <c r="MBE23" s="414"/>
      <c r="MBF23" s="414"/>
      <c r="MBG23" s="414"/>
      <c r="MBH23" s="414"/>
      <c r="MBI23" s="414"/>
      <c r="MBJ23" s="414"/>
      <c r="MBK23" s="414"/>
      <c r="MBL23" s="414"/>
      <c r="MBM23" s="414"/>
      <c r="MBN23" s="414"/>
      <c r="MBO23" s="414"/>
      <c r="MBP23" s="414"/>
      <c r="MBQ23" s="414"/>
      <c r="MBR23" s="414"/>
      <c r="MBS23" s="414"/>
      <c r="MBT23" s="414"/>
      <c r="MBU23" s="414"/>
      <c r="MBV23" s="414"/>
      <c r="MBW23" s="414"/>
      <c r="MBX23" s="414"/>
      <c r="MBY23" s="414"/>
      <c r="MBZ23" s="414"/>
      <c r="MCA23" s="414"/>
      <c r="MCB23" s="414"/>
      <c r="MCC23" s="414"/>
      <c r="MCD23" s="414"/>
      <c r="MCE23" s="414"/>
      <c r="MCF23" s="414"/>
      <c r="MCG23" s="414"/>
      <c r="MCH23" s="414"/>
      <c r="MCI23" s="414"/>
      <c r="MCJ23" s="414"/>
      <c r="MCK23" s="414"/>
      <c r="MCL23" s="414"/>
      <c r="MCM23" s="414"/>
      <c r="MCN23" s="414"/>
      <c r="MCO23" s="414"/>
      <c r="MCP23" s="414"/>
      <c r="MCQ23" s="414"/>
      <c r="MCR23" s="414"/>
      <c r="MCS23" s="414"/>
      <c r="MCT23" s="414"/>
      <c r="MCU23" s="414"/>
      <c r="MCV23" s="414"/>
      <c r="MCW23" s="414"/>
      <c r="MCX23" s="414"/>
      <c r="MCY23" s="414"/>
      <c r="MCZ23" s="414"/>
      <c r="MDA23" s="414"/>
      <c r="MDB23" s="414"/>
      <c r="MDC23" s="414"/>
      <c r="MDD23" s="414"/>
      <c r="MDE23" s="414"/>
      <c r="MDF23" s="414"/>
      <c r="MDG23" s="414"/>
      <c r="MDH23" s="414"/>
      <c r="MDI23" s="414"/>
      <c r="MDJ23" s="414"/>
      <c r="MDK23" s="414"/>
      <c r="MDL23" s="414"/>
      <c r="MDM23" s="414"/>
      <c r="MDN23" s="414"/>
      <c r="MDO23" s="414"/>
      <c r="MDP23" s="414"/>
      <c r="MDQ23" s="414"/>
      <c r="MDR23" s="414"/>
      <c r="MDS23" s="414"/>
      <c r="MDT23" s="414"/>
      <c r="MDU23" s="414"/>
      <c r="MDV23" s="414"/>
      <c r="MDW23" s="414"/>
      <c r="MDX23" s="414"/>
      <c r="MDY23" s="414"/>
      <c r="MDZ23" s="414"/>
      <c r="MEA23" s="414"/>
      <c r="MEB23" s="414"/>
      <c r="MEC23" s="414"/>
      <c r="MED23" s="414"/>
      <c r="MEE23" s="414"/>
      <c r="MEF23" s="414"/>
      <c r="MEG23" s="414"/>
      <c r="MEH23" s="414"/>
      <c r="MEI23" s="414"/>
      <c r="MEJ23" s="414"/>
      <c r="MEK23" s="414"/>
      <c r="MEL23" s="414"/>
      <c r="MEM23" s="414"/>
      <c r="MEN23" s="414"/>
      <c r="MEO23" s="414"/>
      <c r="MEP23" s="414"/>
      <c r="MEQ23" s="414"/>
      <c r="MER23" s="414"/>
      <c r="MES23" s="414"/>
      <c r="MET23" s="414"/>
      <c r="MEU23" s="414"/>
      <c r="MEV23" s="414"/>
      <c r="MEW23" s="414"/>
      <c r="MEX23" s="414"/>
      <c r="MEY23" s="414"/>
      <c r="MEZ23" s="414"/>
      <c r="MFA23" s="414"/>
      <c r="MFB23" s="414"/>
      <c r="MFC23" s="414"/>
      <c r="MFD23" s="414"/>
      <c r="MFE23" s="414"/>
      <c r="MFF23" s="414"/>
      <c r="MFG23" s="414"/>
      <c r="MFH23" s="414"/>
      <c r="MFI23" s="414"/>
      <c r="MFJ23" s="414"/>
      <c r="MFK23" s="414"/>
      <c r="MFL23" s="414"/>
      <c r="MFM23" s="414"/>
      <c r="MFN23" s="414"/>
      <c r="MFO23" s="414"/>
      <c r="MFP23" s="414"/>
      <c r="MFQ23" s="414"/>
      <c r="MFR23" s="414"/>
      <c r="MFS23" s="414"/>
      <c r="MFT23" s="414"/>
      <c r="MFU23" s="414"/>
      <c r="MFV23" s="414"/>
      <c r="MFW23" s="414"/>
      <c r="MFX23" s="414"/>
      <c r="MFY23" s="414"/>
      <c r="MFZ23" s="414"/>
      <c r="MGA23" s="414"/>
      <c r="MGB23" s="414"/>
      <c r="MGC23" s="414"/>
      <c r="MGD23" s="414"/>
      <c r="MGE23" s="414"/>
      <c r="MGF23" s="414"/>
      <c r="MGG23" s="414"/>
      <c r="MGH23" s="414"/>
      <c r="MGI23" s="414"/>
      <c r="MGJ23" s="414"/>
      <c r="MGK23" s="414"/>
      <c r="MGL23" s="414"/>
      <c r="MGM23" s="414"/>
      <c r="MGN23" s="414"/>
      <c r="MGO23" s="414"/>
      <c r="MGP23" s="414"/>
      <c r="MGQ23" s="414"/>
      <c r="MGR23" s="414"/>
      <c r="MGS23" s="414"/>
      <c r="MGT23" s="414"/>
      <c r="MGU23" s="414"/>
      <c r="MGV23" s="414"/>
      <c r="MGW23" s="414"/>
      <c r="MGX23" s="414"/>
      <c r="MGY23" s="414"/>
      <c r="MGZ23" s="414"/>
      <c r="MHA23" s="414"/>
      <c r="MHB23" s="414"/>
      <c r="MHC23" s="414"/>
      <c r="MHD23" s="414"/>
      <c r="MHE23" s="414"/>
      <c r="MHF23" s="414"/>
      <c r="MHG23" s="414"/>
      <c r="MHH23" s="414"/>
      <c r="MHI23" s="414"/>
      <c r="MHJ23" s="414"/>
      <c r="MHK23" s="414"/>
      <c r="MHL23" s="414"/>
      <c r="MHM23" s="414"/>
      <c r="MHN23" s="414"/>
      <c r="MHO23" s="414"/>
      <c r="MHP23" s="414"/>
      <c r="MHQ23" s="414"/>
      <c r="MHR23" s="414"/>
      <c r="MHS23" s="414"/>
      <c r="MHT23" s="414"/>
      <c r="MHU23" s="414"/>
      <c r="MHV23" s="414"/>
      <c r="MHW23" s="414"/>
      <c r="MHX23" s="414"/>
      <c r="MHY23" s="414"/>
      <c r="MHZ23" s="414"/>
      <c r="MIA23" s="414"/>
      <c r="MIB23" s="414"/>
      <c r="MIC23" s="414"/>
      <c r="MID23" s="414"/>
      <c r="MIE23" s="414"/>
      <c r="MIF23" s="414"/>
      <c r="MIG23" s="414"/>
      <c r="MIH23" s="414"/>
      <c r="MII23" s="414"/>
      <c r="MIJ23" s="414"/>
      <c r="MIK23" s="414"/>
      <c r="MIL23" s="414"/>
      <c r="MIM23" s="414"/>
      <c r="MIN23" s="414"/>
      <c r="MIO23" s="414"/>
      <c r="MIP23" s="414"/>
      <c r="MIQ23" s="414"/>
      <c r="MIR23" s="414"/>
      <c r="MIS23" s="414"/>
      <c r="MIT23" s="414"/>
      <c r="MIU23" s="414"/>
      <c r="MIV23" s="414"/>
      <c r="MIW23" s="414"/>
      <c r="MIX23" s="414"/>
      <c r="MIY23" s="414"/>
      <c r="MIZ23" s="414"/>
      <c r="MJA23" s="414"/>
      <c r="MJB23" s="414"/>
      <c r="MJC23" s="414"/>
      <c r="MJD23" s="414"/>
      <c r="MJE23" s="414"/>
      <c r="MJF23" s="414"/>
      <c r="MJG23" s="414"/>
      <c r="MJH23" s="414"/>
      <c r="MJI23" s="414"/>
      <c r="MJJ23" s="414"/>
      <c r="MJK23" s="414"/>
      <c r="MJL23" s="414"/>
      <c r="MJM23" s="414"/>
      <c r="MJN23" s="414"/>
      <c r="MJO23" s="414"/>
      <c r="MJP23" s="414"/>
      <c r="MJQ23" s="414"/>
      <c r="MJR23" s="414"/>
      <c r="MJS23" s="414"/>
      <c r="MJT23" s="414"/>
      <c r="MJU23" s="414"/>
      <c r="MJV23" s="414"/>
      <c r="MJW23" s="414"/>
      <c r="MJX23" s="414"/>
      <c r="MJY23" s="414"/>
      <c r="MJZ23" s="414"/>
      <c r="MKA23" s="414"/>
      <c r="MKB23" s="414"/>
      <c r="MKC23" s="414"/>
      <c r="MKD23" s="414"/>
      <c r="MKE23" s="414"/>
      <c r="MKF23" s="414"/>
      <c r="MKG23" s="414"/>
      <c r="MKH23" s="414"/>
      <c r="MKI23" s="414"/>
      <c r="MKJ23" s="414"/>
      <c r="MKK23" s="414"/>
      <c r="MKL23" s="414"/>
      <c r="MKM23" s="414"/>
      <c r="MKN23" s="414"/>
      <c r="MKO23" s="414"/>
      <c r="MKP23" s="414"/>
      <c r="MKQ23" s="414"/>
      <c r="MKR23" s="414"/>
      <c r="MKS23" s="414"/>
      <c r="MKT23" s="414"/>
      <c r="MKU23" s="414"/>
      <c r="MKV23" s="414"/>
      <c r="MKW23" s="414"/>
      <c r="MKX23" s="414"/>
      <c r="MKY23" s="414"/>
      <c r="MKZ23" s="414"/>
      <c r="MLA23" s="414"/>
      <c r="MLB23" s="414"/>
      <c r="MLC23" s="414"/>
      <c r="MLD23" s="414"/>
      <c r="MLE23" s="414"/>
      <c r="MLF23" s="414"/>
      <c r="MLG23" s="414"/>
      <c r="MLH23" s="414"/>
      <c r="MLI23" s="414"/>
      <c r="MLJ23" s="414"/>
      <c r="MLK23" s="414"/>
      <c r="MLL23" s="414"/>
      <c r="MLM23" s="414"/>
      <c r="MLN23" s="414"/>
      <c r="MLO23" s="414"/>
      <c r="MLP23" s="414"/>
      <c r="MLQ23" s="414"/>
      <c r="MLR23" s="414"/>
      <c r="MLS23" s="414"/>
      <c r="MLT23" s="414"/>
      <c r="MLU23" s="414"/>
      <c r="MLV23" s="414"/>
      <c r="MLW23" s="414"/>
      <c r="MLX23" s="414"/>
      <c r="MLY23" s="414"/>
      <c r="MLZ23" s="414"/>
      <c r="MMA23" s="414"/>
      <c r="MMB23" s="414"/>
      <c r="MMC23" s="414"/>
      <c r="MMD23" s="414"/>
      <c r="MME23" s="414"/>
      <c r="MMF23" s="414"/>
      <c r="MMG23" s="414"/>
      <c r="MMH23" s="414"/>
      <c r="MMI23" s="414"/>
      <c r="MMJ23" s="414"/>
      <c r="MMK23" s="414"/>
      <c r="MML23" s="414"/>
      <c r="MMM23" s="414"/>
      <c r="MMN23" s="414"/>
      <c r="MMO23" s="414"/>
      <c r="MMP23" s="414"/>
      <c r="MMQ23" s="414"/>
      <c r="MMR23" s="414"/>
      <c r="MMS23" s="414"/>
      <c r="MMT23" s="414"/>
      <c r="MMU23" s="414"/>
      <c r="MMV23" s="414"/>
      <c r="MMW23" s="414"/>
      <c r="MMX23" s="414"/>
      <c r="MMY23" s="414"/>
      <c r="MMZ23" s="414"/>
      <c r="MNA23" s="414"/>
      <c r="MNB23" s="414"/>
      <c r="MNC23" s="414"/>
      <c r="MND23" s="414"/>
      <c r="MNE23" s="414"/>
      <c r="MNF23" s="414"/>
      <c r="MNG23" s="414"/>
      <c r="MNH23" s="414"/>
      <c r="MNI23" s="414"/>
      <c r="MNJ23" s="414"/>
      <c r="MNK23" s="414"/>
      <c r="MNL23" s="414"/>
      <c r="MNM23" s="414"/>
      <c r="MNN23" s="414"/>
      <c r="MNO23" s="414"/>
      <c r="MNP23" s="414"/>
      <c r="MNQ23" s="414"/>
      <c r="MNR23" s="414"/>
      <c r="MNS23" s="414"/>
      <c r="MNT23" s="414"/>
      <c r="MNU23" s="414"/>
      <c r="MNV23" s="414"/>
      <c r="MNW23" s="414"/>
      <c r="MNX23" s="414"/>
      <c r="MNY23" s="414"/>
      <c r="MNZ23" s="414"/>
      <c r="MOA23" s="414"/>
      <c r="MOB23" s="414"/>
      <c r="MOC23" s="414"/>
      <c r="MOD23" s="414"/>
      <c r="MOE23" s="414"/>
      <c r="MOF23" s="414"/>
      <c r="MOG23" s="414"/>
      <c r="MOH23" s="414"/>
      <c r="MOI23" s="414"/>
      <c r="MOJ23" s="414"/>
      <c r="MOK23" s="414"/>
      <c r="MOL23" s="414"/>
      <c r="MOM23" s="414"/>
      <c r="MON23" s="414"/>
      <c r="MOO23" s="414"/>
      <c r="MOP23" s="414"/>
      <c r="MOQ23" s="414"/>
      <c r="MOR23" s="414"/>
      <c r="MOS23" s="414"/>
      <c r="MOT23" s="414"/>
      <c r="MOU23" s="414"/>
      <c r="MOV23" s="414"/>
      <c r="MOW23" s="414"/>
      <c r="MOX23" s="414"/>
      <c r="MOY23" s="414"/>
      <c r="MOZ23" s="414"/>
      <c r="MPA23" s="414"/>
      <c r="MPB23" s="414"/>
      <c r="MPC23" s="414"/>
      <c r="MPD23" s="414"/>
      <c r="MPE23" s="414"/>
      <c r="MPF23" s="414"/>
      <c r="MPG23" s="414"/>
      <c r="MPH23" s="414"/>
      <c r="MPI23" s="414"/>
      <c r="MPJ23" s="414"/>
      <c r="MPK23" s="414"/>
      <c r="MPL23" s="414"/>
      <c r="MPM23" s="414"/>
      <c r="MPN23" s="414"/>
      <c r="MPO23" s="414"/>
      <c r="MPP23" s="414"/>
      <c r="MPQ23" s="414"/>
      <c r="MPR23" s="414"/>
      <c r="MPS23" s="414"/>
      <c r="MPT23" s="414"/>
      <c r="MPU23" s="414"/>
      <c r="MPV23" s="414"/>
      <c r="MPW23" s="414"/>
      <c r="MPX23" s="414"/>
      <c r="MPY23" s="414"/>
      <c r="MPZ23" s="414"/>
      <c r="MQA23" s="414"/>
      <c r="MQB23" s="414"/>
      <c r="MQC23" s="414"/>
      <c r="MQD23" s="414"/>
      <c r="MQE23" s="414"/>
      <c r="MQF23" s="414"/>
      <c r="MQG23" s="414"/>
      <c r="MQH23" s="414"/>
      <c r="MQI23" s="414"/>
      <c r="MQJ23" s="414"/>
      <c r="MQK23" s="414"/>
      <c r="MQL23" s="414"/>
      <c r="MQM23" s="414"/>
      <c r="MQN23" s="414"/>
      <c r="MQO23" s="414"/>
      <c r="MQP23" s="414"/>
      <c r="MQQ23" s="414"/>
      <c r="MQR23" s="414"/>
      <c r="MQS23" s="414"/>
      <c r="MQT23" s="414"/>
      <c r="MQU23" s="414"/>
      <c r="MQV23" s="414"/>
      <c r="MQW23" s="414"/>
      <c r="MQX23" s="414"/>
      <c r="MQY23" s="414"/>
      <c r="MQZ23" s="414"/>
      <c r="MRA23" s="414"/>
      <c r="MRB23" s="414"/>
      <c r="MRC23" s="414"/>
      <c r="MRD23" s="414"/>
      <c r="MRE23" s="414"/>
      <c r="MRF23" s="414"/>
      <c r="MRG23" s="414"/>
      <c r="MRH23" s="414"/>
      <c r="MRI23" s="414"/>
      <c r="MRJ23" s="414"/>
      <c r="MRK23" s="414"/>
      <c r="MRL23" s="414"/>
      <c r="MRM23" s="414"/>
      <c r="MRN23" s="414"/>
      <c r="MRO23" s="414"/>
      <c r="MRP23" s="414"/>
      <c r="MRQ23" s="414"/>
      <c r="MRR23" s="414"/>
      <c r="MRS23" s="414"/>
      <c r="MRT23" s="414"/>
      <c r="MRU23" s="414"/>
      <c r="MRV23" s="414"/>
      <c r="MRW23" s="414"/>
      <c r="MRX23" s="414"/>
      <c r="MRY23" s="414"/>
      <c r="MRZ23" s="414"/>
      <c r="MSA23" s="414"/>
      <c r="MSB23" s="414"/>
      <c r="MSC23" s="414"/>
      <c r="MSD23" s="414"/>
      <c r="MSE23" s="414"/>
      <c r="MSF23" s="414"/>
      <c r="MSG23" s="414"/>
      <c r="MSH23" s="414"/>
      <c r="MSI23" s="414"/>
      <c r="MSJ23" s="414"/>
      <c r="MSK23" s="414"/>
      <c r="MSL23" s="414"/>
      <c r="MSM23" s="414"/>
      <c r="MSN23" s="414"/>
      <c r="MSO23" s="414"/>
      <c r="MSP23" s="414"/>
      <c r="MSQ23" s="414"/>
      <c r="MSR23" s="414"/>
      <c r="MSS23" s="414"/>
      <c r="MST23" s="414"/>
      <c r="MSU23" s="414"/>
      <c r="MSV23" s="414"/>
      <c r="MSW23" s="414"/>
      <c r="MSX23" s="414"/>
      <c r="MSY23" s="414"/>
      <c r="MSZ23" s="414"/>
      <c r="MTA23" s="414"/>
      <c r="MTB23" s="414"/>
      <c r="MTC23" s="414"/>
      <c r="MTD23" s="414"/>
      <c r="MTE23" s="414"/>
      <c r="MTF23" s="414"/>
      <c r="MTG23" s="414"/>
      <c r="MTH23" s="414"/>
      <c r="MTI23" s="414"/>
      <c r="MTJ23" s="414"/>
      <c r="MTK23" s="414"/>
      <c r="MTL23" s="414"/>
      <c r="MTM23" s="414"/>
      <c r="MTN23" s="414"/>
      <c r="MTO23" s="414"/>
      <c r="MTP23" s="414"/>
      <c r="MTQ23" s="414"/>
      <c r="MTR23" s="414"/>
      <c r="MTS23" s="414"/>
      <c r="MTT23" s="414"/>
      <c r="MTU23" s="414"/>
      <c r="MTV23" s="414"/>
      <c r="MTW23" s="414"/>
      <c r="MTX23" s="414"/>
      <c r="MTY23" s="414"/>
      <c r="MTZ23" s="414"/>
      <c r="MUA23" s="414"/>
      <c r="MUB23" s="414"/>
      <c r="MUC23" s="414"/>
      <c r="MUD23" s="414"/>
      <c r="MUE23" s="414"/>
      <c r="MUF23" s="414"/>
      <c r="MUG23" s="414"/>
      <c r="MUH23" s="414"/>
      <c r="MUI23" s="414"/>
      <c r="MUJ23" s="414"/>
      <c r="MUK23" s="414"/>
      <c r="MUL23" s="414"/>
      <c r="MUM23" s="414"/>
      <c r="MUN23" s="414"/>
      <c r="MUO23" s="414"/>
      <c r="MUP23" s="414"/>
      <c r="MUQ23" s="414"/>
      <c r="MUR23" s="414"/>
      <c r="MUS23" s="414"/>
      <c r="MUT23" s="414"/>
      <c r="MUU23" s="414"/>
      <c r="MUV23" s="414"/>
      <c r="MUW23" s="414"/>
      <c r="MUX23" s="414"/>
      <c r="MUY23" s="414"/>
      <c r="MUZ23" s="414"/>
      <c r="MVA23" s="414"/>
      <c r="MVB23" s="414"/>
      <c r="MVC23" s="414"/>
      <c r="MVD23" s="414"/>
      <c r="MVE23" s="414"/>
      <c r="MVF23" s="414"/>
      <c r="MVG23" s="414"/>
      <c r="MVH23" s="414"/>
      <c r="MVI23" s="414"/>
      <c r="MVJ23" s="414"/>
      <c r="MVK23" s="414"/>
      <c r="MVL23" s="414"/>
      <c r="MVM23" s="414"/>
      <c r="MVN23" s="414"/>
      <c r="MVO23" s="414"/>
      <c r="MVP23" s="414"/>
      <c r="MVQ23" s="414"/>
      <c r="MVR23" s="414"/>
      <c r="MVS23" s="414"/>
      <c r="MVT23" s="414"/>
      <c r="MVU23" s="414"/>
      <c r="MVV23" s="414"/>
      <c r="MVW23" s="414"/>
      <c r="MVX23" s="414"/>
      <c r="MVY23" s="414"/>
      <c r="MVZ23" s="414"/>
      <c r="MWA23" s="414"/>
      <c r="MWB23" s="414"/>
      <c r="MWC23" s="414"/>
      <c r="MWD23" s="414"/>
      <c r="MWE23" s="414"/>
      <c r="MWF23" s="414"/>
      <c r="MWG23" s="414"/>
      <c r="MWH23" s="414"/>
      <c r="MWI23" s="414"/>
      <c r="MWJ23" s="414"/>
      <c r="MWK23" s="414"/>
      <c r="MWL23" s="414"/>
      <c r="MWM23" s="414"/>
      <c r="MWN23" s="414"/>
      <c r="MWO23" s="414"/>
      <c r="MWP23" s="414"/>
      <c r="MWQ23" s="414"/>
      <c r="MWR23" s="414"/>
      <c r="MWS23" s="414"/>
      <c r="MWT23" s="414"/>
      <c r="MWU23" s="414"/>
      <c r="MWV23" s="414"/>
      <c r="MWW23" s="414"/>
      <c r="MWX23" s="414"/>
      <c r="MWY23" s="414"/>
      <c r="MWZ23" s="414"/>
      <c r="MXA23" s="414"/>
      <c r="MXB23" s="414"/>
      <c r="MXC23" s="414"/>
      <c r="MXD23" s="414"/>
      <c r="MXE23" s="414"/>
      <c r="MXF23" s="414"/>
      <c r="MXG23" s="414"/>
      <c r="MXH23" s="414"/>
      <c r="MXI23" s="414"/>
      <c r="MXJ23" s="414"/>
      <c r="MXK23" s="414"/>
      <c r="MXL23" s="414"/>
      <c r="MXM23" s="414"/>
      <c r="MXN23" s="414"/>
      <c r="MXO23" s="414"/>
      <c r="MXP23" s="414"/>
      <c r="MXQ23" s="414"/>
      <c r="MXR23" s="414"/>
      <c r="MXS23" s="414"/>
      <c r="MXT23" s="414"/>
      <c r="MXU23" s="414"/>
      <c r="MXV23" s="414"/>
      <c r="MXW23" s="414"/>
      <c r="MXX23" s="414"/>
      <c r="MXY23" s="414"/>
      <c r="MXZ23" s="414"/>
      <c r="MYA23" s="414"/>
      <c r="MYB23" s="414"/>
      <c r="MYC23" s="414"/>
      <c r="MYD23" s="414"/>
      <c r="MYE23" s="414"/>
      <c r="MYF23" s="414"/>
      <c r="MYG23" s="414"/>
      <c r="MYH23" s="414"/>
      <c r="MYI23" s="414"/>
      <c r="MYJ23" s="414"/>
      <c r="MYK23" s="414"/>
      <c r="MYL23" s="414"/>
      <c r="MYM23" s="414"/>
      <c r="MYN23" s="414"/>
      <c r="MYO23" s="414"/>
      <c r="MYP23" s="414"/>
      <c r="MYQ23" s="414"/>
      <c r="MYR23" s="414"/>
      <c r="MYS23" s="414"/>
      <c r="MYT23" s="414"/>
      <c r="MYU23" s="414"/>
      <c r="MYV23" s="414"/>
      <c r="MYW23" s="414"/>
      <c r="MYX23" s="414"/>
      <c r="MYY23" s="414"/>
      <c r="MYZ23" s="414"/>
      <c r="MZA23" s="414"/>
      <c r="MZB23" s="414"/>
      <c r="MZC23" s="414"/>
      <c r="MZD23" s="414"/>
      <c r="MZE23" s="414"/>
      <c r="MZF23" s="414"/>
      <c r="MZG23" s="414"/>
      <c r="MZH23" s="414"/>
      <c r="MZI23" s="414"/>
      <c r="MZJ23" s="414"/>
      <c r="MZK23" s="414"/>
      <c r="MZL23" s="414"/>
      <c r="MZM23" s="414"/>
      <c r="MZN23" s="414"/>
      <c r="MZO23" s="414"/>
      <c r="MZP23" s="414"/>
      <c r="MZQ23" s="414"/>
      <c r="MZR23" s="414"/>
      <c r="MZS23" s="414"/>
      <c r="MZT23" s="414"/>
      <c r="MZU23" s="414"/>
      <c r="MZV23" s="414"/>
      <c r="MZW23" s="414"/>
      <c r="MZX23" s="414"/>
      <c r="MZY23" s="414"/>
      <c r="MZZ23" s="414"/>
      <c r="NAA23" s="414"/>
      <c r="NAB23" s="414"/>
      <c r="NAC23" s="414"/>
      <c r="NAD23" s="414"/>
      <c r="NAE23" s="414"/>
      <c r="NAF23" s="414"/>
      <c r="NAG23" s="414"/>
      <c r="NAH23" s="414"/>
      <c r="NAI23" s="414"/>
      <c r="NAJ23" s="414"/>
      <c r="NAK23" s="414"/>
      <c r="NAL23" s="414"/>
      <c r="NAM23" s="414"/>
      <c r="NAN23" s="414"/>
      <c r="NAO23" s="414"/>
      <c r="NAP23" s="414"/>
      <c r="NAQ23" s="414"/>
      <c r="NAR23" s="414"/>
      <c r="NAS23" s="414"/>
      <c r="NAT23" s="414"/>
      <c r="NAU23" s="414"/>
      <c r="NAV23" s="414"/>
      <c r="NAW23" s="414"/>
      <c r="NAX23" s="414"/>
      <c r="NAY23" s="414"/>
      <c r="NAZ23" s="414"/>
      <c r="NBA23" s="414"/>
      <c r="NBB23" s="414"/>
      <c r="NBC23" s="414"/>
      <c r="NBD23" s="414"/>
      <c r="NBE23" s="414"/>
      <c r="NBF23" s="414"/>
      <c r="NBG23" s="414"/>
      <c r="NBH23" s="414"/>
      <c r="NBI23" s="414"/>
      <c r="NBJ23" s="414"/>
      <c r="NBK23" s="414"/>
      <c r="NBL23" s="414"/>
      <c r="NBM23" s="414"/>
      <c r="NBN23" s="414"/>
      <c r="NBO23" s="414"/>
      <c r="NBP23" s="414"/>
      <c r="NBQ23" s="414"/>
      <c r="NBR23" s="414"/>
      <c r="NBS23" s="414"/>
      <c r="NBT23" s="414"/>
      <c r="NBU23" s="414"/>
      <c r="NBV23" s="414"/>
      <c r="NBW23" s="414"/>
      <c r="NBX23" s="414"/>
      <c r="NBY23" s="414"/>
      <c r="NBZ23" s="414"/>
      <c r="NCA23" s="414"/>
      <c r="NCB23" s="414"/>
      <c r="NCC23" s="414"/>
      <c r="NCD23" s="414"/>
      <c r="NCE23" s="414"/>
      <c r="NCF23" s="414"/>
      <c r="NCG23" s="414"/>
      <c r="NCH23" s="414"/>
      <c r="NCI23" s="414"/>
      <c r="NCJ23" s="414"/>
      <c r="NCK23" s="414"/>
      <c r="NCL23" s="414"/>
      <c r="NCM23" s="414"/>
      <c r="NCN23" s="414"/>
      <c r="NCO23" s="414"/>
      <c r="NCP23" s="414"/>
      <c r="NCQ23" s="414"/>
      <c r="NCR23" s="414"/>
      <c r="NCS23" s="414"/>
      <c r="NCT23" s="414"/>
      <c r="NCU23" s="414"/>
      <c r="NCV23" s="414"/>
      <c r="NCW23" s="414"/>
      <c r="NCX23" s="414"/>
      <c r="NCY23" s="414"/>
      <c r="NCZ23" s="414"/>
      <c r="NDA23" s="414"/>
      <c r="NDB23" s="414"/>
      <c r="NDC23" s="414"/>
      <c r="NDD23" s="414"/>
      <c r="NDE23" s="414"/>
      <c r="NDF23" s="414"/>
      <c r="NDG23" s="414"/>
      <c r="NDH23" s="414"/>
      <c r="NDI23" s="414"/>
      <c r="NDJ23" s="414"/>
      <c r="NDK23" s="414"/>
      <c r="NDL23" s="414"/>
      <c r="NDM23" s="414"/>
      <c r="NDN23" s="414"/>
      <c r="NDO23" s="414"/>
      <c r="NDP23" s="414"/>
      <c r="NDQ23" s="414"/>
      <c r="NDR23" s="414"/>
      <c r="NDS23" s="414"/>
      <c r="NDT23" s="414"/>
      <c r="NDU23" s="414"/>
      <c r="NDV23" s="414"/>
      <c r="NDW23" s="414"/>
      <c r="NDX23" s="414"/>
      <c r="NDY23" s="414"/>
      <c r="NDZ23" s="414"/>
      <c r="NEA23" s="414"/>
      <c r="NEB23" s="414"/>
      <c r="NEC23" s="414"/>
      <c r="NED23" s="414"/>
      <c r="NEE23" s="414"/>
      <c r="NEF23" s="414"/>
      <c r="NEG23" s="414"/>
      <c r="NEH23" s="414"/>
      <c r="NEI23" s="414"/>
      <c r="NEJ23" s="414"/>
      <c r="NEK23" s="414"/>
      <c r="NEL23" s="414"/>
      <c r="NEM23" s="414"/>
      <c r="NEN23" s="414"/>
      <c r="NEO23" s="414"/>
      <c r="NEP23" s="414"/>
      <c r="NEQ23" s="414"/>
      <c r="NER23" s="414"/>
      <c r="NES23" s="414"/>
      <c r="NET23" s="414"/>
      <c r="NEU23" s="414"/>
      <c r="NEV23" s="414"/>
      <c r="NEW23" s="414"/>
      <c r="NEX23" s="414"/>
      <c r="NEY23" s="414"/>
      <c r="NEZ23" s="414"/>
      <c r="NFA23" s="414"/>
      <c r="NFB23" s="414"/>
      <c r="NFC23" s="414"/>
      <c r="NFD23" s="414"/>
      <c r="NFE23" s="414"/>
      <c r="NFF23" s="414"/>
      <c r="NFG23" s="414"/>
      <c r="NFH23" s="414"/>
      <c r="NFI23" s="414"/>
      <c r="NFJ23" s="414"/>
      <c r="NFK23" s="414"/>
      <c r="NFL23" s="414"/>
      <c r="NFM23" s="414"/>
      <c r="NFN23" s="414"/>
      <c r="NFO23" s="414"/>
      <c r="NFP23" s="414"/>
      <c r="NFQ23" s="414"/>
      <c r="NFR23" s="414"/>
      <c r="NFS23" s="414"/>
      <c r="NFT23" s="414"/>
      <c r="NFU23" s="414"/>
      <c r="NFV23" s="414"/>
      <c r="NFW23" s="414"/>
      <c r="NFX23" s="414"/>
      <c r="NFY23" s="414"/>
      <c r="NFZ23" s="414"/>
      <c r="NGA23" s="414"/>
      <c r="NGB23" s="414"/>
      <c r="NGC23" s="414"/>
      <c r="NGD23" s="414"/>
      <c r="NGE23" s="414"/>
      <c r="NGF23" s="414"/>
      <c r="NGG23" s="414"/>
      <c r="NGH23" s="414"/>
      <c r="NGI23" s="414"/>
      <c r="NGJ23" s="414"/>
      <c r="NGK23" s="414"/>
      <c r="NGL23" s="414"/>
      <c r="NGM23" s="414"/>
      <c r="NGN23" s="414"/>
      <c r="NGO23" s="414"/>
      <c r="NGP23" s="414"/>
      <c r="NGQ23" s="414"/>
      <c r="NGR23" s="414"/>
      <c r="NGS23" s="414"/>
      <c r="NGT23" s="414"/>
      <c r="NGU23" s="414"/>
      <c r="NGV23" s="414"/>
      <c r="NGW23" s="414"/>
      <c r="NGX23" s="414"/>
      <c r="NGY23" s="414"/>
      <c r="NGZ23" s="414"/>
      <c r="NHA23" s="414"/>
      <c r="NHB23" s="414"/>
      <c r="NHC23" s="414"/>
      <c r="NHD23" s="414"/>
      <c r="NHE23" s="414"/>
      <c r="NHF23" s="414"/>
      <c r="NHG23" s="414"/>
      <c r="NHH23" s="414"/>
      <c r="NHI23" s="414"/>
      <c r="NHJ23" s="414"/>
      <c r="NHK23" s="414"/>
      <c r="NHL23" s="414"/>
      <c r="NHM23" s="414"/>
      <c r="NHN23" s="414"/>
      <c r="NHO23" s="414"/>
      <c r="NHP23" s="414"/>
      <c r="NHQ23" s="414"/>
      <c r="NHR23" s="414"/>
      <c r="NHS23" s="414"/>
      <c r="NHT23" s="414"/>
      <c r="NHU23" s="414"/>
      <c r="NHV23" s="414"/>
      <c r="NHW23" s="414"/>
      <c r="NHX23" s="414"/>
      <c r="NHY23" s="414"/>
      <c r="NHZ23" s="414"/>
      <c r="NIA23" s="414"/>
      <c r="NIB23" s="414"/>
      <c r="NIC23" s="414"/>
      <c r="NID23" s="414"/>
      <c r="NIE23" s="414"/>
      <c r="NIF23" s="414"/>
      <c r="NIG23" s="414"/>
      <c r="NIH23" s="414"/>
      <c r="NII23" s="414"/>
      <c r="NIJ23" s="414"/>
      <c r="NIK23" s="414"/>
      <c r="NIL23" s="414"/>
      <c r="NIM23" s="414"/>
      <c r="NIN23" s="414"/>
      <c r="NIO23" s="414"/>
      <c r="NIP23" s="414"/>
      <c r="NIQ23" s="414"/>
      <c r="NIR23" s="414"/>
      <c r="NIS23" s="414"/>
      <c r="NIT23" s="414"/>
      <c r="NIU23" s="414"/>
      <c r="NIV23" s="414"/>
      <c r="NIW23" s="414"/>
      <c r="NIX23" s="414"/>
      <c r="NIY23" s="414"/>
      <c r="NIZ23" s="414"/>
      <c r="NJA23" s="414"/>
      <c r="NJB23" s="414"/>
      <c r="NJC23" s="414"/>
      <c r="NJD23" s="414"/>
      <c r="NJE23" s="414"/>
      <c r="NJF23" s="414"/>
      <c r="NJG23" s="414"/>
      <c r="NJH23" s="414"/>
      <c r="NJI23" s="414"/>
      <c r="NJJ23" s="414"/>
      <c r="NJK23" s="414"/>
      <c r="NJL23" s="414"/>
      <c r="NJM23" s="414"/>
      <c r="NJN23" s="414"/>
      <c r="NJO23" s="414"/>
      <c r="NJP23" s="414"/>
      <c r="NJQ23" s="414"/>
      <c r="NJR23" s="414"/>
      <c r="NJS23" s="414"/>
      <c r="NJT23" s="414"/>
      <c r="NJU23" s="414"/>
      <c r="NJV23" s="414"/>
      <c r="NJW23" s="414"/>
      <c r="NJX23" s="414"/>
      <c r="NJY23" s="414"/>
      <c r="NJZ23" s="414"/>
      <c r="NKA23" s="414"/>
      <c r="NKB23" s="414"/>
      <c r="NKC23" s="414"/>
      <c r="NKD23" s="414"/>
      <c r="NKE23" s="414"/>
      <c r="NKF23" s="414"/>
      <c r="NKG23" s="414"/>
      <c r="NKH23" s="414"/>
      <c r="NKI23" s="414"/>
      <c r="NKJ23" s="414"/>
      <c r="NKK23" s="414"/>
      <c r="NKL23" s="414"/>
      <c r="NKM23" s="414"/>
      <c r="NKN23" s="414"/>
      <c r="NKO23" s="414"/>
      <c r="NKP23" s="414"/>
      <c r="NKQ23" s="414"/>
      <c r="NKR23" s="414"/>
      <c r="NKS23" s="414"/>
      <c r="NKT23" s="414"/>
      <c r="NKU23" s="414"/>
      <c r="NKV23" s="414"/>
      <c r="NKW23" s="414"/>
      <c r="NKX23" s="414"/>
      <c r="NKY23" s="414"/>
      <c r="NKZ23" s="414"/>
      <c r="NLA23" s="414"/>
      <c r="NLB23" s="414"/>
      <c r="NLC23" s="414"/>
      <c r="NLD23" s="414"/>
      <c r="NLE23" s="414"/>
      <c r="NLF23" s="414"/>
      <c r="NLG23" s="414"/>
      <c r="NLH23" s="414"/>
      <c r="NLI23" s="414"/>
      <c r="NLJ23" s="414"/>
      <c r="NLK23" s="414"/>
      <c r="NLL23" s="414"/>
      <c r="NLM23" s="414"/>
      <c r="NLN23" s="414"/>
      <c r="NLO23" s="414"/>
      <c r="NLP23" s="414"/>
      <c r="NLQ23" s="414"/>
      <c r="NLR23" s="414"/>
      <c r="NLS23" s="414"/>
      <c r="NLT23" s="414"/>
      <c r="NLU23" s="414"/>
      <c r="NLV23" s="414"/>
      <c r="NLW23" s="414"/>
      <c r="NLX23" s="414"/>
      <c r="NLY23" s="414"/>
      <c r="NLZ23" s="414"/>
      <c r="NMA23" s="414"/>
      <c r="NMB23" s="414"/>
      <c r="NMC23" s="414"/>
      <c r="NMD23" s="414"/>
      <c r="NME23" s="414"/>
      <c r="NMF23" s="414"/>
      <c r="NMG23" s="414"/>
      <c r="NMH23" s="414"/>
      <c r="NMI23" s="414"/>
      <c r="NMJ23" s="414"/>
      <c r="NMK23" s="414"/>
      <c r="NML23" s="414"/>
      <c r="NMM23" s="414"/>
      <c r="NMN23" s="414"/>
      <c r="NMO23" s="414"/>
      <c r="NMP23" s="414"/>
      <c r="NMQ23" s="414"/>
      <c r="NMR23" s="414"/>
      <c r="NMS23" s="414"/>
      <c r="NMT23" s="414"/>
      <c r="NMU23" s="414"/>
      <c r="NMV23" s="414"/>
      <c r="NMW23" s="414"/>
      <c r="NMX23" s="414"/>
      <c r="NMY23" s="414"/>
      <c r="NMZ23" s="414"/>
      <c r="NNA23" s="414"/>
      <c r="NNB23" s="414"/>
      <c r="NNC23" s="414"/>
      <c r="NND23" s="414"/>
      <c r="NNE23" s="414"/>
      <c r="NNF23" s="414"/>
      <c r="NNG23" s="414"/>
      <c r="NNH23" s="414"/>
      <c r="NNI23" s="414"/>
      <c r="NNJ23" s="414"/>
      <c r="NNK23" s="414"/>
      <c r="NNL23" s="414"/>
      <c r="NNM23" s="414"/>
      <c r="NNN23" s="414"/>
      <c r="NNO23" s="414"/>
      <c r="NNP23" s="414"/>
      <c r="NNQ23" s="414"/>
      <c r="NNR23" s="414"/>
      <c r="NNS23" s="414"/>
      <c r="NNT23" s="414"/>
      <c r="NNU23" s="414"/>
      <c r="NNV23" s="414"/>
      <c r="NNW23" s="414"/>
      <c r="NNX23" s="414"/>
      <c r="NNY23" s="414"/>
      <c r="NNZ23" s="414"/>
      <c r="NOA23" s="414"/>
      <c r="NOB23" s="414"/>
      <c r="NOC23" s="414"/>
      <c r="NOD23" s="414"/>
      <c r="NOE23" s="414"/>
      <c r="NOF23" s="414"/>
      <c r="NOG23" s="414"/>
      <c r="NOH23" s="414"/>
      <c r="NOI23" s="414"/>
      <c r="NOJ23" s="414"/>
      <c r="NOK23" s="414"/>
      <c r="NOL23" s="414"/>
      <c r="NOM23" s="414"/>
      <c r="NON23" s="414"/>
      <c r="NOO23" s="414"/>
      <c r="NOP23" s="414"/>
      <c r="NOQ23" s="414"/>
      <c r="NOR23" s="414"/>
      <c r="NOS23" s="414"/>
      <c r="NOT23" s="414"/>
      <c r="NOU23" s="414"/>
      <c r="NOV23" s="414"/>
      <c r="NOW23" s="414"/>
      <c r="NOX23" s="414"/>
      <c r="NOY23" s="414"/>
      <c r="NOZ23" s="414"/>
      <c r="NPA23" s="414"/>
      <c r="NPB23" s="414"/>
      <c r="NPC23" s="414"/>
      <c r="NPD23" s="414"/>
      <c r="NPE23" s="414"/>
      <c r="NPF23" s="414"/>
      <c r="NPG23" s="414"/>
      <c r="NPH23" s="414"/>
      <c r="NPI23" s="414"/>
      <c r="NPJ23" s="414"/>
      <c r="NPK23" s="414"/>
      <c r="NPL23" s="414"/>
      <c r="NPM23" s="414"/>
      <c r="NPN23" s="414"/>
      <c r="NPO23" s="414"/>
      <c r="NPP23" s="414"/>
      <c r="NPQ23" s="414"/>
      <c r="NPR23" s="414"/>
      <c r="NPS23" s="414"/>
      <c r="NPT23" s="414"/>
      <c r="NPU23" s="414"/>
      <c r="NPV23" s="414"/>
      <c r="NPW23" s="414"/>
      <c r="NPX23" s="414"/>
      <c r="NPY23" s="414"/>
      <c r="NPZ23" s="414"/>
      <c r="NQA23" s="414"/>
      <c r="NQB23" s="414"/>
      <c r="NQC23" s="414"/>
      <c r="NQD23" s="414"/>
      <c r="NQE23" s="414"/>
      <c r="NQF23" s="414"/>
      <c r="NQG23" s="414"/>
      <c r="NQH23" s="414"/>
      <c r="NQI23" s="414"/>
      <c r="NQJ23" s="414"/>
      <c r="NQK23" s="414"/>
      <c r="NQL23" s="414"/>
      <c r="NQM23" s="414"/>
      <c r="NQN23" s="414"/>
      <c r="NQO23" s="414"/>
      <c r="NQP23" s="414"/>
      <c r="NQQ23" s="414"/>
      <c r="NQR23" s="414"/>
      <c r="NQS23" s="414"/>
      <c r="NQT23" s="414"/>
      <c r="NQU23" s="414"/>
      <c r="NQV23" s="414"/>
      <c r="NQW23" s="414"/>
      <c r="NQX23" s="414"/>
      <c r="NQY23" s="414"/>
      <c r="NQZ23" s="414"/>
      <c r="NRA23" s="414"/>
      <c r="NRB23" s="414"/>
      <c r="NRC23" s="414"/>
      <c r="NRD23" s="414"/>
      <c r="NRE23" s="414"/>
      <c r="NRF23" s="414"/>
      <c r="NRG23" s="414"/>
      <c r="NRH23" s="414"/>
      <c r="NRI23" s="414"/>
      <c r="NRJ23" s="414"/>
      <c r="NRK23" s="414"/>
      <c r="NRL23" s="414"/>
      <c r="NRM23" s="414"/>
      <c r="NRN23" s="414"/>
      <c r="NRO23" s="414"/>
      <c r="NRP23" s="414"/>
      <c r="NRQ23" s="414"/>
      <c r="NRR23" s="414"/>
      <c r="NRS23" s="414"/>
      <c r="NRT23" s="414"/>
      <c r="NRU23" s="414"/>
      <c r="NRV23" s="414"/>
      <c r="NRW23" s="414"/>
      <c r="NRX23" s="414"/>
      <c r="NRY23" s="414"/>
      <c r="NRZ23" s="414"/>
      <c r="NSA23" s="414"/>
      <c r="NSB23" s="414"/>
      <c r="NSC23" s="414"/>
      <c r="NSD23" s="414"/>
      <c r="NSE23" s="414"/>
      <c r="NSF23" s="414"/>
      <c r="NSG23" s="414"/>
      <c r="NSH23" s="414"/>
      <c r="NSI23" s="414"/>
      <c r="NSJ23" s="414"/>
      <c r="NSK23" s="414"/>
      <c r="NSL23" s="414"/>
      <c r="NSM23" s="414"/>
      <c r="NSN23" s="414"/>
      <c r="NSO23" s="414"/>
      <c r="NSP23" s="414"/>
      <c r="NSQ23" s="414"/>
      <c r="NSR23" s="414"/>
      <c r="NSS23" s="414"/>
      <c r="NST23" s="414"/>
      <c r="NSU23" s="414"/>
      <c r="NSV23" s="414"/>
      <c r="NSW23" s="414"/>
      <c r="NSX23" s="414"/>
      <c r="NSY23" s="414"/>
      <c r="NSZ23" s="414"/>
      <c r="NTA23" s="414"/>
      <c r="NTB23" s="414"/>
      <c r="NTC23" s="414"/>
      <c r="NTD23" s="414"/>
      <c r="NTE23" s="414"/>
      <c r="NTF23" s="414"/>
      <c r="NTG23" s="414"/>
      <c r="NTH23" s="414"/>
      <c r="NTI23" s="414"/>
      <c r="NTJ23" s="414"/>
      <c r="NTK23" s="414"/>
      <c r="NTL23" s="414"/>
      <c r="NTM23" s="414"/>
      <c r="NTN23" s="414"/>
      <c r="NTO23" s="414"/>
      <c r="NTP23" s="414"/>
      <c r="NTQ23" s="414"/>
      <c r="NTR23" s="414"/>
      <c r="NTS23" s="414"/>
      <c r="NTT23" s="414"/>
      <c r="NTU23" s="414"/>
      <c r="NTV23" s="414"/>
      <c r="NTW23" s="414"/>
      <c r="NTX23" s="414"/>
      <c r="NTY23" s="414"/>
      <c r="NTZ23" s="414"/>
      <c r="NUA23" s="414"/>
      <c r="NUB23" s="414"/>
      <c r="NUC23" s="414"/>
      <c r="NUD23" s="414"/>
      <c r="NUE23" s="414"/>
      <c r="NUF23" s="414"/>
      <c r="NUG23" s="414"/>
      <c r="NUH23" s="414"/>
      <c r="NUI23" s="414"/>
      <c r="NUJ23" s="414"/>
      <c r="NUK23" s="414"/>
      <c r="NUL23" s="414"/>
      <c r="NUM23" s="414"/>
      <c r="NUN23" s="414"/>
      <c r="NUO23" s="414"/>
      <c r="NUP23" s="414"/>
      <c r="NUQ23" s="414"/>
      <c r="NUR23" s="414"/>
      <c r="NUS23" s="414"/>
      <c r="NUT23" s="414"/>
      <c r="NUU23" s="414"/>
      <c r="NUV23" s="414"/>
      <c r="NUW23" s="414"/>
      <c r="NUX23" s="414"/>
      <c r="NUY23" s="414"/>
      <c r="NUZ23" s="414"/>
      <c r="NVA23" s="414"/>
      <c r="NVB23" s="414"/>
      <c r="NVC23" s="414"/>
      <c r="NVD23" s="414"/>
      <c r="NVE23" s="414"/>
      <c r="NVF23" s="414"/>
      <c r="NVG23" s="414"/>
      <c r="NVH23" s="414"/>
      <c r="NVI23" s="414"/>
      <c r="NVJ23" s="414"/>
      <c r="NVK23" s="414"/>
      <c r="NVL23" s="414"/>
      <c r="NVM23" s="414"/>
      <c r="NVN23" s="414"/>
      <c r="NVO23" s="414"/>
      <c r="NVP23" s="414"/>
      <c r="NVQ23" s="414"/>
      <c r="NVR23" s="414"/>
      <c r="NVS23" s="414"/>
      <c r="NVT23" s="414"/>
      <c r="NVU23" s="414"/>
      <c r="NVV23" s="414"/>
      <c r="NVW23" s="414"/>
      <c r="NVX23" s="414"/>
      <c r="NVY23" s="414"/>
      <c r="NVZ23" s="414"/>
      <c r="NWA23" s="414"/>
      <c r="NWB23" s="414"/>
      <c r="NWC23" s="414"/>
      <c r="NWD23" s="414"/>
      <c r="NWE23" s="414"/>
      <c r="NWF23" s="414"/>
      <c r="NWG23" s="414"/>
      <c r="NWH23" s="414"/>
      <c r="NWI23" s="414"/>
      <c r="NWJ23" s="414"/>
      <c r="NWK23" s="414"/>
      <c r="NWL23" s="414"/>
      <c r="NWM23" s="414"/>
      <c r="NWN23" s="414"/>
      <c r="NWO23" s="414"/>
      <c r="NWP23" s="414"/>
      <c r="NWQ23" s="414"/>
      <c r="NWR23" s="414"/>
      <c r="NWS23" s="414"/>
      <c r="NWT23" s="414"/>
      <c r="NWU23" s="414"/>
      <c r="NWV23" s="414"/>
      <c r="NWW23" s="414"/>
      <c r="NWX23" s="414"/>
      <c r="NWY23" s="414"/>
      <c r="NWZ23" s="414"/>
      <c r="NXA23" s="414"/>
      <c r="NXB23" s="414"/>
      <c r="NXC23" s="414"/>
      <c r="NXD23" s="414"/>
      <c r="NXE23" s="414"/>
      <c r="NXF23" s="414"/>
      <c r="NXG23" s="414"/>
      <c r="NXH23" s="414"/>
      <c r="NXI23" s="414"/>
      <c r="NXJ23" s="414"/>
      <c r="NXK23" s="414"/>
      <c r="NXL23" s="414"/>
      <c r="NXM23" s="414"/>
      <c r="NXN23" s="414"/>
      <c r="NXO23" s="414"/>
      <c r="NXP23" s="414"/>
      <c r="NXQ23" s="414"/>
      <c r="NXR23" s="414"/>
      <c r="NXS23" s="414"/>
      <c r="NXT23" s="414"/>
      <c r="NXU23" s="414"/>
      <c r="NXV23" s="414"/>
      <c r="NXW23" s="414"/>
      <c r="NXX23" s="414"/>
      <c r="NXY23" s="414"/>
      <c r="NXZ23" s="414"/>
      <c r="NYA23" s="414"/>
      <c r="NYB23" s="414"/>
      <c r="NYC23" s="414"/>
      <c r="NYD23" s="414"/>
      <c r="NYE23" s="414"/>
      <c r="NYF23" s="414"/>
      <c r="NYG23" s="414"/>
      <c r="NYH23" s="414"/>
      <c r="NYI23" s="414"/>
      <c r="NYJ23" s="414"/>
      <c r="NYK23" s="414"/>
      <c r="NYL23" s="414"/>
      <c r="NYM23" s="414"/>
      <c r="NYN23" s="414"/>
      <c r="NYO23" s="414"/>
      <c r="NYP23" s="414"/>
      <c r="NYQ23" s="414"/>
      <c r="NYR23" s="414"/>
      <c r="NYS23" s="414"/>
      <c r="NYT23" s="414"/>
      <c r="NYU23" s="414"/>
      <c r="NYV23" s="414"/>
      <c r="NYW23" s="414"/>
      <c r="NYX23" s="414"/>
      <c r="NYY23" s="414"/>
      <c r="NYZ23" s="414"/>
      <c r="NZA23" s="414"/>
      <c r="NZB23" s="414"/>
      <c r="NZC23" s="414"/>
      <c r="NZD23" s="414"/>
      <c r="NZE23" s="414"/>
      <c r="NZF23" s="414"/>
      <c r="NZG23" s="414"/>
      <c r="NZH23" s="414"/>
      <c r="NZI23" s="414"/>
      <c r="NZJ23" s="414"/>
      <c r="NZK23" s="414"/>
      <c r="NZL23" s="414"/>
      <c r="NZM23" s="414"/>
      <c r="NZN23" s="414"/>
      <c r="NZO23" s="414"/>
      <c r="NZP23" s="414"/>
      <c r="NZQ23" s="414"/>
      <c r="NZR23" s="414"/>
      <c r="NZS23" s="414"/>
      <c r="NZT23" s="414"/>
      <c r="NZU23" s="414"/>
      <c r="NZV23" s="414"/>
      <c r="NZW23" s="414"/>
      <c r="NZX23" s="414"/>
      <c r="NZY23" s="414"/>
      <c r="NZZ23" s="414"/>
      <c r="OAA23" s="414"/>
      <c r="OAB23" s="414"/>
      <c r="OAC23" s="414"/>
      <c r="OAD23" s="414"/>
      <c r="OAE23" s="414"/>
      <c r="OAF23" s="414"/>
      <c r="OAG23" s="414"/>
      <c r="OAH23" s="414"/>
      <c r="OAI23" s="414"/>
      <c r="OAJ23" s="414"/>
      <c r="OAK23" s="414"/>
      <c r="OAL23" s="414"/>
      <c r="OAM23" s="414"/>
      <c r="OAN23" s="414"/>
      <c r="OAO23" s="414"/>
      <c r="OAP23" s="414"/>
      <c r="OAQ23" s="414"/>
      <c r="OAR23" s="414"/>
      <c r="OAS23" s="414"/>
      <c r="OAT23" s="414"/>
      <c r="OAU23" s="414"/>
      <c r="OAV23" s="414"/>
      <c r="OAW23" s="414"/>
      <c r="OAX23" s="414"/>
      <c r="OAY23" s="414"/>
      <c r="OAZ23" s="414"/>
      <c r="OBA23" s="414"/>
      <c r="OBB23" s="414"/>
      <c r="OBC23" s="414"/>
      <c r="OBD23" s="414"/>
      <c r="OBE23" s="414"/>
      <c r="OBF23" s="414"/>
      <c r="OBG23" s="414"/>
      <c r="OBH23" s="414"/>
      <c r="OBI23" s="414"/>
      <c r="OBJ23" s="414"/>
      <c r="OBK23" s="414"/>
      <c r="OBL23" s="414"/>
      <c r="OBM23" s="414"/>
      <c r="OBN23" s="414"/>
      <c r="OBO23" s="414"/>
      <c r="OBP23" s="414"/>
      <c r="OBQ23" s="414"/>
      <c r="OBR23" s="414"/>
      <c r="OBS23" s="414"/>
      <c r="OBT23" s="414"/>
      <c r="OBU23" s="414"/>
      <c r="OBV23" s="414"/>
      <c r="OBW23" s="414"/>
      <c r="OBX23" s="414"/>
      <c r="OBY23" s="414"/>
      <c r="OBZ23" s="414"/>
      <c r="OCA23" s="414"/>
      <c r="OCB23" s="414"/>
      <c r="OCC23" s="414"/>
      <c r="OCD23" s="414"/>
      <c r="OCE23" s="414"/>
      <c r="OCF23" s="414"/>
      <c r="OCG23" s="414"/>
      <c r="OCH23" s="414"/>
      <c r="OCI23" s="414"/>
      <c r="OCJ23" s="414"/>
      <c r="OCK23" s="414"/>
      <c r="OCL23" s="414"/>
      <c r="OCM23" s="414"/>
      <c r="OCN23" s="414"/>
      <c r="OCO23" s="414"/>
      <c r="OCP23" s="414"/>
      <c r="OCQ23" s="414"/>
      <c r="OCR23" s="414"/>
      <c r="OCS23" s="414"/>
      <c r="OCT23" s="414"/>
      <c r="OCU23" s="414"/>
      <c r="OCV23" s="414"/>
      <c r="OCW23" s="414"/>
      <c r="OCX23" s="414"/>
      <c r="OCY23" s="414"/>
      <c r="OCZ23" s="414"/>
      <c r="ODA23" s="414"/>
      <c r="ODB23" s="414"/>
      <c r="ODC23" s="414"/>
      <c r="ODD23" s="414"/>
      <c r="ODE23" s="414"/>
      <c r="ODF23" s="414"/>
      <c r="ODG23" s="414"/>
      <c r="ODH23" s="414"/>
      <c r="ODI23" s="414"/>
      <c r="ODJ23" s="414"/>
      <c r="ODK23" s="414"/>
      <c r="ODL23" s="414"/>
      <c r="ODM23" s="414"/>
      <c r="ODN23" s="414"/>
      <c r="ODO23" s="414"/>
      <c r="ODP23" s="414"/>
      <c r="ODQ23" s="414"/>
      <c r="ODR23" s="414"/>
      <c r="ODS23" s="414"/>
      <c r="ODT23" s="414"/>
      <c r="ODU23" s="414"/>
      <c r="ODV23" s="414"/>
      <c r="ODW23" s="414"/>
      <c r="ODX23" s="414"/>
      <c r="ODY23" s="414"/>
      <c r="ODZ23" s="414"/>
      <c r="OEA23" s="414"/>
      <c r="OEB23" s="414"/>
      <c r="OEC23" s="414"/>
      <c r="OED23" s="414"/>
      <c r="OEE23" s="414"/>
      <c r="OEF23" s="414"/>
      <c r="OEG23" s="414"/>
      <c r="OEH23" s="414"/>
      <c r="OEI23" s="414"/>
      <c r="OEJ23" s="414"/>
      <c r="OEK23" s="414"/>
      <c r="OEL23" s="414"/>
      <c r="OEM23" s="414"/>
      <c r="OEN23" s="414"/>
      <c r="OEO23" s="414"/>
      <c r="OEP23" s="414"/>
      <c r="OEQ23" s="414"/>
      <c r="OER23" s="414"/>
      <c r="OES23" s="414"/>
      <c r="OET23" s="414"/>
      <c r="OEU23" s="414"/>
      <c r="OEV23" s="414"/>
      <c r="OEW23" s="414"/>
      <c r="OEX23" s="414"/>
      <c r="OEY23" s="414"/>
      <c r="OEZ23" s="414"/>
      <c r="OFA23" s="414"/>
      <c r="OFB23" s="414"/>
      <c r="OFC23" s="414"/>
      <c r="OFD23" s="414"/>
      <c r="OFE23" s="414"/>
      <c r="OFF23" s="414"/>
      <c r="OFG23" s="414"/>
      <c r="OFH23" s="414"/>
      <c r="OFI23" s="414"/>
      <c r="OFJ23" s="414"/>
      <c r="OFK23" s="414"/>
      <c r="OFL23" s="414"/>
      <c r="OFM23" s="414"/>
      <c r="OFN23" s="414"/>
      <c r="OFO23" s="414"/>
      <c r="OFP23" s="414"/>
      <c r="OFQ23" s="414"/>
      <c r="OFR23" s="414"/>
      <c r="OFS23" s="414"/>
      <c r="OFT23" s="414"/>
      <c r="OFU23" s="414"/>
      <c r="OFV23" s="414"/>
      <c r="OFW23" s="414"/>
      <c r="OFX23" s="414"/>
      <c r="OFY23" s="414"/>
      <c r="OFZ23" s="414"/>
      <c r="OGA23" s="414"/>
      <c r="OGB23" s="414"/>
      <c r="OGC23" s="414"/>
      <c r="OGD23" s="414"/>
      <c r="OGE23" s="414"/>
      <c r="OGF23" s="414"/>
      <c r="OGG23" s="414"/>
      <c r="OGH23" s="414"/>
      <c r="OGI23" s="414"/>
      <c r="OGJ23" s="414"/>
      <c r="OGK23" s="414"/>
      <c r="OGL23" s="414"/>
      <c r="OGM23" s="414"/>
      <c r="OGN23" s="414"/>
      <c r="OGO23" s="414"/>
      <c r="OGP23" s="414"/>
      <c r="OGQ23" s="414"/>
      <c r="OGR23" s="414"/>
      <c r="OGS23" s="414"/>
      <c r="OGT23" s="414"/>
      <c r="OGU23" s="414"/>
      <c r="OGV23" s="414"/>
      <c r="OGW23" s="414"/>
      <c r="OGX23" s="414"/>
      <c r="OGY23" s="414"/>
      <c r="OGZ23" s="414"/>
      <c r="OHA23" s="414"/>
      <c r="OHB23" s="414"/>
      <c r="OHC23" s="414"/>
      <c r="OHD23" s="414"/>
      <c r="OHE23" s="414"/>
      <c r="OHF23" s="414"/>
      <c r="OHG23" s="414"/>
      <c r="OHH23" s="414"/>
      <c r="OHI23" s="414"/>
      <c r="OHJ23" s="414"/>
      <c r="OHK23" s="414"/>
      <c r="OHL23" s="414"/>
      <c r="OHM23" s="414"/>
      <c r="OHN23" s="414"/>
      <c r="OHO23" s="414"/>
      <c r="OHP23" s="414"/>
      <c r="OHQ23" s="414"/>
      <c r="OHR23" s="414"/>
      <c r="OHS23" s="414"/>
      <c r="OHT23" s="414"/>
      <c r="OHU23" s="414"/>
      <c r="OHV23" s="414"/>
      <c r="OHW23" s="414"/>
      <c r="OHX23" s="414"/>
      <c r="OHY23" s="414"/>
      <c r="OHZ23" s="414"/>
      <c r="OIA23" s="414"/>
      <c r="OIB23" s="414"/>
      <c r="OIC23" s="414"/>
      <c r="OID23" s="414"/>
      <c r="OIE23" s="414"/>
      <c r="OIF23" s="414"/>
      <c r="OIG23" s="414"/>
      <c r="OIH23" s="414"/>
      <c r="OII23" s="414"/>
      <c r="OIJ23" s="414"/>
      <c r="OIK23" s="414"/>
      <c r="OIL23" s="414"/>
      <c r="OIM23" s="414"/>
      <c r="OIN23" s="414"/>
      <c r="OIO23" s="414"/>
      <c r="OIP23" s="414"/>
      <c r="OIQ23" s="414"/>
      <c r="OIR23" s="414"/>
      <c r="OIS23" s="414"/>
      <c r="OIT23" s="414"/>
      <c r="OIU23" s="414"/>
      <c r="OIV23" s="414"/>
      <c r="OIW23" s="414"/>
      <c r="OIX23" s="414"/>
      <c r="OIY23" s="414"/>
      <c r="OIZ23" s="414"/>
      <c r="OJA23" s="414"/>
      <c r="OJB23" s="414"/>
      <c r="OJC23" s="414"/>
      <c r="OJD23" s="414"/>
      <c r="OJE23" s="414"/>
      <c r="OJF23" s="414"/>
      <c r="OJG23" s="414"/>
      <c r="OJH23" s="414"/>
      <c r="OJI23" s="414"/>
      <c r="OJJ23" s="414"/>
      <c r="OJK23" s="414"/>
      <c r="OJL23" s="414"/>
      <c r="OJM23" s="414"/>
      <c r="OJN23" s="414"/>
      <c r="OJO23" s="414"/>
      <c r="OJP23" s="414"/>
      <c r="OJQ23" s="414"/>
      <c r="OJR23" s="414"/>
      <c r="OJS23" s="414"/>
      <c r="OJT23" s="414"/>
      <c r="OJU23" s="414"/>
      <c r="OJV23" s="414"/>
      <c r="OJW23" s="414"/>
      <c r="OJX23" s="414"/>
      <c r="OJY23" s="414"/>
      <c r="OJZ23" s="414"/>
      <c r="OKA23" s="414"/>
      <c r="OKB23" s="414"/>
      <c r="OKC23" s="414"/>
      <c r="OKD23" s="414"/>
      <c r="OKE23" s="414"/>
      <c r="OKF23" s="414"/>
      <c r="OKG23" s="414"/>
      <c r="OKH23" s="414"/>
      <c r="OKI23" s="414"/>
      <c r="OKJ23" s="414"/>
      <c r="OKK23" s="414"/>
      <c r="OKL23" s="414"/>
      <c r="OKM23" s="414"/>
      <c r="OKN23" s="414"/>
      <c r="OKO23" s="414"/>
      <c r="OKP23" s="414"/>
      <c r="OKQ23" s="414"/>
      <c r="OKR23" s="414"/>
      <c r="OKS23" s="414"/>
      <c r="OKT23" s="414"/>
      <c r="OKU23" s="414"/>
      <c r="OKV23" s="414"/>
      <c r="OKW23" s="414"/>
      <c r="OKX23" s="414"/>
      <c r="OKY23" s="414"/>
      <c r="OKZ23" s="414"/>
      <c r="OLA23" s="414"/>
      <c r="OLB23" s="414"/>
      <c r="OLC23" s="414"/>
      <c r="OLD23" s="414"/>
      <c r="OLE23" s="414"/>
      <c r="OLF23" s="414"/>
      <c r="OLG23" s="414"/>
      <c r="OLH23" s="414"/>
      <c r="OLI23" s="414"/>
      <c r="OLJ23" s="414"/>
      <c r="OLK23" s="414"/>
      <c r="OLL23" s="414"/>
      <c r="OLM23" s="414"/>
      <c r="OLN23" s="414"/>
      <c r="OLO23" s="414"/>
      <c r="OLP23" s="414"/>
      <c r="OLQ23" s="414"/>
      <c r="OLR23" s="414"/>
      <c r="OLS23" s="414"/>
      <c r="OLT23" s="414"/>
      <c r="OLU23" s="414"/>
      <c r="OLV23" s="414"/>
      <c r="OLW23" s="414"/>
      <c r="OLX23" s="414"/>
      <c r="OLY23" s="414"/>
      <c r="OLZ23" s="414"/>
      <c r="OMA23" s="414"/>
      <c r="OMB23" s="414"/>
      <c r="OMC23" s="414"/>
      <c r="OMD23" s="414"/>
      <c r="OME23" s="414"/>
      <c r="OMF23" s="414"/>
      <c r="OMG23" s="414"/>
      <c r="OMH23" s="414"/>
      <c r="OMI23" s="414"/>
      <c r="OMJ23" s="414"/>
      <c r="OMK23" s="414"/>
      <c r="OML23" s="414"/>
      <c r="OMM23" s="414"/>
      <c r="OMN23" s="414"/>
      <c r="OMO23" s="414"/>
      <c r="OMP23" s="414"/>
      <c r="OMQ23" s="414"/>
      <c r="OMR23" s="414"/>
      <c r="OMS23" s="414"/>
      <c r="OMT23" s="414"/>
      <c r="OMU23" s="414"/>
      <c r="OMV23" s="414"/>
      <c r="OMW23" s="414"/>
      <c r="OMX23" s="414"/>
      <c r="OMY23" s="414"/>
      <c r="OMZ23" s="414"/>
      <c r="ONA23" s="414"/>
      <c r="ONB23" s="414"/>
      <c r="ONC23" s="414"/>
      <c r="OND23" s="414"/>
      <c r="ONE23" s="414"/>
      <c r="ONF23" s="414"/>
      <c r="ONG23" s="414"/>
      <c r="ONH23" s="414"/>
      <c r="ONI23" s="414"/>
      <c r="ONJ23" s="414"/>
      <c r="ONK23" s="414"/>
      <c r="ONL23" s="414"/>
      <c r="ONM23" s="414"/>
      <c r="ONN23" s="414"/>
      <c r="ONO23" s="414"/>
      <c r="ONP23" s="414"/>
      <c r="ONQ23" s="414"/>
      <c r="ONR23" s="414"/>
      <c r="ONS23" s="414"/>
      <c r="ONT23" s="414"/>
      <c r="ONU23" s="414"/>
      <c r="ONV23" s="414"/>
      <c r="ONW23" s="414"/>
      <c r="ONX23" s="414"/>
      <c r="ONY23" s="414"/>
      <c r="ONZ23" s="414"/>
      <c r="OOA23" s="414"/>
      <c r="OOB23" s="414"/>
      <c r="OOC23" s="414"/>
      <c r="OOD23" s="414"/>
      <c r="OOE23" s="414"/>
      <c r="OOF23" s="414"/>
      <c r="OOG23" s="414"/>
      <c r="OOH23" s="414"/>
      <c r="OOI23" s="414"/>
      <c r="OOJ23" s="414"/>
      <c r="OOK23" s="414"/>
      <c r="OOL23" s="414"/>
      <c r="OOM23" s="414"/>
      <c r="OON23" s="414"/>
      <c r="OOO23" s="414"/>
      <c r="OOP23" s="414"/>
      <c r="OOQ23" s="414"/>
      <c r="OOR23" s="414"/>
      <c r="OOS23" s="414"/>
      <c r="OOT23" s="414"/>
      <c r="OOU23" s="414"/>
      <c r="OOV23" s="414"/>
      <c r="OOW23" s="414"/>
      <c r="OOX23" s="414"/>
      <c r="OOY23" s="414"/>
      <c r="OOZ23" s="414"/>
      <c r="OPA23" s="414"/>
      <c r="OPB23" s="414"/>
      <c r="OPC23" s="414"/>
      <c r="OPD23" s="414"/>
      <c r="OPE23" s="414"/>
      <c r="OPF23" s="414"/>
      <c r="OPG23" s="414"/>
      <c r="OPH23" s="414"/>
      <c r="OPI23" s="414"/>
      <c r="OPJ23" s="414"/>
      <c r="OPK23" s="414"/>
      <c r="OPL23" s="414"/>
      <c r="OPM23" s="414"/>
      <c r="OPN23" s="414"/>
      <c r="OPO23" s="414"/>
      <c r="OPP23" s="414"/>
      <c r="OPQ23" s="414"/>
      <c r="OPR23" s="414"/>
      <c r="OPS23" s="414"/>
      <c r="OPT23" s="414"/>
      <c r="OPU23" s="414"/>
      <c r="OPV23" s="414"/>
      <c r="OPW23" s="414"/>
      <c r="OPX23" s="414"/>
      <c r="OPY23" s="414"/>
      <c r="OPZ23" s="414"/>
      <c r="OQA23" s="414"/>
      <c r="OQB23" s="414"/>
      <c r="OQC23" s="414"/>
      <c r="OQD23" s="414"/>
      <c r="OQE23" s="414"/>
      <c r="OQF23" s="414"/>
      <c r="OQG23" s="414"/>
      <c r="OQH23" s="414"/>
      <c r="OQI23" s="414"/>
      <c r="OQJ23" s="414"/>
      <c r="OQK23" s="414"/>
      <c r="OQL23" s="414"/>
      <c r="OQM23" s="414"/>
      <c r="OQN23" s="414"/>
      <c r="OQO23" s="414"/>
      <c r="OQP23" s="414"/>
      <c r="OQQ23" s="414"/>
      <c r="OQR23" s="414"/>
      <c r="OQS23" s="414"/>
      <c r="OQT23" s="414"/>
      <c r="OQU23" s="414"/>
      <c r="OQV23" s="414"/>
      <c r="OQW23" s="414"/>
      <c r="OQX23" s="414"/>
      <c r="OQY23" s="414"/>
      <c r="OQZ23" s="414"/>
      <c r="ORA23" s="414"/>
      <c r="ORB23" s="414"/>
      <c r="ORC23" s="414"/>
      <c r="ORD23" s="414"/>
      <c r="ORE23" s="414"/>
      <c r="ORF23" s="414"/>
      <c r="ORG23" s="414"/>
      <c r="ORH23" s="414"/>
      <c r="ORI23" s="414"/>
      <c r="ORJ23" s="414"/>
      <c r="ORK23" s="414"/>
      <c r="ORL23" s="414"/>
      <c r="ORM23" s="414"/>
      <c r="ORN23" s="414"/>
      <c r="ORO23" s="414"/>
      <c r="ORP23" s="414"/>
      <c r="ORQ23" s="414"/>
      <c r="ORR23" s="414"/>
      <c r="ORS23" s="414"/>
      <c r="ORT23" s="414"/>
      <c r="ORU23" s="414"/>
      <c r="ORV23" s="414"/>
      <c r="ORW23" s="414"/>
      <c r="ORX23" s="414"/>
      <c r="ORY23" s="414"/>
      <c r="ORZ23" s="414"/>
      <c r="OSA23" s="414"/>
      <c r="OSB23" s="414"/>
      <c r="OSC23" s="414"/>
      <c r="OSD23" s="414"/>
      <c r="OSE23" s="414"/>
      <c r="OSF23" s="414"/>
      <c r="OSG23" s="414"/>
      <c r="OSH23" s="414"/>
      <c r="OSI23" s="414"/>
      <c r="OSJ23" s="414"/>
      <c r="OSK23" s="414"/>
      <c r="OSL23" s="414"/>
      <c r="OSM23" s="414"/>
      <c r="OSN23" s="414"/>
      <c r="OSO23" s="414"/>
      <c r="OSP23" s="414"/>
      <c r="OSQ23" s="414"/>
      <c r="OSR23" s="414"/>
      <c r="OSS23" s="414"/>
      <c r="OST23" s="414"/>
      <c r="OSU23" s="414"/>
      <c r="OSV23" s="414"/>
      <c r="OSW23" s="414"/>
      <c r="OSX23" s="414"/>
      <c r="OSY23" s="414"/>
      <c r="OSZ23" s="414"/>
      <c r="OTA23" s="414"/>
      <c r="OTB23" s="414"/>
      <c r="OTC23" s="414"/>
      <c r="OTD23" s="414"/>
      <c r="OTE23" s="414"/>
      <c r="OTF23" s="414"/>
      <c r="OTG23" s="414"/>
      <c r="OTH23" s="414"/>
      <c r="OTI23" s="414"/>
      <c r="OTJ23" s="414"/>
      <c r="OTK23" s="414"/>
      <c r="OTL23" s="414"/>
      <c r="OTM23" s="414"/>
      <c r="OTN23" s="414"/>
      <c r="OTO23" s="414"/>
      <c r="OTP23" s="414"/>
      <c r="OTQ23" s="414"/>
      <c r="OTR23" s="414"/>
      <c r="OTS23" s="414"/>
      <c r="OTT23" s="414"/>
      <c r="OTU23" s="414"/>
      <c r="OTV23" s="414"/>
      <c r="OTW23" s="414"/>
      <c r="OTX23" s="414"/>
      <c r="OTY23" s="414"/>
      <c r="OTZ23" s="414"/>
      <c r="OUA23" s="414"/>
      <c r="OUB23" s="414"/>
      <c r="OUC23" s="414"/>
      <c r="OUD23" s="414"/>
      <c r="OUE23" s="414"/>
      <c r="OUF23" s="414"/>
      <c r="OUG23" s="414"/>
      <c r="OUH23" s="414"/>
      <c r="OUI23" s="414"/>
      <c r="OUJ23" s="414"/>
      <c r="OUK23" s="414"/>
      <c r="OUL23" s="414"/>
      <c r="OUM23" s="414"/>
      <c r="OUN23" s="414"/>
      <c r="OUO23" s="414"/>
      <c r="OUP23" s="414"/>
      <c r="OUQ23" s="414"/>
      <c r="OUR23" s="414"/>
      <c r="OUS23" s="414"/>
      <c r="OUT23" s="414"/>
      <c r="OUU23" s="414"/>
      <c r="OUV23" s="414"/>
      <c r="OUW23" s="414"/>
      <c r="OUX23" s="414"/>
      <c r="OUY23" s="414"/>
      <c r="OUZ23" s="414"/>
      <c r="OVA23" s="414"/>
      <c r="OVB23" s="414"/>
      <c r="OVC23" s="414"/>
      <c r="OVD23" s="414"/>
      <c r="OVE23" s="414"/>
      <c r="OVF23" s="414"/>
      <c r="OVG23" s="414"/>
      <c r="OVH23" s="414"/>
      <c r="OVI23" s="414"/>
      <c r="OVJ23" s="414"/>
      <c r="OVK23" s="414"/>
      <c r="OVL23" s="414"/>
      <c r="OVM23" s="414"/>
      <c r="OVN23" s="414"/>
      <c r="OVO23" s="414"/>
      <c r="OVP23" s="414"/>
      <c r="OVQ23" s="414"/>
      <c r="OVR23" s="414"/>
      <c r="OVS23" s="414"/>
      <c r="OVT23" s="414"/>
      <c r="OVU23" s="414"/>
      <c r="OVV23" s="414"/>
      <c r="OVW23" s="414"/>
      <c r="OVX23" s="414"/>
      <c r="OVY23" s="414"/>
      <c r="OVZ23" s="414"/>
      <c r="OWA23" s="414"/>
      <c r="OWB23" s="414"/>
      <c r="OWC23" s="414"/>
      <c r="OWD23" s="414"/>
      <c r="OWE23" s="414"/>
      <c r="OWF23" s="414"/>
      <c r="OWG23" s="414"/>
      <c r="OWH23" s="414"/>
      <c r="OWI23" s="414"/>
      <c r="OWJ23" s="414"/>
      <c r="OWK23" s="414"/>
      <c r="OWL23" s="414"/>
      <c r="OWM23" s="414"/>
      <c r="OWN23" s="414"/>
      <c r="OWO23" s="414"/>
      <c r="OWP23" s="414"/>
      <c r="OWQ23" s="414"/>
      <c r="OWR23" s="414"/>
      <c r="OWS23" s="414"/>
      <c r="OWT23" s="414"/>
      <c r="OWU23" s="414"/>
      <c r="OWV23" s="414"/>
      <c r="OWW23" s="414"/>
      <c r="OWX23" s="414"/>
      <c r="OWY23" s="414"/>
      <c r="OWZ23" s="414"/>
      <c r="OXA23" s="414"/>
      <c r="OXB23" s="414"/>
      <c r="OXC23" s="414"/>
      <c r="OXD23" s="414"/>
      <c r="OXE23" s="414"/>
      <c r="OXF23" s="414"/>
      <c r="OXG23" s="414"/>
      <c r="OXH23" s="414"/>
      <c r="OXI23" s="414"/>
      <c r="OXJ23" s="414"/>
      <c r="OXK23" s="414"/>
      <c r="OXL23" s="414"/>
      <c r="OXM23" s="414"/>
      <c r="OXN23" s="414"/>
      <c r="OXO23" s="414"/>
      <c r="OXP23" s="414"/>
      <c r="OXQ23" s="414"/>
      <c r="OXR23" s="414"/>
      <c r="OXS23" s="414"/>
      <c r="OXT23" s="414"/>
      <c r="OXU23" s="414"/>
      <c r="OXV23" s="414"/>
      <c r="OXW23" s="414"/>
      <c r="OXX23" s="414"/>
      <c r="OXY23" s="414"/>
      <c r="OXZ23" s="414"/>
      <c r="OYA23" s="414"/>
      <c r="OYB23" s="414"/>
      <c r="OYC23" s="414"/>
      <c r="OYD23" s="414"/>
      <c r="OYE23" s="414"/>
      <c r="OYF23" s="414"/>
      <c r="OYG23" s="414"/>
      <c r="OYH23" s="414"/>
      <c r="OYI23" s="414"/>
      <c r="OYJ23" s="414"/>
      <c r="OYK23" s="414"/>
      <c r="OYL23" s="414"/>
      <c r="OYM23" s="414"/>
      <c r="OYN23" s="414"/>
      <c r="OYO23" s="414"/>
      <c r="OYP23" s="414"/>
      <c r="OYQ23" s="414"/>
      <c r="OYR23" s="414"/>
      <c r="OYS23" s="414"/>
      <c r="OYT23" s="414"/>
      <c r="OYU23" s="414"/>
      <c r="OYV23" s="414"/>
      <c r="OYW23" s="414"/>
      <c r="OYX23" s="414"/>
      <c r="OYY23" s="414"/>
      <c r="OYZ23" s="414"/>
      <c r="OZA23" s="414"/>
      <c r="OZB23" s="414"/>
      <c r="OZC23" s="414"/>
      <c r="OZD23" s="414"/>
      <c r="OZE23" s="414"/>
      <c r="OZF23" s="414"/>
      <c r="OZG23" s="414"/>
      <c r="OZH23" s="414"/>
      <c r="OZI23" s="414"/>
      <c r="OZJ23" s="414"/>
      <c r="OZK23" s="414"/>
      <c r="OZL23" s="414"/>
      <c r="OZM23" s="414"/>
      <c r="OZN23" s="414"/>
      <c r="OZO23" s="414"/>
      <c r="OZP23" s="414"/>
      <c r="OZQ23" s="414"/>
      <c r="OZR23" s="414"/>
      <c r="OZS23" s="414"/>
      <c r="OZT23" s="414"/>
      <c r="OZU23" s="414"/>
      <c r="OZV23" s="414"/>
      <c r="OZW23" s="414"/>
      <c r="OZX23" s="414"/>
      <c r="OZY23" s="414"/>
      <c r="OZZ23" s="414"/>
      <c r="PAA23" s="414"/>
      <c r="PAB23" s="414"/>
      <c r="PAC23" s="414"/>
      <c r="PAD23" s="414"/>
      <c r="PAE23" s="414"/>
      <c r="PAF23" s="414"/>
      <c r="PAG23" s="414"/>
      <c r="PAH23" s="414"/>
      <c r="PAI23" s="414"/>
      <c r="PAJ23" s="414"/>
      <c r="PAK23" s="414"/>
      <c r="PAL23" s="414"/>
      <c r="PAM23" s="414"/>
      <c r="PAN23" s="414"/>
      <c r="PAO23" s="414"/>
      <c r="PAP23" s="414"/>
      <c r="PAQ23" s="414"/>
      <c r="PAR23" s="414"/>
      <c r="PAS23" s="414"/>
      <c r="PAT23" s="414"/>
      <c r="PAU23" s="414"/>
      <c r="PAV23" s="414"/>
      <c r="PAW23" s="414"/>
      <c r="PAX23" s="414"/>
      <c r="PAY23" s="414"/>
      <c r="PAZ23" s="414"/>
      <c r="PBA23" s="414"/>
      <c r="PBB23" s="414"/>
      <c r="PBC23" s="414"/>
      <c r="PBD23" s="414"/>
      <c r="PBE23" s="414"/>
      <c r="PBF23" s="414"/>
      <c r="PBG23" s="414"/>
      <c r="PBH23" s="414"/>
      <c r="PBI23" s="414"/>
      <c r="PBJ23" s="414"/>
      <c r="PBK23" s="414"/>
      <c r="PBL23" s="414"/>
      <c r="PBM23" s="414"/>
      <c r="PBN23" s="414"/>
      <c r="PBO23" s="414"/>
      <c r="PBP23" s="414"/>
      <c r="PBQ23" s="414"/>
      <c r="PBR23" s="414"/>
      <c r="PBS23" s="414"/>
      <c r="PBT23" s="414"/>
      <c r="PBU23" s="414"/>
      <c r="PBV23" s="414"/>
      <c r="PBW23" s="414"/>
      <c r="PBX23" s="414"/>
      <c r="PBY23" s="414"/>
      <c r="PBZ23" s="414"/>
      <c r="PCA23" s="414"/>
      <c r="PCB23" s="414"/>
      <c r="PCC23" s="414"/>
      <c r="PCD23" s="414"/>
      <c r="PCE23" s="414"/>
      <c r="PCF23" s="414"/>
      <c r="PCG23" s="414"/>
      <c r="PCH23" s="414"/>
      <c r="PCI23" s="414"/>
      <c r="PCJ23" s="414"/>
      <c r="PCK23" s="414"/>
      <c r="PCL23" s="414"/>
      <c r="PCM23" s="414"/>
      <c r="PCN23" s="414"/>
      <c r="PCO23" s="414"/>
      <c r="PCP23" s="414"/>
      <c r="PCQ23" s="414"/>
      <c r="PCR23" s="414"/>
      <c r="PCS23" s="414"/>
      <c r="PCT23" s="414"/>
      <c r="PCU23" s="414"/>
      <c r="PCV23" s="414"/>
      <c r="PCW23" s="414"/>
      <c r="PCX23" s="414"/>
      <c r="PCY23" s="414"/>
      <c r="PCZ23" s="414"/>
      <c r="PDA23" s="414"/>
      <c r="PDB23" s="414"/>
      <c r="PDC23" s="414"/>
      <c r="PDD23" s="414"/>
      <c r="PDE23" s="414"/>
      <c r="PDF23" s="414"/>
      <c r="PDG23" s="414"/>
      <c r="PDH23" s="414"/>
      <c r="PDI23" s="414"/>
      <c r="PDJ23" s="414"/>
      <c r="PDK23" s="414"/>
      <c r="PDL23" s="414"/>
      <c r="PDM23" s="414"/>
      <c r="PDN23" s="414"/>
      <c r="PDO23" s="414"/>
      <c r="PDP23" s="414"/>
      <c r="PDQ23" s="414"/>
      <c r="PDR23" s="414"/>
      <c r="PDS23" s="414"/>
      <c r="PDT23" s="414"/>
      <c r="PDU23" s="414"/>
      <c r="PDV23" s="414"/>
      <c r="PDW23" s="414"/>
      <c r="PDX23" s="414"/>
      <c r="PDY23" s="414"/>
      <c r="PDZ23" s="414"/>
      <c r="PEA23" s="414"/>
      <c r="PEB23" s="414"/>
      <c r="PEC23" s="414"/>
      <c r="PED23" s="414"/>
      <c r="PEE23" s="414"/>
      <c r="PEF23" s="414"/>
      <c r="PEG23" s="414"/>
      <c r="PEH23" s="414"/>
      <c r="PEI23" s="414"/>
      <c r="PEJ23" s="414"/>
      <c r="PEK23" s="414"/>
      <c r="PEL23" s="414"/>
      <c r="PEM23" s="414"/>
      <c r="PEN23" s="414"/>
      <c r="PEO23" s="414"/>
      <c r="PEP23" s="414"/>
      <c r="PEQ23" s="414"/>
      <c r="PER23" s="414"/>
      <c r="PES23" s="414"/>
      <c r="PET23" s="414"/>
      <c r="PEU23" s="414"/>
      <c r="PEV23" s="414"/>
      <c r="PEW23" s="414"/>
      <c r="PEX23" s="414"/>
      <c r="PEY23" s="414"/>
      <c r="PEZ23" s="414"/>
      <c r="PFA23" s="414"/>
      <c r="PFB23" s="414"/>
      <c r="PFC23" s="414"/>
      <c r="PFD23" s="414"/>
      <c r="PFE23" s="414"/>
      <c r="PFF23" s="414"/>
      <c r="PFG23" s="414"/>
      <c r="PFH23" s="414"/>
      <c r="PFI23" s="414"/>
      <c r="PFJ23" s="414"/>
      <c r="PFK23" s="414"/>
      <c r="PFL23" s="414"/>
      <c r="PFM23" s="414"/>
      <c r="PFN23" s="414"/>
      <c r="PFO23" s="414"/>
      <c r="PFP23" s="414"/>
      <c r="PFQ23" s="414"/>
      <c r="PFR23" s="414"/>
      <c r="PFS23" s="414"/>
      <c r="PFT23" s="414"/>
      <c r="PFU23" s="414"/>
      <c r="PFV23" s="414"/>
      <c r="PFW23" s="414"/>
      <c r="PFX23" s="414"/>
      <c r="PFY23" s="414"/>
      <c r="PFZ23" s="414"/>
      <c r="PGA23" s="414"/>
      <c r="PGB23" s="414"/>
      <c r="PGC23" s="414"/>
      <c r="PGD23" s="414"/>
      <c r="PGE23" s="414"/>
      <c r="PGF23" s="414"/>
      <c r="PGG23" s="414"/>
      <c r="PGH23" s="414"/>
      <c r="PGI23" s="414"/>
      <c r="PGJ23" s="414"/>
      <c r="PGK23" s="414"/>
      <c r="PGL23" s="414"/>
      <c r="PGM23" s="414"/>
      <c r="PGN23" s="414"/>
      <c r="PGO23" s="414"/>
      <c r="PGP23" s="414"/>
      <c r="PGQ23" s="414"/>
      <c r="PGR23" s="414"/>
      <c r="PGS23" s="414"/>
      <c r="PGT23" s="414"/>
      <c r="PGU23" s="414"/>
      <c r="PGV23" s="414"/>
      <c r="PGW23" s="414"/>
      <c r="PGX23" s="414"/>
      <c r="PGY23" s="414"/>
      <c r="PGZ23" s="414"/>
      <c r="PHA23" s="414"/>
      <c r="PHB23" s="414"/>
      <c r="PHC23" s="414"/>
      <c r="PHD23" s="414"/>
      <c r="PHE23" s="414"/>
      <c r="PHF23" s="414"/>
      <c r="PHG23" s="414"/>
      <c r="PHH23" s="414"/>
      <c r="PHI23" s="414"/>
      <c r="PHJ23" s="414"/>
      <c r="PHK23" s="414"/>
      <c r="PHL23" s="414"/>
      <c r="PHM23" s="414"/>
      <c r="PHN23" s="414"/>
      <c r="PHO23" s="414"/>
      <c r="PHP23" s="414"/>
      <c r="PHQ23" s="414"/>
      <c r="PHR23" s="414"/>
      <c r="PHS23" s="414"/>
      <c r="PHT23" s="414"/>
      <c r="PHU23" s="414"/>
      <c r="PHV23" s="414"/>
      <c r="PHW23" s="414"/>
      <c r="PHX23" s="414"/>
      <c r="PHY23" s="414"/>
      <c r="PHZ23" s="414"/>
      <c r="PIA23" s="414"/>
      <c r="PIB23" s="414"/>
      <c r="PIC23" s="414"/>
      <c r="PID23" s="414"/>
      <c r="PIE23" s="414"/>
      <c r="PIF23" s="414"/>
      <c r="PIG23" s="414"/>
      <c r="PIH23" s="414"/>
      <c r="PII23" s="414"/>
      <c r="PIJ23" s="414"/>
      <c r="PIK23" s="414"/>
      <c r="PIL23" s="414"/>
      <c r="PIM23" s="414"/>
      <c r="PIN23" s="414"/>
      <c r="PIO23" s="414"/>
      <c r="PIP23" s="414"/>
      <c r="PIQ23" s="414"/>
      <c r="PIR23" s="414"/>
      <c r="PIS23" s="414"/>
      <c r="PIT23" s="414"/>
      <c r="PIU23" s="414"/>
      <c r="PIV23" s="414"/>
      <c r="PIW23" s="414"/>
      <c r="PIX23" s="414"/>
      <c r="PIY23" s="414"/>
      <c r="PIZ23" s="414"/>
      <c r="PJA23" s="414"/>
      <c r="PJB23" s="414"/>
      <c r="PJC23" s="414"/>
      <c r="PJD23" s="414"/>
      <c r="PJE23" s="414"/>
      <c r="PJF23" s="414"/>
      <c r="PJG23" s="414"/>
      <c r="PJH23" s="414"/>
      <c r="PJI23" s="414"/>
      <c r="PJJ23" s="414"/>
      <c r="PJK23" s="414"/>
      <c r="PJL23" s="414"/>
      <c r="PJM23" s="414"/>
      <c r="PJN23" s="414"/>
      <c r="PJO23" s="414"/>
      <c r="PJP23" s="414"/>
      <c r="PJQ23" s="414"/>
      <c r="PJR23" s="414"/>
      <c r="PJS23" s="414"/>
      <c r="PJT23" s="414"/>
      <c r="PJU23" s="414"/>
      <c r="PJV23" s="414"/>
      <c r="PJW23" s="414"/>
      <c r="PJX23" s="414"/>
      <c r="PJY23" s="414"/>
      <c r="PJZ23" s="414"/>
      <c r="PKA23" s="414"/>
      <c r="PKB23" s="414"/>
      <c r="PKC23" s="414"/>
      <c r="PKD23" s="414"/>
      <c r="PKE23" s="414"/>
      <c r="PKF23" s="414"/>
      <c r="PKG23" s="414"/>
      <c r="PKH23" s="414"/>
      <c r="PKI23" s="414"/>
      <c r="PKJ23" s="414"/>
      <c r="PKK23" s="414"/>
      <c r="PKL23" s="414"/>
      <c r="PKM23" s="414"/>
      <c r="PKN23" s="414"/>
      <c r="PKO23" s="414"/>
      <c r="PKP23" s="414"/>
      <c r="PKQ23" s="414"/>
      <c r="PKR23" s="414"/>
      <c r="PKS23" s="414"/>
      <c r="PKT23" s="414"/>
      <c r="PKU23" s="414"/>
      <c r="PKV23" s="414"/>
      <c r="PKW23" s="414"/>
      <c r="PKX23" s="414"/>
      <c r="PKY23" s="414"/>
      <c r="PKZ23" s="414"/>
      <c r="PLA23" s="414"/>
      <c r="PLB23" s="414"/>
      <c r="PLC23" s="414"/>
      <c r="PLD23" s="414"/>
      <c r="PLE23" s="414"/>
      <c r="PLF23" s="414"/>
      <c r="PLG23" s="414"/>
      <c r="PLH23" s="414"/>
      <c r="PLI23" s="414"/>
      <c r="PLJ23" s="414"/>
      <c r="PLK23" s="414"/>
      <c r="PLL23" s="414"/>
      <c r="PLM23" s="414"/>
      <c r="PLN23" s="414"/>
      <c r="PLO23" s="414"/>
      <c r="PLP23" s="414"/>
      <c r="PLQ23" s="414"/>
      <c r="PLR23" s="414"/>
      <c r="PLS23" s="414"/>
      <c r="PLT23" s="414"/>
      <c r="PLU23" s="414"/>
      <c r="PLV23" s="414"/>
      <c r="PLW23" s="414"/>
      <c r="PLX23" s="414"/>
      <c r="PLY23" s="414"/>
      <c r="PLZ23" s="414"/>
      <c r="PMA23" s="414"/>
      <c r="PMB23" s="414"/>
      <c r="PMC23" s="414"/>
      <c r="PMD23" s="414"/>
      <c r="PME23" s="414"/>
      <c r="PMF23" s="414"/>
      <c r="PMG23" s="414"/>
      <c r="PMH23" s="414"/>
      <c r="PMI23" s="414"/>
      <c r="PMJ23" s="414"/>
      <c r="PMK23" s="414"/>
      <c r="PML23" s="414"/>
      <c r="PMM23" s="414"/>
      <c r="PMN23" s="414"/>
      <c r="PMO23" s="414"/>
      <c r="PMP23" s="414"/>
      <c r="PMQ23" s="414"/>
      <c r="PMR23" s="414"/>
      <c r="PMS23" s="414"/>
      <c r="PMT23" s="414"/>
      <c r="PMU23" s="414"/>
      <c r="PMV23" s="414"/>
      <c r="PMW23" s="414"/>
      <c r="PMX23" s="414"/>
      <c r="PMY23" s="414"/>
      <c r="PMZ23" s="414"/>
      <c r="PNA23" s="414"/>
      <c r="PNB23" s="414"/>
      <c r="PNC23" s="414"/>
      <c r="PND23" s="414"/>
      <c r="PNE23" s="414"/>
      <c r="PNF23" s="414"/>
      <c r="PNG23" s="414"/>
      <c r="PNH23" s="414"/>
      <c r="PNI23" s="414"/>
      <c r="PNJ23" s="414"/>
      <c r="PNK23" s="414"/>
      <c r="PNL23" s="414"/>
      <c r="PNM23" s="414"/>
      <c r="PNN23" s="414"/>
      <c r="PNO23" s="414"/>
      <c r="PNP23" s="414"/>
      <c r="PNQ23" s="414"/>
      <c r="PNR23" s="414"/>
      <c r="PNS23" s="414"/>
      <c r="PNT23" s="414"/>
      <c r="PNU23" s="414"/>
      <c r="PNV23" s="414"/>
      <c r="PNW23" s="414"/>
      <c r="PNX23" s="414"/>
      <c r="PNY23" s="414"/>
      <c r="PNZ23" s="414"/>
      <c r="POA23" s="414"/>
      <c r="POB23" s="414"/>
      <c r="POC23" s="414"/>
      <c r="POD23" s="414"/>
      <c r="POE23" s="414"/>
      <c r="POF23" s="414"/>
      <c r="POG23" s="414"/>
      <c r="POH23" s="414"/>
      <c r="POI23" s="414"/>
      <c r="POJ23" s="414"/>
      <c r="POK23" s="414"/>
      <c r="POL23" s="414"/>
      <c r="POM23" s="414"/>
      <c r="PON23" s="414"/>
      <c r="POO23" s="414"/>
      <c r="POP23" s="414"/>
      <c r="POQ23" s="414"/>
      <c r="POR23" s="414"/>
      <c r="POS23" s="414"/>
      <c r="POT23" s="414"/>
      <c r="POU23" s="414"/>
      <c r="POV23" s="414"/>
      <c r="POW23" s="414"/>
      <c r="POX23" s="414"/>
      <c r="POY23" s="414"/>
      <c r="POZ23" s="414"/>
      <c r="PPA23" s="414"/>
      <c r="PPB23" s="414"/>
      <c r="PPC23" s="414"/>
      <c r="PPD23" s="414"/>
      <c r="PPE23" s="414"/>
      <c r="PPF23" s="414"/>
      <c r="PPG23" s="414"/>
      <c r="PPH23" s="414"/>
      <c r="PPI23" s="414"/>
      <c r="PPJ23" s="414"/>
      <c r="PPK23" s="414"/>
      <c r="PPL23" s="414"/>
      <c r="PPM23" s="414"/>
      <c r="PPN23" s="414"/>
      <c r="PPO23" s="414"/>
      <c r="PPP23" s="414"/>
      <c r="PPQ23" s="414"/>
      <c r="PPR23" s="414"/>
      <c r="PPS23" s="414"/>
      <c r="PPT23" s="414"/>
      <c r="PPU23" s="414"/>
      <c r="PPV23" s="414"/>
      <c r="PPW23" s="414"/>
      <c r="PPX23" s="414"/>
      <c r="PPY23" s="414"/>
      <c r="PPZ23" s="414"/>
      <c r="PQA23" s="414"/>
      <c r="PQB23" s="414"/>
      <c r="PQC23" s="414"/>
      <c r="PQD23" s="414"/>
      <c r="PQE23" s="414"/>
      <c r="PQF23" s="414"/>
      <c r="PQG23" s="414"/>
      <c r="PQH23" s="414"/>
      <c r="PQI23" s="414"/>
      <c r="PQJ23" s="414"/>
      <c r="PQK23" s="414"/>
      <c r="PQL23" s="414"/>
      <c r="PQM23" s="414"/>
      <c r="PQN23" s="414"/>
      <c r="PQO23" s="414"/>
      <c r="PQP23" s="414"/>
      <c r="PQQ23" s="414"/>
      <c r="PQR23" s="414"/>
      <c r="PQS23" s="414"/>
      <c r="PQT23" s="414"/>
      <c r="PQU23" s="414"/>
      <c r="PQV23" s="414"/>
      <c r="PQW23" s="414"/>
      <c r="PQX23" s="414"/>
      <c r="PQY23" s="414"/>
      <c r="PQZ23" s="414"/>
      <c r="PRA23" s="414"/>
      <c r="PRB23" s="414"/>
      <c r="PRC23" s="414"/>
      <c r="PRD23" s="414"/>
      <c r="PRE23" s="414"/>
      <c r="PRF23" s="414"/>
      <c r="PRG23" s="414"/>
      <c r="PRH23" s="414"/>
      <c r="PRI23" s="414"/>
      <c r="PRJ23" s="414"/>
      <c r="PRK23" s="414"/>
      <c r="PRL23" s="414"/>
      <c r="PRM23" s="414"/>
      <c r="PRN23" s="414"/>
      <c r="PRO23" s="414"/>
      <c r="PRP23" s="414"/>
      <c r="PRQ23" s="414"/>
      <c r="PRR23" s="414"/>
      <c r="PRS23" s="414"/>
      <c r="PRT23" s="414"/>
      <c r="PRU23" s="414"/>
      <c r="PRV23" s="414"/>
      <c r="PRW23" s="414"/>
      <c r="PRX23" s="414"/>
      <c r="PRY23" s="414"/>
      <c r="PRZ23" s="414"/>
      <c r="PSA23" s="414"/>
      <c r="PSB23" s="414"/>
      <c r="PSC23" s="414"/>
      <c r="PSD23" s="414"/>
      <c r="PSE23" s="414"/>
      <c r="PSF23" s="414"/>
      <c r="PSG23" s="414"/>
      <c r="PSH23" s="414"/>
      <c r="PSI23" s="414"/>
      <c r="PSJ23" s="414"/>
      <c r="PSK23" s="414"/>
      <c r="PSL23" s="414"/>
      <c r="PSM23" s="414"/>
      <c r="PSN23" s="414"/>
      <c r="PSO23" s="414"/>
      <c r="PSP23" s="414"/>
      <c r="PSQ23" s="414"/>
      <c r="PSR23" s="414"/>
      <c r="PSS23" s="414"/>
      <c r="PST23" s="414"/>
      <c r="PSU23" s="414"/>
      <c r="PSV23" s="414"/>
      <c r="PSW23" s="414"/>
      <c r="PSX23" s="414"/>
      <c r="PSY23" s="414"/>
      <c r="PSZ23" s="414"/>
      <c r="PTA23" s="414"/>
      <c r="PTB23" s="414"/>
      <c r="PTC23" s="414"/>
      <c r="PTD23" s="414"/>
      <c r="PTE23" s="414"/>
      <c r="PTF23" s="414"/>
      <c r="PTG23" s="414"/>
      <c r="PTH23" s="414"/>
      <c r="PTI23" s="414"/>
      <c r="PTJ23" s="414"/>
      <c r="PTK23" s="414"/>
      <c r="PTL23" s="414"/>
      <c r="PTM23" s="414"/>
      <c r="PTN23" s="414"/>
      <c r="PTO23" s="414"/>
      <c r="PTP23" s="414"/>
      <c r="PTQ23" s="414"/>
      <c r="PTR23" s="414"/>
      <c r="PTS23" s="414"/>
      <c r="PTT23" s="414"/>
      <c r="PTU23" s="414"/>
      <c r="PTV23" s="414"/>
      <c r="PTW23" s="414"/>
      <c r="PTX23" s="414"/>
      <c r="PTY23" s="414"/>
      <c r="PTZ23" s="414"/>
      <c r="PUA23" s="414"/>
      <c r="PUB23" s="414"/>
      <c r="PUC23" s="414"/>
      <c r="PUD23" s="414"/>
      <c r="PUE23" s="414"/>
      <c r="PUF23" s="414"/>
      <c r="PUG23" s="414"/>
      <c r="PUH23" s="414"/>
      <c r="PUI23" s="414"/>
      <c r="PUJ23" s="414"/>
      <c r="PUK23" s="414"/>
      <c r="PUL23" s="414"/>
      <c r="PUM23" s="414"/>
      <c r="PUN23" s="414"/>
      <c r="PUO23" s="414"/>
      <c r="PUP23" s="414"/>
      <c r="PUQ23" s="414"/>
      <c r="PUR23" s="414"/>
      <c r="PUS23" s="414"/>
      <c r="PUT23" s="414"/>
      <c r="PUU23" s="414"/>
      <c r="PUV23" s="414"/>
      <c r="PUW23" s="414"/>
      <c r="PUX23" s="414"/>
      <c r="PUY23" s="414"/>
      <c r="PUZ23" s="414"/>
      <c r="PVA23" s="414"/>
      <c r="PVB23" s="414"/>
      <c r="PVC23" s="414"/>
      <c r="PVD23" s="414"/>
      <c r="PVE23" s="414"/>
      <c r="PVF23" s="414"/>
      <c r="PVG23" s="414"/>
      <c r="PVH23" s="414"/>
      <c r="PVI23" s="414"/>
      <c r="PVJ23" s="414"/>
      <c r="PVK23" s="414"/>
      <c r="PVL23" s="414"/>
      <c r="PVM23" s="414"/>
      <c r="PVN23" s="414"/>
      <c r="PVO23" s="414"/>
      <c r="PVP23" s="414"/>
      <c r="PVQ23" s="414"/>
      <c r="PVR23" s="414"/>
      <c r="PVS23" s="414"/>
      <c r="PVT23" s="414"/>
      <c r="PVU23" s="414"/>
      <c r="PVV23" s="414"/>
      <c r="PVW23" s="414"/>
      <c r="PVX23" s="414"/>
      <c r="PVY23" s="414"/>
      <c r="PVZ23" s="414"/>
      <c r="PWA23" s="414"/>
      <c r="PWB23" s="414"/>
      <c r="PWC23" s="414"/>
      <c r="PWD23" s="414"/>
      <c r="PWE23" s="414"/>
      <c r="PWF23" s="414"/>
      <c r="PWG23" s="414"/>
      <c r="PWH23" s="414"/>
      <c r="PWI23" s="414"/>
      <c r="PWJ23" s="414"/>
      <c r="PWK23" s="414"/>
      <c r="PWL23" s="414"/>
      <c r="PWM23" s="414"/>
      <c r="PWN23" s="414"/>
      <c r="PWO23" s="414"/>
      <c r="PWP23" s="414"/>
      <c r="PWQ23" s="414"/>
      <c r="PWR23" s="414"/>
      <c r="PWS23" s="414"/>
      <c r="PWT23" s="414"/>
      <c r="PWU23" s="414"/>
      <c r="PWV23" s="414"/>
      <c r="PWW23" s="414"/>
      <c r="PWX23" s="414"/>
      <c r="PWY23" s="414"/>
      <c r="PWZ23" s="414"/>
      <c r="PXA23" s="414"/>
      <c r="PXB23" s="414"/>
      <c r="PXC23" s="414"/>
      <c r="PXD23" s="414"/>
      <c r="PXE23" s="414"/>
      <c r="PXF23" s="414"/>
      <c r="PXG23" s="414"/>
      <c r="PXH23" s="414"/>
      <c r="PXI23" s="414"/>
      <c r="PXJ23" s="414"/>
      <c r="PXK23" s="414"/>
      <c r="PXL23" s="414"/>
      <c r="PXM23" s="414"/>
      <c r="PXN23" s="414"/>
      <c r="PXO23" s="414"/>
      <c r="PXP23" s="414"/>
      <c r="PXQ23" s="414"/>
      <c r="PXR23" s="414"/>
      <c r="PXS23" s="414"/>
      <c r="PXT23" s="414"/>
      <c r="PXU23" s="414"/>
      <c r="PXV23" s="414"/>
      <c r="PXW23" s="414"/>
      <c r="PXX23" s="414"/>
      <c r="PXY23" s="414"/>
      <c r="PXZ23" s="414"/>
      <c r="PYA23" s="414"/>
      <c r="PYB23" s="414"/>
      <c r="PYC23" s="414"/>
      <c r="PYD23" s="414"/>
      <c r="PYE23" s="414"/>
      <c r="PYF23" s="414"/>
      <c r="PYG23" s="414"/>
      <c r="PYH23" s="414"/>
      <c r="PYI23" s="414"/>
      <c r="PYJ23" s="414"/>
      <c r="PYK23" s="414"/>
      <c r="PYL23" s="414"/>
      <c r="PYM23" s="414"/>
      <c r="PYN23" s="414"/>
      <c r="PYO23" s="414"/>
      <c r="PYP23" s="414"/>
      <c r="PYQ23" s="414"/>
      <c r="PYR23" s="414"/>
      <c r="PYS23" s="414"/>
      <c r="PYT23" s="414"/>
      <c r="PYU23" s="414"/>
      <c r="PYV23" s="414"/>
      <c r="PYW23" s="414"/>
      <c r="PYX23" s="414"/>
      <c r="PYY23" s="414"/>
      <c r="PYZ23" s="414"/>
      <c r="PZA23" s="414"/>
      <c r="PZB23" s="414"/>
      <c r="PZC23" s="414"/>
      <c r="PZD23" s="414"/>
      <c r="PZE23" s="414"/>
      <c r="PZF23" s="414"/>
      <c r="PZG23" s="414"/>
      <c r="PZH23" s="414"/>
      <c r="PZI23" s="414"/>
      <c r="PZJ23" s="414"/>
      <c r="PZK23" s="414"/>
      <c r="PZL23" s="414"/>
      <c r="PZM23" s="414"/>
      <c r="PZN23" s="414"/>
      <c r="PZO23" s="414"/>
      <c r="PZP23" s="414"/>
      <c r="PZQ23" s="414"/>
      <c r="PZR23" s="414"/>
      <c r="PZS23" s="414"/>
      <c r="PZT23" s="414"/>
      <c r="PZU23" s="414"/>
      <c r="PZV23" s="414"/>
      <c r="PZW23" s="414"/>
      <c r="PZX23" s="414"/>
      <c r="PZY23" s="414"/>
      <c r="PZZ23" s="414"/>
      <c r="QAA23" s="414"/>
      <c r="QAB23" s="414"/>
      <c r="QAC23" s="414"/>
      <c r="QAD23" s="414"/>
      <c r="QAE23" s="414"/>
      <c r="QAF23" s="414"/>
      <c r="QAG23" s="414"/>
      <c r="QAH23" s="414"/>
      <c r="QAI23" s="414"/>
      <c r="QAJ23" s="414"/>
      <c r="QAK23" s="414"/>
      <c r="QAL23" s="414"/>
      <c r="QAM23" s="414"/>
      <c r="QAN23" s="414"/>
      <c r="QAO23" s="414"/>
      <c r="QAP23" s="414"/>
      <c r="QAQ23" s="414"/>
      <c r="QAR23" s="414"/>
      <c r="QAS23" s="414"/>
      <c r="QAT23" s="414"/>
      <c r="QAU23" s="414"/>
      <c r="QAV23" s="414"/>
      <c r="QAW23" s="414"/>
      <c r="QAX23" s="414"/>
      <c r="QAY23" s="414"/>
      <c r="QAZ23" s="414"/>
      <c r="QBA23" s="414"/>
      <c r="QBB23" s="414"/>
      <c r="QBC23" s="414"/>
      <c r="QBD23" s="414"/>
      <c r="QBE23" s="414"/>
      <c r="QBF23" s="414"/>
      <c r="QBG23" s="414"/>
      <c r="QBH23" s="414"/>
      <c r="QBI23" s="414"/>
      <c r="QBJ23" s="414"/>
      <c r="QBK23" s="414"/>
      <c r="QBL23" s="414"/>
      <c r="QBM23" s="414"/>
      <c r="QBN23" s="414"/>
      <c r="QBO23" s="414"/>
      <c r="QBP23" s="414"/>
      <c r="QBQ23" s="414"/>
      <c r="QBR23" s="414"/>
      <c r="QBS23" s="414"/>
      <c r="QBT23" s="414"/>
      <c r="QBU23" s="414"/>
      <c r="QBV23" s="414"/>
      <c r="QBW23" s="414"/>
      <c r="QBX23" s="414"/>
      <c r="QBY23" s="414"/>
      <c r="QBZ23" s="414"/>
      <c r="QCA23" s="414"/>
      <c r="QCB23" s="414"/>
      <c r="QCC23" s="414"/>
      <c r="QCD23" s="414"/>
      <c r="QCE23" s="414"/>
      <c r="QCF23" s="414"/>
      <c r="QCG23" s="414"/>
      <c r="QCH23" s="414"/>
      <c r="QCI23" s="414"/>
      <c r="QCJ23" s="414"/>
      <c r="QCK23" s="414"/>
      <c r="QCL23" s="414"/>
      <c r="QCM23" s="414"/>
      <c r="QCN23" s="414"/>
      <c r="QCO23" s="414"/>
      <c r="QCP23" s="414"/>
      <c r="QCQ23" s="414"/>
      <c r="QCR23" s="414"/>
      <c r="QCS23" s="414"/>
      <c r="QCT23" s="414"/>
      <c r="QCU23" s="414"/>
      <c r="QCV23" s="414"/>
      <c r="QCW23" s="414"/>
      <c r="QCX23" s="414"/>
      <c r="QCY23" s="414"/>
      <c r="QCZ23" s="414"/>
      <c r="QDA23" s="414"/>
      <c r="QDB23" s="414"/>
      <c r="QDC23" s="414"/>
      <c r="QDD23" s="414"/>
      <c r="QDE23" s="414"/>
      <c r="QDF23" s="414"/>
      <c r="QDG23" s="414"/>
      <c r="QDH23" s="414"/>
      <c r="QDI23" s="414"/>
      <c r="QDJ23" s="414"/>
      <c r="QDK23" s="414"/>
      <c r="QDL23" s="414"/>
      <c r="QDM23" s="414"/>
      <c r="QDN23" s="414"/>
      <c r="QDO23" s="414"/>
      <c r="QDP23" s="414"/>
      <c r="QDQ23" s="414"/>
      <c r="QDR23" s="414"/>
      <c r="QDS23" s="414"/>
      <c r="QDT23" s="414"/>
      <c r="QDU23" s="414"/>
      <c r="QDV23" s="414"/>
      <c r="QDW23" s="414"/>
      <c r="QDX23" s="414"/>
      <c r="QDY23" s="414"/>
      <c r="QDZ23" s="414"/>
      <c r="QEA23" s="414"/>
      <c r="QEB23" s="414"/>
      <c r="QEC23" s="414"/>
      <c r="QED23" s="414"/>
      <c r="QEE23" s="414"/>
      <c r="QEF23" s="414"/>
      <c r="QEG23" s="414"/>
      <c r="QEH23" s="414"/>
      <c r="QEI23" s="414"/>
      <c r="QEJ23" s="414"/>
      <c r="QEK23" s="414"/>
      <c r="QEL23" s="414"/>
      <c r="QEM23" s="414"/>
      <c r="QEN23" s="414"/>
      <c r="QEO23" s="414"/>
      <c r="QEP23" s="414"/>
      <c r="QEQ23" s="414"/>
      <c r="QER23" s="414"/>
      <c r="QES23" s="414"/>
      <c r="QET23" s="414"/>
      <c r="QEU23" s="414"/>
      <c r="QEV23" s="414"/>
      <c r="QEW23" s="414"/>
      <c r="QEX23" s="414"/>
      <c r="QEY23" s="414"/>
      <c r="QEZ23" s="414"/>
      <c r="QFA23" s="414"/>
      <c r="QFB23" s="414"/>
      <c r="QFC23" s="414"/>
      <c r="QFD23" s="414"/>
      <c r="QFE23" s="414"/>
      <c r="QFF23" s="414"/>
      <c r="QFG23" s="414"/>
      <c r="QFH23" s="414"/>
      <c r="QFI23" s="414"/>
      <c r="QFJ23" s="414"/>
      <c r="QFK23" s="414"/>
      <c r="QFL23" s="414"/>
      <c r="QFM23" s="414"/>
      <c r="QFN23" s="414"/>
      <c r="QFO23" s="414"/>
      <c r="QFP23" s="414"/>
      <c r="QFQ23" s="414"/>
      <c r="QFR23" s="414"/>
      <c r="QFS23" s="414"/>
      <c r="QFT23" s="414"/>
      <c r="QFU23" s="414"/>
      <c r="QFV23" s="414"/>
      <c r="QFW23" s="414"/>
      <c r="QFX23" s="414"/>
      <c r="QFY23" s="414"/>
      <c r="QFZ23" s="414"/>
      <c r="QGA23" s="414"/>
      <c r="QGB23" s="414"/>
      <c r="QGC23" s="414"/>
      <c r="QGD23" s="414"/>
      <c r="QGE23" s="414"/>
      <c r="QGF23" s="414"/>
      <c r="QGG23" s="414"/>
      <c r="QGH23" s="414"/>
      <c r="QGI23" s="414"/>
      <c r="QGJ23" s="414"/>
      <c r="QGK23" s="414"/>
      <c r="QGL23" s="414"/>
      <c r="QGM23" s="414"/>
      <c r="QGN23" s="414"/>
      <c r="QGO23" s="414"/>
      <c r="QGP23" s="414"/>
      <c r="QGQ23" s="414"/>
      <c r="QGR23" s="414"/>
      <c r="QGS23" s="414"/>
      <c r="QGT23" s="414"/>
      <c r="QGU23" s="414"/>
      <c r="QGV23" s="414"/>
      <c r="QGW23" s="414"/>
      <c r="QGX23" s="414"/>
      <c r="QGY23" s="414"/>
      <c r="QGZ23" s="414"/>
      <c r="QHA23" s="414"/>
      <c r="QHB23" s="414"/>
      <c r="QHC23" s="414"/>
      <c r="QHD23" s="414"/>
      <c r="QHE23" s="414"/>
      <c r="QHF23" s="414"/>
      <c r="QHG23" s="414"/>
      <c r="QHH23" s="414"/>
      <c r="QHI23" s="414"/>
      <c r="QHJ23" s="414"/>
      <c r="QHK23" s="414"/>
      <c r="QHL23" s="414"/>
      <c r="QHM23" s="414"/>
      <c r="QHN23" s="414"/>
      <c r="QHO23" s="414"/>
      <c r="QHP23" s="414"/>
      <c r="QHQ23" s="414"/>
      <c r="QHR23" s="414"/>
      <c r="QHS23" s="414"/>
      <c r="QHT23" s="414"/>
      <c r="QHU23" s="414"/>
      <c r="QHV23" s="414"/>
      <c r="QHW23" s="414"/>
      <c r="QHX23" s="414"/>
      <c r="QHY23" s="414"/>
      <c r="QHZ23" s="414"/>
      <c r="QIA23" s="414"/>
      <c r="QIB23" s="414"/>
      <c r="QIC23" s="414"/>
      <c r="QID23" s="414"/>
      <c r="QIE23" s="414"/>
      <c r="QIF23" s="414"/>
      <c r="QIG23" s="414"/>
      <c r="QIH23" s="414"/>
      <c r="QII23" s="414"/>
      <c r="QIJ23" s="414"/>
      <c r="QIK23" s="414"/>
      <c r="QIL23" s="414"/>
      <c r="QIM23" s="414"/>
      <c r="QIN23" s="414"/>
      <c r="QIO23" s="414"/>
      <c r="QIP23" s="414"/>
      <c r="QIQ23" s="414"/>
      <c r="QIR23" s="414"/>
      <c r="QIS23" s="414"/>
      <c r="QIT23" s="414"/>
      <c r="QIU23" s="414"/>
      <c r="QIV23" s="414"/>
      <c r="QIW23" s="414"/>
      <c r="QIX23" s="414"/>
      <c r="QIY23" s="414"/>
      <c r="QIZ23" s="414"/>
      <c r="QJA23" s="414"/>
      <c r="QJB23" s="414"/>
      <c r="QJC23" s="414"/>
      <c r="QJD23" s="414"/>
      <c r="QJE23" s="414"/>
      <c r="QJF23" s="414"/>
      <c r="QJG23" s="414"/>
      <c r="QJH23" s="414"/>
      <c r="QJI23" s="414"/>
      <c r="QJJ23" s="414"/>
      <c r="QJK23" s="414"/>
      <c r="QJL23" s="414"/>
      <c r="QJM23" s="414"/>
      <c r="QJN23" s="414"/>
      <c r="QJO23" s="414"/>
      <c r="QJP23" s="414"/>
      <c r="QJQ23" s="414"/>
      <c r="QJR23" s="414"/>
      <c r="QJS23" s="414"/>
      <c r="QJT23" s="414"/>
      <c r="QJU23" s="414"/>
      <c r="QJV23" s="414"/>
      <c r="QJW23" s="414"/>
      <c r="QJX23" s="414"/>
      <c r="QJY23" s="414"/>
      <c r="QJZ23" s="414"/>
      <c r="QKA23" s="414"/>
      <c r="QKB23" s="414"/>
      <c r="QKC23" s="414"/>
      <c r="QKD23" s="414"/>
      <c r="QKE23" s="414"/>
      <c r="QKF23" s="414"/>
      <c r="QKG23" s="414"/>
      <c r="QKH23" s="414"/>
      <c r="QKI23" s="414"/>
      <c r="QKJ23" s="414"/>
      <c r="QKK23" s="414"/>
      <c r="QKL23" s="414"/>
      <c r="QKM23" s="414"/>
      <c r="QKN23" s="414"/>
      <c r="QKO23" s="414"/>
      <c r="QKP23" s="414"/>
      <c r="QKQ23" s="414"/>
      <c r="QKR23" s="414"/>
      <c r="QKS23" s="414"/>
      <c r="QKT23" s="414"/>
      <c r="QKU23" s="414"/>
      <c r="QKV23" s="414"/>
      <c r="QKW23" s="414"/>
      <c r="QKX23" s="414"/>
      <c r="QKY23" s="414"/>
      <c r="QKZ23" s="414"/>
      <c r="QLA23" s="414"/>
      <c r="QLB23" s="414"/>
      <c r="QLC23" s="414"/>
      <c r="QLD23" s="414"/>
      <c r="QLE23" s="414"/>
      <c r="QLF23" s="414"/>
      <c r="QLG23" s="414"/>
      <c r="QLH23" s="414"/>
      <c r="QLI23" s="414"/>
      <c r="QLJ23" s="414"/>
      <c r="QLK23" s="414"/>
      <c r="QLL23" s="414"/>
      <c r="QLM23" s="414"/>
      <c r="QLN23" s="414"/>
      <c r="QLO23" s="414"/>
      <c r="QLP23" s="414"/>
      <c r="QLQ23" s="414"/>
      <c r="QLR23" s="414"/>
      <c r="QLS23" s="414"/>
      <c r="QLT23" s="414"/>
      <c r="QLU23" s="414"/>
      <c r="QLV23" s="414"/>
      <c r="QLW23" s="414"/>
      <c r="QLX23" s="414"/>
      <c r="QLY23" s="414"/>
      <c r="QLZ23" s="414"/>
      <c r="QMA23" s="414"/>
      <c r="QMB23" s="414"/>
      <c r="QMC23" s="414"/>
      <c r="QMD23" s="414"/>
      <c r="QME23" s="414"/>
      <c r="QMF23" s="414"/>
      <c r="QMG23" s="414"/>
      <c r="QMH23" s="414"/>
      <c r="QMI23" s="414"/>
      <c r="QMJ23" s="414"/>
      <c r="QMK23" s="414"/>
      <c r="QML23" s="414"/>
      <c r="QMM23" s="414"/>
      <c r="QMN23" s="414"/>
      <c r="QMO23" s="414"/>
      <c r="QMP23" s="414"/>
      <c r="QMQ23" s="414"/>
      <c r="QMR23" s="414"/>
      <c r="QMS23" s="414"/>
      <c r="QMT23" s="414"/>
      <c r="QMU23" s="414"/>
      <c r="QMV23" s="414"/>
      <c r="QMW23" s="414"/>
      <c r="QMX23" s="414"/>
      <c r="QMY23" s="414"/>
      <c r="QMZ23" s="414"/>
      <c r="QNA23" s="414"/>
      <c r="QNB23" s="414"/>
      <c r="QNC23" s="414"/>
      <c r="QND23" s="414"/>
      <c r="QNE23" s="414"/>
      <c r="QNF23" s="414"/>
      <c r="QNG23" s="414"/>
      <c r="QNH23" s="414"/>
      <c r="QNI23" s="414"/>
      <c r="QNJ23" s="414"/>
      <c r="QNK23" s="414"/>
      <c r="QNL23" s="414"/>
      <c r="QNM23" s="414"/>
      <c r="QNN23" s="414"/>
      <c r="QNO23" s="414"/>
      <c r="QNP23" s="414"/>
      <c r="QNQ23" s="414"/>
      <c r="QNR23" s="414"/>
      <c r="QNS23" s="414"/>
      <c r="QNT23" s="414"/>
      <c r="QNU23" s="414"/>
      <c r="QNV23" s="414"/>
      <c r="QNW23" s="414"/>
      <c r="QNX23" s="414"/>
      <c r="QNY23" s="414"/>
      <c r="QNZ23" s="414"/>
      <c r="QOA23" s="414"/>
      <c r="QOB23" s="414"/>
      <c r="QOC23" s="414"/>
      <c r="QOD23" s="414"/>
      <c r="QOE23" s="414"/>
      <c r="QOF23" s="414"/>
      <c r="QOG23" s="414"/>
      <c r="QOH23" s="414"/>
      <c r="QOI23" s="414"/>
      <c r="QOJ23" s="414"/>
      <c r="QOK23" s="414"/>
      <c r="QOL23" s="414"/>
      <c r="QOM23" s="414"/>
      <c r="QON23" s="414"/>
      <c r="QOO23" s="414"/>
      <c r="QOP23" s="414"/>
      <c r="QOQ23" s="414"/>
      <c r="QOR23" s="414"/>
      <c r="QOS23" s="414"/>
      <c r="QOT23" s="414"/>
      <c r="QOU23" s="414"/>
      <c r="QOV23" s="414"/>
      <c r="QOW23" s="414"/>
      <c r="QOX23" s="414"/>
      <c r="QOY23" s="414"/>
      <c r="QOZ23" s="414"/>
      <c r="QPA23" s="414"/>
      <c r="QPB23" s="414"/>
      <c r="QPC23" s="414"/>
      <c r="QPD23" s="414"/>
      <c r="QPE23" s="414"/>
      <c r="QPF23" s="414"/>
      <c r="QPG23" s="414"/>
      <c r="QPH23" s="414"/>
      <c r="QPI23" s="414"/>
      <c r="QPJ23" s="414"/>
      <c r="QPK23" s="414"/>
      <c r="QPL23" s="414"/>
      <c r="QPM23" s="414"/>
      <c r="QPN23" s="414"/>
      <c r="QPO23" s="414"/>
      <c r="QPP23" s="414"/>
      <c r="QPQ23" s="414"/>
      <c r="QPR23" s="414"/>
      <c r="QPS23" s="414"/>
      <c r="QPT23" s="414"/>
      <c r="QPU23" s="414"/>
      <c r="QPV23" s="414"/>
      <c r="QPW23" s="414"/>
      <c r="QPX23" s="414"/>
      <c r="QPY23" s="414"/>
      <c r="QPZ23" s="414"/>
      <c r="QQA23" s="414"/>
      <c r="QQB23" s="414"/>
      <c r="QQC23" s="414"/>
      <c r="QQD23" s="414"/>
      <c r="QQE23" s="414"/>
      <c r="QQF23" s="414"/>
      <c r="QQG23" s="414"/>
      <c r="QQH23" s="414"/>
      <c r="QQI23" s="414"/>
      <c r="QQJ23" s="414"/>
      <c r="QQK23" s="414"/>
      <c r="QQL23" s="414"/>
      <c r="QQM23" s="414"/>
      <c r="QQN23" s="414"/>
      <c r="QQO23" s="414"/>
      <c r="QQP23" s="414"/>
      <c r="QQQ23" s="414"/>
      <c r="QQR23" s="414"/>
      <c r="QQS23" s="414"/>
      <c r="QQT23" s="414"/>
      <c r="QQU23" s="414"/>
      <c r="QQV23" s="414"/>
      <c r="QQW23" s="414"/>
      <c r="QQX23" s="414"/>
      <c r="QQY23" s="414"/>
      <c r="QQZ23" s="414"/>
      <c r="QRA23" s="414"/>
      <c r="QRB23" s="414"/>
      <c r="QRC23" s="414"/>
      <c r="QRD23" s="414"/>
      <c r="QRE23" s="414"/>
      <c r="QRF23" s="414"/>
      <c r="QRG23" s="414"/>
      <c r="QRH23" s="414"/>
      <c r="QRI23" s="414"/>
      <c r="QRJ23" s="414"/>
      <c r="QRK23" s="414"/>
      <c r="QRL23" s="414"/>
      <c r="QRM23" s="414"/>
      <c r="QRN23" s="414"/>
      <c r="QRO23" s="414"/>
      <c r="QRP23" s="414"/>
      <c r="QRQ23" s="414"/>
      <c r="QRR23" s="414"/>
      <c r="QRS23" s="414"/>
      <c r="QRT23" s="414"/>
      <c r="QRU23" s="414"/>
      <c r="QRV23" s="414"/>
      <c r="QRW23" s="414"/>
      <c r="QRX23" s="414"/>
      <c r="QRY23" s="414"/>
      <c r="QRZ23" s="414"/>
      <c r="QSA23" s="414"/>
      <c r="QSB23" s="414"/>
      <c r="QSC23" s="414"/>
      <c r="QSD23" s="414"/>
      <c r="QSE23" s="414"/>
      <c r="QSF23" s="414"/>
      <c r="QSG23" s="414"/>
      <c r="QSH23" s="414"/>
      <c r="QSI23" s="414"/>
      <c r="QSJ23" s="414"/>
      <c r="QSK23" s="414"/>
      <c r="QSL23" s="414"/>
      <c r="QSM23" s="414"/>
      <c r="QSN23" s="414"/>
      <c r="QSO23" s="414"/>
      <c r="QSP23" s="414"/>
      <c r="QSQ23" s="414"/>
      <c r="QSR23" s="414"/>
      <c r="QSS23" s="414"/>
      <c r="QST23" s="414"/>
      <c r="QSU23" s="414"/>
      <c r="QSV23" s="414"/>
      <c r="QSW23" s="414"/>
      <c r="QSX23" s="414"/>
      <c r="QSY23" s="414"/>
      <c r="QSZ23" s="414"/>
      <c r="QTA23" s="414"/>
      <c r="QTB23" s="414"/>
      <c r="QTC23" s="414"/>
      <c r="QTD23" s="414"/>
      <c r="QTE23" s="414"/>
      <c r="QTF23" s="414"/>
      <c r="QTG23" s="414"/>
      <c r="QTH23" s="414"/>
      <c r="QTI23" s="414"/>
      <c r="QTJ23" s="414"/>
      <c r="QTK23" s="414"/>
      <c r="QTL23" s="414"/>
      <c r="QTM23" s="414"/>
      <c r="QTN23" s="414"/>
      <c r="QTO23" s="414"/>
      <c r="QTP23" s="414"/>
      <c r="QTQ23" s="414"/>
      <c r="QTR23" s="414"/>
      <c r="QTS23" s="414"/>
      <c r="QTT23" s="414"/>
      <c r="QTU23" s="414"/>
      <c r="QTV23" s="414"/>
      <c r="QTW23" s="414"/>
      <c r="QTX23" s="414"/>
      <c r="QTY23" s="414"/>
      <c r="QTZ23" s="414"/>
      <c r="QUA23" s="414"/>
      <c r="QUB23" s="414"/>
      <c r="QUC23" s="414"/>
      <c r="QUD23" s="414"/>
      <c r="QUE23" s="414"/>
      <c r="QUF23" s="414"/>
      <c r="QUG23" s="414"/>
      <c r="QUH23" s="414"/>
      <c r="QUI23" s="414"/>
      <c r="QUJ23" s="414"/>
      <c r="QUK23" s="414"/>
      <c r="QUL23" s="414"/>
      <c r="QUM23" s="414"/>
      <c r="QUN23" s="414"/>
      <c r="QUO23" s="414"/>
      <c r="QUP23" s="414"/>
      <c r="QUQ23" s="414"/>
      <c r="QUR23" s="414"/>
      <c r="QUS23" s="414"/>
      <c r="QUT23" s="414"/>
      <c r="QUU23" s="414"/>
      <c r="QUV23" s="414"/>
      <c r="QUW23" s="414"/>
      <c r="QUX23" s="414"/>
      <c r="QUY23" s="414"/>
      <c r="QUZ23" s="414"/>
      <c r="QVA23" s="414"/>
      <c r="QVB23" s="414"/>
      <c r="QVC23" s="414"/>
      <c r="QVD23" s="414"/>
      <c r="QVE23" s="414"/>
      <c r="QVF23" s="414"/>
      <c r="QVG23" s="414"/>
      <c r="QVH23" s="414"/>
      <c r="QVI23" s="414"/>
      <c r="QVJ23" s="414"/>
      <c r="QVK23" s="414"/>
      <c r="QVL23" s="414"/>
      <c r="QVM23" s="414"/>
      <c r="QVN23" s="414"/>
      <c r="QVO23" s="414"/>
      <c r="QVP23" s="414"/>
      <c r="QVQ23" s="414"/>
      <c r="QVR23" s="414"/>
      <c r="QVS23" s="414"/>
      <c r="QVT23" s="414"/>
      <c r="QVU23" s="414"/>
      <c r="QVV23" s="414"/>
      <c r="QVW23" s="414"/>
      <c r="QVX23" s="414"/>
      <c r="QVY23" s="414"/>
      <c r="QVZ23" s="414"/>
      <c r="QWA23" s="414"/>
      <c r="QWB23" s="414"/>
      <c r="QWC23" s="414"/>
      <c r="QWD23" s="414"/>
      <c r="QWE23" s="414"/>
      <c r="QWF23" s="414"/>
      <c r="QWG23" s="414"/>
      <c r="QWH23" s="414"/>
      <c r="QWI23" s="414"/>
      <c r="QWJ23" s="414"/>
      <c r="QWK23" s="414"/>
      <c r="QWL23" s="414"/>
      <c r="QWM23" s="414"/>
      <c r="QWN23" s="414"/>
      <c r="QWO23" s="414"/>
      <c r="QWP23" s="414"/>
      <c r="QWQ23" s="414"/>
      <c r="QWR23" s="414"/>
      <c r="QWS23" s="414"/>
      <c r="QWT23" s="414"/>
      <c r="QWU23" s="414"/>
      <c r="QWV23" s="414"/>
      <c r="QWW23" s="414"/>
      <c r="QWX23" s="414"/>
      <c r="QWY23" s="414"/>
      <c r="QWZ23" s="414"/>
      <c r="QXA23" s="414"/>
      <c r="QXB23" s="414"/>
      <c r="QXC23" s="414"/>
      <c r="QXD23" s="414"/>
      <c r="QXE23" s="414"/>
      <c r="QXF23" s="414"/>
      <c r="QXG23" s="414"/>
      <c r="QXH23" s="414"/>
      <c r="QXI23" s="414"/>
      <c r="QXJ23" s="414"/>
      <c r="QXK23" s="414"/>
      <c r="QXL23" s="414"/>
      <c r="QXM23" s="414"/>
      <c r="QXN23" s="414"/>
      <c r="QXO23" s="414"/>
      <c r="QXP23" s="414"/>
      <c r="QXQ23" s="414"/>
      <c r="QXR23" s="414"/>
      <c r="QXS23" s="414"/>
      <c r="QXT23" s="414"/>
      <c r="QXU23" s="414"/>
      <c r="QXV23" s="414"/>
      <c r="QXW23" s="414"/>
      <c r="QXX23" s="414"/>
      <c r="QXY23" s="414"/>
      <c r="QXZ23" s="414"/>
      <c r="QYA23" s="414"/>
      <c r="QYB23" s="414"/>
      <c r="QYC23" s="414"/>
      <c r="QYD23" s="414"/>
      <c r="QYE23" s="414"/>
      <c r="QYF23" s="414"/>
      <c r="QYG23" s="414"/>
      <c r="QYH23" s="414"/>
      <c r="QYI23" s="414"/>
      <c r="QYJ23" s="414"/>
      <c r="QYK23" s="414"/>
      <c r="QYL23" s="414"/>
      <c r="QYM23" s="414"/>
      <c r="QYN23" s="414"/>
      <c r="QYO23" s="414"/>
      <c r="QYP23" s="414"/>
      <c r="QYQ23" s="414"/>
      <c r="QYR23" s="414"/>
      <c r="QYS23" s="414"/>
      <c r="QYT23" s="414"/>
      <c r="QYU23" s="414"/>
      <c r="QYV23" s="414"/>
      <c r="QYW23" s="414"/>
      <c r="QYX23" s="414"/>
      <c r="QYY23" s="414"/>
      <c r="QYZ23" s="414"/>
      <c r="QZA23" s="414"/>
      <c r="QZB23" s="414"/>
      <c r="QZC23" s="414"/>
      <c r="QZD23" s="414"/>
      <c r="QZE23" s="414"/>
      <c r="QZF23" s="414"/>
      <c r="QZG23" s="414"/>
      <c r="QZH23" s="414"/>
      <c r="QZI23" s="414"/>
      <c r="QZJ23" s="414"/>
      <c r="QZK23" s="414"/>
      <c r="QZL23" s="414"/>
      <c r="QZM23" s="414"/>
      <c r="QZN23" s="414"/>
      <c r="QZO23" s="414"/>
      <c r="QZP23" s="414"/>
      <c r="QZQ23" s="414"/>
      <c r="QZR23" s="414"/>
      <c r="QZS23" s="414"/>
      <c r="QZT23" s="414"/>
      <c r="QZU23" s="414"/>
      <c r="QZV23" s="414"/>
      <c r="QZW23" s="414"/>
      <c r="QZX23" s="414"/>
      <c r="QZY23" s="414"/>
      <c r="QZZ23" s="414"/>
      <c r="RAA23" s="414"/>
      <c r="RAB23" s="414"/>
      <c r="RAC23" s="414"/>
      <c r="RAD23" s="414"/>
      <c r="RAE23" s="414"/>
      <c r="RAF23" s="414"/>
      <c r="RAG23" s="414"/>
      <c r="RAH23" s="414"/>
      <c r="RAI23" s="414"/>
      <c r="RAJ23" s="414"/>
      <c r="RAK23" s="414"/>
      <c r="RAL23" s="414"/>
      <c r="RAM23" s="414"/>
      <c r="RAN23" s="414"/>
      <c r="RAO23" s="414"/>
      <c r="RAP23" s="414"/>
      <c r="RAQ23" s="414"/>
      <c r="RAR23" s="414"/>
      <c r="RAS23" s="414"/>
      <c r="RAT23" s="414"/>
      <c r="RAU23" s="414"/>
      <c r="RAV23" s="414"/>
      <c r="RAW23" s="414"/>
      <c r="RAX23" s="414"/>
      <c r="RAY23" s="414"/>
      <c r="RAZ23" s="414"/>
      <c r="RBA23" s="414"/>
      <c r="RBB23" s="414"/>
      <c r="RBC23" s="414"/>
      <c r="RBD23" s="414"/>
      <c r="RBE23" s="414"/>
      <c r="RBF23" s="414"/>
      <c r="RBG23" s="414"/>
      <c r="RBH23" s="414"/>
      <c r="RBI23" s="414"/>
      <c r="RBJ23" s="414"/>
      <c r="RBK23" s="414"/>
      <c r="RBL23" s="414"/>
      <c r="RBM23" s="414"/>
      <c r="RBN23" s="414"/>
      <c r="RBO23" s="414"/>
      <c r="RBP23" s="414"/>
      <c r="RBQ23" s="414"/>
      <c r="RBR23" s="414"/>
      <c r="RBS23" s="414"/>
      <c r="RBT23" s="414"/>
      <c r="RBU23" s="414"/>
      <c r="RBV23" s="414"/>
      <c r="RBW23" s="414"/>
      <c r="RBX23" s="414"/>
      <c r="RBY23" s="414"/>
      <c r="RBZ23" s="414"/>
      <c r="RCA23" s="414"/>
      <c r="RCB23" s="414"/>
      <c r="RCC23" s="414"/>
      <c r="RCD23" s="414"/>
      <c r="RCE23" s="414"/>
      <c r="RCF23" s="414"/>
      <c r="RCG23" s="414"/>
      <c r="RCH23" s="414"/>
      <c r="RCI23" s="414"/>
      <c r="RCJ23" s="414"/>
      <c r="RCK23" s="414"/>
      <c r="RCL23" s="414"/>
      <c r="RCM23" s="414"/>
      <c r="RCN23" s="414"/>
      <c r="RCO23" s="414"/>
      <c r="RCP23" s="414"/>
      <c r="RCQ23" s="414"/>
      <c r="RCR23" s="414"/>
      <c r="RCS23" s="414"/>
      <c r="RCT23" s="414"/>
      <c r="RCU23" s="414"/>
      <c r="RCV23" s="414"/>
      <c r="RCW23" s="414"/>
      <c r="RCX23" s="414"/>
      <c r="RCY23" s="414"/>
      <c r="RCZ23" s="414"/>
      <c r="RDA23" s="414"/>
      <c r="RDB23" s="414"/>
      <c r="RDC23" s="414"/>
      <c r="RDD23" s="414"/>
      <c r="RDE23" s="414"/>
      <c r="RDF23" s="414"/>
      <c r="RDG23" s="414"/>
      <c r="RDH23" s="414"/>
      <c r="RDI23" s="414"/>
      <c r="RDJ23" s="414"/>
      <c r="RDK23" s="414"/>
      <c r="RDL23" s="414"/>
      <c r="RDM23" s="414"/>
      <c r="RDN23" s="414"/>
      <c r="RDO23" s="414"/>
      <c r="RDP23" s="414"/>
      <c r="RDQ23" s="414"/>
      <c r="RDR23" s="414"/>
      <c r="RDS23" s="414"/>
      <c r="RDT23" s="414"/>
      <c r="RDU23" s="414"/>
      <c r="RDV23" s="414"/>
      <c r="RDW23" s="414"/>
      <c r="RDX23" s="414"/>
      <c r="RDY23" s="414"/>
      <c r="RDZ23" s="414"/>
      <c r="REA23" s="414"/>
      <c r="REB23" s="414"/>
      <c r="REC23" s="414"/>
      <c r="RED23" s="414"/>
      <c r="REE23" s="414"/>
      <c r="REF23" s="414"/>
      <c r="REG23" s="414"/>
      <c r="REH23" s="414"/>
      <c r="REI23" s="414"/>
      <c r="REJ23" s="414"/>
      <c r="REK23" s="414"/>
      <c r="REL23" s="414"/>
      <c r="REM23" s="414"/>
      <c r="REN23" s="414"/>
      <c r="REO23" s="414"/>
      <c r="REP23" s="414"/>
      <c r="REQ23" s="414"/>
      <c r="RER23" s="414"/>
      <c r="RES23" s="414"/>
      <c r="RET23" s="414"/>
      <c r="REU23" s="414"/>
      <c r="REV23" s="414"/>
      <c r="REW23" s="414"/>
      <c r="REX23" s="414"/>
      <c r="REY23" s="414"/>
      <c r="REZ23" s="414"/>
      <c r="RFA23" s="414"/>
      <c r="RFB23" s="414"/>
      <c r="RFC23" s="414"/>
      <c r="RFD23" s="414"/>
      <c r="RFE23" s="414"/>
      <c r="RFF23" s="414"/>
      <c r="RFG23" s="414"/>
      <c r="RFH23" s="414"/>
      <c r="RFI23" s="414"/>
      <c r="RFJ23" s="414"/>
      <c r="RFK23" s="414"/>
      <c r="RFL23" s="414"/>
      <c r="RFM23" s="414"/>
      <c r="RFN23" s="414"/>
      <c r="RFO23" s="414"/>
      <c r="RFP23" s="414"/>
      <c r="RFQ23" s="414"/>
      <c r="RFR23" s="414"/>
      <c r="RFS23" s="414"/>
      <c r="RFT23" s="414"/>
      <c r="RFU23" s="414"/>
      <c r="RFV23" s="414"/>
      <c r="RFW23" s="414"/>
      <c r="RFX23" s="414"/>
      <c r="RFY23" s="414"/>
      <c r="RFZ23" s="414"/>
      <c r="RGA23" s="414"/>
      <c r="RGB23" s="414"/>
      <c r="RGC23" s="414"/>
      <c r="RGD23" s="414"/>
      <c r="RGE23" s="414"/>
      <c r="RGF23" s="414"/>
      <c r="RGG23" s="414"/>
      <c r="RGH23" s="414"/>
      <c r="RGI23" s="414"/>
      <c r="RGJ23" s="414"/>
      <c r="RGK23" s="414"/>
      <c r="RGL23" s="414"/>
      <c r="RGM23" s="414"/>
      <c r="RGN23" s="414"/>
      <c r="RGO23" s="414"/>
      <c r="RGP23" s="414"/>
      <c r="RGQ23" s="414"/>
      <c r="RGR23" s="414"/>
      <c r="RGS23" s="414"/>
      <c r="RGT23" s="414"/>
      <c r="RGU23" s="414"/>
      <c r="RGV23" s="414"/>
      <c r="RGW23" s="414"/>
      <c r="RGX23" s="414"/>
      <c r="RGY23" s="414"/>
      <c r="RGZ23" s="414"/>
      <c r="RHA23" s="414"/>
      <c r="RHB23" s="414"/>
      <c r="RHC23" s="414"/>
      <c r="RHD23" s="414"/>
      <c r="RHE23" s="414"/>
      <c r="RHF23" s="414"/>
      <c r="RHG23" s="414"/>
      <c r="RHH23" s="414"/>
      <c r="RHI23" s="414"/>
      <c r="RHJ23" s="414"/>
      <c r="RHK23" s="414"/>
      <c r="RHL23" s="414"/>
      <c r="RHM23" s="414"/>
      <c r="RHN23" s="414"/>
      <c r="RHO23" s="414"/>
      <c r="RHP23" s="414"/>
      <c r="RHQ23" s="414"/>
      <c r="RHR23" s="414"/>
      <c r="RHS23" s="414"/>
      <c r="RHT23" s="414"/>
      <c r="RHU23" s="414"/>
      <c r="RHV23" s="414"/>
      <c r="RHW23" s="414"/>
      <c r="RHX23" s="414"/>
      <c r="RHY23" s="414"/>
      <c r="RHZ23" s="414"/>
      <c r="RIA23" s="414"/>
      <c r="RIB23" s="414"/>
      <c r="RIC23" s="414"/>
      <c r="RID23" s="414"/>
      <c r="RIE23" s="414"/>
      <c r="RIF23" s="414"/>
      <c r="RIG23" s="414"/>
      <c r="RIH23" s="414"/>
      <c r="RII23" s="414"/>
      <c r="RIJ23" s="414"/>
      <c r="RIK23" s="414"/>
      <c r="RIL23" s="414"/>
      <c r="RIM23" s="414"/>
      <c r="RIN23" s="414"/>
      <c r="RIO23" s="414"/>
      <c r="RIP23" s="414"/>
      <c r="RIQ23" s="414"/>
      <c r="RIR23" s="414"/>
      <c r="RIS23" s="414"/>
      <c r="RIT23" s="414"/>
      <c r="RIU23" s="414"/>
      <c r="RIV23" s="414"/>
      <c r="RIW23" s="414"/>
      <c r="RIX23" s="414"/>
      <c r="RIY23" s="414"/>
      <c r="RIZ23" s="414"/>
      <c r="RJA23" s="414"/>
      <c r="RJB23" s="414"/>
      <c r="RJC23" s="414"/>
      <c r="RJD23" s="414"/>
      <c r="RJE23" s="414"/>
      <c r="RJF23" s="414"/>
      <c r="RJG23" s="414"/>
      <c r="RJH23" s="414"/>
      <c r="RJI23" s="414"/>
      <c r="RJJ23" s="414"/>
      <c r="RJK23" s="414"/>
      <c r="RJL23" s="414"/>
      <c r="RJM23" s="414"/>
      <c r="RJN23" s="414"/>
      <c r="RJO23" s="414"/>
      <c r="RJP23" s="414"/>
      <c r="RJQ23" s="414"/>
      <c r="RJR23" s="414"/>
      <c r="RJS23" s="414"/>
      <c r="RJT23" s="414"/>
      <c r="RJU23" s="414"/>
      <c r="RJV23" s="414"/>
      <c r="RJW23" s="414"/>
      <c r="RJX23" s="414"/>
      <c r="RJY23" s="414"/>
      <c r="RJZ23" s="414"/>
      <c r="RKA23" s="414"/>
      <c r="RKB23" s="414"/>
      <c r="RKC23" s="414"/>
      <c r="RKD23" s="414"/>
      <c r="RKE23" s="414"/>
      <c r="RKF23" s="414"/>
      <c r="RKG23" s="414"/>
      <c r="RKH23" s="414"/>
      <c r="RKI23" s="414"/>
      <c r="RKJ23" s="414"/>
      <c r="RKK23" s="414"/>
      <c r="RKL23" s="414"/>
      <c r="RKM23" s="414"/>
      <c r="RKN23" s="414"/>
      <c r="RKO23" s="414"/>
      <c r="RKP23" s="414"/>
      <c r="RKQ23" s="414"/>
      <c r="RKR23" s="414"/>
      <c r="RKS23" s="414"/>
      <c r="RKT23" s="414"/>
      <c r="RKU23" s="414"/>
      <c r="RKV23" s="414"/>
      <c r="RKW23" s="414"/>
      <c r="RKX23" s="414"/>
      <c r="RKY23" s="414"/>
      <c r="RKZ23" s="414"/>
      <c r="RLA23" s="414"/>
      <c r="RLB23" s="414"/>
      <c r="RLC23" s="414"/>
      <c r="RLD23" s="414"/>
      <c r="RLE23" s="414"/>
      <c r="RLF23" s="414"/>
      <c r="RLG23" s="414"/>
      <c r="RLH23" s="414"/>
      <c r="RLI23" s="414"/>
      <c r="RLJ23" s="414"/>
      <c r="RLK23" s="414"/>
      <c r="RLL23" s="414"/>
      <c r="RLM23" s="414"/>
      <c r="RLN23" s="414"/>
      <c r="RLO23" s="414"/>
      <c r="RLP23" s="414"/>
      <c r="RLQ23" s="414"/>
      <c r="RLR23" s="414"/>
      <c r="RLS23" s="414"/>
      <c r="RLT23" s="414"/>
      <c r="RLU23" s="414"/>
      <c r="RLV23" s="414"/>
      <c r="RLW23" s="414"/>
      <c r="RLX23" s="414"/>
      <c r="RLY23" s="414"/>
      <c r="RLZ23" s="414"/>
      <c r="RMA23" s="414"/>
      <c r="RMB23" s="414"/>
      <c r="RMC23" s="414"/>
      <c r="RMD23" s="414"/>
      <c r="RME23" s="414"/>
      <c r="RMF23" s="414"/>
      <c r="RMG23" s="414"/>
      <c r="RMH23" s="414"/>
      <c r="RMI23" s="414"/>
      <c r="RMJ23" s="414"/>
      <c r="RMK23" s="414"/>
      <c r="RML23" s="414"/>
      <c r="RMM23" s="414"/>
      <c r="RMN23" s="414"/>
      <c r="RMO23" s="414"/>
      <c r="RMP23" s="414"/>
      <c r="RMQ23" s="414"/>
      <c r="RMR23" s="414"/>
      <c r="RMS23" s="414"/>
      <c r="RMT23" s="414"/>
      <c r="RMU23" s="414"/>
      <c r="RMV23" s="414"/>
      <c r="RMW23" s="414"/>
      <c r="RMX23" s="414"/>
      <c r="RMY23" s="414"/>
      <c r="RMZ23" s="414"/>
      <c r="RNA23" s="414"/>
      <c r="RNB23" s="414"/>
      <c r="RNC23" s="414"/>
      <c r="RND23" s="414"/>
      <c r="RNE23" s="414"/>
      <c r="RNF23" s="414"/>
      <c r="RNG23" s="414"/>
      <c r="RNH23" s="414"/>
      <c r="RNI23" s="414"/>
      <c r="RNJ23" s="414"/>
      <c r="RNK23" s="414"/>
      <c r="RNL23" s="414"/>
      <c r="RNM23" s="414"/>
      <c r="RNN23" s="414"/>
      <c r="RNO23" s="414"/>
      <c r="RNP23" s="414"/>
      <c r="RNQ23" s="414"/>
      <c r="RNR23" s="414"/>
      <c r="RNS23" s="414"/>
      <c r="RNT23" s="414"/>
      <c r="RNU23" s="414"/>
      <c r="RNV23" s="414"/>
      <c r="RNW23" s="414"/>
      <c r="RNX23" s="414"/>
      <c r="RNY23" s="414"/>
      <c r="RNZ23" s="414"/>
      <c r="ROA23" s="414"/>
      <c r="ROB23" s="414"/>
      <c r="ROC23" s="414"/>
      <c r="ROD23" s="414"/>
      <c r="ROE23" s="414"/>
      <c r="ROF23" s="414"/>
      <c r="ROG23" s="414"/>
      <c r="ROH23" s="414"/>
      <c r="ROI23" s="414"/>
      <c r="ROJ23" s="414"/>
      <c r="ROK23" s="414"/>
      <c r="ROL23" s="414"/>
      <c r="ROM23" s="414"/>
      <c r="RON23" s="414"/>
      <c r="ROO23" s="414"/>
      <c r="ROP23" s="414"/>
      <c r="ROQ23" s="414"/>
      <c r="ROR23" s="414"/>
      <c r="ROS23" s="414"/>
      <c r="ROT23" s="414"/>
      <c r="ROU23" s="414"/>
      <c r="ROV23" s="414"/>
      <c r="ROW23" s="414"/>
      <c r="ROX23" s="414"/>
      <c r="ROY23" s="414"/>
      <c r="ROZ23" s="414"/>
      <c r="RPA23" s="414"/>
      <c r="RPB23" s="414"/>
      <c r="RPC23" s="414"/>
      <c r="RPD23" s="414"/>
      <c r="RPE23" s="414"/>
      <c r="RPF23" s="414"/>
      <c r="RPG23" s="414"/>
      <c r="RPH23" s="414"/>
      <c r="RPI23" s="414"/>
      <c r="RPJ23" s="414"/>
      <c r="RPK23" s="414"/>
      <c r="RPL23" s="414"/>
      <c r="RPM23" s="414"/>
      <c r="RPN23" s="414"/>
      <c r="RPO23" s="414"/>
      <c r="RPP23" s="414"/>
      <c r="RPQ23" s="414"/>
      <c r="RPR23" s="414"/>
      <c r="RPS23" s="414"/>
      <c r="RPT23" s="414"/>
      <c r="RPU23" s="414"/>
      <c r="RPV23" s="414"/>
      <c r="RPW23" s="414"/>
      <c r="RPX23" s="414"/>
      <c r="RPY23" s="414"/>
      <c r="RPZ23" s="414"/>
      <c r="RQA23" s="414"/>
      <c r="RQB23" s="414"/>
      <c r="RQC23" s="414"/>
      <c r="RQD23" s="414"/>
      <c r="RQE23" s="414"/>
      <c r="RQF23" s="414"/>
      <c r="RQG23" s="414"/>
      <c r="RQH23" s="414"/>
      <c r="RQI23" s="414"/>
      <c r="RQJ23" s="414"/>
      <c r="RQK23" s="414"/>
      <c r="RQL23" s="414"/>
      <c r="RQM23" s="414"/>
      <c r="RQN23" s="414"/>
      <c r="RQO23" s="414"/>
      <c r="RQP23" s="414"/>
      <c r="RQQ23" s="414"/>
      <c r="RQR23" s="414"/>
      <c r="RQS23" s="414"/>
      <c r="RQT23" s="414"/>
      <c r="RQU23" s="414"/>
      <c r="RQV23" s="414"/>
      <c r="RQW23" s="414"/>
      <c r="RQX23" s="414"/>
      <c r="RQY23" s="414"/>
      <c r="RQZ23" s="414"/>
      <c r="RRA23" s="414"/>
      <c r="RRB23" s="414"/>
      <c r="RRC23" s="414"/>
      <c r="RRD23" s="414"/>
      <c r="RRE23" s="414"/>
      <c r="RRF23" s="414"/>
      <c r="RRG23" s="414"/>
      <c r="RRH23" s="414"/>
      <c r="RRI23" s="414"/>
      <c r="RRJ23" s="414"/>
      <c r="RRK23" s="414"/>
      <c r="RRL23" s="414"/>
      <c r="RRM23" s="414"/>
      <c r="RRN23" s="414"/>
      <c r="RRO23" s="414"/>
      <c r="RRP23" s="414"/>
      <c r="RRQ23" s="414"/>
      <c r="RRR23" s="414"/>
      <c r="RRS23" s="414"/>
      <c r="RRT23" s="414"/>
      <c r="RRU23" s="414"/>
      <c r="RRV23" s="414"/>
      <c r="RRW23" s="414"/>
      <c r="RRX23" s="414"/>
      <c r="RRY23" s="414"/>
      <c r="RRZ23" s="414"/>
      <c r="RSA23" s="414"/>
      <c r="RSB23" s="414"/>
      <c r="RSC23" s="414"/>
      <c r="RSD23" s="414"/>
      <c r="RSE23" s="414"/>
      <c r="RSF23" s="414"/>
      <c r="RSG23" s="414"/>
      <c r="RSH23" s="414"/>
      <c r="RSI23" s="414"/>
      <c r="RSJ23" s="414"/>
      <c r="RSK23" s="414"/>
      <c r="RSL23" s="414"/>
      <c r="RSM23" s="414"/>
      <c r="RSN23" s="414"/>
      <c r="RSO23" s="414"/>
      <c r="RSP23" s="414"/>
      <c r="RSQ23" s="414"/>
      <c r="RSR23" s="414"/>
      <c r="RSS23" s="414"/>
      <c r="RST23" s="414"/>
      <c r="RSU23" s="414"/>
      <c r="RSV23" s="414"/>
      <c r="RSW23" s="414"/>
      <c r="RSX23" s="414"/>
      <c r="RSY23" s="414"/>
      <c r="RSZ23" s="414"/>
      <c r="RTA23" s="414"/>
      <c r="RTB23" s="414"/>
      <c r="RTC23" s="414"/>
      <c r="RTD23" s="414"/>
      <c r="RTE23" s="414"/>
      <c r="RTF23" s="414"/>
      <c r="RTG23" s="414"/>
      <c r="RTH23" s="414"/>
      <c r="RTI23" s="414"/>
      <c r="RTJ23" s="414"/>
      <c r="RTK23" s="414"/>
      <c r="RTL23" s="414"/>
      <c r="RTM23" s="414"/>
      <c r="RTN23" s="414"/>
      <c r="RTO23" s="414"/>
      <c r="RTP23" s="414"/>
      <c r="RTQ23" s="414"/>
      <c r="RTR23" s="414"/>
      <c r="RTS23" s="414"/>
      <c r="RTT23" s="414"/>
      <c r="RTU23" s="414"/>
      <c r="RTV23" s="414"/>
      <c r="RTW23" s="414"/>
      <c r="RTX23" s="414"/>
      <c r="RTY23" s="414"/>
      <c r="RTZ23" s="414"/>
      <c r="RUA23" s="414"/>
      <c r="RUB23" s="414"/>
      <c r="RUC23" s="414"/>
      <c r="RUD23" s="414"/>
      <c r="RUE23" s="414"/>
      <c r="RUF23" s="414"/>
      <c r="RUG23" s="414"/>
      <c r="RUH23" s="414"/>
      <c r="RUI23" s="414"/>
      <c r="RUJ23" s="414"/>
      <c r="RUK23" s="414"/>
      <c r="RUL23" s="414"/>
      <c r="RUM23" s="414"/>
      <c r="RUN23" s="414"/>
      <c r="RUO23" s="414"/>
      <c r="RUP23" s="414"/>
      <c r="RUQ23" s="414"/>
      <c r="RUR23" s="414"/>
      <c r="RUS23" s="414"/>
      <c r="RUT23" s="414"/>
      <c r="RUU23" s="414"/>
      <c r="RUV23" s="414"/>
      <c r="RUW23" s="414"/>
      <c r="RUX23" s="414"/>
      <c r="RUY23" s="414"/>
      <c r="RUZ23" s="414"/>
      <c r="RVA23" s="414"/>
      <c r="RVB23" s="414"/>
      <c r="RVC23" s="414"/>
      <c r="RVD23" s="414"/>
      <c r="RVE23" s="414"/>
      <c r="RVF23" s="414"/>
      <c r="RVG23" s="414"/>
      <c r="RVH23" s="414"/>
      <c r="RVI23" s="414"/>
      <c r="RVJ23" s="414"/>
      <c r="RVK23" s="414"/>
      <c r="RVL23" s="414"/>
      <c r="RVM23" s="414"/>
      <c r="RVN23" s="414"/>
      <c r="RVO23" s="414"/>
      <c r="RVP23" s="414"/>
      <c r="RVQ23" s="414"/>
      <c r="RVR23" s="414"/>
      <c r="RVS23" s="414"/>
      <c r="RVT23" s="414"/>
      <c r="RVU23" s="414"/>
      <c r="RVV23" s="414"/>
      <c r="RVW23" s="414"/>
      <c r="RVX23" s="414"/>
      <c r="RVY23" s="414"/>
      <c r="RVZ23" s="414"/>
      <c r="RWA23" s="414"/>
      <c r="RWB23" s="414"/>
      <c r="RWC23" s="414"/>
      <c r="RWD23" s="414"/>
      <c r="RWE23" s="414"/>
      <c r="RWF23" s="414"/>
      <c r="RWG23" s="414"/>
      <c r="RWH23" s="414"/>
      <c r="RWI23" s="414"/>
      <c r="RWJ23" s="414"/>
      <c r="RWK23" s="414"/>
      <c r="RWL23" s="414"/>
      <c r="RWM23" s="414"/>
      <c r="RWN23" s="414"/>
      <c r="RWO23" s="414"/>
      <c r="RWP23" s="414"/>
      <c r="RWQ23" s="414"/>
      <c r="RWR23" s="414"/>
      <c r="RWS23" s="414"/>
      <c r="RWT23" s="414"/>
      <c r="RWU23" s="414"/>
      <c r="RWV23" s="414"/>
      <c r="RWW23" s="414"/>
      <c r="RWX23" s="414"/>
      <c r="RWY23" s="414"/>
      <c r="RWZ23" s="414"/>
      <c r="RXA23" s="414"/>
      <c r="RXB23" s="414"/>
      <c r="RXC23" s="414"/>
      <c r="RXD23" s="414"/>
      <c r="RXE23" s="414"/>
      <c r="RXF23" s="414"/>
      <c r="RXG23" s="414"/>
      <c r="RXH23" s="414"/>
      <c r="RXI23" s="414"/>
      <c r="RXJ23" s="414"/>
      <c r="RXK23" s="414"/>
      <c r="RXL23" s="414"/>
      <c r="RXM23" s="414"/>
      <c r="RXN23" s="414"/>
      <c r="RXO23" s="414"/>
      <c r="RXP23" s="414"/>
      <c r="RXQ23" s="414"/>
      <c r="RXR23" s="414"/>
      <c r="RXS23" s="414"/>
      <c r="RXT23" s="414"/>
      <c r="RXU23" s="414"/>
      <c r="RXV23" s="414"/>
      <c r="RXW23" s="414"/>
      <c r="RXX23" s="414"/>
      <c r="RXY23" s="414"/>
      <c r="RXZ23" s="414"/>
      <c r="RYA23" s="414"/>
      <c r="RYB23" s="414"/>
      <c r="RYC23" s="414"/>
      <c r="RYD23" s="414"/>
      <c r="RYE23" s="414"/>
      <c r="RYF23" s="414"/>
      <c r="RYG23" s="414"/>
      <c r="RYH23" s="414"/>
      <c r="RYI23" s="414"/>
      <c r="RYJ23" s="414"/>
      <c r="RYK23" s="414"/>
      <c r="RYL23" s="414"/>
      <c r="RYM23" s="414"/>
      <c r="RYN23" s="414"/>
      <c r="RYO23" s="414"/>
      <c r="RYP23" s="414"/>
      <c r="RYQ23" s="414"/>
      <c r="RYR23" s="414"/>
      <c r="RYS23" s="414"/>
      <c r="RYT23" s="414"/>
      <c r="RYU23" s="414"/>
      <c r="RYV23" s="414"/>
      <c r="RYW23" s="414"/>
      <c r="RYX23" s="414"/>
      <c r="RYY23" s="414"/>
      <c r="RYZ23" s="414"/>
      <c r="RZA23" s="414"/>
      <c r="RZB23" s="414"/>
      <c r="RZC23" s="414"/>
      <c r="RZD23" s="414"/>
      <c r="RZE23" s="414"/>
      <c r="RZF23" s="414"/>
      <c r="RZG23" s="414"/>
      <c r="RZH23" s="414"/>
      <c r="RZI23" s="414"/>
      <c r="RZJ23" s="414"/>
      <c r="RZK23" s="414"/>
      <c r="RZL23" s="414"/>
      <c r="RZM23" s="414"/>
      <c r="RZN23" s="414"/>
      <c r="RZO23" s="414"/>
      <c r="RZP23" s="414"/>
      <c r="RZQ23" s="414"/>
      <c r="RZR23" s="414"/>
      <c r="RZS23" s="414"/>
      <c r="RZT23" s="414"/>
      <c r="RZU23" s="414"/>
      <c r="RZV23" s="414"/>
      <c r="RZW23" s="414"/>
      <c r="RZX23" s="414"/>
      <c r="RZY23" s="414"/>
      <c r="RZZ23" s="414"/>
      <c r="SAA23" s="414"/>
      <c r="SAB23" s="414"/>
      <c r="SAC23" s="414"/>
      <c r="SAD23" s="414"/>
      <c r="SAE23" s="414"/>
      <c r="SAF23" s="414"/>
      <c r="SAG23" s="414"/>
      <c r="SAH23" s="414"/>
      <c r="SAI23" s="414"/>
      <c r="SAJ23" s="414"/>
      <c r="SAK23" s="414"/>
      <c r="SAL23" s="414"/>
      <c r="SAM23" s="414"/>
      <c r="SAN23" s="414"/>
      <c r="SAO23" s="414"/>
      <c r="SAP23" s="414"/>
      <c r="SAQ23" s="414"/>
      <c r="SAR23" s="414"/>
      <c r="SAS23" s="414"/>
      <c r="SAT23" s="414"/>
      <c r="SAU23" s="414"/>
      <c r="SAV23" s="414"/>
      <c r="SAW23" s="414"/>
      <c r="SAX23" s="414"/>
      <c r="SAY23" s="414"/>
      <c r="SAZ23" s="414"/>
      <c r="SBA23" s="414"/>
      <c r="SBB23" s="414"/>
      <c r="SBC23" s="414"/>
      <c r="SBD23" s="414"/>
      <c r="SBE23" s="414"/>
      <c r="SBF23" s="414"/>
      <c r="SBG23" s="414"/>
      <c r="SBH23" s="414"/>
      <c r="SBI23" s="414"/>
      <c r="SBJ23" s="414"/>
      <c r="SBK23" s="414"/>
      <c r="SBL23" s="414"/>
      <c r="SBM23" s="414"/>
      <c r="SBN23" s="414"/>
      <c r="SBO23" s="414"/>
      <c r="SBP23" s="414"/>
      <c r="SBQ23" s="414"/>
      <c r="SBR23" s="414"/>
      <c r="SBS23" s="414"/>
      <c r="SBT23" s="414"/>
      <c r="SBU23" s="414"/>
      <c r="SBV23" s="414"/>
      <c r="SBW23" s="414"/>
      <c r="SBX23" s="414"/>
      <c r="SBY23" s="414"/>
      <c r="SBZ23" s="414"/>
      <c r="SCA23" s="414"/>
      <c r="SCB23" s="414"/>
      <c r="SCC23" s="414"/>
      <c r="SCD23" s="414"/>
      <c r="SCE23" s="414"/>
      <c r="SCF23" s="414"/>
      <c r="SCG23" s="414"/>
      <c r="SCH23" s="414"/>
      <c r="SCI23" s="414"/>
      <c r="SCJ23" s="414"/>
      <c r="SCK23" s="414"/>
      <c r="SCL23" s="414"/>
      <c r="SCM23" s="414"/>
      <c r="SCN23" s="414"/>
      <c r="SCO23" s="414"/>
      <c r="SCP23" s="414"/>
      <c r="SCQ23" s="414"/>
      <c r="SCR23" s="414"/>
      <c r="SCS23" s="414"/>
      <c r="SCT23" s="414"/>
      <c r="SCU23" s="414"/>
      <c r="SCV23" s="414"/>
      <c r="SCW23" s="414"/>
      <c r="SCX23" s="414"/>
      <c r="SCY23" s="414"/>
      <c r="SCZ23" s="414"/>
      <c r="SDA23" s="414"/>
      <c r="SDB23" s="414"/>
      <c r="SDC23" s="414"/>
      <c r="SDD23" s="414"/>
      <c r="SDE23" s="414"/>
      <c r="SDF23" s="414"/>
      <c r="SDG23" s="414"/>
      <c r="SDH23" s="414"/>
      <c r="SDI23" s="414"/>
      <c r="SDJ23" s="414"/>
      <c r="SDK23" s="414"/>
      <c r="SDL23" s="414"/>
      <c r="SDM23" s="414"/>
      <c r="SDN23" s="414"/>
      <c r="SDO23" s="414"/>
      <c r="SDP23" s="414"/>
      <c r="SDQ23" s="414"/>
      <c r="SDR23" s="414"/>
      <c r="SDS23" s="414"/>
      <c r="SDT23" s="414"/>
      <c r="SDU23" s="414"/>
      <c r="SDV23" s="414"/>
      <c r="SDW23" s="414"/>
      <c r="SDX23" s="414"/>
      <c r="SDY23" s="414"/>
      <c r="SDZ23" s="414"/>
      <c r="SEA23" s="414"/>
      <c r="SEB23" s="414"/>
      <c r="SEC23" s="414"/>
      <c r="SED23" s="414"/>
      <c r="SEE23" s="414"/>
      <c r="SEF23" s="414"/>
      <c r="SEG23" s="414"/>
      <c r="SEH23" s="414"/>
      <c r="SEI23" s="414"/>
      <c r="SEJ23" s="414"/>
      <c r="SEK23" s="414"/>
      <c r="SEL23" s="414"/>
      <c r="SEM23" s="414"/>
      <c r="SEN23" s="414"/>
      <c r="SEO23" s="414"/>
      <c r="SEP23" s="414"/>
      <c r="SEQ23" s="414"/>
      <c r="SER23" s="414"/>
      <c r="SES23" s="414"/>
      <c r="SET23" s="414"/>
      <c r="SEU23" s="414"/>
      <c r="SEV23" s="414"/>
      <c r="SEW23" s="414"/>
      <c r="SEX23" s="414"/>
      <c r="SEY23" s="414"/>
      <c r="SEZ23" s="414"/>
      <c r="SFA23" s="414"/>
      <c r="SFB23" s="414"/>
      <c r="SFC23" s="414"/>
      <c r="SFD23" s="414"/>
      <c r="SFE23" s="414"/>
      <c r="SFF23" s="414"/>
      <c r="SFG23" s="414"/>
      <c r="SFH23" s="414"/>
      <c r="SFI23" s="414"/>
      <c r="SFJ23" s="414"/>
      <c r="SFK23" s="414"/>
      <c r="SFL23" s="414"/>
      <c r="SFM23" s="414"/>
      <c r="SFN23" s="414"/>
      <c r="SFO23" s="414"/>
      <c r="SFP23" s="414"/>
      <c r="SFQ23" s="414"/>
      <c r="SFR23" s="414"/>
      <c r="SFS23" s="414"/>
      <c r="SFT23" s="414"/>
      <c r="SFU23" s="414"/>
      <c r="SFV23" s="414"/>
      <c r="SFW23" s="414"/>
      <c r="SFX23" s="414"/>
      <c r="SFY23" s="414"/>
      <c r="SFZ23" s="414"/>
      <c r="SGA23" s="414"/>
      <c r="SGB23" s="414"/>
      <c r="SGC23" s="414"/>
      <c r="SGD23" s="414"/>
      <c r="SGE23" s="414"/>
      <c r="SGF23" s="414"/>
      <c r="SGG23" s="414"/>
      <c r="SGH23" s="414"/>
      <c r="SGI23" s="414"/>
      <c r="SGJ23" s="414"/>
      <c r="SGK23" s="414"/>
      <c r="SGL23" s="414"/>
      <c r="SGM23" s="414"/>
      <c r="SGN23" s="414"/>
      <c r="SGO23" s="414"/>
      <c r="SGP23" s="414"/>
      <c r="SGQ23" s="414"/>
      <c r="SGR23" s="414"/>
      <c r="SGS23" s="414"/>
      <c r="SGT23" s="414"/>
      <c r="SGU23" s="414"/>
      <c r="SGV23" s="414"/>
      <c r="SGW23" s="414"/>
      <c r="SGX23" s="414"/>
      <c r="SGY23" s="414"/>
      <c r="SGZ23" s="414"/>
      <c r="SHA23" s="414"/>
      <c r="SHB23" s="414"/>
      <c r="SHC23" s="414"/>
      <c r="SHD23" s="414"/>
      <c r="SHE23" s="414"/>
      <c r="SHF23" s="414"/>
      <c r="SHG23" s="414"/>
      <c r="SHH23" s="414"/>
      <c r="SHI23" s="414"/>
      <c r="SHJ23" s="414"/>
      <c r="SHK23" s="414"/>
      <c r="SHL23" s="414"/>
      <c r="SHM23" s="414"/>
      <c r="SHN23" s="414"/>
      <c r="SHO23" s="414"/>
      <c r="SHP23" s="414"/>
      <c r="SHQ23" s="414"/>
      <c r="SHR23" s="414"/>
      <c r="SHS23" s="414"/>
      <c r="SHT23" s="414"/>
      <c r="SHU23" s="414"/>
      <c r="SHV23" s="414"/>
      <c r="SHW23" s="414"/>
      <c r="SHX23" s="414"/>
      <c r="SHY23" s="414"/>
      <c r="SHZ23" s="414"/>
      <c r="SIA23" s="414"/>
      <c r="SIB23" s="414"/>
      <c r="SIC23" s="414"/>
      <c r="SID23" s="414"/>
      <c r="SIE23" s="414"/>
      <c r="SIF23" s="414"/>
      <c r="SIG23" s="414"/>
      <c r="SIH23" s="414"/>
      <c r="SII23" s="414"/>
      <c r="SIJ23" s="414"/>
      <c r="SIK23" s="414"/>
      <c r="SIL23" s="414"/>
      <c r="SIM23" s="414"/>
      <c r="SIN23" s="414"/>
      <c r="SIO23" s="414"/>
      <c r="SIP23" s="414"/>
      <c r="SIQ23" s="414"/>
      <c r="SIR23" s="414"/>
      <c r="SIS23" s="414"/>
      <c r="SIT23" s="414"/>
      <c r="SIU23" s="414"/>
      <c r="SIV23" s="414"/>
      <c r="SIW23" s="414"/>
      <c r="SIX23" s="414"/>
      <c r="SIY23" s="414"/>
      <c r="SIZ23" s="414"/>
      <c r="SJA23" s="414"/>
      <c r="SJB23" s="414"/>
      <c r="SJC23" s="414"/>
      <c r="SJD23" s="414"/>
      <c r="SJE23" s="414"/>
      <c r="SJF23" s="414"/>
      <c r="SJG23" s="414"/>
      <c r="SJH23" s="414"/>
      <c r="SJI23" s="414"/>
      <c r="SJJ23" s="414"/>
      <c r="SJK23" s="414"/>
      <c r="SJL23" s="414"/>
      <c r="SJM23" s="414"/>
      <c r="SJN23" s="414"/>
      <c r="SJO23" s="414"/>
      <c r="SJP23" s="414"/>
      <c r="SJQ23" s="414"/>
      <c r="SJR23" s="414"/>
      <c r="SJS23" s="414"/>
      <c r="SJT23" s="414"/>
      <c r="SJU23" s="414"/>
      <c r="SJV23" s="414"/>
      <c r="SJW23" s="414"/>
      <c r="SJX23" s="414"/>
      <c r="SJY23" s="414"/>
      <c r="SJZ23" s="414"/>
      <c r="SKA23" s="414"/>
      <c r="SKB23" s="414"/>
      <c r="SKC23" s="414"/>
      <c r="SKD23" s="414"/>
      <c r="SKE23" s="414"/>
      <c r="SKF23" s="414"/>
      <c r="SKG23" s="414"/>
      <c r="SKH23" s="414"/>
      <c r="SKI23" s="414"/>
      <c r="SKJ23" s="414"/>
      <c r="SKK23" s="414"/>
      <c r="SKL23" s="414"/>
      <c r="SKM23" s="414"/>
      <c r="SKN23" s="414"/>
      <c r="SKO23" s="414"/>
      <c r="SKP23" s="414"/>
      <c r="SKQ23" s="414"/>
      <c r="SKR23" s="414"/>
      <c r="SKS23" s="414"/>
      <c r="SKT23" s="414"/>
      <c r="SKU23" s="414"/>
      <c r="SKV23" s="414"/>
      <c r="SKW23" s="414"/>
      <c r="SKX23" s="414"/>
      <c r="SKY23" s="414"/>
      <c r="SKZ23" s="414"/>
      <c r="SLA23" s="414"/>
      <c r="SLB23" s="414"/>
      <c r="SLC23" s="414"/>
      <c r="SLD23" s="414"/>
      <c r="SLE23" s="414"/>
      <c r="SLF23" s="414"/>
      <c r="SLG23" s="414"/>
      <c r="SLH23" s="414"/>
      <c r="SLI23" s="414"/>
      <c r="SLJ23" s="414"/>
      <c r="SLK23" s="414"/>
      <c r="SLL23" s="414"/>
      <c r="SLM23" s="414"/>
      <c r="SLN23" s="414"/>
      <c r="SLO23" s="414"/>
      <c r="SLP23" s="414"/>
      <c r="SLQ23" s="414"/>
      <c r="SLR23" s="414"/>
      <c r="SLS23" s="414"/>
      <c r="SLT23" s="414"/>
      <c r="SLU23" s="414"/>
      <c r="SLV23" s="414"/>
      <c r="SLW23" s="414"/>
      <c r="SLX23" s="414"/>
      <c r="SLY23" s="414"/>
      <c r="SLZ23" s="414"/>
      <c r="SMA23" s="414"/>
      <c r="SMB23" s="414"/>
      <c r="SMC23" s="414"/>
      <c r="SMD23" s="414"/>
      <c r="SME23" s="414"/>
      <c r="SMF23" s="414"/>
      <c r="SMG23" s="414"/>
      <c r="SMH23" s="414"/>
      <c r="SMI23" s="414"/>
      <c r="SMJ23" s="414"/>
      <c r="SMK23" s="414"/>
      <c r="SML23" s="414"/>
      <c r="SMM23" s="414"/>
      <c r="SMN23" s="414"/>
      <c r="SMO23" s="414"/>
      <c r="SMP23" s="414"/>
      <c r="SMQ23" s="414"/>
      <c r="SMR23" s="414"/>
      <c r="SMS23" s="414"/>
      <c r="SMT23" s="414"/>
      <c r="SMU23" s="414"/>
      <c r="SMV23" s="414"/>
      <c r="SMW23" s="414"/>
      <c r="SMX23" s="414"/>
      <c r="SMY23" s="414"/>
      <c r="SMZ23" s="414"/>
      <c r="SNA23" s="414"/>
      <c r="SNB23" s="414"/>
      <c r="SNC23" s="414"/>
      <c r="SND23" s="414"/>
      <c r="SNE23" s="414"/>
      <c r="SNF23" s="414"/>
      <c r="SNG23" s="414"/>
      <c r="SNH23" s="414"/>
      <c r="SNI23" s="414"/>
      <c r="SNJ23" s="414"/>
      <c r="SNK23" s="414"/>
      <c r="SNL23" s="414"/>
      <c r="SNM23" s="414"/>
      <c r="SNN23" s="414"/>
      <c r="SNO23" s="414"/>
      <c r="SNP23" s="414"/>
      <c r="SNQ23" s="414"/>
      <c r="SNR23" s="414"/>
      <c r="SNS23" s="414"/>
      <c r="SNT23" s="414"/>
      <c r="SNU23" s="414"/>
      <c r="SNV23" s="414"/>
      <c r="SNW23" s="414"/>
      <c r="SNX23" s="414"/>
      <c r="SNY23" s="414"/>
      <c r="SNZ23" s="414"/>
      <c r="SOA23" s="414"/>
      <c r="SOB23" s="414"/>
      <c r="SOC23" s="414"/>
      <c r="SOD23" s="414"/>
      <c r="SOE23" s="414"/>
      <c r="SOF23" s="414"/>
      <c r="SOG23" s="414"/>
      <c r="SOH23" s="414"/>
      <c r="SOI23" s="414"/>
      <c r="SOJ23" s="414"/>
      <c r="SOK23" s="414"/>
      <c r="SOL23" s="414"/>
      <c r="SOM23" s="414"/>
      <c r="SON23" s="414"/>
      <c r="SOO23" s="414"/>
      <c r="SOP23" s="414"/>
      <c r="SOQ23" s="414"/>
      <c r="SOR23" s="414"/>
      <c r="SOS23" s="414"/>
      <c r="SOT23" s="414"/>
      <c r="SOU23" s="414"/>
      <c r="SOV23" s="414"/>
      <c r="SOW23" s="414"/>
      <c r="SOX23" s="414"/>
      <c r="SOY23" s="414"/>
      <c r="SOZ23" s="414"/>
      <c r="SPA23" s="414"/>
      <c r="SPB23" s="414"/>
      <c r="SPC23" s="414"/>
      <c r="SPD23" s="414"/>
      <c r="SPE23" s="414"/>
      <c r="SPF23" s="414"/>
      <c r="SPG23" s="414"/>
      <c r="SPH23" s="414"/>
      <c r="SPI23" s="414"/>
      <c r="SPJ23" s="414"/>
      <c r="SPK23" s="414"/>
      <c r="SPL23" s="414"/>
      <c r="SPM23" s="414"/>
      <c r="SPN23" s="414"/>
      <c r="SPO23" s="414"/>
      <c r="SPP23" s="414"/>
      <c r="SPQ23" s="414"/>
      <c r="SPR23" s="414"/>
      <c r="SPS23" s="414"/>
      <c r="SPT23" s="414"/>
      <c r="SPU23" s="414"/>
      <c r="SPV23" s="414"/>
      <c r="SPW23" s="414"/>
      <c r="SPX23" s="414"/>
      <c r="SPY23" s="414"/>
      <c r="SPZ23" s="414"/>
      <c r="SQA23" s="414"/>
      <c r="SQB23" s="414"/>
      <c r="SQC23" s="414"/>
      <c r="SQD23" s="414"/>
      <c r="SQE23" s="414"/>
      <c r="SQF23" s="414"/>
      <c r="SQG23" s="414"/>
      <c r="SQH23" s="414"/>
      <c r="SQI23" s="414"/>
      <c r="SQJ23" s="414"/>
      <c r="SQK23" s="414"/>
      <c r="SQL23" s="414"/>
      <c r="SQM23" s="414"/>
      <c r="SQN23" s="414"/>
      <c r="SQO23" s="414"/>
      <c r="SQP23" s="414"/>
      <c r="SQQ23" s="414"/>
      <c r="SQR23" s="414"/>
      <c r="SQS23" s="414"/>
      <c r="SQT23" s="414"/>
      <c r="SQU23" s="414"/>
      <c r="SQV23" s="414"/>
      <c r="SQW23" s="414"/>
      <c r="SQX23" s="414"/>
      <c r="SQY23" s="414"/>
      <c r="SQZ23" s="414"/>
      <c r="SRA23" s="414"/>
      <c r="SRB23" s="414"/>
      <c r="SRC23" s="414"/>
      <c r="SRD23" s="414"/>
      <c r="SRE23" s="414"/>
      <c r="SRF23" s="414"/>
      <c r="SRG23" s="414"/>
      <c r="SRH23" s="414"/>
      <c r="SRI23" s="414"/>
      <c r="SRJ23" s="414"/>
      <c r="SRK23" s="414"/>
      <c r="SRL23" s="414"/>
      <c r="SRM23" s="414"/>
      <c r="SRN23" s="414"/>
      <c r="SRO23" s="414"/>
      <c r="SRP23" s="414"/>
      <c r="SRQ23" s="414"/>
      <c r="SRR23" s="414"/>
      <c r="SRS23" s="414"/>
      <c r="SRT23" s="414"/>
      <c r="SRU23" s="414"/>
      <c r="SRV23" s="414"/>
      <c r="SRW23" s="414"/>
      <c r="SRX23" s="414"/>
      <c r="SRY23" s="414"/>
      <c r="SRZ23" s="414"/>
      <c r="SSA23" s="414"/>
      <c r="SSB23" s="414"/>
      <c r="SSC23" s="414"/>
      <c r="SSD23" s="414"/>
      <c r="SSE23" s="414"/>
      <c r="SSF23" s="414"/>
      <c r="SSG23" s="414"/>
      <c r="SSH23" s="414"/>
      <c r="SSI23" s="414"/>
      <c r="SSJ23" s="414"/>
      <c r="SSK23" s="414"/>
      <c r="SSL23" s="414"/>
      <c r="SSM23" s="414"/>
      <c r="SSN23" s="414"/>
      <c r="SSO23" s="414"/>
      <c r="SSP23" s="414"/>
      <c r="SSQ23" s="414"/>
      <c r="SSR23" s="414"/>
      <c r="SSS23" s="414"/>
      <c r="SST23" s="414"/>
      <c r="SSU23" s="414"/>
      <c r="SSV23" s="414"/>
      <c r="SSW23" s="414"/>
      <c r="SSX23" s="414"/>
      <c r="SSY23" s="414"/>
      <c r="SSZ23" s="414"/>
      <c r="STA23" s="414"/>
      <c r="STB23" s="414"/>
      <c r="STC23" s="414"/>
      <c r="STD23" s="414"/>
      <c r="STE23" s="414"/>
      <c r="STF23" s="414"/>
      <c r="STG23" s="414"/>
      <c r="STH23" s="414"/>
      <c r="STI23" s="414"/>
      <c r="STJ23" s="414"/>
      <c r="STK23" s="414"/>
      <c r="STL23" s="414"/>
      <c r="STM23" s="414"/>
      <c r="STN23" s="414"/>
      <c r="STO23" s="414"/>
      <c r="STP23" s="414"/>
      <c r="STQ23" s="414"/>
      <c r="STR23" s="414"/>
      <c r="STS23" s="414"/>
      <c r="STT23" s="414"/>
      <c r="STU23" s="414"/>
      <c r="STV23" s="414"/>
      <c r="STW23" s="414"/>
      <c r="STX23" s="414"/>
      <c r="STY23" s="414"/>
      <c r="STZ23" s="414"/>
      <c r="SUA23" s="414"/>
      <c r="SUB23" s="414"/>
      <c r="SUC23" s="414"/>
      <c r="SUD23" s="414"/>
      <c r="SUE23" s="414"/>
      <c r="SUF23" s="414"/>
      <c r="SUG23" s="414"/>
      <c r="SUH23" s="414"/>
      <c r="SUI23" s="414"/>
      <c r="SUJ23" s="414"/>
      <c r="SUK23" s="414"/>
      <c r="SUL23" s="414"/>
      <c r="SUM23" s="414"/>
      <c r="SUN23" s="414"/>
      <c r="SUO23" s="414"/>
      <c r="SUP23" s="414"/>
      <c r="SUQ23" s="414"/>
      <c r="SUR23" s="414"/>
      <c r="SUS23" s="414"/>
      <c r="SUT23" s="414"/>
      <c r="SUU23" s="414"/>
      <c r="SUV23" s="414"/>
      <c r="SUW23" s="414"/>
      <c r="SUX23" s="414"/>
      <c r="SUY23" s="414"/>
      <c r="SUZ23" s="414"/>
      <c r="SVA23" s="414"/>
      <c r="SVB23" s="414"/>
      <c r="SVC23" s="414"/>
      <c r="SVD23" s="414"/>
      <c r="SVE23" s="414"/>
      <c r="SVF23" s="414"/>
      <c r="SVG23" s="414"/>
      <c r="SVH23" s="414"/>
      <c r="SVI23" s="414"/>
      <c r="SVJ23" s="414"/>
      <c r="SVK23" s="414"/>
      <c r="SVL23" s="414"/>
      <c r="SVM23" s="414"/>
      <c r="SVN23" s="414"/>
      <c r="SVO23" s="414"/>
      <c r="SVP23" s="414"/>
      <c r="SVQ23" s="414"/>
      <c r="SVR23" s="414"/>
      <c r="SVS23" s="414"/>
      <c r="SVT23" s="414"/>
      <c r="SVU23" s="414"/>
      <c r="SVV23" s="414"/>
      <c r="SVW23" s="414"/>
      <c r="SVX23" s="414"/>
      <c r="SVY23" s="414"/>
      <c r="SVZ23" s="414"/>
      <c r="SWA23" s="414"/>
      <c r="SWB23" s="414"/>
      <c r="SWC23" s="414"/>
      <c r="SWD23" s="414"/>
      <c r="SWE23" s="414"/>
      <c r="SWF23" s="414"/>
      <c r="SWG23" s="414"/>
      <c r="SWH23" s="414"/>
      <c r="SWI23" s="414"/>
      <c r="SWJ23" s="414"/>
      <c r="SWK23" s="414"/>
      <c r="SWL23" s="414"/>
      <c r="SWM23" s="414"/>
      <c r="SWN23" s="414"/>
      <c r="SWO23" s="414"/>
      <c r="SWP23" s="414"/>
      <c r="SWQ23" s="414"/>
      <c r="SWR23" s="414"/>
      <c r="SWS23" s="414"/>
      <c r="SWT23" s="414"/>
      <c r="SWU23" s="414"/>
      <c r="SWV23" s="414"/>
      <c r="SWW23" s="414"/>
      <c r="SWX23" s="414"/>
      <c r="SWY23" s="414"/>
      <c r="SWZ23" s="414"/>
      <c r="SXA23" s="414"/>
      <c r="SXB23" s="414"/>
      <c r="SXC23" s="414"/>
      <c r="SXD23" s="414"/>
      <c r="SXE23" s="414"/>
      <c r="SXF23" s="414"/>
      <c r="SXG23" s="414"/>
      <c r="SXH23" s="414"/>
      <c r="SXI23" s="414"/>
      <c r="SXJ23" s="414"/>
      <c r="SXK23" s="414"/>
      <c r="SXL23" s="414"/>
      <c r="SXM23" s="414"/>
      <c r="SXN23" s="414"/>
      <c r="SXO23" s="414"/>
      <c r="SXP23" s="414"/>
      <c r="SXQ23" s="414"/>
      <c r="SXR23" s="414"/>
      <c r="SXS23" s="414"/>
      <c r="SXT23" s="414"/>
      <c r="SXU23" s="414"/>
      <c r="SXV23" s="414"/>
      <c r="SXW23" s="414"/>
      <c r="SXX23" s="414"/>
      <c r="SXY23" s="414"/>
      <c r="SXZ23" s="414"/>
      <c r="SYA23" s="414"/>
      <c r="SYB23" s="414"/>
      <c r="SYC23" s="414"/>
      <c r="SYD23" s="414"/>
      <c r="SYE23" s="414"/>
      <c r="SYF23" s="414"/>
      <c r="SYG23" s="414"/>
      <c r="SYH23" s="414"/>
      <c r="SYI23" s="414"/>
      <c r="SYJ23" s="414"/>
      <c r="SYK23" s="414"/>
      <c r="SYL23" s="414"/>
      <c r="SYM23" s="414"/>
      <c r="SYN23" s="414"/>
      <c r="SYO23" s="414"/>
      <c r="SYP23" s="414"/>
      <c r="SYQ23" s="414"/>
      <c r="SYR23" s="414"/>
      <c r="SYS23" s="414"/>
      <c r="SYT23" s="414"/>
      <c r="SYU23" s="414"/>
      <c r="SYV23" s="414"/>
      <c r="SYW23" s="414"/>
      <c r="SYX23" s="414"/>
      <c r="SYY23" s="414"/>
      <c r="SYZ23" s="414"/>
      <c r="SZA23" s="414"/>
      <c r="SZB23" s="414"/>
      <c r="SZC23" s="414"/>
      <c r="SZD23" s="414"/>
      <c r="SZE23" s="414"/>
      <c r="SZF23" s="414"/>
      <c r="SZG23" s="414"/>
      <c r="SZH23" s="414"/>
      <c r="SZI23" s="414"/>
      <c r="SZJ23" s="414"/>
      <c r="SZK23" s="414"/>
      <c r="SZL23" s="414"/>
      <c r="SZM23" s="414"/>
      <c r="SZN23" s="414"/>
      <c r="SZO23" s="414"/>
      <c r="SZP23" s="414"/>
      <c r="SZQ23" s="414"/>
      <c r="SZR23" s="414"/>
      <c r="SZS23" s="414"/>
      <c r="SZT23" s="414"/>
      <c r="SZU23" s="414"/>
      <c r="SZV23" s="414"/>
      <c r="SZW23" s="414"/>
      <c r="SZX23" s="414"/>
      <c r="SZY23" s="414"/>
      <c r="SZZ23" s="414"/>
      <c r="TAA23" s="414"/>
      <c r="TAB23" s="414"/>
      <c r="TAC23" s="414"/>
      <c r="TAD23" s="414"/>
      <c r="TAE23" s="414"/>
      <c r="TAF23" s="414"/>
      <c r="TAG23" s="414"/>
      <c r="TAH23" s="414"/>
      <c r="TAI23" s="414"/>
      <c r="TAJ23" s="414"/>
      <c r="TAK23" s="414"/>
      <c r="TAL23" s="414"/>
      <c r="TAM23" s="414"/>
      <c r="TAN23" s="414"/>
      <c r="TAO23" s="414"/>
      <c r="TAP23" s="414"/>
      <c r="TAQ23" s="414"/>
      <c r="TAR23" s="414"/>
      <c r="TAS23" s="414"/>
      <c r="TAT23" s="414"/>
      <c r="TAU23" s="414"/>
      <c r="TAV23" s="414"/>
      <c r="TAW23" s="414"/>
      <c r="TAX23" s="414"/>
      <c r="TAY23" s="414"/>
      <c r="TAZ23" s="414"/>
      <c r="TBA23" s="414"/>
      <c r="TBB23" s="414"/>
      <c r="TBC23" s="414"/>
      <c r="TBD23" s="414"/>
      <c r="TBE23" s="414"/>
      <c r="TBF23" s="414"/>
      <c r="TBG23" s="414"/>
      <c r="TBH23" s="414"/>
      <c r="TBI23" s="414"/>
      <c r="TBJ23" s="414"/>
      <c r="TBK23" s="414"/>
      <c r="TBL23" s="414"/>
      <c r="TBM23" s="414"/>
      <c r="TBN23" s="414"/>
      <c r="TBO23" s="414"/>
      <c r="TBP23" s="414"/>
      <c r="TBQ23" s="414"/>
      <c r="TBR23" s="414"/>
      <c r="TBS23" s="414"/>
      <c r="TBT23" s="414"/>
      <c r="TBU23" s="414"/>
      <c r="TBV23" s="414"/>
      <c r="TBW23" s="414"/>
      <c r="TBX23" s="414"/>
      <c r="TBY23" s="414"/>
      <c r="TBZ23" s="414"/>
      <c r="TCA23" s="414"/>
      <c r="TCB23" s="414"/>
      <c r="TCC23" s="414"/>
      <c r="TCD23" s="414"/>
      <c r="TCE23" s="414"/>
      <c r="TCF23" s="414"/>
      <c r="TCG23" s="414"/>
      <c r="TCH23" s="414"/>
      <c r="TCI23" s="414"/>
      <c r="TCJ23" s="414"/>
      <c r="TCK23" s="414"/>
      <c r="TCL23" s="414"/>
      <c r="TCM23" s="414"/>
      <c r="TCN23" s="414"/>
      <c r="TCO23" s="414"/>
      <c r="TCP23" s="414"/>
      <c r="TCQ23" s="414"/>
      <c r="TCR23" s="414"/>
      <c r="TCS23" s="414"/>
      <c r="TCT23" s="414"/>
      <c r="TCU23" s="414"/>
      <c r="TCV23" s="414"/>
      <c r="TCW23" s="414"/>
      <c r="TCX23" s="414"/>
      <c r="TCY23" s="414"/>
      <c r="TCZ23" s="414"/>
      <c r="TDA23" s="414"/>
      <c r="TDB23" s="414"/>
      <c r="TDC23" s="414"/>
      <c r="TDD23" s="414"/>
      <c r="TDE23" s="414"/>
      <c r="TDF23" s="414"/>
      <c r="TDG23" s="414"/>
      <c r="TDH23" s="414"/>
      <c r="TDI23" s="414"/>
      <c r="TDJ23" s="414"/>
      <c r="TDK23" s="414"/>
      <c r="TDL23" s="414"/>
      <c r="TDM23" s="414"/>
      <c r="TDN23" s="414"/>
      <c r="TDO23" s="414"/>
      <c r="TDP23" s="414"/>
      <c r="TDQ23" s="414"/>
      <c r="TDR23" s="414"/>
      <c r="TDS23" s="414"/>
      <c r="TDT23" s="414"/>
      <c r="TDU23" s="414"/>
      <c r="TDV23" s="414"/>
      <c r="TDW23" s="414"/>
      <c r="TDX23" s="414"/>
      <c r="TDY23" s="414"/>
      <c r="TDZ23" s="414"/>
      <c r="TEA23" s="414"/>
      <c r="TEB23" s="414"/>
      <c r="TEC23" s="414"/>
      <c r="TED23" s="414"/>
      <c r="TEE23" s="414"/>
      <c r="TEF23" s="414"/>
      <c r="TEG23" s="414"/>
      <c r="TEH23" s="414"/>
      <c r="TEI23" s="414"/>
      <c r="TEJ23" s="414"/>
      <c r="TEK23" s="414"/>
      <c r="TEL23" s="414"/>
      <c r="TEM23" s="414"/>
      <c r="TEN23" s="414"/>
      <c r="TEO23" s="414"/>
      <c r="TEP23" s="414"/>
      <c r="TEQ23" s="414"/>
      <c r="TER23" s="414"/>
      <c r="TES23" s="414"/>
      <c r="TET23" s="414"/>
      <c r="TEU23" s="414"/>
      <c r="TEV23" s="414"/>
      <c r="TEW23" s="414"/>
      <c r="TEX23" s="414"/>
      <c r="TEY23" s="414"/>
      <c r="TEZ23" s="414"/>
      <c r="TFA23" s="414"/>
      <c r="TFB23" s="414"/>
      <c r="TFC23" s="414"/>
      <c r="TFD23" s="414"/>
      <c r="TFE23" s="414"/>
      <c r="TFF23" s="414"/>
      <c r="TFG23" s="414"/>
      <c r="TFH23" s="414"/>
      <c r="TFI23" s="414"/>
      <c r="TFJ23" s="414"/>
      <c r="TFK23" s="414"/>
      <c r="TFL23" s="414"/>
      <c r="TFM23" s="414"/>
      <c r="TFN23" s="414"/>
      <c r="TFO23" s="414"/>
      <c r="TFP23" s="414"/>
      <c r="TFQ23" s="414"/>
      <c r="TFR23" s="414"/>
      <c r="TFS23" s="414"/>
      <c r="TFT23" s="414"/>
      <c r="TFU23" s="414"/>
      <c r="TFV23" s="414"/>
      <c r="TFW23" s="414"/>
      <c r="TFX23" s="414"/>
      <c r="TFY23" s="414"/>
      <c r="TFZ23" s="414"/>
      <c r="TGA23" s="414"/>
      <c r="TGB23" s="414"/>
      <c r="TGC23" s="414"/>
      <c r="TGD23" s="414"/>
      <c r="TGE23" s="414"/>
      <c r="TGF23" s="414"/>
      <c r="TGG23" s="414"/>
      <c r="TGH23" s="414"/>
      <c r="TGI23" s="414"/>
      <c r="TGJ23" s="414"/>
      <c r="TGK23" s="414"/>
      <c r="TGL23" s="414"/>
      <c r="TGM23" s="414"/>
      <c r="TGN23" s="414"/>
      <c r="TGO23" s="414"/>
      <c r="TGP23" s="414"/>
      <c r="TGQ23" s="414"/>
      <c r="TGR23" s="414"/>
      <c r="TGS23" s="414"/>
      <c r="TGT23" s="414"/>
      <c r="TGU23" s="414"/>
      <c r="TGV23" s="414"/>
      <c r="TGW23" s="414"/>
      <c r="TGX23" s="414"/>
      <c r="TGY23" s="414"/>
      <c r="TGZ23" s="414"/>
      <c r="THA23" s="414"/>
      <c r="THB23" s="414"/>
      <c r="THC23" s="414"/>
      <c r="THD23" s="414"/>
      <c r="THE23" s="414"/>
      <c r="THF23" s="414"/>
      <c r="THG23" s="414"/>
      <c r="THH23" s="414"/>
      <c r="THI23" s="414"/>
      <c r="THJ23" s="414"/>
      <c r="THK23" s="414"/>
      <c r="THL23" s="414"/>
      <c r="THM23" s="414"/>
      <c r="THN23" s="414"/>
      <c r="THO23" s="414"/>
      <c r="THP23" s="414"/>
      <c r="THQ23" s="414"/>
      <c r="THR23" s="414"/>
      <c r="THS23" s="414"/>
      <c r="THT23" s="414"/>
      <c r="THU23" s="414"/>
      <c r="THV23" s="414"/>
      <c r="THW23" s="414"/>
      <c r="THX23" s="414"/>
      <c r="THY23" s="414"/>
      <c r="THZ23" s="414"/>
      <c r="TIA23" s="414"/>
      <c r="TIB23" s="414"/>
      <c r="TIC23" s="414"/>
      <c r="TID23" s="414"/>
      <c r="TIE23" s="414"/>
      <c r="TIF23" s="414"/>
      <c r="TIG23" s="414"/>
      <c r="TIH23" s="414"/>
      <c r="TII23" s="414"/>
      <c r="TIJ23" s="414"/>
      <c r="TIK23" s="414"/>
      <c r="TIL23" s="414"/>
      <c r="TIM23" s="414"/>
      <c r="TIN23" s="414"/>
      <c r="TIO23" s="414"/>
      <c r="TIP23" s="414"/>
      <c r="TIQ23" s="414"/>
      <c r="TIR23" s="414"/>
      <c r="TIS23" s="414"/>
      <c r="TIT23" s="414"/>
      <c r="TIU23" s="414"/>
      <c r="TIV23" s="414"/>
      <c r="TIW23" s="414"/>
      <c r="TIX23" s="414"/>
      <c r="TIY23" s="414"/>
      <c r="TIZ23" s="414"/>
      <c r="TJA23" s="414"/>
      <c r="TJB23" s="414"/>
      <c r="TJC23" s="414"/>
      <c r="TJD23" s="414"/>
      <c r="TJE23" s="414"/>
      <c r="TJF23" s="414"/>
      <c r="TJG23" s="414"/>
      <c r="TJH23" s="414"/>
      <c r="TJI23" s="414"/>
      <c r="TJJ23" s="414"/>
      <c r="TJK23" s="414"/>
      <c r="TJL23" s="414"/>
      <c r="TJM23" s="414"/>
      <c r="TJN23" s="414"/>
      <c r="TJO23" s="414"/>
      <c r="TJP23" s="414"/>
      <c r="TJQ23" s="414"/>
      <c r="TJR23" s="414"/>
      <c r="TJS23" s="414"/>
      <c r="TJT23" s="414"/>
      <c r="TJU23" s="414"/>
      <c r="TJV23" s="414"/>
      <c r="TJW23" s="414"/>
      <c r="TJX23" s="414"/>
      <c r="TJY23" s="414"/>
      <c r="TJZ23" s="414"/>
      <c r="TKA23" s="414"/>
      <c r="TKB23" s="414"/>
      <c r="TKC23" s="414"/>
      <c r="TKD23" s="414"/>
      <c r="TKE23" s="414"/>
      <c r="TKF23" s="414"/>
      <c r="TKG23" s="414"/>
      <c r="TKH23" s="414"/>
      <c r="TKI23" s="414"/>
      <c r="TKJ23" s="414"/>
      <c r="TKK23" s="414"/>
      <c r="TKL23" s="414"/>
      <c r="TKM23" s="414"/>
      <c r="TKN23" s="414"/>
      <c r="TKO23" s="414"/>
      <c r="TKP23" s="414"/>
      <c r="TKQ23" s="414"/>
      <c r="TKR23" s="414"/>
      <c r="TKS23" s="414"/>
      <c r="TKT23" s="414"/>
      <c r="TKU23" s="414"/>
      <c r="TKV23" s="414"/>
      <c r="TKW23" s="414"/>
      <c r="TKX23" s="414"/>
      <c r="TKY23" s="414"/>
      <c r="TKZ23" s="414"/>
      <c r="TLA23" s="414"/>
      <c r="TLB23" s="414"/>
      <c r="TLC23" s="414"/>
      <c r="TLD23" s="414"/>
      <c r="TLE23" s="414"/>
      <c r="TLF23" s="414"/>
      <c r="TLG23" s="414"/>
      <c r="TLH23" s="414"/>
      <c r="TLI23" s="414"/>
      <c r="TLJ23" s="414"/>
      <c r="TLK23" s="414"/>
      <c r="TLL23" s="414"/>
      <c r="TLM23" s="414"/>
      <c r="TLN23" s="414"/>
      <c r="TLO23" s="414"/>
      <c r="TLP23" s="414"/>
      <c r="TLQ23" s="414"/>
      <c r="TLR23" s="414"/>
      <c r="TLS23" s="414"/>
      <c r="TLT23" s="414"/>
      <c r="TLU23" s="414"/>
      <c r="TLV23" s="414"/>
      <c r="TLW23" s="414"/>
      <c r="TLX23" s="414"/>
      <c r="TLY23" s="414"/>
      <c r="TLZ23" s="414"/>
      <c r="TMA23" s="414"/>
      <c r="TMB23" s="414"/>
      <c r="TMC23" s="414"/>
      <c r="TMD23" s="414"/>
      <c r="TME23" s="414"/>
      <c r="TMF23" s="414"/>
      <c r="TMG23" s="414"/>
      <c r="TMH23" s="414"/>
      <c r="TMI23" s="414"/>
      <c r="TMJ23" s="414"/>
      <c r="TMK23" s="414"/>
      <c r="TML23" s="414"/>
      <c r="TMM23" s="414"/>
      <c r="TMN23" s="414"/>
      <c r="TMO23" s="414"/>
      <c r="TMP23" s="414"/>
      <c r="TMQ23" s="414"/>
      <c r="TMR23" s="414"/>
      <c r="TMS23" s="414"/>
      <c r="TMT23" s="414"/>
      <c r="TMU23" s="414"/>
      <c r="TMV23" s="414"/>
      <c r="TMW23" s="414"/>
      <c r="TMX23" s="414"/>
      <c r="TMY23" s="414"/>
      <c r="TMZ23" s="414"/>
      <c r="TNA23" s="414"/>
      <c r="TNB23" s="414"/>
      <c r="TNC23" s="414"/>
      <c r="TND23" s="414"/>
      <c r="TNE23" s="414"/>
      <c r="TNF23" s="414"/>
      <c r="TNG23" s="414"/>
      <c r="TNH23" s="414"/>
      <c r="TNI23" s="414"/>
      <c r="TNJ23" s="414"/>
      <c r="TNK23" s="414"/>
      <c r="TNL23" s="414"/>
      <c r="TNM23" s="414"/>
      <c r="TNN23" s="414"/>
      <c r="TNO23" s="414"/>
      <c r="TNP23" s="414"/>
      <c r="TNQ23" s="414"/>
      <c r="TNR23" s="414"/>
      <c r="TNS23" s="414"/>
      <c r="TNT23" s="414"/>
      <c r="TNU23" s="414"/>
      <c r="TNV23" s="414"/>
      <c r="TNW23" s="414"/>
      <c r="TNX23" s="414"/>
      <c r="TNY23" s="414"/>
      <c r="TNZ23" s="414"/>
      <c r="TOA23" s="414"/>
      <c r="TOB23" s="414"/>
      <c r="TOC23" s="414"/>
      <c r="TOD23" s="414"/>
      <c r="TOE23" s="414"/>
      <c r="TOF23" s="414"/>
      <c r="TOG23" s="414"/>
      <c r="TOH23" s="414"/>
      <c r="TOI23" s="414"/>
      <c r="TOJ23" s="414"/>
      <c r="TOK23" s="414"/>
      <c r="TOL23" s="414"/>
      <c r="TOM23" s="414"/>
      <c r="TON23" s="414"/>
      <c r="TOO23" s="414"/>
      <c r="TOP23" s="414"/>
      <c r="TOQ23" s="414"/>
      <c r="TOR23" s="414"/>
      <c r="TOS23" s="414"/>
      <c r="TOT23" s="414"/>
      <c r="TOU23" s="414"/>
      <c r="TOV23" s="414"/>
      <c r="TOW23" s="414"/>
      <c r="TOX23" s="414"/>
      <c r="TOY23" s="414"/>
      <c r="TOZ23" s="414"/>
      <c r="TPA23" s="414"/>
      <c r="TPB23" s="414"/>
      <c r="TPC23" s="414"/>
      <c r="TPD23" s="414"/>
      <c r="TPE23" s="414"/>
      <c r="TPF23" s="414"/>
      <c r="TPG23" s="414"/>
      <c r="TPH23" s="414"/>
      <c r="TPI23" s="414"/>
      <c r="TPJ23" s="414"/>
      <c r="TPK23" s="414"/>
      <c r="TPL23" s="414"/>
      <c r="TPM23" s="414"/>
      <c r="TPN23" s="414"/>
      <c r="TPO23" s="414"/>
      <c r="TPP23" s="414"/>
      <c r="TPQ23" s="414"/>
      <c r="TPR23" s="414"/>
      <c r="TPS23" s="414"/>
      <c r="TPT23" s="414"/>
      <c r="TPU23" s="414"/>
      <c r="TPV23" s="414"/>
      <c r="TPW23" s="414"/>
      <c r="TPX23" s="414"/>
      <c r="TPY23" s="414"/>
      <c r="TPZ23" s="414"/>
      <c r="TQA23" s="414"/>
      <c r="TQB23" s="414"/>
      <c r="TQC23" s="414"/>
      <c r="TQD23" s="414"/>
      <c r="TQE23" s="414"/>
      <c r="TQF23" s="414"/>
      <c r="TQG23" s="414"/>
      <c r="TQH23" s="414"/>
      <c r="TQI23" s="414"/>
      <c r="TQJ23" s="414"/>
      <c r="TQK23" s="414"/>
      <c r="TQL23" s="414"/>
      <c r="TQM23" s="414"/>
      <c r="TQN23" s="414"/>
      <c r="TQO23" s="414"/>
      <c r="TQP23" s="414"/>
      <c r="TQQ23" s="414"/>
      <c r="TQR23" s="414"/>
      <c r="TQS23" s="414"/>
      <c r="TQT23" s="414"/>
      <c r="TQU23" s="414"/>
      <c r="TQV23" s="414"/>
      <c r="TQW23" s="414"/>
      <c r="TQX23" s="414"/>
      <c r="TQY23" s="414"/>
      <c r="TQZ23" s="414"/>
      <c r="TRA23" s="414"/>
      <c r="TRB23" s="414"/>
      <c r="TRC23" s="414"/>
      <c r="TRD23" s="414"/>
      <c r="TRE23" s="414"/>
      <c r="TRF23" s="414"/>
      <c r="TRG23" s="414"/>
      <c r="TRH23" s="414"/>
      <c r="TRI23" s="414"/>
      <c r="TRJ23" s="414"/>
      <c r="TRK23" s="414"/>
      <c r="TRL23" s="414"/>
      <c r="TRM23" s="414"/>
      <c r="TRN23" s="414"/>
      <c r="TRO23" s="414"/>
      <c r="TRP23" s="414"/>
      <c r="TRQ23" s="414"/>
      <c r="TRR23" s="414"/>
      <c r="TRS23" s="414"/>
      <c r="TRT23" s="414"/>
      <c r="TRU23" s="414"/>
      <c r="TRV23" s="414"/>
      <c r="TRW23" s="414"/>
      <c r="TRX23" s="414"/>
      <c r="TRY23" s="414"/>
      <c r="TRZ23" s="414"/>
      <c r="TSA23" s="414"/>
      <c r="TSB23" s="414"/>
      <c r="TSC23" s="414"/>
      <c r="TSD23" s="414"/>
      <c r="TSE23" s="414"/>
      <c r="TSF23" s="414"/>
      <c r="TSG23" s="414"/>
      <c r="TSH23" s="414"/>
      <c r="TSI23" s="414"/>
      <c r="TSJ23" s="414"/>
      <c r="TSK23" s="414"/>
      <c r="TSL23" s="414"/>
      <c r="TSM23" s="414"/>
      <c r="TSN23" s="414"/>
      <c r="TSO23" s="414"/>
      <c r="TSP23" s="414"/>
      <c r="TSQ23" s="414"/>
      <c r="TSR23" s="414"/>
      <c r="TSS23" s="414"/>
      <c r="TST23" s="414"/>
      <c r="TSU23" s="414"/>
      <c r="TSV23" s="414"/>
      <c r="TSW23" s="414"/>
      <c r="TSX23" s="414"/>
      <c r="TSY23" s="414"/>
      <c r="TSZ23" s="414"/>
      <c r="TTA23" s="414"/>
      <c r="TTB23" s="414"/>
      <c r="TTC23" s="414"/>
      <c r="TTD23" s="414"/>
      <c r="TTE23" s="414"/>
      <c r="TTF23" s="414"/>
      <c r="TTG23" s="414"/>
      <c r="TTH23" s="414"/>
      <c r="TTI23" s="414"/>
      <c r="TTJ23" s="414"/>
      <c r="TTK23" s="414"/>
      <c r="TTL23" s="414"/>
      <c r="TTM23" s="414"/>
      <c r="TTN23" s="414"/>
      <c r="TTO23" s="414"/>
      <c r="TTP23" s="414"/>
      <c r="TTQ23" s="414"/>
      <c r="TTR23" s="414"/>
      <c r="TTS23" s="414"/>
      <c r="TTT23" s="414"/>
      <c r="TTU23" s="414"/>
      <c r="TTV23" s="414"/>
      <c r="TTW23" s="414"/>
      <c r="TTX23" s="414"/>
      <c r="TTY23" s="414"/>
      <c r="TTZ23" s="414"/>
      <c r="TUA23" s="414"/>
      <c r="TUB23" s="414"/>
      <c r="TUC23" s="414"/>
      <c r="TUD23" s="414"/>
      <c r="TUE23" s="414"/>
      <c r="TUF23" s="414"/>
      <c r="TUG23" s="414"/>
      <c r="TUH23" s="414"/>
      <c r="TUI23" s="414"/>
      <c r="TUJ23" s="414"/>
      <c r="TUK23" s="414"/>
      <c r="TUL23" s="414"/>
      <c r="TUM23" s="414"/>
      <c r="TUN23" s="414"/>
      <c r="TUO23" s="414"/>
      <c r="TUP23" s="414"/>
      <c r="TUQ23" s="414"/>
      <c r="TUR23" s="414"/>
      <c r="TUS23" s="414"/>
      <c r="TUT23" s="414"/>
      <c r="TUU23" s="414"/>
      <c r="TUV23" s="414"/>
      <c r="TUW23" s="414"/>
      <c r="TUX23" s="414"/>
      <c r="TUY23" s="414"/>
      <c r="TUZ23" s="414"/>
      <c r="TVA23" s="414"/>
      <c r="TVB23" s="414"/>
      <c r="TVC23" s="414"/>
      <c r="TVD23" s="414"/>
      <c r="TVE23" s="414"/>
      <c r="TVF23" s="414"/>
      <c r="TVG23" s="414"/>
      <c r="TVH23" s="414"/>
      <c r="TVI23" s="414"/>
      <c r="TVJ23" s="414"/>
      <c r="TVK23" s="414"/>
      <c r="TVL23" s="414"/>
      <c r="TVM23" s="414"/>
      <c r="TVN23" s="414"/>
      <c r="TVO23" s="414"/>
      <c r="TVP23" s="414"/>
      <c r="TVQ23" s="414"/>
      <c r="TVR23" s="414"/>
      <c r="TVS23" s="414"/>
      <c r="TVT23" s="414"/>
      <c r="TVU23" s="414"/>
      <c r="TVV23" s="414"/>
      <c r="TVW23" s="414"/>
      <c r="TVX23" s="414"/>
      <c r="TVY23" s="414"/>
      <c r="TVZ23" s="414"/>
      <c r="TWA23" s="414"/>
      <c r="TWB23" s="414"/>
      <c r="TWC23" s="414"/>
      <c r="TWD23" s="414"/>
      <c r="TWE23" s="414"/>
      <c r="TWF23" s="414"/>
      <c r="TWG23" s="414"/>
      <c r="TWH23" s="414"/>
      <c r="TWI23" s="414"/>
      <c r="TWJ23" s="414"/>
      <c r="TWK23" s="414"/>
      <c r="TWL23" s="414"/>
      <c r="TWM23" s="414"/>
      <c r="TWN23" s="414"/>
      <c r="TWO23" s="414"/>
      <c r="TWP23" s="414"/>
      <c r="TWQ23" s="414"/>
      <c r="TWR23" s="414"/>
      <c r="TWS23" s="414"/>
      <c r="TWT23" s="414"/>
      <c r="TWU23" s="414"/>
      <c r="TWV23" s="414"/>
      <c r="TWW23" s="414"/>
      <c r="TWX23" s="414"/>
      <c r="TWY23" s="414"/>
      <c r="TWZ23" s="414"/>
      <c r="TXA23" s="414"/>
      <c r="TXB23" s="414"/>
      <c r="TXC23" s="414"/>
      <c r="TXD23" s="414"/>
      <c r="TXE23" s="414"/>
      <c r="TXF23" s="414"/>
      <c r="TXG23" s="414"/>
      <c r="TXH23" s="414"/>
      <c r="TXI23" s="414"/>
      <c r="TXJ23" s="414"/>
      <c r="TXK23" s="414"/>
      <c r="TXL23" s="414"/>
      <c r="TXM23" s="414"/>
      <c r="TXN23" s="414"/>
      <c r="TXO23" s="414"/>
      <c r="TXP23" s="414"/>
      <c r="TXQ23" s="414"/>
      <c r="TXR23" s="414"/>
      <c r="TXS23" s="414"/>
      <c r="TXT23" s="414"/>
      <c r="TXU23" s="414"/>
      <c r="TXV23" s="414"/>
      <c r="TXW23" s="414"/>
      <c r="TXX23" s="414"/>
      <c r="TXY23" s="414"/>
      <c r="TXZ23" s="414"/>
      <c r="TYA23" s="414"/>
      <c r="TYB23" s="414"/>
      <c r="TYC23" s="414"/>
      <c r="TYD23" s="414"/>
      <c r="TYE23" s="414"/>
      <c r="TYF23" s="414"/>
      <c r="TYG23" s="414"/>
      <c r="TYH23" s="414"/>
      <c r="TYI23" s="414"/>
      <c r="TYJ23" s="414"/>
      <c r="TYK23" s="414"/>
      <c r="TYL23" s="414"/>
      <c r="TYM23" s="414"/>
      <c r="TYN23" s="414"/>
      <c r="TYO23" s="414"/>
      <c r="TYP23" s="414"/>
      <c r="TYQ23" s="414"/>
      <c r="TYR23" s="414"/>
      <c r="TYS23" s="414"/>
      <c r="TYT23" s="414"/>
      <c r="TYU23" s="414"/>
      <c r="TYV23" s="414"/>
      <c r="TYW23" s="414"/>
      <c r="TYX23" s="414"/>
      <c r="TYY23" s="414"/>
      <c r="TYZ23" s="414"/>
      <c r="TZA23" s="414"/>
      <c r="TZB23" s="414"/>
      <c r="TZC23" s="414"/>
      <c r="TZD23" s="414"/>
      <c r="TZE23" s="414"/>
      <c r="TZF23" s="414"/>
      <c r="TZG23" s="414"/>
      <c r="TZH23" s="414"/>
      <c r="TZI23" s="414"/>
      <c r="TZJ23" s="414"/>
      <c r="TZK23" s="414"/>
      <c r="TZL23" s="414"/>
      <c r="TZM23" s="414"/>
      <c r="TZN23" s="414"/>
      <c r="TZO23" s="414"/>
      <c r="TZP23" s="414"/>
      <c r="TZQ23" s="414"/>
      <c r="TZR23" s="414"/>
      <c r="TZS23" s="414"/>
      <c r="TZT23" s="414"/>
      <c r="TZU23" s="414"/>
      <c r="TZV23" s="414"/>
      <c r="TZW23" s="414"/>
      <c r="TZX23" s="414"/>
      <c r="TZY23" s="414"/>
      <c r="TZZ23" s="414"/>
      <c r="UAA23" s="414"/>
      <c r="UAB23" s="414"/>
      <c r="UAC23" s="414"/>
      <c r="UAD23" s="414"/>
      <c r="UAE23" s="414"/>
      <c r="UAF23" s="414"/>
      <c r="UAG23" s="414"/>
      <c r="UAH23" s="414"/>
      <c r="UAI23" s="414"/>
      <c r="UAJ23" s="414"/>
      <c r="UAK23" s="414"/>
      <c r="UAL23" s="414"/>
      <c r="UAM23" s="414"/>
      <c r="UAN23" s="414"/>
      <c r="UAO23" s="414"/>
      <c r="UAP23" s="414"/>
      <c r="UAQ23" s="414"/>
      <c r="UAR23" s="414"/>
      <c r="UAS23" s="414"/>
      <c r="UAT23" s="414"/>
      <c r="UAU23" s="414"/>
      <c r="UAV23" s="414"/>
      <c r="UAW23" s="414"/>
      <c r="UAX23" s="414"/>
      <c r="UAY23" s="414"/>
      <c r="UAZ23" s="414"/>
      <c r="UBA23" s="414"/>
      <c r="UBB23" s="414"/>
      <c r="UBC23" s="414"/>
      <c r="UBD23" s="414"/>
      <c r="UBE23" s="414"/>
      <c r="UBF23" s="414"/>
      <c r="UBG23" s="414"/>
      <c r="UBH23" s="414"/>
      <c r="UBI23" s="414"/>
      <c r="UBJ23" s="414"/>
      <c r="UBK23" s="414"/>
      <c r="UBL23" s="414"/>
      <c r="UBM23" s="414"/>
      <c r="UBN23" s="414"/>
      <c r="UBO23" s="414"/>
      <c r="UBP23" s="414"/>
      <c r="UBQ23" s="414"/>
      <c r="UBR23" s="414"/>
      <c r="UBS23" s="414"/>
      <c r="UBT23" s="414"/>
      <c r="UBU23" s="414"/>
      <c r="UBV23" s="414"/>
      <c r="UBW23" s="414"/>
      <c r="UBX23" s="414"/>
      <c r="UBY23" s="414"/>
      <c r="UBZ23" s="414"/>
      <c r="UCA23" s="414"/>
      <c r="UCB23" s="414"/>
      <c r="UCC23" s="414"/>
      <c r="UCD23" s="414"/>
      <c r="UCE23" s="414"/>
      <c r="UCF23" s="414"/>
      <c r="UCG23" s="414"/>
      <c r="UCH23" s="414"/>
      <c r="UCI23" s="414"/>
      <c r="UCJ23" s="414"/>
      <c r="UCK23" s="414"/>
      <c r="UCL23" s="414"/>
      <c r="UCM23" s="414"/>
      <c r="UCN23" s="414"/>
      <c r="UCO23" s="414"/>
      <c r="UCP23" s="414"/>
      <c r="UCQ23" s="414"/>
      <c r="UCR23" s="414"/>
      <c r="UCS23" s="414"/>
      <c r="UCT23" s="414"/>
      <c r="UCU23" s="414"/>
      <c r="UCV23" s="414"/>
      <c r="UCW23" s="414"/>
      <c r="UCX23" s="414"/>
      <c r="UCY23" s="414"/>
      <c r="UCZ23" s="414"/>
      <c r="UDA23" s="414"/>
      <c r="UDB23" s="414"/>
      <c r="UDC23" s="414"/>
      <c r="UDD23" s="414"/>
      <c r="UDE23" s="414"/>
      <c r="UDF23" s="414"/>
      <c r="UDG23" s="414"/>
      <c r="UDH23" s="414"/>
      <c r="UDI23" s="414"/>
      <c r="UDJ23" s="414"/>
      <c r="UDK23" s="414"/>
      <c r="UDL23" s="414"/>
      <c r="UDM23" s="414"/>
      <c r="UDN23" s="414"/>
      <c r="UDO23" s="414"/>
      <c r="UDP23" s="414"/>
      <c r="UDQ23" s="414"/>
      <c r="UDR23" s="414"/>
      <c r="UDS23" s="414"/>
      <c r="UDT23" s="414"/>
      <c r="UDU23" s="414"/>
      <c r="UDV23" s="414"/>
      <c r="UDW23" s="414"/>
      <c r="UDX23" s="414"/>
      <c r="UDY23" s="414"/>
      <c r="UDZ23" s="414"/>
      <c r="UEA23" s="414"/>
      <c r="UEB23" s="414"/>
      <c r="UEC23" s="414"/>
      <c r="UED23" s="414"/>
      <c r="UEE23" s="414"/>
      <c r="UEF23" s="414"/>
      <c r="UEG23" s="414"/>
      <c r="UEH23" s="414"/>
      <c r="UEI23" s="414"/>
      <c r="UEJ23" s="414"/>
      <c r="UEK23" s="414"/>
      <c r="UEL23" s="414"/>
      <c r="UEM23" s="414"/>
      <c r="UEN23" s="414"/>
      <c r="UEO23" s="414"/>
      <c r="UEP23" s="414"/>
      <c r="UEQ23" s="414"/>
      <c r="UER23" s="414"/>
      <c r="UES23" s="414"/>
      <c r="UET23" s="414"/>
      <c r="UEU23" s="414"/>
      <c r="UEV23" s="414"/>
      <c r="UEW23" s="414"/>
      <c r="UEX23" s="414"/>
      <c r="UEY23" s="414"/>
      <c r="UEZ23" s="414"/>
      <c r="UFA23" s="414"/>
      <c r="UFB23" s="414"/>
      <c r="UFC23" s="414"/>
      <c r="UFD23" s="414"/>
      <c r="UFE23" s="414"/>
      <c r="UFF23" s="414"/>
      <c r="UFG23" s="414"/>
      <c r="UFH23" s="414"/>
      <c r="UFI23" s="414"/>
      <c r="UFJ23" s="414"/>
      <c r="UFK23" s="414"/>
      <c r="UFL23" s="414"/>
      <c r="UFM23" s="414"/>
      <c r="UFN23" s="414"/>
      <c r="UFO23" s="414"/>
      <c r="UFP23" s="414"/>
      <c r="UFQ23" s="414"/>
      <c r="UFR23" s="414"/>
      <c r="UFS23" s="414"/>
      <c r="UFT23" s="414"/>
      <c r="UFU23" s="414"/>
      <c r="UFV23" s="414"/>
      <c r="UFW23" s="414"/>
      <c r="UFX23" s="414"/>
      <c r="UFY23" s="414"/>
      <c r="UFZ23" s="414"/>
      <c r="UGA23" s="414"/>
      <c r="UGB23" s="414"/>
      <c r="UGC23" s="414"/>
      <c r="UGD23" s="414"/>
      <c r="UGE23" s="414"/>
      <c r="UGF23" s="414"/>
      <c r="UGG23" s="414"/>
      <c r="UGH23" s="414"/>
      <c r="UGI23" s="414"/>
      <c r="UGJ23" s="414"/>
      <c r="UGK23" s="414"/>
      <c r="UGL23" s="414"/>
      <c r="UGM23" s="414"/>
      <c r="UGN23" s="414"/>
      <c r="UGO23" s="414"/>
      <c r="UGP23" s="414"/>
      <c r="UGQ23" s="414"/>
      <c r="UGR23" s="414"/>
      <c r="UGS23" s="414"/>
      <c r="UGT23" s="414"/>
      <c r="UGU23" s="414"/>
      <c r="UGV23" s="414"/>
      <c r="UGW23" s="414"/>
      <c r="UGX23" s="414"/>
      <c r="UGY23" s="414"/>
      <c r="UGZ23" s="414"/>
      <c r="UHA23" s="414"/>
      <c r="UHB23" s="414"/>
      <c r="UHC23" s="414"/>
      <c r="UHD23" s="414"/>
      <c r="UHE23" s="414"/>
      <c r="UHF23" s="414"/>
      <c r="UHG23" s="414"/>
      <c r="UHH23" s="414"/>
      <c r="UHI23" s="414"/>
      <c r="UHJ23" s="414"/>
      <c r="UHK23" s="414"/>
      <c r="UHL23" s="414"/>
      <c r="UHM23" s="414"/>
      <c r="UHN23" s="414"/>
      <c r="UHO23" s="414"/>
      <c r="UHP23" s="414"/>
      <c r="UHQ23" s="414"/>
      <c r="UHR23" s="414"/>
      <c r="UHS23" s="414"/>
      <c r="UHT23" s="414"/>
      <c r="UHU23" s="414"/>
      <c r="UHV23" s="414"/>
      <c r="UHW23" s="414"/>
      <c r="UHX23" s="414"/>
      <c r="UHY23" s="414"/>
      <c r="UHZ23" s="414"/>
      <c r="UIA23" s="414"/>
      <c r="UIB23" s="414"/>
      <c r="UIC23" s="414"/>
      <c r="UID23" s="414"/>
      <c r="UIE23" s="414"/>
      <c r="UIF23" s="414"/>
      <c r="UIG23" s="414"/>
      <c r="UIH23" s="414"/>
      <c r="UII23" s="414"/>
      <c r="UIJ23" s="414"/>
      <c r="UIK23" s="414"/>
      <c r="UIL23" s="414"/>
      <c r="UIM23" s="414"/>
      <c r="UIN23" s="414"/>
      <c r="UIO23" s="414"/>
      <c r="UIP23" s="414"/>
      <c r="UIQ23" s="414"/>
      <c r="UIR23" s="414"/>
      <c r="UIS23" s="414"/>
      <c r="UIT23" s="414"/>
      <c r="UIU23" s="414"/>
      <c r="UIV23" s="414"/>
      <c r="UIW23" s="414"/>
      <c r="UIX23" s="414"/>
      <c r="UIY23" s="414"/>
      <c r="UIZ23" s="414"/>
      <c r="UJA23" s="414"/>
      <c r="UJB23" s="414"/>
      <c r="UJC23" s="414"/>
      <c r="UJD23" s="414"/>
      <c r="UJE23" s="414"/>
      <c r="UJF23" s="414"/>
      <c r="UJG23" s="414"/>
      <c r="UJH23" s="414"/>
      <c r="UJI23" s="414"/>
      <c r="UJJ23" s="414"/>
      <c r="UJK23" s="414"/>
      <c r="UJL23" s="414"/>
      <c r="UJM23" s="414"/>
      <c r="UJN23" s="414"/>
      <c r="UJO23" s="414"/>
      <c r="UJP23" s="414"/>
      <c r="UJQ23" s="414"/>
      <c r="UJR23" s="414"/>
      <c r="UJS23" s="414"/>
      <c r="UJT23" s="414"/>
      <c r="UJU23" s="414"/>
      <c r="UJV23" s="414"/>
      <c r="UJW23" s="414"/>
      <c r="UJX23" s="414"/>
      <c r="UJY23" s="414"/>
      <c r="UJZ23" s="414"/>
      <c r="UKA23" s="414"/>
      <c r="UKB23" s="414"/>
      <c r="UKC23" s="414"/>
      <c r="UKD23" s="414"/>
      <c r="UKE23" s="414"/>
      <c r="UKF23" s="414"/>
      <c r="UKG23" s="414"/>
      <c r="UKH23" s="414"/>
      <c r="UKI23" s="414"/>
      <c r="UKJ23" s="414"/>
      <c r="UKK23" s="414"/>
      <c r="UKL23" s="414"/>
      <c r="UKM23" s="414"/>
      <c r="UKN23" s="414"/>
      <c r="UKO23" s="414"/>
      <c r="UKP23" s="414"/>
      <c r="UKQ23" s="414"/>
      <c r="UKR23" s="414"/>
      <c r="UKS23" s="414"/>
      <c r="UKT23" s="414"/>
      <c r="UKU23" s="414"/>
      <c r="UKV23" s="414"/>
      <c r="UKW23" s="414"/>
      <c r="UKX23" s="414"/>
      <c r="UKY23" s="414"/>
      <c r="UKZ23" s="414"/>
      <c r="ULA23" s="414"/>
      <c r="ULB23" s="414"/>
      <c r="ULC23" s="414"/>
      <c r="ULD23" s="414"/>
      <c r="ULE23" s="414"/>
      <c r="ULF23" s="414"/>
      <c r="ULG23" s="414"/>
      <c r="ULH23" s="414"/>
      <c r="ULI23" s="414"/>
      <c r="ULJ23" s="414"/>
      <c r="ULK23" s="414"/>
      <c r="ULL23" s="414"/>
      <c r="ULM23" s="414"/>
      <c r="ULN23" s="414"/>
      <c r="ULO23" s="414"/>
      <c r="ULP23" s="414"/>
      <c r="ULQ23" s="414"/>
      <c r="ULR23" s="414"/>
      <c r="ULS23" s="414"/>
      <c r="ULT23" s="414"/>
      <c r="ULU23" s="414"/>
      <c r="ULV23" s="414"/>
      <c r="ULW23" s="414"/>
      <c r="ULX23" s="414"/>
      <c r="ULY23" s="414"/>
      <c r="ULZ23" s="414"/>
      <c r="UMA23" s="414"/>
      <c r="UMB23" s="414"/>
      <c r="UMC23" s="414"/>
      <c r="UMD23" s="414"/>
      <c r="UME23" s="414"/>
      <c r="UMF23" s="414"/>
      <c r="UMG23" s="414"/>
      <c r="UMH23" s="414"/>
      <c r="UMI23" s="414"/>
      <c r="UMJ23" s="414"/>
      <c r="UMK23" s="414"/>
      <c r="UML23" s="414"/>
      <c r="UMM23" s="414"/>
      <c r="UMN23" s="414"/>
      <c r="UMO23" s="414"/>
      <c r="UMP23" s="414"/>
      <c r="UMQ23" s="414"/>
      <c r="UMR23" s="414"/>
      <c r="UMS23" s="414"/>
      <c r="UMT23" s="414"/>
      <c r="UMU23" s="414"/>
      <c r="UMV23" s="414"/>
      <c r="UMW23" s="414"/>
      <c r="UMX23" s="414"/>
      <c r="UMY23" s="414"/>
      <c r="UMZ23" s="414"/>
      <c r="UNA23" s="414"/>
      <c r="UNB23" s="414"/>
      <c r="UNC23" s="414"/>
      <c r="UND23" s="414"/>
      <c r="UNE23" s="414"/>
      <c r="UNF23" s="414"/>
      <c r="UNG23" s="414"/>
      <c r="UNH23" s="414"/>
      <c r="UNI23" s="414"/>
      <c r="UNJ23" s="414"/>
      <c r="UNK23" s="414"/>
      <c r="UNL23" s="414"/>
      <c r="UNM23" s="414"/>
      <c r="UNN23" s="414"/>
      <c r="UNO23" s="414"/>
      <c r="UNP23" s="414"/>
      <c r="UNQ23" s="414"/>
      <c r="UNR23" s="414"/>
      <c r="UNS23" s="414"/>
      <c r="UNT23" s="414"/>
      <c r="UNU23" s="414"/>
      <c r="UNV23" s="414"/>
      <c r="UNW23" s="414"/>
      <c r="UNX23" s="414"/>
      <c r="UNY23" s="414"/>
      <c r="UNZ23" s="414"/>
      <c r="UOA23" s="414"/>
      <c r="UOB23" s="414"/>
      <c r="UOC23" s="414"/>
      <c r="UOD23" s="414"/>
      <c r="UOE23" s="414"/>
      <c r="UOF23" s="414"/>
      <c r="UOG23" s="414"/>
      <c r="UOH23" s="414"/>
      <c r="UOI23" s="414"/>
      <c r="UOJ23" s="414"/>
      <c r="UOK23" s="414"/>
      <c r="UOL23" s="414"/>
      <c r="UOM23" s="414"/>
      <c r="UON23" s="414"/>
      <c r="UOO23" s="414"/>
      <c r="UOP23" s="414"/>
      <c r="UOQ23" s="414"/>
      <c r="UOR23" s="414"/>
      <c r="UOS23" s="414"/>
      <c r="UOT23" s="414"/>
      <c r="UOU23" s="414"/>
      <c r="UOV23" s="414"/>
      <c r="UOW23" s="414"/>
      <c r="UOX23" s="414"/>
      <c r="UOY23" s="414"/>
      <c r="UOZ23" s="414"/>
      <c r="UPA23" s="414"/>
      <c r="UPB23" s="414"/>
      <c r="UPC23" s="414"/>
      <c r="UPD23" s="414"/>
      <c r="UPE23" s="414"/>
      <c r="UPF23" s="414"/>
      <c r="UPG23" s="414"/>
      <c r="UPH23" s="414"/>
      <c r="UPI23" s="414"/>
      <c r="UPJ23" s="414"/>
      <c r="UPK23" s="414"/>
      <c r="UPL23" s="414"/>
      <c r="UPM23" s="414"/>
      <c r="UPN23" s="414"/>
      <c r="UPO23" s="414"/>
      <c r="UPP23" s="414"/>
      <c r="UPQ23" s="414"/>
      <c r="UPR23" s="414"/>
      <c r="UPS23" s="414"/>
      <c r="UPT23" s="414"/>
      <c r="UPU23" s="414"/>
      <c r="UPV23" s="414"/>
      <c r="UPW23" s="414"/>
      <c r="UPX23" s="414"/>
      <c r="UPY23" s="414"/>
      <c r="UPZ23" s="414"/>
      <c r="UQA23" s="414"/>
      <c r="UQB23" s="414"/>
      <c r="UQC23" s="414"/>
      <c r="UQD23" s="414"/>
      <c r="UQE23" s="414"/>
      <c r="UQF23" s="414"/>
      <c r="UQG23" s="414"/>
      <c r="UQH23" s="414"/>
      <c r="UQI23" s="414"/>
      <c r="UQJ23" s="414"/>
      <c r="UQK23" s="414"/>
      <c r="UQL23" s="414"/>
      <c r="UQM23" s="414"/>
      <c r="UQN23" s="414"/>
      <c r="UQO23" s="414"/>
      <c r="UQP23" s="414"/>
      <c r="UQQ23" s="414"/>
      <c r="UQR23" s="414"/>
      <c r="UQS23" s="414"/>
      <c r="UQT23" s="414"/>
      <c r="UQU23" s="414"/>
      <c r="UQV23" s="414"/>
      <c r="UQW23" s="414"/>
      <c r="UQX23" s="414"/>
      <c r="UQY23" s="414"/>
      <c r="UQZ23" s="414"/>
      <c r="URA23" s="414"/>
      <c r="URB23" s="414"/>
      <c r="URC23" s="414"/>
      <c r="URD23" s="414"/>
      <c r="URE23" s="414"/>
      <c r="URF23" s="414"/>
      <c r="URG23" s="414"/>
      <c r="URH23" s="414"/>
      <c r="URI23" s="414"/>
      <c r="URJ23" s="414"/>
      <c r="URK23" s="414"/>
      <c r="URL23" s="414"/>
      <c r="URM23" s="414"/>
      <c r="URN23" s="414"/>
      <c r="URO23" s="414"/>
      <c r="URP23" s="414"/>
      <c r="URQ23" s="414"/>
      <c r="URR23" s="414"/>
      <c r="URS23" s="414"/>
      <c r="URT23" s="414"/>
      <c r="URU23" s="414"/>
      <c r="URV23" s="414"/>
      <c r="URW23" s="414"/>
      <c r="URX23" s="414"/>
      <c r="URY23" s="414"/>
      <c r="URZ23" s="414"/>
      <c r="USA23" s="414"/>
      <c r="USB23" s="414"/>
      <c r="USC23" s="414"/>
      <c r="USD23" s="414"/>
      <c r="USE23" s="414"/>
      <c r="USF23" s="414"/>
      <c r="USG23" s="414"/>
      <c r="USH23" s="414"/>
      <c r="USI23" s="414"/>
      <c r="USJ23" s="414"/>
      <c r="USK23" s="414"/>
      <c r="USL23" s="414"/>
      <c r="USM23" s="414"/>
      <c r="USN23" s="414"/>
      <c r="USO23" s="414"/>
      <c r="USP23" s="414"/>
      <c r="USQ23" s="414"/>
      <c r="USR23" s="414"/>
      <c r="USS23" s="414"/>
      <c r="UST23" s="414"/>
      <c r="USU23" s="414"/>
      <c r="USV23" s="414"/>
      <c r="USW23" s="414"/>
      <c r="USX23" s="414"/>
      <c r="USY23" s="414"/>
      <c r="USZ23" s="414"/>
      <c r="UTA23" s="414"/>
      <c r="UTB23" s="414"/>
      <c r="UTC23" s="414"/>
      <c r="UTD23" s="414"/>
      <c r="UTE23" s="414"/>
      <c r="UTF23" s="414"/>
      <c r="UTG23" s="414"/>
      <c r="UTH23" s="414"/>
      <c r="UTI23" s="414"/>
      <c r="UTJ23" s="414"/>
      <c r="UTK23" s="414"/>
      <c r="UTL23" s="414"/>
      <c r="UTM23" s="414"/>
      <c r="UTN23" s="414"/>
      <c r="UTO23" s="414"/>
      <c r="UTP23" s="414"/>
      <c r="UTQ23" s="414"/>
      <c r="UTR23" s="414"/>
      <c r="UTS23" s="414"/>
      <c r="UTT23" s="414"/>
      <c r="UTU23" s="414"/>
      <c r="UTV23" s="414"/>
      <c r="UTW23" s="414"/>
      <c r="UTX23" s="414"/>
      <c r="UTY23" s="414"/>
      <c r="UTZ23" s="414"/>
      <c r="UUA23" s="414"/>
      <c r="UUB23" s="414"/>
      <c r="UUC23" s="414"/>
      <c r="UUD23" s="414"/>
      <c r="UUE23" s="414"/>
      <c r="UUF23" s="414"/>
      <c r="UUG23" s="414"/>
      <c r="UUH23" s="414"/>
      <c r="UUI23" s="414"/>
      <c r="UUJ23" s="414"/>
      <c r="UUK23" s="414"/>
      <c r="UUL23" s="414"/>
      <c r="UUM23" s="414"/>
      <c r="UUN23" s="414"/>
      <c r="UUO23" s="414"/>
      <c r="UUP23" s="414"/>
      <c r="UUQ23" s="414"/>
      <c r="UUR23" s="414"/>
      <c r="UUS23" s="414"/>
      <c r="UUT23" s="414"/>
      <c r="UUU23" s="414"/>
      <c r="UUV23" s="414"/>
      <c r="UUW23" s="414"/>
      <c r="UUX23" s="414"/>
      <c r="UUY23" s="414"/>
      <c r="UUZ23" s="414"/>
      <c r="UVA23" s="414"/>
      <c r="UVB23" s="414"/>
      <c r="UVC23" s="414"/>
      <c r="UVD23" s="414"/>
      <c r="UVE23" s="414"/>
      <c r="UVF23" s="414"/>
      <c r="UVG23" s="414"/>
      <c r="UVH23" s="414"/>
      <c r="UVI23" s="414"/>
      <c r="UVJ23" s="414"/>
      <c r="UVK23" s="414"/>
      <c r="UVL23" s="414"/>
      <c r="UVM23" s="414"/>
      <c r="UVN23" s="414"/>
      <c r="UVO23" s="414"/>
      <c r="UVP23" s="414"/>
      <c r="UVQ23" s="414"/>
      <c r="UVR23" s="414"/>
      <c r="UVS23" s="414"/>
      <c r="UVT23" s="414"/>
      <c r="UVU23" s="414"/>
      <c r="UVV23" s="414"/>
      <c r="UVW23" s="414"/>
      <c r="UVX23" s="414"/>
      <c r="UVY23" s="414"/>
      <c r="UVZ23" s="414"/>
      <c r="UWA23" s="414"/>
      <c r="UWB23" s="414"/>
      <c r="UWC23" s="414"/>
      <c r="UWD23" s="414"/>
      <c r="UWE23" s="414"/>
      <c r="UWF23" s="414"/>
      <c r="UWG23" s="414"/>
      <c r="UWH23" s="414"/>
      <c r="UWI23" s="414"/>
      <c r="UWJ23" s="414"/>
      <c r="UWK23" s="414"/>
      <c r="UWL23" s="414"/>
      <c r="UWM23" s="414"/>
      <c r="UWN23" s="414"/>
      <c r="UWO23" s="414"/>
      <c r="UWP23" s="414"/>
      <c r="UWQ23" s="414"/>
      <c r="UWR23" s="414"/>
      <c r="UWS23" s="414"/>
      <c r="UWT23" s="414"/>
      <c r="UWU23" s="414"/>
      <c r="UWV23" s="414"/>
      <c r="UWW23" s="414"/>
      <c r="UWX23" s="414"/>
      <c r="UWY23" s="414"/>
      <c r="UWZ23" s="414"/>
      <c r="UXA23" s="414"/>
      <c r="UXB23" s="414"/>
      <c r="UXC23" s="414"/>
      <c r="UXD23" s="414"/>
      <c r="UXE23" s="414"/>
      <c r="UXF23" s="414"/>
      <c r="UXG23" s="414"/>
      <c r="UXH23" s="414"/>
      <c r="UXI23" s="414"/>
      <c r="UXJ23" s="414"/>
      <c r="UXK23" s="414"/>
      <c r="UXL23" s="414"/>
      <c r="UXM23" s="414"/>
      <c r="UXN23" s="414"/>
      <c r="UXO23" s="414"/>
      <c r="UXP23" s="414"/>
      <c r="UXQ23" s="414"/>
      <c r="UXR23" s="414"/>
      <c r="UXS23" s="414"/>
      <c r="UXT23" s="414"/>
      <c r="UXU23" s="414"/>
      <c r="UXV23" s="414"/>
      <c r="UXW23" s="414"/>
      <c r="UXX23" s="414"/>
      <c r="UXY23" s="414"/>
      <c r="UXZ23" s="414"/>
      <c r="UYA23" s="414"/>
      <c r="UYB23" s="414"/>
      <c r="UYC23" s="414"/>
      <c r="UYD23" s="414"/>
      <c r="UYE23" s="414"/>
      <c r="UYF23" s="414"/>
      <c r="UYG23" s="414"/>
      <c r="UYH23" s="414"/>
      <c r="UYI23" s="414"/>
      <c r="UYJ23" s="414"/>
      <c r="UYK23" s="414"/>
      <c r="UYL23" s="414"/>
      <c r="UYM23" s="414"/>
      <c r="UYN23" s="414"/>
      <c r="UYO23" s="414"/>
      <c r="UYP23" s="414"/>
      <c r="UYQ23" s="414"/>
      <c r="UYR23" s="414"/>
      <c r="UYS23" s="414"/>
      <c r="UYT23" s="414"/>
      <c r="UYU23" s="414"/>
      <c r="UYV23" s="414"/>
      <c r="UYW23" s="414"/>
      <c r="UYX23" s="414"/>
      <c r="UYY23" s="414"/>
      <c r="UYZ23" s="414"/>
      <c r="UZA23" s="414"/>
      <c r="UZB23" s="414"/>
      <c r="UZC23" s="414"/>
      <c r="UZD23" s="414"/>
      <c r="UZE23" s="414"/>
      <c r="UZF23" s="414"/>
      <c r="UZG23" s="414"/>
      <c r="UZH23" s="414"/>
      <c r="UZI23" s="414"/>
      <c r="UZJ23" s="414"/>
      <c r="UZK23" s="414"/>
      <c r="UZL23" s="414"/>
      <c r="UZM23" s="414"/>
      <c r="UZN23" s="414"/>
      <c r="UZO23" s="414"/>
      <c r="UZP23" s="414"/>
      <c r="UZQ23" s="414"/>
      <c r="UZR23" s="414"/>
      <c r="UZS23" s="414"/>
      <c r="UZT23" s="414"/>
      <c r="UZU23" s="414"/>
      <c r="UZV23" s="414"/>
      <c r="UZW23" s="414"/>
      <c r="UZX23" s="414"/>
      <c r="UZY23" s="414"/>
      <c r="UZZ23" s="414"/>
      <c r="VAA23" s="414"/>
      <c r="VAB23" s="414"/>
      <c r="VAC23" s="414"/>
      <c r="VAD23" s="414"/>
      <c r="VAE23" s="414"/>
      <c r="VAF23" s="414"/>
      <c r="VAG23" s="414"/>
      <c r="VAH23" s="414"/>
      <c r="VAI23" s="414"/>
      <c r="VAJ23" s="414"/>
      <c r="VAK23" s="414"/>
      <c r="VAL23" s="414"/>
      <c r="VAM23" s="414"/>
      <c r="VAN23" s="414"/>
      <c r="VAO23" s="414"/>
      <c r="VAP23" s="414"/>
      <c r="VAQ23" s="414"/>
      <c r="VAR23" s="414"/>
      <c r="VAS23" s="414"/>
      <c r="VAT23" s="414"/>
      <c r="VAU23" s="414"/>
      <c r="VAV23" s="414"/>
      <c r="VAW23" s="414"/>
      <c r="VAX23" s="414"/>
      <c r="VAY23" s="414"/>
      <c r="VAZ23" s="414"/>
      <c r="VBA23" s="414"/>
      <c r="VBB23" s="414"/>
      <c r="VBC23" s="414"/>
      <c r="VBD23" s="414"/>
      <c r="VBE23" s="414"/>
      <c r="VBF23" s="414"/>
      <c r="VBG23" s="414"/>
      <c r="VBH23" s="414"/>
      <c r="VBI23" s="414"/>
      <c r="VBJ23" s="414"/>
      <c r="VBK23" s="414"/>
      <c r="VBL23" s="414"/>
      <c r="VBM23" s="414"/>
      <c r="VBN23" s="414"/>
      <c r="VBO23" s="414"/>
      <c r="VBP23" s="414"/>
      <c r="VBQ23" s="414"/>
      <c r="VBR23" s="414"/>
      <c r="VBS23" s="414"/>
      <c r="VBT23" s="414"/>
      <c r="VBU23" s="414"/>
      <c r="VBV23" s="414"/>
      <c r="VBW23" s="414"/>
      <c r="VBX23" s="414"/>
      <c r="VBY23" s="414"/>
      <c r="VBZ23" s="414"/>
      <c r="VCA23" s="414"/>
      <c r="VCB23" s="414"/>
      <c r="VCC23" s="414"/>
      <c r="VCD23" s="414"/>
      <c r="VCE23" s="414"/>
      <c r="VCF23" s="414"/>
      <c r="VCG23" s="414"/>
      <c r="VCH23" s="414"/>
      <c r="VCI23" s="414"/>
      <c r="VCJ23" s="414"/>
      <c r="VCK23" s="414"/>
      <c r="VCL23" s="414"/>
      <c r="VCM23" s="414"/>
      <c r="VCN23" s="414"/>
      <c r="VCO23" s="414"/>
      <c r="VCP23" s="414"/>
      <c r="VCQ23" s="414"/>
      <c r="VCR23" s="414"/>
      <c r="VCS23" s="414"/>
      <c r="VCT23" s="414"/>
      <c r="VCU23" s="414"/>
      <c r="VCV23" s="414"/>
      <c r="VCW23" s="414"/>
      <c r="VCX23" s="414"/>
      <c r="VCY23" s="414"/>
      <c r="VCZ23" s="414"/>
      <c r="VDA23" s="414"/>
      <c r="VDB23" s="414"/>
      <c r="VDC23" s="414"/>
      <c r="VDD23" s="414"/>
      <c r="VDE23" s="414"/>
      <c r="VDF23" s="414"/>
      <c r="VDG23" s="414"/>
      <c r="VDH23" s="414"/>
      <c r="VDI23" s="414"/>
      <c r="VDJ23" s="414"/>
      <c r="VDK23" s="414"/>
      <c r="VDL23" s="414"/>
      <c r="VDM23" s="414"/>
      <c r="VDN23" s="414"/>
      <c r="VDO23" s="414"/>
      <c r="VDP23" s="414"/>
      <c r="VDQ23" s="414"/>
      <c r="VDR23" s="414"/>
      <c r="VDS23" s="414"/>
      <c r="VDT23" s="414"/>
      <c r="VDU23" s="414"/>
      <c r="VDV23" s="414"/>
      <c r="VDW23" s="414"/>
      <c r="VDX23" s="414"/>
      <c r="VDY23" s="414"/>
      <c r="VDZ23" s="414"/>
      <c r="VEA23" s="414"/>
      <c r="VEB23" s="414"/>
      <c r="VEC23" s="414"/>
      <c r="VED23" s="414"/>
      <c r="VEE23" s="414"/>
      <c r="VEF23" s="414"/>
      <c r="VEG23" s="414"/>
      <c r="VEH23" s="414"/>
      <c r="VEI23" s="414"/>
      <c r="VEJ23" s="414"/>
      <c r="VEK23" s="414"/>
      <c r="VEL23" s="414"/>
      <c r="VEM23" s="414"/>
      <c r="VEN23" s="414"/>
      <c r="VEO23" s="414"/>
      <c r="VEP23" s="414"/>
      <c r="VEQ23" s="414"/>
      <c r="VER23" s="414"/>
      <c r="VES23" s="414"/>
      <c r="VET23" s="414"/>
      <c r="VEU23" s="414"/>
      <c r="VEV23" s="414"/>
      <c r="VEW23" s="414"/>
      <c r="VEX23" s="414"/>
      <c r="VEY23" s="414"/>
      <c r="VEZ23" s="414"/>
      <c r="VFA23" s="414"/>
      <c r="VFB23" s="414"/>
      <c r="VFC23" s="414"/>
      <c r="VFD23" s="414"/>
      <c r="VFE23" s="414"/>
      <c r="VFF23" s="414"/>
      <c r="VFG23" s="414"/>
      <c r="VFH23" s="414"/>
      <c r="VFI23" s="414"/>
      <c r="VFJ23" s="414"/>
      <c r="VFK23" s="414"/>
      <c r="VFL23" s="414"/>
      <c r="VFM23" s="414"/>
      <c r="VFN23" s="414"/>
      <c r="VFO23" s="414"/>
      <c r="VFP23" s="414"/>
      <c r="VFQ23" s="414"/>
      <c r="VFR23" s="414"/>
      <c r="VFS23" s="414"/>
      <c r="VFT23" s="414"/>
      <c r="VFU23" s="414"/>
      <c r="VFV23" s="414"/>
      <c r="VFW23" s="414"/>
      <c r="VFX23" s="414"/>
      <c r="VFY23" s="414"/>
      <c r="VFZ23" s="414"/>
      <c r="VGA23" s="414"/>
      <c r="VGB23" s="414"/>
      <c r="VGC23" s="414"/>
      <c r="VGD23" s="414"/>
      <c r="VGE23" s="414"/>
      <c r="VGF23" s="414"/>
      <c r="VGG23" s="414"/>
      <c r="VGH23" s="414"/>
      <c r="VGI23" s="414"/>
      <c r="VGJ23" s="414"/>
      <c r="VGK23" s="414"/>
      <c r="VGL23" s="414"/>
      <c r="VGM23" s="414"/>
      <c r="VGN23" s="414"/>
      <c r="VGO23" s="414"/>
      <c r="VGP23" s="414"/>
      <c r="VGQ23" s="414"/>
      <c r="VGR23" s="414"/>
      <c r="VGS23" s="414"/>
      <c r="VGT23" s="414"/>
      <c r="VGU23" s="414"/>
      <c r="VGV23" s="414"/>
      <c r="VGW23" s="414"/>
      <c r="VGX23" s="414"/>
      <c r="VGY23" s="414"/>
      <c r="VGZ23" s="414"/>
      <c r="VHA23" s="414"/>
      <c r="VHB23" s="414"/>
      <c r="VHC23" s="414"/>
      <c r="VHD23" s="414"/>
      <c r="VHE23" s="414"/>
      <c r="VHF23" s="414"/>
      <c r="VHG23" s="414"/>
      <c r="VHH23" s="414"/>
      <c r="VHI23" s="414"/>
      <c r="VHJ23" s="414"/>
      <c r="VHK23" s="414"/>
      <c r="VHL23" s="414"/>
      <c r="VHM23" s="414"/>
      <c r="VHN23" s="414"/>
      <c r="VHO23" s="414"/>
      <c r="VHP23" s="414"/>
      <c r="VHQ23" s="414"/>
      <c r="VHR23" s="414"/>
      <c r="VHS23" s="414"/>
      <c r="VHT23" s="414"/>
      <c r="VHU23" s="414"/>
      <c r="VHV23" s="414"/>
      <c r="VHW23" s="414"/>
      <c r="VHX23" s="414"/>
      <c r="VHY23" s="414"/>
      <c r="VHZ23" s="414"/>
      <c r="VIA23" s="414"/>
      <c r="VIB23" s="414"/>
      <c r="VIC23" s="414"/>
      <c r="VID23" s="414"/>
      <c r="VIE23" s="414"/>
      <c r="VIF23" s="414"/>
      <c r="VIG23" s="414"/>
      <c r="VIH23" s="414"/>
      <c r="VII23" s="414"/>
      <c r="VIJ23" s="414"/>
      <c r="VIK23" s="414"/>
      <c r="VIL23" s="414"/>
      <c r="VIM23" s="414"/>
      <c r="VIN23" s="414"/>
      <c r="VIO23" s="414"/>
      <c r="VIP23" s="414"/>
      <c r="VIQ23" s="414"/>
      <c r="VIR23" s="414"/>
      <c r="VIS23" s="414"/>
      <c r="VIT23" s="414"/>
      <c r="VIU23" s="414"/>
      <c r="VIV23" s="414"/>
      <c r="VIW23" s="414"/>
      <c r="VIX23" s="414"/>
      <c r="VIY23" s="414"/>
      <c r="VIZ23" s="414"/>
      <c r="VJA23" s="414"/>
      <c r="VJB23" s="414"/>
      <c r="VJC23" s="414"/>
      <c r="VJD23" s="414"/>
      <c r="VJE23" s="414"/>
      <c r="VJF23" s="414"/>
      <c r="VJG23" s="414"/>
      <c r="VJH23" s="414"/>
      <c r="VJI23" s="414"/>
      <c r="VJJ23" s="414"/>
      <c r="VJK23" s="414"/>
      <c r="VJL23" s="414"/>
      <c r="VJM23" s="414"/>
      <c r="VJN23" s="414"/>
      <c r="VJO23" s="414"/>
      <c r="VJP23" s="414"/>
      <c r="VJQ23" s="414"/>
      <c r="VJR23" s="414"/>
      <c r="VJS23" s="414"/>
      <c r="VJT23" s="414"/>
      <c r="VJU23" s="414"/>
      <c r="VJV23" s="414"/>
      <c r="VJW23" s="414"/>
      <c r="VJX23" s="414"/>
      <c r="VJY23" s="414"/>
      <c r="VJZ23" s="414"/>
      <c r="VKA23" s="414"/>
      <c r="VKB23" s="414"/>
      <c r="VKC23" s="414"/>
      <c r="VKD23" s="414"/>
      <c r="VKE23" s="414"/>
      <c r="VKF23" s="414"/>
      <c r="VKG23" s="414"/>
      <c r="VKH23" s="414"/>
      <c r="VKI23" s="414"/>
      <c r="VKJ23" s="414"/>
      <c r="VKK23" s="414"/>
      <c r="VKL23" s="414"/>
      <c r="VKM23" s="414"/>
      <c r="VKN23" s="414"/>
      <c r="VKO23" s="414"/>
      <c r="VKP23" s="414"/>
      <c r="VKQ23" s="414"/>
      <c r="VKR23" s="414"/>
      <c r="VKS23" s="414"/>
      <c r="VKT23" s="414"/>
      <c r="VKU23" s="414"/>
      <c r="VKV23" s="414"/>
      <c r="VKW23" s="414"/>
      <c r="VKX23" s="414"/>
      <c r="VKY23" s="414"/>
      <c r="VKZ23" s="414"/>
      <c r="VLA23" s="414"/>
      <c r="VLB23" s="414"/>
      <c r="VLC23" s="414"/>
      <c r="VLD23" s="414"/>
      <c r="VLE23" s="414"/>
      <c r="VLF23" s="414"/>
      <c r="VLG23" s="414"/>
      <c r="VLH23" s="414"/>
      <c r="VLI23" s="414"/>
      <c r="VLJ23" s="414"/>
      <c r="VLK23" s="414"/>
      <c r="VLL23" s="414"/>
      <c r="VLM23" s="414"/>
      <c r="VLN23" s="414"/>
      <c r="VLO23" s="414"/>
      <c r="VLP23" s="414"/>
      <c r="VLQ23" s="414"/>
      <c r="VLR23" s="414"/>
      <c r="VLS23" s="414"/>
      <c r="VLT23" s="414"/>
      <c r="VLU23" s="414"/>
      <c r="VLV23" s="414"/>
      <c r="VLW23" s="414"/>
      <c r="VLX23" s="414"/>
      <c r="VLY23" s="414"/>
      <c r="VLZ23" s="414"/>
      <c r="VMA23" s="414"/>
      <c r="VMB23" s="414"/>
      <c r="VMC23" s="414"/>
      <c r="VMD23" s="414"/>
      <c r="VME23" s="414"/>
      <c r="VMF23" s="414"/>
      <c r="VMG23" s="414"/>
      <c r="VMH23" s="414"/>
      <c r="VMI23" s="414"/>
      <c r="VMJ23" s="414"/>
      <c r="VMK23" s="414"/>
      <c r="VML23" s="414"/>
      <c r="VMM23" s="414"/>
      <c r="VMN23" s="414"/>
      <c r="VMO23" s="414"/>
      <c r="VMP23" s="414"/>
      <c r="VMQ23" s="414"/>
      <c r="VMR23" s="414"/>
      <c r="VMS23" s="414"/>
      <c r="VMT23" s="414"/>
      <c r="VMU23" s="414"/>
      <c r="VMV23" s="414"/>
      <c r="VMW23" s="414"/>
      <c r="VMX23" s="414"/>
      <c r="VMY23" s="414"/>
      <c r="VMZ23" s="414"/>
      <c r="VNA23" s="414"/>
      <c r="VNB23" s="414"/>
      <c r="VNC23" s="414"/>
      <c r="VND23" s="414"/>
      <c r="VNE23" s="414"/>
      <c r="VNF23" s="414"/>
      <c r="VNG23" s="414"/>
      <c r="VNH23" s="414"/>
      <c r="VNI23" s="414"/>
      <c r="VNJ23" s="414"/>
      <c r="VNK23" s="414"/>
      <c r="VNL23" s="414"/>
      <c r="VNM23" s="414"/>
      <c r="VNN23" s="414"/>
      <c r="VNO23" s="414"/>
      <c r="VNP23" s="414"/>
      <c r="VNQ23" s="414"/>
      <c r="VNR23" s="414"/>
      <c r="VNS23" s="414"/>
      <c r="VNT23" s="414"/>
      <c r="VNU23" s="414"/>
      <c r="VNV23" s="414"/>
      <c r="VNW23" s="414"/>
      <c r="VNX23" s="414"/>
      <c r="VNY23" s="414"/>
      <c r="VNZ23" s="414"/>
      <c r="VOA23" s="414"/>
      <c r="VOB23" s="414"/>
      <c r="VOC23" s="414"/>
      <c r="VOD23" s="414"/>
      <c r="VOE23" s="414"/>
      <c r="VOF23" s="414"/>
      <c r="VOG23" s="414"/>
      <c r="VOH23" s="414"/>
      <c r="VOI23" s="414"/>
      <c r="VOJ23" s="414"/>
      <c r="VOK23" s="414"/>
      <c r="VOL23" s="414"/>
      <c r="VOM23" s="414"/>
      <c r="VON23" s="414"/>
      <c r="VOO23" s="414"/>
      <c r="VOP23" s="414"/>
      <c r="VOQ23" s="414"/>
      <c r="VOR23" s="414"/>
      <c r="VOS23" s="414"/>
      <c r="VOT23" s="414"/>
      <c r="VOU23" s="414"/>
      <c r="VOV23" s="414"/>
      <c r="VOW23" s="414"/>
      <c r="VOX23" s="414"/>
      <c r="VOY23" s="414"/>
      <c r="VOZ23" s="414"/>
      <c r="VPA23" s="414"/>
      <c r="VPB23" s="414"/>
      <c r="VPC23" s="414"/>
      <c r="VPD23" s="414"/>
      <c r="VPE23" s="414"/>
      <c r="VPF23" s="414"/>
      <c r="VPG23" s="414"/>
      <c r="VPH23" s="414"/>
      <c r="VPI23" s="414"/>
      <c r="VPJ23" s="414"/>
      <c r="VPK23" s="414"/>
      <c r="VPL23" s="414"/>
      <c r="VPM23" s="414"/>
      <c r="VPN23" s="414"/>
      <c r="VPO23" s="414"/>
      <c r="VPP23" s="414"/>
      <c r="VPQ23" s="414"/>
      <c r="VPR23" s="414"/>
      <c r="VPS23" s="414"/>
      <c r="VPT23" s="414"/>
      <c r="VPU23" s="414"/>
      <c r="VPV23" s="414"/>
      <c r="VPW23" s="414"/>
      <c r="VPX23" s="414"/>
      <c r="VPY23" s="414"/>
      <c r="VPZ23" s="414"/>
      <c r="VQA23" s="414"/>
      <c r="VQB23" s="414"/>
      <c r="VQC23" s="414"/>
      <c r="VQD23" s="414"/>
      <c r="VQE23" s="414"/>
      <c r="VQF23" s="414"/>
      <c r="VQG23" s="414"/>
      <c r="VQH23" s="414"/>
      <c r="VQI23" s="414"/>
      <c r="VQJ23" s="414"/>
      <c r="VQK23" s="414"/>
      <c r="VQL23" s="414"/>
      <c r="VQM23" s="414"/>
      <c r="VQN23" s="414"/>
      <c r="VQO23" s="414"/>
      <c r="VQP23" s="414"/>
      <c r="VQQ23" s="414"/>
      <c r="VQR23" s="414"/>
      <c r="VQS23" s="414"/>
      <c r="VQT23" s="414"/>
      <c r="VQU23" s="414"/>
      <c r="VQV23" s="414"/>
      <c r="VQW23" s="414"/>
      <c r="VQX23" s="414"/>
      <c r="VQY23" s="414"/>
      <c r="VQZ23" s="414"/>
      <c r="VRA23" s="414"/>
      <c r="VRB23" s="414"/>
      <c r="VRC23" s="414"/>
      <c r="VRD23" s="414"/>
      <c r="VRE23" s="414"/>
      <c r="VRF23" s="414"/>
      <c r="VRG23" s="414"/>
      <c r="VRH23" s="414"/>
      <c r="VRI23" s="414"/>
      <c r="VRJ23" s="414"/>
      <c r="VRK23" s="414"/>
      <c r="VRL23" s="414"/>
      <c r="VRM23" s="414"/>
      <c r="VRN23" s="414"/>
      <c r="VRO23" s="414"/>
      <c r="VRP23" s="414"/>
      <c r="VRQ23" s="414"/>
      <c r="VRR23" s="414"/>
      <c r="VRS23" s="414"/>
      <c r="VRT23" s="414"/>
      <c r="VRU23" s="414"/>
      <c r="VRV23" s="414"/>
      <c r="VRW23" s="414"/>
      <c r="VRX23" s="414"/>
      <c r="VRY23" s="414"/>
      <c r="VRZ23" s="414"/>
      <c r="VSA23" s="414"/>
      <c r="VSB23" s="414"/>
      <c r="VSC23" s="414"/>
      <c r="VSD23" s="414"/>
      <c r="VSE23" s="414"/>
      <c r="VSF23" s="414"/>
      <c r="VSG23" s="414"/>
      <c r="VSH23" s="414"/>
      <c r="VSI23" s="414"/>
      <c r="VSJ23" s="414"/>
      <c r="VSK23" s="414"/>
      <c r="VSL23" s="414"/>
      <c r="VSM23" s="414"/>
      <c r="VSN23" s="414"/>
      <c r="VSO23" s="414"/>
      <c r="VSP23" s="414"/>
      <c r="VSQ23" s="414"/>
      <c r="VSR23" s="414"/>
      <c r="VSS23" s="414"/>
      <c r="VST23" s="414"/>
      <c r="VSU23" s="414"/>
      <c r="VSV23" s="414"/>
      <c r="VSW23" s="414"/>
      <c r="VSX23" s="414"/>
      <c r="VSY23" s="414"/>
      <c r="VSZ23" s="414"/>
      <c r="VTA23" s="414"/>
      <c r="VTB23" s="414"/>
      <c r="VTC23" s="414"/>
      <c r="VTD23" s="414"/>
      <c r="VTE23" s="414"/>
      <c r="VTF23" s="414"/>
      <c r="VTG23" s="414"/>
      <c r="VTH23" s="414"/>
      <c r="VTI23" s="414"/>
      <c r="VTJ23" s="414"/>
      <c r="VTK23" s="414"/>
      <c r="VTL23" s="414"/>
      <c r="VTM23" s="414"/>
      <c r="VTN23" s="414"/>
      <c r="VTO23" s="414"/>
      <c r="VTP23" s="414"/>
      <c r="VTQ23" s="414"/>
      <c r="VTR23" s="414"/>
      <c r="VTS23" s="414"/>
      <c r="VTT23" s="414"/>
      <c r="VTU23" s="414"/>
      <c r="VTV23" s="414"/>
      <c r="VTW23" s="414"/>
      <c r="VTX23" s="414"/>
      <c r="VTY23" s="414"/>
      <c r="VTZ23" s="414"/>
      <c r="VUA23" s="414"/>
      <c r="VUB23" s="414"/>
      <c r="VUC23" s="414"/>
      <c r="VUD23" s="414"/>
      <c r="VUE23" s="414"/>
      <c r="VUF23" s="414"/>
      <c r="VUG23" s="414"/>
      <c r="VUH23" s="414"/>
      <c r="VUI23" s="414"/>
      <c r="VUJ23" s="414"/>
      <c r="VUK23" s="414"/>
      <c r="VUL23" s="414"/>
      <c r="VUM23" s="414"/>
      <c r="VUN23" s="414"/>
      <c r="VUO23" s="414"/>
      <c r="VUP23" s="414"/>
      <c r="VUQ23" s="414"/>
      <c r="VUR23" s="414"/>
      <c r="VUS23" s="414"/>
      <c r="VUT23" s="414"/>
      <c r="VUU23" s="414"/>
      <c r="VUV23" s="414"/>
      <c r="VUW23" s="414"/>
      <c r="VUX23" s="414"/>
      <c r="VUY23" s="414"/>
      <c r="VUZ23" s="414"/>
      <c r="VVA23" s="414"/>
      <c r="VVB23" s="414"/>
      <c r="VVC23" s="414"/>
      <c r="VVD23" s="414"/>
      <c r="VVE23" s="414"/>
      <c r="VVF23" s="414"/>
      <c r="VVG23" s="414"/>
      <c r="VVH23" s="414"/>
      <c r="VVI23" s="414"/>
      <c r="VVJ23" s="414"/>
      <c r="VVK23" s="414"/>
      <c r="VVL23" s="414"/>
      <c r="VVM23" s="414"/>
      <c r="VVN23" s="414"/>
      <c r="VVO23" s="414"/>
      <c r="VVP23" s="414"/>
      <c r="VVQ23" s="414"/>
      <c r="VVR23" s="414"/>
      <c r="VVS23" s="414"/>
      <c r="VVT23" s="414"/>
      <c r="VVU23" s="414"/>
      <c r="VVV23" s="414"/>
      <c r="VVW23" s="414"/>
      <c r="VVX23" s="414"/>
      <c r="VVY23" s="414"/>
      <c r="VVZ23" s="414"/>
      <c r="VWA23" s="414"/>
      <c r="VWB23" s="414"/>
      <c r="VWC23" s="414"/>
      <c r="VWD23" s="414"/>
      <c r="VWE23" s="414"/>
      <c r="VWF23" s="414"/>
      <c r="VWG23" s="414"/>
      <c r="VWH23" s="414"/>
      <c r="VWI23" s="414"/>
      <c r="VWJ23" s="414"/>
      <c r="VWK23" s="414"/>
      <c r="VWL23" s="414"/>
      <c r="VWM23" s="414"/>
      <c r="VWN23" s="414"/>
      <c r="VWO23" s="414"/>
      <c r="VWP23" s="414"/>
      <c r="VWQ23" s="414"/>
      <c r="VWR23" s="414"/>
      <c r="VWS23" s="414"/>
      <c r="VWT23" s="414"/>
      <c r="VWU23" s="414"/>
      <c r="VWV23" s="414"/>
      <c r="VWW23" s="414"/>
      <c r="VWX23" s="414"/>
      <c r="VWY23" s="414"/>
      <c r="VWZ23" s="414"/>
      <c r="VXA23" s="414"/>
      <c r="VXB23" s="414"/>
      <c r="VXC23" s="414"/>
      <c r="VXD23" s="414"/>
      <c r="VXE23" s="414"/>
      <c r="VXF23" s="414"/>
      <c r="VXG23" s="414"/>
      <c r="VXH23" s="414"/>
      <c r="VXI23" s="414"/>
      <c r="VXJ23" s="414"/>
      <c r="VXK23" s="414"/>
      <c r="VXL23" s="414"/>
      <c r="VXM23" s="414"/>
      <c r="VXN23" s="414"/>
      <c r="VXO23" s="414"/>
      <c r="VXP23" s="414"/>
      <c r="VXQ23" s="414"/>
      <c r="VXR23" s="414"/>
      <c r="VXS23" s="414"/>
      <c r="VXT23" s="414"/>
      <c r="VXU23" s="414"/>
      <c r="VXV23" s="414"/>
      <c r="VXW23" s="414"/>
      <c r="VXX23" s="414"/>
      <c r="VXY23" s="414"/>
      <c r="VXZ23" s="414"/>
      <c r="VYA23" s="414"/>
      <c r="VYB23" s="414"/>
      <c r="VYC23" s="414"/>
      <c r="VYD23" s="414"/>
      <c r="VYE23" s="414"/>
      <c r="VYF23" s="414"/>
      <c r="VYG23" s="414"/>
      <c r="VYH23" s="414"/>
      <c r="VYI23" s="414"/>
      <c r="VYJ23" s="414"/>
      <c r="VYK23" s="414"/>
      <c r="VYL23" s="414"/>
      <c r="VYM23" s="414"/>
      <c r="VYN23" s="414"/>
      <c r="VYO23" s="414"/>
      <c r="VYP23" s="414"/>
      <c r="VYQ23" s="414"/>
      <c r="VYR23" s="414"/>
      <c r="VYS23" s="414"/>
      <c r="VYT23" s="414"/>
      <c r="VYU23" s="414"/>
      <c r="VYV23" s="414"/>
      <c r="VYW23" s="414"/>
      <c r="VYX23" s="414"/>
      <c r="VYY23" s="414"/>
      <c r="VYZ23" s="414"/>
      <c r="VZA23" s="414"/>
      <c r="VZB23" s="414"/>
      <c r="VZC23" s="414"/>
      <c r="VZD23" s="414"/>
      <c r="VZE23" s="414"/>
      <c r="VZF23" s="414"/>
      <c r="VZG23" s="414"/>
      <c r="VZH23" s="414"/>
      <c r="VZI23" s="414"/>
      <c r="VZJ23" s="414"/>
      <c r="VZK23" s="414"/>
      <c r="VZL23" s="414"/>
      <c r="VZM23" s="414"/>
      <c r="VZN23" s="414"/>
      <c r="VZO23" s="414"/>
      <c r="VZP23" s="414"/>
      <c r="VZQ23" s="414"/>
      <c r="VZR23" s="414"/>
      <c r="VZS23" s="414"/>
      <c r="VZT23" s="414"/>
      <c r="VZU23" s="414"/>
      <c r="VZV23" s="414"/>
      <c r="VZW23" s="414"/>
      <c r="VZX23" s="414"/>
      <c r="VZY23" s="414"/>
      <c r="VZZ23" s="414"/>
      <c r="WAA23" s="414"/>
      <c r="WAB23" s="414"/>
      <c r="WAC23" s="414"/>
      <c r="WAD23" s="414"/>
      <c r="WAE23" s="414"/>
      <c r="WAF23" s="414"/>
      <c r="WAG23" s="414"/>
      <c r="WAH23" s="414"/>
      <c r="WAI23" s="414"/>
      <c r="WAJ23" s="414"/>
      <c r="WAK23" s="414"/>
      <c r="WAL23" s="414"/>
      <c r="WAM23" s="414"/>
      <c r="WAN23" s="414"/>
      <c r="WAO23" s="414"/>
      <c r="WAP23" s="414"/>
      <c r="WAQ23" s="414"/>
      <c r="WAR23" s="414"/>
      <c r="WAS23" s="414"/>
      <c r="WAT23" s="414"/>
      <c r="WAU23" s="414"/>
      <c r="WAV23" s="414"/>
      <c r="WAW23" s="414"/>
      <c r="WAX23" s="414"/>
      <c r="WAY23" s="414"/>
      <c r="WAZ23" s="414"/>
      <c r="WBA23" s="414"/>
      <c r="WBB23" s="414"/>
      <c r="WBC23" s="414"/>
      <c r="WBD23" s="414"/>
      <c r="WBE23" s="414"/>
      <c r="WBF23" s="414"/>
      <c r="WBG23" s="414"/>
      <c r="WBH23" s="414"/>
      <c r="WBI23" s="414"/>
      <c r="WBJ23" s="414"/>
      <c r="WBK23" s="414"/>
      <c r="WBL23" s="414"/>
      <c r="WBM23" s="414"/>
      <c r="WBN23" s="414"/>
      <c r="WBO23" s="414"/>
      <c r="WBP23" s="414"/>
      <c r="WBQ23" s="414"/>
      <c r="WBR23" s="414"/>
      <c r="WBS23" s="414"/>
      <c r="WBT23" s="414"/>
      <c r="WBU23" s="414"/>
      <c r="WBV23" s="414"/>
      <c r="WBW23" s="414"/>
      <c r="WBX23" s="414"/>
      <c r="WBY23" s="414"/>
      <c r="WBZ23" s="414"/>
      <c r="WCA23" s="414"/>
      <c r="WCB23" s="414"/>
      <c r="WCC23" s="414"/>
      <c r="WCD23" s="414"/>
      <c r="WCE23" s="414"/>
      <c r="WCF23" s="414"/>
      <c r="WCG23" s="414"/>
      <c r="WCH23" s="414"/>
      <c r="WCI23" s="414"/>
      <c r="WCJ23" s="414"/>
      <c r="WCK23" s="414"/>
      <c r="WCL23" s="414"/>
      <c r="WCM23" s="414"/>
      <c r="WCN23" s="414"/>
      <c r="WCO23" s="414"/>
      <c r="WCP23" s="414"/>
      <c r="WCQ23" s="414"/>
      <c r="WCR23" s="414"/>
      <c r="WCS23" s="414"/>
      <c r="WCT23" s="414"/>
      <c r="WCU23" s="414"/>
      <c r="WCV23" s="414"/>
      <c r="WCW23" s="414"/>
      <c r="WCX23" s="414"/>
      <c r="WCY23" s="414"/>
      <c r="WCZ23" s="414"/>
      <c r="WDA23" s="414"/>
      <c r="WDB23" s="414"/>
      <c r="WDC23" s="414"/>
      <c r="WDD23" s="414"/>
      <c r="WDE23" s="414"/>
      <c r="WDF23" s="414"/>
      <c r="WDG23" s="414"/>
      <c r="WDH23" s="414"/>
      <c r="WDI23" s="414"/>
      <c r="WDJ23" s="414"/>
      <c r="WDK23" s="414"/>
      <c r="WDL23" s="414"/>
      <c r="WDM23" s="414"/>
      <c r="WDN23" s="414"/>
      <c r="WDO23" s="414"/>
      <c r="WDP23" s="414"/>
      <c r="WDQ23" s="414"/>
      <c r="WDR23" s="414"/>
      <c r="WDS23" s="414"/>
      <c r="WDT23" s="414"/>
      <c r="WDU23" s="414"/>
      <c r="WDV23" s="414"/>
      <c r="WDW23" s="414"/>
      <c r="WDX23" s="414"/>
      <c r="WDY23" s="414"/>
      <c r="WDZ23" s="414"/>
      <c r="WEA23" s="414"/>
      <c r="WEB23" s="414"/>
      <c r="WEC23" s="414"/>
      <c r="WED23" s="414"/>
      <c r="WEE23" s="414"/>
      <c r="WEF23" s="414"/>
      <c r="WEG23" s="414"/>
      <c r="WEH23" s="414"/>
      <c r="WEI23" s="414"/>
      <c r="WEJ23" s="414"/>
      <c r="WEK23" s="414"/>
      <c r="WEL23" s="414"/>
      <c r="WEM23" s="414"/>
      <c r="WEN23" s="414"/>
      <c r="WEO23" s="414"/>
      <c r="WEP23" s="414"/>
      <c r="WEQ23" s="414"/>
      <c r="WER23" s="414"/>
      <c r="WES23" s="414"/>
      <c r="WET23" s="414"/>
      <c r="WEU23" s="414"/>
      <c r="WEV23" s="414"/>
      <c r="WEW23" s="414"/>
      <c r="WEX23" s="414"/>
      <c r="WEY23" s="414"/>
      <c r="WEZ23" s="414"/>
      <c r="WFA23" s="414"/>
      <c r="WFB23" s="414"/>
      <c r="WFC23" s="414"/>
      <c r="WFD23" s="414"/>
      <c r="WFE23" s="414"/>
      <c r="WFF23" s="414"/>
      <c r="WFG23" s="414"/>
      <c r="WFH23" s="414"/>
      <c r="WFI23" s="414"/>
      <c r="WFJ23" s="414"/>
      <c r="WFK23" s="414"/>
      <c r="WFL23" s="414"/>
      <c r="WFM23" s="414"/>
      <c r="WFN23" s="414"/>
      <c r="WFO23" s="414"/>
      <c r="WFP23" s="414"/>
      <c r="WFQ23" s="414"/>
      <c r="WFR23" s="414"/>
      <c r="WFS23" s="414"/>
      <c r="WFT23" s="414"/>
      <c r="WFU23" s="414"/>
      <c r="WFV23" s="414"/>
      <c r="WFW23" s="414"/>
      <c r="WFX23" s="414"/>
      <c r="WFY23" s="414"/>
      <c r="WFZ23" s="414"/>
      <c r="WGA23" s="414"/>
      <c r="WGB23" s="414"/>
      <c r="WGC23" s="414"/>
      <c r="WGD23" s="414"/>
      <c r="WGE23" s="414"/>
      <c r="WGF23" s="414"/>
      <c r="WGG23" s="414"/>
      <c r="WGH23" s="414"/>
      <c r="WGI23" s="414"/>
      <c r="WGJ23" s="414"/>
      <c r="WGK23" s="414"/>
      <c r="WGL23" s="414"/>
      <c r="WGM23" s="414"/>
      <c r="WGN23" s="414"/>
      <c r="WGO23" s="414"/>
      <c r="WGP23" s="414"/>
      <c r="WGQ23" s="414"/>
      <c r="WGR23" s="414"/>
      <c r="WGS23" s="414"/>
      <c r="WGT23" s="414"/>
      <c r="WGU23" s="414"/>
      <c r="WGV23" s="414"/>
      <c r="WGW23" s="414"/>
      <c r="WGX23" s="414"/>
      <c r="WGY23" s="414"/>
      <c r="WGZ23" s="414"/>
      <c r="WHA23" s="414"/>
      <c r="WHB23" s="414"/>
      <c r="WHC23" s="414"/>
      <c r="WHD23" s="414"/>
      <c r="WHE23" s="414"/>
      <c r="WHF23" s="414"/>
      <c r="WHG23" s="414"/>
      <c r="WHH23" s="414"/>
      <c r="WHI23" s="414"/>
      <c r="WHJ23" s="414"/>
      <c r="WHK23" s="414"/>
      <c r="WHL23" s="414"/>
      <c r="WHM23" s="414"/>
      <c r="WHN23" s="414"/>
      <c r="WHO23" s="414"/>
      <c r="WHP23" s="414"/>
      <c r="WHQ23" s="414"/>
      <c r="WHR23" s="414"/>
      <c r="WHS23" s="414"/>
      <c r="WHT23" s="414"/>
      <c r="WHU23" s="414"/>
      <c r="WHV23" s="414"/>
      <c r="WHW23" s="414"/>
      <c r="WHX23" s="414"/>
      <c r="WHY23" s="414"/>
      <c r="WHZ23" s="414"/>
      <c r="WIA23" s="414"/>
      <c r="WIB23" s="414"/>
      <c r="WIC23" s="414"/>
      <c r="WID23" s="414"/>
      <c r="WIE23" s="414"/>
      <c r="WIF23" s="414"/>
      <c r="WIG23" s="414"/>
      <c r="WIH23" s="414"/>
      <c r="WII23" s="414"/>
      <c r="WIJ23" s="414"/>
      <c r="WIK23" s="414"/>
      <c r="WIL23" s="414"/>
      <c r="WIM23" s="414"/>
      <c r="WIN23" s="414"/>
      <c r="WIO23" s="414"/>
      <c r="WIP23" s="414"/>
      <c r="WIQ23" s="414"/>
      <c r="WIR23" s="414"/>
      <c r="WIS23" s="414"/>
      <c r="WIT23" s="414"/>
      <c r="WIU23" s="414"/>
      <c r="WIV23" s="414"/>
      <c r="WIW23" s="414"/>
      <c r="WIX23" s="414"/>
      <c r="WIY23" s="414"/>
      <c r="WIZ23" s="414"/>
      <c r="WJA23" s="414"/>
      <c r="WJB23" s="414"/>
      <c r="WJC23" s="414"/>
      <c r="WJD23" s="414"/>
      <c r="WJE23" s="414"/>
      <c r="WJF23" s="414"/>
      <c r="WJG23" s="414"/>
      <c r="WJH23" s="414"/>
      <c r="WJI23" s="414"/>
      <c r="WJJ23" s="414"/>
      <c r="WJK23" s="414"/>
      <c r="WJL23" s="414"/>
      <c r="WJM23" s="414"/>
      <c r="WJN23" s="414"/>
      <c r="WJO23" s="414"/>
      <c r="WJP23" s="414"/>
      <c r="WJQ23" s="414"/>
      <c r="WJR23" s="414"/>
      <c r="WJS23" s="414"/>
      <c r="WJT23" s="414"/>
      <c r="WJU23" s="414"/>
      <c r="WJV23" s="414"/>
      <c r="WJW23" s="414"/>
      <c r="WJX23" s="414"/>
      <c r="WJY23" s="414"/>
      <c r="WJZ23" s="414"/>
      <c r="WKA23" s="414"/>
      <c r="WKB23" s="414"/>
      <c r="WKC23" s="414"/>
      <c r="WKD23" s="414"/>
      <c r="WKE23" s="414"/>
      <c r="WKF23" s="414"/>
      <c r="WKG23" s="414"/>
      <c r="WKH23" s="414"/>
      <c r="WKI23" s="414"/>
      <c r="WKJ23" s="414"/>
      <c r="WKK23" s="414"/>
      <c r="WKL23" s="414"/>
      <c r="WKM23" s="414"/>
      <c r="WKN23" s="414"/>
      <c r="WKO23" s="414"/>
      <c r="WKP23" s="414"/>
      <c r="WKQ23" s="414"/>
      <c r="WKR23" s="414"/>
      <c r="WKS23" s="414"/>
      <c r="WKT23" s="414"/>
      <c r="WKU23" s="414"/>
      <c r="WKV23" s="414"/>
      <c r="WKW23" s="414"/>
      <c r="WKX23" s="414"/>
      <c r="WKY23" s="414"/>
      <c r="WKZ23" s="414"/>
      <c r="WLA23" s="414"/>
      <c r="WLB23" s="414"/>
      <c r="WLC23" s="414"/>
      <c r="WLD23" s="414"/>
      <c r="WLE23" s="414"/>
      <c r="WLF23" s="414"/>
      <c r="WLG23" s="414"/>
      <c r="WLH23" s="414"/>
      <c r="WLI23" s="414"/>
      <c r="WLJ23" s="414"/>
      <c r="WLK23" s="414"/>
      <c r="WLL23" s="414"/>
      <c r="WLM23" s="414"/>
      <c r="WLN23" s="414"/>
      <c r="WLO23" s="414"/>
      <c r="WLP23" s="414"/>
      <c r="WLQ23" s="414"/>
      <c r="WLR23" s="414"/>
      <c r="WLS23" s="414"/>
      <c r="WLT23" s="414"/>
      <c r="WLU23" s="414"/>
      <c r="WLV23" s="414"/>
      <c r="WLW23" s="414"/>
      <c r="WLX23" s="414"/>
      <c r="WLY23" s="414"/>
      <c r="WLZ23" s="414"/>
      <c r="WMA23" s="414"/>
      <c r="WMB23" s="414"/>
      <c r="WMC23" s="414"/>
      <c r="WMD23" s="414"/>
      <c r="WME23" s="414"/>
      <c r="WMF23" s="414"/>
      <c r="WMG23" s="414"/>
      <c r="WMH23" s="414"/>
      <c r="WMI23" s="414"/>
      <c r="WMJ23" s="414"/>
      <c r="WMK23" s="414"/>
      <c r="WML23" s="414"/>
      <c r="WMM23" s="414"/>
      <c r="WMN23" s="414"/>
      <c r="WMO23" s="414"/>
      <c r="WMP23" s="414"/>
      <c r="WMQ23" s="414"/>
      <c r="WMR23" s="414"/>
      <c r="WMS23" s="414"/>
      <c r="WMT23" s="414"/>
      <c r="WMU23" s="414"/>
      <c r="WMV23" s="414"/>
      <c r="WMW23" s="414"/>
      <c r="WMX23" s="414"/>
      <c r="WMY23" s="414"/>
      <c r="WMZ23" s="414"/>
      <c r="WNA23" s="414"/>
      <c r="WNB23" s="414"/>
      <c r="WNC23" s="414"/>
      <c r="WND23" s="414"/>
      <c r="WNE23" s="414"/>
      <c r="WNF23" s="414"/>
      <c r="WNG23" s="414"/>
      <c r="WNH23" s="414"/>
      <c r="WNI23" s="414"/>
      <c r="WNJ23" s="414"/>
      <c r="WNK23" s="414"/>
      <c r="WNL23" s="414"/>
      <c r="WNM23" s="414"/>
      <c r="WNN23" s="414"/>
      <c r="WNO23" s="414"/>
      <c r="WNP23" s="414"/>
      <c r="WNQ23" s="414"/>
      <c r="WNR23" s="414"/>
      <c r="WNS23" s="414"/>
      <c r="WNT23" s="414"/>
      <c r="WNU23" s="414"/>
      <c r="WNV23" s="414"/>
      <c r="WNW23" s="414"/>
      <c r="WNX23" s="414"/>
      <c r="WNY23" s="414"/>
      <c r="WNZ23" s="414"/>
      <c r="WOA23" s="414"/>
      <c r="WOB23" s="414"/>
      <c r="WOC23" s="414"/>
      <c r="WOD23" s="414"/>
      <c r="WOE23" s="414"/>
      <c r="WOF23" s="414"/>
      <c r="WOG23" s="414"/>
      <c r="WOH23" s="414"/>
      <c r="WOI23" s="414"/>
      <c r="WOJ23" s="414"/>
      <c r="WOK23" s="414"/>
      <c r="WOL23" s="414"/>
      <c r="WOM23" s="414"/>
      <c r="WON23" s="414"/>
      <c r="WOO23" s="414"/>
      <c r="WOP23" s="414"/>
      <c r="WOQ23" s="414"/>
      <c r="WOR23" s="414"/>
      <c r="WOS23" s="414"/>
      <c r="WOT23" s="414"/>
      <c r="WOU23" s="414"/>
      <c r="WOV23" s="414"/>
      <c r="WOW23" s="414"/>
      <c r="WOX23" s="414"/>
      <c r="WOY23" s="414"/>
      <c r="WOZ23" s="414"/>
      <c r="WPA23" s="414"/>
      <c r="WPB23" s="414"/>
      <c r="WPC23" s="414"/>
      <c r="WPD23" s="414"/>
      <c r="WPE23" s="414"/>
      <c r="WPF23" s="414"/>
      <c r="WPG23" s="414"/>
      <c r="WPH23" s="414"/>
      <c r="WPI23" s="414"/>
      <c r="WPJ23" s="414"/>
      <c r="WPK23" s="414"/>
      <c r="WPL23" s="414"/>
      <c r="WPM23" s="414"/>
      <c r="WPN23" s="414"/>
      <c r="WPO23" s="414"/>
      <c r="WPP23" s="414"/>
      <c r="WPQ23" s="414"/>
      <c r="WPR23" s="414"/>
      <c r="WPS23" s="414"/>
      <c r="WPT23" s="414"/>
      <c r="WPU23" s="414"/>
      <c r="WPV23" s="414"/>
      <c r="WPW23" s="414"/>
      <c r="WPX23" s="414"/>
      <c r="WPY23" s="414"/>
      <c r="WPZ23" s="414"/>
      <c r="WQA23" s="414"/>
      <c r="WQB23" s="414"/>
      <c r="WQC23" s="414"/>
      <c r="WQD23" s="414"/>
      <c r="WQE23" s="414"/>
      <c r="WQF23" s="414"/>
      <c r="WQG23" s="414"/>
      <c r="WQH23" s="414"/>
      <c r="WQI23" s="414"/>
      <c r="WQJ23" s="414"/>
      <c r="WQK23" s="414"/>
      <c r="WQL23" s="414"/>
      <c r="WQM23" s="414"/>
      <c r="WQN23" s="414"/>
      <c r="WQO23" s="414"/>
      <c r="WQP23" s="414"/>
      <c r="WQQ23" s="414"/>
      <c r="WQR23" s="414"/>
      <c r="WQS23" s="414"/>
      <c r="WQT23" s="414"/>
      <c r="WQU23" s="414"/>
      <c r="WQV23" s="414"/>
      <c r="WQW23" s="414"/>
      <c r="WQX23" s="414"/>
      <c r="WQY23" s="414"/>
      <c r="WQZ23" s="414"/>
      <c r="WRA23" s="414"/>
      <c r="WRB23" s="414"/>
      <c r="WRC23" s="414"/>
      <c r="WRD23" s="414"/>
      <c r="WRE23" s="414"/>
      <c r="WRF23" s="414"/>
      <c r="WRG23" s="414"/>
      <c r="WRH23" s="414"/>
      <c r="WRI23" s="414"/>
      <c r="WRJ23" s="414"/>
      <c r="WRK23" s="414"/>
      <c r="WRL23" s="414"/>
      <c r="WRM23" s="414"/>
      <c r="WRN23" s="414"/>
      <c r="WRO23" s="414"/>
      <c r="WRP23" s="414"/>
      <c r="WRQ23" s="414"/>
      <c r="WRR23" s="414"/>
      <c r="WRS23" s="414"/>
      <c r="WRT23" s="414"/>
      <c r="WRU23" s="414"/>
      <c r="WRV23" s="414"/>
      <c r="WRW23" s="414"/>
      <c r="WRX23" s="414"/>
      <c r="WRY23" s="414"/>
      <c r="WRZ23" s="414"/>
      <c r="WSA23" s="414"/>
      <c r="WSB23" s="414"/>
      <c r="WSC23" s="414"/>
      <c r="WSD23" s="414"/>
      <c r="WSE23" s="414"/>
      <c r="WSF23" s="414"/>
      <c r="WSG23" s="414"/>
      <c r="WSH23" s="414"/>
      <c r="WSI23" s="414"/>
      <c r="WSJ23" s="414"/>
      <c r="WSK23" s="414"/>
      <c r="WSL23" s="414"/>
      <c r="WSM23" s="414"/>
      <c r="WSN23" s="414"/>
      <c r="WSO23" s="414"/>
      <c r="WSP23" s="414"/>
      <c r="WSQ23" s="414"/>
      <c r="WSR23" s="414"/>
      <c r="WSS23" s="414"/>
      <c r="WST23" s="414"/>
      <c r="WSU23" s="414"/>
      <c r="WSV23" s="414"/>
      <c r="WSW23" s="414"/>
      <c r="WSX23" s="414"/>
      <c r="WSY23" s="414"/>
      <c r="WSZ23" s="414"/>
      <c r="WTA23" s="414"/>
      <c r="WTB23" s="414"/>
      <c r="WTC23" s="414"/>
      <c r="WTD23" s="414"/>
      <c r="WTE23" s="414"/>
      <c r="WTF23" s="414"/>
      <c r="WTG23" s="414"/>
      <c r="WTH23" s="414"/>
      <c r="WTI23" s="414"/>
      <c r="WTJ23" s="414"/>
      <c r="WTK23" s="414"/>
      <c r="WTL23" s="414"/>
      <c r="WTM23" s="414"/>
      <c r="WTN23" s="414"/>
      <c r="WTO23" s="414"/>
      <c r="WTP23" s="414"/>
      <c r="WTQ23" s="414"/>
      <c r="WTR23" s="414"/>
      <c r="WTS23" s="414"/>
      <c r="WTT23" s="414"/>
      <c r="WTU23" s="414"/>
      <c r="WTV23" s="414"/>
      <c r="WTW23" s="414"/>
      <c r="WTX23" s="414"/>
      <c r="WTY23" s="414"/>
      <c r="WTZ23" s="414"/>
      <c r="WUA23" s="414"/>
      <c r="WUB23" s="414"/>
      <c r="WUC23" s="414"/>
      <c r="WUD23" s="414"/>
      <c r="WUE23" s="414"/>
      <c r="WUF23" s="414"/>
      <c r="WUG23" s="414"/>
      <c r="WUH23" s="414"/>
      <c r="WUI23" s="414"/>
      <c r="WUJ23" s="414"/>
      <c r="WUK23" s="414"/>
      <c r="WUL23" s="414"/>
      <c r="WUM23" s="414"/>
      <c r="WUN23" s="414"/>
      <c r="WUO23" s="414"/>
      <c r="WUP23" s="414"/>
      <c r="WUQ23" s="414"/>
      <c r="WUR23" s="414"/>
      <c r="WUS23" s="414"/>
      <c r="WUT23" s="414"/>
      <c r="WUU23" s="414"/>
      <c r="WUV23" s="414"/>
      <c r="WUW23" s="414"/>
      <c r="WUX23" s="414"/>
      <c r="WUY23" s="414"/>
      <c r="WUZ23" s="414"/>
      <c r="WVA23" s="414"/>
      <c r="WVB23" s="414"/>
      <c r="WVC23" s="414"/>
      <c r="WVD23" s="414"/>
      <c r="WVE23" s="414"/>
      <c r="WVF23" s="414"/>
      <c r="WVG23" s="414"/>
      <c r="WVH23" s="414"/>
      <c r="WVI23" s="414"/>
      <c r="WVJ23" s="414"/>
      <c r="WVK23" s="414"/>
      <c r="WVL23" s="414"/>
      <c r="WVM23" s="414"/>
      <c r="WVN23" s="414"/>
      <c r="WVO23" s="414"/>
      <c r="WVP23" s="414"/>
      <c r="WVQ23" s="414"/>
      <c r="WVR23" s="414"/>
      <c r="WVS23" s="414"/>
      <c r="WVT23" s="414"/>
      <c r="WVU23" s="414"/>
      <c r="WVV23" s="414"/>
      <c r="WVW23" s="414"/>
      <c r="WVX23" s="414"/>
      <c r="WVY23" s="414"/>
      <c r="WVZ23" s="414"/>
      <c r="WWA23" s="414"/>
      <c r="WWB23" s="414"/>
      <c r="WWC23" s="414"/>
      <c r="WWD23" s="414"/>
      <c r="WWE23" s="414"/>
      <c r="WWF23" s="414"/>
      <c r="WWG23" s="414"/>
      <c r="WWH23" s="414"/>
      <c r="WWI23" s="414"/>
      <c r="WWJ23" s="414"/>
      <c r="WWK23" s="414"/>
      <c r="WWL23" s="414"/>
      <c r="WWM23" s="414"/>
      <c r="WWN23" s="414"/>
      <c r="WWO23" s="414"/>
      <c r="WWP23" s="414"/>
      <c r="WWQ23" s="414"/>
      <c r="WWR23" s="414"/>
      <c r="WWS23" s="414"/>
      <c r="WWT23" s="414"/>
      <c r="WWU23" s="414"/>
      <c r="WWV23" s="414"/>
      <c r="WWW23" s="414"/>
      <c r="WWX23" s="414"/>
      <c r="WWY23" s="414"/>
      <c r="WWZ23" s="414"/>
      <c r="WXA23" s="414"/>
      <c r="WXB23" s="414"/>
      <c r="WXC23" s="414"/>
      <c r="WXD23" s="414"/>
      <c r="WXE23" s="414"/>
      <c r="WXF23" s="414"/>
      <c r="WXG23" s="414"/>
      <c r="WXH23" s="414"/>
      <c r="WXI23" s="414"/>
      <c r="WXJ23" s="414"/>
      <c r="WXK23" s="414"/>
      <c r="WXL23" s="414"/>
      <c r="WXM23" s="414"/>
      <c r="WXN23" s="414"/>
      <c r="WXO23" s="414"/>
      <c r="WXP23" s="414"/>
      <c r="WXQ23" s="414"/>
      <c r="WXR23" s="414"/>
      <c r="WXS23" s="414"/>
      <c r="WXT23" s="414"/>
      <c r="WXU23" s="414"/>
      <c r="WXV23" s="414"/>
      <c r="WXW23" s="414"/>
      <c r="WXX23" s="414"/>
      <c r="WXY23" s="414"/>
      <c r="WXZ23" s="414"/>
      <c r="WYA23" s="414"/>
      <c r="WYB23" s="414"/>
      <c r="WYC23" s="414"/>
      <c r="WYD23" s="414"/>
      <c r="WYE23" s="414"/>
      <c r="WYF23" s="414"/>
      <c r="WYG23" s="414"/>
      <c r="WYH23" s="414"/>
      <c r="WYI23" s="414"/>
      <c r="WYJ23" s="414"/>
      <c r="WYK23" s="414"/>
      <c r="WYL23" s="414"/>
      <c r="WYM23" s="414"/>
      <c r="WYN23" s="414"/>
      <c r="WYO23" s="414"/>
      <c r="WYP23" s="414"/>
      <c r="WYQ23" s="414"/>
      <c r="WYR23" s="414"/>
      <c r="WYS23" s="414"/>
      <c r="WYT23" s="414"/>
      <c r="WYU23" s="414"/>
      <c r="WYV23" s="414"/>
      <c r="WYW23" s="414"/>
      <c r="WYX23" s="414"/>
      <c r="WYY23" s="414"/>
      <c r="WYZ23" s="414"/>
      <c r="WZA23" s="414"/>
      <c r="WZB23" s="414"/>
      <c r="WZC23" s="414"/>
      <c r="WZD23" s="414"/>
      <c r="WZE23" s="414"/>
      <c r="WZF23" s="414"/>
      <c r="WZG23" s="414"/>
      <c r="WZH23" s="414"/>
      <c r="WZI23" s="414"/>
      <c r="WZJ23" s="414"/>
      <c r="WZK23" s="414"/>
      <c r="WZL23" s="414"/>
      <c r="WZM23" s="414"/>
      <c r="WZN23" s="414"/>
      <c r="WZO23" s="414"/>
      <c r="WZP23" s="414"/>
      <c r="WZQ23" s="414"/>
      <c r="WZR23" s="414"/>
      <c r="WZS23" s="414"/>
      <c r="WZT23" s="414"/>
      <c r="WZU23" s="414"/>
      <c r="WZV23" s="414"/>
      <c r="WZW23" s="414"/>
      <c r="WZX23" s="414"/>
      <c r="WZY23" s="414"/>
      <c r="WZZ23" s="414"/>
      <c r="XAA23" s="414"/>
      <c r="XAB23" s="414"/>
      <c r="XAC23" s="414"/>
      <c r="XAD23" s="414"/>
      <c r="XAE23" s="414"/>
      <c r="XAF23" s="414"/>
      <c r="XAG23" s="414"/>
      <c r="XAH23" s="414"/>
      <c r="XAI23" s="414"/>
      <c r="XAJ23" s="414"/>
      <c r="XAK23" s="414"/>
      <c r="XAL23" s="414"/>
      <c r="XAM23" s="414"/>
      <c r="XAN23" s="414"/>
      <c r="XAO23" s="414"/>
      <c r="XAP23" s="414"/>
      <c r="XAQ23" s="414"/>
      <c r="XAR23" s="414"/>
      <c r="XAS23" s="414"/>
      <c r="XAT23" s="414"/>
      <c r="XAU23" s="414"/>
      <c r="XAV23" s="414"/>
      <c r="XAW23" s="414"/>
      <c r="XAX23" s="414"/>
      <c r="XAY23" s="414"/>
      <c r="XAZ23" s="414"/>
      <c r="XBA23" s="414"/>
      <c r="XBB23" s="414"/>
      <c r="XBC23" s="414"/>
      <c r="XBD23" s="414"/>
      <c r="XBE23" s="414"/>
      <c r="XBF23" s="414"/>
      <c r="XBG23" s="414"/>
      <c r="XBH23" s="414"/>
      <c r="XBI23" s="414"/>
      <c r="XBJ23" s="414"/>
      <c r="XBK23" s="414"/>
      <c r="XBL23" s="414"/>
      <c r="XBM23" s="414"/>
      <c r="XBN23" s="414"/>
      <c r="XBO23" s="414"/>
      <c r="XBP23" s="414"/>
      <c r="XBQ23" s="414"/>
      <c r="XBR23" s="414"/>
      <c r="XBS23" s="414"/>
      <c r="XBT23" s="414"/>
      <c r="XBU23" s="414"/>
      <c r="XBV23" s="414"/>
      <c r="XBW23" s="414"/>
      <c r="XBX23" s="414"/>
      <c r="XBY23" s="414"/>
      <c r="XBZ23" s="414"/>
      <c r="XCA23" s="414"/>
      <c r="XCB23" s="414"/>
      <c r="XCC23" s="414"/>
      <c r="XCD23" s="414"/>
      <c r="XCE23" s="414"/>
      <c r="XCF23" s="414"/>
      <c r="XCG23" s="414"/>
      <c r="XCH23" s="414"/>
      <c r="XCI23" s="414"/>
      <c r="XCJ23" s="414"/>
      <c r="XCK23" s="414"/>
      <c r="XCL23" s="414"/>
      <c r="XCM23" s="414"/>
      <c r="XCN23" s="414"/>
      <c r="XCO23" s="414"/>
      <c r="XCP23" s="414"/>
      <c r="XCQ23" s="414"/>
      <c r="XCR23" s="414"/>
      <c r="XCS23" s="414"/>
      <c r="XCT23" s="414"/>
      <c r="XCU23" s="414"/>
      <c r="XCV23" s="414"/>
      <c r="XCW23" s="414"/>
      <c r="XCX23" s="414"/>
      <c r="XCY23" s="414"/>
      <c r="XCZ23" s="414"/>
      <c r="XDA23" s="414"/>
      <c r="XDB23" s="414"/>
      <c r="XDC23" s="414"/>
      <c r="XDD23" s="414"/>
      <c r="XDE23" s="414"/>
      <c r="XDF23" s="414"/>
      <c r="XDG23" s="414"/>
      <c r="XDH23" s="414"/>
      <c r="XDI23" s="414"/>
      <c r="XDJ23" s="414"/>
      <c r="XDK23" s="414"/>
      <c r="XDL23" s="414"/>
      <c r="XDM23" s="414"/>
      <c r="XDN23" s="414"/>
      <c r="XDO23" s="414"/>
      <c r="XDP23" s="414"/>
      <c r="XDQ23" s="414"/>
      <c r="XDR23" s="414"/>
      <c r="XDS23" s="414"/>
      <c r="XDT23" s="414"/>
      <c r="XDU23" s="414"/>
      <c r="XDV23" s="414"/>
      <c r="XDW23" s="414"/>
      <c r="XDX23" s="414"/>
      <c r="XDY23" s="414"/>
      <c r="XDZ23" s="414"/>
      <c r="XEA23" s="414"/>
      <c r="XEB23" s="414"/>
      <c r="XEC23" s="414"/>
      <c r="XED23" s="414"/>
      <c r="XEE23" s="414"/>
      <c r="XEF23" s="414"/>
      <c r="XEG23" s="414"/>
      <c r="XEH23" s="414"/>
      <c r="XEI23" s="414"/>
      <c r="XEJ23" s="414"/>
      <c r="XEK23" s="414"/>
      <c r="XEL23" s="414"/>
      <c r="XEM23" s="414"/>
      <c r="XEN23" s="414"/>
      <c r="XEO23" s="414"/>
      <c r="XEP23" s="414"/>
      <c r="XEQ23" s="414"/>
      <c r="XER23" s="414"/>
      <c r="XES23" s="414"/>
      <c r="XET23" s="414"/>
      <c r="XEU23" s="414"/>
      <c r="XEV23" s="414"/>
      <c r="XEW23" s="414"/>
      <c r="XEX23" s="414"/>
      <c r="XEY23" s="414"/>
      <c r="XEZ23" s="414"/>
      <c r="XFA23" s="414"/>
      <c r="XFB23" s="414"/>
      <c r="XFC23" s="414"/>
      <c r="XFD23" s="414"/>
    </row>
    <row r="24" spans="1:16384" x14ac:dyDescent="0.2">
      <c r="B24" s="419"/>
      <c r="C24" s="419"/>
      <c r="D24" s="419"/>
      <c r="E24" s="420"/>
      <c r="F24" s="422"/>
      <c r="G24" s="421"/>
      <c r="H24" s="421"/>
      <c r="I24" s="68"/>
      <c r="J24" s="68"/>
      <c r="K24" s="68"/>
      <c r="L24" s="68"/>
      <c r="M24" s="68"/>
      <c r="N24" s="68"/>
      <c r="O24" s="68"/>
      <c r="P24" s="68"/>
      <c r="Q24" s="68"/>
      <c r="R24" s="414"/>
      <c r="S24" s="414"/>
      <c r="T24" s="414"/>
      <c r="U24" s="414"/>
      <c r="V24" s="414"/>
      <c r="W24" s="414"/>
      <c r="X24" s="414"/>
      <c r="Y24" s="414"/>
      <c r="Z24" s="414"/>
      <c r="AA24" s="414"/>
      <c r="AB24" s="414"/>
      <c r="AC24" s="414"/>
      <c r="AD24" s="431"/>
      <c r="AE24" s="431"/>
      <c r="AF24" s="431"/>
      <c r="AG24" s="432"/>
      <c r="AH24" s="433"/>
      <c r="AI24" s="433"/>
      <c r="AJ24" s="433"/>
      <c r="AK24" s="68"/>
      <c r="AL24" s="68"/>
      <c r="AM24" s="68"/>
      <c r="AN24" s="68"/>
      <c r="AO24" s="68"/>
      <c r="AP24" s="68"/>
      <c r="AQ24" s="68"/>
      <c r="AR24" s="68"/>
      <c r="AS24" s="68"/>
      <c r="AT24" s="414"/>
      <c r="AU24" s="414"/>
      <c r="AV24" s="414"/>
      <c r="AW24" s="414"/>
      <c r="AX24" s="414"/>
      <c r="AY24" s="414"/>
      <c r="AZ24" s="414"/>
      <c r="BA24" s="414"/>
      <c r="BB24" s="414"/>
      <c r="BC24" s="414"/>
      <c r="BD24" s="414"/>
      <c r="BE24" s="414"/>
      <c r="BF24" s="439"/>
      <c r="BG24" s="439"/>
      <c r="BH24" s="439"/>
      <c r="BI24" s="439"/>
      <c r="BJ24" s="421"/>
      <c r="BK24" s="421"/>
      <c r="BL24" s="421"/>
      <c r="BM24" s="68"/>
      <c r="BN24" s="68"/>
      <c r="BO24" s="68"/>
      <c r="BP24" s="68"/>
      <c r="BQ24" s="68"/>
      <c r="BR24" s="68"/>
      <c r="BS24" s="68"/>
      <c r="BT24" s="68"/>
      <c r="BU24" s="68"/>
      <c r="BV24" s="414"/>
      <c r="BW24" s="414"/>
      <c r="BX24" s="414"/>
      <c r="BY24" s="414"/>
      <c r="BZ24" s="414"/>
      <c r="CA24" s="414"/>
      <c r="CB24" s="414"/>
      <c r="CC24" s="414"/>
      <c r="CD24" s="414"/>
      <c r="CE24" s="414"/>
      <c r="CF24" s="414"/>
      <c r="CG24" s="414"/>
      <c r="CH24" s="68"/>
      <c r="CI24" s="68"/>
      <c r="CJ24" s="68"/>
      <c r="CK24" s="68"/>
      <c r="CL24" s="433"/>
      <c r="CM24" s="433"/>
      <c r="CN24" s="433"/>
      <c r="CO24" s="68"/>
      <c r="CP24" s="68"/>
      <c r="CQ24" s="68"/>
      <c r="CR24" s="68"/>
      <c r="CS24" s="68"/>
      <c r="CT24" s="68"/>
      <c r="CU24" s="68"/>
      <c r="CV24" s="68"/>
      <c r="CW24" s="68"/>
      <c r="CX24" s="414"/>
      <c r="CY24" s="414"/>
      <c r="CZ24" s="414"/>
      <c r="DA24" s="414"/>
      <c r="DB24" s="414"/>
      <c r="DC24" s="414"/>
      <c r="DD24" s="414"/>
      <c r="DE24" s="414"/>
      <c r="DF24" s="414"/>
      <c r="DG24" s="414"/>
      <c r="DH24" s="414"/>
      <c r="DI24" s="414"/>
      <c r="DJ24" s="68"/>
      <c r="DK24" s="68"/>
      <c r="DL24" s="68"/>
      <c r="DM24" s="68"/>
      <c r="DN24" s="68"/>
      <c r="DO24" s="68"/>
      <c r="DP24" s="68"/>
      <c r="DQ24" s="68"/>
      <c r="DR24" s="68"/>
      <c r="DS24" s="68"/>
      <c r="DT24" s="68"/>
      <c r="DU24" s="68"/>
      <c r="DV24" s="475"/>
      <c r="DW24" s="475"/>
      <c r="DX24" s="475"/>
      <c r="DY24" s="476"/>
      <c r="DZ24" s="415"/>
      <c r="EA24" s="415"/>
      <c r="EB24" s="415"/>
      <c r="EC24" s="415"/>
      <c r="ED24" s="415"/>
      <c r="EE24" s="415"/>
      <c r="EF24" s="415"/>
      <c r="EG24" s="415"/>
      <c r="EH24" s="415"/>
      <c r="EI24" s="415"/>
      <c r="EJ24" s="415"/>
      <c r="EK24" s="415"/>
      <c r="EL24" s="471"/>
      <c r="EM24" s="471"/>
      <c r="EN24" s="471"/>
      <c r="EO24" s="471"/>
      <c r="EP24" s="471"/>
      <c r="EQ24" s="471"/>
      <c r="ER24" s="471"/>
      <c r="ES24" s="471"/>
      <c r="ET24" s="414"/>
      <c r="EU24" s="414"/>
      <c r="EV24" s="414"/>
      <c r="EW24" s="414"/>
      <c r="EX24" s="414"/>
      <c r="EY24" s="414"/>
      <c r="EZ24" s="414"/>
      <c r="FA24" s="414"/>
      <c r="FB24" s="414"/>
      <c r="FC24" s="414"/>
      <c r="FD24" s="414"/>
      <c r="FE24" s="414"/>
      <c r="FF24" s="448"/>
      <c r="FG24" s="448"/>
      <c r="FH24" s="448"/>
      <c r="FI24" s="446"/>
      <c r="FJ24" s="471"/>
      <c r="FK24" s="471"/>
      <c r="FL24" s="471"/>
      <c r="FM24" s="471"/>
      <c r="FN24" s="471"/>
      <c r="FO24" s="471"/>
      <c r="FP24" s="471"/>
      <c r="FQ24" s="471"/>
      <c r="FR24" s="414"/>
      <c r="FS24" s="414"/>
      <c r="FT24" s="414"/>
      <c r="FU24" s="414"/>
      <c r="FV24" s="414"/>
      <c r="FW24" s="414"/>
      <c r="FX24" s="414"/>
      <c r="FY24" s="414"/>
      <c r="FZ24" s="414"/>
      <c r="GA24" s="414"/>
      <c r="GB24" s="414"/>
      <c r="GC24" s="414"/>
      <c r="GD24" s="448"/>
      <c r="GE24" s="448"/>
      <c r="GF24" s="448"/>
      <c r="GG24" s="446"/>
      <c r="GH24" s="471"/>
      <c r="GI24" s="471"/>
      <c r="GJ24" s="471"/>
      <c r="GK24" s="471"/>
      <c r="GL24" s="471"/>
      <c r="GM24" s="471"/>
      <c r="GN24" s="471"/>
      <c r="GO24" s="471"/>
      <c r="GP24" s="414"/>
      <c r="GQ24" s="414"/>
      <c r="GR24" s="414"/>
      <c r="GS24" s="414"/>
      <c r="GT24" s="414"/>
      <c r="GU24" s="414"/>
      <c r="GV24" s="414"/>
      <c r="GW24" s="414"/>
      <c r="GX24" s="448"/>
      <c r="GY24" s="448"/>
      <c r="GZ24" s="448"/>
      <c r="HA24" s="446"/>
      <c r="HB24" s="471"/>
      <c r="HC24" s="471"/>
      <c r="HD24" s="471"/>
      <c r="HE24" s="471"/>
      <c r="HF24" s="471"/>
      <c r="HG24" s="471"/>
      <c r="HH24" s="471"/>
      <c r="HI24" s="471"/>
      <c r="HJ24" s="414"/>
      <c r="HK24" s="414"/>
      <c r="HL24" s="414"/>
      <c r="HM24" s="414"/>
      <c r="HN24" s="414"/>
      <c r="HO24" s="414"/>
      <c r="HP24" s="414"/>
      <c r="HQ24" s="414"/>
      <c r="HR24" s="414"/>
      <c r="HS24" s="414"/>
      <c r="HT24" s="414"/>
      <c r="HU24" s="414"/>
      <c r="HV24" s="471"/>
      <c r="HW24" s="471"/>
      <c r="HX24" s="471"/>
      <c r="HY24" s="471"/>
      <c r="HZ24" s="471"/>
      <c r="IA24" s="471"/>
      <c r="IB24" s="471"/>
      <c r="IC24" s="471"/>
      <c r="ID24" s="414"/>
      <c r="IE24" s="414"/>
      <c r="IF24" s="414"/>
      <c r="IG24" s="414"/>
      <c r="IH24" s="414"/>
      <c r="II24" s="414"/>
      <c r="IJ24" s="414"/>
      <c r="IK24" s="414"/>
      <c r="IL24" s="414"/>
      <c r="IM24" s="414"/>
      <c r="IN24" s="414"/>
      <c r="IO24" s="414"/>
      <c r="IP24" s="448"/>
      <c r="IQ24" s="448"/>
      <c r="IR24" s="448"/>
      <c r="IS24" s="446"/>
      <c r="IT24" s="471"/>
      <c r="IU24" s="471"/>
      <c r="IV24" s="471"/>
      <c r="IW24" s="471"/>
      <c r="IX24" s="471"/>
      <c r="IY24" s="471"/>
      <c r="IZ24" s="471"/>
      <c r="JA24" s="471"/>
      <c r="JB24" s="414"/>
      <c r="JC24" s="414"/>
      <c r="JD24" s="414"/>
      <c r="JE24" s="414"/>
      <c r="JF24" s="414"/>
      <c r="JG24" s="414"/>
      <c r="JH24" s="414"/>
      <c r="JI24" s="414"/>
      <c r="JJ24" s="414"/>
      <c r="JK24" s="414"/>
      <c r="JL24" s="414"/>
      <c r="JM24" s="414"/>
      <c r="JN24" s="471"/>
      <c r="JO24" s="471"/>
      <c r="JP24" s="471"/>
      <c r="JQ24" s="471"/>
      <c r="JR24" s="471"/>
      <c r="JS24" s="471"/>
      <c r="JT24" s="471"/>
      <c r="JU24" s="471"/>
      <c r="JV24" s="414"/>
      <c r="JW24" s="414"/>
      <c r="JX24" s="414"/>
      <c r="JY24" s="414"/>
      <c r="JZ24" s="414"/>
      <c r="KA24" s="414"/>
      <c r="KB24" s="414"/>
      <c r="KC24" s="414"/>
      <c r="KD24" s="414"/>
      <c r="KE24" s="414"/>
      <c r="KF24" s="414"/>
      <c r="KG24" s="414"/>
      <c r="KH24" s="448"/>
      <c r="KI24" s="448"/>
      <c r="KJ24" s="448"/>
      <c r="KK24" s="446"/>
      <c r="KL24" s="471"/>
      <c r="KM24" s="471"/>
      <c r="KN24" s="471"/>
      <c r="KO24" s="471"/>
      <c r="KP24" s="471"/>
      <c r="KQ24" s="471"/>
      <c r="KR24" s="471"/>
      <c r="KS24" s="471"/>
      <c r="KT24" s="414"/>
      <c r="KU24" s="414"/>
      <c r="KV24" s="414"/>
      <c r="KW24" s="414"/>
      <c r="KX24" s="414"/>
      <c r="KY24" s="414"/>
      <c r="KZ24" s="414"/>
      <c r="LA24" s="414"/>
      <c r="LB24" s="414"/>
      <c r="LC24" s="414"/>
      <c r="LD24" s="414"/>
      <c r="LE24" s="414"/>
      <c r="LF24" s="448"/>
      <c r="LG24" s="448"/>
      <c r="LH24" s="448"/>
      <c r="LI24" s="446"/>
      <c r="LJ24" s="471"/>
      <c r="LK24" s="471"/>
      <c r="LL24" s="471"/>
      <c r="LM24" s="471"/>
      <c r="LN24" s="471"/>
      <c r="LO24" s="471"/>
      <c r="LP24" s="471"/>
      <c r="LQ24" s="471"/>
      <c r="LR24" s="414"/>
      <c r="LS24" s="414"/>
      <c r="LT24" s="414"/>
      <c r="LU24" s="414"/>
      <c r="LV24" s="414"/>
      <c r="LW24" s="414"/>
      <c r="LX24" s="414"/>
      <c r="LY24" s="414"/>
      <c r="LZ24" s="414"/>
      <c r="MA24" s="414"/>
      <c r="MB24" s="414"/>
      <c r="MC24" s="414"/>
      <c r="MD24" s="446"/>
      <c r="ME24" s="446"/>
      <c r="MF24" s="448"/>
      <c r="MG24" s="446"/>
      <c r="MH24" s="471"/>
      <c r="MI24" s="471"/>
      <c r="MJ24" s="471"/>
      <c r="MK24" s="471"/>
      <c r="ML24" s="471"/>
      <c r="MM24" s="471"/>
      <c r="MN24" s="471"/>
      <c r="MO24" s="471"/>
      <c r="MP24" s="414"/>
      <c r="MQ24" s="414"/>
      <c r="MR24" s="414"/>
      <c r="MS24" s="414"/>
      <c r="MT24" s="414"/>
      <c r="MU24" s="414"/>
      <c r="MV24" s="414"/>
      <c r="MW24" s="414"/>
      <c r="MX24" s="414"/>
      <c r="MY24" s="414"/>
      <c r="MZ24" s="414"/>
      <c r="NA24" s="414"/>
      <c r="NB24" s="448"/>
      <c r="NC24" s="448"/>
      <c r="ND24" s="448"/>
      <c r="NE24" s="448"/>
      <c r="NF24" s="471"/>
      <c r="NG24" s="471"/>
      <c r="NH24" s="471"/>
      <c r="NI24" s="471"/>
      <c r="NJ24" s="471"/>
      <c r="NK24" s="471"/>
      <c r="NL24" s="471"/>
      <c r="NM24" s="471"/>
      <c r="NN24" s="414"/>
      <c r="NO24" s="414"/>
      <c r="NP24" s="414"/>
      <c r="NQ24" s="414"/>
      <c r="NR24" s="414"/>
      <c r="NS24" s="414"/>
      <c r="NT24" s="414"/>
      <c r="NU24" s="414"/>
      <c r="NV24" s="414"/>
      <c r="NW24" s="414"/>
      <c r="NX24" s="414"/>
      <c r="NY24" s="414"/>
      <c r="NZ24" s="448"/>
      <c r="OA24" s="448"/>
      <c r="OB24" s="448"/>
      <c r="OC24" s="446"/>
      <c r="OD24" s="471"/>
      <c r="OE24" s="471"/>
      <c r="OF24" s="471"/>
      <c r="OG24" s="471"/>
      <c r="OH24" s="471"/>
      <c r="OI24" s="471"/>
      <c r="OJ24" s="471"/>
      <c r="OK24" s="471"/>
      <c r="OL24" s="414"/>
      <c r="OM24" s="414"/>
      <c r="ON24" s="414"/>
      <c r="OO24" s="414"/>
      <c r="OP24" s="414"/>
      <c r="OQ24" s="414"/>
      <c r="OR24" s="414"/>
      <c r="OS24" s="414"/>
      <c r="OT24" s="414"/>
      <c r="OU24" s="414"/>
      <c r="OV24" s="414"/>
      <c r="OW24" s="414"/>
      <c r="OX24" s="448"/>
      <c r="OY24" s="448"/>
      <c r="OZ24" s="448"/>
      <c r="PA24" s="446"/>
      <c r="PB24" s="471"/>
      <c r="PC24" s="471"/>
      <c r="PD24" s="471"/>
      <c r="PE24" s="471"/>
      <c r="PF24" s="471"/>
      <c r="PG24" s="471"/>
      <c r="PH24" s="471"/>
      <c r="PI24" s="471"/>
      <c r="PJ24" s="414"/>
      <c r="PK24" s="414"/>
      <c r="PL24" s="414"/>
      <c r="PM24" s="414"/>
      <c r="PN24" s="414"/>
      <c r="PO24" s="414"/>
      <c r="PP24" s="414"/>
      <c r="PQ24" s="414"/>
      <c r="PR24" s="414"/>
      <c r="PS24" s="414"/>
      <c r="PT24" s="414"/>
      <c r="PU24" s="414"/>
      <c r="PV24" s="471"/>
      <c r="PW24" s="471"/>
      <c r="PX24" s="471"/>
      <c r="PY24" s="471"/>
      <c r="PZ24" s="471"/>
      <c r="QA24" s="471"/>
      <c r="QB24" s="471"/>
      <c r="QC24" s="471"/>
      <c r="QD24" s="414"/>
      <c r="QE24" s="414"/>
      <c r="QF24" s="414"/>
      <c r="QG24" s="414"/>
      <c r="QH24" s="414"/>
      <c r="QI24" s="414"/>
      <c r="QJ24" s="414"/>
      <c r="QK24" s="414"/>
      <c r="QL24" s="414"/>
      <c r="QM24" s="414"/>
      <c r="QN24" s="414"/>
      <c r="QO24" s="414"/>
      <c r="QP24" s="448"/>
      <c r="QQ24" s="448"/>
      <c r="QR24" s="448"/>
      <c r="QS24" s="446"/>
      <c r="QT24" s="471"/>
      <c r="QU24" s="471"/>
      <c r="QV24" s="471"/>
      <c r="QW24" s="471"/>
      <c r="QX24" s="471"/>
      <c r="QY24" s="471"/>
      <c r="QZ24" s="471"/>
      <c r="RA24" s="471"/>
      <c r="RB24" s="414"/>
      <c r="RC24" s="414"/>
      <c r="RD24" s="414"/>
      <c r="RE24" s="414"/>
      <c r="RF24" s="414"/>
      <c r="RG24" s="414"/>
      <c r="RH24" s="414"/>
      <c r="RI24" s="414"/>
      <c r="RJ24" s="414"/>
      <c r="RK24" s="414"/>
      <c r="RL24" s="414"/>
      <c r="RM24" s="414"/>
      <c r="RN24" s="448"/>
      <c r="RO24" s="448"/>
      <c r="RP24" s="448"/>
      <c r="RQ24" s="446"/>
      <c r="RR24" s="471"/>
      <c r="RS24" s="471"/>
      <c r="RT24" s="471"/>
      <c r="RU24" s="471"/>
      <c r="RV24" s="471"/>
      <c r="RW24" s="471"/>
      <c r="RX24" s="471"/>
      <c r="RY24" s="471"/>
      <c r="RZ24" s="414"/>
      <c r="SA24" s="414"/>
      <c r="SB24" s="414"/>
      <c r="SC24" s="414"/>
      <c r="SD24" s="414"/>
      <c r="SE24" s="414"/>
      <c r="SF24" s="414"/>
      <c r="SG24" s="414"/>
      <c r="SH24" s="414"/>
      <c r="SI24" s="414"/>
      <c r="SJ24" s="414"/>
      <c r="SK24" s="414"/>
      <c r="SL24" s="450"/>
      <c r="SM24" s="450"/>
      <c r="SN24" s="450"/>
      <c r="SO24" s="449"/>
      <c r="SP24" s="471"/>
      <c r="SQ24" s="471"/>
      <c r="SR24" s="471"/>
      <c r="SS24" s="471"/>
      <c r="ST24" s="471"/>
      <c r="SU24" s="471"/>
      <c r="SV24" s="471"/>
      <c r="SW24" s="471"/>
      <c r="SX24" s="414"/>
      <c r="SY24" s="414"/>
      <c r="SZ24" s="414"/>
      <c r="TA24" s="414"/>
      <c r="TB24" s="414"/>
      <c r="TC24" s="414"/>
      <c r="TD24" s="414"/>
      <c r="TE24" s="414"/>
      <c r="TF24" s="414"/>
      <c r="TG24" s="414"/>
      <c r="TH24" s="414"/>
      <c r="TI24" s="414"/>
      <c r="TJ24" s="450"/>
      <c r="TK24" s="450"/>
      <c r="TL24" s="450"/>
      <c r="TM24" s="449"/>
      <c r="TN24" s="471"/>
      <c r="TO24" s="471"/>
      <c r="TP24" s="471"/>
      <c r="TQ24" s="471"/>
      <c r="TR24" s="471"/>
      <c r="TS24" s="471"/>
      <c r="TT24" s="471"/>
      <c r="TU24" s="471"/>
      <c r="TV24" s="414"/>
      <c r="TW24" s="414"/>
      <c r="TX24" s="414"/>
      <c r="TY24" s="414"/>
      <c r="TZ24" s="414"/>
      <c r="UA24" s="414"/>
      <c r="UB24" s="414"/>
      <c r="UC24" s="414"/>
      <c r="UD24" s="414"/>
      <c r="UE24" s="414"/>
      <c r="UF24" s="414"/>
      <c r="UG24" s="414"/>
      <c r="UH24" s="452"/>
      <c r="UI24" s="452"/>
      <c r="UJ24" s="452"/>
      <c r="UK24" s="449"/>
      <c r="UL24" s="471"/>
      <c r="UM24" s="471"/>
      <c r="UN24" s="471"/>
      <c r="UO24" s="471"/>
      <c r="UP24" s="471"/>
      <c r="UQ24" s="471"/>
      <c r="UR24" s="471"/>
      <c r="US24" s="471"/>
      <c r="UT24" s="414"/>
      <c r="UU24" s="414"/>
      <c r="UV24" s="414"/>
      <c r="UW24" s="414"/>
      <c r="UX24" s="414"/>
      <c r="UY24" s="414"/>
      <c r="UZ24" s="414"/>
      <c r="VA24" s="414"/>
      <c r="VB24" s="414"/>
      <c r="VC24" s="414"/>
      <c r="VD24" s="414"/>
      <c r="VE24" s="414"/>
      <c r="VR24" s="414"/>
      <c r="VS24" s="414"/>
      <c r="VT24" s="414"/>
      <c r="VU24" s="414"/>
      <c r="VV24" s="414"/>
      <c r="VW24" s="414"/>
      <c r="VX24" s="414"/>
      <c r="VY24" s="414"/>
      <c r="VZ24" s="414"/>
      <c r="WA24" s="414"/>
      <c r="WB24" s="414"/>
      <c r="WC24" s="414"/>
      <c r="WP24" s="414"/>
      <c r="WQ24" s="414"/>
      <c r="WR24" s="414"/>
      <c r="WS24" s="414"/>
      <c r="WT24" s="414"/>
      <c r="WU24" s="414"/>
      <c r="WV24" s="414"/>
      <c r="WW24" s="414"/>
      <c r="WX24" s="414"/>
      <c r="WY24" s="414"/>
      <c r="WZ24" s="414"/>
      <c r="XA24" s="414"/>
      <c r="XN24" s="415">
        <v>0</v>
      </c>
      <c r="XO24" s="415">
        <v>0</v>
      </c>
      <c r="XP24" s="415">
        <v>0</v>
      </c>
      <c r="XQ24" s="415">
        <v>0</v>
      </c>
      <c r="XR24" s="415"/>
      <c r="XS24" s="415"/>
      <c r="XT24" s="415"/>
      <c r="XU24" s="415"/>
      <c r="XV24" s="415"/>
      <c r="XW24" s="415"/>
      <c r="XX24" s="415"/>
      <c r="XY24" s="415"/>
      <c r="YC24" s="414"/>
      <c r="YD24" s="414"/>
      <c r="YE24" s="414"/>
      <c r="YJ24" s="414"/>
      <c r="YK24" s="414"/>
      <c r="YL24" s="414"/>
      <c r="YQ24" s="414"/>
      <c r="YV24" s="414"/>
      <c r="YW24" s="414"/>
      <c r="YX24" s="414"/>
      <c r="ZC24" s="414"/>
      <c r="ZD24" s="414"/>
      <c r="ZE24" s="414"/>
      <c r="ZG24" s="414"/>
      <c r="ZH24" s="414"/>
      <c r="ZI24" s="414"/>
      <c r="ZN24" s="414"/>
      <c r="ZO24" s="414"/>
      <c r="ZP24" s="414"/>
      <c r="ZU24" s="458"/>
      <c r="ZV24" s="458"/>
      <c r="ZW24" s="458"/>
      <c r="ZX24" s="458"/>
      <c r="ZY24" s="458"/>
      <c r="ZZ24" s="458"/>
      <c r="AAA24" s="458"/>
      <c r="AAB24" s="458"/>
      <c r="AAC24" s="458"/>
      <c r="AAD24" s="458"/>
      <c r="AAE24" s="458"/>
      <c r="AAF24" s="458"/>
      <c r="AAG24" s="458"/>
      <c r="AAI24" s="414"/>
      <c r="AAJ24" s="414"/>
      <c r="AAK24" s="414"/>
      <c r="AAL24" s="415"/>
      <c r="AAM24" s="415"/>
      <c r="AAN24" s="415"/>
      <c r="AAO24" s="415"/>
      <c r="AAP24" s="414"/>
      <c r="AAQ24" s="417"/>
      <c r="AAR24" s="417"/>
      <c r="ABY24" s="414"/>
      <c r="ABZ24" s="414"/>
      <c r="ACA24" s="414"/>
      <c r="ACB24" s="414"/>
      <c r="ACC24" s="414"/>
      <c r="ACD24" s="414"/>
      <c r="ACE24" s="414"/>
      <c r="ACF24" s="414"/>
      <c r="ACG24" s="414"/>
      <c r="ACH24" s="414"/>
      <c r="ACI24" s="414"/>
      <c r="ACJ24" s="414"/>
      <c r="ACK24" s="414"/>
      <c r="ACL24" s="414"/>
      <c r="ACM24" s="414"/>
      <c r="ACN24" s="414"/>
      <c r="ACO24" s="414"/>
      <c r="ACP24" s="414"/>
      <c r="ACQ24" s="414"/>
      <c r="ACR24" s="414"/>
      <c r="ACS24" s="414"/>
      <c r="ACT24" s="414"/>
      <c r="ACU24" s="414"/>
      <c r="ACV24" s="414"/>
      <c r="ACW24" s="414"/>
      <c r="ACX24" s="414"/>
      <c r="ACY24" s="414"/>
      <c r="ACZ24" s="414"/>
      <c r="ADA24" s="414"/>
      <c r="ADB24" s="414"/>
      <c r="ADC24" s="414"/>
      <c r="ADD24" s="414"/>
      <c r="ADE24" s="414"/>
      <c r="ADF24" s="414"/>
      <c r="ADG24" s="414"/>
      <c r="ADH24" s="414"/>
      <c r="ADI24" s="414"/>
      <c r="ADJ24" s="414"/>
      <c r="ADK24" s="414"/>
      <c r="ADL24" s="414"/>
      <c r="ADM24" s="414"/>
      <c r="ADN24" s="414"/>
      <c r="ADO24" s="414"/>
      <c r="ADP24" s="414"/>
      <c r="ADQ24" s="414"/>
      <c r="ADR24" s="414"/>
      <c r="ADS24" s="414"/>
      <c r="ADT24" s="414"/>
      <c r="ADU24" s="414"/>
      <c r="ADV24" s="414"/>
      <c r="ADW24" s="414"/>
      <c r="ADX24" s="414"/>
      <c r="ADY24" s="414"/>
      <c r="ADZ24" s="414"/>
      <c r="AEA24" s="414"/>
      <c r="AEB24" s="414"/>
      <c r="AEC24" s="414"/>
      <c r="AED24" s="414"/>
      <c r="AEE24" s="414"/>
      <c r="AEF24" s="414"/>
      <c r="AEG24" s="414"/>
      <c r="AEH24" s="414"/>
      <c r="AEI24" s="414"/>
      <c r="AEJ24" s="414"/>
      <c r="AEK24" s="414"/>
      <c r="AEL24" s="414"/>
      <c r="AEM24" s="414"/>
      <c r="AEN24" s="414"/>
      <c r="AEO24" s="414"/>
      <c r="AEP24" s="414"/>
      <c r="AEQ24" s="414"/>
      <c r="AER24" s="414"/>
      <c r="AES24" s="414"/>
      <c r="AET24" s="414"/>
      <c r="AEU24" s="414"/>
      <c r="AEV24" s="414"/>
      <c r="AEW24" s="414"/>
      <c r="AEX24" s="414"/>
      <c r="AEY24" s="414"/>
      <c r="AEZ24" s="414"/>
      <c r="AFA24" s="414"/>
      <c r="AFB24" s="414"/>
      <c r="AFC24" s="414"/>
      <c r="AFD24" s="414"/>
      <c r="AFE24" s="414"/>
      <c r="AFF24" s="414"/>
      <c r="AFG24" s="414"/>
      <c r="AFH24" s="414"/>
      <c r="AFI24" s="414"/>
      <c r="AFJ24" s="414"/>
      <c r="AFK24" s="414"/>
      <c r="AFL24" s="414"/>
      <c r="AFM24" s="414"/>
      <c r="AFN24" s="414"/>
      <c r="AFO24" s="414"/>
      <c r="AFP24" s="414"/>
      <c r="AFQ24" s="414"/>
      <c r="AFR24" s="414"/>
      <c r="AFS24" s="414"/>
      <c r="AFT24" s="414"/>
      <c r="AFU24" s="414"/>
      <c r="AFV24" s="414"/>
      <c r="AFW24" s="414"/>
      <c r="AFX24" s="414"/>
      <c r="AFY24" s="414"/>
      <c r="AFZ24" s="414"/>
      <c r="AGA24" s="414"/>
      <c r="AGB24" s="414"/>
      <c r="AGC24" s="414"/>
      <c r="AGD24" s="414"/>
      <c r="AGE24" s="414"/>
      <c r="AGF24" s="414"/>
      <c r="AGG24" s="414"/>
      <c r="AGH24" s="414"/>
      <c r="AGI24" s="414"/>
      <c r="AGJ24" s="414"/>
      <c r="AGK24" s="414"/>
      <c r="AGL24" s="414"/>
      <c r="AGM24" s="414"/>
      <c r="AGN24" s="414"/>
      <c r="AGO24" s="414"/>
      <c r="AGP24" s="414"/>
      <c r="AGQ24" s="414"/>
      <c r="AGR24" s="414"/>
      <c r="AGS24" s="414"/>
      <c r="AGT24" s="414"/>
      <c r="AGU24" s="414"/>
      <c r="AGV24" s="414"/>
      <c r="AGW24" s="414"/>
      <c r="AGX24" s="414"/>
      <c r="AGY24" s="414"/>
      <c r="AGZ24" s="414"/>
      <c r="AHA24" s="414"/>
      <c r="AHB24" s="414"/>
      <c r="AHC24" s="414"/>
      <c r="AHD24" s="414"/>
      <c r="AHE24" s="414"/>
      <c r="AHF24" s="414"/>
      <c r="AHG24" s="414"/>
      <c r="AHH24" s="414"/>
      <c r="AHI24" s="414"/>
      <c r="AHJ24" s="414"/>
      <c r="AHK24" s="414"/>
      <c r="AHL24" s="414"/>
      <c r="AHM24" s="414"/>
      <c r="AHN24" s="414"/>
      <c r="AHO24" s="414"/>
      <c r="AHP24" s="414"/>
      <c r="AHQ24" s="414"/>
      <c r="AHR24" s="414"/>
      <c r="AHS24" s="414"/>
      <c r="AHT24" s="414"/>
      <c r="AHU24" s="414"/>
      <c r="AHV24" s="414"/>
      <c r="AHW24" s="414"/>
      <c r="AHX24" s="414"/>
      <c r="AHY24" s="414"/>
      <c r="AHZ24" s="414"/>
      <c r="AIA24" s="414"/>
      <c r="AIB24" s="414"/>
      <c r="AIC24" s="414"/>
      <c r="AID24" s="414"/>
      <c r="AIE24" s="414"/>
      <c r="AIF24" s="414"/>
      <c r="AIG24" s="414"/>
      <c r="AIH24" s="414"/>
      <c r="AII24" s="414"/>
      <c r="AIJ24" s="414"/>
      <c r="AIK24" s="414"/>
      <c r="AIL24" s="414"/>
      <c r="AIM24" s="414"/>
      <c r="AIN24" s="414"/>
      <c r="AIO24" s="414"/>
      <c r="AIP24" s="414"/>
      <c r="AIQ24" s="414"/>
      <c r="AIR24" s="414"/>
      <c r="AIS24" s="414"/>
      <c r="AIT24" s="414"/>
      <c r="AIU24" s="414"/>
      <c r="AIV24" s="414"/>
      <c r="AIW24" s="414"/>
      <c r="AIX24" s="414"/>
      <c r="AIY24" s="414"/>
      <c r="AIZ24" s="414"/>
      <c r="AJA24" s="414"/>
      <c r="AJB24" s="414"/>
      <c r="AJC24" s="414"/>
      <c r="AJD24" s="414"/>
      <c r="AJE24" s="414"/>
      <c r="AJF24" s="414"/>
      <c r="AJG24" s="414"/>
      <c r="AJH24" s="414"/>
      <c r="AJI24" s="414"/>
      <c r="AJJ24" s="414"/>
      <c r="AJK24" s="414"/>
      <c r="AJL24" s="414"/>
      <c r="AJM24" s="414"/>
      <c r="AJN24" s="414"/>
      <c r="AJO24" s="414"/>
      <c r="AJP24" s="414"/>
      <c r="AJQ24" s="414"/>
      <c r="AJR24" s="414"/>
      <c r="AJS24" s="414"/>
      <c r="AJT24" s="414"/>
      <c r="AJU24" s="414"/>
      <c r="AJV24" s="414"/>
      <c r="AJW24" s="414"/>
      <c r="AJX24" s="414"/>
      <c r="AJY24" s="414"/>
      <c r="AJZ24" s="414"/>
      <c r="AKA24" s="414"/>
      <c r="AKB24" s="414"/>
      <c r="AKC24" s="414"/>
      <c r="AKD24" s="414"/>
      <c r="AKE24" s="414"/>
      <c r="AKF24" s="414"/>
      <c r="AKG24" s="414"/>
      <c r="AKH24" s="414"/>
      <c r="AKI24" s="414"/>
      <c r="AKJ24" s="414"/>
      <c r="AKK24" s="414"/>
      <c r="AKL24" s="414"/>
      <c r="AKM24" s="414"/>
      <c r="AKN24" s="414"/>
      <c r="AKO24" s="414"/>
      <c r="AKP24" s="414"/>
      <c r="AKQ24" s="414"/>
      <c r="AKR24" s="414"/>
      <c r="AKS24" s="414"/>
      <c r="AKT24" s="414"/>
      <c r="AKU24" s="414"/>
      <c r="AKV24" s="414"/>
      <c r="AKW24" s="414"/>
      <c r="AKX24" s="414"/>
      <c r="AKY24" s="414"/>
      <c r="AKZ24" s="414"/>
      <c r="ALA24" s="414"/>
      <c r="ALB24" s="414"/>
      <c r="ALC24" s="414"/>
      <c r="ALD24" s="414"/>
      <c r="ALE24" s="414"/>
      <c r="ALF24" s="414"/>
      <c r="ALG24" s="414"/>
      <c r="ALH24" s="414"/>
      <c r="ALI24" s="414"/>
      <c r="ALJ24" s="414"/>
      <c r="ALK24" s="414"/>
      <c r="ALL24" s="414"/>
      <c r="ALM24" s="414"/>
      <c r="ALN24" s="414"/>
      <c r="ALO24" s="414"/>
      <c r="ALP24" s="414"/>
      <c r="ALQ24" s="414"/>
      <c r="ALR24" s="414"/>
      <c r="ALS24" s="414"/>
      <c r="ALT24" s="414"/>
      <c r="ALU24" s="414"/>
      <c r="ALV24" s="414"/>
      <c r="ALW24" s="414"/>
      <c r="ALX24" s="414"/>
      <c r="ALY24" s="414"/>
      <c r="ALZ24" s="414"/>
      <c r="AMA24" s="414"/>
      <c r="AMB24" s="414"/>
      <c r="AMC24" s="414"/>
      <c r="AMD24" s="414"/>
      <c r="AME24" s="414"/>
      <c r="AMF24" s="414"/>
      <c r="AMG24" s="414"/>
      <c r="AMH24" s="414"/>
      <c r="AMI24" s="414"/>
      <c r="AMJ24" s="414"/>
      <c r="AMK24" s="414"/>
      <c r="AML24" s="414"/>
      <c r="AMM24" s="414"/>
      <c r="AMN24" s="414"/>
      <c r="AMO24" s="414"/>
      <c r="AMP24" s="414"/>
      <c r="AMQ24" s="414"/>
      <c r="AMR24" s="414"/>
      <c r="AMS24" s="414"/>
      <c r="AMT24" s="414"/>
      <c r="AMU24" s="414"/>
      <c r="AMV24" s="414"/>
      <c r="AMW24" s="414"/>
      <c r="AMX24" s="414"/>
      <c r="AMY24" s="414"/>
      <c r="AMZ24" s="414"/>
      <c r="ANA24" s="414"/>
      <c r="ANB24" s="414"/>
      <c r="ANC24" s="414"/>
      <c r="AND24" s="414"/>
      <c r="ANE24" s="414"/>
      <c r="ANF24" s="414"/>
      <c r="ANG24" s="414"/>
      <c r="ANH24" s="414"/>
      <c r="ANI24" s="414"/>
      <c r="ANJ24" s="414"/>
      <c r="ANK24" s="414"/>
      <c r="ANL24" s="414"/>
      <c r="ANM24" s="414"/>
      <c r="ANN24" s="414"/>
      <c r="ANO24" s="414"/>
      <c r="ANP24" s="414"/>
      <c r="ANQ24" s="414"/>
      <c r="ANR24" s="414"/>
      <c r="ANS24" s="414"/>
      <c r="ANT24" s="414"/>
      <c r="ANU24" s="414"/>
      <c r="ANV24" s="414"/>
      <c r="ANW24" s="414"/>
      <c r="ANX24" s="414"/>
      <c r="ANY24" s="414"/>
      <c r="ANZ24" s="414"/>
      <c r="AOA24" s="414"/>
      <c r="AOB24" s="414"/>
      <c r="AOC24" s="414"/>
      <c r="AOD24" s="414"/>
      <c r="AOE24" s="414"/>
      <c r="AOF24" s="414"/>
      <c r="AOG24" s="414"/>
      <c r="AOH24" s="414"/>
      <c r="AOI24" s="414"/>
      <c r="AOJ24" s="414"/>
      <c r="AOK24" s="414"/>
      <c r="AOL24" s="414"/>
      <c r="AOM24" s="414"/>
      <c r="AON24" s="414"/>
      <c r="AOO24" s="414"/>
      <c r="AOP24" s="414"/>
      <c r="AOQ24" s="414"/>
      <c r="AOR24" s="414"/>
      <c r="AOS24" s="414"/>
      <c r="AOT24" s="414"/>
      <c r="AOU24" s="414"/>
      <c r="AOV24" s="414"/>
      <c r="AOW24" s="414"/>
      <c r="AOX24" s="414"/>
      <c r="AOY24" s="414"/>
      <c r="AOZ24" s="414"/>
      <c r="APA24" s="414"/>
      <c r="APB24" s="414"/>
      <c r="APC24" s="414"/>
      <c r="APD24" s="414"/>
      <c r="APE24" s="414"/>
      <c r="APF24" s="414"/>
      <c r="APG24" s="414"/>
      <c r="APH24" s="414"/>
      <c r="API24" s="414"/>
      <c r="APJ24" s="414"/>
      <c r="APK24" s="414"/>
      <c r="APL24" s="414"/>
      <c r="APM24" s="414"/>
      <c r="APN24" s="414"/>
      <c r="APO24" s="414"/>
      <c r="APP24" s="414"/>
      <c r="APQ24" s="414"/>
      <c r="APR24" s="414"/>
      <c r="APS24" s="414"/>
      <c r="APT24" s="414"/>
      <c r="APU24" s="414"/>
      <c r="APV24" s="414"/>
      <c r="APW24" s="414"/>
      <c r="APX24" s="414"/>
      <c r="APY24" s="414"/>
      <c r="APZ24" s="414"/>
      <c r="AQA24" s="414"/>
      <c r="AQB24" s="414"/>
      <c r="AQC24" s="414"/>
      <c r="AQD24" s="414"/>
      <c r="AQE24" s="414"/>
      <c r="AQF24" s="414"/>
      <c r="AQG24" s="414"/>
      <c r="AQH24" s="414"/>
      <c r="AQI24" s="414"/>
      <c r="AQJ24" s="414"/>
      <c r="AQK24" s="414"/>
      <c r="AQL24" s="414"/>
      <c r="AQM24" s="414"/>
      <c r="AQN24" s="414"/>
      <c r="AQO24" s="414"/>
      <c r="AQP24" s="414"/>
      <c r="AQQ24" s="414"/>
      <c r="AQR24" s="414"/>
      <c r="AQS24" s="414"/>
      <c r="AQT24" s="414"/>
      <c r="AQU24" s="414"/>
      <c r="AQV24" s="414"/>
      <c r="AQW24" s="414"/>
      <c r="AQX24" s="414"/>
      <c r="AQY24" s="414"/>
      <c r="AQZ24" s="414"/>
      <c r="ARA24" s="414"/>
      <c r="ARB24" s="414"/>
      <c r="ARC24" s="414"/>
      <c r="ARD24" s="414"/>
      <c r="ARE24" s="414"/>
      <c r="ARF24" s="414"/>
      <c r="ARG24" s="414"/>
      <c r="ARH24" s="414"/>
      <c r="ARI24" s="414"/>
      <c r="ARJ24" s="414"/>
      <c r="ARK24" s="414"/>
      <c r="ARL24" s="414"/>
      <c r="ARM24" s="414"/>
      <c r="ARN24" s="414"/>
      <c r="ARO24" s="414"/>
      <c r="ARP24" s="414"/>
      <c r="ARQ24" s="414"/>
      <c r="ARR24" s="414"/>
      <c r="ARS24" s="414"/>
      <c r="ART24" s="414"/>
      <c r="ARU24" s="414"/>
      <c r="ARV24" s="414"/>
      <c r="ARW24" s="414"/>
      <c r="ARX24" s="414"/>
      <c r="ARY24" s="414"/>
      <c r="ARZ24" s="414"/>
      <c r="ASA24" s="414"/>
      <c r="ASB24" s="414"/>
      <c r="ASC24" s="414"/>
      <c r="ASD24" s="414"/>
      <c r="ASE24" s="414"/>
      <c r="ASF24" s="414"/>
      <c r="ASG24" s="414"/>
      <c r="ASH24" s="414"/>
      <c r="ASI24" s="414"/>
      <c r="ASJ24" s="414"/>
      <c r="ASK24" s="414"/>
      <c r="ASL24" s="414"/>
      <c r="ASM24" s="414"/>
      <c r="ASN24" s="414"/>
      <c r="ASO24" s="414"/>
      <c r="ASP24" s="414"/>
      <c r="ASQ24" s="414"/>
      <c r="ASR24" s="414"/>
      <c r="ASS24" s="414"/>
      <c r="AST24" s="414"/>
      <c r="ASU24" s="414"/>
      <c r="ASV24" s="414"/>
      <c r="ASW24" s="414"/>
      <c r="ASX24" s="414"/>
      <c r="ASY24" s="414"/>
      <c r="ASZ24" s="414"/>
      <c r="ATA24" s="414"/>
      <c r="ATB24" s="414"/>
      <c r="ATC24" s="414"/>
      <c r="ATD24" s="414"/>
      <c r="ATE24" s="414"/>
      <c r="ATF24" s="414"/>
      <c r="ATG24" s="414"/>
      <c r="ATH24" s="414"/>
      <c r="ATI24" s="414"/>
      <c r="ATJ24" s="414"/>
      <c r="ATK24" s="414"/>
      <c r="ATL24" s="414"/>
      <c r="ATM24" s="414"/>
      <c r="ATN24" s="414"/>
      <c r="ATO24" s="414"/>
      <c r="ATP24" s="414"/>
      <c r="ATQ24" s="414"/>
      <c r="ATR24" s="414"/>
      <c r="ATS24" s="414"/>
      <c r="ATT24" s="414"/>
      <c r="ATU24" s="414"/>
      <c r="ATV24" s="414"/>
      <c r="ATW24" s="414"/>
      <c r="ATX24" s="414"/>
      <c r="ATY24" s="414"/>
      <c r="ATZ24" s="414"/>
      <c r="AUA24" s="414"/>
      <c r="AUB24" s="414"/>
      <c r="AUC24" s="414"/>
      <c r="AUD24" s="414"/>
      <c r="AUE24" s="414"/>
      <c r="AUF24" s="414"/>
      <c r="AUG24" s="414"/>
      <c r="AUH24" s="414"/>
      <c r="AUI24" s="414"/>
      <c r="AUJ24" s="414"/>
      <c r="AUK24" s="414"/>
      <c r="AUL24" s="414"/>
      <c r="AUM24" s="414"/>
      <c r="AUN24" s="414"/>
      <c r="AUO24" s="414"/>
      <c r="AUP24" s="414"/>
      <c r="AUQ24" s="414"/>
      <c r="AUR24" s="414"/>
      <c r="AUS24" s="414"/>
      <c r="AUT24" s="414"/>
      <c r="AUU24" s="414"/>
      <c r="AUV24" s="414"/>
      <c r="AUW24" s="414"/>
      <c r="AUX24" s="414"/>
      <c r="AUY24" s="414"/>
      <c r="AUZ24" s="414"/>
      <c r="AVA24" s="414"/>
      <c r="AVB24" s="414"/>
      <c r="AVC24" s="414"/>
      <c r="AVD24" s="414"/>
      <c r="AVE24" s="414"/>
      <c r="AVF24" s="414"/>
      <c r="AVG24" s="414"/>
      <c r="AVH24" s="414"/>
      <c r="AVI24" s="414"/>
      <c r="AVJ24" s="414"/>
      <c r="AVK24" s="414"/>
      <c r="AVL24" s="414"/>
      <c r="AVM24" s="414"/>
      <c r="AVN24" s="414"/>
      <c r="AVO24" s="414"/>
      <c r="AVP24" s="414"/>
      <c r="AVQ24" s="414"/>
      <c r="AVR24" s="414"/>
      <c r="AVS24" s="414"/>
      <c r="AVT24" s="414"/>
      <c r="AVU24" s="414"/>
      <c r="AVV24" s="414"/>
      <c r="AVW24" s="414"/>
      <c r="AVX24" s="414"/>
      <c r="AVY24" s="414"/>
      <c r="AVZ24" s="414"/>
      <c r="AWA24" s="414"/>
      <c r="AWB24" s="414"/>
      <c r="AWC24" s="414"/>
      <c r="AWD24" s="414"/>
      <c r="AWE24" s="414"/>
      <c r="AWF24" s="414"/>
      <c r="AWG24" s="414"/>
      <c r="AWH24" s="414"/>
      <c r="AWI24" s="414"/>
      <c r="AWJ24" s="414"/>
      <c r="AWK24" s="414"/>
      <c r="AWL24" s="414"/>
      <c r="AWM24" s="414"/>
      <c r="AWN24" s="414"/>
      <c r="AWO24" s="414"/>
      <c r="AWP24" s="414"/>
      <c r="AWQ24" s="414"/>
      <c r="AWR24" s="414"/>
      <c r="AWS24" s="414"/>
      <c r="AWT24" s="414"/>
      <c r="AWU24" s="414"/>
      <c r="AWV24" s="414"/>
      <c r="AWW24" s="414"/>
      <c r="AWX24" s="414"/>
      <c r="AWY24" s="414"/>
      <c r="AWZ24" s="414"/>
      <c r="AXA24" s="414"/>
      <c r="AXB24" s="414"/>
      <c r="AXC24" s="414"/>
      <c r="AXD24" s="414"/>
      <c r="AXE24" s="414"/>
      <c r="AXF24" s="414"/>
      <c r="AXG24" s="414"/>
      <c r="AXH24" s="414"/>
      <c r="AXI24" s="414"/>
      <c r="AXJ24" s="414"/>
      <c r="AXK24" s="414"/>
      <c r="AXL24" s="414"/>
      <c r="AXM24" s="414"/>
      <c r="AXN24" s="414"/>
      <c r="AXO24" s="414"/>
      <c r="AXP24" s="414"/>
      <c r="AXQ24" s="414"/>
      <c r="AXR24" s="414"/>
      <c r="AXS24" s="414"/>
      <c r="AXT24" s="414"/>
      <c r="AXU24" s="414"/>
      <c r="AXV24" s="414"/>
      <c r="AXW24" s="414"/>
      <c r="AXX24" s="414"/>
      <c r="AXY24" s="414"/>
      <c r="AXZ24" s="414"/>
      <c r="AYA24" s="414"/>
      <c r="AYB24" s="414"/>
      <c r="AYC24" s="414"/>
      <c r="AYD24" s="414"/>
      <c r="AYE24" s="414"/>
      <c r="AYF24" s="414"/>
      <c r="AYG24" s="414"/>
      <c r="AYH24" s="414"/>
      <c r="AYI24" s="414"/>
      <c r="AYJ24" s="414"/>
      <c r="AYK24" s="414"/>
      <c r="AYL24" s="414"/>
      <c r="AYM24" s="414"/>
      <c r="AYN24" s="414"/>
      <c r="AYO24" s="414"/>
      <c r="AYP24" s="414"/>
      <c r="AYQ24" s="414"/>
      <c r="AYR24" s="414"/>
      <c r="AYS24" s="414"/>
      <c r="AYT24" s="414"/>
      <c r="AYU24" s="414"/>
      <c r="AYV24" s="414"/>
      <c r="AYW24" s="414"/>
      <c r="AYX24" s="414"/>
      <c r="AYY24" s="414"/>
      <c r="AYZ24" s="414"/>
      <c r="AZA24" s="414"/>
      <c r="AZB24" s="414"/>
      <c r="AZC24" s="414"/>
      <c r="AZD24" s="414"/>
      <c r="AZE24" s="414"/>
      <c r="AZF24" s="414"/>
      <c r="AZG24" s="414"/>
      <c r="AZH24" s="414"/>
      <c r="AZI24" s="414"/>
      <c r="AZJ24" s="414"/>
      <c r="AZK24" s="414"/>
      <c r="AZL24" s="414"/>
      <c r="AZM24" s="414"/>
      <c r="AZN24" s="414"/>
      <c r="AZO24" s="414"/>
      <c r="AZP24" s="414"/>
      <c r="AZQ24" s="414"/>
      <c r="AZR24" s="414"/>
      <c r="AZS24" s="414"/>
      <c r="AZT24" s="414"/>
      <c r="AZU24" s="414"/>
      <c r="AZV24" s="414"/>
      <c r="AZW24" s="414"/>
      <c r="AZX24" s="414"/>
      <c r="AZY24" s="414"/>
      <c r="AZZ24" s="414"/>
      <c r="BAA24" s="414"/>
      <c r="BAB24" s="414"/>
      <c r="BAC24" s="414"/>
      <c r="BAD24" s="414"/>
      <c r="BAE24" s="414"/>
      <c r="BAF24" s="414"/>
      <c r="BAG24" s="414"/>
      <c r="BAH24" s="414"/>
      <c r="BAI24" s="414"/>
      <c r="BAJ24" s="414"/>
      <c r="BAK24" s="414"/>
      <c r="BAL24" s="414"/>
      <c r="BAM24" s="414"/>
      <c r="BAN24" s="414"/>
      <c r="BAO24" s="414"/>
      <c r="BAP24" s="414"/>
      <c r="BAQ24" s="414"/>
      <c r="BAR24" s="414"/>
      <c r="BAS24" s="414"/>
      <c r="BAT24" s="414"/>
      <c r="BAU24" s="414"/>
      <c r="BAV24" s="414"/>
      <c r="BAW24" s="414"/>
      <c r="BAX24" s="414"/>
      <c r="BAY24" s="414"/>
      <c r="BAZ24" s="414"/>
      <c r="BBA24" s="414"/>
      <c r="BBB24" s="414"/>
      <c r="BBC24" s="414"/>
      <c r="BBD24" s="414"/>
      <c r="BBE24" s="414"/>
      <c r="BBF24" s="414"/>
      <c r="BBG24" s="414"/>
      <c r="BBH24" s="414"/>
      <c r="BBI24" s="414"/>
      <c r="BBJ24" s="414"/>
      <c r="BBK24" s="414"/>
      <c r="BBL24" s="414"/>
      <c r="BBM24" s="414"/>
      <c r="BBN24" s="414"/>
      <c r="BBO24" s="414"/>
      <c r="BBP24" s="414"/>
      <c r="BBQ24" s="414"/>
      <c r="BBR24" s="414"/>
      <c r="BBS24" s="414"/>
      <c r="BBT24" s="414"/>
      <c r="BBU24" s="414"/>
      <c r="BBV24" s="414"/>
      <c r="BBW24" s="414"/>
      <c r="BBX24" s="414"/>
      <c r="BBY24" s="414"/>
      <c r="BBZ24" s="414"/>
      <c r="BCA24" s="414"/>
      <c r="BCB24" s="414"/>
      <c r="BCC24" s="414"/>
      <c r="BCD24" s="414"/>
      <c r="BCE24" s="414"/>
      <c r="BCF24" s="414"/>
      <c r="BCG24" s="414"/>
      <c r="BCH24" s="414"/>
      <c r="BCI24" s="414"/>
      <c r="BCJ24" s="414"/>
      <c r="BCK24" s="414"/>
      <c r="BCL24" s="414"/>
      <c r="BCM24" s="414"/>
      <c r="BCN24" s="414"/>
      <c r="BCO24" s="414"/>
      <c r="BCP24" s="414"/>
      <c r="BCQ24" s="414"/>
      <c r="BCR24" s="414"/>
      <c r="BCS24" s="414"/>
      <c r="BCT24" s="414"/>
      <c r="BCU24" s="414"/>
      <c r="BCV24" s="414"/>
      <c r="BCW24" s="414"/>
      <c r="BCX24" s="414"/>
      <c r="BCY24" s="414"/>
      <c r="BCZ24" s="414"/>
      <c r="BDA24" s="414"/>
      <c r="BDB24" s="414"/>
      <c r="BDC24" s="414"/>
      <c r="BDD24" s="414"/>
      <c r="BDE24" s="414"/>
      <c r="BDF24" s="414"/>
      <c r="BDG24" s="414"/>
      <c r="BDH24" s="414"/>
      <c r="BDI24" s="414"/>
      <c r="BDJ24" s="414"/>
      <c r="BDK24" s="414"/>
      <c r="BDL24" s="414"/>
      <c r="BDM24" s="414"/>
      <c r="BDN24" s="414"/>
      <c r="BDO24" s="414"/>
      <c r="BDP24" s="414"/>
      <c r="BDQ24" s="414"/>
      <c r="BDR24" s="414"/>
      <c r="BDS24" s="414"/>
      <c r="BDT24" s="414"/>
      <c r="BDU24" s="414"/>
      <c r="BDV24" s="414"/>
      <c r="BDW24" s="414"/>
      <c r="BDX24" s="414"/>
      <c r="BDY24" s="414"/>
      <c r="BDZ24" s="414"/>
      <c r="BEA24" s="414"/>
      <c r="BEB24" s="414"/>
      <c r="BEC24" s="414"/>
      <c r="BED24" s="414"/>
      <c r="BEE24" s="414"/>
      <c r="BEF24" s="414"/>
      <c r="BEG24" s="414"/>
      <c r="BEH24" s="414"/>
      <c r="BEI24" s="414"/>
      <c r="BEJ24" s="414"/>
      <c r="BEK24" s="414"/>
      <c r="BEL24" s="414"/>
      <c r="BEM24" s="414"/>
      <c r="BEN24" s="414"/>
      <c r="BEO24" s="414"/>
      <c r="BEP24" s="414"/>
      <c r="BEQ24" s="414"/>
      <c r="BER24" s="414"/>
      <c r="BES24" s="414"/>
      <c r="BET24" s="414"/>
      <c r="BEU24" s="414"/>
      <c r="BEV24" s="414"/>
      <c r="BEW24" s="414"/>
      <c r="BEX24" s="414"/>
      <c r="BEY24" s="414"/>
      <c r="BEZ24" s="414"/>
      <c r="BFA24" s="414"/>
      <c r="BFB24" s="414"/>
      <c r="BFC24" s="414"/>
      <c r="BFD24" s="414"/>
      <c r="BFE24" s="414"/>
      <c r="BFF24" s="414"/>
      <c r="BFG24" s="414"/>
      <c r="BFH24" s="414"/>
      <c r="BFI24" s="414"/>
      <c r="BFJ24" s="414"/>
      <c r="BFK24" s="414"/>
      <c r="BFL24" s="414"/>
      <c r="BFM24" s="414"/>
      <c r="BFN24" s="414"/>
      <c r="BFO24" s="414"/>
      <c r="BFP24" s="414"/>
      <c r="BFQ24" s="414"/>
      <c r="BFR24" s="414"/>
      <c r="BFS24" s="414"/>
      <c r="BFT24" s="414"/>
      <c r="BFU24" s="414"/>
      <c r="BFV24" s="414"/>
      <c r="BFW24" s="414"/>
      <c r="BFX24" s="414"/>
      <c r="BFY24" s="414"/>
      <c r="BFZ24" s="414"/>
      <c r="BGA24" s="414"/>
      <c r="BGB24" s="414"/>
      <c r="BGC24" s="414"/>
      <c r="BGD24" s="414"/>
      <c r="BGE24" s="414"/>
      <c r="BGF24" s="414"/>
      <c r="BGG24" s="414"/>
      <c r="BGH24" s="414"/>
      <c r="BGI24" s="414"/>
      <c r="BGJ24" s="414"/>
      <c r="BGK24" s="414"/>
      <c r="BGL24" s="414"/>
      <c r="BGM24" s="414"/>
      <c r="BGN24" s="414"/>
      <c r="BGO24" s="414"/>
      <c r="BGP24" s="414"/>
      <c r="BGQ24" s="414"/>
      <c r="BGR24" s="414"/>
      <c r="BGS24" s="414"/>
      <c r="BGT24" s="414"/>
      <c r="BGU24" s="414"/>
      <c r="BGV24" s="414"/>
      <c r="BGW24" s="414"/>
      <c r="BGX24" s="414"/>
      <c r="BGY24" s="414"/>
      <c r="BGZ24" s="414"/>
      <c r="BHA24" s="414"/>
      <c r="BHB24" s="414"/>
      <c r="BHC24" s="414"/>
      <c r="BHD24" s="414"/>
      <c r="BHE24" s="414"/>
      <c r="BHF24" s="414"/>
      <c r="BHG24" s="414"/>
      <c r="BHH24" s="414"/>
      <c r="BHI24" s="414"/>
      <c r="BHJ24" s="414"/>
      <c r="BHK24" s="414"/>
      <c r="BHL24" s="414"/>
      <c r="BHM24" s="414"/>
      <c r="BHN24" s="414"/>
      <c r="BHO24" s="414"/>
      <c r="BHP24" s="414"/>
      <c r="BHQ24" s="414"/>
      <c r="BHR24" s="414"/>
      <c r="BHS24" s="414"/>
      <c r="BHT24" s="414"/>
      <c r="BHU24" s="414"/>
      <c r="BHV24" s="414"/>
      <c r="BHW24" s="414"/>
      <c r="BHX24" s="414"/>
      <c r="BHY24" s="414"/>
      <c r="BHZ24" s="414"/>
      <c r="BIA24" s="414"/>
      <c r="BIB24" s="414"/>
      <c r="BIC24" s="414"/>
      <c r="BID24" s="414"/>
      <c r="BIE24" s="414"/>
      <c r="BIF24" s="414"/>
      <c r="BIG24" s="414"/>
      <c r="BIH24" s="414"/>
      <c r="BII24" s="414"/>
      <c r="BIJ24" s="414"/>
      <c r="BIK24" s="414"/>
      <c r="BIL24" s="414"/>
      <c r="BIM24" s="414"/>
      <c r="BIN24" s="414"/>
      <c r="BIO24" s="414"/>
      <c r="BIP24" s="414"/>
      <c r="BIQ24" s="414"/>
      <c r="BIR24" s="414"/>
      <c r="BIS24" s="414"/>
      <c r="BIT24" s="414"/>
      <c r="BIU24" s="414"/>
      <c r="BIV24" s="414"/>
      <c r="BIW24" s="414"/>
      <c r="BIX24" s="414"/>
      <c r="BIY24" s="414"/>
      <c r="BIZ24" s="414"/>
      <c r="BJA24" s="414"/>
      <c r="BJB24" s="414"/>
      <c r="BJC24" s="414"/>
      <c r="BJD24" s="414"/>
      <c r="BJE24" s="414"/>
      <c r="BJF24" s="414"/>
      <c r="BJG24" s="414"/>
      <c r="BJH24" s="414"/>
      <c r="BJI24" s="414"/>
      <c r="BJJ24" s="414"/>
      <c r="BJK24" s="414"/>
      <c r="BJL24" s="414"/>
      <c r="BJM24" s="414"/>
      <c r="BJN24" s="414"/>
      <c r="BJO24" s="414"/>
      <c r="BJP24" s="414"/>
      <c r="BJQ24" s="414"/>
      <c r="BJR24" s="414"/>
      <c r="BJS24" s="414"/>
      <c r="BJT24" s="414"/>
      <c r="BJU24" s="414"/>
      <c r="BJV24" s="414"/>
      <c r="BJW24" s="414"/>
      <c r="BJX24" s="414"/>
      <c r="BJY24" s="414"/>
      <c r="BJZ24" s="414"/>
      <c r="BKA24" s="414"/>
      <c r="BKB24" s="414"/>
      <c r="BKC24" s="414"/>
      <c r="BKD24" s="414"/>
      <c r="BKE24" s="414"/>
      <c r="BKF24" s="414"/>
      <c r="BKG24" s="414"/>
      <c r="BKH24" s="414"/>
      <c r="BKI24" s="414"/>
      <c r="BKJ24" s="414"/>
      <c r="BKK24" s="414"/>
      <c r="BKL24" s="414"/>
      <c r="BKM24" s="414"/>
      <c r="BKN24" s="414"/>
      <c r="BKO24" s="414"/>
      <c r="BKP24" s="414"/>
      <c r="BKQ24" s="414"/>
      <c r="BKR24" s="414"/>
      <c r="BKS24" s="414"/>
      <c r="BKT24" s="414"/>
      <c r="BKU24" s="414"/>
      <c r="BKV24" s="414"/>
      <c r="BKW24" s="414"/>
      <c r="BKX24" s="414"/>
      <c r="BKY24" s="414"/>
      <c r="BKZ24" s="414"/>
      <c r="BLA24" s="414"/>
      <c r="BLB24" s="414"/>
      <c r="BLC24" s="414"/>
      <c r="BLD24" s="414"/>
      <c r="BLE24" s="414"/>
      <c r="BLF24" s="414"/>
      <c r="BLG24" s="414"/>
      <c r="BLH24" s="414"/>
      <c r="BLI24" s="414"/>
      <c r="BLJ24" s="414"/>
      <c r="BLK24" s="414"/>
      <c r="BLL24" s="414"/>
      <c r="BLM24" s="414"/>
      <c r="BLN24" s="414"/>
      <c r="BLO24" s="414"/>
      <c r="BLP24" s="414"/>
      <c r="BLQ24" s="414"/>
      <c r="BLR24" s="414"/>
      <c r="BLS24" s="414"/>
      <c r="BLT24" s="414"/>
      <c r="BLU24" s="414"/>
      <c r="BLV24" s="414"/>
      <c r="BLW24" s="414"/>
      <c r="BLX24" s="414"/>
      <c r="BLY24" s="414"/>
      <c r="BLZ24" s="414"/>
      <c r="BMA24" s="414"/>
      <c r="BMB24" s="414"/>
      <c r="BMC24" s="414"/>
      <c r="BMD24" s="414"/>
      <c r="BME24" s="414"/>
      <c r="BMF24" s="414"/>
      <c r="BMG24" s="414"/>
      <c r="BMH24" s="414"/>
      <c r="BMI24" s="414"/>
      <c r="BMJ24" s="414"/>
      <c r="BMK24" s="414"/>
      <c r="BML24" s="414"/>
      <c r="BMM24" s="414"/>
      <c r="BMN24" s="414"/>
      <c r="BMO24" s="414"/>
      <c r="BMP24" s="414"/>
      <c r="BMQ24" s="414"/>
      <c r="BMR24" s="414"/>
      <c r="BMS24" s="414"/>
      <c r="BMT24" s="414"/>
      <c r="BMU24" s="414"/>
      <c r="BMV24" s="414"/>
      <c r="BMW24" s="414"/>
      <c r="BMX24" s="414"/>
      <c r="BMY24" s="414"/>
      <c r="BMZ24" s="414"/>
      <c r="BNA24" s="414"/>
      <c r="BNB24" s="414"/>
      <c r="BNC24" s="414"/>
      <c r="BND24" s="414"/>
      <c r="BNE24" s="414"/>
      <c r="BNF24" s="414"/>
      <c r="BNG24" s="414"/>
      <c r="BNH24" s="414"/>
      <c r="BNI24" s="414"/>
      <c r="BNJ24" s="414"/>
      <c r="BNK24" s="414"/>
      <c r="BNL24" s="414"/>
      <c r="BNM24" s="414"/>
      <c r="BNN24" s="414"/>
      <c r="BNO24" s="414"/>
      <c r="BNP24" s="414"/>
      <c r="BNQ24" s="414"/>
      <c r="BNR24" s="414"/>
      <c r="BNS24" s="414"/>
      <c r="BNT24" s="414"/>
      <c r="BNU24" s="414"/>
      <c r="BNV24" s="414"/>
      <c r="BNW24" s="414"/>
      <c r="BNX24" s="414"/>
      <c r="BNY24" s="414"/>
      <c r="BNZ24" s="414"/>
      <c r="BOA24" s="414"/>
      <c r="BOB24" s="414"/>
      <c r="BOC24" s="414"/>
      <c r="BOD24" s="414"/>
      <c r="BOE24" s="414"/>
      <c r="BOF24" s="414"/>
      <c r="BOG24" s="414"/>
      <c r="BOH24" s="414"/>
      <c r="BOI24" s="414"/>
      <c r="BOJ24" s="414"/>
      <c r="BOK24" s="414"/>
      <c r="BOL24" s="414"/>
      <c r="BOM24" s="414"/>
      <c r="BON24" s="414"/>
      <c r="BOO24" s="414"/>
      <c r="BOP24" s="414"/>
      <c r="BOQ24" s="414"/>
      <c r="BOR24" s="414"/>
      <c r="BOS24" s="414"/>
      <c r="BOT24" s="414"/>
      <c r="BOU24" s="414"/>
      <c r="BOV24" s="414"/>
      <c r="BOW24" s="414"/>
      <c r="BOX24" s="414"/>
      <c r="BOY24" s="414"/>
      <c r="BOZ24" s="414"/>
      <c r="BPA24" s="414"/>
      <c r="BPB24" s="414"/>
      <c r="BPC24" s="414"/>
      <c r="BPD24" s="414"/>
      <c r="BPE24" s="414"/>
      <c r="BPF24" s="414"/>
      <c r="BPG24" s="414"/>
      <c r="BPH24" s="414"/>
      <c r="BPI24" s="414"/>
      <c r="BPJ24" s="414"/>
      <c r="BPK24" s="414"/>
      <c r="BPL24" s="414"/>
      <c r="BPM24" s="414"/>
      <c r="BPN24" s="414"/>
      <c r="BPO24" s="414"/>
      <c r="BPP24" s="414"/>
      <c r="BPQ24" s="414"/>
      <c r="BPR24" s="414"/>
      <c r="BPS24" s="414"/>
      <c r="BPT24" s="414"/>
      <c r="BPU24" s="414"/>
      <c r="BPV24" s="414"/>
      <c r="BPW24" s="414"/>
      <c r="BPX24" s="414"/>
      <c r="BPY24" s="414"/>
      <c r="BPZ24" s="414"/>
      <c r="BQA24" s="414"/>
      <c r="BQB24" s="414"/>
      <c r="BQC24" s="414"/>
      <c r="BQD24" s="414"/>
      <c r="BQE24" s="414"/>
      <c r="BQF24" s="414"/>
      <c r="BQG24" s="414"/>
      <c r="BQH24" s="414"/>
      <c r="BQI24" s="414"/>
      <c r="BQJ24" s="414"/>
      <c r="BQK24" s="414"/>
      <c r="BQL24" s="414"/>
      <c r="BQM24" s="414"/>
      <c r="BQN24" s="414"/>
      <c r="BQO24" s="414"/>
      <c r="BQP24" s="414"/>
      <c r="BQQ24" s="414"/>
      <c r="BQR24" s="414"/>
      <c r="BQS24" s="414"/>
      <c r="BQT24" s="414"/>
      <c r="BQU24" s="414"/>
      <c r="BQV24" s="414"/>
      <c r="BQW24" s="414"/>
      <c r="BQX24" s="414"/>
      <c r="BQY24" s="414"/>
      <c r="BQZ24" s="414"/>
      <c r="BRA24" s="414"/>
      <c r="BRB24" s="414"/>
      <c r="BRC24" s="414"/>
      <c r="BRD24" s="414"/>
      <c r="BRE24" s="414"/>
      <c r="BRF24" s="414"/>
      <c r="BRG24" s="414"/>
      <c r="BRH24" s="414"/>
      <c r="BRI24" s="414"/>
      <c r="BRJ24" s="414"/>
      <c r="BRK24" s="414"/>
      <c r="BRL24" s="414"/>
      <c r="BRM24" s="414"/>
      <c r="BRN24" s="414"/>
      <c r="BRO24" s="414"/>
      <c r="BRP24" s="414"/>
      <c r="BRQ24" s="414"/>
      <c r="BRR24" s="414"/>
      <c r="BRS24" s="414"/>
      <c r="BRT24" s="414"/>
      <c r="BRU24" s="414"/>
      <c r="BRV24" s="414"/>
      <c r="BRW24" s="414"/>
      <c r="BRX24" s="414"/>
      <c r="BRY24" s="414"/>
      <c r="BRZ24" s="414"/>
      <c r="BSA24" s="414"/>
      <c r="BSB24" s="414"/>
      <c r="BSC24" s="414"/>
      <c r="BSD24" s="414"/>
      <c r="BSE24" s="414"/>
      <c r="BSF24" s="414"/>
      <c r="BSG24" s="414"/>
      <c r="BSH24" s="414"/>
      <c r="BSI24" s="414"/>
      <c r="BSJ24" s="414"/>
      <c r="BSK24" s="414"/>
      <c r="BSL24" s="414"/>
      <c r="BSM24" s="414"/>
      <c r="BSN24" s="414"/>
      <c r="BSO24" s="414"/>
      <c r="BSP24" s="414"/>
      <c r="BSQ24" s="414"/>
      <c r="BSR24" s="414"/>
      <c r="BSS24" s="414"/>
      <c r="BST24" s="414"/>
      <c r="BSU24" s="414"/>
      <c r="BSV24" s="414"/>
      <c r="BSW24" s="414"/>
      <c r="BSX24" s="414"/>
      <c r="BSY24" s="414"/>
      <c r="BSZ24" s="414"/>
      <c r="BTA24" s="414"/>
      <c r="BTB24" s="414"/>
      <c r="BTC24" s="414"/>
      <c r="BTD24" s="414"/>
      <c r="BTE24" s="414"/>
      <c r="BTF24" s="414"/>
      <c r="BTG24" s="414"/>
      <c r="BTH24" s="414"/>
      <c r="BTI24" s="414"/>
      <c r="BTJ24" s="414"/>
      <c r="BTK24" s="414"/>
      <c r="BTL24" s="414"/>
      <c r="BTM24" s="414"/>
      <c r="BTN24" s="414"/>
      <c r="BTO24" s="414"/>
      <c r="BTP24" s="414"/>
      <c r="BTQ24" s="414"/>
      <c r="BTR24" s="414"/>
      <c r="BTS24" s="414"/>
      <c r="BTT24" s="414"/>
      <c r="BTU24" s="414"/>
      <c r="BTV24" s="414"/>
      <c r="BTW24" s="414"/>
      <c r="BTX24" s="414"/>
      <c r="BTY24" s="414"/>
      <c r="BTZ24" s="414"/>
      <c r="BUA24" s="414"/>
      <c r="BUB24" s="414"/>
      <c r="BUC24" s="414"/>
      <c r="BUD24" s="414"/>
      <c r="BUE24" s="414"/>
      <c r="BUF24" s="414"/>
      <c r="BUG24" s="414"/>
      <c r="BUH24" s="414"/>
      <c r="BUI24" s="414"/>
      <c r="BUJ24" s="414"/>
      <c r="BUK24" s="414"/>
      <c r="BUL24" s="414"/>
      <c r="BUM24" s="414"/>
      <c r="BUN24" s="414"/>
      <c r="BUO24" s="414"/>
      <c r="BUP24" s="414"/>
      <c r="BUQ24" s="414"/>
      <c r="BUR24" s="414"/>
      <c r="BUS24" s="414"/>
      <c r="BUT24" s="414"/>
      <c r="BUU24" s="414"/>
      <c r="BUV24" s="414"/>
      <c r="BUW24" s="414"/>
      <c r="BUX24" s="414"/>
      <c r="BUY24" s="414"/>
      <c r="BUZ24" s="414"/>
      <c r="BVA24" s="414"/>
      <c r="BVB24" s="414"/>
      <c r="BVC24" s="414"/>
      <c r="BVD24" s="414"/>
      <c r="BVE24" s="414"/>
      <c r="BVF24" s="414"/>
      <c r="BVG24" s="414"/>
      <c r="BVH24" s="414"/>
      <c r="BVI24" s="414"/>
      <c r="BVJ24" s="414"/>
      <c r="BVK24" s="414"/>
      <c r="BVL24" s="414"/>
      <c r="BVM24" s="414"/>
      <c r="BVN24" s="414"/>
      <c r="BVO24" s="414"/>
      <c r="BVP24" s="414"/>
      <c r="BVQ24" s="414"/>
      <c r="BVR24" s="414"/>
      <c r="BVS24" s="414"/>
      <c r="BVT24" s="414"/>
      <c r="BVU24" s="414"/>
      <c r="BVV24" s="414"/>
      <c r="BVW24" s="414"/>
      <c r="BVX24" s="414"/>
      <c r="BVY24" s="414"/>
      <c r="BVZ24" s="414"/>
      <c r="BWA24" s="414"/>
      <c r="BWB24" s="414"/>
      <c r="BWC24" s="414"/>
      <c r="BWD24" s="414"/>
      <c r="BWE24" s="414"/>
      <c r="BWF24" s="414"/>
      <c r="BWG24" s="414"/>
      <c r="BWH24" s="414"/>
      <c r="BWI24" s="414"/>
      <c r="BWJ24" s="414"/>
      <c r="BWK24" s="414"/>
      <c r="BWL24" s="414"/>
      <c r="BWM24" s="414"/>
      <c r="BWN24" s="414"/>
      <c r="BWO24" s="414"/>
      <c r="BWP24" s="414"/>
      <c r="BWQ24" s="414"/>
      <c r="BWR24" s="414"/>
      <c r="BWS24" s="414"/>
      <c r="BWT24" s="414"/>
      <c r="BWU24" s="414"/>
      <c r="BWV24" s="414"/>
      <c r="BWW24" s="414"/>
      <c r="BWX24" s="414"/>
      <c r="BWY24" s="414"/>
      <c r="BWZ24" s="414"/>
      <c r="BXA24" s="414"/>
      <c r="BXB24" s="414"/>
      <c r="BXC24" s="414"/>
      <c r="BXD24" s="414"/>
      <c r="BXE24" s="414"/>
      <c r="BXF24" s="414"/>
      <c r="BXG24" s="414"/>
      <c r="BXH24" s="414"/>
      <c r="BXI24" s="414"/>
      <c r="BXJ24" s="414"/>
      <c r="BXK24" s="414"/>
      <c r="BXL24" s="414"/>
      <c r="BXM24" s="414"/>
      <c r="BXN24" s="414"/>
      <c r="BXO24" s="414"/>
      <c r="BXP24" s="414"/>
      <c r="BXQ24" s="414"/>
      <c r="BXR24" s="414"/>
      <c r="BXS24" s="414"/>
      <c r="BXT24" s="414"/>
      <c r="BXU24" s="414"/>
      <c r="BXV24" s="414"/>
      <c r="BXW24" s="414"/>
      <c r="BXX24" s="414"/>
      <c r="BXY24" s="414"/>
      <c r="BXZ24" s="414"/>
      <c r="BYA24" s="414"/>
      <c r="BYB24" s="414"/>
      <c r="BYC24" s="414"/>
      <c r="BYD24" s="414"/>
      <c r="BYE24" s="414"/>
      <c r="BYF24" s="414"/>
      <c r="BYG24" s="414"/>
      <c r="BYH24" s="414"/>
      <c r="BYI24" s="414"/>
      <c r="BYJ24" s="414"/>
      <c r="BYK24" s="414"/>
      <c r="BYL24" s="414"/>
      <c r="BYM24" s="414"/>
      <c r="BYN24" s="414"/>
      <c r="BYO24" s="414"/>
      <c r="BYP24" s="414"/>
      <c r="BYQ24" s="414"/>
      <c r="BYR24" s="414"/>
      <c r="BYS24" s="414"/>
      <c r="BYT24" s="414"/>
      <c r="BYU24" s="414"/>
      <c r="BYV24" s="414"/>
      <c r="BYW24" s="414"/>
      <c r="BYX24" s="414"/>
      <c r="BYY24" s="414"/>
      <c r="BYZ24" s="414"/>
      <c r="BZA24" s="414"/>
      <c r="BZB24" s="414"/>
      <c r="BZC24" s="414"/>
      <c r="BZD24" s="414"/>
      <c r="BZE24" s="414"/>
      <c r="BZF24" s="414"/>
      <c r="BZG24" s="414"/>
      <c r="BZH24" s="414"/>
      <c r="BZI24" s="414"/>
      <c r="BZJ24" s="414"/>
      <c r="BZK24" s="414"/>
      <c r="BZL24" s="414"/>
      <c r="BZM24" s="414"/>
      <c r="BZN24" s="414"/>
      <c r="BZO24" s="414"/>
      <c r="BZP24" s="414"/>
      <c r="BZQ24" s="414"/>
      <c r="BZR24" s="414"/>
      <c r="BZS24" s="414"/>
      <c r="BZT24" s="414"/>
      <c r="BZU24" s="414"/>
      <c r="BZV24" s="414"/>
      <c r="BZW24" s="414"/>
      <c r="BZX24" s="414"/>
      <c r="BZY24" s="414"/>
      <c r="BZZ24" s="414"/>
      <c r="CAA24" s="414"/>
      <c r="CAB24" s="414"/>
      <c r="CAC24" s="414"/>
      <c r="CAD24" s="414"/>
      <c r="CAE24" s="414"/>
      <c r="CAF24" s="414"/>
      <c r="CAG24" s="414"/>
      <c r="CAH24" s="414"/>
      <c r="CAI24" s="414"/>
      <c r="CAJ24" s="414"/>
      <c r="CAK24" s="414"/>
      <c r="CAL24" s="414"/>
      <c r="CAM24" s="414"/>
      <c r="CAN24" s="414"/>
      <c r="CAO24" s="414"/>
      <c r="CAP24" s="414"/>
      <c r="CAQ24" s="414"/>
      <c r="CAR24" s="414"/>
      <c r="CAS24" s="414"/>
      <c r="CAT24" s="414"/>
      <c r="CAU24" s="414"/>
      <c r="CAV24" s="414"/>
      <c r="CAW24" s="414"/>
      <c r="CAX24" s="414"/>
      <c r="CAY24" s="414"/>
      <c r="CAZ24" s="414"/>
      <c r="CBA24" s="414"/>
      <c r="CBB24" s="414"/>
      <c r="CBC24" s="414"/>
      <c r="CBD24" s="414"/>
      <c r="CBE24" s="414"/>
      <c r="CBF24" s="414"/>
      <c r="CBG24" s="414"/>
      <c r="CBH24" s="414"/>
      <c r="CBI24" s="414"/>
      <c r="CBJ24" s="414"/>
      <c r="CBK24" s="414"/>
      <c r="CBL24" s="414"/>
      <c r="CBM24" s="414"/>
      <c r="CBN24" s="414"/>
      <c r="CBO24" s="414"/>
      <c r="CBP24" s="414"/>
      <c r="CBQ24" s="414"/>
      <c r="CBR24" s="414"/>
      <c r="CBS24" s="414"/>
      <c r="CBT24" s="414"/>
      <c r="CBU24" s="414"/>
      <c r="CBV24" s="414"/>
      <c r="CBW24" s="414"/>
      <c r="CBX24" s="414"/>
      <c r="CBY24" s="414"/>
      <c r="CBZ24" s="414"/>
      <c r="CCA24" s="414"/>
      <c r="CCB24" s="414"/>
      <c r="CCC24" s="414"/>
      <c r="CCD24" s="414"/>
      <c r="CCE24" s="414"/>
      <c r="CCF24" s="414"/>
      <c r="CCG24" s="414"/>
      <c r="CCH24" s="414"/>
      <c r="CCI24" s="414"/>
      <c r="CCJ24" s="414"/>
      <c r="CCK24" s="414"/>
      <c r="CCL24" s="414"/>
      <c r="CCM24" s="414"/>
      <c r="CCN24" s="414"/>
      <c r="CCO24" s="414"/>
      <c r="CCP24" s="414"/>
      <c r="CCQ24" s="414"/>
      <c r="CCR24" s="414"/>
      <c r="CCS24" s="414"/>
      <c r="CCT24" s="414"/>
      <c r="CCU24" s="414"/>
      <c r="CCV24" s="414"/>
      <c r="CCW24" s="414"/>
      <c r="CCX24" s="414"/>
      <c r="CCY24" s="414"/>
      <c r="CCZ24" s="414"/>
      <c r="CDA24" s="414"/>
      <c r="CDB24" s="414"/>
      <c r="CDC24" s="414"/>
      <c r="CDD24" s="414"/>
      <c r="CDE24" s="414"/>
      <c r="CDF24" s="414"/>
      <c r="CDG24" s="414"/>
      <c r="CDH24" s="414"/>
      <c r="CDI24" s="414"/>
      <c r="CDJ24" s="414"/>
      <c r="CDK24" s="414"/>
      <c r="CDL24" s="414"/>
      <c r="CDM24" s="414"/>
      <c r="CDN24" s="414"/>
      <c r="CDO24" s="414"/>
      <c r="CDP24" s="414"/>
      <c r="CDQ24" s="414"/>
      <c r="CDR24" s="414"/>
      <c r="CDS24" s="414"/>
      <c r="CDT24" s="414"/>
      <c r="CDU24" s="414"/>
      <c r="CDV24" s="414"/>
      <c r="CDW24" s="414"/>
      <c r="CDX24" s="414"/>
      <c r="CDY24" s="414"/>
      <c r="CDZ24" s="414"/>
      <c r="CEA24" s="414"/>
      <c r="CEB24" s="414"/>
      <c r="CEC24" s="414"/>
      <c r="CED24" s="414"/>
      <c r="CEE24" s="414"/>
      <c r="CEF24" s="414"/>
      <c r="CEG24" s="414"/>
      <c r="CEH24" s="414"/>
      <c r="CEI24" s="414"/>
      <c r="CEJ24" s="414"/>
      <c r="CEK24" s="414"/>
      <c r="CEL24" s="414"/>
      <c r="CEM24" s="414"/>
      <c r="CEN24" s="414"/>
      <c r="CEO24" s="414"/>
      <c r="CEP24" s="414"/>
      <c r="CEQ24" s="414"/>
      <c r="CER24" s="414"/>
      <c r="CES24" s="414"/>
      <c r="CET24" s="414"/>
      <c r="CEU24" s="414"/>
      <c r="CEV24" s="414"/>
      <c r="CEW24" s="414"/>
      <c r="CEX24" s="414"/>
      <c r="CEY24" s="414"/>
      <c r="CEZ24" s="414"/>
      <c r="CFA24" s="414"/>
      <c r="CFB24" s="414"/>
      <c r="CFC24" s="414"/>
      <c r="CFD24" s="414"/>
      <c r="CFE24" s="414"/>
      <c r="CFF24" s="414"/>
      <c r="CFG24" s="414"/>
      <c r="CFH24" s="414"/>
      <c r="CFI24" s="414"/>
      <c r="CFJ24" s="414"/>
      <c r="CFK24" s="414"/>
      <c r="CFL24" s="414"/>
      <c r="CFM24" s="414"/>
      <c r="CFN24" s="414"/>
      <c r="CFO24" s="414"/>
      <c r="CFP24" s="414"/>
      <c r="CFQ24" s="414"/>
      <c r="CFR24" s="414"/>
      <c r="CFS24" s="414"/>
      <c r="CFT24" s="414"/>
      <c r="CFU24" s="414"/>
      <c r="CFV24" s="414"/>
      <c r="CFW24" s="414"/>
      <c r="CFX24" s="414"/>
      <c r="CFY24" s="414"/>
      <c r="CFZ24" s="414"/>
      <c r="CGA24" s="414"/>
      <c r="CGB24" s="414"/>
      <c r="CGC24" s="414"/>
      <c r="CGD24" s="414"/>
      <c r="CGE24" s="414"/>
      <c r="CGF24" s="414"/>
      <c r="CGG24" s="414"/>
      <c r="CGH24" s="414"/>
      <c r="CGI24" s="414"/>
      <c r="CGJ24" s="414"/>
      <c r="CGK24" s="414"/>
      <c r="CGL24" s="414"/>
      <c r="CGM24" s="414"/>
      <c r="CGN24" s="414"/>
      <c r="CGO24" s="414"/>
      <c r="CGP24" s="414"/>
      <c r="CGQ24" s="414"/>
      <c r="CGR24" s="414"/>
      <c r="CGS24" s="414"/>
      <c r="CGT24" s="414"/>
      <c r="CGU24" s="414"/>
      <c r="CGV24" s="414"/>
      <c r="CGW24" s="414"/>
      <c r="CGX24" s="414"/>
      <c r="CGY24" s="414"/>
      <c r="CGZ24" s="414"/>
      <c r="CHA24" s="414"/>
      <c r="CHB24" s="414"/>
      <c r="CHC24" s="414"/>
      <c r="CHD24" s="414"/>
      <c r="CHE24" s="414"/>
      <c r="CHF24" s="414"/>
      <c r="CHG24" s="414"/>
      <c r="CHH24" s="414"/>
      <c r="CHI24" s="414"/>
      <c r="CHJ24" s="414"/>
      <c r="CHK24" s="414"/>
      <c r="CHL24" s="414"/>
      <c r="CHM24" s="414"/>
      <c r="CHN24" s="414"/>
      <c r="CHO24" s="414"/>
      <c r="CHP24" s="414"/>
      <c r="CHQ24" s="414"/>
      <c r="CHR24" s="414"/>
      <c r="CHS24" s="414"/>
      <c r="CHT24" s="414"/>
      <c r="CHU24" s="414"/>
      <c r="CHV24" s="414"/>
      <c r="CHW24" s="414"/>
      <c r="CHX24" s="414"/>
      <c r="CHY24" s="414"/>
      <c r="CHZ24" s="414"/>
      <c r="CIA24" s="414"/>
      <c r="CIB24" s="414"/>
      <c r="CIC24" s="414"/>
      <c r="CID24" s="414"/>
      <c r="CIE24" s="414"/>
      <c r="CIF24" s="414"/>
      <c r="CIG24" s="414"/>
      <c r="CIH24" s="414"/>
      <c r="CII24" s="414"/>
      <c r="CIJ24" s="414"/>
      <c r="CIK24" s="414"/>
      <c r="CIL24" s="414"/>
      <c r="CIM24" s="414"/>
      <c r="CIN24" s="414"/>
      <c r="CIO24" s="414"/>
      <c r="CIP24" s="414"/>
      <c r="CIQ24" s="414"/>
      <c r="CIR24" s="414"/>
      <c r="CIS24" s="414"/>
      <c r="CIT24" s="414"/>
      <c r="CIU24" s="414"/>
      <c r="CIV24" s="414"/>
      <c r="CIW24" s="414"/>
      <c r="CIX24" s="414"/>
      <c r="CIY24" s="414"/>
      <c r="CIZ24" s="414"/>
      <c r="CJA24" s="414"/>
      <c r="CJB24" s="414"/>
      <c r="CJC24" s="414"/>
      <c r="CJD24" s="414"/>
      <c r="CJE24" s="414"/>
      <c r="CJF24" s="414"/>
      <c r="CJG24" s="414"/>
      <c r="CJH24" s="414"/>
      <c r="CJI24" s="414"/>
      <c r="CJJ24" s="414"/>
      <c r="CJK24" s="414"/>
      <c r="CJL24" s="414"/>
      <c r="CJM24" s="414"/>
      <c r="CJN24" s="414"/>
      <c r="CJO24" s="414"/>
      <c r="CJP24" s="414"/>
      <c r="CJQ24" s="414"/>
      <c r="CJR24" s="414"/>
      <c r="CJS24" s="414"/>
      <c r="CJT24" s="414"/>
      <c r="CJU24" s="414"/>
      <c r="CJV24" s="414"/>
      <c r="CJW24" s="414"/>
      <c r="CJX24" s="414"/>
      <c r="CJY24" s="414"/>
      <c r="CJZ24" s="414"/>
      <c r="CKA24" s="414"/>
      <c r="CKB24" s="414"/>
      <c r="CKC24" s="414"/>
      <c r="CKD24" s="414"/>
      <c r="CKE24" s="414"/>
      <c r="CKF24" s="414"/>
      <c r="CKG24" s="414"/>
      <c r="CKH24" s="414"/>
      <c r="CKI24" s="414"/>
      <c r="CKJ24" s="414"/>
      <c r="CKK24" s="414"/>
      <c r="CKL24" s="414"/>
      <c r="CKM24" s="414"/>
      <c r="CKN24" s="414"/>
      <c r="CKO24" s="414"/>
      <c r="CKP24" s="414"/>
      <c r="CKQ24" s="414"/>
      <c r="CKR24" s="414"/>
      <c r="CKS24" s="414"/>
      <c r="CKT24" s="414"/>
      <c r="CKU24" s="414"/>
      <c r="CKV24" s="414"/>
      <c r="CKW24" s="414"/>
      <c r="CKX24" s="414"/>
      <c r="CKY24" s="414"/>
      <c r="CKZ24" s="414"/>
      <c r="CLA24" s="414"/>
      <c r="CLB24" s="414"/>
      <c r="CLC24" s="414"/>
      <c r="CLD24" s="414"/>
      <c r="CLE24" s="414"/>
      <c r="CLF24" s="414"/>
      <c r="CLG24" s="414"/>
      <c r="CLH24" s="414"/>
      <c r="CLI24" s="414"/>
      <c r="CLJ24" s="414"/>
      <c r="CLK24" s="414"/>
      <c r="CLL24" s="414"/>
      <c r="CLM24" s="414"/>
      <c r="CLN24" s="414"/>
      <c r="CLO24" s="414"/>
      <c r="CLP24" s="414"/>
      <c r="CLQ24" s="414"/>
      <c r="CLR24" s="414"/>
      <c r="CLS24" s="414"/>
      <c r="CLT24" s="414"/>
      <c r="CLU24" s="414"/>
      <c r="CLV24" s="414"/>
      <c r="CLW24" s="414"/>
      <c r="CLX24" s="414"/>
      <c r="CLY24" s="414"/>
      <c r="CLZ24" s="414"/>
      <c r="CMA24" s="414"/>
      <c r="CMB24" s="414"/>
      <c r="CMC24" s="414"/>
      <c r="CMD24" s="414"/>
      <c r="CME24" s="414"/>
      <c r="CMF24" s="414"/>
      <c r="CMG24" s="414"/>
      <c r="CMH24" s="414"/>
      <c r="CMI24" s="414"/>
      <c r="CMJ24" s="414"/>
      <c r="CMK24" s="414"/>
      <c r="CML24" s="414"/>
      <c r="CMM24" s="414"/>
      <c r="CMN24" s="414"/>
      <c r="CMO24" s="414"/>
      <c r="CMP24" s="414"/>
      <c r="CMQ24" s="414"/>
      <c r="CMR24" s="414"/>
      <c r="CMS24" s="414"/>
      <c r="CMT24" s="414"/>
      <c r="CMU24" s="414"/>
      <c r="CMV24" s="414"/>
      <c r="CMW24" s="414"/>
      <c r="CMX24" s="414"/>
      <c r="CMY24" s="414"/>
      <c r="CMZ24" s="414"/>
      <c r="CNA24" s="414"/>
      <c r="CNB24" s="414"/>
      <c r="CNC24" s="414"/>
      <c r="CND24" s="414"/>
      <c r="CNE24" s="414"/>
      <c r="CNF24" s="414"/>
      <c r="CNG24" s="414"/>
      <c r="CNH24" s="414"/>
      <c r="CNI24" s="414"/>
      <c r="CNJ24" s="414"/>
      <c r="CNK24" s="414"/>
      <c r="CNL24" s="414"/>
      <c r="CNM24" s="414"/>
      <c r="CNN24" s="414"/>
      <c r="CNO24" s="414"/>
      <c r="CNP24" s="414"/>
      <c r="CNQ24" s="414"/>
      <c r="CNR24" s="414"/>
      <c r="CNS24" s="414"/>
      <c r="CNT24" s="414"/>
      <c r="CNU24" s="414"/>
      <c r="CNV24" s="414"/>
      <c r="CNW24" s="414"/>
      <c r="CNX24" s="414"/>
      <c r="CNY24" s="414"/>
      <c r="CNZ24" s="414"/>
      <c r="COA24" s="414"/>
      <c r="COB24" s="414"/>
      <c r="COC24" s="414"/>
      <c r="COD24" s="414"/>
      <c r="COE24" s="414"/>
      <c r="COF24" s="414"/>
      <c r="COG24" s="414"/>
      <c r="COH24" s="414"/>
      <c r="COI24" s="414"/>
      <c r="COJ24" s="414"/>
      <c r="COK24" s="414"/>
      <c r="COL24" s="414"/>
      <c r="COM24" s="414"/>
      <c r="CON24" s="414"/>
      <c r="COO24" s="414"/>
      <c r="COP24" s="414"/>
      <c r="COQ24" s="414"/>
      <c r="COR24" s="414"/>
      <c r="COS24" s="414"/>
      <c r="COT24" s="414"/>
      <c r="COU24" s="414"/>
      <c r="COV24" s="414"/>
      <c r="COW24" s="414"/>
      <c r="COX24" s="414"/>
      <c r="COY24" s="414"/>
      <c r="COZ24" s="414"/>
      <c r="CPA24" s="414"/>
      <c r="CPB24" s="414"/>
      <c r="CPC24" s="414"/>
      <c r="CPD24" s="414"/>
      <c r="CPE24" s="414"/>
      <c r="CPF24" s="414"/>
      <c r="CPG24" s="414"/>
      <c r="CPH24" s="414"/>
      <c r="CPI24" s="414"/>
      <c r="CPJ24" s="414"/>
      <c r="CPK24" s="414"/>
      <c r="CPL24" s="414"/>
      <c r="CPM24" s="414"/>
      <c r="CPN24" s="414"/>
      <c r="CPO24" s="414"/>
      <c r="CPP24" s="414"/>
      <c r="CPQ24" s="414"/>
      <c r="CPR24" s="414"/>
      <c r="CPS24" s="414"/>
      <c r="CPT24" s="414"/>
      <c r="CPU24" s="414"/>
      <c r="CPV24" s="414"/>
      <c r="CPW24" s="414"/>
      <c r="CPX24" s="414"/>
      <c r="CPY24" s="414"/>
      <c r="CPZ24" s="414"/>
      <c r="CQA24" s="414"/>
      <c r="CQB24" s="414"/>
      <c r="CQC24" s="414"/>
      <c r="CQD24" s="414"/>
      <c r="CQE24" s="414"/>
      <c r="CQF24" s="414"/>
      <c r="CQG24" s="414"/>
      <c r="CQH24" s="414"/>
      <c r="CQI24" s="414"/>
      <c r="CQJ24" s="414"/>
      <c r="CQK24" s="414"/>
      <c r="CQL24" s="414"/>
      <c r="CQM24" s="414"/>
      <c r="CQN24" s="414"/>
      <c r="CQO24" s="414"/>
      <c r="CQP24" s="414"/>
      <c r="CQQ24" s="414"/>
      <c r="CQR24" s="414"/>
      <c r="CQS24" s="414"/>
      <c r="CQT24" s="414"/>
      <c r="CQU24" s="414"/>
      <c r="CQV24" s="414"/>
      <c r="CQW24" s="414"/>
      <c r="CQX24" s="414"/>
      <c r="CQY24" s="414"/>
      <c r="CQZ24" s="414"/>
      <c r="CRA24" s="414"/>
      <c r="CRB24" s="414"/>
      <c r="CRC24" s="414"/>
      <c r="CRD24" s="414"/>
      <c r="CRE24" s="414"/>
      <c r="CRF24" s="414"/>
      <c r="CRG24" s="414"/>
      <c r="CRH24" s="414"/>
      <c r="CRI24" s="414"/>
      <c r="CRJ24" s="414"/>
      <c r="CRK24" s="414"/>
      <c r="CRL24" s="414"/>
      <c r="CRM24" s="414"/>
      <c r="CRN24" s="414"/>
      <c r="CRO24" s="414"/>
      <c r="CRP24" s="414"/>
      <c r="CRQ24" s="414"/>
      <c r="CRR24" s="414"/>
      <c r="CRS24" s="414"/>
      <c r="CRT24" s="414"/>
      <c r="CRU24" s="414"/>
      <c r="CRV24" s="414"/>
      <c r="CRW24" s="414"/>
      <c r="CRX24" s="414"/>
      <c r="CRY24" s="414"/>
      <c r="CRZ24" s="414"/>
      <c r="CSA24" s="414"/>
      <c r="CSB24" s="414"/>
      <c r="CSC24" s="414"/>
      <c r="CSD24" s="414"/>
      <c r="CSE24" s="414"/>
      <c r="CSF24" s="414"/>
      <c r="CSG24" s="414"/>
      <c r="CSH24" s="414"/>
      <c r="CSI24" s="414"/>
      <c r="CSJ24" s="414"/>
      <c r="CSK24" s="414"/>
      <c r="CSL24" s="414"/>
      <c r="CSM24" s="414"/>
      <c r="CSN24" s="414"/>
      <c r="CSO24" s="414"/>
      <c r="CSP24" s="414"/>
      <c r="CSQ24" s="414"/>
      <c r="CSR24" s="414"/>
      <c r="CSS24" s="414"/>
      <c r="CST24" s="414"/>
      <c r="CSU24" s="414"/>
      <c r="CSV24" s="414"/>
      <c r="CSW24" s="414"/>
      <c r="CSX24" s="414"/>
      <c r="CSY24" s="414"/>
      <c r="CSZ24" s="414"/>
      <c r="CTA24" s="414"/>
      <c r="CTB24" s="414"/>
      <c r="CTC24" s="414"/>
      <c r="CTD24" s="414"/>
      <c r="CTE24" s="414"/>
      <c r="CTF24" s="414"/>
      <c r="CTG24" s="414"/>
      <c r="CTH24" s="414"/>
      <c r="CTI24" s="414"/>
      <c r="CTJ24" s="414"/>
      <c r="CTK24" s="414"/>
      <c r="CTL24" s="414"/>
      <c r="CTM24" s="414"/>
      <c r="CTN24" s="414"/>
      <c r="CTO24" s="414"/>
      <c r="CTP24" s="414"/>
      <c r="CTQ24" s="414"/>
      <c r="CTR24" s="414"/>
      <c r="CTS24" s="414"/>
      <c r="CTT24" s="414"/>
      <c r="CTU24" s="414"/>
      <c r="CTV24" s="414"/>
      <c r="CTW24" s="414"/>
      <c r="CTX24" s="414"/>
      <c r="CTY24" s="414"/>
      <c r="CTZ24" s="414"/>
      <c r="CUA24" s="414"/>
      <c r="CUB24" s="414"/>
      <c r="CUC24" s="414"/>
      <c r="CUD24" s="414"/>
      <c r="CUE24" s="414"/>
      <c r="CUF24" s="414"/>
      <c r="CUG24" s="414"/>
      <c r="CUH24" s="414"/>
      <c r="CUI24" s="414"/>
      <c r="CUJ24" s="414"/>
      <c r="CUK24" s="414"/>
      <c r="CUL24" s="414"/>
      <c r="CUM24" s="414"/>
      <c r="CUN24" s="414"/>
      <c r="CUO24" s="414"/>
      <c r="CUP24" s="414"/>
      <c r="CUQ24" s="414"/>
      <c r="CUR24" s="414"/>
      <c r="CUS24" s="414"/>
      <c r="CUT24" s="414"/>
      <c r="CUU24" s="414"/>
      <c r="CUV24" s="414"/>
      <c r="CUW24" s="414"/>
      <c r="CUX24" s="414"/>
      <c r="CUY24" s="414"/>
      <c r="CUZ24" s="414"/>
      <c r="CVA24" s="414"/>
      <c r="CVB24" s="414"/>
      <c r="CVC24" s="414"/>
      <c r="CVD24" s="414"/>
      <c r="CVE24" s="414"/>
      <c r="CVF24" s="414"/>
      <c r="CVG24" s="414"/>
      <c r="CVH24" s="414"/>
      <c r="CVI24" s="414"/>
      <c r="CVJ24" s="414"/>
      <c r="CVK24" s="414"/>
      <c r="CVL24" s="414"/>
      <c r="CVM24" s="414"/>
      <c r="CVN24" s="414"/>
      <c r="CVO24" s="414"/>
      <c r="CVP24" s="414"/>
      <c r="CVQ24" s="414"/>
      <c r="CVR24" s="414"/>
      <c r="CVS24" s="414"/>
      <c r="CVT24" s="414"/>
      <c r="CVU24" s="414"/>
      <c r="CVV24" s="414"/>
      <c r="CVW24" s="414"/>
      <c r="CVX24" s="414"/>
      <c r="CVY24" s="414"/>
      <c r="CVZ24" s="414"/>
      <c r="CWA24" s="414"/>
      <c r="CWB24" s="414"/>
      <c r="CWC24" s="414"/>
      <c r="CWD24" s="414"/>
      <c r="CWE24" s="414"/>
      <c r="CWF24" s="414"/>
      <c r="CWG24" s="414"/>
      <c r="CWH24" s="414"/>
      <c r="CWI24" s="414"/>
      <c r="CWJ24" s="414"/>
      <c r="CWK24" s="414"/>
      <c r="CWL24" s="414"/>
      <c r="CWM24" s="414"/>
      <c r="CWN24" s="414"/>
      <c r="CWO24" s="414"/>
      <c r="CWP24" s="414"/>
      <c r="CWQ24" s="414"/>
      <c r="CWR24" s="414"/>
      <c r="CWS24" s="414"/>
      <c r="CWT24" s="414"/>
      <c r="CWU24" s="414"/>
      <c r="CWV24" s="414"/>
      <c r="CWW24" s="414"/>
      <c r="CWX24" s="414"/>
      <c r="CWY24" s="414"/>
      <c r="CWZ24" s="414"/>
      <c r="CXA24" s="414"/>
      <c r="CXB24" s="414"/>
      <c r="CXC24" s="414"/>
      <c r="CXD24" s="414"/>
      <c r="CXE24" s="414"/>
      <c r="CXF24" s="414"/>
      <c r="CXG24" s="414"/>
      <c r="CXH24" s="414"/>
      <c r="CXI24" s="414"/>
      <c r="CXJ24" s="414"/>
      <c r="CXK24" s="414"/>
      <c r="CXL24" s="414"/>
      <c r="CXM24" s="414"/>
      <c r="CXN24" s="414"/>
      <c r="CXO24" s="414"/>
      <c r="CXP24" s="414"/>
      <c r="CXQ24" s="414"/>
      <c r="CXR24" s="414"/>
      <c r="CXS24" s="414"/>
      <c r="CXT24" s="414"/>
      <c r="CXU24" s="414"/>
      <c r="CXV24" s="414"/>
      <c r="CXW24" s="414"/>
      <c r="CXX24" s="414"/>
      <c r="CXY24" s="414"/>
      <c r="CXZ24" s="414"/>
      <c r="CYA24" s="414"/>
      <c r="CYB24" s="414"/>
      <c r="CYC24" s="414"/>
      <c r="CYD24" s="414"/>
      <c r="CYE24" s="414"/>
      <c r="CYF24" s="414"/>
      <c r="CYG24" s="414"/>
      <c r="CYH24" s="414"/>
      <c r="CYI24" s="414"/>
      <c r="CYJ24" s="414"/>
      <c r="CYK24" s="414"/>
      <c r="CYL24" s="414"/>
      <c r="CYM24" s="414"/>
      <c r="CYN24" s="414"/>
      <c r="CYO24" s="414"/>
      <c r="CYP24" s="414"/>
      <c r="CYQ24" s="414"/>
      <c r="CYR24" s="414"/>
      <c r="CYS24" s="414"/>
      <c r="CYT24" s="414"/>
      <c r="CYU24" s="414"/>
      <c r="CYV24" s="414"/>
      <c r="CYW24" s="414"/>
      <c r="CYX24" s="414"/>
      <c r="CYY24" s="414"/>
      <c r="CYZ24" s="414"/>
      <c r="CZA24" s="414"/>
      <c r="CZB24" s="414"/>
      <c r="CZC24" s="414"/>
      <c r="CZD24" s="414"/>
      <c r="CZE24" s="414"/>
      <c r="CZF24" s="414"/>
      <c r="CZG24" s="414"/>
      <c r="CZH24" s="414"/>
      <c r="CZI24" s="414"/>
      <c r="CZJ24" s="414"/>
      <c r="CZK24" s="414"/>
      <c r="CZL24" s="414"/>
      <c r="CZM24" s="414"/>
      <c r="CZN24" s="414"/>
      <c r="CZO24" s="414"/>
      <c r="CZP24" s="414"/>
      <c r="CZQ24" s="414"/>
      <c r="CZR24" s="414"/>
      <c r="CZS24" s="414"/>
      <c r="CZT24" s="414"/>
      <c r="CZU24" s="414"/>
      <c r="CZV24" s="414"/>
      <c r="CZW24" s="414"/>
      <c r="CZX24" s="414"/>
      <c r="CZY24" s="414"/>
      <c r="CZZ24" s="414"/>
      <c r="DAA24" s="414"/>
      <c r="DAB24" s="414"/>
      <c r="DAC24" s="414"/>
      <c r="DAD24" s="414"/>
      <c r="DAE24" s="414"/>
      <c r="DAF24" s="414"/>
      <c r="DAG24" s="414"/>
      <c r="DAH24" s="414"/>
      <c r="DAI24" s="414"/>
      <c r="DAJ24" s="414"/>
      <c r="DAK24" s="414"/>
      <c r="DAL24" s="414"/>
      <c r="DAM24" s="414"/>
      <c r="DAN24" s="414"/>
      <c r="DAO24" s="414"/>
      <c r="DAP24" s="414"/>
      <c r="DAQ24" s="414"/>
      <c r="DAR24" s="414"/>
      <c r="DAS24" s="414"/>
      <c r="DAT24" s="414"/>
      <c r="DAU24" s="414"/>
      <c r="DAV24" s="414"/>
      <c r="DAW24" s="414"/>
      <c r="DAX24" s="414"/>
      <c r="DAY24" s="414"/>
      <c r="DAZ24" s="414"/>
      <c r="DBA24" s="414"/>
      <c r="DBB24" s="414"/>
      <c r="DBC24" s="414"/>
      <c r="DBD24" s="414"/>
      <c r="DBE24" s="414"/>
      <c r="DBF24" s="414"/>
      <c r="DBG24" s="414"/>
      <c r="DBH24" s="414"/>
      <c r="DBI24" s="414"/>
      <c r="DBJ24" s="414"/>
      <c r="DBK24" s="414"/>
      <c r="DBL24" s="414"/>
      <c r="DBM24" s="414"/>
      <c r="DBN24" s="414"/>
      <c r="DBO24" s="414"/>
      <c r="DBP24" s="414"/>
      <c r="DBQ24" s="414"/>
      <c r="DBR24" s="414"/>
      <c r="DBS24" s="414"/>
      <c r="DBT24" s="414"/>
      <c r="DBU24" s="414"/>
      <c r="DBV24" s="414"/>
      <c r="DBW24" s="414"/>
      <c r="DBX24" s="414"/>
      <c r="DBY24" s="414"/>
      <c r="DBZ24" s="414"/>
      <c r="DCA24" s="414"/>
      <c r="DCB24" s="414"/>
      <c r="DCC24" s="414"/>
      <c r="DCD24" s="414"/>
      <c r="DCE24" s="414"/>
      <c r="DCF24" s="414"/>
      <c r="DCG24" s="414"/>
      <c r="DCH24" s="414"/>
      <c r="DCI24" s="414"/>
      <c r="DCJ24" s="414"/>
      <c r="DCK24" s="414"/>
      <c r="DCL24" s="414"/>
      <c r="DCM24" s="414"/>
      <c r="DCN24" s="414"/>
      <c r="DCO24" s="414"/>
      <c r="DCP24" s="414"/>
      <c r="DCQ24" s="414"/>
      <c r="DCR24" s="414"/>
      <c r="DCS24" s="414"/>
      <c r="DCT24" s="414"/>
      <c r="DCU24" s="414"/>
      <c r="DCV24" s="414"/>
      <c r="DCW24" s="414"/>
      <c r="DCX24" s="414"/>
      <c r="DCY24" s="414"/>
      <c r="DCZ24" s="414"/>
      <c r="DDA24" s="414"/>
      <c r="DDB24" s="414"/>
      <c r="DDC24" s="414"/>
      <c r="DDD24" s="414"/>
      <c r="DDE24" s="414"/>
      <c r="DDF24" s="414"/>
      <c r="DDG24" s="414"/>
      <c r="DDH24" s="414"/>
      <c r="DDI24" s="414"/>
      <c r="DDJ24" s="414"/>
      <c r="DDK24" s="414"/>
      <c r="DDL24" s="414"/>
      <c r="DDM24" s="414"/>
      <c r="DDN24" s="414"/>
      <c r="DDO24" s="414"/>
      <c r="DDP24" s="414"/>
      <c r="DDQ24" s="414"/>
      <c r="DDR24" s="414"/>
      <c r="DDS24" s="414"/>
      <c r="DDT24" s="414"/>
      <c r="DDU24" s="414"/>
      <c r="DDV24" s="414"/>
      <c r="DDW24" s="414"/>
      <c r="DDX24" s="414"/>
      <c r="DDY24" s="414"/>
      <c r="DDZ24" s="414"/>
      <c r="DEA24" s="414"/>
      <c r="DEB24" s="414"/>
      <c r="DEC24" s="414"/>
      <c r="DED24" s="414"/>
      <c r="DEE24" s="414"/>
      <c r="DEF24" s="414"/>
      <c r="DEG24" s="414"/>
      <c r="DEH24" s="414"/>
      <c r="DEI24" s="414"/>
      <c r="DEJ24" s="414"/>
      <c r="DEK24" s="414"/>
      <c r="DEL24" s="414"/>
      <c r="DEM24" s="414"/>
      <c r="DEN24" s="414"/>
      <c r="DEO24" s="414"/>
      <c r="DEP24" s="414"/>
      <c r="DEQ24" s="414"/>
      <c r="DER24" s="414"/>
      <c r="DES24" s="414"/>
      <c r="DET24" s="414"/>
      <c r="DEU24" s="414"/>
      <c r="DEV24" s="414"/>
      <c r="DEW24" s="414"/>
      <c r="DEX24" s="414"/>
      <c r="DEY24" s="414"/>
      <c r="DEZ24" s="414"/>
      <c r="DFA24" s="414"/>
      <c r="DFB24" s="414"/>
      <c r="DFC24" s="414"/>
      <c r="DFD24" s="414"/>
      <c r="DFE24" s="414"/>
      <c r="DFF24" s="414"/>
      <c r="DFG24" s="414"/>
      <c r="DFH24" s="414"/>
      <c r="DFI24" s="414"/>
      <c r="DFJ24" s="414"/>
      <c r="DFK24" s="414"/>
      <c r="DFL24" s="414"/>
      <c r="DFM24" s="414"/>
      <c r="DFN24" s="414"/>
      <c r="DFO24" s="414"/>
      <c r="DFP24" s="414"/>
      <c r="DFQ24" s="414"/>
      <c r="DFR24" s="414"/>
      <c r="DFS24" s="414"/>
      <c r="DFT24" s="414"/>
      <c r="DFU24" s="414"/>
      <c r="DFV24" s="414"/>
      <c r="DFW24" s="414"/>
      <c r="DFX24" s="414"/>
      <c r="DFY24" s="414"/>
      <c r="DFZ24" s="414"/>
      <c r="DGA24" s="414"/>
      <c r="DGB24" s="414"/>
      <c r="DGC24" s="414"/>
      <c r="DGD24" s="414"/>
      <c r="DGE24" s="414"/>
      <c r="DGF24" s="414"/>
      <c r="DGG24" s="414"/>
      <c r="DGH24" s="414"/>
      <c r="DGI24" s="414"/>
      <c r="DGJ24" s="414"/>
      <c r="DGK24" s="414"/>
      <c r="DGL24" s="414"/>
      <c r="DGM24" s="414"/>
      <c r="DGN24" s="414"/>
      <c r="DGO24" s="414"/>
      <c r="DGP24" s="414"/>
      <c r="DGQ24" s="414"/>
      <c r="DGR24" s="414"/>
      <c r="DGS24" s="414"/>
      <c r="DGT24" s="414"/>
      <c r="DGU24" s="414"/>
      <c r="DGV24" s="414"/>
      <c r="DGW24" s="414"/>
      <c r="DGX24" s="414"/>
      <c r="DGY24" s="414"/>
      <c r="DGZ24" s="414"/>
      <c r="DHA24" s="414"/>
      <c r="DHB24" s="414"/>
      <c r="DHC24" s="414"/>
      <c r="DHD24" s="414"/>
      <c r="DHE24" s="414"/>
      <c r="DHF24" s="414"/>
      <c r="DHG24" s="414"/>
      <c r="DHH24" s="414"/>
      <c r="DHI24" s="414"/>
      <c r="DHJ24" s="414"/>
      <c r="DHK24" s="414"/>
      <c r="DHL24" s="414"/>
      <c r="DHM24" s="414"/>
      <c r="DHN24" s="414"/>
      <c r="DHO24" s="414"/>
      <c r="DHP24" s="414"/>
      <c r="DHQ24" s="414"/>
      <c r="DHR24" s="414"/>
      <c r="DHS24" s="414"/>
      <c r="DHT24" s="414"/>
      <c r="DHU24" s="414"/>
      <c r="DHV24" s="414"/>
      <c r="DHW24" s="414"/>
      <c r="DHX24" s="414"/>
      <c r="DHY24" s="414"/>
      <c r="DHZ24" s="414"/>
      <c r="DIA24" s="414"/>
      <c r="DIB24" s="414"/>
      <c r="DIC24" s="414"/>
      <c r="DID24" s="414"/>
      <c r="DIE24" s="414"/>
      <c r="DIF24" s="414"/>
      <c r="DIG24" s="414"/>
      <c r="DIH24" s="414"/>
      <c r="DII24" s="414"/>
      <c r="DIJ24" s="414"/>
      <c r="DIK24" s="414"/>
      <c r="DIL24" s="414"/>
      <c r="DIM24" s="414"/>
      <c r="DIN24" s="414"/>
      <c r="DIO24" s="414"/>
      <c r="DIP24" s="414"/>
      <c r="DIQ24" s="414"/>
      <c r="DIR24" s="414"/>
      <c r="DIS24" s="414"/>
      <c r="DIT24" s="414"/>
      <c r="DIU24" s="414"/>
      <c r="DIV24" s="414"/>
      <c r="DIW24" s="414"/>
      <c r="DIX24" s="414"/>
      <c r="DIY24" s="414"/>
      <c r="DIZ24" s="414"/>
      <c r="DJA24" s="414"/>
      <c r="DJB24" s="414"/>
      <c r="DJC24" s="414"/>
      <c r="DJD24" s="414"/>
      <c r="DJE24" s="414"/>
      <c r="DJF24" s="414"/>
      <c r="DJG24" s="414"/>
      <c r="DJH24" s="414"/>
      <c r="DJI24" s="414"/>
      <c r="DJJ24" s="414"/>
      <c r="DJK24" s="414"/>
      <c r="DJL24" s="414"/>
      <c r="DJM24" s="414"/>
      <c r="DJN24" s="414"/>
      <c r="DJO24" s="414"/>
      <c r="DJP24" s="414"/>
      <c r="DJQ24" s="414"/>
      <c r="DJR24" s="414"/>
      <c r="DJS24" s="414"/>
      <c r="DJT24" s="414"/>
      <c r="DJU24" s="414"/>
      <c r="DJV24" s="414"/>
      <c r="DJW24" s="414"/>
      <c r="DJX24" s="414"/>
      <c r="DJY24" s="414"/>
      <c r="DJZ24" s="414"/>
      <c r="DKA24" s="414"/>
      <c r="DKB24" s="414"/>
      <c r="DKC24" s="414"/>
      <c r="DKD24" s="414"/>
      <c r="DKE24" s="414"/>
      <c r="DKF24" s="414"/>
      <c r="DKG24" s="414"/>
      <c r="DKH24" s="414"/>
      <c r="DKI24" s="414"/>
      <c r="DKJ24" s="414"/>
      <c r="DKK24" s="414"/>
      <c r="DKL24" s="414"/>
      <c r="DKM24" s="414"/>
      <c r="DKN24" s="414"/>
      <c r="DKO24" s="414"/>
      <c r="DKP24" s="414"/>
      <c r="DKQ24" s="414"/>
      <c r="DKR24" s="414"/>
      <c r="DKS24" s="414"/>
      <c r="DKT24" s="414"/>
      <c r="DKU24" s="414"/>
      <c r="DKV24" s="414"/>
      <c r="DKW24" s="414"/>
      <c r="DKX24" s="414"/>
      <c r="DKY24" s="414"/>
      <c r="DKZ24" s="414"/>
      <c r="DLA24" s="414"/>
      <c r="DLB24" s="414"/>
      <c r="DLC24" s="414"/>
      <c r="DLD24" s="414"/>
      <c r="DLE24" s="414"/>
      <c r="DLF24" s="414"/>
      <c r="DLG24" s="414"/>
      <c r="DLH24" s="414"/>
      <c r="DLI24" s="414"/>
      <c r="DLJ24" s="414"/>
      <c r="DLK24" s="414"/>
      <c r="DLL24" s="414"/>
      <c r="DLM24" s="414"/>
      <c r="DLN24" s="414"/>
      <c r="DLO24" s="414"/>
      <c r="DLP24" s="414"/>
      <c r="DLQ24" s="414"/>
      <c r="DLR24" s="414"/>
      <c r="DLS24" s="414"/>
      <c r="DLT24" s="414"/>
      <c r="DLU24" s="414"/>
      <c r="DLV24" s="414"/>
      <c r="DLW24" s="414"/>
      <c r="DLX24" s="414"/>
      <c r="DLY24" s="414"/>
      <c r="DLZ24" s="414"/>
      <c r="DMA24" s="414"/>
      <c r="DMB24" s="414"/>
      <c r="DMC24" s="414"/>
      <c r="DMD24" s="414"/>
      <c r="DME24" s="414"/>
      <c r="DMF24" s="414"/>
      <c r="DMG24" s="414"/>
      <c r="DMH24" s="414"/>
      <c r="DMI24" s="414"/>
      <c r="DMJ24" s="414"/>
      <c r="DMK24" s="414"/>
      <c r="DML24" s="414"/>
      <c r="DMM24" s="414"/>
      <c r="DMN24" s="414"/>
      <c r="DMO24" s="414"/>
      <c r="DMP24" s="414"/>
      <c r="DMQ24" s="414"/>
      <c r="DMR24" s="414"/>
      <c r="DMS24" s="414"/>
      <c r="DMT24" s="414"/>
      <c r="DMU24" s="414"/>
      <c r="DMV24" s="414"/>
      <c r="DMW24" s="414"/>
      <c r="DMX24" s="414"/>
      <c r="DMY24" s="414"/>
      <c r="DMZ24" s="414"/>
      <c r="DNA24" s="414"/>
      <c r="DNB24" s="414"/>
      <c r="DNC24" s="414"/>
      <c r="DND24" s="414"/>
      <c r="DNE24" s="414"/>
      <c r="DNF24" s="414"/>
      <c r="DNG24" s="414"/>
      <c r="DNH24" s="414"/>
      <c r="DNI24" s="414"/>
      <c r="DNJ24" s="414"/>
      <c r="DNK24" s="414"/>
      <c r="DNL24" s="414"/>
      <c r="DNM24" s="414"/>
      <c r="DNN24" s="414"/>
      <c r="DNO24" s="414"/>
      <c r="DNP24" s="414"/>
      <c r="DNQ24" s="414"/>
      <c r="DNR24" s="414"/>
      <c r="DNS24" s="414"/>
      <c r="DNT24" s="414"/>
      <c r="DNU24" s="414"/>
      <c r="DNV24" s="414"/>
      <c r="DNW24" s="414"/>
      <c r="DNX24" s="414"/>
      <c r="DNY24" s="414"/>
      <c r="DNZ24" s="414"/>
      <c r="DOA24" s="414"/>
      <c r="DOB24" s="414"/>
      <c r="DOC24" s="414"/>
      <c r="DOD24" s="414"/>
      <c r="DOE24" s="414"/>
      <c r="DOF24" s="414"/>
      <c r="DOG24" s="414"/>
      <c r="DOH24" s="414"/>
      <c r="DOI24" s="414"/>
      <c r="DOJ24" s="414"/>
      <c r="DOK24" s="414"/>
      <c r="DOL24" s="414"/>
      <c r="DOM24" s="414"/>
      <c r="DON24" s="414"/>
      <c r="DOO24" s="414"/>
      <c r="DOP24" s="414"/>
      <c r="DOQ24" s="414"/>
      <c r="DOR24" s="414"/>
      <c r="DOS24" s="414"/>
      <c r="DOT24" s="414"/>
      <c r="DOU24" s="414"/>
      <c r="DOV24" s="414"/>
      <c r="DOW24" s="414"/>
      <c r="DOX24" s="414"/>
      <c r="DOY24" s="414"/>
      <c r="DOZ24" s="414"/>
      <c r="DPA24" s="414"/>
      <c r="DPB24" s="414"/>
      <c r="DPC24" s="414"/>
      <c r="DPD24" s="414"/>
      <c r="DPE24" s="414"/>
      <c r="DPF24" s="414"/>
      <c r="DPG24" s="414"/>
      <c r="DPH24" s="414"/>
      <c r="DPI24" s="414"/>
      <c r="DPJ24" s="414"/>
      <c r="DPK24" s="414"/>
      <c r="DPL24" s="414"/>
      <c r="DPM24" s="414"/>
      <c r="DPN24" s="414"/>
      <c r="DPO24" s="414"/>
      <c r="DPP24" s="414"/>
      <c r="DPQ24" s="414"/>
      <c r="DPR24" s="414"/>
      <c r="DPS24" s="414"/>
      <c r="DPT24" s="414"/>
      <c r="DPU24" s="414"/>
      <c r="DPV24" s="414"/>
      <c r="DPW24" s="414"/>
      <c r="DPX24" s="414"/>
      <c r="DPY24" s="414"/>
      <c r="DPZ24" s="414"/>
      <c r="DQA24" s="414"/>
      <c r="DQB24" s="414"/>
      <c r="DQC24" s="414"/>
      <c r="DQD24" s="414"/>
      <c r="DQE24" s="414"/>
      <c r="DQF24" s="414"/>
      <c r="DQG24" s="414"/>
      <c r="DQH24" s="414"/>
      <c r="DQI24" s="414"/>
      <c r="DQJ24" s="414"/>
      <c r="DQK24" s="414"/>
      <c r="DQL24" s="414"/>
      <c r="DQM24" s="414"/>
      <c r="DQN24" s="414"/>
      <c r="DQO24" s="414"/>
      <c r="DQP24" s="414"/>
      <c r="DQQ24" s="414"/>
      <c r="DQR24" s="414"/>
      <c r="DQS24" s="414"/>
      <c r="DQT24" s="414"/>
      <c r="DQU24" s="414"/>
      <c r="DQV24" s="414"/>
      <c r="DQW24" s="414"/>
      <c r="DQX24" s="414"/>
      <c r="DQY24" s="414"/>
      <c r="DQZ24" s="414"/>
      <c r="DRA24" s="414"/>
      <c r="DRB24" s="414"/>
      <c r="DRC24" s="414"/>
      <c r="DRD24" s="414"/>
      <c r="DRE24" s="414"/>
      <c r="DRF24" s="414"/>
      <c r="DRG24" s="414"/>
      <c r="DRH24" s="414"/>
      <c r="DRI24" s="414"/>
      <c r="DRJ24" s="414"/>
      <c r="DRK24" s="414"/>
      <c r="DRL24" s="414"/>
      <c r="DRM24" s="414"/>
      <c r="DRN24" s="414"/>
      <c r="DRO24" s="414"/>
      <c r="DRP24" s="414"/>
      <c r="DRQ24" s="414"/>
      <c r="DRR24" s="414"/>
      <c r="DRS24" s="414"/>
      <c r="DRT24" s="414"/>
      <c r="DRU24" s="414"/>
      <c r="DRV24" s="414"/>
      <c r="DRW24" s="414"/>
      <c r="DRX24" s="414"/>
      <c r="DRY24" s="414"/>
      <c r="DRZ24" s="414"/>
      <c r="DSA24" s="414"/>
      <c r="DSB24" s="414"/>
      <c r="DSC24" s="414"/>
      <c r="DSD24" s="414"/>
      <c r="DSE24" s="414"/>
      <c r="DSF24" s="414"/>
      <c r="DSG24" s="414"/>
      <c r="DSH24" s="414"/>
      <c r="DSI24" s="414"/>
      <c r="DSJ24" s="414"/>
      <c r="DSK24" s="414"/>
      <c r="DSL24" s="414"/>
      <c r="DSM24" s="414"/>
      <c r="DSN24" s="414"/>
      <c r="DSO24" s="414"/>
      <c r="DSP24" s="414"/>
      <c r="DSQ24" s="414"/>
      <c r="DSR24" s="414"/>
      <c r="DSS24" s="414"/>
      <c r="DST24" s="414"/>
      <c r="DSU24" s="414"/>
      <c r="DSV24" s="414"/>
      <c r="DSW24" s="414"/>
      <c r="DSX24" s="414"/>
      <c r="DSY24" s="414"/>
      <c r="DSZ24" s="414"/>
      <c r="DTA24" s="414"/>
      <c r="DTB24" s="414"/>
      <c r="DTC24" s="414"/>
      <c r="DTD24" s="414"/>
      <c r="DTE24" s="414"/>
      <c r="DTF24" s="414"/>
      <c r="DTG24" s="414"/>
      <c r="DTH24" s="414"/>
      <c r="DTI24" s="414"/>
      <c r="DTJ24" s="414"/>
      <c r="DTK24" s="414"/>
      <c r="DTL24" s="414"/>
      <c r="DTM24" s="414"/>
      <c r="DTN24" s="414"/>
      <c r="DTO24" s="414"/>
      <c r="DTP24" s="414"/>
      <c r="DTQ24" s="414"/>
      <c r="DTR24" s="414"/>
      <c r="DTS24" s="414"/>
      <c r="DTT24" s="414"/>
      <c r="DTU24" s="414"/>
      <c r="DTV24" s="414"/>
      <c r="DTW24" s="414"/>
      <c r="DTX24" s="414"/>
      <c r="DTY24" s="414"/>
      <c r="DTZ24" s="414"/>
      <c r="DUA24" s="414"/>
      <c r="DUB24" s="414"/>
      <c r="DUC24" s="414"/>
      <c r="DUD24" s="414"/>
      <c r="DUE24" s="414"/>
      <c r="DUF24" s="414"/>
      <c r="DUG24" s="414"/>
      <c r="DUH24" s="414"/>
      <c r="DUI24" s="414"/>
      <c r="DUJ24" s="414"/>
      <c r="DUK24" s="414"/>
      <c r="DUL24" s="414"/>
      <c r="DUM24" s="414"/>
      <c r="DUN24" s="414"/>
      <c r="DUO24" s="414"/>
      <c r="DUP24" s="414"/>
      <c r="DUQ24" s="414"/>
      <c r="DUR24" s="414"/>
      <c r="DUS24" s="414"/>
      <c r="DUT24" s="414"/>
      <c r="DUU24" s="414"/>
      <c r="DUV24" s="414"/>
      <c r="DUW24" s="414"/>
      <c r="DUX24" s="414"/>
      <c r="DUY24" s="414"/>
      <c r="DUZ24" s="414"/>
      <c r="DVA24" s="414"/>
      <c r="DVB24" s="414"/>
      <c r="DVC24" s="414"/>
      <c r="DVD24" s="414"/>
      <c r="DVE24" s="414"/>
      <c r="DVF24" s="414"/>
      <c r="DVG24" s="414"/>
      <c r="DVH24" s="414"/>
      <c r="DVI24" s="414"/>
      <c r="DVJ24" s="414"/>
      <c r="DVK24" s="414"/>
      <c r="DVL24" s="414"/>
      <c r="DVM24" s="414"/>
      <c r="DVN24" s="414"/>
      <c r="DVO24" s="414"/>
      <c r="DVP24" s="414"/>
      <c r="DVQ24" s="414"/>
      <c r="DVR24" s="414"/>
      <c r="DVS24" s="414"/>
      <c r="DVT24" s="414"/>
      <c r="DVU24" s="414"/>
      <c r="DVV24" s="414"/>
      <c r="DVW24" s="414"/>
      <c r="DVX24" s="414"/>
      <c r="DVY24" s="414"/>
      <c r="DVZ24" s="414"/>
      <c r="DWA24" s="414"/>
      <c r="DWB24" s="414"/>
      <c r="DWC24" s="414"/>
      <c r="DWD24" s="414"/>
      <c r="DWE24" s="414"/>
      <c r="DWF24" s="414"/>
      <c r="DWG24" s="414"/>
      <c r="DWH24" s="414"/>
      <c r="DWI24" s="414"/>
      <c r="DWJ24" s="414"/>
      <c r="DWK24" s="414"/>
      <c r="DWL24" s="414"/>
      <c r="DWM24" s="414"/>
      <c r="DWN24" s="414"/>
      <c r="DWO24" s="414"/>
      <c r="DWP24" s="414"/>
      <c r="DWQ24" s="414"/>
      <c r="DWR24" s="414"/>
      <c r="DWS24" s="414"/>
      <c r="DWT24" s="414"/>
      <c r="DWU24" s="414"/>
      <c r="DWV24" s="414"/>
      <c r="DWW24" s="414"/>
      <c r="DWX24" s="414"/>
      <c r="DWY24" s="414"/>
      <c r="DWZ24" s="414"/>
      <c r="DXA24" s="414"/>
      <c r="DXB24" s="414"/>
      <c r="DXC24" s="414"/>
      <c r="DXD24" s="414"/>
      <c r="DXE24" s="414"/>
      <c r="DXF24" s="414"/>
      <c r="DXG24" s="414"/>
      <c r="DXH24" s="414"/>
      <c r="DXI24" s="414"/>
      <c r="DXJ24" s="414"/>
      <c r="DXK24" s="414"/>
      <c r="DXL24" s="414"/>
      <c r="DXM24" s="414"/>
      <c r="DXN24" s="414"/>
      <c r="DXO24" s="414"/>
      <c r="DXP24" s="414"/>
      <c r="DXQ24" s="414"/>
      <c r="DXR24" s="414"/>
      <c r="DXS24" s="414"/>
      <c r="DXT24" s="414"/>
      <c r="DXU24" s="414"/>
      <c r="DXV24" s="414"/>
      <c r="DXW24" s="414"/>
      <c r="DXX24" s="414"/>
      <c r="DXY24" s="414"/>
      <c r="DXZ24" s="414"/>
      <c r="DYA24" s="414"/>
      <c r="DYB24" s="414"/>
      <c r="DYC24" s="414"/>
      <c r="DYD24" s="414"/>
      <c r="DYE24" s="414"/>
      <c r="DYF24" s="414"/>
      <c r="DYG24" s="414"/>
      <c r="DYH24" s="414"/>
      <c r="DYI24" s="414"/>
      <c r="DYJ24" s="414"/>
      <c r="DYK24" s="414"/>
      <c r="DYL24" s="414"/>
      <c r="DYM24" s="414"/>
      <c r="DYN24" s="414"/>
      <c r="DYO24" s="414"/>
      <c r="DYP24" s="414"/>
      <c r="DYQ24" s="414"/>
      <c r="DYR24" s="414"/>
      <c r="DYS24" s="414"/>
      <c r="DYT24" s="414"/>
      <c r="DYU24" s="414"/>
      <c r="DYV24" s="414"/>
      <c r="DYW24" s="414"/>
      <c r="DYX24" s="414"/>
      <c r="DYY24" s="414"/>
      <c r="DYZ24" s="414"/>
      <c r="DZA24" s="414"/>
      <c r="DZB24" s="414"/>
      <c r="DZC24" s="414"/>
      <c r="DZD24" s="414"/>
      <c r="DZE24" s="414"/>
      <c r="DZF24" s="414"/>
      <c r="DZG24" s="414"/>
      <c r="DZH24" s="414"/>
      <c r="DZI24" s="414"/>
      <c r="DZJ24" s="414"/>
      <c r="DZK24" s="414"/>
      <c r="DZL24" s="414"/>
      <c r="DZM24" s="414"/>
      <c r="DZN24" s="414"/>
      <c r="DZO24" s="414"/>
      <c r="DZP24" s="414"/>
      <c r="DZQ24" s="414"/>
      <c r="DZR24" s="414"/>
      <c r="DZS24" s="414"/>
      <c r="DZT24" s="414"/>
      <c r="DZU24" s="414"/>
      <c r="DZV24" s="414"/>
      <c r="DZW24" s="414"/>
      <c r="DZX24" s="414"/>
      <c r="DZY24" s="414"/>
      <c r="DZZ24" s="414"/>
      <c r="EAA24" s="414"/>
      <c r="EAB24" s="414"/>
      <c r="EAC24" s="414"/>
      <c r="EAD24" s="414"/>
      <c r="EAE24" s="414"/>
      <c r="EAF24" s="414"/>
      <c r="EAG24" s="414"/>
      <c r="EAH24" s="414"/>
      <c r="EAI24" s="414"/>
      <c r="EAJ24" s="414"/>
      <c r="EAK24" s="414"/>
      <c r="EAL24" s="414"/>
      <c r="EAM24" s="414"/>
      <c r="EAN24" s="414"/>
      <c r="EAO24" s="414"/>
      <c r="EAP24" s="414"/>
      <c r="EAQ24" s="414"/>
      <c r="EAR24" s="414"/>
      <c r="EAS24" s="414"/>
      <c r="EAT24" s="414"/>
      <c r="EAU24" s="414"/>
      <c r="EAV24" s="414"/>
      <c r="EAW24" s="414"/>
      <c r="EAX24" s="414"/>
      <c r="EAY24" s="414"/>
      <c r="EAZ24" s="414"/>
      <c r="EBA24" s="414"/>
      <c r="EBB24" s="414"/>
      <c r="EBC24" s="414"/>
      <c r="EBD24" s="414"/>
      <c r="EBE24" s="414"/>
      <c r="EBF24" s="414"/>
      <c r="EBG24" s="414"/>
      <c r="EBH24" s="414"/>
      <c r="EBI24" s="414"/>
      <c r="EBJ24" s="414"/>
      <c r="EBK24" s="414"/>
      <c r="EBL24" s="414"/>
      <c r="EBM24" s="414"/>
      <c r="EBN24" s="414"/>
      <c r="EBO24" s="414"/>
      <c r="EBP24" s="414"/>
      <c r="EBQ24" s="414"/>
      <c r="EBR24" s="414"/>
      <c r="EBS24" s="414"/>
      <c r="EBT24" s="414"/>
      <c r="EBU24" s="414"/>
      <c r="EBV24" s="414"/>
      <c r="EBW24" s="414"/>
      <c r="EBX24" s="414"/>
      <c r="EBY24" s="414"/>
      <c r="EBZ24" s="414"/>
      <c r="ECA24" s="414"/>
      <c r="ECB24" s="414"/>
      <c r="ECC24" s="414"/>
      <c r="ECD24" s="414"/>
      <c r="ECE24" s="414"/>
      <c r="ECF24" s="414"/>
      <c r="ECG24" s="414"/>
      <c r="ECH24" s="414"/>
      <c r="ECI24" s="414"/>
      <c r="ECJ24" s="414"/>
      <c r="ECK24" s="414"/>
      <c r="ECL24" s="414"/>
      <c r="ECM24" s="414"/>
      <c r="ECN24" s="414"/>
      <c r="ECO24" s="414"/>
      <c r="ECP24" s="414"/>
      <c r="ECQ24" s="414"/>
      <c r="ECR24" s="414"/>
      <c r="ECS24" s="414"/>
      <c r="ECT24" s="414"/>
      <c r="ECU24" s="414"/>
      <c r="ECV24" s="414"/>
      <c r="ECW24" s="414"/>
      <c r="ECX24" s="414"/>
      <c r="ECY24" s="414"/>
      <c r="ECZ24" s="414"/>
      <c r="EDA24" s="414"/>
      <c r="EDB24" s="414"/>
      <c r="EDC24" s="414"/>
      <c r="EDD24" s="414"/>
      <c r="EDE24" s="414"/>
      <c r="EDF24" s="414"/>
      <c r="EDG24" s="414"/>
      <c r="EDH24" s="414"/>
      <c r="EDI24" s="414"/>
      <c r="EDJ24" s="414"/>
      <c r="EDK24" s="414"/>
      <c r="EDL24" s="414"/>
      <c r="EDM24" s="414"/>
      <c r="EDN24" s="414"/>
      <c r="EDO24" s="414"/>
      <c r="EDP24" s="414"/>
      <c r="EDQ24" s="414"/>
      <c r="EDR24" s="414"/>
      <c r="EDS24" s="414"/>
      <c r="EDT24" s="414"/>
      <c r="EDU24" s="414"/>
      <c r="EDV24" s="414"/>
      <c r="EDW24" s="414"/>
      <c r="EDX24" s="414"/>
      <c r="EDY24" s="414"/>
      <c r="EDZ24" s="414"/>
      <c r="EEA24" s="414"/>
      <c r="EEB24" s="414"/>
      <c r="EEC24" s="414"/>
      <c r="EED24" s="414"/>
      <c r="EEE24" s="414"/>
      <c r="EEF24" s="414"/>
      <c r="EEG24" s="414"/>
      <c r="EEH24" s="414"/>
      <c r="EEI24" s="414"/>
      <c r="EEJ24" s="414"/>
      <c r="EEK24" s="414"/>
      <c r="EEL24" s="414"/>
      <c r="EEM24" s="414"/>
      <c r="EEN24" s="414"/>
      <c r="EEO24" s="414"/>
      <c r="EEP24" s="414"/>
      <c r="EEQ24" s="414"/>
      <c r="EER24" s="414"/>
      <c r="EES24" s="414"/>
      <c r="EET24" s="414"/>
      <c r="EEU24" s="414"/>
      <c r="EEV24" s="414"/>
      <c r="EEW24" s="414"/>
      <c r="EEX24" s="414"/>
      <c r="EEY24" s="414"/>
      <c r="EEZ24" s="414"/>
      <c r="EFA24" s="414"/>
      <c r="EFB24" s="414"/>
      <c r="EFC24" s="414"/>
      <c r="EFD24" s="414"/>
      <c r="EFE24" s="414"/>
      <c r="EFF24" s="414"/>
      <c r="EFG24" s="414"/>
      <c r="EFH24" s="414"/>
      <c r="EFI24" s="414"/>
      <c r="EFJ24" s="414"/>
      <c r="EFK24" s="414"/>
      <c r="EFL24" s="414"/>
      <c r="EFM24" s="414"/>
      <c r="EFN24" s="414"/>
      <c r="EFO24" s="414"/>
      <c r="EFP24" s="414"/>
      <c r="EFQ24" s="414"/>
      <c r="EFR24" s="414"/>
      <c r="EFS24" s="414"/>
      <c r="EFT24" s="414"/>
      <c r="EFU24" s="414"/>
      <c r="EFV24" s="414"/>
      <c r="EFW24" s="414"/>
      <c r="EFX24" s="414"/>
      <c r="EFY24" s="414"/>
      <c r="EFZ24" s="414"/>
      <c r="EGA24" s="414"/>
      <c r="EGB24" s="414"/>
      <c r="EGC24" s="414"/>
      <c r="EGD24" s="414"/>
      <c r="EGE24" s="414"/>
      <c r="EGF24" s="414"/>
      <c r="EGG24" s="414"/>
      <c r="EGH24" s="414"/>
      <c r="EGI24" s="414"/>
      <c r="EGJ24" s="414"/>
      <c r="EGK24" s="414"/>
      <c r="EGL24" s="414"/>
      <c r="EGM24" s="414"/>
      <c r="EGN24" s="414"/>
      <c r="EGO24" s="414"/>
      <c r="EGP24" s="414"/>
      <c r="EGQ24" s="414"/>
      <c r="EGR24" s="414"/>
      <c r="EGS24" s="414"/>
      <c r="EGT24" s="414"/>
      <c r="EGU24" s="414"/>
      <c r="EGV24" s="414"/>
      <c r="EGW24" s="414"/>
      <c r="EGX24" s="414"/>
      <c r="EGY24" s="414"/>
      <c r="EGZ24" s="414"/>
      <c r="EHA24" s="414"/>
      <c r="EHB24" s="414"/>
      <c r="EHC24" s="414"/>
      <c r="EHD24" s="414"/>
      <c r="EHE24" s="414"/>
      <c r="EHF24" s="414"/>
      <c r="EHG24" s="414"/>
      <c r="EHH24" s="414"/>
      <c r="EHI24" s="414"/>
      <c r="EHJ24" s="414"/>
      <c r="EHK24" s="414"/>
      <c r="EHL24" s="414"/>
      <c r="EHM24" s="414"/>
      <c r="EHN24" s="414"/>
      <c r="EHO24" s="414"/>
      <c r="EHP24" s="414"/>
      <c r="EHQ24" s="414"/>
      <c r="EHR24" s="414"/>
      <c r="EHS24" s="414"/>
      <c r="EHT24" s="414"/>
      <c r="EHU24" s="414"/>
      <c r="EHV24" s="414"/>
      <c r="EHW24" s="414"/>
      <c r="EHX24" s="414"/>
      <c r="EHY24" s="414"/>
      <c r="EHZ24" s="414"/>
      <c r="EIA24" s="414"/>
      <c r="EIB24" s="414"/>
      <c r="EIC24" s="414"/>
      <c r="EID24" s="414"/>
      <c r="EIE24" s="414"/>
      <c r="EIF24" s="414"/>
      <c r="EIG24" s="414"/>
      <c r="EIH24" s="414"/>
      <c r="EII24" s="414"/>
      <c r="EIJ24" s="414"/>
      <c r="EIK24" s="414"/>
      <c r="EIL24" s="414"/>
      <c r="EIM24" s="414"/>
      <c r="EIN24" s="414"/>
      <c r="EIO24" s="414"/>
      <c r="EIP24" s="414"/>
      <c r="EIQ24" s="414"/>
      <c r="EIR24" s="414"/>
      <c r="EIS24" s="414"/>
      <c r="EIT24" s="414"/>
      <c r="EIU24" s="414"/>
      <c r="EIV24" s="414"/>
      <c r="EIW24" s="414"/>
      <c r="EIX24" s="414"/>
      <c r="EIY24" s="414"/>
      <c r="EIZ24" s="414"/>
      <c r="EJA24" s="414"/>
      <c r="EJB24" s="414"/>
      <c r="EJC24" s="414"/>
      <c r="EJD24" s="414"/>
      <c r="EJE24" s="414"/>
      <c r="EJF24" s="414"/>
      <c r="EJG24" s="414"/>
      <c r="EJH24" s="414"/>
      <c r="EJI24" s="414"/>
      <c r="EJJ24" s="414"/>
      <c r="EJK24" s="414"/>
      <c r="EJL24" s="414"/>
      <c r="EJM24" s="414"/>
      <c r="EJN24" s="414"/>
      <c r="EJO24" s="414"/>
      <c r="EJP24" s="414"/>
      <c r="EJQ24" s="414"/>
      <c r="EJR24" s="414"/>
      <c r="EJS24" s="414"/>
      <c r="EJT24" s="414"/>
      <c r="EJU24" s="414"/>
      <c r="EJV24" s="414"/>
      <c r="EJW24" s="414"/>
      <c r="EJX24" s="414"/>
      <c r="EJY24" s="414"/>
      <c r="EJZ24" s="414"/>
      <c r="EKA24" s="414"/>
      <c r="EKB24" s="414"/>
      <c r="EKC24" s="414"/>
      <c r="EKD24" s="414"/>
      <c r="EKE24" s="414"/>
      <c r="EKF24" s="414"/>
      <c r="EKG24" s="414"/>
      <c r="EKH24" s="414"/>
      <c r="EKI24" s="414"/>
      <c r="EKJ24" s="414"/>
      <c r="EKK24" s="414"/>
      <c r="EKL24" s="414"/>
      <c r="EKM24" s="414"/>
      <c r="EKN24" s="414"/>
      <c r="EKO24" s="414"/>
      <c r="EKP24" s="414"/>
      <c r="EKQ24" s="414"/>
      <c r="EKR24" s="414"/>
      <c r="EKS24" s="414"/>
      <c r="EKT24" s="414"/>
      <c r="EKU24" s="414"/>
      <c r="EKV24" s="414"/>
      <c r="EKW24" s="414"/>
      <c r="EKX24" s="414"/>
      <c r="EKY24" s="414"/>
      <c r="EKZ24" s="414"/>
      <c r="ELA24" s="414"/>
      <c r="ELB24" s="414"/>
      <c r="ELC24" s="414"/>
      <c r="ELD24" s="414"/>
      <c r="ELE24" s="414"/>
      <c r="ELF24" s="414"/>
      <c r="ELG24" s="414"/>
      <c r="ELH24" s="414"/>
      <c r="ELI24" s="414"/>
      <c r="ELJ24" s="414"/>
      <c r="ELK24" s="414"/>
      <c r="ELL24" s="414"/>
      <c r="ELM24" s="414"/>
      <c r="ELN24" s="414"/>
      <c r="ELO24" s="414"/>
      <c r="ELP24" s="414"/>
      <c r="ELQ24" s="414"/>
      <c r="ELR24" s="414"/>
      <c r="ELS24" s="414"/>
      <c r="ELT24" s="414"/>
      <c r="ELU24" s="414"/>
      <c r="ELV24" s="414"/>
      <c r="ELW24" s="414"/>
      <c r="ELX24" s="414"/>
      <c r="ELY24" s="414"/>
      <c r="ELZ24" s="414"/>
      <c r="EMA24" s="414"/>
      <c r="EMB24" s="414"/>
      <c r="EMC24" s="414"/>
      <c r="EMD24" s="414"/>
      <c r="EME24" s="414"/>
      <c r="EMF24" s="414"/>
      <c r="EMG24" s="414"/>
      <c r="EMH24" s="414"/>
      <c r="EMI24" s="414"/>
      <c r="EMJ24" s="414"/>
      <c r="EMK24" s="414"/>
      <c r="EML24" s="414"/>
      <c r="EMM24" s="414"/>
      <c r="EMN24" s="414"/>
      <c r="EMO24" s="414"/>
      <c r="EMP24" s="414"/>
      <c r="EMQ24" s="414"/>
      <c r="EMR24" s="414"/>
      <c r="EMS24" s="414"/>
      <c r="EMT24" s="414"/>
      <c r="EMU24" s="414"/>
      <c r="EMV24" s="414"/>
      <c r="EMW24" s="414"/>
      <c r="EMX24" s="414"/>
      <c r="EMY24" s="414"/>
      <c r="EMZ24" s="414"/>
      <c r="ENA24" s="414"/>
      <c r="ENB24" s="414"/>
      <c r="ENC24" s="414"/>
      <c r="END24" s="414"/>
      <c r="ENE24" s="414"/>
      <c r="ENF24" s="414"/>
      <c r="ENG24" s="414"/>
      <c r="ENH24" s="414"/>
      <c r="ENI24" s="414"/>
      <c r="ENJ24" s="414"/>
      <c r="ENK24" s="414"/>
      <c r="ENL24" s="414"/>
      <c r="ENM24" s="414"/>
      <c r="ENN24" s="414"/>
      <c r="ENO24" s="414"/>
      <c r="ENP24" s="414"/>
      <c r="ENQ24" s="414"/>
      <c r="ENR24" s="414"/>
      <c r="ENS24" s="414"/>
      <c r="ENT24" s="414"/>
      <c r="ENU24" s="414"/>
      <c r="ENV24" s="414"/>
      <c r="ENW24" s="414"/>
      <c r="ENX24" s="414"/>
      <c r="ENY24" s="414"/>
      <c r="ENZ24" s="414"/>
      <c r="EOA24" s="414"/>
      <c r="EOB24" s="414"/>
      <c r="EOC24" s="414"/>
      <c r="EOD24" s="414"/>
      <c r="EOE24" s="414"/>
      <c r="EOF24" s="414"/>
      <c r="EOG24" s="414"/>
      <c r="EOH24" s="414"/>
      <c r="EOI24" s="414"/>
      <c r="EOJ24" s="414"/>
      <c r="EOK24" s="414"/>
      <c r="EOL24" s="414"/>
      <c r="EOM24" s="414"/>
      <c r="EON24" s="414"/>
      <c r="EOO24" s="414"/>
      <c r="EOP24" s="414"/>
      <c r="EOQ24" s="414"/>
      <c r="EOR24" s="414"/>
      <c r="EOS24" s="414"/>
      <c r="EOT24" s="414"/>
      <c r="EOU24" s="414"/>
      <c r="EOV24" s="414"/>
      <c r="EOW24" s="414"/>
      <c r="EOX24" s="414"/>
      <c r="EOY24" s="414"/>
      <c r="EOZ24" s="414"/>
      <c r="EPA24" s="414"/>
      <c r="EPB24" s="414"/>
      <c r="EPC24" s="414"/>
      <c r="EPD24" s="414"/>
      <c r="EPE24" s="414"/>
      <c r="EPF24" s="414"/>
      <c r="EPG24" s="414"/>
      <c r="EPH24" s="414"/>
      <c r="EPI24" s="414"/>
      <c r="EPJ24" s="414"/>
      <c r="EPK24" s="414"/>
      <c r="EPL24" s="414"/>
      <c r="EPM24" s="414"/>
      <c r="EPN24" s="414"/>
      <c r="EPO24" s="414"/>
      <c r="EPP24" s="414"/>
      <c r="EPQ24" s="414"/>
      <c r="EPR24" s="414"/>
      <c r="EPS24" s="414"/>
      <c r="EPT24" s="414"/>
      <c r="EPU24" s="414"/>
      <c r="EPV24" s="414"/>
      <c r="EPW24" s="414"/>
      <c r="EPX24" s="414"/>
      <c r="EPY24" s="414"/>
      <c r="EPZ24" s="414"/>
      <c r="EQA24" s="414"/>
      <c r="EQB24" s="414"/>
      <c r="EQC24" s="414"/>
      <c r="EQD24" s="414"/>
      <c r="EQE24" s="414"/>
      <c r="EQF24" s="414"/>
      <c r="EQG24" s="414"/>
      <c r="EQH24" s="414"/>
      <c r="EQI24" s="414"/>
      <c r="EQJ24" s="414"/>
      <c r="EQK24" s="414"/>
      <c r="EQL24" s="414"/>
      <c r="EQM24" s="414"/>
      <c r="EQN24" s="414"/>
      <c r="EQO24" s="414"/>
      <c r="EQP24" s="414"/>
      <c r="EQQ24" s="414"/>
      <c r="EQR24" s="414"/>
      <c r="EQS24" s="414"/>
      <c r="EQT24" s="414"/>
      <c r="EQU24" s="414"/>
      <c r="EQV24" s="414"/>
      <c r="EQW24" s="414"/>
      <c r="EQX24" s="414"/>
      <c r="EQY24" s="414"/>
      <c r="EQZ24" s="414"/>
      <c r="ERA24" s="414"/>
      <c r="ERB24" s="414"/>
      <c r="ERC24" s="414"/>
      <c r="ERD24" s="414"/>
      <c r="ERE24" s="414"/>
      <c r="ERF24" s="414"/>
      <c r="ERG24" s="414"/>
      <c r="ERH24" s="414"/>
      <c r="ERI24" s="414"/>
      <c r="ERJ24" s="414"/>
      <c r="ERK24" s="414"/>
      <c r="ERL24" s="414"/>
      <c r="ERM24" s="414"/>
      <c r="ERN24" s="414"/>
      <c r="ERO24" s="414"/>
      <c r="ERP24" s="414"/>
      <c r="ERQ24" s="414"/>
      <c r="ERR24" s="414"/>
      <c r="ERS24" s="414"/>
      <c r="ERT24" s="414"/>
      <c r="ERU24" s="414"/>
      <c r="ERV24" s="414"/>
      <c r="ERW24" s="414"/>
      <c r="ERX24" s="414"/>
      <c r="ERY24" s="414"/>
      <c r="ERZ24" s="414"/>
      <c r="ESA24" s="414"/>
      <c r="ESB24" s="414"/>
      <c r="ESC24" s="414"/>
      <c r="ESD24" s="414"/>
      <c r="ESE24" s="414"/>
      <c r="ESF24" s="414"/>
      <c r="ESG24" s="414"/>
      <c r="ESH24" s="414"/>
      <c r="ESI24" s="414"/>
      <c r="ESJ24" s="414"/>
      <c r="ESK24" s="414"/>
      <c r="ESL24" s="414"/>
      <c r="ESM24" s="414"/>
      <c r="ESN24" s="414"/>
      <c r="ESO24" s="414"/>
      <c r="ESP24" s="414"/>
      <c r="ESQ24" s="414"/>
      <c r="ESR24" s="414"/>
      <c r="ESS24" s="414"/>
      <c r="EST24" s="414"/>
      <c r="ESU24" s="414"/>
      <c r="ESV24" s="414"/>
      <c r="ESW24" s="414"/>
      <c r="ESX24" s="414"/>
      <c r="ESY24" s="414"/>
      <c r="ESZ24" s="414"/>
      <c r="ETA24" s="414"/>
      <c r="ETB24" s="414"/>
      <c r="ETC24" s="414"/>
      <c r="ETD24" s="414"/>
      <c r="ETE24" s="414"/>
      <c r="ETF24" s="414"/>
      <c r="ETG24" s="414"/>
      <c r="ETH24" s="414"/>
      <c r="ETI24" s="414"/>
      <c r="ETJ24" s="414"/>
      <c r="ETK24" s="414"/>
      <c r="ETL24" s="414"/>
      <c r="ETM24" s="414"/>
      <c r="ETN24" s="414"/>
      <c r="ETO24" s="414"/>
      <c r="ETP24" s="414"/>
      <c r="ETQ24" s="414"/>
      <c r="ETR24" s="414"/>
      <c r="ETS24" s="414"/>
      <c r="ETT24" s="414"/>
      <c r="ETU24" s="414"/>
      <c r="ETV24" s="414"/>
      <c r="ETW24" s="414"/>
      <c r="ETX24" s="414"/>
      <c r="ETY24" s="414"/>
      <c r="ETZ24" s="414"/>
      <c r="EUA24" s="414"/>
      <c r="EUB24" s="414"/>
      <c r="EUC24" s="414"/>
      <c r="EUD24" s="414"/>
      <c r="EUE24" s="414"/>
      <c r="EUF24" s="414"/>
      <c r="EUG24" s="414"/>
      <c r="EUH24" s="414"/>
      <c r="EUI24" s="414"/>
      <c r="EUJ24" s="414"/>
      <c r="EUK24" s="414"/>
      <c r="EUL24" s="414"/>
      <c r="EUM24" s="414"/>
      <c r="EUN24" s="414"/>
      <c r="EUO24" s="414"/>
      <c r="EUP24" s="414"/>
      <c r="EUQ24" s="414"/>
      <c r="EUR24" s="414"/>
      <c r="EUS24" s="414"/>
      <c r="EUT24" s="414"/>
      <c r="EUU24" s="414"/>
      <c r="EUV24" s="414"/>
      <c r="EUW24" s="414"/>
      <c r="EUX24" s="414"/>
      <c r="EUY24" s="414"/>
      <c r="EUZ24" s="414"/>
      <c r="EVA24" s="414"/>
      <c r="EVB24" s="414"/>
      <c r="EVC24" s="414"/>
      <c r="EVD24" s="414"/>
      <c r="EVE24" s="414"/>
      <c r="EVF24" s="414"/>
      <c r="EVG24" s="414"/>
      <c r="EVH24" s="414"/>
      <c r="EVI24" s="414"/>
      <c r="EVJ24" s="414"/>
      <c r="EVK24" s="414"/>
      <c r="EVL24" s="414"/>
      <c r="EVM24" s="414"/>
      <c r="EVN24" s="414"/>
      <c r="EVO24" s="414"/>
      <c r="EVP24" s="414"/>
      <c r="EVQ24" s="414"/>
      <c r="EVR24" s="414"/>
      <c r="EVS24" s="414"/>
      <c r="EVT24" s="414"/>
      <c r="EVU24" s="414"/>
      <c r="EVV24" s="414"/>
      <c r="EVW24" s="414"/>
      <c r="EVX24" s="414"/>
      <c r="EVY24" s="414"/>
      <c r="EVZ24" s="414"/>
      <c r="EWA24" s="414"/>
      <c r="EWB24" s="414"/>
      <c r="EWC24" s="414"/>
      <c r="EWD24" s="414"/>
      <c r="EWE24" s="414"/>
      <c r="EWF24" s="414"/>
      <c r="EWG24" s="414"/>
      <c r="EWH24" s="414"/>
      <c r="EWI24" s="414"/>
      <c r="EWJ24" s="414"/>
      <c r="EWK24" s="414"/>
      <c r="EWL24" s="414"/>
      <c r="EWM24" s="414"/>
      <c r="EWN24" s="414"/>
      <c r="EWO24" s="414"/>
      <c r="EWP24" s="414"/>
      <c r="EWQ24" s="414"/>
      <c r="EWR24" s="414"/>
      <c r="EWS24" s="414"/>
      <c r="EWT24" s="414"/>
      <c r="EWU24" s="414"/>
      <c r="EWV24" s="414"/>
      <c r="EWW24" s="414"/>
      <c r="EWX24" s="414"/>
      <c r="EWY24" s="414"/>
      <c r="EWZ24" s="414"/>
      <c r="EXA24" s="414"/>
      <c r="EXB24" s="414"/>
      <c r="EXC24" s="414"/>
      <c r="EXD24" s="414"/>
      <c r="EXE24" s="414"/>
      <c r="EXF24" s="414"/>
      <c r="EXG24" s="414"/>
      <c r="EXH24" s="414"/>
      <c r="EXI24" s="414"/>
      <c r="EXJ24" s="414"/>
      <c r="EXK24" s="414"/>
      <c r="EXL24" s="414"/>
      <c r="EXM24" s="414"/>
      <c r="EXN24" s="414"/>
      <c r="EXO24" s="414"/>
      <c r="EXP24" s="414"/>
      <c r="EXQ24" s="414"/>
      <c r="EXR24" s="414"/>
      <c r="EXS24" s="414"/>
      <c r="EXT24" s="414"/>
      <c r="EXU24" s="414"/>
      <c r="EXV24" s="414"/>
      <c r="EXW24" s="414"/>
      <c r="EXX24" s="414"/>
      <c r="EXY24" s="414"/>
      <c r="EXZ24" s="414"/>
      <c r="EYA24" s="414"/>
      <c r="EYB24" s="414"/>
      <c r="EYC24" s="414"/>
      <c r="EYD24" s="414"/>
      <c r="EYE24" s="414"/>
      <c r="EYF24" s="414"/>
      <c r="EYG24" s="414"/>
      <c r="EYH24" s="414"/>
      <c r="EYI24" s="414"/>
      <c r="EYJ24" s="414"/>
      <c r="EYK24" s="414"/>
      <c r="EYL24" s="414"/>
      <c r="EYM24" s="414"/>
      <c r="EYN24" s="414"/>
      <c r="EYO24" s="414"/>
      <c r="EYP24" s="414"/>
      <c r="EYQ24" s="414"/>
      <c r="EYR24" s="414"/>
      <c r="EYS24" s="414"/>
      <c r="EYT24" s="414"/>
      <c r="EYU24" s="414"/>
      <c r="EYV24" s="414"/>
      <c r="EYW24" s="414"/>
      <c r="EYX24" s="414"/>
      <c r="EYY24" s="414"/>
      <c r="EYZ24" s="414"/>
      <c r="EZA24" s="414"/>
      <c r="EZB24" s="414"/>
      <c r="EZC24" s="414"/>
      <c r="EZD24" s="414"/>
      <c r="EZE24" s="414"/>
      <c r="EZF24" s="414"/>
      <c r="EZG24" s="414"/>
      <c r="EZH24" s="414"/>
      <c r="EZI24" s="414"/>
      <c r="EZJ24" s="414"/>
      <c r="EZK24" s="414"/>
      <c r="EZL24" s="414"/>
      <c r="EZM24" s="414"/>
      <c r="EZN24" s="414"/>
      <c r="EZO24" s="414"/>
      <c r="EZP24" s="414"/>
      <c r="EZQ24" s="414"/>
      <c r="EZR24" s="414"/>
      <c r="EZS24" s="414"/>
      <c r="EZT24" s="414"/>
      <c r="EZU24" s="414"/>
      <c r="EZV24" s="414"/>
      <c r="EZW24" s="414"/>
      <c r="EZX24" s="414"/>
      <c r="EZY24" s="414"/>
      <c r="EZZ24" s="414"/>
      <c r="FAA24" s="414"/>
      <c r="FAB24" s="414"/>
      <c r="FAC24" s="414"/>
      <c r="FAD24" s="414"/>
      <c r="FAE24" s="414"/>
      <c r="FAF24" s="414"/>
      <c r="FAG24" s="414"/>
      <c r="FAH24" s="414"/>
      <c r="FAI24" s="414"/>
      <c r="FAJ24" s="414"/>
      <c r="FAK24" s="414"/>
      <c r="FAL24" s="414"/>
      <c r="FAM24" s="414"/>
      <c r="FAN24" s="414"/>
      <c r="FAO24" s="414"/>
      <c r="FAP24" s="414"/>
      <c r="FAQ24" s="414"/>
      <c r="FAR24" s="414"/>
      <c r="FAS24" s="414"/>
      <c r="FAT24" s="414"/>
      <c r="FAU24" s="414"/>
      <c r="FAV24" s="414"/>
      <c r="FAW24" s="414"/>
      <c r="FAX24" s="414"/>
      <c r="FAY24" s="414"/>
      <c r="FAZ24" s="414"/>
      <c r="FBA24" s="414"/>
      <c r="FBB24" s="414"/>
      <c r="FBC24" s="414"/>
      <c r="FBD24" s="414"/>
      <c r="FBE24" s="414"/>
      <c r="FBF24" s="414"/>
      <c r="FBG24" s="414"/>
      <c r="FBH24" s="414"/>
      <c r="FBI24" s="414"/>
      <c r="FBJ24" s="414"/>
      <c r="FBK24" s="414"/>
      <c r="FBL24" s="414"/>
      <c r="FBM24" s="414"/>
      <c r="FBN24" s="414"/>
      <c r="FBO24" s="414"/>
      <c r="FBP24" s="414"/>
      <c r="FBQ24" s="414"/>
      <c r="FBR24" s="414"/>
      <c r="FBS24" s="414"/>
      <c r="FBT24" s="414"/>
      <c r="FBU24" s="414"/>
      <c r="FBV24" s="414"/>
      <c r="FBW24" s="414"/>
      <c r="FBX24" s="414"/>
      <c r="FBY24" s="414"/>
      <c r="FBZ24" s="414"/>
      <c r="FCA24" s="414"/>
      <c r="FCB24" s="414"/>
      <c r="FCC24" s="414"/>
      <c r="FCD24" s="414"/>
      <c r="FCE24" s="414"/>
      <c r="FCF24" s="414"/>
      <c r="FCG24" s="414"/>
      <c r="FCH24" s="414"/>
      <c r="FCI24" s="414"/>
      <c r="FCJ24" s="414"/>
      <c r="FCK24" s="414"/>
      <c r="FCL24" s="414"/>
      <c r="FCM24" s="414"/>
      <c r="FCN24" s="414"/>
      <c r="FCO24" s="414"/>
      <c r="FCP24" s="414"/>
      <c r="FCQ24" s="414"/>
      <c r="FCR24" s="414"/>
      <c r="FCS24" s="414"/>
      <c r="FCT24" s="414"/>
      <c r="FCU24" s="414"/>
      <c r="FCV24" s="414"/>
      <c r="FCW24" s="414"/>
      <c r="FCX24" s="414"/>
      <c r="FCY24" s="414"/>
      <c r="FCZ24" s="414"/>
      <c r="FDA24" s="414"/>
      <c r="FDB24" s="414"/>
      <c r="FDC24" s="414"/>
      <c r="FDD24" s="414"/>
      <c r="FDE24" s="414"/>
      <c r="FDF24" s="414"/>
      <c r="FDG24" s="414"/>
      <c r="FDH24" s="414"/>
      <c r="FDI24" s="414"/>
      <c r="FDJ24" s="414"/>
      <c r="FDK24" s="414"/>
      <c r="FDL24" s="414"/>
      <c r="FDM24" s="414"/>
      <c r="FDN24" s="414"/>
      <c r="FDO24" s="414"/>
      <c r="FDP24" s="414"/>
      <c r="FDQ24" s="414"/>
      <c r="FDR24" s="414"/>
      <c r="FDS24" s="414"/>
      <c r="FDT24" s="414"/>
      <c r="FDU24" s="414"/>
      <c r="FDV24" s="414"/>
      <c r="FDW24" s="414"/>
      <c r="FDX24" s="414"/>
      <c r="FDY24" s="414"/>
      <c r="FDZ24" s="414"/>
      <c r="FEA24" s="414"/>
      <c r="FEB24" s="414"/>
      <c r="FEC24" s="414"/>
      <c r="FED24" s="414"/>
      <c r="FEE24" s="414"/>
      <c r="FEF24" s="414"/>
      <c r="FEG24" s="414"/>
      <c r="FEH24" s="414"/>
      <c r="FEI24" s="414"/>
      <c r="FEJ24" s="414"/>
      <c r="FEK24" s="414"/>
      <c r="FEL24" s="414"/>
      <c r="FEM24" s="414"/>
      <c r="FEN24" s="414"/>
      <c r="FEO24" s="414"/>
      <c r="FEP24" s="414"/>
      <c r="FEQ24" s="414"/>
      <c r="FER24" s="414"/>
      <c r="FES24" s="414"/>
      <c r="FET24" s="414"/>
      <c r="FEU24" s="414"/>
      <c r="FEV24" s="414"/>
      <c r="FEW24" s="414"/>
      <c r="FEX24" s="414"/>
      <c r="FEY24" s="414"/>
      <c r="FEZ24" s="414"/>
      <c r="FFA24" s="414"/>
      <c r="FFB24" s="414"/>
      <c r="FFC24" s="414"/>
      <c r="FFD24" s="414"/>
      <c r="FFE24" s="414"/>
      <c r="FFF24" s="414"/>
      <c r="FFG24" s="414"/>
      <c r="FFH24" s="414"/>
      <c r="FFI24" s="414"/>
      <c r="FFJ24" s="414"/>
      <c r="FFK24" s="414"/>
      <c r="FFL24" s="414"/>
      <c r="FFM24" s="414"/>
      <c r="FFN24" s="414"/>
      <c r="FFO24" s="414"/>
      <c r="FFP24" s="414"/>
      <c r="FFQ24" s="414"/>
      <c r="FFR24" s="414"/>
      <c r="FFS24" s="414"/>
      <c r="FFT24" s="414"/>
      <c r="FFU24" s="414"/>
      <c r="FFV24" s="414"/>
      <c r="FFW24" s="414"/>
      <c r="FFX24" s="414"/>
      <c r="FFY24" s="414"/>
      <c r="FFZ24" s="414"/>
      <c r="FGA24" s="414"/>
      <c r="FGB24" s="414"/>
      <c r="FGC24" s="414"/>
      <c r="FGD24" s="414"/>
      <c r="FGE24" s="414"/>
      <c r="FGF24" s="414"/>
      <c r="FGG24" s="414"/>
      <c r="FGH24" s="414"/>
      <c r="FGI24" s="414"/>
      <c r="FGJ24" s="414"/>
      <c r="FGK24" s="414"/>
      <c r="FGL24" s="414"/>
      <c r="FGM24" s="414"/>
      <c r="FGN24" s="414"/>
      <c r="FGO24" s="414"/>
      <c r="FGP24" s="414"/>
      <c r="FGQ24" s="414"/>
      <c r="FGR24" s="414"/>
      <c r="FGS24" s="414"/>
      <c r="FGT24" s="414"/>
      <c r="FGU24" s="414"/>
      <c r="FGV24" s="414"/>
      <c r="FGW24" s="414"/>
      <c r="FGX24" s="414"/>
      <c r="FGY24" s="414"/>
      <c r="FGZ24" s="414"/>
      <c r="FHA24" s="414"/>
      <c r="FHB24" s="414"/>
      <c r="FHC24" s="414"/>
      <c r="FHD24" s="414"/>
      <c r="FHE24" s="414"/>
      <c r="FHF24" s="414"/>
      <c r="FHG24" s="414"/>
      <c r="FHH24" s="414"/>
      <c r="FHI24" s="414"/>
      <c r="FHJ24" s="414"/>
      <c r="FHK24" s="414"/>
      <c r="FHL24" s="414"/>
      <c r="FHM24" s="414"/>
      <c r="FHN24" s="414"/>
      <c r="FHO24" s="414"/>
      <c r="FHP24" s="414"/>
      <c r="FHQ24" s="414"/>
      <c r="FHR24" s="414"/>
      <c r="FHS24" s="414"/>
      <c r="FHT24" s="414"/>
      <c r="FHU24" s="414"/>
      <c r="FHV24" s="414"/>
      <c r="FHW24" s="414"/>
      <c r="FHX24" s="414"/>
      <c r="FHY24" s="414"/>
      <c r="FHZ24" s="414"/>
      <c r="FIA24" s="414"/>
      <c r="FIB24" s="414"/>
      <c r="FIC24" s="414"/>
      <c r="FID24" s="414"/>
      <c r="FIE24" s="414"/>
      <c r="FIF24" s="414"/>
      <c r="FIG24" s="414"/>
      <c r="FIH24" s="414"/>
      <c r="FII24" s="414"/>
      <c r="FIJ24" s="414"/>
      <c r="FIK24" s="414"/>
      <c r="FIL24" s="414"/>
      <c r="FIM24" s="414"/>
      <c r="FIN24" s="414"/>
      <c r="FIO24" s="414"/>
      <c r="FIP24" s="414"/>
      <c r="FIQ24" s="414"/>
      <c r="FIR24" s="414"/>
      <c r="FIS24" s="414"/>
      <c r="FIT24" s="414"/>
      <c r="FIU24" s="414"/>
      <c r="FIV24" s="414"/>
      <c r="FIW24" s="414"/>
      <c r="FIX24" s="414"/>
      <c r="FIY24" s="414"/>
      <c r="FIZ24" s="414"/>
      <c r="FJA24" s="414"/>
      <c r="FJB24" s="414"/>
      <c r="FJC24" s="414"/>
      <c r="FJD24" s="414"/>
      <c r="FJE24" s="414"/>
      <c r="FJF24" s="414"/>
      <c r="FJG24" s="414"/>
      <c r="FJH24" s="414"/>
      <c r="FJI24" s="414"/>
      <c r="FJJ24" s="414"/>
      <c r="FJK24" s="414"/>
      <c r="FJL24" s="414"/>
      <c r="FJM24" s="414"/>
      <c r="FJN24" s="414"/>
      <c r="FJO24" s="414"/>
      <c r="FJP24" s="414"/>
      <c r="FJQ24" s="414"/>
      <c r="FJR24" s="414"/>
      <c r="FJS24" s="414"/>
      <c r="FJT24" s="414"/>
      <c r="FJU24" s="414"/>
      <c r="FJV24" s="414"/>
      <c r="FJW24" s="414"/>
      <c r="FJX24" s="414"/>
      <c r="FJY24" s="414"/>
      <c r="FJZ24" s="414"/>
      <c r="FKA24" s="414"/>
      <c r="FKB24" s="414"/>
      <c r="FKC24" s="414"/>
      <c r="FKD24" s="414"/>
      <c r="FKE24" s="414"/>
      <c r="FKF24" s="414"/>
      <c r="FKG24" s="414"/>
      <c r="FKH24" s="414"/>
      <c r="FKI24" s="414"/>
      <c r="FKJ24" s="414"/>
      <c r="FKK24" s="414"/>
      <c r="FKL24" s="414"/>
      <c r="FKM24" s="414"/>
      <c r="FKN24" s="414"/>
      <c r="FKO24" s="414"/>
      <c r="FKP24" s="414"/>
      <c r="FKQ24" s="414"/>
      <c r="FKR24" s="414"/>
      <c r="FKS24" s="414"/>
      <c r="FKT24" s="414"/>
      <c r="FKU24" s="414"/>
      <c r="FKV24" s="414"/>
      <c r="FKW24" s="414"/>
      <c r="FKX24" s="414"/>
      <c r="FKY24" s="414"/>
      <c r="FKZ24" s="414"/>
      <c r="FLA24" s="414"/>
      <c r="FLB24" s="414"/>
      <c r="FLC24" s="414"/>
      <c r="FLD24" s="414"/>
      <c r="FLE24" s="414"/>
      <c r="FLF24" s="414"/>
      <c r="FLG24" s="414"/>
      <c r="FLH24" s="414"/>
      <c r="FLI24" s="414"/>
      <c r="FLJ24" s="414"/>
      <c r="FLK24" s="414"/>
      <c r="FLL24" s="414"/>
      <c r="FLM24" s="414"/>
      <c r="FLN24" s="414"/>
      <c r="FLO24" s="414"/>
      <c r="FLP24" s="414"/>
      <c r="FLQ24" s="414"/>
      <c r="FLR24" s="414"/>
      <c r="FLS24" s="414"/>
      <c r="FLT24" s="414"/>
      <c r="FLU24" s="414"/>
      <c r="FLV24" s="414"/>
      <c r="FLW24" s="414"/>
      <c r="FLX24" s="414"/>
      <c r="FLY24" s="414"/>
      <c r="FLZ24" s="414"/>
      <c r="FMA24" s="414"/>
      <c r="FMB24" s="414"/>
      <c r="FMC24" s="414"/>
      <c r="FMD24" s="414"/>
      <c r="FME24" s="414"/>
      <c r="FMF24" s="414"/>
      <c r="FMG24" s="414"/>
      <c r="FMH24" s="414"/>
      <c r="FMI24" s="414"/>
      <c r="FMJ24" s="414"/>
      <c r="FMK24" s="414"/>
      <c r="FML24" s="414"/>
      <c r="FMM24" s="414"/>
      <c r="FMN24" s="414"/>
      <c r="FMO24" s="414"/>
      <c r="FMP24" s="414"/>
      <c r="FMQ24" s="414"/>
      <c r="FMR24" s="414"/>
      <c r="FMS24" s="414"/>
      <c r="FMT24" s="414"/>
      <c r="FMU24" s="414"/>
      <c r="FMV24" s="414"/>
      <c r="FMW24" s="414"/>
      <c r="FMX24" s="414"/>
      <c r="FMY24" s="414"/>
      <c r="FMZ24" s="414"/>
      <c r="FNA24" s="414"/>
      <c r="FNB24" s="414"/>
      <c r="FNC24" s="414"/>
      <c r="FND24" s="414"/>
      <c r="FNE24" s="414"/>
      <c r="FNF24" s="414"/>
      <c r="FNG24" s="414"/>
      <c r="FNH24" s="414"/>
      <c r="FNI24" s="414"/>
      <c r="FNJ24" s="414"/>
      <c r="FNK24" s="414"/>
      <c r="FNL24" s="414"/>
      <c r="FNM24" s="414"/>
      <c r="FNN24" s="414"/>
      <c r="FNO24" s="414"/>
      <c r="FNP24" s="414"/>
      <c r="FNQ24" s="414"/>
      <c r="FNR24" s="414"/>
      <c r="FNS24" s="414"/>
      <c r="FNT24" s="414"/>
      <c r="FNU24" s="414"/>
      <c r="FNV24" s="414"/>
      <c r="FNW24" s="414"/>
      <c r="FNX24" s="414"/>
      <c r="FNY24" s="414"/>
      <c r="FNZ24" s="414"/>
      <c r="FOA24" s="414"/>
      <c r="FOB24" s="414"/>
      <c r="FOC24" s="414"/>
      <c r="FOD24" s="414"/>
      <c r="FOE24" s="414"/>
      <c r="FOF24" s="414"/>
      <c r="FOG24" s="414"/>
      <c r="FOH24" s="414"/>
      <c r="FOI24" s="414"/>
      <c r="FOJ24" s="414"/>
      <c r="FOK24" s="414"/>
      <c r="FOL24" s="414"/>
      <c r="FOM24" s="414"/>
      <c r="FON24" s="414"/>
      <c r="FOO24" s="414"/>
      <c r="FOP24" s="414"/>
      <c r="FOQ24" s="414"/>
      <c r="FOR24" s="414"/>
      <c r="FOS24" s="414"/>
      <c r="FOT24" s="414"/>
      <c r="FOU24" s="414"/>
      <c r="FOV24" s="414"/>
      <c r="FOW24" s="414"/>
      <c r="FOX24" s="414"/>
      <c r="FOY24" s="414"/>
      <c r="FOZ24" s="414"/>
      <c r="FPA24" s="414"/>
      <c r="FPB24" s="414"/>
      <c r="FPC24" s="414"/>
      <c r="FPD24" s="414"/>
      <c r="FPE24" s="414"/>
      <c r="FPF24" s="414"/>
      <c r="FPG24" s="414"/>
      <c r="FPH24" s="414"/>
      <c r="FPI24" s="414"/>
      <c r="FPJ24" s="414"/>
      <c r="FPK24" s="414"/>
      <c r="FPL24" s="414"/>
      <c r="FPM24" s="414"/>
      <c r="FPN24" s="414"/>
      <c r="FPO24" s="414"/>
      <c r="FPP24" s="414"/>
      <c r="FPQ24" s="414"/>
      <c r="FPR24" s="414"/>
      <c r="FPS24" s="414"/>
      <c r="FPT24" s="414"/>
      <c r="FPU24" s="414"/>
      <c r="FPV24" s="414"/>
      <c r="FPW24" s="414"/>
      <c r="FPX24" s="414"/>
      <c r="FPY24" s="414"/>
      <c r="FPZ24" s="414"/>
      <c r="FQA24" s="414"/>
      <c r="FQB24" s="414"/>
      <c r="FQC24" s="414"/>
      <c r="FQD24" s="414"/>
      <c r="FQE24" s="414"/>
      <c r="FQF24" s="414"/>
      <c r="FQG24" s="414"/>
      <c r="FQH24" s="414"/>
      <c r="FQI24" s="414"/>
      <c r="FQJ24" s="414"/>
      <c r="FQK24" s="414"/>
      <c r="FQL24" s="414"/>
      <c r="FQM24" s="414"/>
      <c r="FQN24" s="414"/>
      <c r="FQO24" s="414"/>
      <c r="FQP24" s="414"/>
      <c r="FQQ24" s="414"/>
      <c r="FQR24" s="414"/>
      <c r="FQS24" s="414"/>
      <c r="FQT24" s="414"/>
      <c r="FQU24" s="414"/>
      <c r="FQV24" s="414"/>
      <c r="FQW24" s="414"/>
      <c r="FQX24" s="414"/>
      <c r="FQY24" s="414"/>
      <c r="FQZ24" s="414"/>
      <c r="FRA24" s="414"/>
      <c r="FRB24" s="414"/>
      <c r="FRC24" s="414"/>
      <c r="FRD24" s="414"/>
      <c r="FRE24" s="414"/>
      <c r="FRF24" s="414"/>
      <c r="FRG24" s="414"/>
      <c r="FRH24" s="414"/>
      <c r="FRI24" s="414"/>
      <c r="FRJ24" s="414"/>
      <c r="FRK24" s="414"/>
      <c r="FRL24" s="414"/>
      <c r="FRM24" s="414"/>
      <c r="FRN24" s="414"/>
      <c r="FRO24" s="414"/>
      <c r="FRP24" s="414"/>
      <c r="FRQ24" s="414"/>
      <c r="FRR24" s="414"/>
      <c r="FRS24" s="414"/>
      <c r="FRT24" s="414"/>
      <c r="FRU24" s="414"/>
      <c r="FRV24" s="414"/>
      <c r="FRW24" s="414"/>
      <c r="FRX24" s="414"/>
      <c r="FRY24" s="414"/>
      <c r="FRZ24" s="414"/>
      <c r="FSA24" s="414"/>
      <c r="FSB24" s="414"/>
      <c r="FSC24" s="414"/>
      <c r="FSD24" s="414"/>
      <c r="FSE24" s="414"/>
      <c r="FSF24" s="414"/>
      <c r="FSG24" s="414"/>
      <c r="FSH24" s="414"/>
      <c r="FSI24" s="414"/>
      <c r="FSJ24" s="414"/>
      <c r="FSK24" s="414"/>
      <c r="FSL24" s="414"/>
      <c r="FSM24" s="414"/>
      <c r="FSN24" s="414"/>
      <c r="FSO24" s="414"/>
      <c r="FSP24" s="414"/>
      <c r="FSQ24" s="414"/>
      <c r="FSR24" s="414"/>
      <c r="FSS24" s="414"/>
      <c r="FST24" s="414"/>
      <c r="FSU24" s="414"/>
      <c r="FSV24" s="414"/>
      <c r="FSW24" s="414"/>
      <c r="FSX24" s="414"/>
      <c r="FSY24" s="414"/>
      <c r="FSZ24" s="414"/>
      <c r="FTA24" s="414"/>
      <c r="FTB24" s="414"/>
      <c r="FTC24" s="414"/>
      <c r="FTD24" s="414"/>
      <c r="FTE24" s="414"/>
      <c r="FTF24" s="414"/>
      <c r="FTG24" s="414"/>
      <c r="FTH24" s="414"/>
      <c r="FTI24" s="414"/>
      <c r="FTJ24" s="414"/>
      <c r="FTK24" s="414"/>
      <c r="FTL24" s="414"/>
      <c r="FTM24" s="414"/>
      <c r="FTN24" s="414"/>
      <c r="FTO24" s="414"/>
      <c r="FTP24" s="414"/>
      <c r="FTQ24" s="414"/>
      <c r="FTR24" s="414"/>
      <c r="FTS24" s="414"/>
      <c r="FTT24" s="414"/>
      <c r="FTU24" s="414"/>
      <c r="FTV24" s="414"/>
      <c r="FTW24" s="414"/>
      <c r="FTX24" s="414"/>
      <c r="FTY24" s="414"/>
      <c r="FTZ24" s="414"/>
      <c r="FUA24" s="414"/>
      <c r="FUB24" s="414"/>
      <c r="FUC24" s="414"/>
      <c r="FUD24" s="414"/>
      <c r="FUE24" s="414"/>
      <c r="FUF24" s="414"/>
      <c r="FUG24" s="414"/>
      <c r="FUH24" s="414"/>
      <c r="FUI24" s="414"/>
      <c r="FUJ24" s="414"/>
      <c r="FUK24" s="414"/>
      <c r="FUL24" s="414"/>
      <c r="FUM24" s="414"/>
      <c r="FUN24" s="414"/>
      <c r="FUO24" s="414"/>
      <c r="FUP24" s="414"/>
      <c r="FUQ24" s="414"/>
      <c r="FUR24" s="414"/>
      <c r="FUS24" s="414"/>
      <c r="FUT24" s="414"/>
      <c r="FUU24" s="414"/>
      <c r="FUV24" s="414"/>
      <c r="FUW24" s="414"/>
      <c r="FUX24" s="414"/>
      <c r="FUY24" s="414"/>
      <c r="FUZ24" s="414"/>
      <c r="FVA24" s="414"/>
      <c r="FVB24" s="414"/>
      <c r="FVC24" s="414"/>
      <c r="FVD24" s="414"/>
      <c r="FVE24" s="414"/>
      <c r="FVF24" s="414"/>
      <c r="FVG24" s="414"/>
      <c r="FVH24" s="414"/>
      <c r="FVI24" s="414"/>
      <c r="FVJ24" s="414"/>
      <c r="FVK24" s="414"/>
      <c r="FVL24" s="414"/>
      <c r="FVM24" s="414"/>
      <c r="FVN24" s="414"/>
      <c r="FVO24" s="414"/>
      <c r="FVP24" s="414"/>
      <c r="FVQ24" s="414"/>
      <c r="FVR24" s="414"/>
      <c r="FVS24" s="414"/>
      <c r="FVT24" s="414"/>
      <c r="FVU24" s="414"/>
      <c r="FVV24" s="414"/>
      <c r="FVW24" s="414"/>
      <c r="FVX24" s="414"/>
      <c r="FVY24" s="414"/>
      <c r="FVZ24" s="414"/>
      <c r="FWA24" s="414"/>
      <c r="FWB24" s="414"/>
      <c r="FWC24" s="414"/>
      <c r="FWD24" s="414"/>
      <c r="FWE24" s="414"/>
      <c r="FWF24" s="414"/>
      <c r="FWG24" s="414"/>
      <c r="FWH24" s="414"/>
      <c r="FWI24" s="414"/>
      <c r="FWJ24" s="414"/>
      <c r="FWK24" s="414"/>
      <c r="FWL24" s="414"/>
      <c r="FWM24" s="414"/>
      <c r="FWN24" s="414"/>
      <c r="FWO24" s="414"/>
      <c r="FWP24" s="414"/>
      <c r="FWQ24" s="414"/>
      <c r="FWR24" s="414"/>
      <c r="FWS24" s="414"/>
      <c r="FWT24" s="414"/>
      <c r="FWU24" s="414"/>
      <c r="FWV24" s="414"/>
      <c r="FWW24" s="414"/>
      <c r="FWX24" s="414"/>
      <c r="FWY24" s="414"/>
      <c r="FWZ24" s="414"/>
      <c r="FXA24" s="414"/>
      <c r="FXB24" s="414"/>
      <c r="FXC24" s="414"/>
      <c r="FXD24" s="414"/>
      <c r="FXE24" s="414"/>
      <c r="FXF24" s="414"/>
      <c r="FXG24" s="414"/>
      <c r="FXH24" s="414"/>
      <c r="FXI24" s="414"/>
      <c r="FXJ24" s="414"/>
      <c r="FXK24" s="414"/>
      <c r="FXL24" s="414"/>
      <c r="FXM24" s="414"/>
      <c r="FXN24" s="414"/>
      <c r="FXO24" s="414"/>
      <c r="FXP24" s="414"/>
      <c r="FXQ24" s="414"/>
      <c r="FXR24" s="414"/>
      <c r="FXS24" s="414"/>
      <c r="FXT24" s="414"/>
      <c r="FXU24" s="414"/>
      <c r="FXV24" s="414"/>
      <c r="FXW24" s="414"/>
      <c r="FXX24" s="414"/>
      <c r="FXY24" s="414"/>
      <c r="FXZ24" s="414"/>
      <c r="FYA24" s="414"/>
      <c r="FYB24" s="414"/>
      <c r="FYC24" s="414"/>
      <c r="FYD24" s="414"/>
      <c r="FYE24" s="414"/>
      <c r="FYF24" s="414"/>
      <c r="FYG24" s="414"/>
      <c r="FYH24" s="414"/>
      <c r="FYI24" s="414"/>
      <c r="FYJ24" s="414"/>
      <c r="FYK24" s="414"/>
      <c r="FYL24" s="414"/>
      <c r="FYM24" s="414"/>
      <c r="FYN24" s="414"/>
      <c r="FYO24" s="414"/>
      <c r="FYP24" s="414"/>
      <c r="FYQ24" s="414"/>
      <c r="FYR24" s="414"/>
      <c r="FYS24" s="414"/>
      <c r="FYT24" s="414"/>
      <c r="FYU24" s="414"/>
      <c r="FYV24" s="414"/>
      <c r="FYW24" s="414"/>
      <c r="FYX24" s="414"/>
      <c r="FYY24" s="414"/>
      <c r="FYZ24" s="414"/>
      <c r="FZA24" s="414"/>
      <c r="FZB24" s="414"/>
      <c r="FZC24" s="414"/>
      <c r="FZD24" s="414"/>
      <c r="FZE24" s="414"/>
      <c r="FZF24" s="414"/>
      <c r="FZG24" s="414"/>
      <c r="FZH24" s="414"/>
      <c r="FZI24" s="414"/>
      <c r="FZJ24" s="414"/>
      <c r="FZK24" s="414"/>
      <c r="FZL24" s="414"/>
      <c r="FZM24" s="414"/>
      <c r="FZN24" s="414"/>
      <c r="FZO24" s="414"/>
      <c r="FZP24" s="414"/>
      <c r="FZQ24" s="414"/>
      <c r="FZR24" s="414"/>
      <c r="FZS24" s="414"/>
      <c r="FZT24" s="414"/>
      <c r="FZU24" s="414"/>
      <c r="FZV24" s="414"/>
      <c r="FZW24" s="414"/>
      <c r="FZX24" s="414"/>
      <c r="FZY24" s="414"/>
      <c r="FZZ24" s="414"/>
      <c r="GAA24" s="414"/>
      <c r="GAB24" s="414"/>
      <c r="GAC24" s="414"/>
      <c r="GAD24" s="414"/>
      <c r="GAE24" s="414"/>
      <c r="GAF24" s="414"/>
      <c r="GAG24" s="414"/>
      <c r="GAH24" s="414"/>
      <c r="GAI24" s="414"/>
      <c r="GAJ24" s="414"/>
      <c r="GAK24" s="414"/>
      <c r="GAL24" s="414"/>
      <c r="GAM24" s="414"/>
      <c r="GAN24" s="414"/>
      <c r="GAO24" s="414"/>
      <c r="GAP24" s="414"/>
      <c r="GAQ24" s="414"/>
      <c r="GAR24" s="414"/>
      <c r="GAS24" s="414"/>
      <c r="GAT24" s="414"/>
      <c r="GAU24" s="414"/>
      <c r="GAV24" s="414"/>
      <c r="GAW24" s="414"/>
      <c r="GAX24" s="414"/>
      <c r="GAY24" s="414"/>
      <c r="GAZ24" s="414"/>
      <c r="GBA24" s="414"/>
      <c r="GBB24" s="414"/>
      <c r="GBC24" s="414"/>
      <c r="GBD24" s="414"/>
      <c r="GBE24" s="414"/>
      <c r="GBF24" s="414"/>
      <c r="GBG24" s="414"/>
      <c r="GBH24" s="414"/>
      <c r="GBI24" s="414"/>
      <c r="GBJ24" s="414"/>
      <c r="GBK24" s="414"/>
      <c r="GBL24" s="414"/>
      <c r="GBM24" s="414"/>
      <c r="GBN24" s="414"/>
      <c r="GBO24" s="414"/>
      <c r="GBP24" s="414"/>
      <c r="GBQ24" s="414"/>
      <c r="GBR24" s="414"/>
      <c r="GBS24" s="414"/>
      <c r="GBT24" s="414"/>
      <c r="GBU24" s="414"/>
      <c r="GBV24" s="414"/>
      <c r="GBW24" s="414"/>
      <c r="GBX24" s="414"/>
      <c r="GBY24" s="414"/>
      <c r="GBZ24" s="414"/>
      <c r="GCA24" s="414"/>
      <c r="GCB24" s="414"/>
      <c r="GCC24" s="414"/>
      <c r="GCD24" s="414"/>
      <c r="GCE24" s="414"/>
      <c r="GCF24" s="414"/>
      <c r="GCG24" s="414"/>
      <c r="GCH24" s="414"/>
      <c r="GCI24" s="414"/>
      <c r="GCJ24" s="414"/>
      <c r="GCK24" s="414"/>
      <c r="GCL24" s="414"/>
      <c r="GCM24" s="414"/>
      <c r="GCN24" s="414"/>
      <c r="GCO24" s="414"/>
      <c r="GCP24" s="414"/>
      <c r="GCQ24" s="414"/>
      <c r="GCR24" s="414"/>
      <c r="GCS24" s="414"/>
      <c r="GCT24" s="414"/>
      <c r="GCU24" s="414"/>
      <c r="GCV24" s="414"/>
      <c r="GCW24" s="414"/>
      <c r="GCX24" s="414"/>
      <c r="GCY24" s="414"/>
      <c r="GCZ24" s="414"/>
      <c r="GDA24" s="414"/>
      <c r="GDB24" s="414"/>
      <c r="GDC24" s="414"/>
      <c r="GDD24" s="414"/>
      <c r="GDE24" s="414"/>
      <c r="GDF24" s="414"/>
      <c r="GDG24" s="414"/>
      <c r="GDH24" s="414"/>
      <c r="GDI24" s="414"/>
      <c r="GDJ24" s="414"/>
      <c r="GDK24" s="414"/>
      <c r="GDL24" s="414"/>
      <c r="GDM24" s="414"/>
      <c r="GDN24" s="414"/>
      <c r="GDO24" s="414"/>
      <c r="GDP24" s="414"/>
      <c r="GDQ24" s="414"/>
      <c r="GDR24" s="414"/>
      <c r="GDS24" s="414"/>
      <c r="GDT24" s="414"/>
      <c r="GDU24" s="414"/>
      <c r="GDV24" s="414"/>
      <c r="GDW24" s="414"/>
      <c r="GDX24" s="414"/>
      <c r="GDY24" s="414"/>
      <c r="GDZ24" s="414"/>
      <c r="GEA24" s="414"/>
      <c r="GEB24" s="414"/>
      <c r="GEC24" s="414"/>
      <c r="GED24" s="414"/>
      <c r="GEE24" s="414"/>
      <c r="GEF24" s="414"/>
      <c r="GEG24" s="414"/>
      <c r="GEH24" s="414"/>
      <c r="GEI24" s="414"/>
      <c r="GEJ24" s="414"/>
      <c r="GEK24" s="414"/>
      <c r="GEL24" s="414"/>
      <c r="GEM24" s="414"/>
      <c r="GEN24" s="414"/>
      <c r="GEO24" s="414"/>
      <c r="GEP24" s="414"/>
      <c r="GEQ24" s="414"/>
      <c r="GER24" s="414"/>
      <c r="GES24" s="414"/>
      <c r="GET24" s="414"/>
      <c r="GEU24" s="414"/>
      <c r="GEV24" s="414"/>
      <c r="GEW24" s="414"/>
      <c r="GEX24" s="414"/>
      <c r="GEY24" s="414"/>
      <c r="GEZ24" s="414"/>
      <c r="GFA24" s="414"/>
      <c r="GFB24" s="414"/>
      <c r="GFC24" s="414"/>
      <c r="GFD24" s="414"/>
      <c r="GFE24" s="414"/>
      <c r="GFF24" s="414"/>
      <c r="GFG24" s="414"/>
      <c r="GFH24" s="414"/>
      <c r="GFI24" s="414"/>
      <c r="GFJ24" s="414"/>
      <c r="GFK24" s="414"/>
      <c r="GFL24" s="414"/>
      <c r="GFM24" s="414"/>
      <c r="GFN24" s="414"/>
      <c r="GFO24" s="414"/>
      <c r="GFP24" s="414"/>
      <c r="GFQ24" s="414"/>
      <c r="GFR24" s="414"/>
      <c r="GFS24" s="414"/>
      <c r="GFT24" s="414"/>
      <c r="GFU24" s="414"/>
      <c r="GFV24" s="414"/>
      <c r="GFW24" s="414"/>
      <c r="GFX24" s="414"/>
      <c r="GFY24" s="414"/>
      <c r="GFZ24" s="414"/>
      <c r="GGA24" s="414"/>
      <c r="GGB24" s="414"/>
      <c r="GGC24" s="414"/>
      <c r="GGD24" s="414"/>
      <c r="GGE24" s="414"/>
      <c r="GGF24" s="414"/>
      <c r="GGG24" s="414"/>
      <c r="GGH24" s="414"/>
      <c r="GGI24" s="414"/>
      <c r="GGJ24" s="414"/>
      <c r="GGK24" s="414"/>
      <c r="GGL24" s="414"/>
      <c r="GGM24" s="414"/>
      <c r="GGN24" s="414"/>
      <c r="GGO24" s="414"/>
      <c r="GGP24" s="414"/>
      <c r="GGQ24" s="414"/>
      <c r="GGR24" s="414"/>
      <c r="GGS24" s="414"/>
      <c r="GGT24" s="414"/>
      <c r="GGU24" s="414"/>
      <c r="GGV24" s="414"/>
      <c r="GGW24" s="414"/>
      <c r="GGX24" s="414"/>
      <c r="GGY24" s="414"/>
      <c r="GGZ24" s="414"/>
      <c r="GHA24" s="414"/>
      <c r="GHB24" s="414"/>
      <c r="GHC24" s="414"/>
      <c r="GHD24" s="414"/>
      <c r="GHE24" s="414"/>
      <c r="GHF24" s="414"/>
      <c r="GHG24" s="414"/>
      <c r="GHH24" s="414"/>
      <c r="GHI24" s="414"/>
      <c r="GHJ24" s="414"/>
      <c r="GHK24" s="414"/>
      <c r="GHL24" s="414"/>
      <c r="GHM24" s="414"/>
      <c r="GHN24" s="414"/>
      <c r="GHO24" s="414"/>
      <c r="GHP24" s="414"/>
      <c r="GHQ24" s="414"/>
      <c r="GHR24" s="414"/>
      <c r="GHS24" s="414"/>
      <c r="GHT24" s="414"/>
      <c r="GHU24" s="414"/>
      <c r="GHV24" s="414"/>
      <c r="GHW24" s="414"/>
      <c r="GHX24" s="414"/>
      <c r="GHY24" s="414"/>
      <c r="GHZ24" s="414"/>
      <c r="GIA24" s="414"/>
      <c r="GIB24" s="414"/>
      <c r="GIC24" s="414"/>
      <c r="GID24" s="414"/>
      <c r="GIE24" s="414"/>
      <c r="GIF24" s="414"/>
      <c r="GIG24" s="414"/>
      <c r="GIH24" s="414"/>
      <c r="GII24" s="414"/>
      <c r="GIJ24" s="414"/>
      <c r="GIK24" s="414"/>
      <c r="GIL24" s="414"/>
      <c r="GIM24" s="414"/>
      <c r="GIN24" s="414"/>
      <c r="GIO24" s="414"/>
      <c r="GIP24" s="414"/>
      <c r="GIQ24" s="414"/>
      <c r="GIR24" s="414"/>
      <c r="GIS24" s="414"/>
      <c r="GIT24" s="414"/>
      <c r="GIU24" s="414"/>
      <c r="GIV24" s="414"/>
      <c r="GIW24" s="414"/>
      <c r="GIX24" s="414"/>
      <c r="GIY24" s="414"/>
      <c r="GIZ24" s="414"/>
      <c r="GJA24" s="414"/>
      <c r="GJB24" s="414"/>
      <c r="GJC24" s="414"/>
      <c r="GJD24" s="414"/>
      <c r="GJE24" s="414"/>
      <c r="GJF24" s="414"/>
      <c r="GJG24" s="414"/>
      <c r="GJH24" s="414"/>
      <c r="GJI24" s="414"/>
      <c r="GJJ24" s="414"/>
      <c r="GJK24" s="414"/>
      <c r="GJL24" s="414"/>
      <c r="GJM24" s="414"/>
      <c r="GJN24" s="414"/>
      <c r="GJO24" s="414"/>
      <c r="GJP24" s="414"/>
      <c r="GJQ24" s="414"/>
      <c r="GJR24" s="414"/>
      <c r="GJS24" s="414"/>
      <c r="GJT24" s="414"/>
      <c r="GJU24" s="414"/>
      <c r="GJV24" s="414"/>
      <c r="GJW24" s="414"/>
      <c r="GJX24" s="414"/>
      <c r="GJY24" s="414"/>
      <c r="GJZ24" s="414"/>
      <c r="GKA24" s="414"/>
      <c r="GKB24" s="414"/>
      <c r="GKC24" s="414"/>
      <c r="GKD24" s="414"/>
      <c r="GKE24" s="414"/>
      <c r="GKF24" s="414"/>
      <c r="GKG24" s="414"/>
      <c r="GKH24" s="414"/>
      <c r="GKI24" s="414"/>
      <c r="GKJ24" s="414"/>
      <c r="GKK24" s="414"/>
      <c r="GKL24" s="414"/>
      <c r="GKM24" s="414"/>
      <c r="GKN24" s="414"/>
      <c r="GKO24" s="414"/>
      <c r="GKP24" s="414"/>
      <c r="GKQ24" s="414"/>
      <c r="GKR24" s="414"/>
      <c r="GKS24" s="414"/>
      <c r="GKT24" s="414"/>
      <c r="GKU24" s="414"/>
      <c r="GKV24" s="414"/>
      <c r="GKW24" s="414"/>
      <c r="GKX24" s="414"/>
      <c r="GKY24" s="414"/>
      <c r="GKZ24" s="414"/>
      <c r="GLA24" s="414"/>
      <c r="GLB24" s="414"/>
      <c r="GLC24" s="414"/>
      <c r="GLD24" s="414"/>
      <c r="GLE24" s="414"/>
      <c r="GLF24" s="414"/>
      <c r="GLG24" s="414"/>
      <c r="GLH24" s="414"/>
      <c r="GLI24" s="414"/>
      <c r="GLJ24" s="414"/>
      <c r="GLK24" s="414"/>
      <c r="GLL24" s="414"/>
      <c r="GLM24" s="414"/>
      <c r="GLN24" s="414"/>
      <c r="GLO24" s="414"/>
      <c r="GLP24" s="414"/>
      <c r="GLQ24" s="414"/>
      <c r="GLR24" s="414"/>
      <c r="GLS24" s="414"/>
      <c r="GLT24" s="414"/>
      <c r="GLU24" s="414"/>
      <c r="GLV24" s="414"/>
      <c r="GLW24" s="414"/>
      <c r="GLX24" s="414"/>
      <c r="GLY24" s="414"/>
      <c r="GLZ24" s="414"/>
      <c r="GMA24" s="414"/>
      <c r="GMB24" s="414"/>
      <c r="GMC24" s="414"/>
      <c r="GMD24" s="414"/>
      <c r="GME24" s="414"/>
      <c r="GMF24" s="414"/>
      <c r="GMG24" s="414"/>
      <c r="GMH24" s="414"/>
      <c r="GMI24" s="414"/>
      <c r="GMJ24" s="414"/>
      <c r="GMK24" s="414"/>
      <c r="GML24" s="414"/>
      <c r="GMM24" s="414"/>
      <c r="GMN24" s="414"/>
      <c r="GMO24" s="414"/>
      <c r="GMP24" s="414"/>
      <c r="GMQ24" s="414"/>
      <c r="GMR24" s="414"/>
      <c r="GMS24" s="414"/>
      <c r="GMT24" s="414"/>
      <c r="GMU24" s="414"/>
      <c r="GMV24" s="414"/>
      <c r="GMW24" s="414"/>
      <c r="GMX24" s="414"/>
      <c r="GMY24" s="414"/>
      <c r="GMZ24" s="414"/>
      <c r="GNA24" s="414"/>
      <c r="GNB24" s="414"/>
      <c r="GNC24" s="414"/>
      <c r="GND24" s="414"/>
      <c r="GNE24" s="414"/>
      <c r="GNF24" s="414"/>
      <c r="GNG24" s="414"/>
      <c r="GNH24" s="414"/>
      <c r="GNI24" s="414"/>
      <c r="GNJ24" s="414"/>
      <c r="GNK24" s="414"/>
      <c r="GNL24" s="414"/>
      <c r="GNM24" s="414"/>
      <c r="GNN24" s="414"/>
      <c r="GNO24" s="414"/>
      <c r="GNP24" s="414"/>
      <c r="GNQ24" s="414"/>
      <c r="GNR24" s="414"/>
      <c r="GNS24" s="414"/>
      <c r="GNT24" s="414"/>
      <c r="GNU24" s="414"/>
      <c r="GNV24" s="414"/>
      <c r="GNW24" s="414"/>
      <c r="GNX24" s="414"/>
      <c r="GNY24" s="414"/>
      <c r="GNZ24" s="414"/>
      <c r="GOA24" s="414"/>
      <c r="GOB24" s="414"/>
      <c r="GOC24" s="414"/>
      <c r="GOD24" s="414"/>
      <c r="GOE24" s="414"/>
      <c r="GOF24" s="414"/>
      <c r="GOG24" s="414"/>
      <c r="GOH24" s="414"/>
      <c r="GOI24" s="414"/>
      <c r="GOJ24" s="414"/>
      <c r="GOK24" s="414"/>
      <c r="GOL24" s="414"/>
      <c r="GOM24" s="414"/>
      <c r="GON24" s="414"/>
      <c r="GOO24" s="414"/>
      <c r="GOP24" s="414"/>
      <c r="GOQ24" s="414"/>
      <c r="GOR24" s="414"/>
      <c r="GOS24" s="414"/>
      <c r="GOT24" s="414"/>
      <c r="GOU24" s="414"/>
      <c r="GOV24" s="414"/>
      <c r="GOW24" s="414"/>
      <c r="GOX24" s="414"/>
      <c r="GOY24" s="414"/>
      <c r="GOZ24" s="414"/>
      <c r="GPA24" s="414"/>
      <c r="GPB24" s="414"/>
      <c r="GPC24" s="414"/>
      <c r="GPD24" s="414"/>
      <c r="GPE24" s="414"/>
      <c r="GPF24" s="414"/>
      <c r="GPG24" s="414"/>
      <c r="GPH24" s="414"/>
      <c r="GPI24" s="414"/>
      <c r="GPJ24" s="414"/>
      <c r="GPK24" s="414"/>
      <c r="GPL24" s="414"/>
      <c r="GPM24" s="414"/>
      <c r="GPN24" s="414"/>
      <c r="GPO24" s="414"/>
      <c r="GPP24" s="414"/>
      <c r="GPQ24" s="414"/>
      <c r="GPR24" s="414"/>
      <c r="GPS24" s="414"/>
      <c r="GPT24" s="414"/>
      <c r="GPU24" s="414"/>
      <c r="GPV24" s="414"/>
      <c r="GPW24" s="414"/>
      <c r="GPX24" s="414"/>
      <c r="GPY24" s="414"/>
      <c r="GPZ24" s="414"/>
      <c r="GQA24" s="414"/>
      <c r="GQB24" s="414"/>
      <c r="GQC24" s="414"/>
      <c r="GQD24" s="414"/>
      <c r="GQE24" s="414"/>
      <c r="GQF24" s="414"/>
      <c r="GQG24" s="414"/>
      <c r="GQH24" s="414"/>
      <c r="GQI24" s="414"/>
      <c r="GQJ24" s="414"/>
      <c r="GQK24" s="414"/>
      <c r="GQL24" s="414"/>
      <c r="GQM24" s="414"/>
      <c r="GQN24" s="414"/>
      <c r="GQO24" s="414"/>
      <c r="GQP24" s="414"/>
      <c r="GQQ24" s="414"/>
      <c r="GQR24" s="414"/>
      <c r="GQS24" s="414"/>
      <c r="GQT24" s="414"/>
      <c r="GQU24" s="414"/>
      <c r="GQV24" s="414"/>
      <c r="GQW24" s="414"/>
      <c r="GQX24" s="414"/>
      <c r="GQY24" s="414"/>
      <c r="GQZ24" s="414"/>
      <c r="GRA24" s="414"/>
      <c r="GRB24" s="414"/>
      <c r="GRC24" s="414"/>
      <c r="GRD24" s="414"/>
      <c r="GRE24" s="414"/>
      <c r="GRF24" s="414"/>
      <c r="GRG24" s="414"/>
      <c r="GRH24" s="414"/>
      <c r="GRI24" s="414"/>
      <c r="GRJ24" s="414"/>
      <c r="GRK24" s="414"/>
      <c r="GRL24" s="414"/>
      <c r="GRM24" s="414"/>
      <c r="GRN24" s="414"/>
      <c r="GRO24" s="414"/>
      <c r="GRP24" s="414"/>
      <c r="GRQ24" s="414"/>
      <c r="GRR24" s="414"/>
      <c r="GRS24" s="414"/>
      <c r="GRT24" s="414"/>
      <c r="GRU24" s="414"/>
      <c r="GRV24" s="414"/>
      <c r="GRW24" s="414"/>
      <c r="GRX24" s="414"/>
      <c r="GRY24" s="414"/>
      <c r="GRZ24" s="414"/>
      <c r="GSA24" s="414"/>
      <c r="GSB24" s="414"/>
      <c r="GSC24" s="414"/>
      <c r="GSD24" s="414"/>
      <c r="GSE24" s="414"/>
      <c r="GSF24" s="414"/>
      <c r="GSG24" s="414"/>
      <c r="GSH24" s="414"/>
      <c r="GSI24" s="414"/>
      <c r="GSJ24" s="414"/>
      <c r="GSK24" s="414"/>
      <c r="GSL24" s="414"/>
      <c r="GSM24" s="414"/>
      <c r="GSN24" s="414"/>
      <c r="GSO24" s="414"/>
      <c r="GSP24" s="414"/>
      <c r="GSQ24" s="414"/>
      <c r="GSR24" s="414"/>
      <c r="GSS24" s="414"/>
      <c r="GST24" s="414"/>
      <c r="GSU24" s="414"/>
      <c r="GSV24" s="414"/>
      <c r="GSW24" s="414"/>
      <c r="GSX24" s="414"/>
      <c r="GSY24" s="414"/>
      <c r="GSZ24" s="414"/>
      <c r="GTA24" s="414"/>
      <c r="GTB24" s="414"/>
      <c r="GTC24" s="414"/>
      <c r="GTD24" s="414"/>
      <c r="GTE24" s="414"/>
      <c r="GTF24" s="414"/>
      <c r="GTG24" s="414"/>
      <c r="GTH24" s="414"/>
      <c r="GTI24" s="414"/>
      <c r="GTJ24" s="414"/>
      <c r="GTK24" s="414"/>
      <c r="GTL24" s="414"/>
      <c r="GTM24" s="414"/>
      <c r="GTN24" s="414"/>
      <c r="GTO24" s="414"/>
      <c r="GTP24" s="414"/>
      <c r="GTQ24" s="414"/>
      <c r="GTR24" s="414"/>
      <c r="GTS24" s="414"/>
      <c r="GTT24" s="414"/>
      <c r="GTU24" s="414"/>
      <c r="GTV24" s="414"/>
      <c r="GTW24" s="414"/>
      <c r="GTX24" s="414"/>
      <c r="GTY24" s="414"/>
      <c r="GTZ24" s="414"/>
      <c r="GUA24" s="414"/>
      <c r="GUB24" s="414"/>
      <c r="GUC24" s="414"/>
      <c r="GUD24" s="414"/>
      <c r="GUE24" s="414"/>
      <c r="GUF24" s="414"/>
      <c r="GUG24" s="414"/>
      <c r="GUH24" s="414"/>
      <c r="GUI24" s="414"/>
      <c r="GUJ24" s="414"/>
      <c r="GUK24" s="414"/>
      <c r="GUL24" s="414"/>
      <c r="GUM24" s="414"/>
      <c r="GUN24" s="414"/>
      <c r="GUO24" s="414"/>
      <c r="GUP24" s="414"/>
      <c r="GUQ24" s="414"/>
      <c r="GUR24" s="414"/>
      <c r="GUS24" s="414"/>
      <c r="GUT24" s="414"/>
      <c r="GUU24" s="414"/>
      <c r="GUV24" s="414"/>
      <c r="GUW24" s="414"/>
      <c r="GUX24" s="414"/>
      <c r="GUY24" s="414"/>
      <c r="GUZ24" s="414"/>
      <c r="GVA24" s="414"/>
      <c r="GVB24" s="414"/>
      <c r="GVC24" s="414"/>
      <c r="GVD24" s="414"/>
      <c r="GVE24" s="414"/>
      <c r="GVF24" s="414"/>
      <c r="GVG24" s="414"/>
      <c r="GVH24" s="414"/>
      <c r="GVI24" s="414"/>
      <c r="GVJ24" s="414"/>
      <c r="GVK24" s="414"/>
      <c r="GVL24" s="414"/>
      <c r="GVM24" s="414"/>
      <c r="GVN24" s="414"/>
      <c r="GVO24" s="414"/>
      <c r="GVP24" s="414"/>
      <c r="GVQ24" s="414"/>
      <c r="GVR24" s="414"/>
      <c r="GVS24" s="414"/>
      <c r="GVT24" s="414"/>
      <c r="GVU24" s="414"/>
      <c r="GVV24" s="414"/>
      <c r="GVW24" s="414"/>
      <c r="GVX24" s="414"/>
      <c r="GVY24" s="414"/>
      <c r="GVZ24" s="414"/>
      <c r="GWA24" s="414"/>
      <c r="GWB24" s="414"/>
      <c r="GWC24" s="414"/>
      <c r="GWD24" s="414"/>
      <c r="GWE24" s="414"/>
      <c r="GWF24" s="414"/>
      <c r="GWG24" s="414"/>
      <c r="GWH24" s="414"/>
      <c r="GWI24" s="414"/>
      <c r="GWJ24" s="414"/>
      <c r="GWK24" s="414"/>
      <c r="GWL24" s="414"/>
      <c r="GWM24" s="414"/>
      <c r="GWN24" s="414"/>
      <c r="GWO24" s="414"/>
      <c r="GWP24" s="414"/>
      <c r="GWQ24" s="414"/>
      <c r="GWR24" s="414"/>
      <c r="GWS24" s="414"/>
      <c r="GWT24" s="414"/>
      <c r="GWU24" s="414"/>
      <c r="GWV24" s="414"/>
      <c r="GWW24" s="414"/>
      <c r="GWX24" s="414"/>
      <c r="GWY24" s="414"/>
      <c r="GWZ24" s="414"/>
      <c r="GXA24" s="414"/>
      <c r="GXB24" s="414"/>
      <c r="GXC24" s="414"/>
      <c r="GXD24" s="414"/>
      <c r="GXE24" s="414"/>
      <c r="GXF24" s="414"/>
      <c r="GXG24" s="414"/>
      <c r="GXH24" s="414"/>
      <c r="GXI24" s="414"/>
      <c r="GXJ24" s="414"/>
      <c r="GXK24" s="414"/>
      <c r="GXL24" s="414"/>
      <c r="GXM24" s="414"/>
      <c r="GXN24" s="414"/>
      <c r="GXO24" s="414"/>
      <c r="GXP24" s="414"/>
      <c r="GXQ24" s="414"/>
      <c r="GXR24" s="414"/>
      <c r="GXS24" s="414"/>
      <c r="GXT24" s="414"/>
      <c r="GXU24" s="414"/>
      <c r="GXV24" s="414"/>
      <c r="GXW24" s="414"/>
      <c r="GXX24" s="414"/>
      <c r="GXY24" s="414"/>
      <c r="GXZ24" s="414"/>
      <c r="GYA24" s="414"/>
      <c r="GYB24" s="414"/>
      <c r="GYC24" s="414"/>
      <c r="GYD24" s="414"/>
      <c r="GYE24" s="414"/>
      <c r="GYF24" s="414"/>
      <c r="GYG24" s="414"/>
      <c r="GYH24" s="414"/>
      <c r="GYI24" s="414"/>
      <c r="GYJ24" s="414"/>
      <c r="GYK24" s="414"/>
      <c r="GYL24" s="414"/>
      <c r="GYM24" s="414"/>
      <c r="GYN24" s="414"/>
      <c r="GYO24" s="414"/>
      <c r="GYP24" s="414"/>
      <c r="GYQ24" s="414"/>
      <c r="GYR24" s="414"/>
      <c r="GYS24" s="414"/>
      <c r="GYT24" s="414"/>
      <c r="GYU24" s="414"/>
      <c r="GYV24" s="414"/>
      <c r="GYW24" s="414"/>
      <c r="GYX24" s="414"/>
      <c r="GYY24" s="414"/>
      <c r="GYZ24" s="414"/>
      <c r="GZA24" s="414"/>
      <c r="GZB24" s="414"/>
      <c r="GZC24" s="414"/>
      <c r="GZD24" s="414"/>
      <c r="GZE24" s="414"/>
      <c r="GZF24" s="414"/>
      <c r="GZG24" s="414"/>
      <c r="GZH24" s="414"/>
      <c r="GZI24" s="414"/>
      <c r="GZJ24" s="414"/>
      <c r="GZK24" s="414"/>
      <c r="GZL24" s="414"/>
      <c r="GZM24" s="414"/>
      <c r="GZN24" s="414"/>
      <c r="GZO24" s="414"/>
      <c r="GZP24" s="414"/>
      <c r="GZQ24" s="414"/>
      <c r="GZR24" s="414"/>
      <c r="GZS24" s="414"/>
      <c r="GZT24" s="414"/>
      <c r="GZU24" s="414"/>
      <c r="GZV24" s="414"/>
      <c r="GZW24" s="414"/>
      <c r="GZX24" s="414"/>
      <c r="GZY24" s="414"/>
      <c r="GZZ24" s="414"/>
      <c r="HAA24" s="414"/>
      <c r="HAB24" s="414"/>
      <c r="HAC24" s="414"/>
      <c r="HAD24" s="414"/>
      <c r="HAE24" s="414"/>
      <c r="HAF24" s="414"/>
      <c r="HAG24" s="414"/>
      <c r="HAH24" s="414"/>
      <c r="HAI24" s="414"/>
      <c r="HAJ24" s="414"/>
      <c r="HAK24" s="414"/>
      <c r="HAL24" s="414"/>
      <c r="HAM24" s="414"/>
      <c r="HAN24" s="414"/>
      <c r="HAO24" s="414"/>
      <c r="HAP24" s="414"/>
      <c r="HAQ24" s="414"/>
      <c r="HAR24" s="414"/>
      <c r="HAS24" s="414"/>
      <c r="HAT24" s="414"/>
      <c r="HAU24" s="414"/>
      <c r="HAV24" s="414"/>
      <c r="HAW24" s="414"/>
      <c r="HAX24" s="414"/>
      <c r="HAY24" s="414"/>
      <c r="HAZ24" s="414"/>
      <c r="HBA24" s="414"/>
      <c r="HBB24" s="414"/>
      <c r="HBC24" s="414"/>
      <c r="HBD24" s="414"/>
      <c r="HBE24" s="414"/>
      <c r="HBF24" s="414"/>
      <c r="HBG24" s="414"/>
      <c r="HBH24" s="414"/>
      <c r="HBI24" s="414"/>
      <c r="HBJ24" s="414"/>
      <c r="HBK24" s="414"/>
      <c r="HBL24" s="414"/>
      <c r="HBM24" s="414"/>
      <c r="HBN24" s="414"/>
      <c r="HBO24" s="414"/>
      <c r="HBP24" s="414"/>
      <c r="HBQ24" s="414"/>
      <c r="HBR24" s="414"/>
      <c r="HBS24" s="414"/>
      <c r="HBT24" s="414"/>
      <c r="HBU24" s="414"/>
      <c r="HBV24" s="414"/>
      <c r="HBW24" s="414"/>
      <c r="HBX24" s="414"/>
      <c r="HBY24" s="414"/>
      <c r="HBZ24" s="414"/>
      <c r="HCA24" s="414"/>
      <c r="HCB24" s="414"/>
      <c r="HCC24" s="414"/>
      <c r="HCD24" s="414"/>
      <c r="HCE24" s="414"/>
      <c r="HCF24" s="414"/>
      <c r="HCG24" s="414"/>
      <c r="HCH24" s="414"/>
      <c r="HCI24" s="414"/>
      <c r="HCJ24" s="414"/>
      <c r="HCK24" s="414"/>
      <c r="HCL24" s="414"/>
      <c r="HCM24" s="414"/>
      <c r="HCN24" s="414"/>
      <c r="HCO24" s="414"/>
      <c r="HCP24" s="414"/>
      <c r="HCQ24" s="414"/>
      <c r="HCR24" s="414"/>
      <c r="HCS24" s="414"/>
      <c r="HCT24" s="414"/>
      <c r="HCU24" s="414"/>
      <c r="HCV24" s="414"/>
      <c r="HCW24" s="414"/>
      <c r="HCX24" s="414"/>
      <c r="HCY24" s="414"/>
      <c r="HCZ24" s="414"/>
      <c r="HDA24" s="414"/>
      <c r="HDB24" s="414"/>
      <c r="HDC24" s="414"/>
      <c r="HDD24" s="414"/>
      <c r="HDE24" s="414"/>
      <c r="HDF24" s="414"/>
      <c r="HDG24" s="414"/>
      <c r="HDH24" s="414"/>
      <c r="HDI24" s="414"/>
      <c r="HDJ24" s="414"/>
      <c r="HDK24" s="414"/>
      <c r="HDL24" s="414"/>
      <c r="HDM24" s="414"/>
      <c r="HDN24" s="414"/>
      <c r="HDO24" s="414"/>
      <c r="HDP24" s="414"/>
      <c r="HDQ24" s="414"/>
      <c r="HDR24" s="414"/>
      <c r="HDS24" s="414"/>
      <c r="HDT24" s="414"/>
      <c r="HDU24" s="414"/>
      <c r="HDV24" s="414"/>
      <c r="HDW24" s="414"/>
      <c r="HDX24" s="414"/>
      <c r="HDY24" s="414"/>
      <c r="HDZ24" s="414"/>
      <c r="HEA24" s="414"/>
      <c r="HEB24" s="414"/>
      <c r="HEC24" s="414"/>
      <c r="HED24" s="414"/>
      <c r="HEE24" s="414"/>
      <c r="HEF24" s="414"/>
      <c r="HEG24" s="414"/>
      <c r="HEH24" s="414"/>
      <c r="HEI24" s="414"/>
      <c r="HEJ24" s="414"/>
      <c r="HEK24" s="414"/>
      <c r="HEL24" s="414"/>
      <c r="HEM24" s="414"/>
      <c r="HEN24" s="414"/>
      <c r="HEO24" s="414"/>
      <c r="HEP24" s="414"/>
      <c r="HEQ24" s="414"/>
      <c r="HER24" s="414"/>
      <c r="HES24" s="414"/>
      <c r="HET24" s="414"/>
      <c r="HEU24" s="414"/>
      <c r="HEV24" s="414"/>
      <c r="HEW24" s="414"/>
      <c r="HEX24" s="414"/>
      <c r="HEY24" s="414"/>
      <c r="HEZ24" s="414"/>
      <c r="HFA24" s="414"/>
      <c r="HFB24" s="414"/>
      <c r="HFC24" s="414"/>
      <c r="HFD24" s="414"/>
      <c r="HFE24" s="414"/>
      <c r="HFF24" s="414"/>
      <c r="HFG24" s="414"/>
      <c r="HFH24" s="414"/>
      <c r="HFI24" s="414"/>
      <c r="HFJ24" s="414"/>
      <c r="HFK24" s="414"/>
      <c r="HFL24" s="414"/>
      <c r="HFM24" s="414"/>
      <c r="HFN24" s="414"/>
      <c r="HFO24" s="414"/>
      <c r="HFP24" s="414"/>
      <c r="HFQ24" s="414"/>
      <c r="HFR24" s="414"/>
      <c r="HFS24" s="414"/>
      <c r="HFT24" s="414"/>
      <c r="HFU24" s="414"/>
      <c r="HFV24" s="414"/>
      <c r="HFW24" s="414"/>
      <c r="HFX24" s="414"/>
      <c r="HFY24" s="414"/>
      <c r="HFZ24" s="414"/>
      <c r="HGA24" s="414"/>
      <c r="HGB24" s="414"/>
      <c r="HGC24" s="414"/>
      <c r="HGD24" s="414"/>
      <c r="HGE24" s="414"/>
      <c r="HGF24" s="414"/>
      <c r="HGG24" s="414"/>
      <c r="HGH24" s="414"/>
      <c r="HGI24" s="414"/>
      <c r="HGJ24" s="414"/>
      <c r="HGK24" s="414"/>
      <c r="HGL24" s="414"/>
      <c r="HGM24" s="414"/>
      <c r="HGN24" s="414"/>
      <c r="HGO24" s="414"/>
      <c r="HGP24" s="414"/>
      <c r="HGQ24" s="414"/>
      <c r="HGR24" s="414"/>
      <c r="HGS24" s="414"/>
      <c r="HGT24" s="414"/>
      <c r="HGU24" s="414"/>
      <c r="HGV24" s="414"/>
      <c r="HGW24" s="414"/>
      <c r="HGX24" s="414"/>
      <c r="HGY24" s="414"/>
      <c r="HGZ24" s="414"/>
      <c r="HHA24" s="414"/>
      <c r="HHB24" s="414"/>
      <c r="HHC24" s="414"/>
      <c r="HHD24" s="414"/>
      <c r="HHE24" s="414"/>
      <c r="HHF24" s="414"/>
      <c r="HHG24" s="414"/>
      <c r="HHH24" s="414"/>
      <c r="HHI24" s="414"/>
      <c r="HHJ24" s="414"/>
      <c r="HHK24" s="414"/>
      <c r="HHL24" s="414"/>
      <c r="HHM24" s="414"/>
      <c r="HHN24" s="414"/>
      <c r="HHO24" s="414"/>
      <c r="HHP24" s="414"/>
      <c r="HHQ24" s="414"/>
      <c r="HHR24" s="414"/>
      <c r="HHS24" s="414"/>
      <c r="HHT24" s="414"/>
      <c r="HHU24" s="414"/>
      <c r="HHV24" s="414"/>
      <c r="HHW24" s="414"/>
      <c r="HHX24" s="414"/>
      <c r="HHY24" s="414"/>
      <c r="HHZ24" s="414"/>
      <c r="HIA24" s="414"/>
      <c r="HIB24" s="414"/>
      <c r="HIC24" s="414"/>
      <c r="HID24" s="414"/>
      <c r="HIE24" s="414"/>
      <c r="HIF24" s="414"/>
      <c r="HIG24" s="414"/>
      <c r="HIH24" s="414"/>
      <c r="HII24" s="414"/>
      <c r="HIJ24" s="414"/>
      <c r="HIK24" s="414"/>
      <c r="HIL24" s="414"/>
      <c r="HIM24" s="414"/>
      <c r="HIN24" s="414"/>
      <c r="HIO24" s="414"/>
      <c r="HIP24" s="414"/>
      <c r="HIQ24" s="414"/>
      <c r="HIR24" s="414"/>
      <c r="HIS24" s="414"/>
      <c r="HIT24" s="414"/>
      <c r="HIU24" s="414"/>
      <c r="HIV24" s="414"/>
      <c r="HIW24" s="414"/>
      <c r="HIX24" s="414"/>
      <c r="HIY24" s="414"/>
      <c r="HIZ24" s="414"/>
      <c r="HJA24" s="414"/>
      <c r="HJB24" s="414"/>
      <c r="HJC24" s="414"/>
      <c r="HJD24" s="414"/>
      <c r="HJE24" s="414"/>
      <c r="HJF24" s="414"/>
      <c r="HJG24" s="414"/>
      <c r="HJH24" s="414"/>
      <c r="HJI24" s="414"/>
      <c r="HJJ24" s="414"/>
      <c r="HJK24" s="414"/>
      <c r="HJL24" s="414"/>
      <c r="HJM24" s="414"/>
      <c r="HJN24" s="414"/>
      <c r="HJO24" s="414"/>
      <c r="HJP24" s="414"/>
      <c r="HJQ24" s="414"/>
      <c r="HJR24" s="414"/>
      <c r="HJS24" s="414"/>
      <c r="HJT24" s="414"/>
      <c r="HJU24" s="414"/>
      <c r="HJV24" s="414"/>
      <c r="HJW24" s="414"/>
      <c r="HJX24" s="414"/>
      <c r="HJY24" s="414"/>
      <c r="HJZ24" s="414"/>
      <c r="HKA24" s="414"/>
      <c r="HKB24" s="414"/>
      <c r="HKC24" s="414"/>
      <c r="HKD24" s="414"/>
      <c r="HKE24" s="414"/>
      <c r="HKF24" s="414"/>
      <c r="HKG24" s="414"/>
      <c r="HKH24" s="414"/>
      <c r="HKI24" s="414"/>
      <c r="HKJ24" s="414"/>
      <c r="HKK24" s="414"/>
      <c r="HKL24" s="414"/>
      <c r="HKM24" s="414"/>
      <c r="HKN24" s="414"/>
      <c r="HKO24" s="414"/>
      <c r="HKP24" s="414"/>
      <c r="HKQ24" s="414"/>
      <c r="HKR24" s="414"/>
      <c r="HKS24" s="414"/>
      <c r="HKT24" s="414"/>
      <c r="HKU24" s="414"/>
      <c r="HKV24" s="414"/>
      <c r="HKW24" s="414"/>
      <c r="HKX24" s="414"/>
      <c r="HKY24" s="414"/>
      <c r="HKZ24" s="414"/>
      <c r="HLA24" s="414"/>
      <c r="HLB24" s="414"/>
      <c r="HLC24" s="414"/>
      <c r="HLD24" s="414"/>
      <c r="HLE24" s="414"/>
      <c r="HLF24" s="414"/>
      <c r="HLG24" s="414"/>
      <c r="HLH24" s="414"/>
      <c r="HLI24" s="414"/>
      <c r="HLJ24" s="414"/>
      <c r="HLK24" s="414"/>
      <c r="HLL24" s="414"/>
      <c r="HLM24" s="414"/>
      <c r="HLN24" s="414"/>
      <c r="HLO24" s="414"/>
      <c r="HLP24" s="414"/>
      <c r="HLQ24" s="414"/>
      <c r="HLR24" s="414"/>
      <c r="HLS24" s="414"/>
      <c r="HLT24" s="414"/>
      <c r="HLU24" s="414"/>
      <c r="HLV24" s="414"/>
      <c r="HLW24" s="414"/>
      <c r="HLX24" s="414"/>
      <c r="HLY24" s="414"/>
      <c r="HLZ24" s="414"/>
      <c r="HMA24" s="414"/>
      <c r="HMB24" s="414"/>
      <c r="HMC24" s="414"/>
      <c r="HMD24" s="414"/>
      <c r="HME24" s="414"/>
      <c r="HMF24" s="414"/>
      <c r="HMG24" s="414"/>
      <c r="HMH24" s="414"/>
      <c r="HMI24" s="414"/>
      <c r="HMJ24" s="414"/>
      <c r="HMK24" s="414"/>
      <c r="HML24" s="414"/>
      <c r="HMM24" s="414"/>
      <c r="HMN24" s="414"/>
      <c r="HMO24" s="414"/>
      <c r="HMP24" s="414"/>
      <c r="HMQ24" s="414"/>
      <c r="HMR24" s="414"/>
      <c r="HMS24" s="414"/>
      <c r="HMT24" s="414"/>
      <c r="HMU24" s="414"/>
      <c r="HMV24" s="414"/>
      <c r="HMW24" s="414"/>
      <c r="HMX24" s="414"/>
      <c r="HMY24" s="414"/>
      <c r="HMZ24" s="414"/>
      <c r="HNA24" s="414"/>
      <c r="HNB24" s="414"/>
      <c r="HNC24" s="414"/>
      <c r="HND24" s="414"/>
      <c r="HNE24" s="414"/>
      <c r="HNF24" s="414"/>
      <c r="HNG24" s="414"/>
      <c r="HNH24" s="414"/>
      <c r="HNI24" s="414"/>
      <c r="HNJ24" s="414"/>
      <c r="HNK24" s="414"/>
      <c r="HNL24" s="414"/>
      <c r="HNM24" s="414"/>
      <c r="HNN24" s="414"/>
      <c r="HNO24" s="414"/>
      <c r="HNP24" s="414"/>
      <c r="HNQ24" s="414"/>
      <c r="HNR24" s="414"/>
      <c r="HNS24" s="414"/>
      <c r="HNT24" s="414"/>
      <c r="HNU24" s="414"/>
      <c r="HNV24" s="414"/>
      <c r="HNW24" s="414"/>
      <c r="HNX24" s="414"/>
      <c r="HNY24" s="414"/>
      <c r="HNZ24" s="414"/>
      <c r="HOA24" s="414"/>
      <c r="HOB24" s="414"/>
      <c r="HOC24" s="414"/>
      <c r="HOD24" s="414"/>
      <c r="HOE24" s="414"/>
      <c r="HOF24" s="414"/>
      <c r="HOG24" s="414"/>
      <c r="HOH24" s="414"/>
      <c r="HOI24" s="414"/>
      <c r="HOJ24" s="414"/>
      <c r="HOK24" s="414"/>
      <c r="HOL24" s="414"/>
      <c r="HOM24" s="414"/>
      <c r="HON24" s="414"/>
      <c r="HOO24" s="414"/>
      <c r="HOP24" s="414"/>
      <c r="HOQ24" s="414"/>
      <c r="HOR24" s="414"/>
      <c r="HOS24" s="414"/>
      <c r="HOT24" s="414"/>
      <c r="HOU24" s="414"/>
      <c r="HOV24" s="414"/>
      <c r="HOW24" s="414"/>
      <c r="HOX24" s="414"/>
      <c r="HOY24" s="414"/>
      <c r="HOZ24" s="414"/>
      <c r="HPA24" s="414"/>
      <c r="HPB24" s="414"/>
      <c r="HPC24" s="414"/>
      <c r="HPD24" s="414"/>
      <c r="HPE24" s="414"/>
      <c r="HPF24" s="414"/>
      <c r="HPG24" s="414"/>
      <c r="HPH24" s="414"/>
      <c r="HPI24" s="414"/>
      <c r="HPJ24" s="414"/>
      <c r="HPK24" s="414"/>
      <c r="HPL24" s="414"/>
      <c r="HPM24" s="414"/>
      <c r="HPN24" s="414"/>
      <c r="HPO24" s="414"/>
      <c r="HPP24" s="414"/>
      <c r="HPQ24" s="414"/>
      <c r="HPR24" s="414"/>
      <c r="HPS24" s="414"/>
      <c r="HPT24" s="414"/>
      <c r="HPU24" s="414"/>
      <c r="HPV24" s="414"/>
      <c r="HPW24" s="414"/>
      <c r="HPX24" s="414"/>
      <c r="HPY24" s="414"/>
      <c r="HPZ24" s="414"/>
      <c r="HQA24" s="414"/>
      <c r="HQB24" s="414"/>
      <c r="HQC24" s="414"/>
      <c r="HQD24" s="414"/>
      <c r="HQE24" s="414"/>
      <c r="HQF24" s="414"/>
      <c r="HQG24" s="414"/>
      <c r="HQH24" s="414"/>
      <c r="HQI24" s="414"/>
      <c r="HQJ24" s="414"/>
      <c r="HQK24" s="414"/>
      <c r="HQL24" s="414"/>
      <c r="HQM24" s="414"/>
      <c r="HQN24" s="414"/>
      <c r="HQO24" s="414"/>
      <c r="HQP24" s="414"/>
      <c r="HQQ24" s="414"/>
      <c r="HQR24" s="414"/>
      <c r="HQS24" s="414"/>
      <c r="HQT24" s="414"/>
      <c r="HQU24" s="414"/>
      <c r="HQV24" s="414"/>
      <c r="HQW24" s="414"/>
      <c r="HQX24" s="414"/>
      <c r="HQY24" s="414"/>
      <c r="HQZ24" s="414"/>
      <c r="HRA24" s="414"/>
      <c r="HRB24" s="414"/>
      <c r="HRC24" s="414"/>
      <c r="HRD24" s="414"/>
      <c r="HRE24" s="414"/>
      <c r="HRF24" s="414"/>
      <c r="HRG24" s="414"/>
      <c r="HRH24" s="414"/>
      <c r="HRI24" s="414"/>
      <c r="HRJ24" s="414"/>
      <c r="HRK24" s="414"/>
      <c r="HRL24" s="414"/>
      <c r="HRM24" s="414"/>
      <c r="HRN24" s="414"/>
      <c r="HRO24" s="414"/>
      <c r="HRP24" s="414"/>
      <c r="HRQ24" s="414"/>
      <c r="HRR24" s="414"/>
      <c r="HRS24" s="414"/>
      <c r="HRT24" s="414"/>
      <c r="HRU24" s="414"/>
      <c r="HRV24" s="414"/>
      <c r="HRW24" s="414"/>
      <c r="HRX24" s="414"/>
      <c r="HRY24" s="414"/>
      <c r="HRZ24" s="414"/>
      <c r="HSA24" s="414"/>
      <c r="HSB24" s="414"/>
      <c r="HSC24" s="414"/>
      <c r="HSD24" s="414"/>
      <c r="HSE24" s="414"/>
      <c r="HSF24" s="414"/>
      <c r="HSG24" s="414"/>
      <c r="HSH24" s="414"/>
      <c r="HSI24" s="414"/>
      <c r="HSJ24" s="414"/>
      <c r="HSK24" s="414"/>
      <c r="HSL24" s="414"/>
      <c r="HSM24" s="414"/>
      <c r="HSN24" s="414"/>
      <c r="HSO24" s="414"/>
      <c r="HSP24" s="414"/>
      <c r="HSQ24" s="414"/>
      <c r="HSR24" s="414"/>
      <c r="HSS24" s="414"/>
      <c r="HST24" s="414"/>
      <c r="HSU24" s="414"/>
      <c r="HSV24" s="414"/>
      <c r="HSW24" s="414"/>
      <c r="HSX24" s="414"/>
      <c r="HSY24" s="414"/>
      <c r="HSZ24" s="414"/>
      <c r="HTA24" s="414"/>
      <c r="HTB24" s="414"/>
      <c r="HTC24" s="414"/>
      <c r="HTD24" s="414"/>
      <c r="HTE24" s="414"/>
      <c r="HTF24" s="414"/>
      <c r="HTG24" s="414"/>
      <c r="HTH24" s="414"/>
      <c r="HTI24" s="414"/>
      <c r="HTJ24" s="414"/>
      <c r="HTK24" s="414"/>
      <c r="HTL24" s="414"/>
      <c r="HTM24" s="414"/>
      <c r="HTN24" s="414"/>
      <c r="HTO24" s="414"/>
      <c r="HTP24" s="414"/>
      <c r="HTQ24" s="414"/>
      <c r="HTR24" s="414"/>
      <c r="HTS24" s="414"/>
      <c r="HTT24" s="414"/>
      <c r="HTU24" s="414"/>
      <c r="HTV24" s="414"/>
      <c r="HTW24" s="414"/>
      <c r="HTX24" s="414"/>
      <c r="HTY24" s="414"/>
      <c r="HTZ24" s="414"/>
      <c r="HUA24" s="414"/>
      <c r="HUB24" s="414"/>
      <c r="HUC24" s="414"/>
      <c r="HUD24" s="414"/>
      <c r="HUE24" s="414"/>
      <c r="HUF24" s="414"/>
      <c r="HUG24" s="414"/>
      <c r="HUH24" s="414"/>
      <c r="HUI24" s="414"/>
      <c r="HUJ24" s="414"/>
      <c r="HUK24" s="414"/>
      <c r="HUL24" s="414"/>
      <c r="HUM24" s="414"/>
      <c r="HUN24" s="414"/>
      <c r="HUO24" s="414"/>
      <c r="HUP24" s="414"/>
      <c r="HUQ24" s="414"/>
      <c r="HUR24" s="414"/>
      <c r="HUS24" s="414"/>
      <c r="HUT24" s="414"/>
      <c r="HUU24" s="414"/>
      <c r="HUV24" s="414"/>
      <c r="HUW24" s="414"/>
      <c r="HUX24" s="414"/>
      <c r="HUY24" s="414"/>
      <c r="HUZ24" s="414"/>
      <c r="HVA24" s="414"/>
      <c r="HVB24" s="414"/>
      <c r="HVC24" s="414"/>
      <c r="HVD24" s="414"/>
      <c r="HVE24" s="414"/>
      <c r="HVF24" s="414"/>
      <c r="HVG24" s="414"/>
      <c r="HVH24" s="414"/>
      <c r="HVI24" s="414"/>
      <c r="HVJ24" s="414"/>
      <c r="HVK24" s="414"/>
      <c r="HVL24" s="414"/>
      <c r="HVM24" s="414"/>
      <c r="HVN24" s="414"/>
      <c r="HVO24" s="414"/>
      <c r="HVP24" s="414"/>
      <c r="HVQ24" s="414"/>
      <c r="HVR24" s="414"/>
      <c r="HVS24" s="414"/>
      <c r="HVT24" s="414"/>
      <c r="HVU24" s="414"/>
      <c r="HVV24" s="414"/>
      <c r="HVW24" s="414"/>
      <c r="HVX24" s="414"/>
      <c r="HVY24" s="414"/>
      <c r="HVZ24" s="414"/>
      <c r="HWA24" s="414"/>
      <c r="HWB24" s="414"/>
      <c r="HWC24" s="414"/>
      <c r="HWD24" s="414"/>
      <c r="HWE24" s="414"/>
      <c r="HWF24" s="414"/>
      <c r="HWG24" s="414"/>
      <c r="HWH24" s="414"/>
      <c r="HWI24" s="414"/>
      <c r="HWJ24" s="414"/>
      <c r="HWK24" s="414"/>
      <c r="HWL24" s="414"/>
      <c r="HWM24" s="414"/>
      <c r="HWN24" s="414"/>
      <c r="HWO24" s="414"/>
      <c r="HWP24" s="414"/>
      <c r="HWQ24" s="414"/>
      <c r="HWR24" s="414"/>
      <c r="HWS24" s="414"/>
      <c r="HWT24" s="414"/>
      <c r="HWU24" s="414"/>
      <c r="HWV24" s="414"/>
      <c r="HWW24" s="414"/>
      <c r="HWX24" s="414"/>
      <c r="HWY24" s="414"/>
      <c r="HWZ24" s="414"/>
      <c r="HXA24" s="414"/>
      <c r="HXB24" s="414"/>
      <c r="HXC24" s="414"/>
      <c r="HXD24" s="414"/>
      <c r="HXE24" s="414"/>
      <c r="HXF24" s="414"/>
      <c r="HXG24" s="414"/>
      <c r="HXH24" s="414"/>
      <c r="HXI24" s="414"/>
      <c r="HXJ24" s="414"/>
      <c r="HXK24" s="414"/>
      <c r="HXL24" s="414"/>
      <c r="HXM24" s="414"/>
      <c r="HXN24" s="414"/>
      <c r="HXO24" s="414"/>
      <c r="HXP24" s="414"/>
      <c r="HXQ24" s="414"/>
      <c r="HXR24" s="414"/>
      <c r="HXS24" s="414"/>
      <c r="HXT24" s="414"/>
      <c r="HXU24" s="414"/>
      <c r="HXV24" s="414"/>
      <c r="HXW24" s="414"/>
      <c r="HXX24" s="414"/>
      <c r="HXY24" s="414"/>
      <c r="HXZ24" s="414"/>
      <c r="HYA24" s="414"/>
      <c r="HYB24" s="414"/>
      <c r="HYC24" s="414"/>
      <c r="HYD24" s="414"/>
      <c r="HYE24" s="414"/>
      <c r="HYF24" s="414"/>
      <c r="HYG24" s="414"/>
      <c r="HYH24" s="414"/>
      <c r="HYI24" s="414"/>
      <c r="HYJ24" s="414"/>
      <c r="HYK24" s="414"/>
      <c r="HYL24" s="414"/>
      <c r="HYM24" s="414"/>
      <c r="HYN24" s="414"/>
      <c r="HYO24" s="414"/>
      <c r="HYP24" s="414"/>
      <c r="HYQ24" s="414"/>
      <c r="HYR24" s="414"/>
      <c r="HYS24" s="414"/>
      <c r="HYT24" s="414"/>
      <c r="HYU24" s="414"/>
      <c r="HYV24" s="414"/>
      <c r="HYW24" s="414"/>
      <c r="HYX24" s="414"/>
      <c r="HYY24" s="414"/>
      <c r="HYZ24" s="414"/>
      <c r="HZA24" s="414"/>
      <c r="HZB24" s="414"/>
      <c r="HZC24" s="414"/>
      <c r="HZD24" s="414"/>
      <c r="HZE24" s="414"/>
      <c r="HZF24" s="414"/>
      <c r="HZG24" s="414"/>
      <c r="HZH24" s="414"/>
      <c r="HZI24" s="414"/>
      <c r="HZJ24" s="414"/>
      <c r="HZK24" s="414"/>
      <c r="HZL24" s="414"/>
      <c r="HZM24" s="414"/>
      <c r="HZN24" s="414"/>
      <c r="HZO24" s="414"/>
      <c r="HZP24" s="414"/>
      <c r="HZQ24" s="414"/>
      <c r="HZR24" s="414"/>
      <c r="HZS24" s="414"/>
      <c r="HZT24" s="414"/>
      <c r="HZU24" s="414"/>
      <c r="HZV24" s="414"/>
      <c r="HZW24" s="414"/>
      <c r="HZX24" s="414"/>
      <c r="HZY24" s="414"/>
      <c r="HZZ24" s="414"/>
      <c r="IAA24" s="414"/>
      <c r="IAB24" s="414"/>
      <c r="IAC24" s="414"/>
      <c r="IAD24" s="414"/>
      <c r="IAE24" s="414"/>
      <c r="IAF24" s="414"/>
      <c r="IAG24" s="414"/>
      <c r="IAH24" s="414"/>
      <c r="IAI24" s="414"/>
      <c r="IAJ24" s="414"/>
      <c r="IAK24" s="414"/>
      <c r="IAL24" s="414"/>
      <c r="IAM24" s="414"/>
      <c r="IAN24" s="414"/>
      <c r="IAO24" s="414"/>
      <c r="IAP24" s="414"/>
      <c r="IAQ24" s="414"/>
      <c r="IAR24" s="414"/>
      <c r="IAS24" s="414"/>
      <c r="IAT24" s="414"/>
      <c r="IAU24" s="414"/>
      <c r="IAV24" s="414"/>
      <c r="IAW24" s="414"/>
      <c r="IAX24" s="414"/>
      <c r="IAY24" s="414"/>
      <c r="IAZ24" s="414"/>
      <c r="IBA24" s="414"/>
      <c r="IBB24" s="414"/>
      <c r="IBC24" s="414"/>
      <c r="IBD24" s="414"/>
      <c r="IBE24" s="414"/>
      <c r="IBF24" s="414"/>
      <c r="IBG24" s="414"/>
      <c r="IBH24" s="414"/>
      <c r="IBI24" s="414"/>
      <c r="IBJ24" s="414"/>
      <c r="IBK24" s="414"/>
      <c r="IBL24" s="414"/>
      <c r="IBM24" s="414"/>
      <c r="IBN24" s="414"/>
      <c r="IBO24" s="414"/>
      <c r="IBP24" s="414"/>
      <c r="IBQ24" s="414"/>
      <c r="IBR24" s="414"/>
      <c r="IBS24" s="414"/>
      <c r="IBT24" s="414"/>
      <c r="IBU24" s="414"/>
      <c r="IBV24" s="414"/>
      <c r="IBW24" s="414"/>
      <c r="IBX24" s="414"/>
      <c r="IBY24" s="414"/>
      <c r="IBZ24" s="414"/>
      <c r="ICA24" s="414"/>
      <c r="ICB24" s="414"/>
      <c r="ICC24" s="414"/>
      <c r="ICD24" s="414"/>
      <c r="ICE24" s="414"/>
      <c r="ICF24" s="414"/>
      <c r="ICG24" s="414"/>
      <c r="ICH24" s="414"/>
      <c r="ICI24" s="414"/>
      <c r="ICJ24" s="414"/>
      <c r="ICK24" s="414"/>
      <c r="ICL24" s="414"/>
      <c r="ICM24" s="414"/>
      <c r="ICN24" s="414"/>
      <c r="ICO24" s="414"/>
      <c r="ICP24" s="414"/>
      <c r="ICQ24" s="414"/>
      <c r="ICR24" s="414"/>
      <c r="ICS24" s="414"/>
      <c r="ICT24" s="414"/>
      <c r="ICU24" s="414"/>
      <c r="ICV24" s="414"/>
      <c r="ICW24" s="414"/>
      <c r="ICX24" s="414"/>
      <c r="ICY24" s="414"/>
      <c r="ICZ24" s="414"/>
      <c r="IDA24" s="414"/>
      <c r="IDB24" s="414"/>
      <c r="IDC24" s="414"/>
      <c r="IDD24" s="414"/>
      <c r="IDE24" s="414"/>
      <c r="IDF24" s="414"/>
      <c r="IDG24" s="414"/>
      <c r="IDH24" s="414"/>
      <c r="IDI24" s="414"/>
      <c r="IDJ24" s="414"/>
      <c r="IDK24" s="414"/>
      <c r="IDL24" s="414"/>
      <c r="IDM24" s="414"/>
      <c r="IDN24" s="414"/>
      <c r="IDO24" s="414"/>
      <c r="IDP24" s="414"/>
      <c r="IDQ24" s="414"/>
      <c r="IDR24" s="414"/>
      <c r="IDS24" s="414"/>
      <c r="IDT24" s="414"/>
      <c r="IDU24" s="414"/>
      <c r="IDV24" s="414"/>
      <c r="IDW24" s="414"/>
      <c r="IDX24" s="414"/>
      <c r="IDY24" s="414"/>
      <c r="IDZ24" s="414"/>
      <c r="IEA24" s="414"/>
      <c r="IEB24" s="414"/>
      <c r="IEC24" s="414"/>
      <c r="IED24" s="414"/>
      <c r="IEE24" s="414"/>
      <c r="IEF24" s="414"/>
      <c r="IEG24" s="414"/>
      <c r="IEH24" s="414"/>
      <c r="IEI24" s="414"/>
      <c r="IEJ24" s="414"/>
      <c r="IEK24" s="414"/>
      <c r="IEL24" s="414"/>
      <c r="IEM24" s="414"/>
      <c r="IEN24" s="414"/>
      <c r="IEO24" s="414"/>
      <c r="IEP24" s="414"/>
      <c r="IEQ24" s="414"/>
      <c r="IER24" s="414"/>
      <c r="IES24" s="414"/>
      <c r="IET24" s="414"/>
      <c r="IEU24" s="414"/>
      <c r="IEV24" s="414"/>
      <c r="IEW24" s="414"/>
      <c r="IEX24" s="414"/>
      <c r="IEY24" s="414"/>
      <c r="IEZ24" s="414"/>
      <c r="IFA24" s="414"/>
      <c r="IFB24" s="414"/>
      <c r="IFC24" s="414"/>
      <c r="IFD24" s="414"/>
      <c r="IFE24" s="414"/>
      <c r="IFF24" s="414"/>
      <c r="IFG24" s="414"/>
      <c r="IFH24" s="414"/>
      <c r="IFI24" s="414"/>
      <c r="IFJ24" s="414"/>
      <c r="IFK24" s="414"/>
      <c r="IFL24" s="414"/>
      <c r="IFM24" s="414"/>
      <c r="IFN24" s="414"/>
      <c r="IFO24" s="414"/>
      <c r="IFP24" s="414"/>
      <c r="IFQ24" s="414"/>
      <c r="IFR24" s="414"/>
      <c r="IFS24" s="414"/>
      <c r="IFT24" s="414"/>
      <c r="IFU24" s="414"/>
      <c r="IFV24" s="414"/>
      <c r="IFW24" s="414"/>
      <c r="IFX24" s="414"/>
      <c r="IFY24" s="414"/>
      <c r="IFZ24" s="414"/>
      <c r="IGA24" s="414"/>
      <c r="IGB24" s="414"/>
      <c r="IGC24" s="414"/>
      <c r="IGD24" s="414"/>
      <c r="IGE24" s="414"/>
      <c r="IGF24" s="414"/>
      <c r="IGG24" s="414"/>
      <c r="IGH24" s="414"/>
      <c r="IGI24" s="414"/>
      <c r="IGJ24" s="414"/>
      <c r="IGK24" s="414"/>
      <c r="IGL24" s="414"/>
      <c r="IGM24" s="414"/>
      <c r="IGN24" s="414"/>
      <c r="IGO24" s="414"/>
      <c r="IGP24" s="414"/>
      <c r="IGQ24" s="414"/>
      <c r="IGR24" s="414"/>
      <c r="IGS24" s="414"/>
      <c r="IGT24" s="414"/>
      <c r="IGU24" s="414"/>
      <c r="IGV24" s="414"/>
      <c r="IGW24" s="414"/>
      <c r="IGX24" s="414"/>
      <c r="IGY24" s="414"/>
      <c r="IGZ24" s="414"/>
      <c r="IHA24" s="414"/>
      <c r="IHB24" s="414"/>
      <c r="IHC24" s="414"/>
      <c r="IHD24" s="414"/>
      <c r="IHE24" s="414"/>
      <c r="IHF24" s="414"/>
      <c r="IHG24" s="414"/>
      <c r="IHH24" s="414"/>
      <c r="IHI24" s="414"/>
      <c r="IHJ24" s="414"/>
      <c r="IHK24" s="414"/>
      <c r="IHL24" s="414"/>
      <c r="IHM24" s="414"/>
      <c r="IHN24" s="414"/>
      <c r="IHO24" s="414"/>
      <c r="IHP24" s="414"/>
      <c r="IHQ24" s="414"/>
      <c r="IHR24" s="414"/>
      <c r="IHS24" s="414"/>
      <c r="IHT24" s="414"/>
      <c r="IHU24" s="414"/>
      <c r="IHV24" s="414"/>
      <c r="IHW24" s="414"/>
      <c r="IHX24" s="414"/>
      <c r="IHY24" s="414"/>
      <c r="IHZ24" s="414"/>
      <c r="IIA24" s="414"/>
      <c r="IIB24" s="414"/>
      <c r="IIC24" s="414"/>
      <c r="IID24" s="414"/>
      <c r="IIE24" s="414"/>
      <c r="IIF24" s="414"/>
      <c r="IIG24" s="414"/>
      <c r="IIH24" s="414"/>
      <c r="III24" s="414"/>
      <c r="IIJ24" s="414"/>
      <c r="IIK24" s="414"/>
      <c r="IIL24" s="414"/>
      <c r="IIM24" s="414"/>
      <c r="IIN24" s="414"/>
      <c r="IIO24" s="414"/>
      <c r="IIP24" s="414"/>
      <c r="IIQ24" s="414"/>
      <c r="IIR24" s="414"/>
      <c r="IIS24" s="414"/>
      <c r="IIT24" s="414"/>
      <c r="IIU24" s="414"/>
      <c r="IIV24" s="414"/>
      <c r="IIW24" s="414"/>
      <c r="IIX24" s="414"/>
      <c r="IIY24" s="414"/>
      <c r="IIZ24" s="414"/>
      <c r="IJA24" s="414"/>
      <c r="IJB24" s="414"/>
      <c r="IJC24" s="414"/>
      <c r="IJD24" s="414"/>
      <c r="IJE24" s="414"/>
      <c r="IJF24" s="414"/>
      <c r="IJG24" s="414"/>
      <c r="IJH24" s="414"/>
      <c r="IJI24" s="414"/>
      <c r="IJJ24" s="414"/>
      <c r="IJK24" s="414"/>
      <c r="IJL24" s="414"/>
      <c r="IJM24" s="414"/>
      <c r="IJN24" s="414"/>
      <c r="IJO24" s="414"/>
      <c r="IJP24" s="414"/>
      <c r="IJQ24" s="414"/>
      <c r="IJR24" s="414"/>
      <c r="IJS24" s="414"/>
      <c r="IJT24" s="414"/>
      <c r="IJU24" s="414"/>
      <c r="IJV24" s="414"/>
      <c r="IJW24" s="414"/>
      <c r="IJX24" s="414"/>
      <c r="IJY24" s="414"/>
      <c r="IJZ24" s="414"/>
      <c r="IKA24" s="414"/>
      <c r="IKB24" s="414"/>
      <c r="IKC24" s="414"/>
      <c r="IKD24" s="414"/>
      <c r="IKE24" s="414"/>
      <c r="IKF24" s="414"/>
      <c r="IKG24" s="414"/>
      <c r="IKH24" s="414"/>
      <c r="IKI24" s="414"/>
      <c r="IKJ24" s="414"/>
      <c r="IKK24" s="414"/>
      <c r="IKL24" s="414"/>
      <c r="IKM24" s="414"/>
      <c r="IKN24" s="414"/>
      <c r="IKO24" s="414"/>
      <c r="IKP24" s="414"/>
      <c r="IKQ24" s="414"/>
      <c r="IKR24" s="414"/>
      <c r="IKS24" s="414"/>
      <c r="IKT24" s="414"/>
      <c r="IKU24" s="414"/>
      <c r="IKV24" s="414"/>
      <c r="IKW24" s="414"/>
      <c r="IKX24" s="414"/>
      <c r="IKY24" s="414"/>
      <c r="IKZ24" s="414"/>
      <c r="ILA24" s="414"/>
      <c r="ILB24" s="414"/>
      <c r="ILC24" s="414"/>
      <c r="ILD24" s="414"/>
      <c r="ILE24" s="414"/>
      <c r="ILF24" s="414"/>
      <c r="ILG24" s="414"/>
      <c r="ILH24" s="414"/>
      <c r="ILI24" s="414"/>
      <c r="ILJ24" s="414"/>
      <c r="ILK24" s="414"/>
      <c r="ILL24" s="414"/>
      <c r="ILM24" s="414"/>
      <c r="ILN24" s="414"/>
      <c r="ILO24" s="414"/>
      <c r="ILP24" s="414"/>
      <c r="ILQ24" s="414"/>
      <c r="ILR24" s="414"/>
      <c r="ILS24" s="414"/>
      <c r="ILT24" s="414"/>
      <c r="ILU24" s="414"/>
      <c r="ILV24" s="414"/>
      <c r="ILW24" s="414"/>
      <c r="ILX24" s="414"/>
      <c r="ILY24" s="414"/>
      <c r="ILZ24" s="414"/>
      <c r="IMA24" s="414"/>
      <c r="IMB24" s="414"/>
      <c r="IMC24" s="414"/>
      <c r="IMD24" s="414"/>
      <c r="IME24" s="414"/>
      <c r="IMF24" s="414"/>
      <c r="IMG24" s="414"/>
      <c r="IMH24" s="414"/>
      <c r="IMI24" s="414"/>
      <c r="IMJ24" s="414"/>
      <c r="IMK24" s="414"/>
      <c r="IML24" s="414"/>
      <c r="IMM24" s="414"/>
      <c r="IMN24" s="414"/>
      <c r="IMO24" s="414"/>
      <c r="IMP24" s="414"/>
      <c r="IMQ24" s="414"/>
      <c r="IMR24" s="414"/>
      <c r="IMS24" s="414"/>
      <c r="IMT24" s="414"/>
      <c r="IMU24" s="414"/>
      <c r="IMV24" s="414"/>
      <c r="IMW24" s="414"/>
      <c r="IMX24" s="414"/>
      <c r="IMY24" s="414"/>
      <c r="IMZ24" s="414"/>
      <c r="INA24" s="414"/>
      <c r="INB24" s="414"/>
      <c r="INC24" s="414"/>
      <c r="IND24" s="414"/>
      <c r="INE24" s="414"/>
      <c r="INF24" s="414"/>
      <c r="ING24" s="414"/>
      <c r="INH24" s="414"/>
      <c r="INI24" s="414"/>
      <c r="INJ24" s="414"/>
      <c r="INK24" s="414"/>
      <c r="INL24" s="414"/>
      <c r="INM24" s="414"/>
      <c r="INN24" s="414"/>
      <c r="INO24" s="414"/>
      <c r="INP24" s="414"/>
      <c r="INQ24" s="414"/>
      <c r="INR24" s="414"/>
      <c r="INS24" s="414"/>
      <c r="INT24" s="414"/>
      <c r="INU24" s="414"/>
      <c r="INV24" s="414"/>
      <c r="INW24" s="414"/>
      <c r="INX24" s="414"/>
      <c r="INY24" s="414"/>
      <c r="INZ24" s="414"/>
      <c r="IOA24" s="414"/>
      <c r="IOB24" s="414"/>
      <c r="IOC24" s="414"/>
      <c r="IOD24" s="414"/>
      <c r="IOE24" s="414"/>
      <c r="IOF24" s="414"/>
      <c r="IOG24" s="414"/>
      <c r="IOH24" s="414"/>
      <c r="IOI24" s="414"/>
      <c r="IOJ24" s="414"/>
      <c r="IOK24" s="414"/>
      <c r="IOL24" s="414"/>
      <c r="IOM24" s="414"/>
      <c r="ION24" s="414"/>
      <c r="IOO24" s="414"/>
      <c r="IOP24" s="414"/>
      <c r="IOQ24" s="414"/>
      <c r="IOR24" s="414"/>
      <c r="IOS24" s="414"/>
      <c r="IOT24" s="414"/>
      <c r="IOU24" s="414"/>
      <c r="IOV24" s="414"/>
      <c r="IOW24" s="414"/>
      <c r="IOX24" s="414"/>
      <c r="IOY24" s="414"/>
      <c r="IOZ24" s="414"/>
      <c r="IPA24" s="414"/>
      <c r="IPB24" s="414"/>
      <c r="IPC24" s="414"/>
      <c r="IPD24" s="414"/>
      <c r="IPE24" s="414"/>
      <c r="IPF24" s="414"/>
      <c r="IPG24" s="414"/>
      <c r="IPH24" s="414"/>
      <c r="IPI24" s="414"/>
      <c r="IPJ24" s="414"/>
      <c r="IPK24" s="414"/>
      <c r="IPL24" s="414"/>
      <c r="IPM24" s="414"/>
      <c r="IPN24" s="414"/>
      <c r="IPO24" s="414"/>
      <c r="IPP24" s="414"/>
      <c r="IPQ24" s="414"/>
      <c r="IPR24" s="414"/>
      <c r="IPS24" s="414"/>
      <c r="IPT24" s="414"/>
      <c r="IPU24" s="414"/>
      <c r="IPV24" s="414"/>
      <c r="IPW24" s="414"/>
      <c r="IPX24" s="414"/>
      <c r="IPY24" s="414"/>
      <c r="IPZ24" s="414"/>
      <c r="IQA24" s="414"/>
      <c r="IQB24" s="414"/>
      <c r="IQC24" s="414"/>
      <c r="IQD24" s="414"/>
      <c r="IQE24" s="414"/>
      <c r="IQF24" s="414"/>
      <c r="IQG24" s="414"/>
      <c r="IQH24" s="414"/>
      <c r="IQI24" s="414"/>
      <c r="IQJ24" s="414"/>
      <c r="IQK24" s="414"/>
      <c r="IQL24" s="414"/>
      <c r="IQM24" s="414"/>
      <c r="IQN24" s="414"/>
      <c r="IQO24" s="414"/>
      <c r="IQP24" s="414"/>
      <c r="IQQ24" s="414"/>
      <c r="IQR24" s="414"/>
      <c r="IQS24" s="414"/>
      <c r="IQT24" s="414"/>
      <c r="IQU24" s="414"/>
      <c r="IQV24" s="414"/>
      <c r="IQW24" s="414"/>
      <c r="IQX24" s="414"/>
      <c r="IQY24" s="414"/>
      <c r="IQZ24" s="414"/>
      <c r="IRA24" s="414"/>
      <c r="IRB24" s="414"/>
      <c r="IRC24" s="414"/>
      <c r="IRD24" s="414"/>
      <c r="IRE24" s="414"/>
      <c r="IRF24" s="414"/>
      <c r="IRG24" s="414"/>
      <c r="IRH24" s="414"/>
      <c r="IRI24" s="414"/>
      <c r="IRJ24" s="414"/>
      <c r="IRK24" s="414"/>
      <c r="IRL24" s="414"/>
      <c r="IRM24" s="414"/>
      <c r="IRN24" s="414"/>
      <c r="IRO24" s="414"/>
      <c r="IRP24" s="414"/>
      <c r="IRQ24" s="414"/>
      <c r="IRR24" s="414"/>
      <c r="IRS24" s="414"/>
      <c r="IRT24" s="414"/>
      <c r="IRU24" s="414"/>
      <c r="IRV24" s="414"/>
      <c r="IRW24" s="414"/>
      <c r="IRX24" s="414"/>
      <c r="IRY24" s="414"/>
      <c r="IRZ24" s="414"/>
      <c r="ISA24" s="414"/>
      <c r="ISB24" s="414"/>
      <c r="ISC24" s="414"/>
      <c r="ISD24" s="414"/>
      <c r="ISE24" s="414"/>
      <c r="ISF24" s="414"/>
      <c r="ISG24" s="414"/>
      <c r="ISH24" s="414"/>
      <c r="ISI24" s="414"/>
      <c r="ISJ24" s="414"/>
      <c r="ISK24" s="414"/>
      <c r="ISL24" s="414"/>
      <c r="ISM24" s="414"/>
      <c r="ISN24" s="414"/>
      <c r="ISO24" s="414"/>
      <c r="ISP24" s="414"/>
      <c r="ISQ24" s="414"/>
      <c r="ISR24" s="414"/>
      <c r="ISS24" s="414"/>
      <c r="IST24" s="414"/>
      <c r="ISU24" s="414"/>
      <c r="ISV24" s="414"/>
      <c r="ISW24" s="414"/>
      <c r="ISX24" s="414"/>
      <c r="ISY24" s="414"/>
      <c r="ISZ24" s="414"/>
      <c r="ITA24" s="414"/>
      <c r="ITB24" s="414"/>
      <c r="ITC24" s="414"/>
      <c r="ITD24" s="414"/>
      <c r="ITE24" s="414"/>
      <c r="ITF24" s="414"/>
      <c r="ITG24" s="414"/>
      <c r="ITH24" s="414"/>
      <c r="ITI24" s="414"/>
      <c r="ITJ24" s="414"/>
      <c r="ITK24" s="414"/>
      <c r="ITL24" s="414"/>
      <c r="ITM24" s="414"/>
      <c r="ITN24" s="414"/>
      <c r="ITO24" s="414"/>
      <c r="ITP24" s="414"/>
      <c r="ITQ24" s="414"/>
      <c r="ITR24" s="414"/>
      <c r="ITS24" s="414"/>
      <c r="ITT24" s="414"/>
      <c r="ITU24" s="414"/>
      <c r="ITV24" s="414"/>
      <c r="ITW24" s="414"/>
      <c r="ITX24" s="414"/>
      <c r="ITY24" s="414"/>
      <c r="ITZ24" s="414"/>
      <c r="IUA24" s="414"/>
      <c r="IUB24" s="414"/>
      <c r="IUC24" s="414"/>
      <c r="IUD24" s="414"/>
      <c r="IUE24" s="414"/>
      <c r="IUF24" s="414"/>
      <c r="IUG24" s="414"/>
      <c r="IUH24" s="414"/>
      <c r="IUI24" s="414"/>
      <c r="IUJ24" s="414"/>
      <c r="IUK24" s="414"/>
      <c r="IUL24" s="414"/>
      <c r="IUM24" s="414"/>
      <c r="IUN24" s="414"/>
      <c r="IUO24" s="414"/>
      <c r="IUP24" s="414"/>
      <c r="IUQ24" s="414"/>
      <c r="IUR24" s="414"/>
      <c r="IUS24" s="414"/>
      <c r="IUT24" s="414"/>
      <c r="IUU24" s="414"/>
      <c r="IUV24" s="414"/>
      <c r="IUW24" s="414"/>
      <c r="IUX24" s="414"/>
      <c r="IUY24" s="414"/>
      <c r="IUZ24" s="414"/>
      <c r="IVA24" s="414"/>
      <c r="IVB24" s="414"/>
      <c r="IVC24" s="414"/>
      <c r="IVD24" s="414"/>
      <c r="IVE24" s="414"/>
      <c r="IVF24" s="414"/>
      <c r="IVG24" s="414"/>
      <c r="IVH24" s="414"/>
      <c r="IVI24" s="414"/>
      <c r="IVJ24" s="414"/>
      <c r="IVK24" s="414"/>
      <c r="IVL24" s="414"/>
      <c r="IVM24" s="414"/>
      <c r="IVN24" s="414"/>
      <c r="IVO24" s="414"/>
      <c r="IVP24" s="414"/>
      <c r="IVQ24" s="414"/>
      <c r="IVR24" s="414"/>
      <c r="IVS24" s="414"/>
      <c r="IVT24" s="414"/>
      <c r="IVU24" s="414"/>
      <c r="IVV24" s="414"/>
      <c r="IVW24" s="414"/>
      <c r="IVX24" s="414"/>
      <c r="IVY24" s="414"/>
      <c r="IVZ24" s="414"/>
      <c r="IWA24" s="414"/>
      <c r="IWB24" s="414"/>
      <c r="IWC24" s="414"/>
      <c r="IWD24" s="414"/>
      <c r="IWE24" s="414"/>
      <c r="IWF24" s="414"/>
      <c r="IWG24" s="414"/>
      <c r="IWH24" s="414"/>
      <c r="IWI24" s="414"/>
      <c r="IWJ24" s="414"/>
      <c r="IWK24" s="414"/>
      <c r="IWL24" s="414"/>
      <c r="IWM24" s="414"/>
      <c r="IWN24" s="414"/>
      <c r="IWO24" s="414"/>
      <c r="IWP24" s="414"/>
      <c r="IWQ24" s="414"/>
      <c r="IWR24" s="414"/>
      <c r="IWS24" s="414"/>
      <c r="IWT24" s="414"/>
      <c r="IWU24" s="414"/>
      <c r="IWV24" s="414"/>
      <c r="IWW24" s="414"/>
      <c r="IWX24" s="414"/>
      <c r="IWY24" s="414"/>
      <c r="IWZ24" s="414"/>
      <c r="IXA24" s="414"/>
      <c r="IXB24" s="414"/>
      <c r="IXC24" s="414"/>
      <c r="IXD24" s="414"/>
      <c r="IXE24" s="414"/>
      <c r="IXF24" s="414"/>
      <c r="IXG24" s="414"/>
      <c r="IXH24" s="414"/>
      <c r="IXI24" s="414"/>
      <c r="IXJ24" s="414"/>
      <c r="IXK24" s="414"/>
      <c r="IXL24" s="414"/>
      <c r="IXM24" s="414"/>
      <c r="IXN24" s="414"/>
      <c r="IXO24" s="414"/>
      <c r="IXP24" s="414"/>
      <c r="IXQ24" s="414"/>
      <c r="IXR24" s="414"/>
      <c r="IXS24" s="414"/>
      <c r="IXT24" s="414"/>
      <c r="IXU24" s="414"/>
      <c r="IXV24" s="414"/>
      <c r="IXW24" s="414"/>
      <c r="IXX24" s="414"/>
      <c r="IXY24" s="414"/>
      <c r="IXZ24" s="414"/>
      <c r="IYA24" s="414"/>
      <c r="IYB24" s="414"/>
      <c r="IYC24" s="414"/>
      <c r="IYD24" s="414"/>
      <c r="IYE24" s="414"/>
      <c r="IYF24" s="414"/>
      <c r="IYG24" s="414"/>
      <c r="IYH24" s="414"/>
      <c r="IYI24" s="414"/>
      <c r="IYJ24" s="414"/>
      <c r="IYK24" s="414"/>
      <c r="IYL24" s="414"/>
      <c r="IYM24" s="414"/>
      <c r="IYN24" s="414"/>
      <c r="IYO24" s="414"/>
      <c r="IYP24" s="414"/>
      <c r="IYQ24" s="414"/>
      <c r="IYR24" s="414"/>
      <c r="IYS24" s="414"/>
      <c r="IYT24" s="414"/>
      <c r="IYU24" s="414"/>
      <c r="IYV24" s="414"/>
      <c r="IYW24" s="414"/>
      <c r="IYX24" s="414"/>
      <c r="IYY24" s="414"/>
      <c r="IYZ24" s="414"/>
      <c r="IZA24" s="414"/>
      <c r="IZB24" s="414"/>
      <c r="IZC24" s="414"/>
      <c r="IZD24" s="414"/>
      <c r="IZE24" s="414"/>
      <c r="IZF24" s="414"/>
      <c r="IZG24" s="414"/>
      <c r="IZH24" s="414"/>
      <c r="IZI24" s="414"/>
      <c r="IZJ24" s="414"/>
      <c r="IZK24" s="414"/>
      <c r="IZL24" s="414"/>
      <c r="IZM24" s="414"/>
      <c r="IZN24" s="414"/>
      <c r="IZO24" s="414"/>
      <c r="IZP24" s="414"/>
      <c r="IZQ24" s="414"/>
      <c r="IZR24" s="414"/>
      <c r="IZS24" s="414"/>
      <c r="IZT24" s="414"/>
      <c r="IZU24" s="414"/>
      <c r="IZV24" s="414"/>
      <c r="IZW24" s="414"/>
      <c r="IZX24" s="414"/>
      <c r="IZY24" s="414"/>
      <c r="IZZ24" s="414"/>
      <c r="JAA24" s="414"/>
      <c r="JAB24" s="414"/>
      <c r="JAC24" s="414"/>
      <c r="JAD24" s="414"/>
      <c r="JAE24" s="414"/>
      <c r="JAF24" s="414"/>
      <c r="JAG24" s="414"/>
      <c r="JAH24" s="414"/>
      <c r="JAI24" s="414"/>
      <c r="JAJ24" s="414"/>
      <c r="JAK24" s="414"/>
      <c r="JAL24" s="414"/>
      <c r="JAM24" s="414"/>
      <c r="JAN24" s="414"/>
      <c r="JAO24" s="414"/>
      <c r="JAP24" s="414"/>
      <c r="JAQ24" s="414"/>
      <c r="JAR24" s="414"/>
      <c r="JAS24" s="414"/>
      <c r="JAT24" s="414"/>
      <c r="JAU24" s="414"/>
      <c r="JAV24" s="414"/>
      <c r="JAW24" s="414"/>
      <c r="JAX24" s="414"/>
      <c r="JAY24" s="414"/>
      <c r="JAZ24" s="414"/>
      <c r="JBA24" s="414"/>
      <c r="JBB24" s="414"/>
      <c r="JBC24" s="414"/>
      <c r="JBD24" s="414"/>
      <c r="JBE24" s="414"/>
      <c r="JBF24" s="414"/>
      <c r="JBG24" s="414"/>
      <c r="JBH24" s="414"/>
      <c r="JBI24" s="414"/>
      <c r="JBJ24" s="414"/>
      <c r="JBK24" s="414"/>
      <c r="JBL24" s="414"/>
      <c r="JBM24" s="414"/>
      <c r="JBN24" s="414"/>
      <c r="JBO24" s="414"/>
      <c r="JBP24" s="414"/>
      <c r="JBQ24" s="414"/>
      <c r="JBR24" s="414"/>
      <c r="JBS24" s="414"/>
      <c r="JBT24" s="414"/>
      <c r="JBU24" s="414"/>
      <c r="JBV24" s="414"/>
      <c r="JBW24" s="414"/>
      <c r="JBX24" s="414"/>
      <c r="JBY24" s="414"/>
      <c r="JBZ24" s="414"/>
      <c r="JCA24" s="414"/>
      <c r="JCB24" s="414"/>
      <c r="JCC24" s="414"/>
      <c r="JCD24" s="414"/>
      <c r="JCE24" s="414"/>
      <c r="JCF24" s="414"/>
      <c r="JCG24" s="414"/>
      <c r="JCH24" s="414"/>
      <c r="JCI24" s="414"/>
      <c r="JCJ24" s="414"/>
      <c r="JCK24" s="414"/>
      <c r="JCL24" s="414"/>
      <c r="JCM24" s="414"/>
      <c r="JCN24" s="414"/>
      <c r="JCO24" s="414"/>
      <c r="JCP24" s="414"/>
      <c r="JCQ24" s="414"/>
      <c r="JCR24" s="414"/>
      <c r="JCS24" s="414"/>
      <c r="JCT24" s="414"/>
      <c r="JCU24" s="414"/>
      <c r="JCV24" s="414"/>
      <c r="JCW24" s="414"/>
      <c r="JCX24" s="414"/>
      <c r="JCY24" s="414"/>
      <c r="JCZ24" s="414"/>
      <c r="JDA24" s="414"/>
      <c r="JDB24" s="414"/>
      <c r="JDC24" s="414"/>
      <c r="JDD24" s="414"/>
      <c r="JDE24" s="414"/>
      <c r="JDF24" s="414"/>
      <c r="JDG24" s="414"/>
      <c r="JDH24" s="414"/>
      <c r="JDI24" s="414"/>
      <c r="JDJ24" s="414"/>
      <c r="JDK24" s="414"/>
      <c r="JDL24" s="414"/>
      <c r="JDM24" s="414"/>
      <c r="JDN24" s="414"/>
      <c r="JDO24" s="414"/>
      <c r="JDP24" s="414"/>
      <c r="JDQ24" s="414"/>
      <c r="JDR24" s="414"/>
      <c r="JDS24" s="414"/>
      <c r="JDT24" s="414"/>
      <c r="JDU24" s="414"/>
      <c r="JDV24" s="414"/>
      <c r="JDW24" s="414"/>
      <c r="JDX24" s="414"/>
      <c r="JDY24" s="414"/>
      <c r="JDZ24" s="414"/>
      <c r="JEA24" s="414"/>
      <c r="JEB24" s="414"/>
      <c r="JEC24" s="414"/>
      <c r="JED24" s="414"/>
      <c r="JEE24" s="414"/>
      <c r="JEF24" s="414"/>
      <c r="JEG24" s="414"/>
      <c r="JEH24" s="414"/>
      <c r="JEI24" s="414"/>
      <c r="JEJ24" s="414"/>
      <c r="JEK24" s="414"/>
      <c r="JEL24" s="414"/>
      <c r="JEM24" s="414"/>
      <c r="JEN24" s="414"/>
      <c r="JEO24" s="414"/>
      <c r="JEP24" s="414"/>
      <c r="JEQ24" s="414"/>
      <c r="JER24" s="414"/>
      <c r="JES24" s="414"/>
      <c r="JET24" s="414"/>
      <c r="JEU24" s="414"/>
      <c r="JEV24" s="414"/>
      <c r="JEW24" s="414"/>
      <c r="JEX24" s="414"/>
      <c r="JEY24" s="414"/>
      <c r="JEZ24" s="414"/>
      <c r="JFA24" s="414"/>
      <c r="JFB24" s="414"/>
      <c r="JFC24" s="414"/>
      <c r="JFD24" s="414"/>
      <c r="JFE24" s="414"/>
      <c r="JFF24" s="414"/>
      <c r="JFG24" s="414"/>
      <c r="JFH24" s="414"/>
      <c r="JFI24" s="414"/>
      <c r="JFJ24" s="414"/>
      <c r="JFK24" s="414"/>
      <c r="JFL24" s="414"/>
      <c r="JFM24" s="414"/>
      <c r="JFN24" s="414"/>
      <c r="JFO24" s="414"/>
      <c r="JFP24" s="414"/>
      <c r="JFQ24" s="414"/>
      <c r="JFR24" s="414"/>
      <c r="JFS24" s="414"/>
      <c r="JFT24" s="414"/>
      <c r="JFU24" s="414"/>
      <c r="JFV24" s="414"/>
      <c r="JFW24" s="414"/>
      <c r="JFX24" s="414"/>
      <c r="JFY24" s="414"/>
      <c r="JFZ24" s="414"/>
      <c r="JGA24" s="414"/>
      <c r="JGB24" s="414"/>
      <c r="JGC24" s="414"/>
      <c r="JGD24" s="414"/>
      <c r="JGE24" s="414"/>
      <c r="JGF24" s="414"/>
      <c r="JGG24" s="414"/>
      <c r="JGH24" s="414"/>
      <c r="JGI24" s="414"/>
      <c r="JGJ24" s="414"/>
      <c r="JGK24" s="414"/>
      <c r="JGL24" s="414"/>
      <c r="JGM24" s="414"/>
      <c r="JGN24" s="414"/>
      <c r="JGO24" s="414"/>
      <c r="JGP24" s="414"/>
      <c r="JGQ24" s="414"/>
      <c r="JGR24" s="414"/>
      <c r="JGS24" s="414"/>
      <c r="JGT24" s="414"/>
      <c r="JGU24" s="414"/>
      <c r="JGV24" s="414"/>
      <c r="JGW24" s="414"/>
      <c r="JGX24" s="414"/>
      <c r="JGY24" s="414"/>
      <c r="JGZ24" s="414"/>
      <c r="JHA24" s="414"/>
      <c r="JHB24" s="414"/>
      <c r="JHC24" s="414"/>
      <c r="JHD24" s="414"/>
      <c r="JHE24" s="414"/>
      <c r="JHF24" s="414"/>
      <c r="JHG24" s="414"/>
      <c r="JHH24" s="414"/>
      <c r="JHI24" s="414"/>
      <c r="JHJ24" s="414"/>
      <c r="JHK24" s="414"/>
      <c r="JHL24" s="414"/>
      <c r="JHM24" s="414"/>
      <c r="JHN24" s="414"/>
      <c r="JHO24" s="414"/>
      <c r="JHP24" s="414"/>
      <c r="JHQ24" s="414"/>
      <c r="JHR24" s="414"/>
      <c r="JHS24" s="414"/>
      <c r="JHT24" s="414"/>
      <c r="JHU24" s="414"/>
      <c r="JHV24" s="414"/>
      <c r="JHW24" s="414"/>
      <c r="JHX24" s="414"/>
      <c r="JHY24" s="414"/>
      <c r="JHZ24" s="414"/>
      <c r="JIA24" s="414"/>
      <c r="JIB24" s="414"/>
      <c r="JIC24" s="414"/>
      <c r="JID24" s="414"/>
      <c r="JIE24" s="414"/>
      <c r="JIF24" s="414"/>
      <c r="JIG24" s="414"/>
      <c r="JIH24" s="414"/>
      <c r="JII24" s="414"/>
      <c r="JIJ24" s="414"/>
      <c r="JIK24" s="414"/>
      <c r="JIL24" s="414"/>
      <c r="JIM24" s="414"/>
      <c r="JIN24" s="414"/>
      <c r="JIO24" s="414"/>
      <c r="JIP24" s="414"/>
      <c r="JIQ24" s="414"/>
      <c r="JIR24" s="414"/>
      <c r="JIS24" s="414"/>
      <c r="JIT24" s="414"/>
      <c r="JIU24" s="414"/>
      <c r="JIV24" s="414"/>
      <c r="JIW24" s="414"/>
      <c r="JIX24" s="414"/>
      <c r="JIY24" s="414"/>
      <c r="JIZ24" s="414"/>
      <c r="JJA24" s="414"/>
      <c r="JJB24" s="414"/>
      <c r="JJC24" s="414"/>
      <c r="JJD24" s="414"/>
      <c r="JJE24" s="414"/>
      <c r="JJF24" s="414"/>
      <c r="JJG24" s="414"/>
      <c r="JJH24" s="414"/>
      <c r="JJI24" s="414"/>
      <c r="JJJ24" s="414"/>
      <c r="JJK24" s="414"/>
      <c r="JJL24" s="414"/>
      <c r="JJM24" s="414"/>
      <c r="JJN24" s="414"/>
      <c r="JJO24" s="414"/>
      <c r="JJP24" s="414"/>
      <c r="JJQ24" s="414"/>
      <c r="JJR24" s="414"/>
      <c r="JJS24" s="414"/>
      <c r="JJT24" s="414"/>
      <c r="JJU24" s="414"/>
      <c r="JJV24" s="414"/>
      <c r="JJW24" s="414"/>
      <c r="JJX24" s="414"/>
      <c r="JJY24" s="414"/>
      <c r="JJZ24" s="414"/>
      <c r="JKA24" s="414"/>
      <c r="JKB24" s="414"/>
      <c r="JKC24" s="414"/>
      <c r="JKD24" s="414"/>
      <c r="JKE24" s="414"/>
      <c r="JKF24" s="414"/>
      <c r="JKG24" s="414"/>
      <c r="JKH24" s="414"/>
      <c r="JKI24" s="414"/>
      <c r="JKJ24" s="414"/>
      <c r="JKK24" s="414"/>
      <c r="JKL24" s="414"/>
      <c r="JKM24" s="414"/>
      <c r="JKN24" s="414"/>
      <c r="JKO24" s="414"/>
      <c r="JKP24" s="414"/>
      <c r="JKQ24" s="414"/>
      <c r="JKR24" s="414"/>
      <c r="JKS24" s="414"/>
      <c r="JKT24" s="414"/>
      <c r="JKU24" s="414"/>
      <c r="JKV24" s="414"/>
      <c r="JKW24" s="414"/>
      <c r="JKX24" s="414"/>
      <c r="JKY24" s="414"/>
      <c r="JKZ24" s="414"/>
      <c r="JLA24" s="414"/>
      <c r="JLB24" s="414"/>
      <c r="JLC24" s="414"/>
      <c r="JLD24" s="414"/>
      <c r="JLE24" s="414"/>
      <c r="JLF24" s="414"/>
      <c r="JLG24" s="414"/>
      <c r="JLH24" s="414"/>
      <c r="JLI24" s="414"/>
      <c r="JLJ24" s="414"/>
      <c r="JLK24" s="414"/>
      <c r="JLL24" s="414"/>
      <c r="JLM24" s="414"/>
      <c r="JLN24" s="414"/>
      <c r="JLO24" s="414"/>
      <c r="JLP24" s="414"/>
      <c r="JLQ24" s="414"/>
      <c r="JLR24" s="414"/>
      <c r="JLS24" s="414"/>
      <c r="JLT24" s="414"/>
      <c r="JLU24" s="414"/>
      <c r="JLV24" s="414"/>
      <c r="JLW24" s="414"/>
      <c r="JLX24" s="414"/>
      <c r="JLY24" s="414"/>
      <c r="JLZ24" s="414"/>
      <c r="JMA24" s="414"/>
      <c r="JMB24" s="414"/>
      <c r="JMC24" s="414"/>
      <c r="JMD24" s="414"/>
      <c r="JME24" s="414"/>
      <c r="JMF24" s="414"/>
      <c r="JMG24" s="414"/>
      <c r="JMH24" s="414"/>
      <c r="JMI24" s="414"/>
      <c r="JMJ24" s="414"/>
      <c r="JMK24" s="414"/>
      <c r="JML24" s="414"/>
      <c r="JMM24" s="414"/>
      <c r="JMN24" s="414"/>
      <c r="JMO24" s="414"/>
      <c r="JMP24" s="414"/>
      <c r="JMQ24" s="414"/>
      <c r="JMR24" s="414"/>
      <c r="JMS24" s="414"/>
      <c r="JMT24" s="414"/>
      <c r="JMU24" s="414"/>
      <c r="JMV24" s="414"/>
      <c r="JMW24" s="414"/>
      <c r="JMX24" s="414"/>
      <c r="JMY24" s="414"/>
      <c r="JMZ24" s="414"/>
      <c r="JNA24" s="414"/>
      <c r="JNB24" s="414"/>
      <c r="JNC24" s="414"/>
      <c r="JND24" s="414"/>
      <c r="JNE24" s="414"/>
      <c r="JNF24" s="414"/>
      <c r="JNG24" s="414"/>
      <c r="JNH24" s="414"/>
      <c r="JNI24" s="414"/>
      <c r="JNJ24" s="414"/>
      <c r="JNK24" s="414"/>
      <c r="JNL24" s="414"/>
      <c r="JNM24" s="414"/>
      <c r="JNN24" s="414"/>
      <c r="JNO24" s="414"/>
      <c r="JNP24" s="414"/>
      <c r="JNQ24" s="414"/>
      <c r="JNR24" s="414"/>
      <c r="JNS24" s="414"/>
      <c r="JNT24" s="414"/>
      <c r="JNU24" s="414"/>
      <c r="JNV24" s="414"/>
      <c r="JNW24" s="414"/>
      <c r="JNX24" s="414"/>
      <c r="JNY24" s="414"/>
      <c r="JNZ24" s="414"/>
      <c r="JOA24" s="414"/>
      <c r="JOB24" s="414"/>
      <c r="JOC24" s="414"/>
      <c r="JOD24" s="414"/>
      <c r="JOE24" s="414"/>
      <c r="JOF24" s="414"/>
      <c r="JOG24" s="414"/>
      <c r="JOH24" s="414"/>
      <c r="JOI24" s="414"/>
      <c r="JOJ24" s="414"/>
      <c r="JOK24" s="414"/>
      <c r="JOL24" s="414"/>
      <c r="JOM24" s="414"/>
      <c r="JON24" s="414"/>
      <c r="JOO24" s="414"/>
      <c r="JOP24" s="414"/>
      <c r="JOQ24" s="414"/>
      <c r="JOR24" s="414"/>
      <c r="JOS24" s="414"/>
      <c r="JOT24" s="414"/>
      <c r="JOU24" s="414"/>
      <c r="JOV24" s="414"/>
      <c r="JOW24" s="414"/>
      <c r="JOX24" s="414"/>
      <c r="JOY24" s="414"/>
      <c r="JOZ24" s="414"/>
      <c r="JPA24" s="414"/>
      <c r="JPB24" s="414"/>
      <c r="JPC24" s="414"/>
      <c r="JPD24" s="414"/>
      <c r="JPE24" s="414"/>
      <c r="JPF24" s="414"/>
      <c r="JPG24" s="414"/>
      <c r="JPH24" s="414"/>
      <c r="JPI24" s="414"/>
      <c r="JPJ24" s="414"/>
      <c r="JPK24" s="414"/>
      <c r="JPL24" s="414"/>
      <c r="JPM24" s="414"/>
      <c r="JPN24" s="414"/>
      <c r="JPO24" s="414"/>
      <c r="JPP24" s="414"/>
      <c r="JPQ24" s="414"/>
      <c r="JPR24" s="414"/>
      <c r="JPS24" s="414"/>
      <c r="JPT24" s="414"/>
      <c r="JPU24" s="414"/>
      <c r="JPV24" s="414"/>
      <c r="JPW24" s="414"/>
      <c r="JPX24" s="414"/>
      <c r="JPY24" s="414"/>
      <c r="JPZ24" s="414"/>
      <c r="JQA24" s="414"/>
      <c r="JQB24" s="414"/>
      <c r="JQC24" s="414"/>
      <c r="JQD24" s="414"/>
      <c r="JQE24" s="414"/>
      <c r="JQF24" s="414"/>
      <c r="JQG24" s="414"/>
      <c r="JQH24" s="414"/>
      <c r="JQI24" s="414"/>
      <c r="JQJ24" s="414"/>
      <c r="JQK24" s="414"/>
      <c r="JQL24" s="414"/>
      <c r="JQM24" s="414"/>
      <c r="JQN24" s="414"/>
      <c r="JQO24" s="414"/>
      <c r="JQP24" s="414"/>
      <c r="JQQ24" s="414"/>
      <c r="JQR24" s="414"/>
      <c r="JQS24" s="414"/>
      <c r="JQT24" s="414"/>
      <c r="JQU24" s="414"/>
      <c r="JQV24" s="414"/>
      <c r="JQW24" s="414"/>
      <c r="JQX24" s="414"/>
      <c r="JQY24" s="414"/>
      <c r="JQZ24" s="414"/>
      <c r="JRA24" s="414"/>
      <c r="JRB24" s="414"/>
      <c r="JRC24" s="414"/>
      <c r="JRD24" s="414"/>
      <c r="JRE24" s="414"/>
      <c r="JRF24" s="414"/>
      <c r="JRG24" s="414"/>
      <c r="JRH24" s="414"/>
      <c r="JRI24" s="414"/>
      <c r="JRJ24" s="414"/>
      <c r="JRK24" s="414"/>
      <c r="JRL24" s="414"/>
      <c r="JRM24" s="414"/>
      <c r="JRN24" s="414"/>
      <c r="JRO24" s="414"/>
      <c r="JRP24" s="414"/>
      <c r="JRQ24" s="414"/>
      <c r="JRR24" s="414"/>
      <c r="JRS24" s="414"/>
      <c r="JRT24" s="414"/>
      <c r="JRU24" s="414"/>
      <c r="JRV24" s="414"/>
      <c r="JRW24" s="414"/>
      <c r="JRX24" s="414"/>
      <c r="JRY24" s="414"/>
      <c r="JRZ24" s="414"/>
      <c r="JSA24" s="414"/>
      <c r="JSB24" s="414"/>
      <c r="JSC24" s="414"/>
      <c r="JSD24" s="414"/>
      <c r="JSE24" s="414"/>
      <c r="JSF24" s="414"/>
      <c r="JSG24" s="414"/>
      <c r="JSH24" s="414"/>
      <c r="JSI24" s="414"/>
      <c r="JSJ24" s="414"/>
      <c r="JSK24" s="414"/>
      <c r="JSL24" s="414"/>
      <c r="JSM24" s="414"/>
      <c r="JSN24" s="414"/>
      <c r="JSO24" s="414"/>
      <c r="JSP24" s="414"/>
      <c r="JSQ24" s="414"/>
      <c r="JSR24" s="414"/>
      <c r="JSS24" s="414"/>
      <c r="JST24" s="414"/>
      <c r="JSU24" s="414"/>
      <c r="JSV24" s="414"/>
      <c r="JSW24" s="414"/>
      <c r="JSX24" s="414"/>
      <c r="JSY24" s="414"/>
      <c r="JSZ24" s="414"/>
      <c r="JTA24" s="414"/>
      <c r="JTB24" s="414"/>
      <c r="JTC24" s="414"/>
      <c r="JTD24" s="414"/>
      <c r="JTE24" s="414"/>
      <c r="JTF24" s="414"/>
      <c r="JTG24" s="414"/>
      <c r="JTH24" s="414"/>
      <c r="JTI24" s="414"/>
      <c r="JTJ24" s="414"/>
      <c r="JTK24" s="414"/>
      <c r="JTL24" s="414"/>
      <c r="JTM24" s="414"/>
      <c r="JTN24" s="414"/>
      <c r="JTO24" s="414"/>
      <c r="JTP24" s="414"/>
      <c r="JTQ24" s="414"/>
      <c r="JTR24" s="414"/>
      <c r="JTS24" s="414"/>
      <c r="JTT24" s="414"/>
      <c r="JTU24" s="414"/>
      <c r="JTV24" s="414"/>
      <c r="JTW24" s="414"/>
      <c r="JTX24" s="414"/>
      <c r="JTY24" s="414"/>
      <c r="JTZ24" s="414"/>
      <c r="JUA24" s="414"/>
      <c r="JUB24" s="414"/>
      <c r="JUC24" s="414"/>
      <c r="JUD24" s="414"/>
      <c r="JUE24" s="414"/>
      <c r="JUF24" s="414"/>
      <c r="JUG24" s="414"/>
      <c r="JUH24" s="414"/>
      <c r="JUI24" s="414"/>
      <c r="JUJ24" s="414"/>
      <c r="JUK24" s="414"/>
      <c r="JUL24" s="414"/>
      <c r="JUM24" s="414"/>
      <c r="JUN24" s="414"/>
      <c r="JUO24" s="414"/>
      <c r="JUP24" s="414"/>
      <c r="JUQ24" s="414"/>
      <c r="JUR24" s="414"/>
      <c r="JUS24" s="414"/>
      <c r="JUT24" s="414"/>
      <c r="JUU24" s="414"/>
      <c r="JUV24" s="414"/>
      <c r="JUW24" s="414"/>
      <c r="JUX24" s="414"/>
      <c r="JUY24" s="414"/>
      <c r="JUZ24" s="414"/>
      <c r="JVA24" s="414"/>
      <c r="JVB24" s="414"/>
      <c r="JVC24" s="414"/>
      <c r="JVD24" s="414"/>
      <c r="JVE24" s="414"/>
      <c r="JVF24" s="414"/>
      <c r="JVG24" s="414"/>
      <c r="JVH24" s="414"/>
      <c r="JVI24" s="414"/>
      <c r="JVJ24" s="414"/>
      <c r="JVK24" s="414"/>
      <c r="JVL24" s="414"/>
      <c r="JVM24" s="414"/>
      <c r="JVN24" s="414"/>
      <c r="JVO24" s="414"/>
      <c r="JVP24" s="414"/>
      <c r="JVQ24" s="414"/>
      <c r="JVR24" s="414"/>
      <c r="JVS24" s="414"/>
      <c r="JVT24" s="414"/>
      <c r="JVU24" s="414"/>
      <c r="JVV24" s="414"/>
      <c r="JVW24" s="414"/>
      <c r="JVX24" s="414"/>
      <c r="JVY24" s="414"/>
      <c r="JVZ24" s="414"/>
      <c r="JWA24" s="414"/>
      <c r="JWB24" s="414"/>
      <c r="JWC24" s="414"/>
      <c r="JWD24" s="414"/>
      <c r="JWE24" s="414"/>
      <c r="JWF24" s="414"/>
      <c r="JWG24" s="414"/>
      <c r="JWH24" s="414"/>
      <c r="JWI24" s="414"/>
      <c r="JWJ24" s="414"/>
      <c r="JWK24" s="414"/>
      <c r="JWL24" s="414"/>
      <c r="JWM24" s="414"/>
      <c r="JWN24" s="414"/>
      <c r="JWO24" s="414"/>
      <c r="JWP24" s="414"/>
      <c r="JWQ24" s="414"/>
      <c r="JWR24" s="414"/>
      <c r="JWS24" s="414"/>
      <c r="JWT24" s="414"/>
      <c r="JWU24" s="414"/>
      <c r="JWV24" s="414"/>
      <c r="JWW24" s="414"/>
      <c r="JWX24" s="414"/>
      <c r="JWY24" s="414"/>
      <c r="JWZ24" s="414"/>
      <c r="JXA24" s="414"/>
      <c r="JXB24" s="414"/>
      <c r="JXC24" s="414"/>
      <c r="JXD24" s="414"/>
      <c r="JXE24" s="414"/>
      <c r="JXF24" s="414"/>
      <c r="JXG24" s="414"/>
      <c r="JXH24" s="414"/>
      <c r="JXI24" s="414"/>
      <c r="JXJ24" s="414"/>
      <c r="JXK24" s="414"/>
      <c r="JXL24" s="414"/>
      <c r="JXM24" s="414"/>
      <c r="JXN24" s="414"/>
      <c r="JXO24" s="414"/>
      <c r="JXP24" s="414"/>
      <c r="JXQ24" s="414"/>
      <c r="JXR24" s="414"/>
      <c r="JXS24" s="414"/>
      <c r="JXT24" s="414"/>
      <c r="JXU24" s="414"/>
      <c r="JXV24" s="414"/>
      <c r="JXW24" s="414"/>
      <c r="JXX24" s="414"/>
      <c r="JXY24" s="414"/>
      <c r="JXZ24" s="414"/>
      <c r="JYA24" s="414"/>
      <c r="JYB24" s="414"/>
      <c r="JYC24" s="414"/>
      <c r="JYD24" s="414"/>
      <c r="JYE24" s="414"/>
      <c r="JYF24" s="414"/>
      <c r="JYG24" s="414"/>
      <c r="JYH24" s="414"/>
      <c r="JYI24" s="414"/>
      <c r="JYJ24" s="414"/>
      <c r="JYK24" s="414"/>
      <c r="JYL24" s="414"/>
      <c r="JYM24" s="414"/>
      <c r="JYN24" s="414"/>
      <c r="JYO24" s="414"/>
      <c r="JYP24" s="414"/>
      <c r="JYQ24" s="414"/>
      <c r="JYR24" s="414"/>
      <c r="JYS24" s="414"/>
      <c r="JYT24" s="414"/>
      <c r="JYU24" s="414"/>
      <c r="JYV24" s="414"/>
      <c r="JYW24" s="414"/>
      <c r="JYX24" s="414"/>
      <c r="JYY24" s="414"/>
      <c r="JYZ24" s="414"/>
      <c r="JZA24" s="414"/>
      <c r="JZB24" s="414"/>
      <c r="JZC24" s="414"/>
      <c r="JZD24" s="414"/>
      <c r="JZE24" s="414"/>
      <c r="JZF24" s="414"/>
      <c r="JZG24" s="414"/>
      <c r="JZH24" s="414"/>
      <c r="JZI24" s="414"/>
      <c r="JZJ24" s="414"/>
      <c r="JZK24" s="414"/>
      <c r="JZL24" s="414"/>
      <c r="JZM24" s="414"/>
      <c r="JZN24" s="414"/>
      <c r="JZO24" s="414"/>
      <c r="JZP24" s="414"/>
      <c r="JZQ24" s="414"/>
      <c r="JZR24" s="414"/>
      <c r="JZS24" s="414"/>
      <c r="JZT24" s="414"/>
      <c r="JZU24" s="414"/>
      <c r="JZV24" s="414"/>
      <c r="JZW24" s="414"/>
      <c r="JZX24" s="414"/>
      <c r="JZY24" s="414"/>
      <c r="JZZ24" s="414"/>
      <c r="KAA24" s="414"/>
      <c r="KAB24" s="414"/>
      <c r="KAC24" s="414"/>
      <c r="KAD24" s="414"/>
      <c r="KAE24" s="414"/>
      <c r="KAF24" s="414"/>
      <c r="KAG24" s="414"/>
      <c r="KAH24" s="414"/>
      <c r="KAI24" s="414"/>
      <c r="KAJ24" s="414"/>
      <c r="KAK24" s="414"/>
      <c r="KAL24" s="414"/>
      <c r="KAM24" s="414"/>
      <c r="KAN24" s="414"/>
      <c r="KAO24" s="414"/>
      <c r="KAP24" s="414"/>
      <c r="KAQ24" s="414"/>
      <c r="KAR24" s="414"/>
      <c r="KAS24" s="414"/>
      <c r="KAT24" s="414"/>
      <c r="KAU24" s="414"/>
      <c r="KAV24" s="414"/>
      <c r="KAW24" s="414"/>
      <c r="KAX24" s="414"/>
      <c r="KAY24" s="414"/>
      <c r="KAZ24" s="414"/>
      <c r="KBA24" s="414"/>
      <c r="KBB24" s="414"/>
      <c r="KBC24" s="414"/>
      <c r="KBD24" s="414"/>
      <c r="KBE24" s="414"/>
      <c r="KBF24" s="414"/>
      <c r="KBG24" s="414"/>
      <c r="KBH24" s="414"/>
      <c r="KBI24" s="414"/>
      <c r="KBJ24" s="414"/>
      <c r="KBK24" s="414"/>
      <c r="KBL24" s="414"/>
      <c r="KBM24" s="414"/>
      <c r="KBN24" s="414"/>
      <c r="KBO24" s="414"/>
      <c r="KBP24" s="414"/>
      <c r="KBQ24" s="414"/>
      <c r="KBR24" s="414"/>
      <c r="KBS24" s="414"/>
      <c r="KBT24" s="414"/>
      <c r="KBU24" s="414"/>
      <c r="KBV24" s="414"/>
      <c r="KBW24" s="414"/>
      <c r="KBX24" s="414"/>
      <c r="KBY24" s="414"/>
      <c r="KBZ24" s="414"/>
      <c r="KCA24" s="414"/>
      <c r="KCB24" s="414"/>
      <c r="KCC24" s="414"/>
      <c r="KCD24" s="414"/>
      <c r="KCE24" s="414"/>
      <c r="KCF24" s="414"/>
      <c r="KCG24" s="414"/>
      <c r="KCH24" s="414"/>
      <c r="KCI24" s="414"/>
      <c r="KCJ24" s="414"/>
      <c r="KCK24" s="414"/>
      <c r="KCL24" s="414"/>
      <c r="KCM24" s="414"/>
      <c r="KCN24" s="414"/>
      <c r="KCO24" s="414"/>
      <c r="KCP24" s="414"/>
      <c r="KCQ24" s="414"/>
      <c r="KCR24" s="414"/>
      <c r="KCS24" s="414"/>
      <c r="KCT24" s="414"/>
      <c r="KCU24" s="414"/>
      <c r="KCV24" s="414"/>
      <c r="KCW24" s="414"/>
      <c r="KCX24" s="414"/>
      <c r="KCY24" s="414"/>
      <c r="KCZ24" s="414"/>
      <c r="KDA24" s="414"/>
      <c r="KDB24" s="414"/>
      <c r="KDC24" s="414"/>
      <c r="KDD24" s="414"/>
      <c r="KDE24" s="414"/>
      <c r="KDF24" s="414"/>
      <c r="KDG24" s="414"/>
      <c r="KDH24" s="414"/>
      <c r="KDI24" s="414"/>
      <c r="KDJ24" s="414"/>
      <c r="KDK24" s="414"/>
      <c r="KDL24" s="414"/>
      <c r="KDM24" s="414"/>
      <c r="KDN24" s="414"/>
      <c r="KDO24" s="414"/>
      <c r="KDP24" s="414"/>
      <c r="KDQ24" s="414"/>
      <c r="KDR24" s="414"/>
      <c r="KDS24" s="414"/>
      <c r="KDT24" s="414"/>
      <c r="KDU24" s="414"/>
      <c r="KDV24" s="414"/>
      <c r="KDW24" s="414"/>
      <c r="KDX24" s="414"/>
      <c r="KDY24" s="414"/>
      <c r="KDZ24" s="414"/>
      <c r="KEA24" s="414"/>
      <c r="KEB24" s="414"/>
      <c r="KEC24" s="414"/>
      <c r="KED24" s="414"/>
      <c r="KEE24" s="414"/>
      <c r="KEF24" s="414"/>
      <c r="KEG24" s="414"/>
      <c r="KEH24" s="414"/>
      <c r="KEI24" s="414"/>
      <c r="KEJ24" s="414"/>
      <c r="KEK24" s="414"/>
      <c r="KEL24" s="414"/>
      <c r="KEM24" s="414"/>
      <c r="KEN24" s="414"/>
      <c r="KEO24" s="414"/>
      <c r="KEP24" s="414"/>
      <c r="KEQ24" s="414"/>
      <c r="KER24" s="414"/>
      <c r="KES24" s="414"/>
      <c r="KET24" s="414"/>
      <c r="KEU24" s="414"/>
      <c r="KEV24" s="414"/>
      <c r="KEW24" s="414"/>
      <c r="KEX24" s="414"/>
      <c r="KEY24" s="414"/>
      <c r="KEZ24" s="414"/>
      <c r="KFA24" s="414"/>
      <c r="KFB24" s="414"/>
      <c r="KFC24" s="414"/>
      <c r="KFD24" s="414"/>
      <c r="KFE24" s="414"/>
      <c r="KFF24" s="414"/>
      <c r="KFG24" s="414"/>
      <c r="KFH24" s="414"/>
      <c r="KFI24" s="414"/>
      <c r="KFJ24" s="414"/>
      <c r="KFK24" s="414"/>
      <c r="KFL24" s="414"/>
      <c r="KFM24" s="414"/>
      <c r="KFN24" s="414"/>
      <c r="KFO24" s="414"/>
      <c r="KFP24" s="414"/>
      <c r="KFQ24" s="414"/>
      <c r="KFR24" s="414"/>
      <c r="KFS24" s="414"/>
      <c r="KFT24" s="414"/>
      <c r="KFU24" s="414"/>
      <c r="KFV24" s="414"/>
      <c r="KFW24" s="414"/>
      <c r="KFX24" s="414"/>
      <c r="KFY24" s="414"/>
      <c r="KFZ24" s="414"/>
      <c r="KGA24" s="414"/>
      <c r="KGB24" s="414"/>
      <c r="KGC24" s="414"/>
      <c r="KGD24" s="414"/>
      <c r="KGE24" s="414"/>
      <c r="KGF24" s="414"/>
      <c r="KGG24" s="414"/>
      <c r="KGH24" s="414"/>
      <c r="KGI24" s="414"/>
      <c r="KGJ24" s="414"/>
      <c r="KGK24" s="414"/>
      <c r="KGL24" s="414"/>
      <c r="KGM24" s="414"/>
      <c r="KGN24" s="414"/>
      <c r="KGO24" s="414"/>
      <c r="KGP24" s="414"/>
      <c r="KGQ24" s="414"/>
      <c r="KGR24" s="414"/>
      <c r="KGS24" s="414"/>
      <c r="KGT24" s="414"/>
      <c r="KGU24" s="414"/>
      <c r="KGV24" s="414"/>
      <c r="KGW24" s="414"/>
      <c r="KGX24" s="414"/>
      <c r="KGY24" s="414"/>
      <c r="KGZ24" s="414"/>
      <c r="KHA24" s="414"/>
      <c r="KHB24" s="414"/>
      <c r="KHC24" s="414"/>
      <c r="KHD24" s="414"/>
      <c r="KHE24" s="414"/>
      <c r="KHF24" s="414"/>
      <c r="KHG24" s="414"/>
      <c r="KHH24" s="414"/>
      <c r="KHI24" s="414"/>
      <c r="KHJ24" s="414"/>
      <c r="KHK24" s="414"/>
      <c r="KHL24" s="414"/>
      <c r="KHM24" s="414"/>
      <c r="KHN24" s="414"/>
      <c r="KHO24" s="414"/>
      <c r="KHP24" s="414"/>
      <c r="KHQ24" s="414"/>
      <c r="KHR24" s="414"/>
      <c r="KHS24" s="414"/>
      <c r="KHT24" s="414"/>
      <c r="KHU24" s="414"/>
      <c r="KHV24" s="414"/>
      <c r="KHW24" s="414"/>
      <c r="KHX24" s="414"/>
      <c r="KHY24" s="414"/>
      <c r="KHZ24" s="414"/>
      <c r="KIA24" s="414"/>
      <c r="KIB24" s="414"/>
      <c r="KIC24" s="414"/>
      <c r="KID24" s="414"/>
      <c r="KIE24" s="414"/>
      <c r="KIF24" s="414"/>
      <c r="KIG24" s="414"/>
      <c r="KIH24" s="414"/>
      <c r="KII24" s="414"/>
      <c r="KIJ24" s="414"/>
      <c r="KIK24" s="414"/>
      <c r="KIL24" s="414"/>
      <c r="KIM24" s="414"/>
      <c r="KIN24" s="414"/>
      <c r="KIO24" s="414"/>
      <c r="KIP24" s="414"/>
      <c r="KIQ24" s="414"/>
      <c r="KIR24" s="414"/>
      <c r="KIS24" s="414"/>
      <c r="KIT24" s="414"/>
      <c r="KIU24" s="414"/>
      <c r="KIV24" s="414"/>
      <c r="KIW24" s="414"/>
      <c r="KIX24" s="414"/>
      <c r="KIY24" s="414"/>
      <c r="KIZ24" s="414"/>
      <c r="KJA24" s="414"/>
      <c r="KJB24" s="414"/>
      <c r="KJC24" s="414"/>
      <c r="KJD24" s="414"/>
      <c r="KJE24" s="414"/>
      <c r="KJF24" s="414"/>
      <c r="KJG24" s="414"/>
      <c r="KJH24" s="414"/>
      <c r="KJI24" s="414"/>
      <c r="KJJ24" s="414"/>
      <c r="KJK24" s="414"/>
      <c r="KJL24" s="414"/>
      <c r="KJM24" s="414"/>
      <c r="KJN24" s="414"/>
      <c r="KJO24" s="414"/>
      <c r="KJP24" s="414"/>
      <c r="KJQ24" s="414"/>
      <c r="KJR24" s="414"/>
      <c r="KJS24" s="414"/>
      <c r="KJT24" s="414"/>
      <c r="KJU24" s="414"/>
      <c r="KJV24" s="414"/>
      <c r="KJW24" s="414"/>
      <c r="KJX24" s="414"/>
      <c r="KJY24" s="414"/>
      <c r="KJZ24" s="414"/>
      <c r="KKA24" s="414"/>
      <c r="KKB24" s="414"/>
      <c r="KKC24" s="414"/>
      <c r="KKD24" s="414"/>
      <c r="KKE24" s="414"/>
      <c r="KKF24" s="414"/>
      <c r="KKG24" s="414"/>
      <c r="KKH24" s="414"/>
      <c r="KKI24" s="414"/>
      <c r="KKJ24" s="414"/>
      <c r="KKK24" s="414"/>
      <c r="KKL24" s="414"/>
      <c r="KKM24" s="414"/>
      <c r="KKN24" s="414"/>
      <c r="KKO24" s="414"/>
      <c r="KKP24" s="414"/>
      <c r="KKQ24" s="414"/>
      <c r="KKR24" s="414"/>
      <c r="KKS24" s="414"/>
      <c r="KKT24" s="414"/>
      <c r="KKU24" s="414"/>
      <c r="KKV24" s="414"/>
      <c r="KKW24" s="414"/>
      <c r="KKX24" s="414"/>
      <c r="KKY24" s="414"/>
      <c r="KKZ24" s="414"/>
      <c r="KLA24" s="414"/>
      <c r="KLB24" s="414"/>
      <c r="KLC24" s="414"/>
      <c r="KLD24" s="414"/>
      <c r="KLE24" s="414"/>
      <c r="KLF24" s="414"/>
      <c r="KLG24" s="414"/>
      <c r="KLH24" s="414"/>
      <c r="KLI24" s="414"/>
      <c r="KLJ24" s="414"/>
      <c r="KLK24" s="414"/>
      <c r="KLL24" s="414"/>
      <c r="KLM24" s="414"/>
      <c r="KLN24" s="414"/>
      <c r="KLO24" s="414"/>
      <c r="KLP24" s="414"/>
      <c r="KLQ24" s="414"/>
      <c r="KLR24" s="414"/>
      <c r="KLS24" s="414"/>
      <c r="KLT24" s="414"/>
      <c r="KLU24" s="414"/>
      <c r="KLV24" s="414"/>
      <c r="KLW24" s="414"/>
      <c r="KLX24" s="414"/>
      <c r="KLY24" s="414"/>
      <c r="KLZ24" s="414"/>
      <c r="KMA24" s="414"/>
      <c r="KMB24" s="414"/>
      <c r="KMC24" s="414"/>
      <c r="KMD24" s="414"/>
      <c r="KME24" s="414"/>
      <c r="KMF24" s="414"/>
      <c r="KMG24" s="414"/>
      <c r="KMH24" s="414"/>
      <c r="KMI24" s="414"/>
      <c r="KMJ24" s="414"/>
      <c r="KMK24" s="414"/>
      <c r="KML24" s="414"/>
      <c r="KMM24" s="414"/>
      <c r="KMN24" s="414"/>
      <c r="KMO24" s="414"/>
      <c r="KMP24" s="414"/>
      <c r="KMQ24" s="414"/>
      <c r="KMR24" s="414"/>
      <c r="KMS24" s="414"/>
      <c r="KMT24" s="414"/>
      <c r="KMU24" s="414"/>
      <c r="KMV24" s="414"/>
      <c r="KMW24" s="414"/>
      <c r="KMX24" s="414"/>
      <c r="KMY24" s="414"/>
      <c r="KMZ24" s="414"/>
      <c r="KNA24" s="414"/>
      <c r="KNB24" s="414"/>
      <c r="KNC24" s="414"/>
      <c r="KND24" s="414"/>
      <c r="KNE24" s="414"/>
      <c r="KNF24" s="414"/>
      <c r="KNG24" s="414"/>
      <c r="KNH24" s="414"/>
      <c r="KNI24" s="414"/>
      <c r="KNJ24" s="414"/>
      <c r="KNK24" s="414"/>
      <c r="KNL24" s="414"/>
      <c r="KNM24" s="414"/>
      <c r="KNN24" s="414"/>
      <c r="KNO24" s="414"/>
      <c r="KNP24" s="414"/>
      <c r="KNQ24" s="414"/>
      <c r="KNR24" s="414"/>
      <c r="KNS24" s="414"/>
      <c r="KNT24" s="414"/>
      <c r="KNU24" s="414"/>
      <c r="KNV24" s="414"/>
      <c r="KNW24" s="414"/>
      <c r="KNX24" s="414"/>
      <c r="KNY24" s="414"/>
      <c r="KNZ24" s="414"/>
      <c r="KOA24" s="414"/>
      <c r="KOB24" s="414"/>
      <c r="KOC24" s="414"/>
      <c r="KOD24" s="414"/>
      <c r="KOE24" s="414"/>
      <c r="KOF24" s="414"/>
      <c r="KOG24" s="414"/>
      <c r="KOH24" s="414"/>
      <c r="KOI24" s="414"/>
      <c r="KOJ24" s="414"/>
      <c r="KOK24" s="414"/>
      <c r="KOL24" s="414"/>
      <c r="KOM24" s="414"/>
      <c r="KON24" s="414"/>
      <c r="KOO24" s="414"/>
      <c r="KOP24" s="414"/>
      <c r="KOQ24" s="414"/>
      <c r="KOR24" s="414"/>
      <c r="KOS24" s="414"/>
      <c r="KOT24" s="414"/>
      <c r="KOU24" s="414"/>
      <c r="KOV24" s="414"/>
      <c r="KOW24" s="414"/>
      <c r="KOX24" s="414"/>
      <c r="KOY24" s="414"/>
      <c r="KOZ24" s="414"/>
      <c r="KPA24" s="414"/>
      <c r="KPB24" s="414"/>
      <c r="KPC24" s="414"/>
      <c r="KPD24" s="414"/>
      <c r="KPE24" s="414"/>
      <c r="KPF24" s="414"/>
      <c r="KPG24" s="414"/>
      <c r="KPH24" s="414"/>
      <c r="KPI24" s="414"/>
      <c r="KPJ24" s="414"/>
      <c r="KPK24" s="414"/>
      <c r="KPL24" s="414"/>
      <c r="KPM24" s="414"/>
      <c r="KPN24" s="414"/>
      <c r="KPO24" s="414"/>
      <c r="KPP24" s="414"/>
      <c r="KPQ24" s="414"/>
      <c r="KPR24" s="414"/>
      <c r="KPS24" s="414"/>
      <c r="KPT24" s="414"/>
      <c r="KPU24" s="414"/>
      <c r="KPV24" s="414"/>
      <c r="KPW24" s="414"/>
      <c r="KPX24" s="414"/>
      <c r="KPY24" s="414"/>
      <c r="KPZ24" s="414"/>
      <c r="KQA24" s="414"/>
      <c r="KQB24" s="414"/>
      <c r="KQC24" s="414"/>
      <c r="KQD24" s="414"/>
      <c r="KQE24" s="414"/>
      <c r="KQF24" s="414"/>
      <c r="KQG24" s="414"/>
      <c r="KQH24" s="414"/>
      <c r="KQI24" s="414"/>
      <c r="KQJ24" s="414"/>
      <c r="KQK24" s="414"/>
      <c r="KQL24" s="414"/>
      <c r="KQM24" s="414"/>
      <c r="KQN24" s="414"/>
      <c r="KQO24" s="414"/>
      <c r="KQP24" s="414"/>
      <c r="KQQ24" s="414"/>
      <c r="KQR24" s="414"/>
      <c r="KQS24" s="414"/>
      <c r="KQT24" s="414"/>
      <c r="KQU24" s="414"/>
      <c r="KQV24" s="414"/>
      <c r="KQW24" s="414"/>
      <c r="KQX24" s="414"/>
      <c r="KQY24" s="414"/>
      <c r="KQZ24" s="414"/>
      <c r="KRA24" s="414"/>
      <c r="KRB24" s="414"/>
      <c r="KRC24" s="414"/>
      <c r="KRD24" s="414"/>
      <c r="KRE24" s="414"/>
      <c r="KRF24" s="414"/>
      <c r="KRG24" s="414"/>
      <c r="KRH24" s="414"/>
      <c r="KRI24" s="414"/>
      <c r="KRJ24" s="414"/>
      <c r="KRK24" s="414"/>
      <c r="KRL24" s="414"/>
      <c r="KRM24" s="414"/>
      <c r="KRN24" s="414"/>
      <c r="KRO24" s="414"/>
      <c r="KRP24" s="414"/>
      <c r="KRQ24" s="414"/>
      <c r="KRR24" s="414"/>
      <c r="KRS24" s="414"/>
      <c r="KRT24" s="414"/>
      <c r="KRU24" s="414"/>
      <c r="KRV24" s="414"/>
      <c r="KRW24" s="414"/>
      <c r="KRX24" s="414"/>
      <c r="KRY24" s="414"/>
      <c r="KRZ24" s="414"/>
      <c r="KSA24" s="414"/>
      <c r="KSB24" s="414"/>
      <c r="KSC24" s="414"/>
      <c r="KSD24" s="414"/>
      <c r="KSE24" s="414"/>
      <c r="KSF24" s="414"/>
      <c r="KSG24" s="414"/>
      <c r="KSH24" s="414"/>
      <c r="KSI24" s="414"/>
      <c r="KSJ24" s="414"/>
      <c r="KSK24" s="414"/>
      <c r="KSL24" s="414"/>
      <c r="KSM24" s="414"/>
      <c r="KSN24" s="414"/>
      <c r="KSO24" s="414"/>
      <c r="KSP24" s="414"/>
      <c r="KSQ24" s="414"/>
      <c r="KSR24" s="414"/>
      <c r="KSS24" s="414"/>
      <c r="KST24" s="414"/>
      <c r="KSU24" s="414"/>
      <c r="KSV24" s="414"/>
      <c r="KSW24" s="414"/>
      <c r="KSX24" s="414"/>
      <c r="KSY24" s="414"/>
      <c r="KSZ24" s="414"/>
      <c r="KTA24" s="414"/>
      <c r="KTB24" s="414"/>
      <c r="KTC24" s="414"/>
      <c r="KTD24" s="414"/>
      <c r="KTE24" s="414"/>
      <c r="KTF24" s="414"/>
      <c r="KTG24" s="414"/>
      <c r="KTH24" s="414"/>
      <c r="KTI24" s="414"/>
      <c r="KTJ24" s="414"/>
      <c r="KTK24" s="414"/>
      <c r="KTL24" s="414"/>
      <c r="KTM24" s="414"/>
      <c r="KTN24" s="414"/>
      <c r="KTO24" s="414"/>
      <c r="KTP24" s="414"/>
      <c r="KTQ24" s="414"/>
      <c r="KTR24" s="414"/>
      <c r="KTS24" s="414"/>
      <c r="KTT24" s="414"/>
      <c r="KTU24" s="414"/>
      <c r="KTV24" s="414"/>
      <c r="KTW24" s="414"/>
      <c r="KTX24" s="414"/>
      <c r="KTY24" s="414"/>
      <c r="KTZ24" s="414"/>
      <c r="KUA24" s="414"/>
      <c r="KUB24" s="414"/>
      <c r="KUC24" s="414"/>
      <c r="KUD24" s="414"/>
      <c r="KUE24" s="414"/>
      <c r="KUF24" s="414"/>
      <c r="KUG24" s="414"/>
      <c r="KUH24" s="414"/>
      <c r="KUI24" s="414"/>
      <c r="KUJ24" s="414"/>
      <c r="KUK24" s="414"/>
      <c r="KUL24" s="414"/>
      <c r="KUM24" s="414"/>
      <c r="KUN24" s="414"/>
      <c r="KUO24" s="414"/>
      <c r="KUP24" s="414"/>
      <c r="KUQ24" s="414"/>
      <c r="KUR24" s="414"/>
      <c r="KUS24" s="414"/>
      <c r="KUT24" s="414"/>
      <c r="KUU24" s="414"/>
      <c r="KUV24" s="414"/>
      <c r="KUW24" s="414"/>
      <c r="KUX24" s="414"/>
      <c r="KUY24" s="414"/>
      <c r="KUZ24" s="414"/>
      <c r="KVA24" s="414"/>
      <c r="KVB24" s="414"/>
      <c r="KVC24" s="414"/>
      <c r="KVD24" s="414"/>
      <c r="KVE24" s="414"/>
      <c r="KVF24" s="414"/>
      <c r="KVG24" s="414"/>
      <c r="KVH24" s="414"/>
      <c r="KVI24" s="414"/>
      <c r="KVJ24" s="414"/>
      <c r="KVK24" s="414"/>
      <c r="KVL24" s="414"/>
      <c r="KVM24" s="414"/>
      <c r="KVN24" s="414"/>
      <c r="KVO24" s="414"/>
      <c r="KVP24" s="414"/>
      <c r="KVQ24" s="414"/>
      <c r="KVR24" s="414"/>
      <c r="KVS24" s="414"/>
      <c r="KVT24" s="414"/>
      <c r="KVU24" s="414"/>
      <c r="KVV24" s="414"/>
      <c r="KVW24" s="414"/>
      <c r="KVX24" s="414"/>
      <c r="KVY24" s="414"/>
      <c r="KVZ24" s="414"/>
      <c r="KWA24" s="414"/>
      <c r="KWB24" s="414"/>
      <c r="KWC24" s="414"/>
      <c r="KWD24" s="414"/>
      <c r="KWE24" s="414"/>
      <c r="KWF24" s="414"/>
      <c r="KWG24" s="414"/>
      <c r="KWH24" s="414"/>
      <c r="KWI24" s="414"/>
      <c r="KWJ24" s="414"/>
      <c r="KWK24" s="414"/>
      <c r="KWL24" s="414"/>
      <c r="KWM24" s="414"/>
      <c r="KWN24" s="414"/>
      <c r="KWO24" s="414"/>
      <c r="KWP24" s="414"/>
      <c r="KWQ24" s="414"/>
      <c r="KWR24" s="414"/>
      <c r="KWS24" s="414"/>
      <c r="KWT24" s="414"/>
      <c r="KWU24" s="414"/>
      <c r="KWV24" s="414"/>
      <c r="KWW24" s="414"/>
      <c r="KWX24" s="414"/>
      <c r="KWY24" s="414"/>
      <c r="KWZ24" s="414"/>
      <c r="KXA24" s="414"/>
      <c r="KXB24" s="414"/>
      <c r="KXC24" s="414"/>
      <c r="KXD24" s="414"/>
      <c r="KXE24" s="414"/>
      <c r="KXF24" s="414"/>
      <c r="KXG24" s="414"/>
      <c r="KXH24" s="414"/>
      <c r="KXI24" s="414"/>
      <c r="KXJ24" s="414"/>
      <c r="KXK24" s="414"/>
      <c r="KXL24" s="414"/>
      <c r="KXM24" s="414"/>
      <c r="KXN24" s="414"/>
      <c r="KXO24" s="414"/>
      <c r="KXP24" s="414"/>
      <c r="KXQ24" s="414"/>
      <c r="KXR24" s="414"/>
      <c r="KXS24" s="414"/>
      <c r="KXT24" s="414"/>
      <c r="KXU24" s="414"/>
      <c r="KXV24" s="414"/>
      <c r="KXW24" s="414"/>
      <c r="KXX24" s="414"/>
      <c r="KXY24" s="414"/>
      <c r="KXZ24" s="414"/>
      <c r="KYA24" s="414"/>
      <c r="KYB24" s="414"/>
      <c r="KYC24" s="414"/>
      <c r="KYD24" s="414"/>
      <c r="KYE24" s="414"/>
      <c r="KYF24" s="414"/>
      <c r="KYG24" s="414"/>
      <c r="KYH24" s="414"/>
      <c r="KYI24" s="414"/>
      <c r="KYJ24" s="414"/>
      <c r="KYK24" s="414"/>
      <c r="KYL24" s="414"/>
      <c r="KYM24" s="414"/>
      <c r="KYN24" s="414"/>
      <c r="KYO24" s="414"/>
      <c r="KYP24" s="414"/>
      <c r="KYQ24" s="414"/>
      <c r="KYR24" s="414"/>
      <c r="KYS24" s="414"/>
      <c r="KYT24" s="414"/>
      <c r="KYU24" s="414"/>
      <c r="KYV24" s="414"/>
      <c r="KYW24" s="414"/>
      <c r="KYX24" s="414"/>
      <c r="KYY24" s="414"/>
      <c r="KYZ24" s="414"/>
      <c r="KZA24" s="414"/>
      <c r="KZB24" s="414"/>
      <c r="KZC24" s="414"/>
      <c r="KZD24" s="414"/>
      <c r="KZE24" s="414"/>
      <c r="KZF24" s="414"/>
      <c r="KZG24" s="414"/>
      <c r="KZH24" s="414"/>
      <c r="KZI24" s="414"/>
      <c r="KZJ24" s="414"/>
      <c r="KZK24" s="414"/>
      <c r="KZL24" s="414"/>
      <c r="KZM24" s="414"/>
      <c r="KZN24" s="414"/>
      <c r="KZO24" s="414"/>
      <c r="KZP24" s="414"/>
      <c r="KZQ24" s="414"/>
      <c r="KZR24" s="414"/>
      <c r="KZS24" s="414"/>
      <c r="KZT24" s="414"/>
      <c r="KZU24" s="414"/>
      <c r="KZV24" s="414"/>
      <c r="KZW24" s="414"/>
      <c r="KZX24" s="414"/>
      <c r="KZY24" s="414"/>
      <c r="KZZ24" s="414"/>
      <c r="LAA24" s="414"/>
      <c r="LAB24" s="414"/>
      <c r="LAC24" s="414"/>
      <c r="LAD24" s="414"/>
      <c r="LAE24" s="414"/>
      <c r="LAF24" s="414"/>
      <c r="LAG24" s="414"/>
      <c r="LAH24" s="414"/>
      <c r="LAI24" s="414"/>
      <c r="LAJ24" s="414"/>
      <c r="LAK24" s="414"/>
      <c r="LAL24" s="414"/>
      <c r="LAM24" s="414"/>
      <c r="LAN24" s="414"/>
      <c r="LAO24" s="414"/>
      <c r="LAP24" s="414"/>
      <c r="LAQ24" s="414"/>
      <c r="LAR24" s="414"/>
      <c r="LAS24" s="414"/>
      <c r="LAT24" s="414"/>
      <c r="LAU24" s="414"/>
      <c r="LAV24" s="414"/>
      <c r="LAW24" s="414"/>
      <c r="LAX24" s="414"/>
      <c r="LAY24" s="414"/>
      <c r="LAZ24" s="414"/>
      <c r="LBA24" s="414"/>
      <c r="LBB24" s="414"/>
      <c r="LBC24" s="414"/>
      <c r="LBD24" s="414"/>
      <c r="LBE24" s="414"/>
      <c r="LBF24" s="414"/>
      <c r="LBG24" s="414"/>
      <c r="LBH24" s="414"/>
      <c r="LBI24" s="414"/>
      <c r="LBJ24" s="414"/>
      <c r="LBK24" s="414"/>
      <c r="LBL24" s="414"/>
      <c r="LBM24" s="414"/>
      <c r="LBN24" s="414"/>
      <c r="LBO24" s="414"/>
      <c r="LBP24" s="414"/>
      <c r="LBQ24" s="414"/>
      <c r="LBR24" s="414"/>
      <c r="LBS24" s="414"/>
      <c r="LBT24" s="414"/>
      <c r="LBU24" s="414"/>
      <c r="LBV24" s="414"/>
      <c r="LBW24" s="414"/>
      <c r="LBX24" s="414"/>
      <c r="LBY24" s="414"/>
      <c r="LBZ24" s="414"/>
      <c r="LCA24" s="414"/>
      <c r="LCB24" s="414"/>
      <c r="LCC24" s="414"/>
      <c r="LCD24" s="414"/>
      <c r="LCE24" s="414"/>
      <c r="LCF24" s="414"/>
      <c r="LCG24" s="414"/>
      <c r="LCH24" s="414"/>
      <c r="LCI24" s="414"/>
      <c r="LCJ24" s="414"/>
      <c r="LCK24" s="414"/>
      <c r="LCL24" s="414"/>
      <c r="LCM24" s="414"/>
      <c r="LCN24" s="414"/>
      <c r="LCO24" s="414"/>
      <c r="LCP24" s="414"/>
      <c r="LCQ24" s="414"/>
      <c r="LCR24" s="414"/>
      <c r="LCS24" s="414"/>
      <c r="LCT24" s="414"/>
      <c r="LCU24" s="414"/>
      <c r="LCV24" s="414"/>
      <c r="LCW24" s="414"/>
      <c r="LCX24" s="414"/>
      <c r="LCY24" s="414"/>
      <c r="LCZ24" s="414"/>
      <c r="LDA24" s="414"/>
      <c r="LDB24" s="414"/>
      <c r="LDC24" s="414"/>
      <c r="LDD24" s="414"/>
      <c r="LDE24" s="414"/>
      <c r="LDF24" s="414"/>
      <c r="LDG24" s="414"/>
      <c r="LDH24" s="414"/>
      <c r="LDI24" s="414"/>
      <c r="LDJ24" s="414"/>
      <c r="LDK24" s="414"/>
      <c r="LDL24" s="414"/>
      <c r="LDM24" s="414"/>
      <c r="LDN24" s="414"/>
      <c r="LDO24" s="414"/>
      <c r="LDP24" s="414"/>
      <c r="LDQ24" s="414"/>
      <c r="LDR24" s="414"/>
      <c r="LDS24" s="414"/>
      <c r="LDT24" s="414"/>
      <c r="LDU24" s="414"/>
      <c r="LDV24" s="414"/>
      <c r="LDW24" s="414"/>
      <c r="LDX24" s="414"/>
      <c r="LDY24" s="414"/>
      <c r="LDZ24" s="414"/>
      <c r="LEA24" s="414"/>
      <c r="LEB24" s="414"/>
      <c r="LEC24" s="414"/>
      <c r="LED24" s="414"/>
      <c r="LEE24" s="414"/>
      <c r="LEF24" s="414"/>
      <c r="LEG24" s="414"/>
      <c r="LEH24" s="414"/>
      <c r="LEI24" s="414"/>
      <c r="LEJ24" s="414"/>
      <c r="LEK24" s="414"/>
      <c r="LEL24" s="414"/>
      <c r="LEM24" s="414"/>
      <c r="LEN24" s="414"/>
      <c r="LEO24" s="414"/>
      <c r="LEP24" s="414"/>
      <c r="LEQ24" s="414"/>
      <c r="LER24" s="414"/>
      <c r="LES24" s="414"/>
      <c r="LET24" s="414"/>
      <c r="LEU24" s="414"/>
      <c r="LEV24" s="414"/>
      <c r="LEW24" s="414"/>
      <c r="LEX24" s="414"/>
      <c r="LEY24" s="414"/>
      <c r="LEZ24" s="414"/>
      <c r="LFA24" s="414"/>
      <c r="LFB24" s="414"/>
      <c r="LFC24" s="414"/>
      <c r="LFD24" s="414"/>
      <c r="LFE24" s="414"/>
      <c r="LFF24" s="414"/>
      <c r="LFG24" s="414"/>
      <c r="LFH24" s="414"/>
      <c r="LFI24" s="414"/>
      <c r="LFJ24" s="414"/>
      <c r="LFK24" s="414"/>
      <c r="LFL24" s="414"/>
      <c r="LFM24" s="414"/>
      <c r="LFN24" s="414"/>
      <c r="LFO24" s="414"/>
      <c r="LFP24" s="414"/>
      <c r="LFQ24" s="414"/>
      <c r="LFR24" s="414"/>
      <c r="LFS24" s="414"/>
      <c r="LFT24" s="414"/>
      <c r="LFU24" s="414"/>
      <c r="LFV24" s="414"/>
      <c r="LFW24" s="414"/>
      <c r="LFX24" s="414"/>
      <c r="LFY24" s="414"/>
      <c r="LFZ24" s="414"/>
      <c r="LGA24" s="414"/>
      <c r="LGB24" s="414"/>
      <c r="LGC24" s="414"/>
      <c r="LGD24" s="414"/>
      <c r="LGE24" s="414"/>
      <c r="LGF24" s="414"/>
      <c r="LGG24" s="414"/>
      <c r="LGH24" s="414"/>
      <c r="LGI24" s="414"/>
      <c r="LGJ24" s="414"/>
      <c r="LGK24" s="414"/>
      <c r="LGL24" s="414"/>
      <c r="LGM24" s="414"/>
      <c r="LGN24" s="414"/>
      <c r="LGO24" s="414"/>
      <c r="LGP24" s="414"/>
      <c r="LGQ24" s="414"/>
      <c r="LGR24" s="414"/>
      <c r="LGS24" s="414"/>
      <c r="LGT24" s="414"/>
      <c r="LGU24" s="414"/>
      <c r="LGV24" s="414"/>
      <c r="LGW24" s="414"/>
      <c r="LGX24" s="414"/>
      <c r="LGY24" s="414"/>
      <c r="LGZ24" s="414"/>
      <c r="LHA24" s="414"/>
      <c r="LHB24" s="414"/>
      <c r="LHC24" s="414"/>
      <c r="LHD24" s="414"/>
      <c r="LHE24" s="414"/>
      <c r="LHF24" s="414"/>
      <c r="LHG24" s="414"/>
      <c r="LHH24" s="414"/>
      <c r="LHI24" s="414"/>
      <c r="LHJ24" s="414"/>
      <c r="LHK24" s="414"/>
      <c r="LHL24" s="414"/>
      <c r="LHM24" s="414"/>
      <c r="LHN24" s="414"/>
      <c r="LHO24" s="414"/>
      <c r="LHP24" s="414"/>
      <c r="LHQ24" s="414"/>
      <c r="LHR24" s="414"/>
      <c r="LHS24" s="414"/>
      <c r="LHT24" s="414"/>
      <c r="LHU24" s="414"/>
      <c r="LHV24" s="414"/>
      <c r="LHW24" s="414"/>
      <c r="LHX24" s="414"/>
      <c r="LHY24" s="414"/>
      <c r="LHZ24" s="414"/>
      <c r="LIA24" s="414"/>
      <c r="LIB24" s="414"/>
      <c r="LIC24" s="414"/>
      <c r="LID24" s="414"/>
      <c r="LIE24" s="414"/>
      <c r="LIF24" s="414"/>
      <c r="LIG24" s="414"/>
      <c r="LIH24" s="414"/>
      <c r="LII24" s="414"/>
      <c r="LIJ24" s="414"/>
      <c r="LIK24" s="414"/>
      <c r="LIL24" s="414"/>
      <c r="LIM24" s="414"/>
      <c r="LIN24" s="414"/>
      <c r="LIO24" s="414"/>
      <c r="LIP24" s="414"/>
      <c r="LIQ24" s="414"/>
      <c r="LIR24" s="414"/>
      <c r="LIS24" s="414"/>
      <c r="LIT24" s="414"/>
      <c r="LIU24" s="414"/>
      <c r="LIV24" s="414"/>
      <c r="LIW24" s="414"/>
      <c r="LIX24" s="414"/>
      <c r="LIY24" s="414"/>
      <c r="LIZ24" s="414"/>
      <c r="LJA24" s="414"/>
      <c r="LJB24" s="414"/>
      <c r="LJC24" s="414"/>
      <c r="LJD24" s="414"/>
      <c r="LJE24" s="414"/>
      <c r="LJF24" s="414"/>
      <c r="LJG24" s="414"/>
      <c r="LJH24" s="414"/>
      <c r="LJI24" s="414"/>
      <c r="LJJ24" s="414"/>
      <c r="LJK24" s="414"/>
      <c r="LJL24" s="414"/>
      <c r="LJM24" s="414"/>
      <c r="LJN24" s="414"/>
      <c r="LJO24" s="414"/>
      <c r="LJP24" s="414"/>
      <c r="LJQ24" s="414"/>
      <c r="LJR24" s="414"/>
      <c r="LJS24" s="414"/>
      <c r="LJT24" s="414"/>
      <c r="LJU24" s="414"/>
      <c r="LJV24" s="414"/>
      <c r="LJW24" s="414"/>
      <c r="LJX24" s="414"/>
      <c r="LJY24" s="414"/>
      <c r="LJZ24" s="414"/>
      <c r="LKA24" s="414"/>
      <c r="LKB24" s="414"/>
      <c r="LKC24" s="414"/>
      <c r="LKD24" s="414"/>
      <c r="LKE24" s="414"/>
      <c r="LKF24" s="414"/>
      <c r="LKG24" s="414"/>
      <c r="LKH24" s="414"/>
      <c r="LKI24" s="414"/>
      <c r="LKJ24" s="414"/>
      <c r="LKK24" s="414"/>
      <c r="LKL24" s="414"/>
      <c r="LKM24" s="414"/>
      <c r="LKN24" s="414"/>
      <c r="LKO24" s="414"/>
      <c r="LKP24" s="414"/>
      <c r="LKQ24" s="414"/>
      <c r="LKR24" s="414"/>
      <c r="LKS24" s="414"/>
      <c r="LKT24" s="414"/>
      <c r="LKU24" s="414"/>
      <c r="LKV24" s="414"/>
      <c r="LKW24" s="414"/>
      <c r="LKX24" s="414"/>
      <c r="LKY24" s="414"/>
      <c r="LKZ24" s="414"/>
      <c r="LLA24" s="414"/>
      <c r="LLB24" s="414"/>
      <c r="LLC24" s="414"/>
      <c r="LLD24" s="414"/>
      <c r="LLE24" s="414"/>
      <c r="LLF24" s="414"/>
      <c r="LLG24" s="414"/>
      <c r="LLH24" s="414"/>
      <c r="LLI24" s="414"/>
      <c r="LLJ24" s="414"/>
      <c r="LLK24" s="414"/>
      <c r="LLL24" s="414"/>
      <c r="LLM24" s="414"/>
      <c r="LLN24" s="414"/>
      <c r="LLO24" s="414"/>
      <c r="LLP24" s="414"/>
      <c r="LLQ24" s="414"/>
      <c r="LLR24" s="414"/>
      <c r="LLS24" s="414"/>
      <c r="LLT24" s="414"/>
      <c r="LLU24" s="414"/>
      <c r="LLV24" s="414"/>
      <c r="LLW24" s="414"/>
      <c r="LLX24" s="414"/>
      <c r="LLY24" s="414"/>
      <c r="LLZ24" s="414"/>
      <c r="LMA24" s="414"/>
      <c r="LMB24" s="414"/>
      <c r="LMC24" s="414"/>
      <c r="LMD24" s="414"/>
      <c r="LME24" s="414"/>
      <c r="LMF24" s="414"/>
      <c r="LMG24" s="414"/>
      <c r="LMH24" s="414"/>
      <c r="LMI24" s="414"/>
      <c r="LMJ24" s="414"/>
      <c r="LMK24" s="414"/>
      <c r="LML24" s="414"/>
      <c r="LMM24" s="414"/>
      <c r="LMN24" s="414"/>
      <c r="LMO24" s="414"/>
      <c r="LMP24" s="414"/>
      <c r="LMQ24" s="414"/>
      <c r="LMR24" s="414"/>
      <c r="LMS24" s="414"/>
      <c r="LMT24" s="414"/>
      <c r="LMU24" s="414"/>
      <c r="LMV24" s="414"/>
      <c r="LMW24" s="414"/>
      <c r="LMX24" s="414"/>
      <c r="LMY24" s="414"/>
      <c r="LMZ24" s="414"/>
      <c r="LNA24" s="414"/>
      <c r="LNB24" s="414"/>
      <c r="LNC24" s="414"/>
      <c r="LND24" s="414"/>
      <c r="LNE24" s="414"/>
      <c r="LNF24" s="414"/>
      <c r="LNG24" s="414"/>
      <c r="LNH24" s="414"/>
      <c r="LNI24" s="414"/>
      <c r="LNJ24" s="414"/>
      <c r="LNK24" s="414"/>
      <c r="LNL24" s="414"/>
      <c r="LNM24" s="414"/>
      <c r="LNN24" s="414"/>
      <c r="LNO24" s="414"/>
      <c r="LNP24" s="414"/>
      <c r="LNQ24" s="414"/>
      <c r="LNR24" s="414"/>
      <c r="LNS24" s="414"/>
      <c r="LNT24" s="414"/>
      <c r="LNU24" s="414"/>
      <c r="LNV24" s="414"/>
      <c r="LNW24" s="414"/>
      <c r="LNX24" s="414"/>
      <c r="LNY24" s="414"/>
      <c r="LNZ24" s="414"/>
      <c r="LOA24" s="414"/>
      <c r="LOB24" s="414"/>
      <c r="LOC24" s="414"/>
      <c r="LOD24" s="414"/>
      <c r="LOE24" s="414"/>
      <c r="LOF24" s="414"/>
      <c r="LOG24" s="414"/>
      <c r="LOH24" s="414"/>
      <c r="LOI24" s="414"/>
      <c r="LOJ24" s="414"/>
      <c r="LOK24" s="414"/>
      <c r="LOL24" s="414"/>
      <c r="LOM24" s="414"/>
      <c r="LON24" s="414"/>
      <c r="LOO24" s="414"/>
      <c r="LOP24" s="414"/>
      <c r="LOQ24" s="414"/>
      <c r="LOR24" s="414"/>
      <c r="LOS24" s="414"/>
      <c r="LOT24" s="414"/>
      <c r="LOU24" s="414"/>
      <c r="LOV24" s="414"/>
      <c r="LOW24" s="414"/>
      <c r="LOX24" s="414"/>
      <c r="LOY24" s="414"/>
      <c r="LOZ24" s="414"/>
      <c r="LPA24" s="414"/>
      <c r="LPB24" s="414"/>
      <c r="LPC24" s="414"/>
      <c r="LPD24" s="414"/>
      <c r="LPE24" s="414"/>
      <c r="LPF24" s="414"/>
      <c r="LPG24" s="414"/>
      <c r="LPH24" s="414"/>
      <c r="LPI24" s="414"/>
      <c r="LPJ24" s="414"/>
      <c r="LPK24" s="414"/>
      <c r="LPL24" s="414"/>
      <c r="LPM24" s="414"/>
      <c r="LPN24" s="414"/>
      <c r="LPO24" s="414"/>
      <c r="LPP24" s="414"/>
      <c r="LPQ24" s="414"/>
      <c r="LPR24" s="414"/>
      <c r="LPS24" s="414"/>
      <c r="LPT24" s="414"/>
      <c r="LPU24" s="414"/>
      <c r="LPV24" s="414"/>
      <c r="LPW24" s="414"/>
      <c r="LPX24" s="414"/>
      <c r="LPY24" s="414"/>
      <c r="LPZ24" s="414"/>
      <c r="LQA24" s="414"/>
      <c r="LQB24" s="414"/>
      <c r="LQC24" s="414"/>
      <c r="LQD24" s="414"/>
      <c r="LQE24" s="414"/>
      <c r="LQF24" s="414"/>
      <c r="LQG24" s="414"/>
      <c r="LQH24" s="414"/>
      <c r="LQI24" s="414"/>
      <c r="LQJ24" s="414"/>
      <c r="LQK24" s="414"/>
      <c r="LQL24" s="414"/>
      <c r="LQM24" s="414"/>
      <c r="LQN24" s="414"/>
      <c r="LQO24" s="414"/>
      <c r="LQP24" s="414"/>
      <c r="LQQ24" s="414"/>
      <c r="LQR24" s="414"/>
      <c r="LQS24" s="414"/>
      <c r="LQT24" s="414"/>
      <c r="LQU24" s="414"/>
      <c r="LQV24" s="414"/>
      <c r="LQW24" s="414"/>
      <c r="LQX24" s="414"/>
      <c r="LQY24" s="414"/>
      <c r="LQZ24" s="414"/>
      <c r="LRA24" s="414"/>
      <c r="LRB24" s="414"/>
      <c r="LRC24" s="414"/>
      <c r="LRD24" s="414"/>
      <c r="LRE24" s="414"/>
      <c r="LRF24" s="414"/>
      <c r="LRG24" s="414"/>
      <c r="LRH24" s="414"/>
      <c r="LRI24" s="414"/>
      <c r="LRJ24" s="414"/>
      <c r="LRK24" s="414"/>
      <c r="LRL24" s="414"/>
      <c r="LRM24" s="414"/>
      <c r="LRN24" s="414"/>
      <c r="LRO24" s="414"/>
      <c r="LRP24" s="414"/>
      <c r="LRQ24" s="414"/>
      <c r="LRR24" s="414"/>
      <c r="LRS24" s="414"/>
      <c r="LRT24" s="414"/>
      <c r="LRU24" s="414"/>
      <c r="LRV24" s="414"/>
      <c r="LRW24" s="414"/>
      <c r="LRX24" s="414"/>
      <c r="LRY24" s="414"/>
      <c r="LRZ24" s="414"/>
      <c r="LSA24" s="414"/>
      <c r="LSB24" s="414"/>
      <c r="LSC24" s="414"/>
      <c r="LSD24" s="414"/>
      <c r="LSE24" s="414"/>
      <c r="LSF24" s="414"/>
      <c r="LSG24" s="414"/>
      <c r="LSH24" s="414"/>
      <c r="LSI24" s="414"/>
      <c r="LSJ24" s="414"/>
      <c r="LSK24" s="414"/>
      <c r="LSL24" s="414"/>
      <c r="LSM24" s="414"/>
      <c r="LSN24" s="414"/>
      <c r="LSO24" s="414"/>
      <c r="LSP24" s="414"/>
      <c r="LSQ24" s="414"/>
      <c r="LSR24" s="414"/>
      <c r="LSS24" s="414"/>
      <c r="LST24" s="414"/>
      <c r="LSU24" s="414"/>
      <c r="LSV24" s="414"/>
      <c r="LSW24" s="414"/>
      <c r="LSX24" s="414"/>
      <c r="LSY24" s="414"/>
      <c r="LSZ24" s="414"/>
      <c r="LTA24" s="414"/>
      <c r="LTB24" s="414"/>
      <c r="LTC24" s="414"/>
      <c r="LTD24" s="414"/>
      <c r="LTE24" s="414"/>
      <c r="LTF24" s="414"/>
      <c r="LTG24" s="414"/>
      <c r="LTH24" s="414"/>
      <c r="LTI24" s="414"/>
      <c r="LTJ24" s="414"/>
      <c r="LTK24" s="414"/>
      <c r="LTL24" s="414"/>
      <c r="LTM24" s="414"/>
      <c r="LTN24" s="414"/>
      <c r="LTO24" s="414"/>
      <c r="LTP24" s="414"/>
      <c r="LTQ24" s="414"/>
      <c r="LTR24" s="414"/>
      <c r="LTS24" s="414"/>
      <c r="LTT24" s="414"/>
      <c r="LTU24" s="414"/>
      <c r="LTV24" s="414"/>
      <c r="LTW24" s="414"/>
      <c r="LTX24" s="414"/>
      <c r="LTY24" s="414"/>
      <c r="LTZ24" s="414"/>
      <c r="LUA24" s="414"/>
      <c r="LUB24" s="414"/>
      <c r="LUC24" s="414"/>
      <c r="LUD24" s="414"/>
      <c r="LUE24" s="414"/>
      <c r="LUF24" s="414"/>
      <c r="LUG24" s="414"/>
      <c r="LUH24" s="414"/>
      <c r="LUI24" s="414"/>
      <c r="LUJ24" s="414"/>
      <c r="LUK24" s="414"/>
      <c r="LUL24" s="414"/>
      <c r="LUM24" s="414"/>
      <c r="LUN24" s="414"/>
      <c r="LUO24" s="414"/>
      <c r="LUP24" s="414"/>
      <c r="LUQ24" s="414"/>
      <c r="LUR24" s="414"/>
      <c r="LUS24" s="414"/>
      <c r="LUT24" s="414"/>
      <c r="LUU24" s="414"/>
      <c r="LUV24" s="414"/>
      <c r="LUW24" s="414"/>
      <c r="LUX24" s="414"/>
      <c r="LUY24" s="414"/>
      <c r="LUZ24" s="414"/>
      <c r="LVA24" s="414"/>
      <c r="LVB24" s="414"/>
      <c r="LVC24" s="414"/>
      <c r="LVD24" s="414"/>
      <c r="LVE24" s="414"/>
      <c r="LVF24" s="414"/>
      <c r="LVG24" s="414"/>
      <c r="LVH24" s="414"/>
      <c r="LVI24" s="414"/>
      <c r="LVJ24" s="414"/>
      <c r="LVK24" s="414"/>
      <c r="LVL24" s="414"/>
      <c r="LVM24" s="414"/>
      <c r="LVN24" s="414"/>
      <c r="LVO24" s="414"/>
      <c r="LVP24" s="414"/>
      <c r="LVQ24" s="414"/>
      <c r="LVR24" s="414"/>
      <c r="LVS24" s="414"/>
      <c r="LVT24" s="414"/>
      <c r="LVU24" s="414"/>
      <c r="LVV24" s="414"/>
      <c r="LVW24" s="414"/>
      <c r="LVX24" s="414"/>
      <c r="LVY24" s="414"/>
      <c r="LVZ24" s="414"/>
      <c r="LWA24" s="414"/>
      <c r="LWB24" s="414"/>
      <c r="LWC24" s="414"/>
      <c r="LWD24" s="414"/>
      <c r="LWE24" s="414"/>
      <c r="LWF24" s="414"/>
      <c r="LWG24" s="414"/>
      <c r="LWH24" s="414"/>
      <c r="LWI24" s="414"/>
      <c r="LWJ24" s="414"/>
      <c r="LWK24" s="414"/>
      <c r="LWL24" s="414"/>
      <c r="LWM24" s="414"/>
      <c r="LWN24" s="414"/>
      <c r="LWO24" s="414"/>
      <c r="LWP24" s="414"/>
      <c r="LWQ24" s="414"/>
      <c r="LWR24" s="414"/>
      <c r="LWS24" s="414"/>
      <c r="LWT24" s="414"/>
      <c r="LWU24" s="414"/>
      <c r="LWV24" s="414"/>
      <c r="LWW24" s="414"/>
      <c r="LWX24" s="414"/>
      <c r="LWY24" s="414"/>
      <c r="LWZ24" s="414"/>
      <c r="LXA24" s="414"/>
      <c r="LXB24" s="414"/>
      <c r="LXC24" s="414"/>
      <c r="LXD24" s="414"/>
      <c r="LXE24" s="414"/>
      <c r="LXF24" s="414"/>
      <c r="LXG24" s="414"/>
      <c r="LXH24" s="414"/>
      <c r="LXI24" s="414"/>
      <c r="LXJ24" s="414"/>
      <c r="LXK24" s="414"/>
      <c r="LXL24" s="414"/>
      <c r="LXM24" s="414"/>
      <c r="LXN24" s="414"/>
      <c r="LXO24" s="414"/>
      <c r="LXP24" s="414"/>
      <c r="LXQ24" s="414"/>
      <c r="LXR24" s="414"/>
      <c r="LXS24" s="414"/>
      <c r="LXT24" s="414"/>
      <c r="LXU24" s="414"/>
      <c r="LXV24" s="414"/>
      <c r="LXW24" s="414"/>
      <c r="LXX24" s="414"/>
      <c r="LXY24" s="414"/>
      <c r="LXZ24" s="414"/>
      <c r="LYA24" s="414"/>
      <c r="LYB24" s="414"/>
      <c r="LYC24" s="414"/>
      <c r="LYD24" s="414"/>
      <c r="LYE24" s="414"/>
      <c r="LYF24" s="414"/>
      <c r="LYG24" s="414"/>
      <c r="LYH24" s="414"/>
      <c r="LYI24" s="414"/>
      <c r="LYJ24" s="414"/>
      <c r="LYK24" s="414"/>
      <c r="LYL24" s="414"/>
      <c r="LYM24" s="414"/>
      <c r="LYN24" s="414"/>
      <c r="LYO24" s="414"/>
      <c r="LYP24" s="414"/>
      <c r="LYQ24" s="414"/>
      <c r="LYR24" s="414"/>
      <c r="LYS24" s="414"/>
      <c r="LYT24" s="414"/>
      <c r="LYU24" s="414"/>
      <c r="LYV24" s="414"/>
      <c r="LYW24" s="414"/>
      <c r="LYX24" s="414"/>
      <c r="LYY24" s="414"/>
      <c r="LYZ24" s="414"/>
      <c r="LZA24" s="414"/>
      <c r="LZB24" s="414"/>
      <c r="LZC24" s="414"/>
      <c r="LZD24" s="414"/>
      <c r="LZE24" s="414"/>
      <c r="LZF24" s="414"/>
      <c r="LZG24" s="414"/>
      <c r="LZH24" s="414"/>
      <c r="LZI24" s="414"/>
      <c r="LZJ24" s="414"/>
      <c r="LZK24" s="414"/>
      <c r="LZL24" s="414"/>
      <c r="LZM24" s="414"/>
      <c r="LZN24" s="414"/>
      <c r="LZO24" s="414"/>
      <c r="LZP24" s="414"/>
      <c r="LZQ24" s="414"/>
      <c r="LZR24" s="414"/>
      <c r="LZS24" s="414"/>
      <c r="LZT24" s="414"/>
      <c r="LZU24" s="414"/>
      <c r="LZV24" s="414"/>
      <c r="LZW24" s="414"/>
      <c r="LZX24" s="414"/>
      <c r="LZY24" s="414"/>
      <c r="LZZ24" s="414"/>
      <c r="MAA24" s="414"/>
      <c r="MAB24" s="414"/>
      <c r="MAC24" s="414"/>
      <c r="MAD24" s="414"/>
      <c r="MAE24" s="414"/>
      <c r="MAF24" s="414"/>
      <c r="MAG24" s="414"/>
      <c r="MAH24" s="414"/>
      <c r="MAI24" s="414"/>
      <c r="MAJ24" s="414"/>
      <c r="MAK24" s="414"/>
      <c r="MAL24" s="414"/>
      <c r="MAM24" s="414"/>
      <c r="MAN24" s="414"/>
      <c r="MAO24" s="414"/>
      <c r="MAP24" s="414"/>
      <c r="MAQ24" s="414"/>
      <c r="MAR24" s="414"/>
      <c r="MAS24" s="414"/>
      <c r="MAT24" s="414"/>
      <c r="MAU24" s="414"/>
      <c r="MAV24" s="414"/>
      <c r="MAW24" s="414"/>
      <c r="MAX24" s="414"/>
      <c r="MAY24" s="414"/>
      <c r="MAZ24" s="414"/>
      <c r="MBA24" s="414"/>
      <c r="MBB24" s="414"/>
      <c r="MBC24" s="414"/>
      <c r="MBD24" s="414"/>
      <c r="MBE24" s="414"/>
      <c r="MBF24" s="414"/>
      <c r="MBG24" s="414"/>
      <c r="MBH24" s="414"/>
      <c r="MBI24" s="414"/>
      <c r="MBJ24" s="414"/>
      <c r="MBK24" s="414"/>
      <c r="MBL24" s="414"/>
      <c r="MBM24" s="414"/>
      <c r="MBN24" s="414"/>
      <c r="MBO24" s="414"/>
      <c r="MBP24" s="414"/>
      <c r="MBQ24" s="414"/>
      <c r="MBR24" s="414"/>
      <c r="MBS24" s="414"/>
      <c r="MBT24" s="414"/>
      <c r="MBU24" s="414"/>
      <c r="MBV24" s="414"/>
      <c r="MBW24" s="414"/>
      <c r="MBX24" s="414"/>
      <c r="MBY24" s="414"/>
      <c r="MBZ24" s="414"/>
      <c r="MCA24" s="414"/>
      <c r="MCB24" s="414"/>
      <c r="MCC24" s="414"/>
      <c r="MCD24" s="414"/>
      <c r="MCE24" s="414"/>
      <c r="MCF24" s="414"/>
      <c r="MCG24" s="414"/>
      <c r="MCH24" s="414"/>
      <c r="MCI24" s="414"/>
      <c r="MCJ24" s="414"/>
      <c r="MCK24" s="414"/>
      <c r="MCL24" s="414"/>
      <c r="MCM24" s="414"/>
      <c r="MCN24" s="414"/>
      <c r="MCO24" s="414"/>
      <c r="MCP24" s="414"/>
      <c r="MCQ24" s="414"/>
      <c r="MCR24" s="414"/>
      <c r="MCS24" s="414"/>
      <c r="MCT24" s="414"/>
      <c r="MCU24" s="414"/>
      <c r="MCV24" s="414"/>
      <c r="MCW24" s="414"/>
      <c r="MCX24" s="414"/>
      <c r="MCY24" s="414"/>
      <c r="MCZ24" s="414"/>
      <c r="MDA24" s="414"/>
      <c r="MDB24" s="414"/>
      <c r="MDC24" s="414"/>
      <c r="MDD24" s="414"/>
      <c r="MDE24" s="414"/>
      <c r="MDF24" s="414"/>
      <c r="MDG24" s="414"/>
      <c r="MDH24" s="414"/>
      <c r="MDI24" s="414"/>
      <c r="MDJ24" s="414"/>
      <c r="MDK24" s="414"/>
      <c r="MDL24" s="414"/>
      <c r="MDM24" s="414"/>
      <c r="MDN24" s="414"/>
      <c r="MDO24" s="414"/>
      <c r="MDP24" s="414"/>
      <c r="MDQ24" s="414"/>
      <c r="MDR24" s="414"/>
      <c r="MDS24" s="414"/>
      <c r="MDT24" s="414"/>
      <c r="MDU24" s="414"/>
      <c r="MDV24" s="414"/>
      <c r="MDW24" s="414"/>
      <c r="MDX24" s="414"/>
      <c r="MDY24" s="414"/>
      <c r="MDZ24" s="414"/>
      <c r="MEA24" s="414"/>
      <c r="MEB24" s="414"/>
      <c r="MEC24" s="414"/>
      <c r="MED24" s="414"/>
      <c r="MEE24" s="414"/>
      <c r="MEF24" s="414"/>
      <c r="MEG24" s="414"/>
      <c r="MEH24" s="414"/>
      <c r="MEI24" s="414"/>
      <c r="MEJ24" s="414"/>
      <c r="MEK24" s="414"/>
      <c r="MEL24" s="414"/>
      <c r="MEM24" s="414"/>
      <c r="MEN24" s="414"/>
      <c r="MEO24" s="414"/>
      <c r="MEP24" s="414"/>
      <c r="MEQ24" s="414"/>
      <c r="MER24" s="414"/>
      <c r="MES24" s="414"/>
      <c r="MET24" s="414"/>
      <c r="MEU24" s="414"/>
      <c r="MEV24" s="414"/>
      <c r="MEW24" s="414"/>
      <c r="MEX24" s="414"/>
      <c r="MEY24" s="414"/>
      <c r="MEZ24" s="414"/>
      <c r="MFA24" s="414"/>
      <c r="MFB24" s="414"/>
      <c r="MFC24" s="414"/>
      <c r="MFD24" s="414"/>
      <c r="MFE24" s="414"/>
      <c r="MFF24" s="414"/>
      <c r="MFG24" s="414"/>
      <c r="MFH24" s="414"/>
      <c r="MFI24" s="414"/>
      <c r="MFJ24" s="414"/>
      <c r="MFK24" s="414"/>
      <c r="MFL24" s="414"/>
      <c r="MFM24" s="414"/>
      <c r="MFN24" s="414"/>
      <c r="MFO24" s="414"/>
      <c r="MFP24" s="414"/>
      <c r="MFQ24" s="414"/>
      <c r="MFR24" s="414"/>
      <c r="MFS24" s="414"/>
      <c r="MFT24" s="414"/>
      <c r="MFU24" s="414"/>
      <c r="MFV24" s="414"/>
      <c r="MFW24" s="414"/>
      <c r="MFX24" s="414"/>
      <c r="MFY24" s="414"/>
      <c r="MFZ24" s="414"/>
      <c r="MGA24" s="414"/>
      <c r="MGB24" s="414"/>
      <c r="MGC24" s="414"/>
      <c r="MGD24" s="414"/>
      <c r="MGE24" s="414"/>
      <c r="MGF24" s="414"/>
      <c r="MGG24" s="414"/>
      <c r="MGH24" s="414"/>
      <c r="MGI24" s="414"/>
      <c r="MGJ24" s="414"/>
      <c r="MGK24" s="414"/>
      <c r="MGL24" s="414"/>
      <c r="MGM24" s="414"/>
      <c r="MGN24" s="414"/>
      <c r="MGO24" s="414"/>
      <c r="MGP24" s="414"/>
      <c r="MGQ24" s="414"/>
      <c r="MGR24" s="414"/>
      <c r="MGS24" s="414"/>
      <c r="MGT24" s="414"/>
      <c r="MGU24" s="414"/>
      <c r="MGV24" s="414"/>
      <c r="MGW24" s="414"/>
      <c r="MGX24" s="414"/>
      <c r="MGY24" s="414"/>
      <c r="MGZ24" s="414"/>
      <c r="MHA24" s="414"/>
      <c r="MHB24" s="414"/>
      <c r="MHC24" s="414"/>
      <c r="MHD24" s="414"/>
      <c r="MHE24" s="414"/>
      <c r="MHF24" s="414"/>
      <c r="MHG24" s="414"/>
      <c r="MHH24" s="414"/>
      <c r="MHI24" s="414"/>
      <c r="MHJ24" s="414"/>
      <c r="MHK24" s="414"/>
      <c r="MHL24" s="414"/>
      <c r="MHM24" s="414"/>
      <c r="MHN24" s="414"/>
      <c r="MHO24" s="414"/>
      <c r="MHP24" s="414"/>
      <c r="MHQ24" s="414"/>
      <c r="MHR24" s="414"/>
      <c r="MHS24" s="414"/>
      <c r="MHT24" s="414"/>
      <c r="MHU24" s="414"/>
      <c r="MHV24" s="414"/>
      <c r="MHW24" s="414"/>
      <c r="MHX24" s="414"/>
      <c r="MHY24" s="414"/>
      <c r="MHZ24" s="414"/>
      <c r="MIA24" s="414"/>
      <c r="MIB24" s="414"/>
      <c r="MIC24" s="414"/>
      <c r="MID24" s="414"/>
      <c r="MIE24" s="414"/>
      <c r="MIF24" s="414"/>
      <c r="MIG24" s="414"/>
      <c r="MIH24" s="414"/>
      <c r="MII24" s="414"/>
      <c r="MIJ24" s="414"/>
      <c r="MIK24" s="414"/>
      <c r="MIL24" s="414"/>
      <c r="MIM24" s="414"/>
      <c r="MIN24" s="414"/>
      <c r="MIO24" s="414"/>
      <c r="MIP24" s="414"/>
      <c r="MIQ24" s="414"/>
      <c r="MIR24" s="414"/>
      <c r="MIS24" s="414"/>
      <c r="MIT24" s="414"/>
      <c r="MIU24" s="414"/>
      <c r="MIV24" s="414"/>
      <c r="MIW24" s="414"/>
      <c r="MIX24" s="414"/>
      <c r="MIY24" s="414"/>
      <c r="MIZ24" s="414"/>
      <c r="MJA24" s="414"/>
      <c r="MJB24" s="414"/>
      <c r="MJC24" s="414"/>
      <c r="MJD24" s="414"/>
      <c r="MJE24" s="414"/>
      <c r="MJF24" s="414"/>
      <c r="MJG24" s="414"/>
      <c r="MJH24" s="414"/>
      <c r="MJI24" s="414"/>
      <c r="MJJ24" s="414"/>
      <c r="MJK24" s="414"/>
      <c r="MJL24" s="414"/>
      <c r="MJM24" s="414"/>
      <c r="MJN24" s="414"/>
      <c r="MJO24" s="414"/>
      <c r="MJP24" s="414"/>
      <c r="MJQ24" s="414"/>
      <c r="MJR24" s="414"/>
      <c r="MJS24" s="414"/>
      <c r="MJT24" s="414"/>
      <c r="MJU24" s="414"/>
      <c r="MJV24" s="414"/>
      <c r="MJW24" s="414"/>
      <c r="MJX24" s="414"/>
      <c r="MJY24" s="414"/>
      <c r="MJZ24" s="414"/>
      <c r="MKA24" s="414"/>
      <c r="MKB24" s="414"/>
      <c r="MKC24" s="414"/>
      <c r="MKD24" s="414"/>
      <c r="MKE24" s="414"/>
      <c r="MKF24" s="414"/>
      <c r="MKG24" s="414"/>
      <c r="MKH24" s="414"/>
      <c r="MKI24" s="414"/>
      <c r="MKJ24" s="414"/>
      <c r="MKK24" s="414"/>
      <c r="MKL24" s="414"/>
      <c r="MKM24" s="414"/>
      <c r="MKN24" s="414"/>
      <c r="MKO24" s="414"/>
      <c r="MKP24" s="414"/>
      <c r="MKQ24" s="414"/>
      <c r="MKR24" s="414"/>
      <c r="MKS24" s="414"/>
      <c r="MKT24" s="414"/>
      <c r="MKU24" s="414"/>
      <c r="MKV24" s="414"/>
      <c r="MKW24" s="414"/>
      <c r="MKX24" s="414"/>
      <c r="MKY24" s="414"/>
      <c r="MKZ24" s="414"/>
      <c r="MLA24" s="414"/>
      <c r="MLB24" s="414"/>
      <c r="MLC24" s="414"/>
      <c r="MLD24" s="414"/>
      <c r="MLE24" s="414"/>
      <c r="MLF24" s="414"/>
      <c r="MLG24" s="414"/>
      <c r="MLH24" s="414"/>
      <c r="MLI24" s="414"/>
      <c r="MLJ24" s="414"/>
      <c r="MLK24" s="414"/>
      <c r="MLL24" s="414"/>
      <c r="MLM24" s="414"/>
      <c r="MLN24" s="414"/>
      <c r="MLO24" s="414"/>
      <c r="MLP24" s="414"/>
      <c r="MLQ24" s="414"/>
      <c r="MLR24" s="414"/>
      <c r="MLS24" s="414"/>
      <c r="MLT24" s="414"/>
      <c r="MLU24" s="414"/>
      <c r="MLV24" s="414"/>
      <c r="MLW24" s="414"/>
      <c r="MLX24" s="414"/>
      <c r="MLY24" s="414"/>
      <c r="MLZ24" s="414"/>
      <c r="MMA24" s="414"/>
      <c r="MMB24" s="414"/>
      <c r="MMC24" s="414"/>
      <c r="MMD24" s="414"/>
      <c r="MME24" s="414"/>
      <c r="MMF24" s="414"/>
      <c r="MMG24" s="414"/>
      <c r="MMH24" s="414"/>
      <c r="MMI24" s="414"/>
      <c r="MMJ24" s="414"/>
      <c r="MMK24" s="414"/>
      <c r="MML24" s="414"/>
      <c r="MMM24" s="414"/>
      <c r="MMN24" s="414"/>
      <c r="MMO24" s="414"/>
      <c r="MMP24" s="414"/>
      <c r="MMQ24" s="414"/>
      <c r="MMR24" s="414"/>
      <c r="MMS24" s="414"/>
      <c r="MMT24" s="414"/>
      <c r="MMU24" s="414"/>
      <c r="MMV24" s="414"/>
      <c r="MMW24" s="414"/>
      <c r="MMX24" s="414"/>
      <c r="MMY24" s="414"/>
      <c r="MMZ24" s="414"/>
      <c r="MNA24" s="414"/>
      <c r="MNB24" s="414"/>
      <c r="MNC24" s="414"/>
      <c r="MND24" s="414"/>
      <c r="MNE24" s="414"/>
      <c r="MNF24" s="414"/>
      <c r="MNG24" s="414"/>
      <c r="MNH24" s="414"/>
      <c r="MNI24" s="414"/>
      <c r="MNJ24" s="414"/>
      <c r="MNK24" s="414"/>
      <c r="MNL24" s="414"/>
      <c r="MNM24" s="414"/>
      <c r="MNN24" s="414"/>
      <c r="MNO24" s="414"/>
      <c r="MNP24" s="414"/>
      <c r="MNQ24" s="414"/>
      <c r="MNR24" s="414"/>
      <c r="MNS24" s="414"/>
      <c r="MNT24" s="414"/>
      <c r="MNU24" s="414"/>
      <c r="MNV24" s="414"/>
      <c r="MNW24" s="414"/>
      <c r="MNX24" s="414"/>
      <c r="MNY24" s="414"/>
      <c r="MNZ24" s="414"/>
      <c r="MOA24" s="414"/>
      <c r="MOB24" s="414"/>
      <c r="MOC24" s="414"/>
      <c r="MOD24" s="414"/>
      <c r="MOE24" s="414"/>
      <c r="MOF24" s="414"/>
      <c r="MOG24" s="414"/>
      <c r="MOH24" s="414"/>
      <c r="MOI24" s="414"/>
      <c r="MOJ24" s="414"/>
      <c r="MOK24" s="414"/>
      <c r="MOL24" s="414"/>
      <c r="MOM24" s="414"/>
      <c r="MON24" s="414"/>
      <c r="MOO24" s="414"/>
      <c r="MOP24" s="414"/>
      <c r="MOQ24" s="414"/>
      <c r="MOR24" s="414"/>
      <c r="MOS24" s="414"/>
      <c r="MOT24" s="414"/>
      <c r="MOU24" s="414"/>
      <c r="MOV24" s="414"/>
      <c r="MOW24" s="414"/>
      <c r="MOX24" s="414"/>
      <c r="MOY24" s="414"/>
      <c r="MOZ24" s="414"/>
      <c r="MPA24" s="414"/>
      <c r="MPB24" s="414"/>
      <c r="MPC24" s="414"/>
      <c r="MPD24" s="414"/>
      <c r="MPE24" s="414"/>
      <c r="MPF24" s="414"/>
      <c r="MPG24" s="414"/>
      <c r="MPH24" s="414"/>
      <c r="MPI24" s="414"/>
      <c r="MPJ24" s="414"/>
      <c r="MPK24" s="414"/>
      <c r="MPL24" s="414"/>
      <c r="MPM24" s="414"/>
      <c r="MPN24" s="414"/>
      <c r="MPO24" s="414"/>
      <c r="MPP24" s="414"/>
      <c r="MPQ24" s="414"/>
      <c r="MPR24" s="414"/>
      <c r="MPS24" s="414"/>
      <c r="MPT24" s="414"/>
      <c r="MPU24" s="414"/>
      <c r="MPV24" s="414"/>
      <c r="MPW24" s="414"/>
      <c r="MPX24" s="414"/>
      <c r="MPY24" s="414"/>
      <c r="MPZ24" s="414"/>
      <c r="MQA24" s="414"/>
      <c r="MQB24" s="414"/>
      <c r="MQC24" s="414"/>
      <c r="MQD24" s="414"/>
      <c r="MQE24" s="414"/>
      <c r="MQF24" s="414"/>
      <c r="MQG24" s="414"/>
      <c r="MQH24" s="414"/>
      <c r="MQI24" s="414"/>
      <c r="MQJ24" s="414"/>
      <c r="MQK24" s="414"/>
      <c r="MQL24" s="414"/>
      <c r="MQM24" s="414"/>
      <c r="MQN24" s="414"/>
      <c r="MQO24" s="414"/>
      <c r="MQP24" s="414"/>
      <c r="MQQ24" s="414"/>
      <c r="MQR24" s="414"/>
      <c r="MQS24" s="414"/>
      <c r="MQT24" s="414"/>
      <c r="MQU24" s="414"/>
      <c r="MQV24" s="414"/>
      <c r="MQW24" s="414"/>
      <c r="MQX24" s="414"/>
      <c r="MQY24" s="414"/>
      <c r="MQZ24" s="414"/>
      <c r="MRA24" s="414"/>
      <c r="MRB24" s="414"/>
      <c r="MRC24" s="414"/>
      <c r="MRD24" s="414"/>
      <c r="MRE24" s="414"/>
      <c r="MRF24" s="414"/>
      <c r="MRG24" s="414"/>
      <c r="MRH24" s="414"/>
      <c r="MRI24" s="414"/>
      <c r="MRJ24" s="414"/>
      <c r="MRK24" s="414"/>
      <c r="MRL24" s="414"/>
      <c r="MRM24" s="414"/>
      <c r="MRN24" s="414"/>
      <c r="MRO24" s="414"/>
      <c r="MRP24" s="414"/>
      <c r="MRQ24" s="414"/>
      <c r="MRR24" s="414"/>
      <c r="MRS24" s="414"/>
      <c r="MRT24" s="414"/>
      <c r="MRU24" s="414"/>
      <c r="MRV24" s="414"/>
      <c r="MRW24" s="414"/>
      <c r="MRX24" s="414"/>
      <c r="MRY24" s="414"/>
      <c r="MRZ24" s="414"/>
      <c r="MSA24" s="414"/>
      <c r="MSB24" s="414"/>
      <c r="MSC24" s="414"/>
      <c r="MSD24" s="414"/>
      <c r="MSE24" s="414"/>
      <c r="MSF24" s="414"/>
      <c r="MSG24" s="414"/>
      <c r="MSH24" s="414"/>
      <c r="MSI24" s="414"/>
      <c r="MSJ24" s="414"/>
      <c r="MSK24" s="414"/>
      <c r="MSL24" s="414"/>
      <c r="MSM24" s="414"/>
      <c r="MSN24" s="414"/>
      <c r="MSO24" s="414"/>
      <c r="MSP24" s="414"/>
      <c r="MSQ24" s="414"/>
      <c r="MSR24" s="414"/>
      <c r="MSS24" s="414"/>
      <c r="MST24" s="414"/>
      <c r="MSU24" s="414"/>
      <c r="MSV24" s="414"/>
      <c r="MSW24" s="414"/>
      <c r="MSX24" s="414"/>
      <c r="MSY24" s="414"/>
      <c r="MSZ24" s="414"/>
      <c r="MTA24" s="414"/>
      <c r="MTB24" s="414"/>
      <c r="MTC24" s="414"/>
      <c r="MTD24" s="414"/>
      <c r="MTE24" s="414"/>
      <c r="MTF24" s="414"/>
      <c r="MTG24" s="414"/>
      <c r="MTH24" s="414"/>
      <c r="MTI24" s="414"/>
      <c r="MTJ24" s="414"/>
      <c r="MTK24" s="414"/>
      <c r="MTL24" s="414"/>
      <c r="MTM24" s="414"/>
      <c r="MTN24" s="414"/>
      <c r="MTO24" s="414"/>
      <c r="MTP24" s="414"/>
      <c r="MTQ24" s="414"/>
      <c r="MTR24" s="414"/>
      <c r="MTS24" s="414"/>
      <c r="MTT24" s="414"/>
      <c r="MTU24" s="414"/>
      <c r="MTV24" s="414"/>
      <c r="MTW24" s="414"/>
      <c r="MTX24" s="414"/>
      <c r="MTY24" s="414"/>
      <c r="MTZ24" s="414"/>
      <c r="MUA24" s="414"/>
      <c r="MUB24" s="414"/>
      <c r="MUC24" s="414"/>
      <c r="MUD24" s="414"/>
      <c r="MUE24" s="414"/>
      <c r="MUF24" s="414"/>
      <c r="MUG24" s="414"/>
      <c r="MUH24" s="414"/>
      <c r="MUI24" s="414"/>
      <c r="MUJ24" s="414"/>
      <c r="MUK24" s="414"/>
      <c r="MUL24" s="414"/>
      <c r="MUM24" s="414"/>
      <c r="MUN24" s="414"/>
      <c r="MUO24" s="414"/>
      <c r="MUP24" s="414"/>
      <c r="MUQ24" s="414"/>
      <c r="MUR24" s="414"/>
      <c r="MUS24" s="414"/>
      <c r="MUT24" s="414"/>
      <c r="MUU24" s="414"/>
      <c r="MUV24" s="414"/>
      <c r="MUW24" s="414"/>
      <c r="MUX24" s="414"/>
      <c r="MUY24" s="414"/>
      <c r="MUZ24" s="414"/>
      <c r="MVA24" s="414"/>
      <c r="MVB24" s="414"/>
      <c r="MVC24" s="414"/>
      <c r="MVD24" s="414"/>
      <c r="MVE24" s="414"/>
      <c r="MVF24" s="414"/>
      <c r="MVG24" s="414"/>
      <c r="MVH24" s="414"/>
      <c r="MVI24" s="414"/>
      <c r="MVJ24" s="414"/>
      <c r="MVK24" s="414"/>
      <c r="MVL24" s="414"/>
      <c r="MVM24" s="414"/>
      <c r="MVN24" s="414"/>
      <c r="MVO24" s="414"/>
      <c r="MVP24" s="414"/>
      <c r="MVQ24" s="414"/>
      <c r="MVR24" s="414"/>
      <c r="MVS24" s="414"/>
      <c r="MVT24" s="414"/>
      <c r="MVU24" s="414"/>
      <c r="MVV24" s="414"/>
      <c r="MVW24" s="414"/>
      <c r="MVX24" s="414"/>
      <c r="MVY24" s="414"/>
      <c r="MVZ24" s="414"/>
      <c r="MWA24" s="414"/>
      <c r="MWB24" s="414"/>
      <c r="MWC24" s="414"/>
      <c r="MWD24" s="414"/>
      <c r="MWE24" s="414"/>
      <c r="MWF24" s="414"/>
      <c r="MWG24" s="414"/>
      <c r="MWH24" s="414"/>
      <c r="MWI24" s="414"/>
      <c r="MWJ24" s="414"/>
      <c r="MWK24" s="414"/>
      <c r="MWL24" s="414"/>
      <c r="MWM24" s="414"/>
      <c r="MWN24" s="414"/>
      <c r="MWO24" s="414"/>
      <c r="MWP24" s="414"/>
      <c r="MWQ24" s="414"/>
      <c r="MWR24" s="414"/>
      <c r="MWS24" s="414"/>
      <c r="MWT24" s="414"/>
      <c r="MWU24" s="414"/>
      <c r="MWV24" s="414"/>
      <c r="MWW24" s="414"/>
      <c r="MWX24" s="414"/>
      <c r="MWY24" s="414"/>
      <c r="MWZ24" s="414"/>
      <c r="MXA24" s="414"/>
      <c r="MXB24" s="414"/>
      <c r="MXC24" s="414"/>
      <c r="MXD24" s="414"/>
      <c r="MXE24" s="414"/>
      <c r="MXF24" s="414"/>
      <c r="MXG24" s="414"/>
      <c r="MXH24" s="414"/>
      <c r="MXI24" s="414"/>
      <c r="MXJ24" s="414"/>
      <c r="MXK24" s="414"/>
      <c r="MXL24" s="414"/>
      <c r="MXM24" s="414"/>
      <c r="MXN24" s="414"/>
      <c r="MXO24" s="414"/>
      <c r="MXP24" s="414"/>
      <c r="MXQ24" s="414"/>
      <c r="MXR24" s="414"/>
      <c r="MXS24" s="414"/>
      <c r="MXT24" s="414"/>
      <c r="MXU24" s="414"/>
      <c r="MXV24" s="414"/>
      <c r="MXW24" s="414"/>
      <c r="MXX24" s="414"/>
      <c r="MXY24" s="414"/>
      <c r="MXZ24" s="414"/>
      <c r="MYA24" s="414"/>
      <c r="MYB24" s="414"/>
      <c r="MYC24" s="414"/>
      <c r="MYD24" s="414"/>
      <c r="MYE24" s="414"/>
      <c r="MYF24" s="414"/>
      <c r="MYG24" s="414"/>
      <c r="MYH24" s="414"/>
      <c r="MYI24" s="414"/>
      <c r="MYJ24" s="414"/>
      <c r="MYK24" s="414"/>
      <c r="MYL24" s="414"/>
      <c r="MYM24" s="414"/>
      <c r="MYN24" s="414"/>
      <c r="MYO24" s="414"/>
      <c r="MYP24" s="414"/>
      <c r="MYQ24" s="414"/>
      <c r="MYR24" s="414"/>
      <c r="MYS24" s="414"/>
      <c r="MYT24" s="414"/>
      <c r="MYU24" s="414"/>
      <c r="MYV24" s="414"/>
      <c r="MYW24" s="414"/>
      <c r="MYX24" s="414"/>
      <c r="MYY24" s="414"/>
      <c r="MYZ24" s="414"/>
      <c r="MZA24" s="414"/>
      <c r="MZB24" s="414"/>
      <c r="MZC24" s="414"/>
      <c r="MZD24" s="414"/>
      <c r="MZE24" s="414"/>
      <c r="MZF24" s="414"/>
      <c r="MZG24" s="414"/>
      <c r="MZH24" s="414"/>
      <c r="MZI24" s="414"/>
      <c r="MZJ24" s="414"/>
      <c r="MZK24" s="414"/>
      <c r="MZL24" s="414"/>
      <c r="MZM24" s="414"/>
      <c r="MZN24" s="414"/>
      <c r="MZO24" s="414"/>
      <c r="MZP24" s="414"/>
      <c r="MZQ24" s="414"/>
      <c r="MZR24" s="414"/>
      <c r="MZS24" s="414"/>
      <c r="MZT24" s="414"/>
      <c r="MZU24" s="414"/>
      <c r="MZV24" s="414"/>
      <c r="MZW24" s="414"/>
      <c r="MZX24" s="414"/>
      <c r="MZY24" s="414"/>
      <c r="MZZ24" s="414"/>
      <c r="NAA24" s="414"/>
      <c r="NAB24" s="414"/>
      <c r="NAC24" s="414"/>
      <c r="NAD24" s="414"/>
      <c r="NAE24" s="414"/>
      <c r="NAF24" s="414"/>
      <c r="NAG24" s="414"/>
      <c r="NAH24" s="414"/>
      <c r="NAI24" s="414"/>
      <c r="NAJ24" s="414"/>
      <c r="NAK24" s="414"/>
      <c r="NAL24" s="414"/>
      <c r="NAM24" s="414"/>
      <c r="NAN24" s="414"/>
      <c r="NAO24" s="414"/>
      <c r="NAP24" s="414"/>
      <c r="NAQ24" s="414"/>
      <c r="NAR24" s="414"/>
      <c r="NAS24" s="414"/>
      <c r="NAT24" s="414"/>
      <c r="NAU24" s="414"/>
      <c r="NAV24" s="414"/>
      <c r="NAW24" s="414"/>
      <c r="NAX24" s="414"/>
      <c r="NAY24" s="414"/>
      <c r="NAZ24" s="414"/>
      <c r="NBA24" s="414"/>
      <c r="NBB24" s="414"/>
      <c r="NBC24" s="414"/>
      <c r="NBD24" s="414"/>
      <c r="NBE24" s="414"/>
      <c r="NBF24" s="414"/>
      <c r="NBG24" s="414"/>
      <c r="NBH24" s="414"/>
      <c r="NBI24" s="414"/>
      <c r="NBJ24" s="414"/>
      <c r="NBK24" s="414"/>
      <c r="NBL24" s="414"/>
      <c r="NBM24" s="414"/>
      <c r="NBN24" s="414"/>
      <c r="NBO24" s="414"/>
      <c r="NBP24" s="414"/>
      <c r="NBQ24" s="414"/>
      <c r="NBR24" s="414"/>
      <c r="NBS24" s="414"/>
      <c r="NBT24" s="414"/>
      <c r="NBU24" s="414"/>
      <c r="NBV24" s="414"/>
      <c r="NBW24" s="414"/>
      <c r="NBX24" s="414"/>
      <c r="NBY24" s="414"/>
      <c r="NBZ24" s="414"/>
      <c r="NCA24" s="414"/>
      <c r="NCB24" s="414"/>
      <c r="NCC24" s="414"/>
      <c r="NCD24" s="414"/>
      <c r="NCE24" s="414"/>
      <c r="NCF24" s="414"/>
      <c r="NCG24" s="414"/>
      <c r="NCH24" s="414"/>
      <c r="NCI24" s="414"/>
      <c r="NCJ24" s="414"/>
      <c r="NCK24" s="414"/>
      <c r="NCL24" s="414"/>
      <c r="NCM24" s="414"/>
      <c r="NCN24" s="414"/>
      <c r="NCO24" s="414"/>
      <c r="NCP24" s="414"/>
      <c r="NCQ24" s="414"/>
      <c r="NCR24" s="414"/>
      <c r="NCS24" s="414"/>
      <c r="NCT24" s="414"/>
      <c r="NCU24" s="414"/>
      <c r="NCV24" s="414"/>
      <c r="NCW24" s="414"/>
      <c r="NCX24" s="414"/>
      <c r="NCY24" s="414"/>
      <c r="NCZ24" s="414"/>
      <c r="NDA24" s="414"/>
      <c r="NDB24" s="414"/>
      <c r="NDC24" s="414"/>
      <c r="NDD24" s="414"/>
      <c r="NDE24" s="414"/>
      <c r="NDF24" s="414"/>
      <c r="NDG24" s="414"/>
      <c r="NDH24" s="414"/>
      <c r="NDI24" s="414"/>
      <c r="NDJ24" s="414"/>
      <c r="NDK24" s="414"/>
      <c r="NDL24" s="414"/>
      <c r="NDM24" s="414"/>
      <c r="NDN24" s="414"/>
      <c r="NDO24" s="414"/>
      <c r="NDP24" s="414"/>
      <c r="NDQ24" s="414"/>
      <c r="NDR24" s="414"/>
      <c r="NDS24" s="414"/>
      <c r="NDT24" s="414"/>
      <c r="NDU24" s="414"/>
      <c r="NDV24" s="414"/>
      <c r="NDW24" s="414"/>
      <c r="NDX24" s="414"/>
      <c r="NDY24" s="414"/>
      <c r="NDZ24" s="414"/>
      <c r="NEA24" s="414"/>
      <c r="NEB24" s="414"/>
      <c r="NEC24" s="414"/>
      <c r="NED24" s="414"/>
      <c r="NEE24" s="414"/>
      <c r="NEF24" s="414"/>
      <c r="NEG24" s="414"/>
      <c r="NEH24" s="414"/>
      <c r="NEI24" s="414"/>
      <c r="NEJ24" s="414"/>
      <c r="NEK24" s="414"/>
      <c r="NEL24" s="414"/>
      <c r="NEM24" s="414"/>
      <c r="NEN24" s="414"/>
      <c r="NEO24" s="414"/>
      <c r="NEP24" s="414"/>
      <c r="NEQ24" s="414"/>
      <c r="NER24" s="414"/>
      <c r="NES24" s="414"/>
      <c r="NET24" s="414"/>
      <c r="NEU24" s="414"/>
      <c r="NEV24" s="414"/>
      <c r="NEW24" s="414"/>
      <c r="NEX24" s="414"/>
      <c r="NEY24" s="414"/>
      <c r="NEZ24" s="414"/>
      <c r="NFA24" s="414"/>
      <c r="NFB24" s="414"/>
      <c r="NFC24" s="414"/>
      <c r="NFD24" s="414"/>
      <c r="NFE24" s="414"/>
      <c r="NFF24" s="414"/>
      <c r="NFG24" s="414"/>
      <c r="NFH24" s="414"/>
      <c r="NFI24" s="414"/>
      <c r="NFJ24" s="414"/>
      <c r="NFK24" s="414"/>
      <c r="NFL24" s="414"/>
      <c r="NFM24" s="414"/>
      <c r="NFN24" s="414"/>
      <c r="NFO24" s="414"/>
      <c r="NFP24" s="414"/>
      <c r="NFQ24" s="414"/>
      <c r="NFR24" s="414"/>
      <c r="NFS24" s="414"/>
      <c r="NFT24" s="414"/>
      <c r="NFU24" s="414"/>
      <c r="NFV24" s="414"/>
      <c r="NFW24" s="414"/>
      <c r="NFX24" s="414"/>
      <c r="NFY24" s="414"/>
      <c r="NFZ24" s="414"/>
      <c r="NGA24" s="414"/>
      <c r="NGB24" s="414"/>
      <c r="NGC24" s="414"/>
      <c r="NGD24" s="414"/>
      <c r="NGE24" s="414"/>
      <c r="NGF24" s="414"/>
      <c r="NGG24" s="414"/>
      <c r="NGH24" s="414"/>
      <c r="NGI24" s="414"/>
      <c r="NGJ24" s="414"/>
      <c r="NGK24" s="414"/>
      <c r="NGL24" s="414"/>
      <c r="NGM24" s="414"/>
      <c r="NGN24" s="414"/>
      <c r="NGO24" s="414"/>
      <c r="NGP24" s="414"/>
      <c r="NGQ24" s="414"/>
      <c r="NGR24" s="414"/>
      <c r="NGS24" s="414"/>
      <c r="NGT24" s="414"/>
      <c r="NGU24" s="414"/>
      <c r="NGV24" s="414"/>
      <c r="NGW24" s="414"/>
      <c r="NGX24" s="414"/>
      <c r="NGY24" s="414"/>
      <c r="NGZ24" s="414"/>
      <c r="NHA24" s="414"/>
      <c r="NHB24" s="414"/>
      <c r="NHC24" s="414"/>
      <c r="NHD24" s="414"/>
      <c r="NHE24" s="414"/>
      <c r="NHF24" s="414"/>
      <c r="NHG24" s="414"/>
      <c r="NHH24" s="414"/>
      <c r="NHI24" s="414"/>
      <c r="NHJ24" s="414"/>
      <c r="NHK24" s="414"/>
      <c r="NHL24" s="414"/>
      <c r="NHM24" s="414"/>
      <c r="NHN24" s="414"/>
      <c r="NHO24" s="414"/>
      <c r="NHP24" s="414"/>
      <c r="NHQ24" s="414"/>
      <c r="NHR24" s="414"/>
      <c r="NHS24" s="414"/>
      <c r="NHT24" s="414"/>
      <c r="NHU24" s="414"/>
      <c r="NHV24" s="414"/>
      <c r="NHW24" s="414"/>
      <c r="NHX24" s="414"/>
      <c r="NHY24" s="414"/>
      <c r="NHZ24" s="414"/>
      <c r="NIA24" s="414"/>
      <c r="NIB24" s="414"/>
      <c r="NIC24" s="414"/>
      <c r="NID24" s="414"/>
      <c r="NIE24" s="414"/>
      <c r="NIF24" s="414"/>
      <c r="NIG24" s="414"/>
      <c r="NIH24" s="414"/>
      <c r="NII24" s="414"/>
      <c r="NIJ24" s="414"/>
      <c r="NIK24" s="414"/>
      <c r="NIL24" s="414"/>
      <c r="NIM24" s="414"/>
      <c r="NIN24" s="414"/>
      <c r="NIO24" s="414"/>
      <c r="NIP24" s="414"/>
      <c r="NIQ24" s="414"/>
      <c r="NIR24" s="414"/>
      <c r="NIS24" s="414"/>
      <c r="NIT24" s="414"/>
      <c r="NIU24" s="414"/>
      <c r="NIV24" s="414"/>
      <c r="NIW24" s="414"/>
      <c r="NIX24" s="414"/>
      <c r="NIY24" s="414"/>
      <c r="NIZ24" s="414"/>
      <c r="NJA24" s="414"/>
      <c r="NJB24" s="414"/>
      <c r="NJC24" s="414"/>
      <c r="NJD24" s="414"/>
      <c r="NJE24" s="414"/>
      <c r="NJF24" s="414"/>
      <c r="NJG24" s="414"/>
      <c r="NJH24" s="414"/>
      <c r="NJI24" s="414"/>
      <c r="NJJ24" s="414"/>
      <c r="NJK24" s="414"/>
      <c r="NJL24" s="414"/>
      <c r="NJM24" s="414"/>
      <c r="NJN24" s="414"/>
      <c r="NJO24" s="414"/>
      <c r="NJP24" s="414"/>
      <c r="NJQ24" s="414"/>
      <c r="NJR24" s="414"/>
      <c r="NJS24" s="414"/>
      <c r="NJT24" s="414"/>
      <c r="NJU24" s="414"/>
      <c r="NJV24" s="414"/>
      <c r="NJW24" s="414"/>
      <c r="NJX24" s="414"/>
      <c r="NJY24" s="414"/>
      <c r="NJZ24" s="414"/>
      <c r="NKA24" s="414"/>
      <c r="NKB24" s="414"/>
      <c r="NKC24" s="414"/>
      <c r="NKD24" s="414"/>
      <c r="NKE24" s="414"/>
      <c r="NKF24" s="414"/>
      <c r="NKG24" s="414"/>
      <c r="NKH24" s="414"/>
      <c r="NKI24" s="414"/>
      <c r="NKJ24" s="414"/>
      <c r="NKK24" s="414"/>
      <c r="NKL24" s="414"/>
      <c r="NKM24" s="414"/>
      <c r="NKN24" s="414"/>
      <c r="NKO24" s="414"/>
      <c r="NKP24" s="414"/>
      <c r="NKQ24" s="414"/>
      <c r="NKR24" s="414"/>
      <c r="NKS24" s="414"/>
      <c r="NKT24" s="414"/>
      <c r="NKU24" s="414"/>
      <c r="NKV24" s="414"/>
      <c r="NKW24" s="414"/>
      <c r="NKX24" s="414"/>
      <c r="NKY24" s="414"/>
      <c r="NKZ24" s="414"/>
      <c r="NLA24" s="414"/>
      <c r="NLB24" s="414"/>
      <c r="NLC24" s="414"/>
      <c r="NLD24" s="414"/>
      <c r="NLE24" s="414"/>
      <c r="NLF24" s="414"/>
      <c r="NLG24" s="414"/>
      <c r="NLH24" s="414"/>
      <c r="NLI24" s="414"/>
      <c r="NLJ24" s="414"/>
      <c r="NLK24" s="414"/>
      <c r="NLL24" s="414"/>
      <c r="NLM24" s="414"/>
      <c r="NLN24" s="414"/>
      <c r="NLO24" s="414"/>
      <c r="NLP24" s="414"/>
      <c r="NLQ24" s="414"/>
      <c r="NLR24" s="414"/>
      <c r="NLS24" s="414"/>
      <c r="NLT24" s="414"/>
      <c r="NLU24" s="414"/>
      <c r="NLV24" s="414"/>
      <c r="NLW24" s="414"/>
      <c r="NLX24" s="414"/>
      <c r="NLY24" s="414"/>
      <c r="NLZ24" s="414"/>
      <c r="NMA24" s="414"/>
      <c r="NMB24" s="414"/>
      <c r="NMC24" s="414"/>
      <c r="NMD24" s="414"/>
      <c r="NME24" s="414"/>
      <c r="NMF24" s="414"/>
      <c r="NMG24" s="414"/>
      <c r="NMH24" s="414"/>
      <c r="NMI24" s="414"/>
      <c r="NMJ24" s="414"/>
      <c r="NMK24" s="414"/>
      <c r="NML24" s="414"/>
      <c r="NMM24" s="414"/>
      <c r="NMN24" s="414"/>
      <c r="NMO24" s="414"/>
      <c r="NMP24" s="414"/>
      <c r="NMQ24" s="414"/>
      <c r="NMR24" s="414"/>
      <c r="NMS24" s="414"/>
      <c r="NMT24" s="414"/>
      <c r="NMU24" s="414"/>
      <c r="NMV24" s="414"/>
      <c r="NMW24" s="414"/>
      <c r="NMX24" s="414"/>
      <c r="NMY24" s="414"/>
      <c r="NMZ24" s="414"/>
      <c r="NNA24" s="414"/>
      <c r="NNB24" s="414"/>
      <c r="NNC24" s="414"/>
      <c r="NND24" s="414"/>
      <c r="NNE24" s="414"/>
      <c r="NNF24" s="414"/>
      <c r="NNG24" s="414"/>
      <c r="NNH24" s="414"/>
      <c r="NNI24" s="414"/>
      <c r="NNJ24" s="414"/>
      <c r="NNK24" s="414"/>
      <c r="NNL24" s="414"/>
      <c r="NNM24" s="414"/>
      <c r="NNN24" s="414"/>
      <c r="NNO24" s="414"/>
      <c r="NNP24" s="414"/>
      <c r="NNQ24" s="414"/>
      <c r="NNR24" s="414"/>
      <c r="NNS24" s="414"/>
      <c r="NNT24" s="414"/>
      <c r="NNU24" s="414"/>
      <c r="NNV24" s="414"/>
      <c r="NNW24" s="414"/>
      <c r="NNX24" s="414"/>
      <c r="NNY24" s="414"/>
      <c r="NNZ24" s="414"/>
      <c r="NOA24" s="414"/>
      <c r="NOB24" s="414"/>
      <c r="NOC24" s="414"/>
      <c r="NOD24" s="414"/>
      <c r="NOE24" s="414"/>
      <c r="NOF24" s="414"/>
      <c r="NOG24" s="414"/>
      <c r="NOH24" s="414"/>
      <c r="NOI24" s="414"/>
      <c r="NOJ24" s="414"/>
      <c r="NOK24" s="414"/>
      <c r="NOL24" s="414"/>
      <c r="NOM24" s="414"/>
      <c r="NON24" s="414"/>
      <c r="NOO24" s="414"/>
      <c r="NOP24" s="414"/>
      <c r="NOQ24" s="414"/>
      <c r="NOR24" s="414"/>
      <c r="NOS24" s="414"/>
      <c r="NOT24" s="414"/>
      <c r="NOU24" s="414"/>
      <c r="NOV24" s="414"/>
      <c r="NOW24" s="414"/>
      <c r="NOX24" s="414"/>
      <c r="NOY24" s="414"/>
      <c r="NOZ24" s="414"/>
      <c r="NPA24" s="414"/>
      <c r="NPB24" s="414"/>
      <c r="NPC24" s="414"/>
      <c r="NPD24" s="414"/>
      <c r="NPE24" s="414"/>
      <c r="NPF24" s="414"/>
      <c r="NPG24" s="414"/>
      <c r="NPH24" s="414"/>
      <c r="NPI24" s="414"/>
      <c r="NPJ24" s="414"/>
      <c r="NPK24" s="414"/>
      <c r="NPL24" s="414"/>
      <c r="NPM24" s="414"/>
      <c r="NPN24" s="414"/>
      <c r="NPO24" s="414"/>
      <c r="NPP24" s="414"/>
      <c r="NPQ24" s="414"/>
      <c r="NPR24" s="414"/>
      <c r="NPS24" s="414"/>
      <c r="NPT24" s="414"/>
      <c r="NPU24" s="414"/>
      <c r="NPV24" s="414"/>
      <c r="NPW24" s="414"/>
      <c r="NPX24" s="414"/>
      <c r="NPY24" s="414"/>
      <c r="NPZ24" s="414"/>
      <c r="NQA24" s="414"/>
      <c r="NQB24" s="414"/>
      <c r="NQC24" s="414"/>
      <c r="NQD24" s="414"/>
      <c r="NQE24" s="414"/>
      <c r="NQF24" s="414"/>
      <c r="NQG24" s="414"/>
      <c r="NQH24" s="414"/>
      <c r="NQI24" s="414"/>
      <c r="NQJ24" s="414"/>
      <c r="NQK24" s="414"/>
      <c r="NQL24" s="414"/>
      <c r="NQM24" s="414"/>
      <c r="NQN24" s="414"/>
      <c r="NQO24" s="414"/>
      <c r="NQP24" s="414"/>
      <c r="NQQ24" s="414"/>
      <c r="NQR24" s="414"/>
      <c r="NQS24" s="414"/>
      <c r="NQT24" s="414"/>
      <c r="NQU24" s="414"/>
      <c r="NQV24" s="414"/>
      <c r="NQW24" s="414"/>
      <c r="NQX24" s="414"/>
      <c r="NQY24" s="414"/>
      <c r="NQZ24" s="414"/>
      <c r="NRA24" s="414"/>
      <c r="NRB24" s="414"/>
      <c r="NRC24" s="414"/>
      <c r="NRD24" s="414"/>
      <c r="NRE24" s="414"/>
      <c r="NRF24" s="414"/>
      <c r="NRG24" s="414"/>
      <c r="NRH24" s="414"/>
      <c r="NRI24" s="414"/>
      <c r="NRJ24" s="414"/>
      <c r="NRK24" s="414"/>
      <c r="NRL24" s="414"/>
      <c r="NRM24" s="414"/>
      <c r="NRN24" s="414"/>
      <c r="NRO24" s="414"/>
      <c r="NRP24" s="414"/>
      <c r="NRQ24" s="414"/>
      <c r="NRR24" s="414"/>
      <c r="NRS24" s="414"/>
      <c r="NRT24" s="414"/>
      <c r="NRU24" s="414"/>
      <c r="NRV24" s="414"/>
      <c r="NRW24" s="414"/>
      <c r="NRX24" s="414"/>
      <c r="NRY24" s="414"/>
      <c r="NRZ24" s="414"/>
      <c r="NSA24" s="414"/>
      <c r="NSB24" s="414"/>
      <c r="NSC24" s="414"/>
      <c r="NSD24" s="414"/>
      <c r="NSE24" s="414"/>
      <c r="NSF24" s="414"/>
      <c r="NSG24" s="414"/>
      <c r="NSH24" s="414"/>
      <c r="NSI24" s="414"/>
      <c r="NSJ24" s="414"/>
      <c r="NSK24" s="414"/>
      <c r="NSL24" s="414"/>
      <c r="NSM24" s="414"/>
      <c r="NSN24" s="414"/>
      <c r="NSO24" s="414"/>
      <c r="NSP24" s="414"/>
      <c r="NSQ24" s="414"/>
      <c r="NSR24" s="414"/>
      <c r="NSS24" s="414"/>
      <c r="NST24" s="414"/>
      <c r="NSU24" s="414"/>
      <c r="NSV24" s="414"/>
      <c r="NSW24" s="414"/>
      <c r="NSX24" s="414"/>
      <c r="NSY24" s="414"/>
      <c r="NSZ24" s="414"/>
      <c r="NTA24" s="414"/>
      <c r="NTB24" s="414"/>
      <c r="NTC24" s="414"/>
      <c r="NTD24" s="414"/>
      <c r="NTE24" s="414"/>
      <c r="NTF24" s="414"/>
      <c r="NTG24" s="414"/>
      <c r="NTH24" s="414"/>
      <c r="NTI24" s="414"/>
      <c r="NTJ24" s="414"/>
      <c r="NTK24" s="414"/>
      <c r="NTL24" s="414"/>
      <c r="NTM24" s="414"/>
      <c r="NTN24" s="414"/>
      <c r="NTO24" s="414"/>
      <c r="NTP24" s="414"/>
      <c r="NTQ24" s="414"/>
      <c r="NTR24" s="414"/>
      <c r="NTS24" s="414"/>
      <c r="NTT24" s="414"/>
      <c r="NTU24" s="414"/>
      <c r="NTV24" s="414"/>
      <c r="NTW24" s="414"/>
      <c r="NTX24" s="414"/>
      <c r="NTY24" s="414"/>
      <c r="NTZ24" s="414"/>
      <c r="NUA24" s="414"/>
      <c r="NUB24" s="414"/>
      <c r="NUC24" s="414"/>
      <c r="NUD24" s="414"/>
      <c r="NUE24" s="414"/>
      <c r="NUF24" s="414"/>
      <c r="NUG24" s="414"/>
      <c r="NUH24" s="414"/>
      <c r="NUI24" s="414"/>
      <c r="NUJ24" s="414"/>
      <c r="NUK24" s="414"/>
      <c r="NUL24" s="414"/>
      <c r="NUM24" s="414"/>
      <c r="NUN24" s="414"/>
      <c r="NUO24" s="414"/>
      <c r="NUP24" s="414"/>
      <c r="NUQ24" s="414"/>
      <c r="NUR24" s="414"/>
      <c r="NUS24" s="414"/>
      <c r="NUT24" s="414"/>
      <c r="NUU24" s="414"/>
      <c r="NUV24" s="414"/>
      <c r="NUW24" s="414"/>
      <c r="NUX24" s="414"/>
      <c r="NUY24" s="414"/>
      <c r="NUZ24" s="414"/>
      <c r="NVA24" s="414"/>
      <c r="NVB24" s="414"/>
      <c r="NVC24" s="414"/>
      <c r="NVD24" s="414"/>
      <c r="NVE24" s="414"/>
      <c r="NVF24" s="414"/>
      <c r="NVG24" s="414"/>
      <c r="NVH24" s="414"/>
      <c r="NVI24" s="414"/>
      <c r="NVJ24" s="414"/>
      <c r="NVK24" s="414"/>
      <c r="NVL24" s="414"/>
      <c r="NVM24" s="414"/>
      <c r="NVN24" s="414"/>
      <c r="NVO24" s="414"/>
      <c r="NVP24" s="414"/>
      <c r="NVQ24" s="414"/>
      <c r="NVR24" s="414"/>
      <c r="NVS24" s="414"/>
      <c r="NVT24" s="414"/>
      <c r="NVU24" s="414"/>
      <c r="NVV24" s="414"/>
      <c r="NVW24" s="414"/>
      <c r="NVX24" s="414"/>
      <c r="NVY24" s="414"/>
      <c r="NVZ24" s="414"/>
      <c r="NWA24" s="414"/>
      <c r="NWB24" s="414"/>
      <c r="NWC24" s="414"/>
      <c r="NWD24" s="414"/>
      <c r="NWE24" s="414"/>
      <c r="NWF24" s="414"/>
      <c r="NWG24" s="414"/>
      <c r="NWH24" s="414"/>
      <c r="NWI24" s="414"/>
      <c r="NWJ24" s="414"/>
      <c r="NWK24" s="414"/>
      <c r="NWL24" s="414"/>
      <c r="NWM24" s="414"/>
      <c r="NWN24" s="414"/>
      <c r="NWO24" s="414"/>
      <c r="NWP24" s="414"/>
      <c r="NWQ24" s="414"/>
      <c r="NWR24" s="414"/>
      <c r="NWS24" s="414"/>
      <c r="NWT24" s="414"/>
      <c r="NWU24" s="414"/>
      <c r="NWV24" s="414"/>
      <c r="NWW24" s="414"/>
      <c r="NWX24" s="414"/>
      <c r="NWY24" s="414"/>
      <c r="NWZ24" s="414"/>
      <c r="NXA24" s="414"/>
      <c r="NXB24" s="414"/>
      <c r="NXC24" s="414"/>
      <c r="NXD24" s="414"/>
      <c r="NXE24" s="414"/>
      <c r="NXF24" s="414"/>
      <c r="NXG24" s="414"/>
      <c r="NXH24" s="414"/>
      <c r="NXI24" s="414"/>
      <c r="NXJ24" s="414"/>
      <c r="NXK24" s="414"/>
      <c r="NXL24" s="414"/>
      <c r="NXM24" s="414"/>
      <c r="NXN24" s="414"/>
      <c r="NXO24" s="414"/>
      <c r="NXP24" s="414"/>
      <c r="NXQ24" s="414"/>
      <c r="NXR24" s="414"/>
      <c r="NXS24" s="414"/>
      <c r="NXT24" s="414"/>
      <c r="NXU24" s="414"/>
      <c r="NXV24" s="414"/>
      <c r="NXW24" s="414"/>
      <c r="NXX24" s="414"/>
      <c r="NXY24" s="414"/>
      <c r="NXZ24" s="414"/>
      <c r="NYA24" s="414"/>
      <c r="NYB24" s="414"/>
      <c r="NYC24" s="414"/>
      <c r="NYD24" s="414"/>
      <c r="NYE24" s="414"/>
      <c r="NYF24" s="414"/>
      <c r="NYG24" s="414"/>
      <c r="NYH24" s="414"/>
      <c r="NYI24" s="414"/>
      <c r="NYJ24" s="414"/>
      <c r="NYK24" s="414"/>
      <c r="NYL24" s="414"/>
      <c r="NYM24" s="414"/>
      <c r="NYN24" s="414"/>
      <c r="NYO24" s="414"/>
      <c r="NYP24" s="414"/>
      <c r="NYQ24" s="414"/>
      <c r="NYR24" s="414"/>
      <c r="NYS24" s="414"/>
      <c r="NYT24" s="414"/>
      <c r="NYU24" s="414"/>
      <c r="NYV24" s="414"/>
      <c r="NYW24" s="414"/>
      <c r="NYX24" s="414"/>
      <c r="NYY24" s="414"/>
      <c r="NYZ24" s="414"/>
      <c r="NZA24" s="414"/>
      <c r="NZB24" s="414"/>
      <c r="NZC24" s="414"/>
      <c r="NZD24" s="414"/>
      <c r="NZE24" s="414"/>
      <c r="NZF24" s="414"/>
      <c r="NZG24" s="414"/>
      <c r="NZH24" s="414"/>
      <c r="NZI24" s="414"/>
      <c r="NZJ24" s="414"/>
      <c r="NZK24" s="414"/>
      <c r="NZL24" s="414"/>
      <c r="NZM24" s="414"/>
      <c r="NZN24" s="414"/>
      <c r="NZO24" s="414"/>
      <c r="NZP24" s="414"/>
      <c r="NZQ24" s="414"/>
      <c r="NZR24" s="414"/>
      <c r="NZS24" s="414"/>
      <c r="NZT24" s="414"/>
      <c r="NZU24" s="414"/>
      <c r="NZV24" s="414"/>
      <c r="NZW24" s="414"/>
      <c r="NZX24" s="414"/>
      <c r="NZY24" s="414"/>
      <c r="NZZ24" s="414"/>
      <c r="OAA24" s="414"/>
      <c r="OAB24" s="414"/>
      <c r="OAC24" s="414"/>
      <c r="OAD24" s="414"/>
      <c r="OAE24" s="414"/>
      <c r="OAF24" s="414"/>
      <c r="OAG24" s="414"/>
      <c r="OAH24" s="414"/>
      <c r="OAI24" s="414"/>
      <c r="OAJ24" s="414"/>
      <c r="OAK24" s="414"/>
      <c r="OAL24" s="414"/>
      <c r="OAM24" s="414"/>
      <c r="OAN24" s="414"/>
      <c r="OAO24" s="414"/>
      <c r="OAP24" s="414"/>
      <c r="OAQ24" s="414"/>
      <c r="OAR24" s="414"/>
      <c r="OAS24" s="414"/>
      <c r="OAT24" s="414"/>
      <c r="OAU24" s="414"/>
      <c r="OAV24" s="414"/>
      <c r="OAW24" s="414"/>
      <c r="OAX24" s="414"/>
      <c r="OAY24" s="414"/>
      <c r="OAZ24" s="414"/>
      <c r="OBA24" s="414"/>
      <c r="OBB24" s="414"/>
      <c r="OBC24" s="414"/>
      <c r="OBD24" s="414"/>
      <c r="OBE24" s="414"/>
      <c r="OBF24" s="414"/>
      <c r="OBG24" s="414"/>
      <c r="OBH24" s="414"/>
      <c r="OBI24" s="414"/>
      <c r="OBJ24" s="414"/>
      <c r="OBK24" s="414"/>
      <c r="OBL24" s="414"/>
      <c r="OBM24" s="414"/>
      <c r="OBN24" s="414"/>
      <c r="OBO24" s="414"/>
      <c r="OBP24" s="414"/>
      <c r="OBQ24" s="414"/>
      <c r="OBR24" s="414"/>
      <c r="OBS24" s="414"/>
      <c r="OBT24" s="414"/>
      <c r="OBU24" s="414"/>
      <c r="OBV24" s="414"/>
      <c r="OBW24" s="414"/>
      <c r="OBX24" s="414"/>
      <c r="OBY24" s="414"/>
      <c r="OBZ24" s="414"/>
      <c r="OCA24" s="414"/>
      <c r="OCB24" s="414"/>
      <c r="OCC24" s="414"/>
      <c r="OCD24" s="414"/>
      <c r="OCE24" s="414"/>
      <c r="OCF24" s="414"/>
      <c r="OCG24" s="414"/>
      <c r="OCH24" s="414"/>
      <c r="OCI24" s="414"/>
      <c r="OCJ24" s="414"/>
      <c r="OCK24" s="414"/>
      <c r="OCL24" s="414"/>
      <c r="OCM24" s="414"/>
      <c r="OCN24" s="414"/>
      <c r="OCO24" s="414"/>
      <c r="OCP24" s="414"/>
      <c r="OCQ24" s="414"/>
      <c r="OCR24" s="414"/>
      <c r="OCS24" s="414"/>
      <c r="OCT24" s="414"/>
      <c r="OCU24" s="414"/>
      <c r="OCV24" s="414"/>
      <c r="OCW24" s="414"/>
      <c r="OCX24" s="414"/>
      <c r="OCY24" s="414"/>
      <c r="OCZ24" s="414"/>
      <c r="ODA24" s="414"/>
      <c r="ODB24" s="414"/>
      <c r="ODC24" s="414"/>
      <c r="ODD24" s="414"/>
      <c r="ODE24" s="414"/>
      <c r="ODF24" s="414"/>
      <c r="ODG24" s="414"/>
      <c r="ODH24" s="414"/>
      <c r="ODI24" s="414"/>
      <c r="ODJ24" s="414"/>
      <c r="ODK24" s="414"/>
      <c r="ODL24" s="414"/>
      <c r="ODM24" s="414"/>
      <c r="ODN24" s="414"/>
      <c r="ODO24" s="414"/>
      <c r="ODP24" s="414"/>
      <c r="ODQ24" s="414"/>
      <c r="ODR24" s="414"/>
      <c r="ODS24" s="414"/>
      <c r="ODT24" s="414"/>
      <c r="ODU24" s="414"/>
      <c r="ODV24" s="414"/>
      <c r="ODW24" s="414"/>
      <c r="ODX24" s="414"/>
      <c r="ODY24" s="414"/>
      <c r="ODZ24" s="414"/>
      <c r="OEA24" s="414"/>
      <c r="OEB24" s="414"/>
      <c r="OEC24" s="414"/>
      <c r="OED24" s="414"/>
      <c r="OEE24" s="414"/>
      <c r="OEF24" s="414"/>
      <c r="OEG24" s="414"/>
      <c r="OEH24" s="414"/>
      <c r="OEI24" s="414"/>
      <c r="OEJ24" s="414"/>
      <c r="OEK24" s="414"/>
      <c r="OEL24" s="414"/>
      <c r="OEM24" s="414"/>
      <c r="OEN24" s="414"/>
      <c r="OEO24" s="414"/>
      <c r="OEP24" s="414"/>
      <c r="OEQ24" s="414"/>
      <c r="OER24" s="414"/>
      <c r="OES24" s="414"/>
      <c r="OET24" s="414"/>
      <c r="OEU24" s="414"/>
      <c r="OEV24" s="414"/>
      <c r="OEW24" s="414"/>
      <c r="OEX24" s="414"/>
      <c r="OEY24" s="414"/>
      <c r="OEZ24" s="414"/>
      <c r="OFA24" s="414"/>
      <c r="OFB24" s="414"/>
      <c r="OFC24" s="414"/>
      <c r="OFD24" s="414"/>
      <c r="OFE24" s="414"/>
      <c r="OFF24" s="414"/>
      <c r="OFG24" s="414"/>
      <c r="OFH24" s="414"/>
      <c r="OFI24" s="414"/>
      <c r="OFJ24" s="414"/>
      <c r="OFK24" s="414"/>
      <c r="OFL24" s="414"/>
      <c r="OFM24" s="414"/>
      <c r="OFN24" s="414"/>
      <c r="OFO24" s="414"/>
      <c r="OFP24" s="414"/>
      <c r="OFQ24" s="414"/>
      <c r="OFR24" s="414"/>
      <c r="OFS24" s="414"/>
      <c r="OFT24" s="414"/>
      <c r="OFU24" s="414"/>
      <c r="OFV24" s="414"/>
      <c r="OFW24" s="414"/>
      <c r="OFX24" s="414"/>
      <c r="OFY24" s="414"/>
      <c r="OFZ24" s="414"/>
      <c r="OGA24" s="414"/>
      <c r="OGB24" s="414"/>
      <c r="OGC24" s="414"/>
      <c r="OGD24" s="414"/>
      <c r="OGE24" s="414"/>
      <c r="OGF24" s="414"/>
      <c r="OGG24" s="414"/>
      <c r="OGH24" s="414"/>
      <c r="OGI24" s="414"/>
      <c r="OGJ24" s="414"/>
      <c r="OGK24" s="414"/>
      <c r="OGL24" s="414"/>
      <c r="OGM24" s="414"/>
      <c r="OGN24" s="414"/>
      <c r="OGO24" s="414"/>
      <c r="OGP24" s="414"/>
      <c r="OGQ24" s="414"/>
      <c r="OGR24" s="414"/>
      <c r="OGS24" s="414"/>
      <c r="OGT24" s="414"/>
      <c r="OGU24" s="414"/>
      <c r="OGV24" s="414"/>
      <c r="OGW24" s="414"/>
      <c r="OGX24" s="414"/>
      <c r="OGY24" s="414"/>
      <c r="OGZ24" s="414"/>
      <c r="OHA24" s="414"/>
      <c r="OHB24" s="414"/>
      <c r="OHC24" s="414"/>
      <c r="OHD24" s="414"/>
      <c r="OHE24" s="414"/>
      <c r="OHF24" s="414"/>
      <c r="OHG24" s="414"/>
      <c r="OHH24" s="414"/>
      <c r="OHI24" s="414"/>
      <c r="OHJ24" s="414"/>
      <c r="OHK24" s="414"/>
      <c r="OHL24" s="414"/>
      <c r="OHM24" s="414"/>
      <c r="OHN24" s="414"/>
      <c r="OHO24" s="414"/>
      <c r="OHP24" s="414"/>
      <c r="OHQ24" s="414"/>
      <c r="OHR24" s="414"/>
      <c r="OHS24" s="414"/>
      <c r="OHT24" s="414"/>
      <c r="OHU24" s="414"/>
      <c r="OHV24" s="414"/>
      <c r="OHW24" s="414"/>
      <c r="OHX24" s="414"/>
      <c r="OHY24" s="414"/>
      <c r="OHZ24" s="414"/>
      <c r="OIA24" s="414"/>
      <c r="OIB24" s="414"/>
      <c r="OIC24" s="414"/>
      <c r="OID24" s="414"/>
      <c r="OIE24" s="414"/>
      <c r="OIF24" s="414"/>
      <c r="OIG24" s="414"/>
      <c r="OIH24" s="414"/>
      <c r="OII24" s="414"/>
      <c r="OIJ24" s="414"/>
      <c r="OIK24" s="414"/>
      <c r="OIL24" s="414"/>
      <c r="OIM24" s="414"/>
      <c r="OIN24" s="414"/>
      <c r="OIO24" s="414"/>
      <c r="OIP24" s="414"/>
      <c r="OIQ24" s="414"/>
      <c r="OIR24" s="414"/>
      <c r="OIS24" s="414"/>
      <c r="OIT24" s="414"/>
      <c r="OIU24" s="414"/>
      <c r="OIV24" s="414"/>
      <c r="OIW24" s="414"/>
      <c r="OIX24" s="414"/>
      <c r="OIY24" s="414"/>
      <c r="OIZ24" s="414"/>
      <c r="OJA24" s="414"/>
      <c r="OJB24" s="414"/>
      <c r="OJC24" s="414"/>
      <c r="OJD24" s="414"/>
      <c r="OJE24" s="414"/>
      <c r="OJF24" s="414"/>
      <c r="OJG24" s="414"/>
      <c r="OJH24" s="414"/>
      <c r="OJI24" s="414"/>
      <c r="OJJ24" s="414"/>
      <c r="OJK24" s="414"/>
      <c r="OJL24" s="414"/>
      <c r="OJM24" s="414"/>
      <c r="OJN24" s="414"/>
      <c r="OJO24" s="414"/>
      <c r="OJP24" s="414"/>
      <c r="OJQ24" s="414"/>
      <c r="OJR24" s="414"/>
      <c r="OJS24" s="414"/>
      <c r="OJT24" s="414"/>
      <c r="OJU24" s="414"/>
      <c r="OJV24" s="414"/>
      <c r="OJW24" s="414"/>
      <c r="OJX24" s="414"/>
      <c r="OJY24" s="414"/>
      <c r="OJZ24" s="414"/>
      <c r="OKA24" s="414"/>
      <c r="OKB24" s="414"/>
      <c r="OKC24" s="414"/>
      <c r="OKD24" s="414"/>
      <c r="OKE24" s="414"/>
      <c r="OKF24" s="414"/>
      <c r="OKG24" s="414"/>
      <c r="OKH24" s="414"/>
      <c r="OKI24" s="414"/>
      <c r="OKJ24" s="414"/>
      <c r="OKK24" s="414"/>
      <c r="OKL24" s="414"/>
      <c r="OKM24" s="414"/>
      <c r="OKN24" s="414"/>
      <c r="OKO24" s="414"/>
      <c r="OKP24" s="414"/>
      <c r="OKQ24" s="414"/>
      <c r="OKR24" s="414"/>
      <c r="OKS24" s="414"/>
      <c r="OKT24" s="414"/>
      <c r="OKU24" s="414"/>
      <c r="OKV24" s="414"/>
      <c r="OKW24" s="414"/>
      <c r="OKX24" s="414"/>
      <c r="OKY24" s="414"/>
      <c r="OKZ24" s="414"/>
      <c r="OLA24" s="414"/>
      <c r="OLB24" s="414"/>
      <c r="OLC24" s="414"/>
      <c r="OLD24" s="414"/>
      <c r="OLE24" s="414"/>
      <c r="OLF24" s="414"/>
      <c r="OLG24" s="414"/>
      <c r="OLH24" s="414"/>
      <c r="OLI24" s="414"/>
      <c r="OLJ24" s="414"/>
      <c r="OLK24" s="414"/>
      <c r="OLL24" s="414"/>
      <c r="OLM24" s="414"/>
      <c r="OLN24" s="414"/>
      <c r="OLO24" s="414"/>
      <c r="OLP24" s="414"/>
      <c r="OLQ24" s="414"/>
      <c r="OLR24" s="414"/>
      <c r="OLS24" s="414"/>
      <c r="OLT24" s="414"/>
      <c r="OLU24" s="414"/>
      <c r="OLV24" s="414"/>
      <c r="OLW24" s="414"/>
      <c r="OLX24" s="414"/>
      <c r="OLY24" s="414"/>
      <c r="OLZ24" s="414"/>
      <c r="OMA24" s="414"/>
      <c r="OMB24" s="414"/>
      <c r="OMC24" s="414"/>
      <c r="OMD24" s="414"/>
      <c r="OME24" s="414"/>
      <c r="OMF24" s="414"/>
      <c r="OMG24" s="414"/>
      <c r="OMH24" s="414"/>
      <c r="OMI24" s="414"/>
      <c r="OMJ24" s="414"/>
      <c r="OMK24" s="414"/>
      <c r="OML24" s="414"/>
      <c r="OMM24" s="414"/>
      <c r="OMN24" s="414"/>
      <c r="OMO24" s="414"/>
      <c r="OMP24" s="414"/>
      <c r="OMQ24" s="414"/>
      <c r="OMR24" s="414"/>
      <c r="OMS24" s="414"/>
      <c r="OMT24" s="414"/>
      <c r="OMU24" s="414"/>
      <c r="OMV24" s="414"/>
      <c r="OMW24" s="414"/>
      <c r="OMX24" s="414"/>
      <c r="OMY24" s="414"/>
      <c r="OMZ24" s="414"/>
      <c r="ONA24" s="414"/>
      <c r="ONB24" s="414"/>
      <c r="ONC24" s="414"/>
      <c r="OND24" s="414"/>
      <c r="ONE24" s="414"/>
      <c r="ONF24" s="414"/>
      <c r="ONG24" s="414"/>
      <c r="ONH24" s="414"/>
      <c r="ONI24" s="414"/>
      <c r="ONJ24" s="414"/>
      <c r="ONK24" s="414"/>
      <c r="ONL24" s="414"/>
      <c r="ONM24" s="414"/>
      <c r="ONN24" s="414"/>
      <c r="ONO24" s="414"/>
      <c r="ONP24" s="414"/>
      <c r="ONQ24" s="414"/>
      <c r="ONR24" s="414"/>
      <c r="ONS24" s="414"/>
      <c r="ONT24" s="414"/>
      <c r="ONU24" s="414"/>
      <c r="ONV24" s="414"/>
      <c r="ONW24" s="414"/>
      <c r="ONX24" s="414"/>
      <c r="ONY24" s="414"/>
      <c r="ONZ24" s="414"/>
      <c r="OOA24" s="414"/>
      <c r="OOB24" s="414"/>
      <c r="OOC24" s="414"/>
      <c r="OOD24" s="414"/>
      <c r="OOE24" s="414"/>
      <c r="OOF24" s="414"/>
      <c r="OOG24" s="414"/>
      <c r="OOH24" s="414"/>
      <c r="OOI24" s="414"/>
      <c r="OOJ24" s="414"/>
      <c r="OOK24" s="414"/>
      <c r="OOL24" s="414"/>
      <c r="OOM24" s="414"/>
      <c r="OON24" s="414"/>
      <c r="OOO24" s="414"/>
      <c r="OOP24" s="414"/>
      <c r="OOQ24" s="414"/>
      <c r="OOR24" s="414"/>
      <c r="OOS24" s="414"/>
      <c r="OOT24" s="414"/>
      <c r="OOU24" s="414"/>
      <c r="OOV24" s="414"/>
      <c r="OOW24" s="414"/>
      <c r="OOX24" s="414"/>
      <c r="OOY24" s="414"/>
      <c r="OOZ24" s="414"/>
      <c r="OPA24" s="414"/>
      <c r="OPB24" s="414"/>
      <c r="OPC24" s="414"/>
      <c r="OPD24" s="414"/>
      <c r="OPE24" s="414"/>
      <c r="OPF24" s="414"/>
      <c r="OPG24" s="414"/>
      <c r="OPH24" s="414"/>
      <c r="OPI24" s="414"/>
      <c r="OPJ24" s="414"/>
      <c r="OPK24" s="414"/>
      <c r="OPL24" s="414"/>
      <c r="OPM24" s="414"/>
      <c r="OPN24" s="414"/>
      <c r="OPO24" s="414"/>
      <c r="OPP24" s="414"/>
      <c r="OPQ24" s="414"/>
      <c r="OPR24" s="414"/>
      <c r="OPS24" s="414"/>
      <c r="OPT24" s="414"/>
      <c r="OPU24" s="414"/>
      <c r="OPV24" s="414"/>
      <c r="OPW24" s="414"/>
      <c r="OPX24" s="414"/>
      <c r="OPY24" s="414"/>
      <c r="OPZ24" s="414"/>
      <c r="OQA24" s="414"/>
      <c r="OQB24" s="414"/>
      <c r="OQC24" s="414"/>
      <c r="OQD24" s="414"/>
      <c r="OQE24" s="414"/>
      <c r="OQF24" s="414"/>
      <c r="OQG24" s="414"/>
      <c r="OQH24" s="414"/>
      <c r="OQI24" s="414"/>
      <c r="OQJ24" s="414"/>
      <c r="OQK24" s="414"/>
      <c r="OQL24" s="414"/>
      <c r="OQM24" s="414"/>
      <c r="OQN24" s="414"/>
      <c r="OQO24" s="414"/>
      <c r="OQP24" s="414"/>
      <c r="OQQ24" s="414"/>
      <c r="OQR24" s="414"/>
      <c r="OQS24" s="414"/>
      <c r="OQT24" s="414"/>
      <c r="OQU24" s="414"/>
      <c r="OQV24" s="414"/>
      <c r="OQW24" s="414"/>
      <c r="OQX24" s="414"/>
      <c r="OQY24" s="414"/>
      <c r="OQZ24" s="414"/>
      <c r="ORA24" s="414"/>
      <c r="ORB24" s="414"/>
      <c r="ORC24" s="414"/>
      <c r="ORD24" s="414"/>
      <c r="ORE24" s="414"/>
      <c r="ORF24" s="414"/>
      <c r="ORG24" s="414"/>
      <c r="ORH24" s="414"/>
      <c r="ORI24" s="414"/>
      <c r="ORJ24" s="414"/>
      <c r="ORK24" s="414"/>
      <c r="ORL24" s="414"/>
      <c r="ORM24" s="414"/>
      <c r="ORN24" s="414"/>
      <c r="ORO24" s="414"/>
      <c r="ORP24" s="414"/>
      <c r="ORQ24" s="414"/>
      <c r="ORR24" s="414"/>
      <c r="ORS24" s="414"/>
      <c r="ORT24" s="414"/>
      <c r="ORU24" s="414"/>
      <c r="ORV24" s="414"/>
      <c r="ORW24" s="414"/>
      <c r="ORX24" s="414"/>
      <c r="ORY24" s="414"/>
      <c r="ORZ24" s="414"/>
      <c r="OSA24" s="414"/>
      <c r="OSB24" s="414"/>
      <c r="OSC24" s="414"/>
      <c r="OSD24" s="414"/>
      <c r="OSE24" s="414"/>
      <c r="OSF24" s="414"/>
      <c r="OSG24" s="414"/>
      <c r="OSH24" s="414"/>
      <c r="OSI24" s="414"/>
      <c r="OSJ24" s="414"/>
      <c r="OSK24" s="414"/>
      <c r="OSL24" s="414"/>
      <c r="OSM24" s="414"/>
      <c r="OSN24" s="414"/>
      <c r="OSO24" s="414"/>
      <c r="OSP24" s="414"/>
      <c r="OSQ24" s="414"/>
      <c r="OSR24" s="414"/>
      <c r="OSS24" s="414"/>
      <c r="OST24" s="414"/>
      <c r="OSU24" s="414"/>
      <c r="OSV24" s="414"/>
      <c r="OSW24" s="414"/>
      <c r="OSX24" s="414"/>
      <c r="OSY24" s="414"/>
      <c r="OSZ24" s="414"/>
      <c r="OTA24" s="414"/>
      <c r="OTB24" s="414"/>
      <c r="OTC24" s="414"/>
      <c r="OTD24" s="414"/>
      <c r="OTE24" s="414"/>
      <c r="OTF24" s="414"/>
      <c r="OTG24" s="414"/>
      <c r="OTH24" s="414"/>
      <c r="OTI24" s="414"/>
      <c r="OTJ24" s="414"/>
      <c r="OTK24" s="414"/>
      <c r="OTL24" s="414"/>
      <c r="OTM24" s="414"/>
      <c r="OTN24" s="414"/>
      <c r="OTO24" s="414"/>
      <c r="OTP24" s="414"/>
      <c r="OTQ24" s="414"/>
      <c r="OTR24" s="414"/>
      <c r="OTS24" s="414"/>
      <c r="OTT24" s="414"/>
      <c r="OTU24" s="414"/>
      <c r="OTV24" s="414"/>
      <c r="OTW24" s="414"/>
      <c r="OTX24" s="414"/>
      <c r="OTY24" s="414"/>
      <c r="OTZ24" s="414"/>
      <c r="OUA24" s="414"/>
      <c r="OUB24" s="414"/>
      <c r="OUC24" s="414"/>
      <c r="OUD24" s="414"/>
      <c r="OUE24" s="414"/>
      <c r="OUF24" s="414"/>
      <c r="OUG24" s="414"/>
      <c r="OUH24" s="414"/>
      <c r="OUI24" s="414"/>
      <c r="OUJ24" s="414"/>
      <c r="OUK24" s="414"/>
      <c r="OUL24" s="414"/>
      <c r="OUM24" s="414"/>
      <c r="OUN24" s="414"/>
      <c r="OUO24" s="414"/>
      <c r="OUP24" s="414"/>
      <c r="OUQ24" s="414"/>
      <c r="OUR24" s="414"/>
      <c r="OUS24" s="414"/>
      <c r="OUT24" s="414"/>
      <c r="OUU24" s="414"/>
      <c r="OUV24" s="414"/>
      <c r="OUW24" s="414"/>
      <c r="OUX24" s="414"/>
      <c r="OUY24" s="414"/>
      <c r="OUZ24" s="414"/>
      <c r="OVA24" s="414"/>
      <c r="OVB24" s="414"/>
      <c r="OVC24" s="414"/>
      <c r="OVD24" s="414"/>
      <c r="OVE24" s="414"/>
      <c r="OVF24" s="414"/>
      <c r="OVG24" s="414"/>
      <c r="OVH24" s="414"/>
      <c r="OVI24" s="414"/>
      <c r="OVJ24" s="414"/>
      <c r="OVK24" s="414"/>
      <c r="OVL24" s="414"/>
      <c r="OVM24" s="414"/>
      <c r="OVN24" s="414"/>
      <c r="OVO24" s="414"/>
      <c r="OVP24" s="414"/>
      <c r="OVQ24" s="414"/>
      <c r="OVR24" s="414"/>
      <c r="OVS24" s="414"/>
      <c r="OVT24" s="414"/>
      <c r="OVU24" s="414"/>
      <c r="OVV24" s="414"/>
      <c r="OVW24" s="414"/>
      <c r="OVX24" s="414"/>
      <c r="OVY24" s="414"/>
      <c r="OVZ24" s="414"/>
      <c r="OWA24" s="414"/>
      <c r="OWB24" s="414"/>
      <c r="OWC24" s="414"/>
      <c r="OWD24" s="414"/>
      <c r="OWE24" s="414"/>
      <c r="OWF24" s="414"/>
      <c r="OWG24" s="414"/>
      <c r="OWH24" s="414"/>
      <c r="OWI24" s="414"/>
      <c r="OWJ24" s="414"/>
      <c r="OWK24" s="414"/>
      <c r="OWL24" s="414"/>
      <c r="OWM24" s="414"/>
      <c r="OWN24" s="414"/>
      <c r="OWO24" s="414"/>
      <c r="OWP24" s="414"/>
      <c r="OWQ24" s="414"/>
      <c r="OWR24" s="414"/>
      <c r="OWS24" s="414"/>
      <c r="OWT24" s="414"/>
      <c r="OWU24" s="414"/>
      <c r="OWV24" s="414"/>
      <c r="OWW24" s="414"/>
      <c r="OWX24" s="414"/>
      <c r="OWY24" s="414"/>
      <c r="OWZ24" s="414"/>
      <c r="OXA24" s="414"/>
      <c r="OXB24" s="414"/>
      <c r="OXC24" s="414"/>
      <c r="OXD24" s="414"/>
      <c r="OXE24" s="414"/>
      <c r="OXF24" s="414"/>
      <c r="OXG24" s="414"/>
      <c r="OXH24" s="414"/>
      <c r="OXI24" s="414"/>
      <c r="OXJ24" s="414"/>
      <c r="OXK24" s="414"/>
      <c r="OXL24" s="414"/>
      <c r="OXM24" s="414"/>
      <c r="OXN24" s="414"/>
      <c r="OXO24" s="414"/>
      <c r="OXP24" s="414"/>
      <c r="OXQ24" s="414"/>
      <c r="OXR24" s="414"/>
      <c r="OXS24" s="414"/>
      <c r="OXT24" s="414"/>
      <c r="OXU24" s="414"/>
      <c r="OXV24" s="414"/>
      <c r="OXW24" s="414"/>
      <c r="OXX24" s="414"/>
      <c r="OXY24" s="414"/>
      <c r="OXZ24" s="414"/>
      <c r="OYA24" s="414"/>
      <c r="OYB24" s="414"/>
      <c r="OYC24" s="414"/>
      <c r="OYD24" s="414"/>
      <c r="OYE24" s="414"/>
      <c r="OYF24" s="414"/>
      <c r="OYG24" s="414"/>
      <c r="OYH24" s="414"/>
      <c r="OYI24" s="414"/>
      <c r="OYJ24" s="414"/>
      <c r="OYK24" s="414"/>
      <c r="OYL24" s="414"/>
      <c r="OYM24" s="414"/>
      <c r="OYN24" s="414"/>
      <c r="OYO24" s="414"/>
      <c r="OYP24" s="414"/>
      <c r="OYQ24" s="414"/>
      <c r="OYR24" s="414"/>
      <c r="OYS24" s="414"/>
      <c r="OYT24" s="414"/>
      <c r="OYU24" s="414"/>
      <c r="OYV24" s="414"/>
      <c r="OYW24" s="414"/>
      <c r="OYX24" s="414"/>
      <c r="OYY24" s="414"/>
      <c r="OYZ24" s="414"/>
      <c r="OZA24" s="414"/>
      <c r="OZB24" s="414"/>
      <c r="OZC24" s="414"/>
      <c r="OZD24" s="414"/>
      <c r="OZE24" s="414"/>
      <c r="OZF24" s="414"/>
      <c r="OZG24" s="414"/>
      <c r="OZH24" s="414"/>
      <c r="OZI24" s="414"/>
      <c r="OZJ24" s="414"/>
      <c r="OZK24" s="414"/>
      <c r="OZL24" s="414"/>
      <c r="OZM24" s="414"/>
      <c r="OZN24" s="414"/>
      <c r="OZO24" s="414"/>
      <c r="OZP24" s="414"/>
      <c r="OZQ24" s="414"/>
      <c r="OZR24" s="414"/>
      <c r="OZS24" s="414"/>
      <c r="OZT24" s="414"/>
      <c r="OZU24" s="414"/>
      <c r="OZV24" s="414"/>
      <c r="OZW24" s="414"/>
      <c r="OZX24" s="414"/>
      <c r="OZY24" s="414"/>
      <c r="OZZ24" s="414"/>
      <c r="PAA24" s="414"/>
      <c r="PAB24" s="414"/>
      <c r="PAC24" s="414"/>
      <c r="PAD24" s="414"/>
      <c r="PAE24" s="414"/>
      <c r="PAF24" s="414"/>
      <c r="PAG24" s="414"/>
      <c r="PAH24" s="414"/>
      <c r="PAI24" s="414"/>
      <c r="PAJ24" s="414"/>
      <c r="PAK24" s="414"/>
      <c r="PAL24" s="414"/>
      <c r="PAM24" s="414"/>
      <c r="PAN24" s="414"/>
      <c r="PAO24" s="414"/>
      <c r="PAP24" s="414"/>
      <c r="PAQ24" s="414"/>
      <c r="PAR24" s="414"/>
      <c r="PAS24" s="414"/>
      <c r="PAT24" s="414"/>
      <c r="PAU24" s="414"/>
      <c r="PAV24" s="414"/>
      <c r="PAW24" s="414"/>
      <c r="PAX24" s="414"/>
      <c r="PAY24" s="414"/>
      <c r="PAZ24" s="414"/>
      <c r="PBA24" s="414"/>
      <c r="PBB24" s="414"/>
      <c r="PBC24" s="414"/>
      <c r="PBD24" s="414"/>
      <c r="PBE24" s="414"/>
      <c r="PBF24" s="414"/>
      <c r="PBG24" s="414"/>
      <c r="PBH24" s="414"/>
      <c r="PBI24" s="414"/>
      <c r="PBJ24" s="414"/>
      <c r="PBK24" s="414"/>
      <c r="PBL24" s="414"/>
      <c r="PBM24" s="414"/>
      <c r="PBN24" s="414"/>
      <c r="PBO24" s="414"/>
      <c r="PBP24" s="414"/>
      <c r="PBQ24" s="414"/>
      <c r="PBR24" s="414"/>
      <c r="PBS24" s="414"/>
      <c r="PBT24" s="414"/>
      <c r="PBU24" s="414"/>
      <c r="PBV24" s="414"/>
      <c r="PBW24" s="414"/>
      <c r="PBX24" s="414"/>
      <c r="PBY24" s="414"/>
      <c r="PBZ24" s="414"/>
      <c r="PCA24" s="414"/>
      <c r="PCB24" s="414"/>
      <c r="PCC24" s="414"/>
      <c r="PCD24" s="414"/>
      <c r="PCE24" s="414"/>
      <c r="PCF24" s="414"/>
      <c r="PCG24" s="414"/>
      <c r="PCH24" s="414"/>
      <c r="PCI24" s="414"/>
      <c r="PCJ24" s="414"/>
      <c r="PCK24" s="414"/>
      <c r="PCL24" s="414"/>
      <c r="PCM24" s="414"/>
      <c r="PCN24" s="414"/>
      <c r="PCO24" s="414"/>
      <c r="PCP24" s="414"/>
      <c r="PCQ24" s="414"/>
      <c r="PCR24" s="414"/>
      <c r="PCS24" s="414"/>
      <c r="PCT24" s="414"/>
      <c r="PCU24" s="414"/>
      <c r="PCV24" s="414"/>
      <c r="PCW24" s="414"/>
      <c r="PCX24" s="414"/>
      <c r="PCY24" s="414"/>
      <c r="PCZ24" s="414"/>
      <c r="PDA24" s="414"/>
      <c r="PDB24" s="414"/>
      <c r="PDC24" s="414"/>
      <c r="PDD24" s="414"/>
      <c r="PDE24" s="414"/>
      <c r="PDF24" s="414"/>
      <c r="PDG24" s="414"/>
      <c r="PDH24" s="414"/>
      <c r="PDI24" s="414"/>
      <c r="PDJ24" s="414"/>
      <c r="PDK24" s="414"/>
      <c r="PDL24" s="414"/>
      <c r="PDM24" s="414"/>
      <c r="PDN24" s="414"/>
      <c r="PDO24" s="414"/>
      <c r="PDP24" s="414"/>
      <c r="PDQ24" s="414"/>
      <c r="PDR24" s="414"/>
      <c r="PDS24" s="414"/>
      <c r="PDT24" s="414"/>
      <c r="PDU24" s="414"/>
      <c r="PDV24" s="414"/>
      <c r="PDW24" s="414"/>
      <c r="PDX24" s="414"/>
      <c r="PDY24" s="414"/>
      <c r="PDZ24" s="414"/>
      <c r="PEA24" s="414"/>
      <c r="PEB24" s="414"/>
      <c r="PEC24" s="414"/>
      <c r="PED24" s="414"/>
      <c r="PEE24" s="414"/>
      <c r="PEF24" s="414"/>
      <c r="PEG24" s="414"/>
      <c r="PEH24" s="414"/>
      <c r="PEI24" s="414"/>
      <c r="PEJ24" s="414"/>
      <c r="PEK24" s="414"/>
      <c r="PEL24" s="414"/>
      <c r="PEM24" s="414"/>
      <c r="PEN24" s="414"/>
      <c r="PEO24" s="414"/>
      <c r="PEP24" s="414"/>
      <c r="PEQ24" s="414"/>
      <c r="PER24" s="414"/>
      <c r="PES24" s="414"/>
      <c r="PET24" s="414"/>
      <c r="PEU24" s="414"/>
      <c r="PEV24" s="414"/>
      <c r="PEW24" s="414"/>
      <c r="PEX24" s="414"/>
      <c r="PEY24" s="414"/>
      <c r="PEZ24" s="414"/>
      <c r="PFA24" s="414"/>
      <c r="PFB24" s="414"/>
      <c r="PFC24" s="414"/>
      <c r="PFD24" s="414"/>
      <c r="PFE24" s="414"/>
      <c r="PFF24" s="414"/>
      <c r="PFG24" s="414"/>
      <c r="PFH24" s="414"/>
      <c r="PFI24" s="414"/>
      <c r="PFJ24" s="414"/>
      <c r="PFK24" s="414"/>
      <c r="PFL24" s="414"/>
      <c r="PFM24" s="414"/>
      <c r="PFN24" s="414"/>
      <c r="PFO24" s="414"/>
      <c r="PFP24" s="414"/>
      <c r="PFQ24" s="414"/>
      <c r="PFR24" s="414"/>
      <c r="PFS24" s="414"/>
      <c r="PFT24" s="414"/>
      <c r="PFU24" s="414"/>
      <c r="PFV24" s="414"/>
      <c r="PFW24" s="414"/>
      <c r="PFX24" s="414"/>
      <c r="PFY24" s="414"/>
      <c r="PFZ24" s="414"/>
      <c r="PGA24" s="414"/>
      <c r="PGB24" s="414"/>
      <c r="PGC24" s="414"/>
      <c r="PGD24" s="414"/>
      <c r="PGE24" s="414"/>
      <c r="PGF24" s="414"/>
      <c r="PGG24" s="414"/>
      <c r="PGH24" s="414"/>
      <c r="PGI24" s="414"/>
      <c r="PGJ24" s="414"/>
      <c r="PGK24" s="414"/>
      <c r="PGL24" s="414"/>
      <c r="PGM24" s="414"/>
      <c r="PGN24" s="414"/>
      <c r="PGO24" s="414"/>
      <c r="PGP24" s="414"/>
      <c r="PGQ24" s="414"/>
      <c r="PGR24" s="414"/>
      <c r="PGS24" s="414"/>
      <c r="PGT24" s="414"/>
      <c r="PGU24" s="414"/>
      <c r="PGV24" s="414"/>
      <c r="PGW24" s="414"/>
      <c r="PGX24" s="414"/>
      <c r="PGY24" s="414"/>
      <c r="PGZ24" s="414"/>
      <c r="PHA24" s="414"/>
      <c r="PHB24" s="414"/>
      <c r="PHC24" s="414"/>
      <c r="PHD24" s="414"/>
      <c r="PHE24" s="414"/>
      <c r="PHF24" s="414"/>
      <c r="PHG24" s="414"/>
      <c r="PHH24" s="414"/>
      <c r="PHI24" s="414"/>
      <c r="PHJ24" s="414"/>
      <c r="PHK24" s="414"/>
      <c r="PHL24" s="414"/>
      <c r="PHM24" s="414"/>
      <c r="PHN24" s="414"/>
      <c r="PHO24" s="414"/>
      <c r="PHP24" s="414"/>
      <c r="PHQ24" s="414"/>
      <c r="PHR24" s="414"/>
      <c r="PHS24" s="414"/>
      <c r="PHT24" s="414"/>
      <c r="PHU24" s="414"/>
      <c r="PHV24" s="414"/>
      <c r="PHW24" s="414"/>
      <c r="PHX24" s="414"/>
      <c r="PHY24" s="414"/>
      <c r="PHZ24" s="414"/>
      <c r="PIA24" s="414"/>
      <c r="PIB24" s="414"/>
      <c r="PIC24" s="414"/>
      <c r="PID24" s="414"/>
      <c r="PIE24" s="414"/>
      <c r="PIF24" s="414"/>
      <c r="PIG24" s="414"/>
      <c r="PIH24" s="414"/>
      <c r="PII24" s="414"/>
      <c r="PIJ24" s="414"/>
      <c r="PIK24" s="414"/>
      <c r="PIL24" s="414"/>
      <c r="PIM24" s="414"/>
      <c r="PIN24" s="414"/>
      <c r="PIO24" s="414"/>
      <c r="PIP24" s="414"/>
      <c r="PIQ24" s="414"/>
      <c r="PIR24" s="414"/>
      <c r="PIS24" s="414"/>
      <c r="PIT24" s="414"/>
      <c r="PIU24" s="414"/>
      <c r="PIV24" s="414"/>
      <c r="PIW24" s="414"/>
      <c r="PIX24" s="414"/>
      <c r="PIY24" s="414"/>
      <c r="PIZ24" s="414"/>
      <c r="PJA24" s="414"/>
      <c r="PJB24" s="414"/>
      <c r="PJC24" s="414"/>
      <c r="PJD24" s="414"/>
      <c r="PJE24" s="414"/>
      <c r="PJF24" s="414"/>
      <c r="PJG24" s="414"/>
      <c r="PJH24" s="414"/>
      <c r="PJI24" s="414"/>
      <c r="PJJ24" s="414"/>
      <c r="PJK24" s="414"/>
      <c r="PJL24" s="414"/>
      <c r="PJM24" s="414"/>
      <c r="PJN24" s="414"/>
      <c r="PJO24" s="414"/>
      <c r="PJP24" s="414"/>
      <c r="PJQ24" s="414"/>
      <c r="PJR24" s="414"/>
      <c r="PJS24" s="414"/>
      <c r="PJT24" s="414"/>
      <c r="PJU24" s="414"/>
      <c r="PJV24" s="414"/>
      <c r="PJW24" s="414"/>
      <c r="PJX24" s="414"/>
      <c r="PJY24" s="414"/>
      <c r="PJZ24" s="414"/>
      <c r="PKA24" s="414"/>
      <c r="PKB24" s="414"/>
      <c r="PKC24" s="414"/>
      <c r="PKD24" s="414"/>
      <c r="PKE24" s="414"/>
      <c r="PKF24" s="414"/>
      <c r="PKG24" s="414"/>
      <c r="PKH24" s="414"/>
      <c r="PKI24" s="414"/>
      <c r="PKJ24" s="414"/>
      <c r="PKK24" s="414"/>
      <c r="PKL24" s="414"/>
      <c r="PKM24" s="414"/>
      <c r="PKN24" s="414"/>
      <c r="PKO24" s="414"/>
      <c r="PKP24" s="414"/>
      <c r="PKQ24" s="414"/>
      <c r="PKR24" s="414"/>
      <c r="PKS24" s="414"/>
      <c r="PKT24" s="414"/>
      <c r="PKU24" s="414"/>
      <c r="PKV24" s="414"/>
      <c r="PKW24" s="414"/>
      <c r="PKX24" s="414"/>
      <c r="PKY24" s="414"/>
      <c r="PKZ24" s="414"/>
      <c r="PLA24" s="414"/>
      <c r="PLB24" s="414"/>
      <c r="PLC24" s="414"/>
      <c r="PLD24" s="414"/>
      <c r="PLE24" s="414"/>
      <c r="PLF24" s="414"/>
      <c r="PLG24" s="414"/>
      <c r="PLH24" s="414"/>
      <c r="PLI24" s="414"/>
      <c r="PLJ24" s="414"/>
      <c r="PLK24" s="414"/>
      <c r="PLL24" s="414"/>
      <c r="PLM24" s="414"/>
      <c r="PLN24" s="414"/>
      <c r="PLO24" s="414"/>
      <c r="PLP24" s="414"/>
      <c r="PLQ24" s="414"/>
      <c r="PLR24" s="414"/>
      <c r="PLS24" s="414"/>
      <c r="PLT24" s="414"/>
      <c r="PLU24" s="414"/>
      <c r="PLV24" s="414"/>
      <c r="PLW24" s="414"/>
      <c r="PLX24" s="414"/>
      <c r="PLY24" s="414"/>
      <c r="PLZ24" s="414"/>
      <c r="PMA24" s="414"/>
      <c r="PMB24" s="414"/>
      <c r="PMC24" s="414"/>
      <c r="PMD24" s="414"/>
      <c r="PME24" s="414"/>
      <c r="PMF24" s="414"/>
      <c r="PMG24" s="414"/>
      <c r="PMH24" s="414"/>
      <c r="PMI24" s="414"/>
      <c r="PMJ24" s="414"/>
      <c r="PMK24" s="414"/>
      <c r="PML24" s="414"/>
      <c r="PMM24" s="414"/>
      <c r="PMN24" s="414"/>
      <c r="PMO24" s="414"/>
      <c r="PMP24" s="414"/>
      <c r="PMQ24" s="414"/>
      <c r="PMR24" s="414"/>
      <c r="PMS24" s="414"/>
      <c r="PMT24" s="414"/>
      <c r="PMU24" s="414"/>
      <c r="PMV24" s="414"/>
      <c r="PMW24" s="414"/>
      <c r="PMX24" s="414"/>
      <c r="PMY24" s="414"/>
      <c r="PMZ24" s="414"/>
      <c r="PNA24" s="414"/>
      <c r="PNB24" s="414"/>
      <c r="PNC24" s="414"/>
      <c r="PND24" s="414"/>
      <c r="PNE24" s="414"/>
      <c r="PNF24" s="414"/>
      <c r="PNG24" s="414"/>
      <c r="PNH24" s="414"/>
      <c r="PNI24" s="414"/>
      <c r="PNJ24" s="414"/>
      <c r="PNK24" s="414"/>
      <c r="PNL24" s="414"/>
      <c r="PNM24" s="414"/>
      <c r="PNN24" s="414"/>
      <c r="PNO24" s="414"/>
      <c r="PNP24" s="414"/>
      <c r="PNQ24" s="414"/>
      <c r="PNR24" s="414"/>
      <c r="PNS24" s="414"/>
      <c r="PNT24" s="414"/>
      <c r="PNU24" s="414"/>
      <c r="PNV24" s="414"/>
      <c r="PNW24" s="414"/>
      <c r="PNX24" s="414"/>
      <c r="PNY24" s="414"/>
      <c r="PNZ24" s="414"/>
      <c r="POA24" s="414"/>
      <c r="POB24" s="414"/>
      <c r="POC24" s="414"/>
      <c r="POD24" s="414"/>
      <c r="POE24" s="414"/>
      <c r="POF24" s="414"/>
      <c r="POG24" s="414"/>
      <c r="POH24" s="414"/>
      <c r="POI24" s="414"/>
      <c r="POJ24" s="414"/>
      <c r="POK24" s="414"/>
      <c r="POL24" s="414"/>
      <c r="POM24" s="414"/>
      <c r="PON24" s="414"/>
      <c r="POO24" s="414"/>
      <c r="POP24" s="414"/>
      <c r="POQ24" s="414"/>
      <c r="POR24" s="414"/>
      <c r="POS24" s="414"/>
      <c r="POT24" s="414"/>
      <c r="POU24" s="414"/>
      <c r="POV24" s="414"/>
      <c r="POW24" s="414"/>
      <c r="POX24" s="414"/>
      <c r="POY24" s="414"/>
      <c r="POZ24" s="414"/>
      <c r="PPA24" s="414"/>
      <c r="PPB24" s="414"/>
      <c r="PPC24" s="414"/>
      <c r="PPD24" s="414"/>
      <c r="PPE24" s="414"/>
      <c r="PPF24" s="414"/>
      <c r="PPG24" s="414"/>
      <c r="PPH24" s="414"/>
      <c r="PPI24" s="414"/>
      <c r="PPJ24" s="414"/>
      <c r="PPK24" s="414"/>
      <c r="PPL24" s="414"/>
      <c r="PPM24" s="414"/>
      <c r="PPN24" s="414"/>
      <c r="PPO24" s="414"/>
      <c r="PPP24" s="414"/>
      <c r="PPQ24" s="414"/>
      <c r="PPR24" s="414"/>
      <c r="PPS24" s="414"/>
      <c r="PPT24" s="414"/>
      <c r="PPU24" s="414"/>
      <c r="PPV24" s="414"/>
      <c r="PPW24" s="414"/>
      <c r="PPX24" s="414"/>
      <c r="PPY24" s="414"/>
      <c r="PPZ24" s="414"/>
      <c r="PQA24" s="414"/>
      <c r="PQB24" s="414"/>
      <c r="PQC24" s="414"/>
      <c r="PQD24" s="414"/>
      <c r="PQE24" s="414"/>
      <c r="PQF24" s="414"/>
      <c r="PQG24" s="414"/>
      <c r="PQH24" s="414"/>
      <c r="PQI24" s="414"/>
      <c r="PQJ24" s="414"/>
      <c r="PQK24" s="414"/>
      <c r="PQL24" s="414"/>
      <c r="PQM24" s="414"/>
      <c r="PQN24" s="414"/>
      <c r="PQO24" s="414"/>
      <c r="PQP24" s="414"/>
      <c r="PQQ24" s="414"/>
      <c r="PQR24" s="414"/>
      <c r="PQS24" s="414"/>
      <c r="PQT24" s="414"/>
      <c r="PQU24" s="414"/>
      <c r="PQV24" s="414"/>
      <c r="PQW24" s="414"/>
      <c r="PQX24" s="414"/>
      <c r="PQY24" s="414"/>
      <c r="PQZ24" s="414"/>
      <c r="PRA24" s="414"/>
      <c r="PRB24" s="414"/>
      <c r="PRC24" s="414"/>
      <c r="PRD24" s="414"/>
      <c r="PRE24" s="414"/>
      <c r="PRF24" s="414"/>
      <c r="PRG24" s="414"/>
      <c r="PRH24" s="414"/>
      <c r="PRI24" s="414"/>
      <c r="PRJ24" s="414"/>
      <c r="PRK24" s="414"/>
      <c r="PRL24" s="414"/>
      <c r="PRM24" s="414"/>
      <c r="PRN24" s="414"/>
      <c r="PRO24" s="414"/>
      <c r="PRP24" s="414"/>
      <c r="PRQ24" s="414"/>
      <c r="PRR24" s="414"/>
      <c r="PRS24" s="414"/>
      <c r="PRT24" s="414"/>
      <c r="PRU24" s="414"/>
      <c r="PRV24" s="414"/>
      <c r="PRW24" s="414"/>
      <c r="PRX24" s="414"/>
      <c r="PRY24" s="414"/>
      <c r="PRZ24" s="414"/>
      <c r="PSA24" s="414"/>
      <c r="PSB24" s="414"/>
      <c r="PSC24" s="414"/>
      <c r="PSD24" s="414"/>
      <c r="PSE24" s="414"/>
      <c r="PSF24" s="414"/>
      <c r="PSG24" s="414"/>
      <c r="PSH24" s="414"/>
      <c r="PSI24" s="414"/>
      <c r="PSJ24" s="414"/>
      <c r="PSK24" s="414"/>
      <c r="PSL24" s="414"/>
      <c r="PSM24" s="414"/>
      <c r="PSN24" s="414"/>
      <c r="PSO24" s="414"/>
      <c r="PSP24" s="414"/>
      <c r="PSQ24" s="414"/>
      <c r="PSR24" s="414"/>
      <c r="PSS24" s="414"/>
      <c r="PST24" s="414"/>
      <c r="PSU24" s="414"/>
      <c r="PSV24" s="414"/>
      <c r="PSW24" s="414"/>
      <c r="PSX24" s="414"/>
      <c r="PSY24" s="414"/>
      <c r="PSZ24" s="414"/>
      <c r="PTA24" s="414"/>
      <c r="PTB24" s="414"/>
      <c r="PTC24" s="414"/>
      <c r="PTD24" s="414"/>
      <c r="PTE24" s="414"/>
      <c r="PTF24" s="414"/>
      <c r="PTG24" s="414"/>
      <c r="PTH24" s="414"/>
      <c r="PTI24" s="414"/>
      <c r="PTJ24" s="414"/>
      <c r="PTK24" s="414"/>
      <c r="PTL24" s="414"/>
      <c r="PTM24" s="414"/>
      <c r="PTN24" s="414"/>
      <c r="PTO24" s="414"/>
      <c r="PTP24" s="414"/>
      <c r="PTQ24" s="414"/>
      <c r="PTR24" s="414"/>
      <c r="PTS24" s="414"/>
      <c r="PTT24" s="414"/>
      <c r="PTU24" s="414"/>
      <c r="PTV24" s="414"/>
      <c r="PTW24" s="414"/>
      <c r="PTX24" s="414"/>
      <c r="PTY24" s="414"/>
      <c r="PTZ24" s="414"/>
      <c r="PUA24" s="414"/>
      <c r="PUB24" s="414"/>
      <c r="PUC24" s="414"/>
      <c r="PUD24" s="414"/>
      <c r="PUE24" s="414"/>
      <c r="PUF24" s="414"/>
      <c r="PUG24" s="414"/>
      <c r="PUH24" s="414"/>
      <c r="PUI24" s="414"/>
      <c r="PUJ24" s="414"/>
      <c r="PUK24" s="414"/>
      <c r="PUL24" s="414"/>
      <c r="PUM24" s="414"/>
      <c r="PUN24" s="414"/>
      <c r="PUO24" s="414"/>
      <c r="PUP24" s="414"/>
      <c r="PUQ24" s="414"/>
      <c r="PUR24" s="414"/>
      <c r="PUS24" s="414"/>
      <c r="PUT24" s="414"/>
      <c r="PUU24" s="414"/>
      <c r="PUV24" s="414"/>
      <c r="PUW24" s="414"/>
      <c r="PUX24" s="414"/>
      <c r="PUY24" s="414"/>
      <c r="PUZ24" s="414"/>
      <c r="PVA24" s="414"/>
      <c r="PVB24" s="414"/>
      <c r="PVC24" s="414"/>
      <c r="PVD24" s="414"/>
      <c r="PVE24" s="414"/>
      <c r="PVF24" s="414"/>
      <c r="PVG24" s="414"/>
      <c r="PVH24" s="414"/>
      <c r="PVI24" s="414"/>
      <c r="PVJ24" s="414"/>
      <c r="PVK24" s="414"/>
      <c r="PVL24" s="414"/>
      <c r="PVM24" s="414"/>
      <c r="PVN24" s="414"/>
      <c r="PVO24" s="414"/>
      <c r="PVP24" s="414"/>
      <c r="PVQ24" s="414"/>
      <c r="PVR24" s="414"/>
      <c r="PVS24" s="414"/>
      <c r="PVT24" s="414"/>
      <c r="PVU24" s="414"/>
      <c r="PVV24" s="414"/>
      <c r="PVW24" s="414"/>
      <c r="PVX24" s="414"/>
      <c r="PVY24" s="414"/>
      <c r="PVZ24" s="414"/>
      <c r="PWA24" s="414"/>
      <c r="PWB24" s="414"/>
      <c r="PWC24" s="414"/>
      <c r="PWD24" s="414"/>
      <c r="PWE24" s="414"/>
      <c r="PWF24" s="414"/>
      <c r="PWG24" s="414"/>
      <c r="PWH24" s="414"/>
      <c r="PWI24" s="414"/>
      <c r="PWJ24" s="414"/>
      <c r="PWK24" s="414"/>
      <c r="PWL24" s="414"/>
      <c r="PWM24" s="414"/>
      <c r="PWN24" s="414"/>
      <c r="PWO24" s="414"/>
      <c r="PWP24" s="414"/>
      <c r="PWQ24" s="414"/>
      <c r="PWR24" s="414"/>
      <c r="PWS24" s="414"/>
      <c r="PWT24" s="414"/>
      <c r="PWU24" s="414"/>
      <c r="PWV24" s="414"/>
      <c r="PWW24" s="414"/>
      <c r="PWX24" s="414"/>
      <c r="PWY24" s="414"/>
      <c r="PWZ24" s="414"/>
      <c r="PXA24" s="414"/>
      <c r="PXB24" s="414"/>
      <c r="PXC24" s="414"/>
      <c r="PXD24" s="414"/>
      <c r="PXE24" s="414"/>
      <c r="PXF24" s="414"/>
      <c r="PXG24" s="414"/>
      <c r="PXH24" s="414"/>
      <c r="PXI24" s="414"/>
      <c r="PXJ24" s="414"/>
      <c r="PXK24" s="414"/>
      <c r="PXL24" s="414"/>
      <c r="PXM24" s="414"/>
      <c r="PXN24" s="414"/>
      <c r="PXO24" s="414"/>
      <c r="PXP24" s="414"/>
      <c r="PXQ24" s="414"/>
      <c r="PXR24" s="414"/>
      <c r="PXS24" s="414"/>
      <c r="PXT24" s="414"/>
      <c r="PXU24" s="414"/>
      <c r="PXV24" s="414"/>
      <c r="PXW24" s="414"/>
      <c r="PXX24" s="414"/>
      <c r="PXY24" s="414"/>
      <c r="PXZ24" s="414"/>
      <c r="PYA24" s="414"/>
      <c r="PYB24" s="414"/>
      <c r="PYC24" s="414"/>
      <c r="PYD24" s="414"/>
      <c r="PYE24" s="414"/>
      <c r="PYF24" s="414"/>
      <c r="PYG24" s="414"/>
      <c r="PYH24" s="414"/>
      <c r="PYI24" s="414"/>
      <c r="PYJ24" s="414"/>
      <c r="PYK24" s="414"/>
      <c r="PYL24" s="414"/>
      <c r="PYM24" s="414"/>
      <c r="PYN24" s="414"/>
      <c r="PYO24" s="414"/>
      <c r="PYP24" s="414"/>
      <c r="PYQ24" s="414"/>
      <c r="PYR24" s="414"/>
      <c r="PYS24" s="414"/>
      <c r="PYT24" s="414"/>
      <c r="PYU24" s="414"/>
      <c r="PYV24" s="414"/>
      <c r="PYW24" s="414"/>
      <c r="PYX24" s="414"/>
      <c r="PYY24" s="414"/>
      <c r="PYZ24" s="414"/>
      <c r="PZA24" s="414"/>
      <c r="PZB24" s="414"/>
      <c r="PZC24" s="414"/>
      <c r="PZD24" s="414"/>
      <c r="PZE24" s="414"/>
      <c r="PZF24" s="414"/>
      <c r="PZG24" s="414"/>
      <c r="PZH24" s="414"/>
      <c r="PZI24" s="414"/>
      <c r="PZJ24" s="414"/>
      <c r="PZK24" s="414"/>
      <c r="PZL24" s="414"/>
      <c r="PZM24" s="414"/>
      <c r="PZN24" s="414"/>
      <c r="PZO24" s="414"/>
      <c r="PZP24" s="414"/>
      <c r="PZQ24" s="414"/>
      <c r="PZR24" s="414"/>
      <c r="PZS24" s="414"/>
      <c r="PZT24" s="414"/>
      <c r="PZU24" s="414"/>
      <c r="PZV24" s="414"/>
      <c r="PZW24" s="414"/>
      <c r="PZX24" s="414"/>
      <c r="PZY24" s="414"/>
      <c r="PZZ24" s="414"/>
      <c r="QAA24" s="414"/>
      <c r="QAB24" s="414"/>
      <c r="QAC24" s="414"/>
      <c r="QAD24" s="414"/>
      <c r="QAE24" s="414"/>
      <c r="QAF24" s="414"/>
      <c r="QAG24" s="414"/>
      <c r="QAH24" s="414"/>
      <c r="QAI24" s="414"/>
      <c r="QAJ24" s="414"/>
      <c r="QAK24" s="414"/>
      <c r="QAL24" s="414"/>
      <c r="QAM24" s="414"/>
      <c r="QAN24" s="414"/>
      <c r="QAO24" s="414"/>
      <c r="QAP24" s="414"/>
      <c r="QAQ24" s="414"/>
      <c r="QAR24" s="414"/>
      <c r="QAS24" s="414"/>
      <c r="QAT24" s="414"/>
      <c r="QAU24" s="414"/>
      <c r="QAV24" s="414"/>
      <c r="QAW24" s="414"/>
      <c r="QAX24" s="414"/>
      <c r="QAY24" s="414"/>
      <c r="QAZ24" s="414"/>
      <c r="QBA24" s="414"/>
      <c r="QBB24" s="414"/>
      <c r="QBC24" s="414"/>
      <c r="QBD24" s="414"/>
      <c r="QBE24" s="414"/>
      <c r="QBF24" s="414"/>
      <c r="QBG24" s="414"/>
      <c r="QBH24" s="414"/>
      <c r="QBI24" s="414"/>
      <c r="QBJ24" s="414"/>
      <c r="QBK24" s="414"/>
      <c r="QBL24" s="414"/>
      <c r="QBM24" s="414"/>
      <c r="QBN24" s="414"/>
      <c r="QBO24" s="414"/>
      <c r="QBP24" s="414"/>
      <c r="QBQ24" s="414"/>
      <c r="QBR24" s="414"/>
      <c r="QBS24" s="414"/>
      <c r="QBT24" s="414"/>
      <c r="QBU24" s="414"/>
      <c r="QBV24" s="414"/>
      <c r="QBW24" s="414"/>
      <c r="QBX24" s="414"/>
      <c r="QBY24" s="414"/>
      <c r="QBZ24" s="414"/>
      <c r="QCA24" s="414"/>
      <c r="QCB24" s="414"/>
      <c r="QCC24" s="414"/>
      <c r="QCD24" s="414"/>
      <c r="QCE24" s="414"/>
      <c r="QCF24" s="414"/>
      <c r="QCG24" s="414"/>
      <c r="QCH24" s="414"/>
      <c r="QCI24" s="414"/>
      <c r="QCJ24" s="414"/>
      <c r="QCK24" s="414"/>
      <c r="QCL24" s="414"/>
      <c r="QCM24" s="414"/>
      <c r="QCN24" s="414"/>
      <c r="QCO24" s="414"/>
      <c r="QCP24" s="414"/>
      <c r="QCQ24" s="414"/>
      <c r="QCR24" s="414"/>
      <c r="QCS24" s="414"/>
      <c r="QCT24" s="414"/>
      <c r="QCU24" s="414"/>
      <c r="QCV24" s="414"/>
      <c r="QCW24" s="414"/>
      <c r="QCX24" s="414"/>
      <c r="QCY24" s="414"/>
      <c r="QCZ24" s="414"/>
      <c r="QDA24" s="414"/>
      <c r="QDB24" s="414"/>
      <c r="QDC24" s="414"/>
      <c r="QDD24" s="414"/>
      <c r="QDE24" s="414"/>
      <c r="QDF24" s="414"/>
      <c r="QDG24" s="414"/>
      <c r="QDH24" s="414"/>
      <c r="QDI24" s="414"/>
      <c r="QDJ24" s="414"/>
      <c r="QDK24" s="414"/>
      <c r="QDL24" s="414"/>
      <c r="QDM24" s="414"/>
      <c r="QDN24" s="414"/>
      <c r="QDO24" s="414"/>
      <c r="QDP24" s="414"/>
      <c r="QDQ24" s="414"/>
      <c r="QDR24" s="414"/>
      <c r="QDS24" s="414"/>
      <c r="QDT24" s="414"/>
      <c r="QDU24" s="414"/>
      <c r="QDV24" s="414"/>
      <c r="QDW24" s="414"/>
      <c r="QDX24" s="414"/>
      <c r="QDY24" s="414"/>
      <c r="QDZ24" s="414"/>
      <c r="QEA24" s="414"/>
      <c r="QEB24" s="414"/>
      <c r="QEC24" s="414"/>
      <c r="QED24" s="414"/>
      <c r="QEE24" s="414"/>
      <c r="QEF24" s="414"/>
      <c r="QEG24" s="414"/>
      <c r="QEH24" s="414"/>
      <c r="QEI24" s="414"/>
      <c r="QEJ24" s="414"/>
      <c r="QEK24" s="414"/>
      <c r="QEL24" s="414"/>
      <c r="QEM24" s="414"/>
      <c r="QEN24" s="414"/>
      <c r="QEO24" s="414"/>
      <c r="QEP24" s="414"/>
      <c r="QEQ24" s="414"/>
      <c r="QER24" s="414"/>
      <c r="QES24" s="414"/>
      <c r="QET24" s="414"/>
      <c r="QEU24" s="414"/>
      <c r="QEV24" s="414"/>
      <c r="QEW24" s="414"/>
      <c r="QEX24" s="414"/>
      <c r="QEY24" s="414"/>
      <c r="QEZ24" s="414"/>
      <c r="QFA24" s="414"/>
      <c r="QFB24" s="414"/>
      <c r="QFC24" s="414"/>
      <c r="QFD24" s="414"/>
      <c r="QFE24" s="414"/>
      <c r="QFF24" s="414"/>
      <c r="QFG24" s="414"/>
      <c r="QFH24" s="414"/>
      <c r="QFI24" s="414"/>
      <c r="QFJ24" s="414"/>
      <c r="QFK24" s="414"/>
      <c r="QFL24" s="414"/>
      <c r="QFM24" s="414"/>
      <c r="QFN24" s="414"/>
      <c r="QFO24" s="414"/>
      <c r="QFP24" s="414"/>
      <c r="QFQ24" s="414"/>
      <c r="QFR24" s="414"/>
      <c r="QFS24" s="414"/>
      <c r="QFT24" s="414"/>
      <c r="QFU24" s="414"/>
      <c r="QFV24" s="414"/>
      <c r="QFW24" s="414"/>
      <c r="QFX24" s="414"/>
      <c r="QFY24" s="414"/>
      <c r="QFZ24" s="414"/>
      <c r="QGA24" s="414"/>
      <c r="QGB24" s="414"/>
      <c r="QGC24" s="414"/>
      <c r="QGD24" s="414"/>
      <c r="QGE24" s="414"/>
      <c r="QGF24" s="414"/>
      <c r="QGG24" s="414"/>
      <c r="QGH24" s="414"/>
      <c r="QGI24" s="414"/>
      <c r="QGJ24" s="414"/>
      <c r="QGK24" s="414"/>
      <c r="QGL24" s="414"/>
      <c r="QGM24" s="414"/>
      <c r="QGN24" s="414"/>
      <c r="QGO24" s="414"/>
      <c r="QGP24" s="414"/>
      <c r="QGQ24" s="414"/>
      <c r="QGR24" s="414"/>
      <c r="QGS24" s="414"/>
      <c r="QGT24" s="414"/>
      <c r="QGU24" s="414"/>
      <c r="QGV24" s="414"/>
      <c r="QGW24" s="414"/>
      <c r="QGX24" s="414"/>
      <c r="QGY24" s="414"/>
      <c r="QGZ24" s="414"/>
      <c r="QHA24" s="414"/>
      <c r="QHB24" s="414"/>
      <c r="QHC24" s="414"/>
      <c r="QHD24" s="414"/>
      <c r="QHE24" s="414"/>
      <c r="QHF24" s="414"/>
      <c r="QHG24" s="414"/>
      <c r="QHH24" s="414"/>
      <c r="QHI24" s="414"/>
      <c r="QHJ24" s="414"/>
      <c r="QHK24" s="414"/>
      <c r="QHL24" s="414"/>
      <c r="QHM24" s="414"/>
      <c r="QHN24" s="414"/>
      <c r="QHO24" s="414"/>
      <c r="QHP24" s="414"/>
      <c r="QHQ24" s="414"/>
      <c r="QHR24" s="414"/>
      <c r="QHS24" s="414"/>
      <c r="QHT24" s="414"/>
      <c r="QHU24" s="414"/>
      <c r="QHV24" s="414"/>
      <c r="QHW24" s="414"/>
      <c r="QHX24" s="414"/>
      <c r="QHY24" s="414"/>
      <c r="QHZ24" s="414"/>
      <c r="QIA24" s="414"/>
      <c r="QIB24" s="414"/>
      <c r="QIC24" s="414"/>
      <c r="QID24" s="414"/>
      <c r="QIE24" s="414"/>
      <c r="QIF24" s="414"/>
      <c r="QIG24" s="414"/>
      <c r="QIH24" s="414"/>
      <c r="QII24" s="414"/>
      <c r="QIJ24" s="414"/>
      <c r="QIK24" s="414"/>
      <c r="QIL24" s="414"/>
      <c r="QIM24" s="414"/>
      <c r="QIN24" s="414"/>
      <c r="QIO24" s="414"/>
      <c r="QIP24" s="414"/>
      <c r="QIQ24" s="414"/>
      <c r="QIR24" s="414"/>
      <c r="QIS24" s="414"/>
      <c r="QIT24" s="414"/>
      <c r="QIU24" s="414"/>
      <c r="QIV24" s="414"/>
      <c r="QIW24" s="414"/>
      <c r="QIX24" s="414"/>
      <c r="QIY24" s="414"/>
      <c r="QIZ24" s="414"/>
      <c r="QJA24" s="414"/>
      <c r="QJB24" s="414"/>
      <c r="QJC24" s="414"/>
      <c r="QJD24" s="414"/>
      <c r="QJE24" s="414"/>
      <c r="QJF24" s="414"/>
      <c r="QJG24" s="414"/>
      <c r="QJH24" s="414"/>
      <c r="QJI24" s="414"/>
      <c r="QJJ24" s="414"/>
      <c r="QJK24" s="414"/>
      <c r="QJL24" s="414"/>
      <c r="QJM24" s="414"/>
      <c r="QJN24" s="414"/>
      <c r="QJO24" s="414"/>
      <c r="QJP24" s="414"/>
      <c r="QJQ24" s="414"/>
      <c r="QJR24" s="414"/>
      <c r="QJS24" s="414"/>
      <c r="QJT24" s="414"/>
      <c r="QJU24" s="414"/>
      <c r="QJV24" s="414"/>
      <c r="QJW24" s="414"/>
      <c r="QJX24" s="414"/>
      <c r="QJY24" s="414"/>
      <c r="QJZ24" s="414"/>
      <c r="QKA24" s="414"/>
      <c r="QKB24" s="414"/>
      <c r="QKC24" s="414"/>
      <c r="QKD24" s="414"/>
      <c r="QKE24" s="414"/>
      <c r="QKF24" s="414"/>
      <c r="QKG24" s="414"/>
      <c r="QKH24" s="414"/>
      <c r="QKI24" s="414"/>
      <c r="QKJ24" s="414"/>
      <c r="QKK24" s="414"/>
      <c r="QKL24" s="414"/>
      <c r="QKM24" s="414"/>
      <c r="QKN24" s="414"/>
      <c r="QKO24" s="414"/>
      <c r="QKP24" s="414"/>
      <c r="QKQ24" s="414"/>
      <c r="QKR24" s="414"/>
      <c r="QKS24" s="414"/>
      <c r="QKT24" s="414"/>
      <c r="QKU24" s="414"/>
      <c r="QKV24" s="414"/>
      <c r="QKW24" s="414"/>
      <c r="QKX24" s="414"/>
      <c r="QKY24" s="414"/>
      <c r="QKZ24" s="414"/>
      <c r="QLA24" s="414"/>
      <c r="QLB24" s="414"/>
      <c r="QLC24" s="414"/>
      <c r="QLD24" s="414"/>
      <c r="QLE24" s="414"/>
      <c r="QLF24" s="414"/>
      <c r="QLG24" s="414"/>
      <c r="QLH24" s="414"/>
      <c r="QLI24" s="414"/>
      <c r="QLJ24" s="414"/>
      <c r="QLK24" s="414"/>
      <c r="QLL24" s="414"/>
      <c r="QLM24" s="414"/>
      <c r="QLN24" s="414"/>
      <c r="QLO24" s="414"/>
      <c r="QLP24" s="414"/>
      <c r="QLQ24" s="414"/>
      <c r="QLR24" s="414"/>
      <c r="QLS24" s="414"/>
      <c r="QLT24" s="414"/>
      <c r="QLU24" s="414"/>
      <c r="QLV24" s="414"/>
      <c r="QLW24" s="414"/>
      <c r="QLX24" s="414"/>
      <c r="QLY24" s="414"/>
      <c r="QLZ24" s="414"/>
      <c r="QMA24" s="414"/>
      <c r="QMB24" s="414"/>
      <c r="QMC24" s="414"/>
      <c r="QMD24" s="414"/>
      <c r="QME24" s="414"/>
      <c r="QMF24" s="414"/>
      <c r="QMG24" s="414"/>
      <c r="QMH24" s="414"/>
      <c r="QMI24" s="414"/>
      <c r="QMJ24" s="414"/>
      <c r="QMK24" s="414"/>
      <c r="QML24" s="414"/>
      <c r="QMM24" s="414"/>
      <c r="QMN24" s="414"/>
      <c r="QMO24" s="414"/>
      <c r="QMP24" s="414"/>
      <c r="QMQ24" s="414"/>
      <c r="QMR24" s="414"/>
      <c r="QMS24" s="414"/>
      <c r="QMT24" s="414"/>
      <c r="QMU24" s="414"/>
      <c r="QMV24" s="414"/>
      <c r="QMW24" s="414"/>
      <c r="QMX24" s="414"/>
      <c r="QMY24" s="414"/>
      <c r="QMZ24" s="414"/>
      <c r="QNA24" s="414"/>
      <c r="QNB24" s="414"/>
      <c r="QNC24" s="414"/>
      <c r="QND24" s="414"/>
      <c r="QNE24" s="414"/>
      <c r="QNF24" s="414"/>
      <c r="QNG24" s="414"/>
      <c r="QNH24" s="414"/>
      <c r="QNI24" s="414"/>
      <c r="QNJ24" s="414"/>
      <c r="QNK24" s="414"/>
      <c r="QNL24" s="414"/>
      <c r="QNM24" s="414"/>
      <c r="QNN24" s="414"/>
      <c r="QNO24" s="414"/>
      <c r="QNP24" s="414"/>
      <c r="QNQ24" s="414"/>
      <c r="QNR24" s="414"/>
      <c r="QNS24" s="414"/>
      <c r="QNT24" s="414"/>
      <c r="QNU24" s="414"/>
      <c r="QNV24" s="414"/>
      <c r="QNW24" s="414"/>
      <c r="QNX24" s="414"/>
      <c r="QNY24" s="414"/>
      <c r="QNZ24" s="414"/>
      <c r="QOA24" s="414"/>
      <c r="QOB24" s="414"/>
      <c r="QOC24" s="414"/>
      <c r="QOD24" s="414"/>
      <c r="QOE24" s="414"/>
      <c r="QOF24" s="414"/>
      <c r="QOG24" s="414"/>
      <c r="QOH24" s="414"/>
      <c r="QOI24" s="414"/>
      <c r="QOJ24" s="414"/>
      <c r="QOK24" s="414"/>
      <c r="QOL24" s="414"/>
      <c r="QOM24" s="414"/>
      <c r="QON24" s="414"/>
      <c r="QOO24" s="414"/>
      <c r="QOP24" s="414"/>
      <c r="QOQ24" s="414"/>
      <c r="QOR24" s="414"/>
      <c r="QOS24" s="414"/>
      <c r="QOT24" s="414"/>
      <c r="QOU24" s="414"/>
      <c r="QOV24" s="414"/>
      <c r="QOW24" s="414"/>
      <c r="QOX24" s="414"/>
      <c r="QOY24" s="414"/>
      <c r="QOZ24" s="414"/>
      <c r="QPA24" s="414"/>
      <c r="QPB24" s="414"/>
      <c r="QPC24" s="414"/>
      <c r="QPD24" s="414"/>
      <c r="QPE24" s="414"/>
      <c r="QPF24" s="414"/>
      <c r="QPG24" s="414"/>
      <c r="QPH24" s="414"/>
      <c r="QPI24" s="414"/>
      <c r="QPJ24" s="414"/>
      <c r="QPK24" s="414"/>
      <c r="QPL24" s="414"/>
      <c r="QPM24" s="414"/>
      <c r="QPN24" s="414"/>
      <c r="QPO24" s="414"/>
      <c r="QPP24" s="414"/>
      <c r="QPQ24" s="414"/>
      <c r="QPR24" s="414"/>
      <c r="QPS24" s="414"/>
      <c r="QPT24" s="414"/>
      <c r="QPU24" s="414"/>
      <c r="QPV24" s="414"/>
      <c r="QPW24" s="414"/>
      <c r="QPX24" s="414"/>
      <c r="QPY24" s="414"/>
      <c r="QPZ24" s="414"/>
      <c r="QQA24" s="414"/>
      <c r="QQB24" s="414"/>
      <c r="QQC24" s="414"/>
      <c r="QQD24" s="414"/>
      <c r="QQE24" s="414"/>
      <c r="QQF24" s="414"/>
      <c r="QQG24" s="414"/>
      <c r="QQH24" s="414"/>
      <c r="QQI24" s="414"/>
      <c r="QQJ24" s="414"/>
      <c r="QQK24" s="414"/>
      <c r="QQL24" s="414"/>
      <c r="QQM24" s="414"/>
      <c r="QQN24" s="414"/>
      <c r="QQO24" s="414"/>
      <c r="QQP24" s="414"/>
      <c r="QQQ24" s="414"/>
      <c r="QQR24" s="414"/>
      <c r="QQS24" s="414"/>
      <c r="QQT24" s="414"/>
      <c r="QQU24" s="414"/>
      <c r="QQV24" s="414"/>
      <c r="QQW24" s="414"/>
      <c r="QQX24" s="414"/>
      <c r="QQY24" s="414"/>
      <c r="QQZ24" s="414"/>
      <c r="QRA24" s="414"/>
      <c r="QRB24" s="414"/>
      <c r="QRC24" s="414"/>
      <c r="QRD24" s="414"/>
      <c r="QRE24" s="414"/>
      <c r="QRF24" s="414"/>
      <c r="QRG24" s="414"/>
      <c r="QRH24" s="414"/>
      <c r="QRI24" s="414"/>
      <c r="QRJ24" s="414"/>
      <c r="QRK24" s="414"/>
      <c r="QRL24" s="414"/>
      <c r="QRM24" s="414"/>
      <c r="QRN24" s="414"/>
      <c r="QRO24" s="414"/>
      <c r="QRP24" s="414"/>
      <c r="QRQ24" s="414"/>
      <c r="QRR24" s="414"/>
      <c r="QRS24" s="414"/>
      <c r="QRT24" s="414"/>
      <c r="QRU24" s="414"/>
      <c r="QRV24" s="414"/>
      <c r="QRW24" s="414"/>
      <c r="QRX24" s="414"/>
      <c r="QRY24" s="414"/>
      <c r="QRZ24" s="414"/>
      <c r="QSA24" s="414"/>
      <c r="QSB24" s="414"/>
      <c r="QSC24" s="414"/>
      <c r="QSD24" s="414"/>
      <c r="QSE24" s="414"/>
      <c r="QSF24" s="414"/>
      <c r="QSG24" s="414"/>
      <c r="QSH24" s="414"/>
      <c r="QSI24" s="414"/>
      <c r="QSJ24" s="414"/>
      <c r="QSK24" s="414"/>
      <c r="QSL24" s="414"/>
      <c r="QSM24" s="414"/>
      <c r="QSN24" s="414"/>
      <c r="QSO24" s="414"/>
      <c r="QSP24" s="414"/>
      <c r="QSQ24" s="414"/>
      <c r="QSR24" s="414"/>
      <c r="QSS24" s="414"/>
      <c r="QST24" s="414"/>
      <c r="QSU24" s="414"/>
      <c r="QSV24" s="414"/>
      <c r="QSW24" s="414"/>
      <c r="QSX24" s="414"/>
      <c r="QSY24" s="414"/>
      <c r="QSZ24" s="414"/>
      <c r="QTA24" s="414"/>
      <c r="QTB24" s="414"/>
      <c r="QTC24" s="414"/>
      <c r="QTD24" s="414"/>
      <c r="QTE24" s="414"/>
      <c r="QTF24" s="414"/>
      <c r="QTG24" s="414"/>
      <c r="QTH24" s="414"/>
      <c r="QTI24" s="414"/>
      <c r="QTJ24" s="414"/>
      <c r="QTK24" s="414"/>
      <c r="QTL24" s="414"/>
      <c r="QTM24" s="414"/>
      <c r="QTN24" s="414"/>
      <c r="QTO24" s="414"/>
      <c r="QTP24" s="414"/>
      <c r="QTQ24" s="414"/>
      <c r="QTR24" s="414"/>
      <c r="QTS24" s="414"/>
      <c r="QTT24" s="414"/>
      <c r="QTU24" s="414"/>
      <c r="QTV24" s="414"/>
      <c r="QTW24" s="414"/>
      <c r="QTX24" s="414"/>
      <c r="QTY24" s="414"/>
      <c r="QTZ24" s="414"/>
      <c r="QUA24" s="414"/>
      <c r="QUB24" s="414"/>
      <c r="QUC24" s="414"/>
      <c r="QUD24" s="414"/>
      <c r="QUE24" s="414"/>
      <c r="QUF24" s="414"/>
      <c r="QUG24" s="414"/>
      <c r="QUH24" s="414"/>
      <c r="QUI24" s="414"/>
      <c r="QUJ24" s="414"/>
      <c r="QUK24" s="414"/>
      <c r="QUL24" s="414"/>
      <c r="QUM24" s="414"/>
      <c r="QUN24" s="414"/>
      <c r="QUO24" s="414"/>
      <c r="QUP24" s="414"/>
      <c r="QUQ24" s="414"/>
      <c r="QUR24" s="414"/>
      <c r="QUS24" s="414"/>
      <c r="QUT24" s="414"/>
      <c r="QUU24" s="414"/>
      <c r="QUV24" s="414"/>
      <c r="QUW24" s="414"/>
      <c r="QUX24" s="414"/>
      <c r="QUY24" s="414"/>
      <c r="QUZ24" s="414"/>
      <c r="QVA24" s="414"/>
      <c r="QVB24" s="414"/>
      <c r="QVC24" s="414"/>
      <c r="QVD24" s="414"/>
      <c r="QVE24" s="414"/>
      <c r="QVF24" s="414"/>
      <c r="QVG24" s="414"/>
      <c r="QVH24" s="414"/>
      <c r="QVI24" s="414"/>
      <c r="QVJ24" s="414"/>
      <c r="QVK24" s="414"/>
      <c r="QVL24" s="414"/>
      <c r="QVM24" s="414"/>
      <c r="QVN24" s="414"/>
      <c r="QVO24" s="414"/>
      <c r="QVP24" s="414"/>
      <c r="QVQ24" s="414"/>
      <c r="QVR24" s="414"/>
      <c r="QVS24" s="414"/>
      <c r="QVT24" s="414"/>
      <c r="QVU24" s="414"/>
      <c r="QVV24" s="414"/>
      <c r="QVW24" s="414"/>
      <c r="QVX24" s="414"/>
      <c r="QVY24" s="414"/>
      <c r="QVZ24" s="414"/>
      <c r="QWA24" s="414"/>
      <c r="QWB24" s="414"/>
      <c r="QWC24" s="414"/>
      <c r="QWD24" s="414"/>
      <c r="QWE24" s="414"/>
      <c r="QWF24" s="414"/>
      <c r="QWG24" s="414"/>
      <c r="QWH24" s="414"/>
      <c r="QWI24" s="414"/>
      <c r="QWJ24" s="414"/>
      <c r="QWK24" s="414"/>
      <c r="QWL24" s="414"/>
      <c r="QWM24" s="414"/>
      <c r="QWN24" s="414"/>
      <c r="QWO24" s="414"/>
      <c r="QWP24" s="414"/>
      <c r="QWQ24" s="414"/>
      <c r="QWR24" s="414"/>
      <c r="QWS24" s="414"/>
      <c r="QWT24" s="414"/>
      <c r="QWU24" s="414"/>
      <c r="QWV24" s="414"/>
      <c r="QWW24" s="414"/>
      <c r="QWX24" s="414"/>
      <c r="QWY24" s="414"/>
      <c r="QWZ24" s="414"/>
      <c r="QXA24" s="414"/>
      <c r="QXB24" s="414"/>
      <c r="QXC24" s="414"/>
      <c r="QXD24" s="414"/>
      <c r="QXE24" s="414"/>
      <c r="QXF24" s="414"/>
      <c r="QXG24" s="414"/>
      <c r="QXH24" s="414"/>
      <c r="QXI24" s="414"/>
      <c r="QXJ24" s="414"/>
      <c r="QXK24" s="414"/>
      <c r="QXL24" s="414"/>
      <c r="QXM24" s="414"/>
      <c r="QXN24" s="414"/>
      <c r="QXO24" s="414"/>
      <c r="QXP24" s="414"/>
      <c r="QXQ24" s="414"/>
      <c r="QXR24" s="414"/>
      <c r="QXS24" s="414"/>
      <c r="QXT24" s="414"/>
      <c r="QXU24" s="414"/>
      <c r="QXV24" s="414"/>
      <c r="QXW24" s="414"/>
      <c r="QXX24" s="414"/>
      <c r="QXY24" s="414"/>
      <c r="QXZ24" s="414"/>
      <c r="QYA24" s="414"/>
      <c r="QYB24" s="414"/>
      <c r="QYC24" s="414"/>
      <c r="QYD24" s="414"/>
      <c r="QYE24" s="414"/>
      <c r="QYF24" s="414"/>
      <c r="QYG24" s="414"/>
      <c r="QYH24" s="414"/>
      <c r="QYI24" s="414"/>
      <c r="QYJ24" s="414"/>
      <c r="QYK24" s="414"/>
      <c r="QYL24" s="414"/>
      <c r="QYM24" s="414"/>
      <c r="QYN24" s="414"/>
      <c r="QYO24" s="414"/>
      <c r="QYP24" s="414"/>
      <c r="QYQ24" s="414"/>
      <c r="QYR24" s="414"/>
      <c r="QYS24" s="414"/>
      <c r="QYT24" s="414"/>
      <c r="QYU24" s="414"/>
      <c r="QYV24" s="414"/>
      <c r="QYW24" s="414"/>
      <c r="QYX24" s="414"/>
      <c r="QYY24" s="414"/>
      <c r="QYZ24" s="414"/>
      <c r="QZA24" s="414"/>
      <c r="QZB24" s="414"/>
      <c r="QZC24" s="414"/>
      <c r="QZD24" s="414"/>
      <c r="QZE24" s="414"/>
      <c r="QZF24" s="414"/>
      <c r="QZG24" s="414"/>
      <c r="QZH24" s="414"/>
      <c r="QZI24" s="414"/>
      <c r="QZJ24" s="414"/>
      <c r="QZK24" s="414"/>
      <c r="QZL24" s="414"/>
      <c r="QZM24" s="414"/>
      <c r="QZN24" s="414"/>
      <c r="QZO24" s="414"/>
      <c r="QZP24" s="414"/>
      <c r="QZQ24" s="414"/>
      <c r="QZR24" s="414"/>
      <c r="QZS24" s="414"/>
      <c r="QZT24" s="414"/>
      <c r="QZU24" s="414"/>
      <c r="QZV24" s="414"/>
      <c r="QZW24" s="414"/>
      <c r="QZX24" s="414"/>
      <c r="QZY24" s="414"/>
      <c r="QZZ24" s="414"/>
      <c r="RAA24" s="414"/>
      <c r="RAB24" s="414"/>
      <c r="RAC24" s="414"/>
      <c r="RAD24" s="414"/>
      <c r="RAE24" s="414"/>
      <c r="RAF24" s="414"/>
      <c r="RAG24" s="414"/>
      <c r="RAH24" s="414"/>
      <c r="RAI24" s="414"/>
      <c r="RAJ24" s="414"/>
      <c r="RAK24" s="414"/>
      <c r="RAL24" s="414"/>
      <c r="RAM24" s="414"/>
      <c r="RAN24" s="414"/>
      <c r="RAO24" s="414"/>
      <c r="RAP24" s="414"/>
      <c r="RAQ24" s="414"/>
      <c r="RAR24" s="414"/>
      <c r="RAS24" s="414"/>
      <c r="RAT24" s="414"/>
      <c r="RAU24" s="414"/>
      <c r="RAV24" s="414"/>
      <c r="RAW24" s="414"/>
      <c r="RAX24" s="414"/>
      <c r="RAY24" s="414"/>
      <c r="RAZ24" s="414"/>
      <c r="RBA24" s="414"/>
      <c r="RBB24" s="414"/>
      <c r="RBC24" s="414"/>
      <c r="RBD24" s="414"/>
      <c r="RBE24" s="414"/>
      <c r="RBF24" s="414"/>
      <c r="RBG24" s="414"/>
      <c r="RBH24" s="414"/>
      <c r="RBI24" s="414"/>
      <c r="RBJ24" s="414"/>
      <c r="RBK24" s="414"/>
      <c r="RBL24" s="414"/>
      <c r="RBM24" s="414"/>
      <c r="RBN24" s="414"/>
      <c r="RBO24" s="414"/>
      <c r="RBP24" s="414"/>
      <c r="RBQ24" s="414"/>
      <c r="RBR24" s="414"/>
      <c r="RBS24" s="414"/>
      <c r="RBT24" s="414"/>
      <c r="RBU24" s="414"/>
      <c r="RBV24" s="414"/>
      <c r="RBW24" s="414"/>
      <c r="RBX24" s="414"/>
      <c r="RBY24" s="414"/>
      <c r="RBZ24" s="414"/>
      <c r="RCA24" s="414"/>
      <c r="RCB24" s="414"/>
      <c r="RCC24" s="414"/>
      <c r="RCD24" s="414"/>
      <c r="RCE24" s="414"/>
      <c r="RCF24" s="414"/>
      <c r="RCG24" s="414"/>
      <c r="RCH24" s="414"/>
      <c r="RCI24" s="414"/>
      <c r="RCJ24" s="414"/>
      <c r="RCK24" s="414"/>
      <c r="RCL24" s="414"/>
      <c r="RCM24" s="414"/>
      <c r="RCN24" s="414"/>
      <c r="RCO24" s="414"/>
      <c r="RCP24" s="414"/>
      <c r="RCQ24" s="414"/>
      <c r="RCR24" s="414"/>
      <c r="RCS24" s="414"/>
      <c r="RCT24" s="414"/>
      <c r="RCU24" s="414"/>
      <c r="RCV24" s="414"/>
      <c r="RCW24" s="414"/>
      <c r="RCX24" s="414"/>
      <c r="RCY24" s="414"/>
      <c r="RCZ24" s="414"/>
      <c r="RDA24" s="414"/>
      <c r="RDB24" s="414"/>
      <c r="RDC24" s="414"/>
      <c r="RDD24" s="414"/>
      <c r="RDE24" s="414"/>
      <c r="RDF24" s="414"/>
      <c r="RDG24" s="414"/>
      <c r="RDH24" s="414"/>
      <c r="RDI24" s="414"/>
      <c r="RDJ24" s="414"/>
      <c r="RDK24" s="414"/>
      <c r="RDL24" s="414"/>
      <c r="RDM24" s="414"/>
      <c r="RDN24" s="414"/>
      <c r="RDO24" s="414"/>
      <c r="RDP24" s="414"/>
      <c r="RDQ24" s="414"/>
      <c r="RDR24" s="414"/>
      <c r="RDS24" s="414"/>
      <c r="RDT24" s="414"/>
      <c r="RDU24" s="414"/>
      <c r="RDV24" s="414"/>
      <c r="RDW24" s="414"/>
      <c r="RDX24" s="414"/>
      <c r="RDY24" s="414"/>
      <c r="RDZ24" s="414"/>
      <c r="REA24" s="414"/>
      <c r="REB24" s="414"/>
      <c r="REC24" s="414"/>
      <c r="RED24" s="414"/>
      <c r="REE24" s="414"/>
      <c r="REF24" s="414"/>
      <c r="REG24" s="414"/>
      <c r="REH24" s="414"/>
      <c r="REI24" s="414"/>
      <c r="REJ24" s="414"/>
      <c r="REK24" s="414"/>
      <c r="REL24" s="414"/>
      <c r="REM24" s="414"/>
      <c r="REN24" s="414"/>
      <c r="REO24" s="414"/>
      <c r="REP24" s="414"/>
      <c r="REQ24" s="414"/>
      <c r="RER24" s="414"/>
      <c r="RES24" s="414"/>
      <c r="RET24" s="414"/>
      <c r="REU24" s="414"/>
      <c r="REV24" s="414"/>
      <c r="REW24" s="414"/>
      <c r="REX24" s="414"/>
      <c r="REY24" s="414"/>
      <c r="REZ24" s="414"/>
      <c r="RFA24" s="414"/>
      <c r="RFB24" s="414"/>
      <c r="RFC24" s="414"/>
      <c r="RFD24" s="414"/>
      <c r="RFE24" s="414"/>
      <c r="RFF24" s="414"/>
      <c r="RFG24" s="414"/>
      <c r="RFH24" s="414"/>
      <c r="RFI24" s="414"/>
      <c r="RFJ24" s="414"/>
      <c r="RFK24" s="414"/>
      <c r="RFL24" s="414"/>
      <c r="RFM24" s="414"/>
      <c r="RFN24" s="414"/>
      <c r="RFO24" s="414"/>
      <c r="RFP24" s="414"/>
      <c r="RFQ24" s="414"/>
      <c r="RFR24" s="414"/>
      <c r="RFS24" s="414"/>
      <c r="RFT24" s="414"/>
      <c r="RFU24" s="414"/>
      <c r="RFV24" s="414"/>
      <c r="RFW24" s="414"/>
      <c r="RFX24" s="414"/>
      <c r="RFY24" s="414"/>
      <c r="RFZ24" s="414"/>
      <c r="RGA24" s="414"/>
      <c r="RGB24" s="414"/>
      <c r="RGC24" s="414"/>
      <c r="RGD24" s="414"/>
      <c r="RGE24" s="414"/>
      <c r="RGF24" s="414"/>
      <c r="RGG24" s="414"/>
      <c r="RGH24" s="414"/>
      <c r="RGI24" s="414"/>
      <c r="RGJ24" s="414"/>
      <c r="RGK24" s="414"/>
      <c r="RGL24" s="414"/>
      <c r="RGM24" s="414"/>
      <c r="RGN24" s="414"/>
      <c r="RGO24" s="414"/>
      <c r="RGP24" s="414"/>
      <c r="RGQ24" s="414"/>
      <c r="RGR24" s="414"/>
      <c r="RGS24" s="414"/>
      <c r="RGT24" s="414"/>
      <c r="RGU24" s="414"/>
      <c r="RGV24" s="414"/>
      <c r="RGW24" s="414"/>
      <c r="RGX24" s="414"/>
      <c r="RGY24" s="414"/>
      <c r="RGZ24" s="414"/>
      <c r="RHA24" s="414"/>
      <c r="RHB24" s="414"/>
      <c r="RHC24" s="414"/>
      <c r="RHD24" s="414"/>
      <c r="RHE24" s="414"/>
      <c r="RHF24" s="414"/>
      <c r="RHG24" s="414"/>
      <c r="RHH24" s="414"/>
      <c r="RHI24" s="414"/>
      <c r="RHJ24" s="414"/>
      <c r="RHK24" s="414"/>
      <c r="RHL24" s="414"/>
      <c r="RHM24" s="414"/>
      <c r="RHN24" s="414"/>
      <c r="RHO24" s="414"/>
      <c r="RHP24" s="414"/>
      <c r="RHQ24" s="414"/>
      <c r="RHR24" s="414"/>
      <c r="RHS24" s="414"/>
      <c r="RHT24" s="414"/>
      <c r="RHU24" s="414"/>
      <c r="RHV24" s="414"/>
      <c r="RHW24" s="414"/>
      <c r="RHX24" s="414"/>
      <c r="RHY24" s="414"/>
      <c r="RHZ24" s="414"/>
      <c r="RIA24" s="414"/>
      <c r="RIB24" s="414"/>
      <c r="RIC24" s="414"/>
      <c r="RID24" s="414"/>
      <c r="RIE24" s="414"/>
      <c r="RIF24" s="414"/>
      <c r="RIG24" s="414"/>
      <c r="RIH24" s="414"/>
      <c r="RII24" s="414"/>
      <c r="RIJ24" s="414"/>
      <c r="RIK24" s="414"/>
      <c r="RIL24" s="414"/>
      <c r="RIM24" s="414"/>
      <c r="RIN24" s="414"/>
      <c r="RIO24" s="414"/>
      <c r="RIP24" s="414"/>
      <c r="RIQ24" s="414"/>
      <c r="RIR24" s="414"/>
      <c r="RIS24" s="414"/>
      <c r="RIT24" s="414"/>
      <c r="RIU24" s="414"/>
      <c r="RIV24" s="414"/>
      <c r="RIW24" s="414"/>
      <c r="RIX24" s="414"/>
      <c r="RIY24" s="414"/>
      <c r="RIZ24" s="414"/>
      <c r="RJA24" s="414"/>
      <c r="RJB24" s="414"/>
      <c r="RJC24" s="414"/>
      <c r="RJD24" s="414"/>
      <c r="RJE24" s="414"/>
      <c r="RJF24" s="414"/>
      <c r="RJG24" s="414"/>
      <c r="RJH24" s="414"/>
      <c r="RJI24" s="414"/>
      <c r="RJJ24" s="414"/>
      <c r="RJK24" s="414"/>
      <c r="RJL24" s="414"/>
      <c r="RJM24" s="414"/>
      <c r="RJN24" s="414"/>
      <c r="RJO24" s="414"/>
      <c r="RJP24" s="414"/>
      <c r="RJQ24" s="414"/>
      <c r="RJR24" s="414"/>
      <c r="RJS24" s="414"/>
      <c r="RJT24" s="414"/>
      <c r="RJU24" s="414"/>
      <c r="RJV24" s="414"/>
      <c r="RJW24" s="414"/>
      <c r="RJX24" s="414"/>
      <c r="RJY24" s="414"/>
      <c r="RJZ24" s="414"/>
      <c r="RKA24" s="414"/>
      <c r="RKB24" s="414"/>
      <c r="RKC24" s="414"/>
      <c r="RKD24" s="414"/>
      <c r="RKE24" s="414"/>
      <c r="RKF24" s="414"/>
      <c r="RKG24" s="414"/>
      <c r="RKH24" s="414"/>
      <c r="RKI24" s="414"/>
      <c r="RKJ24" s="414"/>
      <c r="RKK24" s="414"/>
      <c r="RKL24" s="414"/>
      <c r="RKM24" s="414"/>
      <c r="RKN24" s="414"/>
      <c r="RKO24" s="414"/>
      <c r="RKP24" s="414"/>
      <c r="RKQ24" s="414"/>
      <c r="RKR24" s="414"/>
      <c r="RKS24" s="414"/>
      <c r="RKT24" s="414"/>
      <c r="RKU24" s="414"/>
      <c r="RKV24" s="414"/>
      <c r="RKW24" s="414"/>
      <c r="RKX24" s="414"/>
      <c r="RKY24" s="414"/>
      <c r="RKZ24" s="414"/>
      <c r="RLA24" s="414"/>
      <c r="RLB24" s="414"/>
      <c r="RLC24" s="414"/>
      <c r="RLD24" s="414"/>
      <c r="RLE24" s="414"/>
      <c r="RLF24" s="414"/>
      <c r="RLG24" s="414"/>
      <c r="RLH24" s="414"/>
      <c r="RLI24" s="414"/>
      <c r="RLJ24" s="414"/>
      <c r="RLK24" s="414"/>
      <c r="RLL24" s="414"/>
      <c r="RLM24" s="414"/>
      <c r="RLN24" s="414"/>
      <c r="RLO24" s="414"/>
      <c r="RLP24" s="414"/>
      <c r="RLQ24" s="414"/>
      <c r="RLR24" s="414"/>
      <c r="RLS24" s="414"/>
      <c r="RLT24" s="414"/>
      <c r="RLU24" s="414"/>
      <c r="RLV24" s="414"/>
      <c r="RLW24" s="414"/>
      <c r="RLX24" s="414"/>
      <c r="RLY24" s="414"/>
      <c r="RLZ24" s="414"/>
      <c r="RMA24" s="414"/>
      <c r="RMB24" s="414"/>
      <c r="RMC24" s="414"/>
      <c r="RMD24" s="414"/>
      <c r="RME24" s="414"/>
      <c r="RMF24" s="414"/>
      <c r="RMG24" s="414"/>
      <c r="RMH24" s="414"/>
      <c r="RMI24" s="414"/>
      <c r="RMJ24" s="414"/>
      <c r="RMK24" s="414"/>
      <c r="RML24" s="414"/>
      <c r="RMM24" s="414"/>
      <c r="RMN24" s="414"/>
      <c r="RMO24" s="414"/>
      <c r="RMP24" s="414"/>
      <c r="RMQ24" s="414"/>
      <c r="RMR24" s="414"/>
      <c r="RMS24" s="414"/>
      <c r="RMT24" s="414"/>
      <c r="RMU24" s="414"/>
      <c r="RMV24" s="414"/>
      <c r="RMW24" s="414"/>
      <c r="RMX24" s="414"/>
      <c r="RMY24" s="414"/>
      <c r="RMZ24" s="414"/>
      <c r="RNA24" s="414"/>
      <c r="RNB24" s="414"/>
      <c r="RNC24" s="414"/>
      <c r="RND24" s="414"/>
      <c r="RNE24" s="414"/>
      <c r="RNF24" s="414"/>
      <c r="RNG24" s="414"/>
      <c r="RNH24" s="414"/>
      <c r="RNI24" s="414"/>
      <c r="RNJ24" s="414"/>
      <c r="RNK24" s="414"/>
      <c r="RNL24" s="414"/>
      <c r="RNM24" s="414"/>
      <c r="RNN24" s="414"/>
      <c r="RNO24" s="414"/>
      <c r="RNP24" s="414"/>
      <c r="RNQ24" s="414"/>
      <c r="RNR24" s="414"/>
      <c r="RNS24" s="414"/>
      <c r="RNT24" s="414"/>
      <c r="RNU24" s="414"/>
      <c r="RNV24" s="414"/>
      <c r="RNW24" s="414"/>
      <c r="RNX24" s="414"/>
      <c r="RNY24" s="414"/>
      <c r="RNZ24" s="414"/>
      <c r="ROA24" s="414"/>
      <c r="ROB24" s="414"/>
      <c r="ROC24" s="414"/>
      <c r="ROD24" s="414"/>
      <c r="ROE24" s="414"/>
      <c r="ROF24" s="414"/>
      <c r="ROG24" s="414"/>
      <c r="ROH24" s="414"/>
      <c r="ROI24" s="414"/>
      <c r="ROJ24" s="414"/>
      <c r="ROK24" s="414"/>
      <c r="ROL24" s="414"/>
      <c r="ROM24" s="414"/>
      <c r="RON24" s="414"/>
      <c r="ROO24" s="414"/>
      <c r="ROP24" s="414"/>
      <c r="ROQ24" s="414"/>
      <c r="ROR24" s="414"/>
      <c r="ROS24" s="414"/>
      <c r="ROT24" s="414"/>
      <c r="ROU24" s="414"/>
      <c r="ROV24" s="414"/>
      <c r="ROW24" s="414"/>
      <c r="ROX24" s="414"/>
      <c r="ROY24" s="414"/>
      <c r="ROZ24" s="414"/>
      <c r="RPA24" s="414"/>
      <c r="RPB24" s="414"/>
      <c r="RPC24" s="414"/>
      <c r="RPD24" s="414"/>
      <c r="RPE24" s="414"/>
      <c r="RPF24" s="414"/>
      <c r="RPG24" s="414"/>
      <c r="RPH24" s="414"/>
      <c r="RPI24" s="414"/>
      <c r="RPJ24" s="414"/>
      <c r="RPK24" s="414"/>
      <c r="RPL24" s="414"/>
      <c r="RPM24" s="414"/>
      <c r="RPN24" s="414"/>
      <c r="RPO24" s="414"/>
      <c r="RPP24" s="414"/>
      <c r="RPQ24" s="414"/>
      <c r="RPR24" s="414"/>
      <c r="RPS24" s="414"/>
      <c r="RPT24" s="414"/>
      <c r="RPU24" s="414"/>
      <c r="RPV24" s="414"/>
      <c r="RPW24" s="414"/>
      <c r="RPX24" s="414"/>
      <c r="RPY24" s="414"/>
      <c r="RPZ24" s="414"/>
      <c r="RQA24" s="414"/>
      <c r="RQB24" s="414"/>
      <c r="RQC24" s="414"/>
      <c r="RQD24" s="414"/>
      <c r="RQE24" s="414"/>
      <c r="RQF24" s="414"/>
      <c r="RQG24" s="414"/>
      <c r="RQH24" s="414"/>
      <c r="RQI24" s="414"/>
      <c r="RQJ24" s="414"/>
      <c r="RQK24" s="414"/>
      <c r="RQL24" s="414"/>
      <c r="RQM24" s="414"/>
      <c r="RQN24" s="414"/>
      <c r="RQO24" s="414"/>
      <c r="RQP24" s="414"/>
      <c r="RQQ24" s="414"/>
      <c r="RQR24" s="414"/>
      <c r="RQS24" s="414"/>
      <c r="RQT24" s="414"/>
      <c r="RQU24" s="414"/>
      <c r="RQV24" s="414"/>
      <c r="RQW24" s="414"/>
      <c r="RQX24" s="414"/>
      <c r="RQY24" s="414"/>
      <c r="RQZ24" s="414"/>
      <c r="RRA24" s="414"/>
      <c r="RRB24" s="414"/>
      <c r="RRC24" s="414"/>
      <c r="RRD24" s="414"/>
      <c r="RRE24" s="414"/>
      <c r="RRF24" s="414"/>
      <c r="RRG24" s="414"/>
      <c r="RRH24" s="414"/>
      <c r="RRI24" s="414"/>
      <c r="RRJ24" s="414"/>
      <c r="RRK24" s="414"/>
      <c r="RRL24" s="414"/>
      <c r="RRM24" s="414"/>
      <c r="RRN24" s="414"/>
      <c r="RRO24" s="414"/>
      <c r="RRP24" s="414"/>
      <c r="RRQ24" s="414"/>
      <c r="RRR24" s="414"/>
      <c r="RRS24" s="414"/>
      <c r="RRT24" s="414"/>
      <c r="RRU24" s="414"/>
      <c r="RRV24" s="414"/>
      <c r="RRW24" s="414"/>
      <c r="RRX24" s="414"/>
      <c r="RRY24" s="414"/>
      <c r="RRZ24" s="414"/>
      <c r="RSA24" s="414"/>
      <c r="RSB24" s="414"/>
      <c r="RSC24" s="414"/>
      <c r="RSD24" s="414"/>
      <c r="RSE24" s="414"/>
      <c r="RSF24" s="414"/>
      <c r="RSG24" s="414"/>
      <c r="RSH24" s="414"/>
      <c r="RSI24" s="414"/>
      <c r="RSJ24" s="414"/>
      <c r="RSK24" s="414"/>
      <c r="RSL24" s="414"/>
      <c r="RSM24" s="414"/>
      <c r="RSN24" s="414"/>
      <c r="RSO24" s="414"/>
      <c r="RSP24" s="414"/>
      <c r="RSQ24" s="414"/>
      <c r="RSR24" s="414"/>
      <c r="RSS24" s="414"/>
      <c r="RST24" s="414"/>
      <c r="RSU24" s="414"/>
      <c r="RSV24" s="414"/>
      <c r="RSW24" s="414"/>
      <c r="RSX24" s="414"/>
      <c r="RSY24" s="414"/>
      <c r="RSZ24" s="414"/>
      <c r="RTA24" s="414"/>
      <c r="RTB24" s="414"/>
      <c r="RTC24" s="414"/>
      <c r="RTD24" s="414"/>
      <c r="RTE24" s="414"/>
      <c r="RTF24" s="414"/>
      <c r="RTG24" s="414"/>
      <c r="RTH24" s="414"/>
      <c r="RTI24" s="414"/>
      <c r="RTJ24" s="414"/>
      <c r="RTK24" s="414"/>
      <c r="RTL24" s="414"/>
      <c r="RTM24" s="414"/>
      <c r="RTN24" s="414"/>
      <c r="RTO24" s="414"/>
      <c r="RTP24" s="414"/>
      <c r="RTQ24" s="414"/>
      <c r="RTR24" s="414"/>
      <c r="RTS24" s="414"/>
      <c r="RTT24" s="414"/>
      <c r="RTU24" s="414"/>
      <c r="RTV24" s="414"/>
      <c r="RTW24" s="414"/>
      <c r="RTX24" s="414"/>
      <c r="RTY24" s="414"/>
      <c r="RTZ24" s="414"/>
      <c r="RUA24" s="414"/>
      <c r="RUB24" s="414"/>
      <c r="RUC24" s="414"/>
      <c r="RUD24" s="414"/>
      <c r="RUE24" s="414"/>
      <c r="RUF24" s="414"/>
      <c r="RUG24" s="414"/>
      <c r="RUH24" s="414"/>
      <c r="RUI24" s="414"/>
      <c r="RUJ24" s="414"/>
      <c r="RUK24" s="414"/>
      <c r="RUL24" s="414"/>
      <c r="RUM24" s="414"/>
      <c r="RUN24" s="414"/>
      <c r="RUO24" s="414"/>
      <c r="RUP24" s="414"/>
      <c r="RUQ24" s="414"/>
      <c r="RUR24" s="414"/>
      <c r="RUS24" s="414"/>
      <c r="RUT24" s="414"/>
      <c r="RUU24" s="414"/>
      <c r="RUV24" s="414"/>
      <c r="RUW24" s="414"/>
      <c r="RUX24" s="414"/>
      <c r="RUY24" s="414"/>
      <c r="RUZ24" s="414"/>
      <c r="RVA24" s="414"/>
      <c r="RVB24" s="414"/>
      <c r="RVC24" s="414"/>
      <c r="RVD24" s="414"/>
      <c r="RVE24" s="414"/>
      <c r="RVF24" s="414"/>
      <c r="RVG24" s="414"/>
      <c r="RVH24" s="414"/>
      <c r="RVI24" s="414"/>
      <c r="RVJ24" s="414"/>
      <c r="RVK24" s="414"/>
      <c r="RVL24" s="414"/>
      <c r="RVM24" s="414"/>
      <c r="RVN24" s="414"/>
      <c r="RVO24" s="414"/>
      <c r="RVP24" s="414"/>
      <c r="RVQ24" s="414"/>
      <c r="RVR24" s="414"/>
      <c r="RVS24" s="414"/>
      <c r="RVT24" s="414"/>
      <c r="RVU24" s="414"/>
      <c r="RVV24" s="414"/>
      <c r="RVW24" s="414"/>
      <c r="RVX24" s="414"/>
      <c r="RVY24" s="414"/>
      <c r="RVZ24" s="414"/>
      <c r="RWA24" s="414"/>
      <c r="RWB24" s="414"/>
      <c r="RWC24" s="414"/>
      <c r="RWD24" s="414"/>
      <c r="RWE24" s="414"/>
      <c r="RWF24" s="414"/>
      <c r="RWG24" s="414"/>
      <c r="RWH24" s="414"/>
      <c r="RWI24" s="414"/>
      <c r="RWJ24" s="414"/>
      <c r="RWK24" s="414"/>
      <c r="RWL24" s="414"/>
      <c r="RWM24" s="414"/>
      <c r="RWN24" s="414"/>
      <c r="RWO24" s="414"/>
      <c r="RWP24" s="414"/>
      <c r="RWQ24" s="414"/>
      <c r="RWR24" s="414"/>
      <c r="RWS24" s="414"/>
      <c r="RWT24" s="414"/>
      <c r="RWU24" s="414"/>
      <c r="RWV24" s="414"/>
      <c r="RWW24" s="414"/>
      <c r="RWX24" s="414"/>
      <c r="RWY24" s="414"/>
      <c r="RWZ24" s="414"/>
      <c r="RXA24" s="414"/>
      <c r="RXB24" s="414"/>
      <c r="RXC24" s="414"/>
      <c r="RXD24" s="414"/>
      <c r="RXE24" s="414"/>
      <c r="RXF24" s="414"/>
      <c r="RXG24" s="414"/>
      <c r="RXH24" s="414"/>
      <c r="RXI24" s="414"/>
      <c r="RXJ24" s="414"/>
      <c r="RXK24" s="414"/>
      <c r="RXL24" s="414"/>
      <c r="RXM24" s="414"/>
      <c r="RXN24" s="414"/>
      <c r="RXO24" s="414"/>
      <c r="RXP24" s="414"/>
      <c r="RXQ24" s="414"/>
      <c r="RXR24" s="414"/>
      <c r="RXS24" s="414"/>
      <c r="RXT24" s="414"/>
      <c r="RXU24" s="414"/>
      <c r="RXV24" s="414"/>
      <c r="RXW24" s="414"/>
      <c r="RXX24" s="414"/>
      <c r="RXY24" s="414"/>
      <c r="RXZ24" s="414"/>
      <c r="RYA24" s="414"/>
      <c r="RYB24" s="414"/>
      <c r="RYC24" s="414"/>
      <c r="RYD24" s="414"/>
      <c r="RYE24" s="414"/>
      <c r="RYF24" s="414"/>
      <c r="RYG24" s="414"/>
      <c r="RYH24" s="414"/>
      <c r="RYI24" s="414"/>
      <c r="RYJ24" s="414"/>
      <c r="RYK24" s="414"/>
      <c r="RYL24" s="414"/>
      <c r="RYM24" s="414"/>
      <c r="RYN24" s="414"/>
      <c r="RYO24" s="414"/>
      <c r="RYP24" s="414"/>
      <c r="RYQ24" s="414"/>
      <c r="RYR24" s="414"/>
      <c r="RYS24" s="414"/>
      <c r="RYT24" s="414"/>
      <c r="RYU24" s="414"/>
      <c r="RYV24" s="414"/>
      <c r="RYW24" s="414"/>
      <c r="RYX24" s="414"/>
      <c r="RYY24" s="414"/>
      <c r="RYZ24" s="414"/>
      <c r="RZA24" s="414"/>
      <c r="RZB24" s="414"/>
      <c r="RZC24" s="414"/>
      <c r="RZD24" s="414"/>
      <c r="RZE24" s="414"/>
      <c r="RZF24" s="414"/>
      <c r="RZG24" s="414"/>
      <c r="RZH24" s="414"/>
      <c r="RZI24" s="414"/>
      <c r="RZJ24" s="414"/>
      <c r="RZK24" s="414"/>
      <c r="RZL24" s="414"/>
      <c r="RZM24" s="414"/>
      <c r="RZN24" s="414"/>
      <c r="RZO24" s="414"/>
      <c r="RZP24" s="414"/>
      <c r="RZQ24" s="414"/>
      <c r="RZR24" s="414"/>
      <c r="RZS24" s="414"/>
      <c r="RZT24" s="414"/>
      <c r="RZU24" s="414"/>
      <c r="RZV24" s="414"/>
      <c r="RZW24" s="414"/>
      <c r="RZX24" s="414"/>
      <c r="RZY24" s="414"/>
      <c r="RZZ24" s="414"/>
      <c r="SAA24" s="414"/>
      <c r="SAB24" s="414"/>
      <c r="SAC24" s="414"/>
      <c r="SAD24" s="414"/>
      <c r="SAE24" s="414"/>
      <c r="SAF24" s="414"/>
      <c r="SAG24" s="414"/>
      <c r="SAH24" s="414"/>
      <c r="SAI24" s="414"/>
      <c r="SAJ24" s="414"/>
      <c r="SAK24" s="414"/>
      <c r="SAL24" s="414"/>
      <c r="SAM24" s="414"/>
      <c r="SAN24" s="414"/>
      <c r="SAO24" s="414"/>
      <c r="SAP24" s="414"/>
      <c r="SAQ24" s="414"/>
      <c r="SAR24" s="414"/>
      <c r="SAS24" s="414"/>
      <c r="SAT24" s="414"/>
      <c r="SAU24" s="414"/>
      <c r="SAV24" s="414"/>
      <c r="SAW24" s="414"/>
      <c r="SAX24" s="414"/>
      <c r="SAY24" s="414"/>
      <c r="SAZ24" s="414"/>
      <c r="SBA24" s="414"/>
      <c r="SBB24" s="414"/>
      <c r="SBC24" s="414"/>
      <c r="SBD24" s="414"/>
      <c r="SBE24" s="414"/>
      <c r="SBF24" s="414"/>
      <c r="SBG24" s="414"/>
      <c r="SBH24" s="414"/>
      <c r="SBI24" s="414"/>
      <c r="SBJ24" s="414"/>
      <c r="SBK24" s="414"/>
      <c r="SBL24" s="414"/>
      <c r="SBM24" s="414"/>
      <c r="SBN24" s="414"/>
      <c r="SBO24" s="414"/>
      <c r="SBP24" s="414"/>
      <c r="SBQ24" s="414"/>
      <c r="SBR24" s="414"/>
      <c r="SBS24" s="414"/>
      <c r="SBT24" s="414"/>
      <c r="SBU24" s="414"/>
      <c r="SBV24" s="414"/>
      <c r="SBW24" s="414"/>
      <c r="SBX24" s="414"/>
      <c r="SBY24" s="414"/>
      <c r="SBZ24" s="414"/>
      <c r="SCA24" s="414"/>
      <c r="SCB24" s="414"/>
      <c r="SCC24" s="414"/>
      <c r="SCD24" s="414"/>
      <c r="SCE24" s="414"/>
      <c r="SCF24" s="414"/>
      <c r="SCG24" s="414"/>
      <c r="SCH24" s="414"/>
      <c r="SCI24" s="414"/>
      <c r="SCJ24" s="414"/>
      <c r="SCK24" s="414"/>
      <c r="SCL24" s="414"/>
      <c r="SCM24" s="414"/>
      <c r="SCN24" s="414"/>
      <c r="SCO24" s="414"/>
      <c r="SCP24" s="414"/>
      <c r="SCQ24" s="414"/>
      <c r="SCR24" s="414"/>
      <c r="SCS24" s="414"/>
      <c r="SCT24" s="414"/>
      <c r="SCU24" s="414"/>
      <c r="SCV24" s="414"/>
      <c r="SCW24" s="414"/>
      <c r="SCX24" s="414"/>
      <c r="SCY24" s="414"/>
      <c r="SCZ24" s="414"/>
      <c r="SDA24" s="414"/>
      <c r="SDB24" s="414"/>
      <c r="SDC24" s="414"/>
      <c r="SDD24" s="414"/>
      <c r="SDE24" s="414"/>
      <c r="SDF24" s="414"/>
      <c r="SDG24" s="414"/>
      <c r="SDH24" s="414"/>
      <c r="SDI24" s="414"/>
      <c r="SDJ24" s="414"/>
      <c r="SDK24" s="414"/>
      <c r="SDL24" s="414"/>
      <c r="SDM24" s="414"/>
      <c r="SDN24" s="414"/>
      <c r="SDO24" s="414"/>
      <c r="SDP24" s="414"/>
      <c r="SDQ24" s="414"/>
      <c r="SDR24" s="414"/>
      <c r="SDS24" s="414"/>
      <c r="SDT24" s="414"/>
      <c r="SDU24" s="414"/>
      <c r="SDV24" s="414"/>
      <c r="SDW24" s="414"/>
      <c r="SDX24" s="414"/>
      <c r="SDY24" s="414"/>
      <c r="SDZ24" s="414"/>
      <c r="SEA24" s="414"/>
      <c r="SEB24" s="414"/>
      <c r="SEC24" s="414"/>
      <c r="SED24" s="414"/>
      <c r="SEE24" s="414"/>
      <c r="SEF24" s="414"/>
      <c r="SEG24" s="414"/>
      <c r="SEH24" s="414"/>
      <c r="SEI24" s="414"/>
      <c r="SEJ24" s="414"/>
      <c r="SEK24" s="414"/>
      <c r="SEL24" s="414"/>
      <c r="SEM24" s="414"/>
      <c r="SEN24" s="414"/>
      <c r="SEO24" s="414"/>
      <c r="SEP24" s="414"/>
      <c r="SEQ24" s="414"/>
      <c r="SER24" s="414"/>
      <c r="SES24" s="414"/>
      <c r="SET24" s="414"/>
      <c r="SEU24" s="414"/>
      <c r="SEV24" s="414"/>
      <c r="SEW24" s="414"/>
      <c r="SEX24" s="414"/>
      <c r="SEY24" s="414"/>
      <c r="SEZ24" s="414"/>
      <c r="SFA24" s="414"/>
      <c r="SFB24" s="414"/>
      <c r="SFC24" s="414"/>
      <c r="SFD24" s="414"/>
      <c r="SFE24" s="414"/>
      <c r="SFF24" s="414"/>
      <c r="SFG24" s="414"/>
      <c r="SFH24" s="414"/>
      <c r="SFI24" s="414"/>
      <c r="SFJ24" s="414"/>
      <c r="SFK24" s="414"/>
      <c r="SFL24" s="414"/>
      <c r="SFM24" s="414"/>
      <c r="SFN24" s="414"/>
      <c r="SFO24" s="414"/>
      <c r="SFP24" s="414"/>
      <c r="SFQ24" s="414"/>
      <c r="SFR24" s="414"/>
      <c r="SFS24" s="414"/>
      <c r="SFT24" s="414"/>
      <c r="SFU24" s="414"/>
      <c r="SFV24" s="414"/>
      <c r="SFW24" s="414"/>
      <c r="SFX24" s="414"/>
      <c r="SFY24" s="414"/>
      <c r="SFZ24" s="414"/>
      <c r="SGA24" s="414"/>
      <c r="SGB24" s="414"/>
      <c r="SGC24" s="414"/>
      <c r="SGD24" s="414"/>
      <c r="SGE24" s="414"/>
      <c r="SGF24" s="414"/>
      <c r="SGG24" s="414"/>
      <c r="SGH24" s="414"/>
      <c r="SGI24" s="414"/>
      <c r="SGJ24" s="414"/>
      <c r="SGK24" s="414"/>
      <c r="SGL24" s="414"/>
      <c r="SGM24" s="414"/>
      <c r="SGN24" s="414"/>
      <c r="SGO24" s="414"/>
      <c r="SGP24" s="414"/>
      <c r="SGQ24" s="414"/>
      <c r="SGR24" s="414"/>
      <c r="SGS24" s="414"/>
      <c r="SGT24" s="414"/>
      <c r="SGU24" s="414"/>
      <c r="SGV24" s="414"/>
      <c r="SGW24" s="414"/>
      <c r="SGX24" s="414"/>
      <c r="SGY24" s="414"/>
      <c r="SGZ24" s="414"/>
      <c r="SHA24" s="414"/>
      <c r="SHB24" s="414"/>
      <c r="SHC24" s="414"/>
      <c r="SHD24" s="414"/>
      <c r="SHE24" s="414"/>
      <c r="SHF24" s="414"/>
      <c r="SHG24" s="414"/>
      <c r="SHH24" s="414"/>
      <c r="SHI24" s="414"/>
      <c r="SHJ24" s="414"/>
      <c r="SHK24" s="414"/>
      <c r="SHL24" s="414"/>
      <c r="SHM24" s="414"/>
      <c r="SHN24" s="414"/>
      <c r="SHO24" s="414"/>
      <c r="SHP24" s="414"/>
      <c r="SHQ24" s="414"/>
      <c r="SHR24" s="414"/>
      <c r="SHS24" s="414"/>
      <c r="SHT24" s="414"/>
      <c r="SHU24" s="414"/>
      <c r="SHV24" s="414"/>
      <c r="SHW24" s="414"/>
      <c r="SHX24" s="414"/>
      <c r="SHY24" s="414"/>
      <c r="SHZ24" s="414"/>
      <c r="SIA24" s="414"/>
      <c r="SIB24" s="414"/>
      <c r="SIC24" s="414"/>
      <c r="SID24" s="414"/>
      <c r="SIE24" s="414"/>
      <c r="SIF24" s="414"/>
      <c r="SIG24" s="414"/>
      <c r="SIH24" s="414"/>
      <c r="SII24" s="414"/>
      <c r="SIJ24" s="414"/>
      <c r="SIK24" s="414"/>
      <c r="SIL24" s="414"/>
      <c r="SIM24" s="414"/>
      <c r="SIN24" s="414"/>
      <c r="SIO24" s="414"/>
      <c r="SIP24" s="414"/>
      <c r="SIQ24" s="414"/>
      <c r="SIR24" s="414"/>
      <c r="SIS24" s="414"/>
      <c r="SIT24" s="414"/>
      <c r="SIU24" s="414"/>
      <c r="SIV24" s="414"/>
      <c r="SIW24" s="414"/>
      <c r="SIX24" s="414"/>
      <c r="SIY24" s="414"/>
      <c r="SIZ24" s="414"/>
      <c r="SJA24" s="414"/>
      <c r="SJB24" s="414"/>
      <c r="SJC24" s="414"/>
      <c r="SJD24" s="414"/>
      <c r="SJE24" s="414"/>
      <c r="SJF24" s="414"/>
      <c r="SJG24" s="414"/>
      <c r="SJH24" s="414"/>
      <c r="SJI24" s="414"/>
      <c r="SJJ24" s="414"/>
      <c r="SJK24" s="414"/>
      <c r="SJL24" s="414"/>
      <c r="SJM24" s="414"/>
      <c r="SJN24" s="414"/>
      <c r="SJO24" s="414"/>
      <c r="SJP24" s="414"/>
      <c r="SJQ24" s="414"/>
      <c r="SJR24" s="414"/>
      <c r="SJS24" s="414"/>
      <c r="SJT24" s="414"/>
      <c r="SJU24" s="414"/>
      <c r="SJV24" s="414"/>
      <c r="SJW24" s="414"/>
      <c r="SJX24" s="414"/>
      <c r="SJY24" s="414"/>
      <c r="SJZ24" s="414"/>
      <c r="SKA24" s="414"/>
      <c r="SKB24" s="414"/>
      <c r="SKC24" s="414"/>
      <c r="SKD24" s="414"/>
      <c r="SKE24" s="414"/>
      <c r="SKF24" s="414"/>
      <c r="SKG24" s="414"/>
      <c r="SKH24" s="414"/>
      <c r="SKI24" s="414"/>
      <c r="SKJ24" s="414"/>
      <c r="SKK24" s="414"/>
      <c r="SKL24" s="414"/>
      <c r="SKM24" s="414"/>
      <c r="SKN24" s="414"/>
      <c r="SKO24" s="414"/>
      <c r="SKP24" s="414"/>
      <c r="SKQ24" s="414"/>
      <c r="SKR24" s="414"/>
      <c r="SKS24" s="414"/>
      <c r="SKT24" s="414"/>
      <c r="SKU24" s="414"/>
      <c r="SKV24" s="414"/>
      <c r="SKW24" s="414"/>
      <c r="SKX24" s="414"/>
      <c r="SKY24" s="414"/>
      <c r="SKZ24" s="414"/>
      <c r="SLA24" s="414"/>
      <c r="SLB24" s="414"/>
      <c r="SLC24" s="414"/>
      <c r="SLD24" s="414"/>
      <c r="SLE24" s="414"/>
      <c r="SLF24" s="414"/>
      <c r="SLG24" s="414"/>
      <c r="SLH24" s="414"/>
      <c r="SLI24" s="414"/>
      <c r="SLJ24" s="414"/>
      <c r="SLK24" s="414"/>
      <c r="SLL24" s="414"/>
      <c r="SLM24" s="414"/>
      <c r="SLN24" s="414"/>
      <c r="SLO24" s="414"/>
      <c r="SLP24" s="414"/>
      <c r="SLQ24" s="414"/>
      <c r="SLR24" s="414"/>
      <c r="SLS24" s="414"/>
      <c r="SLT24" s="414"/>
      <c r="SLU24" s="414"/>
      <c r="SLV24" s="414"/>
      <c r="SLW24" s="414"/>
      <c r="SLX24" s="414"/>
      <c r="SLY24" s="414"/>
      <c r="SLZ24" s="414"/>
      <c r="SMA24" s="414"/>
      <c r="SMB24" s="414"/>
      <c r="SMC24" s="414"/>
      <c r="SMD24" s="414"/>
      <c r="SME24" s="414"/>
      <c r="SMF24" s="414"/>
      <c r="SMG24" s="414"/>
      <c r="SMH24" s="414"/>
      <c r="SMI24" s="414"/>
      <c r="SMJ24" s="414"/>
      <c r="SMK24" s="414"/>
      <c r="SML24" s="414"/>
      <c r="SMM24" s="414"/>
      <c r="SMN24" s="414"/>
      <c r="SMO24" s="414"/>
      <c r="SMP24" s="414"/>
      <c r="SMQ24" s="414"/>
      <c r="SMR24" s="414"/>
      <c r="SMS24" s="414"/>
      <c r="SMT24" s="414"/>
      <c r="SMU24" s="414"/>
      <c r="SMV24" s="414"/>
      <c r="SMW24" s="414"/>
      <c r="SMX24" s="414"/>
      <c r="SMY24" s="414"/>
      <c r="SMZ24" s="414"/>
      <c r="SNA24" s="414"/>
      <c r="SNB24" s="414"/>
      <c r="SNC24" s="414"/>
      <c r="SND24" s="414"/>
      <c r="SNE24" s="414"/>
      <c r="SNF24" s="414"/>
      <c r="SNG24" s="414"/>
      <c r="SNH24" s="414"/>
      <c r="SNI24" s="414"/>
      <c r="SNJ24" s="414"/>
      <c r="SNK24" s="414"/>
      <c r="SNL24" s="414"/>
      <c r="SNM24" s="414"/>
      <c r="SNN24" s="414"/>
      <c r="SNO24" s="414"/>
      <c r="SNP24" s="414"/>
      <c r="SNQ24" s="414"/>
      <c r="SNR24" s="414"/>
      <c r="SNS24" s="414"/>
      <c r="SNT24" s="414"/>
      <c r="SNU24" s="414"/>
      <c r="SNV24" s="414"/>
      <c r="SNW24" s="414"/>
      <c r="SNX24" s="414"/>
      <c r="SNY24" s="414"/>
      <c r="SNZ24" s="414"/>
      <c r="SOA24" s="414"/>
      <c r="SOB24" s="414"/>
      <c r="SOC24" s="414"/>
      <c r="SOD24" s="414"/>
      <c r="SOE24" s="414"/>
      <c r="SOF24" s="414"/>
      <c r="SOG24" s="414"/>
      <c r="SOH24" s="414"/>
      <c r="SOI24" s="414"/>
      <c r="SOJ24" s="414"/>
      <c r="SOK24" s="414"/>
      <c r="SOL24" s="414"/>
      <c r="SOM24" s="414"/>
      <c r="SON24" s="414"/>
      <c r="SOO24" s="414"/>
      <c r="SOP24" s="414"/>
      <c r="SOQ24" s="414"/>
      <c r="SOR24" s="414"/>
      <c r="SOS24" s="414"/>
      <c r="SOT24" s="414"/>
      <c r="SOU24" s="414"/>
      <c r="SOV24" s="414"/>
      <c r="SOW24" s="414"/>
      <c r="SOX24" s="414"/>
      <c r="SOY24" s="414"/>
      <c r="SOZ24" s="414"/>
      <c r="SPA24" s="414"/>
      <c r="SPB24" s="414"/>
      <c r="SPC24" s="414"/>
      <c r="SPD24" s="414"/>
      <c r="SPE24" s="414"/>
      <c r="SPF24" s="414"/>
      <c r="SPG24" s="414"/>
      <c r="SPH24" s="414"/>
      <c r="SPI24" s="414"/>
      <c r="SPJ24" s="414"/>
      <c r="SPK24" s="414"/>
      <c r="SPL24" s="414"/>
      <c r="SPM24" s="414"/>
      <c r="SPN24" s="414"/>
      <c r="SPO24" s="414"/>
      <c r="SPP24" s="414"/>
      <c r="SPQ24" s="414"/>
      <c r="SPR24" s="414"/>
      <c r="SPS24" s="414"/>
      <c r="SPT24" s="414"/>
      <c r="SPU24" s="414"/>
      <c r="SPV24" s="414"/>
      <c r="SPW24" s="414"/>
      <c r="SPX24" s="414"/>
      <c r="SPY24" s="414"/>
      <c r="SPZ24" s="414"/>
      <c r="SQA24" s="414"/>
      <c r="SQB24" s="414"/>
      <c r="SQC24" s="414"/>
      <c r="SQD24" s="414"/>
      <c r="SQE24" s="414"/>
      <c r="SQF24" s="414"/>
      <c r="SQG24" s="414"/>
      <c r="SQH24" s="414"/>
      <c r="SQI24" s="414"/>
      <c r="SQJ24" s="414"/>
      <c r="SQK24" s="414"/>
      <c r="SQL24" s="414"/>
      <c r="SQM24" s="414"/>
      <c r="SQN24" s="414"/>
      <c r="SQO24" s="414"/>
      <c r="SQP24" s="414"/>
      <c r="SQQ24" s="414"/>
      <c r="SQR24" s="414"/>
      <c r="SQS24" s="414"/>
      <c r="SQT24" s="414"/>
      <c r="SQU24" s="414"/>
      <c r="SQV24" s="414"/>
      <c r="SQW24" s="414"/>
      <c r="SQX24" s="414"/>
      <c r="SQY24" s="414"/>
      <c r="SQZ24" s="414"/>
      <c r="SRA24" s="414"/>
      <c r="SRB24" s="414"/>
      <c r="SRC24" s="414"/>
      <c r="SRD24" s="414"/>
      <c r="SRE24" s="414"/>
      <c r="SRF24" s="414"/>
      <c r="SRG24" s="414"/>
      <c r="SRH24" s="414"/>
      <c r="SRI24" s="414"/>
      <c r="SRJ24" s="414"/>
      <c r="SRK24" s="414"/>
      <c r="SRL24" s="414"/>
      <c r="SRM24" s="414"/>
      <c r="SRN24" s="414"/>
      <c r="SRO24" s="414"/>
      <c r="SRP24" s="414"/>
      <c r="SRQ24" s="414"/>
      <c r="SRR24" s="414"/>
      <c r="SRS24" s="414"/>
      <c r="SRT24" s="414"/>
      <c r="SRU24" s="414"/>
      <c r="SRV24" s="414"/>
      <c r="SRW24" s="414"/>
      <c r="SRX24" s="414"/>
      <c r="SRY24" s="414"/>
      <c r="SRZ24" s="414"/>
      <c r="SSA24" s="414"/>
      <c r="SSB24" s="414"/>
      <c r="SSC24" s="414"/>
      <c r="SSD24" s="414"/>
      <c r="SSE24" s="414"/>
      <c r="SSF24" s="414"/>
      <c r="SSG24" s="414"/>
      <c r="SSH24" s="414"/>
      <c r="SSI24" s="414"/>
      <c r="SSJ24" s="414"/>
      <c r="SSK24" s="414"/>
      <c r="SSL24" s="414"/>
      <c r="SSM24" s="414"/>
      <c r="SSN24" s="414"/>
      <c r="SSO24" s="414"/>
      <c r="SSP24" s="414"/>
      <c r="SSQ24" s="414"/>
      <c r="SSR24" s="414"/>
      <c r="SSS24" s="414"/>
      <c r="SST24" s="414"/>
      <c r="SSU24" s="414"/>
      <c r="SSV24" s="414"/>
      <c r="SSW24" s="414"/>
      <c r="SSX24" s="414"/>
      <c r="SSY24" s="414"/>
      <c r="SSZ24" s="414"/>
      <c r="STA24" s="414"/>
      <c r="STB24" s="414"/>
      <c r="STC24" s="414"/>
      <c r="STD24" s="414"/>
      <c r="STE24" s="414"/>
      <c r="STF24" s="414"/>
      <c r="STG24" s="414"/>
      <c r="STH24" s="414"/>
      <c r="STI24" s="414"/>
      <c r="STJ24" s="414"/>
      <c r="STK24" s="414"/>
      <c r="STL24" s="414"/>
      <c r="STM24" s="414"/>
      <c r="STN24" s="414"/>
      <c r="STO24" s="414"/>
      <c r="STP24" s="414"/>
      <c r="STQ24" s="414"/>
      <c r="STR24" s="414"/>
      <c r="STS24" s="414"/>
      <c r="STT24" s="414"/>
      <c r="STU24" s="414"/>
      <c r="STV24" s="414"/>
      <c r="STW24" s="414"/>
      <c r="STX24" s="414"/>
      <c r="STY24" s="414"/>
      <c r="STZ24" s="414"/>
      <c r="SUA24" s="414"/>
      <c r="SUB24" s="414"/>
      <c r="SUC24" s="414"/>
      <c r="SUD24" s="414"/>
      <c r="SUE24" s="414"/>
      <c r="SUF24" s="414"/>
      <c r="SUG24" s="414"/>
      <c r="SUH24" s="414"/>
      <c r="SUI24" s="414"/>
      <c r="SUJ24" s="414"/>
      <c r="SUK24" s="414"/>
      <c r="SUL24" s="414"/>
      <c r="SUM24" s="414"/>
      <c r="SUN24" s="414"/>
      <c r="SUO24" s="414"/>
      <c r="SUP24" s="414"/>
      <c r="SUQ24" s="414"/>
      <c r="SUR24" s="414"/>
      <c r="SUS24" s="414"/>
      <c r="SUT24" s="414"/>
      <c r="SUU24" s="414"/>
      <c r="SUV24" s="414"/>
      <c r="SUW24" s="414"/>
      <c r="SUX24" s="414"/>
      <c r="SUY24" s="414"/>
      <c r="SUZ24" s="414"/>
      <c r="SVA24" s="414"/>
      <c r="SVB24" s="414"/>
      <c r="SVC24" s="414"/>
      <c r="SVD24" s="414"/>
      <c r="SVE24" s="414"/>
      <c r="SVF24" s="414"/>
      <c r="SVG24" s="414"/>
      <c r="SVH24" s="414"/>
      <c r="SVI24" s="414"/>
      <c r="SVJ24" s="414"/>
      <c r="SVK24" s="414"/>
      <c r="SVL24" s="414"/>
      <c r="SVM24" s="414"/>
      <c r="SVN24" s="414"/>
      <c r="SVO24" s="414"/>
      <c r="SVP24" s="414"/>
      <c r="SVQ24" s="414"/>
      <c r="SVR24" s="414"/>
      <c r="SVS24" s="414"/>
      <c r="SVT24" s="414"/>
      <c r="SVU24" s="414"/>
      <c r="SVV24" s="414"/>
      <c r="SVW24" s="414"/>
      <c r="SVX24" s="414"/>
      <c r="SVY24" s="414"/>
      <c r="SVZ24" s="414"/>
      <c r="SWA24" s="414"/>
      <c r="SWB24" s="414"/>
      <c r="SWC24" s="414"/>
      <c r="SWD24" s="414"/>
      <c r="SWE24" s="414"/>
      <c r="SWF24" s="414"/>
      <c r="SWG24" s="414"/>
      <c r="SWH24" s="414"/>
      <c r="SWI24" s="414"/>
      <c r="SWJ24" s="414"/>
      <c r="SWK24" s="414"/>
      <c r="SWL24" s="414"/>
      <c r="SWM24" s="414"/>
      <c r="SWN24" s="414"/>
      <c r="SWO24" s="414"/>
      <c r="SWP24" s="414"/>
      <c r="SWQ24" s="414"/>
      <c r="SWR24" s="414"/>
      <c r="SWS24" s="414"/>
      <c r="SWT24" s="414"/>
      <c r="SWU24" s="414"/>
      <c r="SWV24" s="414"/>
      <c r="SWW24" s="414"/>
      <c r="SWX24" s="414"/>
      <c r="SWY24" s="414"/>
      <c r="SWZ24" s="414"/>
      <c r="SXA24" s="414"/>
      <c r="SXB24" s="414"/>
      <c r="SXC24" s="414"/>
      <c r="SXD24" s="414"/>
      <c r="SXE24" s="414"/>
      <c r="SXF24" s="414"/>
      <c r="SXG24" s="414"/>
      <c r="SXH24" s="414"/>
      <c r="SXI24" s="414"/>
      <c r="SXJ24" s="414"/>
      <c r="SXK24" s="414"/>
      <c r="SXL24" s="414"/>
      <c r="SXM24" s="414"/>
      <c r="SXN24" s="414"/>
      <c r="SXO24" s="414"/>
      <c r="SXP24" s="414"/>
      <c r="SXQ24" s="414"/>
      <c r="SXR24" s="414"/>
      <c r="SXS24" s="414"/>
      <c r="SXT24" s="414"/>
      <c r="SXU24" s="414"/>
      <c r="SXV24" s="414"/>
      <c r="SXW24" s="414"/>
      <c r="SXX24" s="414"/>
      <c r="SXY24" s="414"/>
      <c r="SXZ24" s="414"/>
      <c r="SYA24" s="414"/>
      <c r="SYB24" s="414"/>
      <c r="SYC24" s="414"/>
      <c r="SYD24" s="414"/>
      <c r="SYE24" s="414"/>
      <c r="SYF24" s="414"/>
      <c r="SYG24" s="414"/>
      <c r="SYH24" s="414"/>
      <c r="SYI24" s="414"/>
      <c r="SYJ24" s="414"/>
      <c r="SYK24" s="414"/>
      <c r="SYL24" s="414"/>
      <c r="SYM24" s="414"/>
      <c r="SYN24" s="414"/>
      <c r="SYO24" s="414"/>
      <c r="SYP24" s="414"/>
      <c r="SYQ24" s="414"/>
      <c r="SYR24" s="414"/>
      <c r="SYS24" s="414"/>
      <c r="SYT24" s="414"/>
      <c r="SYU24" s="414"/>
      <c r="SYV24" s="414"/>
      <c r="SYW24" s="414"/>
      <c r="SYX24" s="414"/>
      <c r="SYY24" s="414"/>
      <c r="SYZ24" s="414"/>
      <c r="SZA24" s="414"/>
      <c r="SZB24" s="414"/>
      <c r="SZC24" s="414"/>
      <c r="SZD24" s="414"/>
      <c r="SZE24" s="414"/>
      <c r="SZF24" s="414"/>
      <c r="SZG24" s="414"/>
      <c r="SZH24" s="414"/>
      <c r="SZI24" s="414"/>
      <c r="SZJ24" s="414"/>
      <c r="SZK24" s="414"/>
      <c r="SZL24" s="414"/>
      <c r="SZM24" s="414"/>
      <c r="SZN24" s="414"/>
      <c r="SZO24" s="414"/>
      <c r="SZP24" s="414"/>
      <c r="SZQ24" s="414"/>
      <c r="SZR24" s="414"/>
      <c r="SZS24" s="414"/>
      <c r="SZT24" s="414"/>
      <c r="SZU24" s="414"/>
      <c r="SZV24" s="414"/>
      <c r="SZW24" s="414"/>
      <c r="SZX24" s="414"/>
      <c r="SZY24" s="414"/>
      <c r="SZZ24" s="414"/>
      <c r="TAA24" s="414"/>
      <c r="TAB24" s="414"/>
      <c r="TAC24" s="414"/>
      <c r="TAD24" s="414"/>
      <c r="TAE24" s="414"/>
      <c r="TAF24" s="414"/>
      <c r="TAG24" s="414"/>
      <c r="TAH24" s="414"/>
      <c r="TAI24" s="414"/>
      <c r="TAJ24" s="414"/>
      <c r="TAK24" s="414"/>
      <c r="TAL24" s="414"/>
      <c r="TAM24" s="414"/>
      <c r="TAN24" s="414"/>
      <c r="TAO24" s="414"/>
      <c r="TAP24" s="414"/>
      <c r="TAQ24" s="414"/>
      <c r="TAR24" s="414"/>
      <c r="TAS24" s="414"/>
      <c r="TAT24" s="414"/>
      <c r="TAU24" s="414"/>
      <c r="TAV24" s="414"/>
      <c r="TAW24" s="414"/>
      <c r="TAX24" s="414"/>
      <c r="TAY24" s="414"/>
      <c r="TAZ24" s="414"/>
      <c r="TBA24" s="414"/>
      <c r="TBB24" s="414"/>
      <c r="TBC24" s="414"/>
      <c r="TBD24" s="414"/>
      <c r="TBE24" s="414"/>
      <c r="TBF24" s="414"/>
      <c r="TBG24" s="414"/>
      <c r="TBH24" s="414"/>
      <c r="TBI24" s="414"/>
      <c r="TBJ24" s="414"/>
      <c r="TBK24" s="414"/>
      <c r="TBL24" s="414"/>
      <c r="TBM24" s="414"/>
      <c r="TBN24" s="414"/>
      <c r="TBO24" s="414"/>
      <c r="TBP24" s="414"/>
      <c r="TBQ24" s="414"/>
      <c r="TBR24" s="414"/>
      <c r="TBS24" s="414"/>
      <c r="TBT24" s="414"/>
      <c r="TBU24" s="414"/>
      <c r="TBV24" s="414"/>
      <c r="TBW24" s="414"/>
      <c r="TBX24" s="414"/>
      <c r="TBY24" s="414"/>
      <c r="TBZ24" s="414"/>
      <c r="TCA24" s="414"/>
      <c r="TCB24" s="414"/>
      <c r="TCC24" s="414"/>
      <c r="TCD24" s="414"/>
      <c r="TCE24" s="414"/>
      <c r="TCF24" s="414"/>
      <c r="TCG24" s="414"/>
      <c r="TCH24" s="414"/>
      <c r="TCI24" s="414"/>
      <c r="TCJ24" s="414"/>
      <c r="TCK24" s="414"/>
      <c r="TCL24" s="414"/>
      <c r="TCM24" s="414"/>
      <c r="TCN24" s="414"/>
      <c r="TCO24" s="414"/>
      <c r="TCP24" s="414"/>
      <c r="TCQ24" s="414"/>
      <c r="TCR24" s="414"/>
      <c r="TCS24" s="414"/>
      <c r="TCT24" s="414"/>
      <c r="TCU24" s="414"/>
      <c r="TCV24" s="414"/>
      <c r="TCW24" s="414"/>
      <c r="TCX24" s="414"/>
      <c r="TCY24" s="414"/>
      <c r="TCZ24" s="414"/>
      <c r="TDA24" s="414"/>
      <c r="TDB24" s="414"/>
      <c r="TDC24" s="414"/>
      <c r="TDD24" s="414"/>
      <c r="TDE24" s="414"/>
      <c r="TDF24" s="414"/>
      <c r="TDG24" s="414"/>
      <c r="TDH24" s="414"/>
      <c r="TDI24" s="414"/>
      <c r="TDJ24" s="414"/>
      <c r="TDK24" s="414"/>
      <c r="TDL24" s="414"/>
      <c r="TDM24" s="414"/>
      <c r="TDN24" s="414"/>
      <c r="TDO24" s="414"/>
      <c r="TDP24" s="414"/>
      <c r="TDQ24" s="414"/>
      <c r="TDR24" s="414"/>
      <c r="TDS24" s="414"/>
      <c r="TDT24" s="414"/>
      <c r="TDU24" s="414"/>
      <c r="TDV24" s="414"/>
      <c r="TDW24" s="414"/>
      <c r="TDX24" s="414"/>
      <c r="TDY24" s="414"/>
      <c r="TDZ24" s="414"/>
      <c r="TEA24" s="414"/>
      <c r="TEB24" s="414"/>
      <c r="TEC24" s="414"/>
      <c r="TED24" s="414"/>
      <c r="TEE24" s="414"/>
      <c r="TEF24" s="414"/>
      <c r="TEG24" s="414"/>
      <c r="TEH24" s="414"/>
      <c r="TEI24" s="414"/>
      <c r="TEJ24" s="414"/>
      <c r="TEK24" s="414"/>
      <c r="TEL24" s="414"/>
      <c r="TEM24" s="414"/>
      <c r="TEN24" s="414"/>
      <c r="TEO24" s="414"/>
      <c r="TEP24" s="414"/>
      <c r="TEQ24" s="414"/>
      <c r="TER24" s="414"/>
      <c r="TES24" s="414"/>
      <c r="TET24" s="414"/>
      <c r="TEU24" s="414"/>
      <c r="TEV24" s="414"/>
      <c r="TEW24" s="414"/>
      <c r="TEX24" s="414"/>
      <c r="TEY24" s="414"/>
      <c r="TEZ24" s="414"/>
      <c r="TFA24" s="414"/>
      <c r="TFB24" s="414"/>
      <c r="TFC24" s="414"/>
      <c r="TFD24" s="414"/>
      <c r="TFE24" s="414"/>
      <c r="TFF24" s="414"/>
      <c r="TFG24" s="414"/>
      <c r="TFH24" s="414"/>
      <c r="TFI24" s="414"/>
      <c r="TFJ24" s="414"/>
      <c r="TFK24" s="414"/>
      <c r="TFL24" s="414"/>
      <c r="TFM24" s="414"/>
      <c r="TFN24" s="414"/>
      <c r="TFO24" s="414"/>
      <c r="TFP24" s="414"/>
      <c r="TFQ24" s="414"/>
      <c r="TFR24" s="414"/>
      <c r="TFS24" s="414"/>
      <c r="TFT24" s="414"/>
      <c r="TFU24" s="414"/>
      <c r="TFV24" s="414"/>
      <c r="TFW24" s="414"/>
      <c r="TFX24" s="414"/>
      <c r="TFY24" s="414"/>
      <c r="TFZ24" s="414"/>
      <c r="TGA24" s="414"/>
      <c r="TGB24" s="414"/>
      <c r="TGC24" s="414"/>
      <c r="TGD24" s="414"/>
      <c r="TGE24" s="414"/>
      <c r="TGF24" s="414"/>
      <c r="TGG24" s="414"/>
      <c r="TGH24" s="414"/>
      <c r="TGI24" s="414"/>
      <c r="TGJ24" s="414"/>
      <c r="TGK24" s="414"/>
      <c r="TGL24" s="414"/>
      <c r="TGM24" s="414"/>
      <c r="TGN24" s="414"/>
      <c r="TGO24" s="414"/>
      <c r="TGP24" s="414"/>
      <c r="TGQ24" s="414"/>
      <c r="TGR24" s="414"/>
      <c r="TGS24" s="414"/>
      <c r="TGT24" s="414"/>
      <c r="TGU24" s="414"/>
      <c r="TGV24" s="414"/>
      <c r="TGW24" s="414"/>
      <c r="TGX24" s="414"/>
      <c r="TGY24" s="414"/>
      <c r="TGZ24" s="414"/>
      <c r="THA24" s="414"/>
      <c r="THB24" s="414"/>
      <c r="THC24" s="414"/>
      <c r="THD24" s="414"/>
      <c r="THE24" s="414"/>
      <c r="THF24" s="414"/>
      <c r="THG24" s="414"/>
      <c r="THH24" s="414"/>
      <c r="THI24" s="414"/>
      <c r="THJ24" s="414"/>
      <c r="THK24" s="414"/>
      <c r="THL24" s="414"/>
      <c r="THM24" s="414"/>
      <c r="THN24" s="414"/>
      <c r="THO24" s="414"/>
      <c r="THP24" s="414"/>
      <c r="THQ24" s="414"/>
      <c r="THR24" s="414"/>
      <c r="THS24" s="414"/>
      <c r="THT24" s="414"/>
      <c r="THU24" s="414"/>
      <c r="THV24" s="414"/>
      <c r="THW24" s="414"/>
      <c r="THX24" s="414"/>
      <c r="THY24" s="414"/>
      <c r="THZ24" s="414"/>
      <c r="TIA24" s="414"/>
      <c r="TIB24" s="414"/>
      <c r="TIC24" s="414"/>
      <c r="TID24" s="414"/>
      <c r="TIE24" s="414"/>
      <c r="TIF24" s="414"/>
      <c r="TIG24" s="414"/>
      <c r="TIH24" s="414"/>
      <c r="TII24" s="414"/>
      <c r="TIJ24" s="414"/>
      <c r="TIK24" s="414"/>
      <c r="TIL24" s="414"/>
      <c r="TIM24" s="414"/>
      <c r="TIN24" s="414"/>
      <c r="TIO24" s="414"/>
      <c r="TIP24" s="414"/>
      <c r="TIQ24" s="414"/>
      <c r="TIR24" s="414"/>
      <c r="TIS24" s="414"/>
      <c r="TIT24" s="414"/>
      <c r="TIU24" s="414"/>
      <c r="TIV24" s="414"/>
      <c r="TIW24" s="414"/>
      <c r="TIX24" s="414"/>
      <c r="TIY24" s="414"/>
      <c r="TIZ24" s="414"/>
      <c r="TJA24" s="414"/>
      <c r="TJB24" s="414"/>
      <c r="TJC24" s="414"/>
      <c r="TJD24" s="414"/>
      <c r="TJE24" s="414"/>
      <c r="TJF24" s="414"/>
      <c r="TJG24" s="414"/>
      <c r="TJH24" s="414"/>
      <c r="TJI24" s="414"/>
      <c r="TJJ24" s="414"/>
      <c r="TJK24" s="414"/>
      <c r="TJL24" s="414"/>
      <c r="TJM24" s="414"/>
      <c r="TJN24" s="414"/>
      <c r="TJO24" s="414"/>
      <c r="TJP24" s="414"/>
      <c r="TJQ24" s="414"/>
      <c r="TJR24" s="414"/>
      <c r="TJS24" s="414"/>
      <c r="TJT24" s="414"/>
      <c r="TJU24" s="414"/>
      <c r="TJV24" s="414"/>
      <c r="TJW24" s="414"/>
      <c r="TJX24" s="414"/>
      <c r="TJY24" s="414"/>
      <c r="TJZ24" s="414"/>
      <c r="TKA24" s="414"/>
      <c r="TKB24" s="414"/>
      <c r="TKC24" s="414"/>
      <c r="TKD24" s="414"/>
      <c r="TKE24" s="414"/>
      <c r="TKF24" s="414"/>
      <c r="TKG24" s="414"/>
      <c r="TKH24" s="414"/>
      <c r="TKI24" s="414"/>
      <c r="TKJ24" s="414"/>
      <c r="TKK24" s="414"/>
      <c r="TKL24" s="414"/>
      <c r="TKM24" s="414"/>
      <c r="TKN24" s="414"/>
      <c r="TKO24" s="414"/>
      <c r="TKP24" s="414"/>
      <c r="TKQ24" s="414"/>
      <c r="TKR24" s="414"/>
      <c r="TKS24" s="414"/>
      <c r="TKT24" s="414"/>
      <c r="TKU24" s="414"/>
      <c r="TKV24" s="414"/>
      <c r="TKW24" s="414"/>
      <c r="TKX24" s="414"/>
      <c r="TKY24" s="414"/>
      <c r="TKZ24" s="414"/>
      <c r="TLA24" s="414"/>
      <c r="TLB24" s="414"/>
      <c r="TLC24" s="414"/>
      <c r="TLD24" s="414"/>
      <c r="TLE24" s="414"/>
      <c r="TLF24" s="414"/>
      <c r="TLG24" s="414"/>
      <c r="TLH24" s="414"/>
      <c r="TLI24" s="414"/>
      <c r="TLJ24" s="414"/>
      <c r="TLK24" s="414"/>
      <c r="TLL24" s="414"/>
      <c r="TLM24" s="414"/>
      <c r="TLN24" s="414"/>
      <c r="TLO24" s="414"/>
      <c r="TLP24" s="414"/>
      <c r="TLQ24" s="414"/>
      <c r="TLR24" s="414"/>
      <c r="TLS24" s="414"/>
      <c r="TLT24" s="414"/>
      <c r="TLU24" s="414"/>
      <c r="TLV24" s="414"/>
      <c r="TLW24" s="414"/>
      <c r="TLX24" s="414"/>
      <c r="TLY24" s="414"/>
      <c r="TLZ24" s="414"/>
      <c r="TMA24" s="414"/>
      <c r="TMB24" s="414"/>
      <c r="TMC24" s="414"/>
      <c r="TMD24" s="414"/>
      <c r="TME24" s="414"/>
      <c r="TMF24" s="414"/>
      <c r="TMG24" s="414"/>
      <c r="TMH24" s="414"/>
      <c r="TMI24" s="414"/>
      <c r="TMJ24" s="414"/>
      <c r="TMK24" s="414"/>
      <c r="TML24" s="414"/>
      <c r="TMM24" s="414"/>
      <c r="TMN24" s="414"/>
      <c r="TMO24" s="414"/>
      <c r="TMP24" s="414"/>
      <c r="TMQ24" s="414"/>
      <c r="TMR24" s="414"/>
      <c r="TMS24" s="414"/>
      <c r="TMT24" s="414"/>
      <c r="TMU24" s="414"/>
      <c r="TMV24" s="414"/>
      <c r="TMW24" s="414"/>
      <c r="TMX24" s="414"/>
      <c r="TMY24" s="414"/>
      <c r="TMZ24" s="414"/>
      <c r="TNA24" s="414"/>
      <c r="TNB24" s="414"/>
      <c r="TNC24" s="414"/>
      <c r="TND24" s="414"/>
      <c r="TNE24" s="414"/>
      <c r="TNF24" s="414"/>
      <c r="TNG24" s="414"/>
      <c r="TNH24" s="414"/>
      <c r="TNI24" s="414"/>
      <c r="TNJ24" s="414"/>
      <c r="TNK24" s="414"/>
      <c r="TNL24" s="414"/>
      <c r="TNM24" s="414"/>
      <c r="TNN24" s="414"/>
      <c r="TNO24" s="414"/>
      <c r="TNP24" s="414"/>
      <c r="TNQ24" s="414"/>
      <c r="TNR24" s="414"/>
      <c r="TNS24" s="414"/>
      <c r="TNT24" s="414"/>
      <c r="TNU24" s="414"/>
      <c r="TNV24" s="414"/>
      <c r="TNW24" s="414"/>
      <c r="TNX24" s="414"/>
      <c r="TNY24" s="414"/>
      <c r="TNZ24" s="414"/>
      <c r="TOA24" s="414"/>
      <c r="TOB24" s="414"/>
      <c r="TOC24" s="414"/>
      <c r="TOD24" s="414"/>
      <c r="TOE24" s="414"/>
      <c r="TOF24" s="414"/>
      <c r="TOG24" s="414"/>
      <c r="TOH24" s="414"/>
      <c r="TOI24" s="414"/>
      <c r="TOJ24" s="414"/>
      <c r="TOK24" s="414"/>
      <c r="TOL24" s="414"/>
      <c r="TOM24" s="414"/>
      <c r="TON24" s="414"/>
      <c r="TOO24" s="414"/>
      <c r="TOP24" s="414"/>
      <c r="TOQ24" s="414"/>
      <c r="TOR24" s="414"/>
      <c r="TOS24" s="414"/>
      <c r="TOT24" s="414"/>
      <c r="TOU24" s="414"/>
      <c r="TOV24" s="414"/>
      <c r="TOW24" s="414"/>
      <c r="TOX24" s="414"/>
      <c r="TOY24" s="414"/>
      <c r="TOZ24" s="414"/>
      <c r="TPA24" s="414"/>
      <c r="TPB24" s="414"/>
      <c r="TPC24" s="414"/>
      <c r="TPD24" s="414"/>
      <c r="TPE24" s="414"/>
      <c r="TPF24" s="414"/>
      <c r="TPG24" s="414"/>
      <c r="TPH24" s="414"/>
      <c r="TPI24" s="414"/>
      <c r="TPJ24" s="414"/>
      <c r="TPK24" s="414"/>
      <c r="TPL24" s="414"/>
      <c r="TPM24" s="414"/>
      <c r="TPN24" s="414"/>
      <c r="TPO24" s="414"/>
      <c r="TPP24" s="414"/>
      <c r="TPQ24" s="414"/>
      <c r="TPR24" s="414"/>
      <c r="TPS24" s="414"/>
      <c r="TPT24" s="414"/>
      <c r="TPU24" s="414"/>
      <c r="TPV24" s="414"/>
      <c r="TPW24" s="414"/>
      <c r="TPX24" s="414"/>
      <c r="TPY24" s="414"/>
      <c r="TPZ24" s="414"/>
      <c r="TQA24" s="414"/>
      <c r="TQB24" s="414"/>
      <c r="TQC24" s="414"/>
      <c r="TQD24" s="414"/>
      <c r="TQE24" s="414"/>
      <c r="TQF24" s="414"/>
      <c r="TQG24" s="414"/>
      <c r="TQH24" s="414"/>
      <c r="TQI24" s="414"/>
      <c r="TQJ24" s="414"/>
      <c r="TQK24" s="414"/>
      <c r="TQL24" s="414"/>
      <c r="TQM24" s="414"/>
      <c r="TQN24" s="414"/>
      <c r="TQO24" s="414"/>
      <c r="TQP24" s="414"/>
      <c r="TQQ24" s="414"/>
      <c r="TQR24" s="414"/>
      <c r="TQS24" s="414"/>
      <c r="TQT24" s="414"/>
      <c r="TQU24" s="414"/>
      <c r="TQV24" s="414"/>
      <c r="TQW24" s="414"/>
      <c r="TQX24" s="414"/>
      <c r="TQY24" s="414"/>
      <c r="TQZ24" s="414"/>
      <c r="TRA24" s="414"/>
      <c r="TRB24" s="414"/>
      <c r="TRC24" s="414"/>
      <c r="TRD24" s="414"/>
      <c r="TRE24" s="414"/>
      <c r="TRF24" s="414"/>
      <c r="TRG24" s="414"/>
      <c r="TRH24" s="414"/>
      <c r="TRI24" s="414"/>
      <c r="TRJ24" s="414"/>
      <c r="TRK24" s="414"/>
      <c r="TRL24" s="414"/>
      <c r="TRM24" s="414"/>
      <c r="TRN24" s="414"/>
      <c r="TRO24" s="414"/>
      <c r="TRP24" s="414"/>
      <c r="TRQ24" s="414"/>
      <c r="TRR24" s="414"/>
      <c r="TRS24" s="414"/>
      <c r="TRT24" s="414"/>
      <c r="TRU24" s="414"/>
      <c r="TRV24" s="414"/>
      <c r="TRW24" s="414"/>
      <c r="TRX24" s="414"/>
      <c r="TRY24" s="414"/>
      <c r="TRZ24" s="414"/>
      <c r="TSA24" s="414"/>
      <c r="TSB24" s="414"/>
      <c r="TSC24" s="414"/>
      <c r="TSD24" s="414"/>
      <c r="TSE24" s="414"/>
      <c r="TSF24" s="414"/>
      <c r="TSG24" s="414"/>
      <c r="TSH24" s="414"/>
      <c r="TSI24" s="414"/>
      <c r="TSJ24" s="414"/>
      <c r="TSK24" s="414"/>
      <c r="TSL24" s="414"/>
      <c r="TSM24" s="414"/>
      <c r="TSN24" s="414"/>
      <c r="TSO24" s="414"/>
      <c r="TSP24" s="414"/>
      <c r="TSQ24" s="414"/>
      <c r="TSR24" s="414"/>
      <c r="TSS24" s="414"/>
      <c r="TST24" s="414"/>
      <c r="TSU24" s="414"/>
      <c r="TSV24" s="414"/>
      <c r="TSW24" s="414"/>
      <c r="TSX24" s="414"/>
      <c r="TSY24" s="414"/>
      <c r="TSZ24" s="414"/>
      <c r="TTA24" s="414"/>
      <c r="TTB24" s="414"/>
      <c r="TTC24" s="414"/>
      <c r="TTD24" s="414"/>
      <c r="TTE24" s="414"/>
      <c r="TTF24" s="414"/>
      <c r="TTG24" s="414"/>
      <c r="TTH24" s="414"/>
      <c r="TTI24" s="414"/>
      <c r="TTJ24" s="414"/>
      <c r="TTK24" s="414"/>
      <c r="TTL24" s="414"/>
      <c r="TTM24" s="414"/>
      <c r="TTN24" s="414"/>
      <c r="TTO24" s="414"/>
      <c r="TTP24" s="414"/>
      <c r="TTQ24" s="414"/>
      <c r="TTR24" s="414"/>
      <c r="TTS24" s="414"/>
      <c r="TTT24" s="414"/>
      <c r="TTU24" s="414"/>
      <c r="TTV24" s="414"/>
      <c r="TTW24" s="414"/>
      <c r="TTX24" s="414"/>
      <c r="TTY24" s="414"/>
      <c r="TTZ24" s="414"/>
      <c r="TUA24" s="414"/>
      <c r="TUB24" s="414"/>
      <c r="TUC24" s="414"/>
      <c r="TUD24" s="414"/>
      <c r="TUE24" s="414"/>
      <c r="TUF24" s="414"/>
      <c r="TUG24" s="414"/>
      <c r="TUH24" s="414"/>
      <c r="TUI24" s="414"/>
      <c r="TUJ24" s="414"/>
      <c r="TUK24" s="414"/>
      <c r="TUL24" s="414"/>
      <c r="TUM24" s="414"/>
      <c r="TUN24" s="414"/>
      <c r="TUO24" s="414"/>
      <c r="TUP24" s="414"/>
      <c r="TUQ24" s="414"/>
      <c r="TUR24" s="414"/>
      <c r="TUS24" s="414"/>
      <c r="TUT24" s="414"/>
      <c r="TUU24" s="414"/>
      <c r="TUV24" s="414"/>
      <c r="TUW24" s="414"/>
      <c r="TUX24" s="414"/>
      <c r="TUY24" s="414"/>
      <c r="TUZ24" s="414"/>
      <c r="TVA24" s="414"/>
      <c r="TVB24" s="414"/>
      <c r="TVC24" s="414"/>
      <c r="TVD24" s="414"/>
      <c r="TVE24" s="414"/>
      <c r="TVF24" s="414"/>
      <c r="TVG24" s="414"/>
      <c r="TVH24" s="414"/>
      <c r="TVI24" s="414"/>
      <c r="TVJ24" s="414"/>
      <c r="TVK24" s="414"/>
      <c r="TVL24" s="414"/>
      <c r="TVM24" s="414"/>
      <c r="TVN24" s="414"/>
      <c r="TVO24" s="414"/>
      <c r="TVP24" s="414"/>
      <c r="TVQ24" s="414"/>
      <c r="TVR24" s="414"/>
      <c r="TVS24" s="414"/>
      <c r="TVT24" s="414"/>
      <c r="TVU24" s="414"/>
      <c r="TVV24" s="414"/>
      <c r="TVW24" s="414"/>
      <c r="TVX24" s="414"/>
      <c r="TVY24" s="414"/>
      <c r="TVZ24" s="414"/>
      <c r="TWA24" s="414"/>
      <c r="TWB24" s="414"/>
      <c r="TWC24" s="414"/>
      <c r="TWD24" s="414"/>
      <c r="TWE24" s="414"/>
      <c r="TWF24" s="414"/>
      <c r="TWG24" s="414"/>
      <c r="TWH24" s="414"/>
      <c r="TWI24" s="414"/>
      <c r="TWJ24" s="414"/>
      <c r="TWK24" s="414"/>
      <c r="TWL24" s="414"/>
      <c r="TWM24" s="414"/>
      <c r="TWN24" s="414"/>
      <c r="TWO24" s="414"/>
      <c r="TWP24" s="414"/>
      <c r="TWQ24" s="414"/>
      <c r="TWR24" s="414"/>
      <c r="TWS24" s="414"/>
      <c r="TWT24" s="414"/>
      <c r="TWU24" s="414"/>
      <c r="TWV24" s="414"/>
      <c r="TWW24" s="414"/>
      <c r="TWX24" s="414"/>
      <c r="TWY24" s="414"/>
      <c r="TWZ24" s="414"/>
      <c r="TXA24" s="414"/>
      <c r="TXB24" s="414"/>
      <c r="TXC24" s="414"/>
      <c r="TXD24" s="414"/>
      <c r="TXE24" s="414"/>
      <c r="TXF24" s="414"/>
      <c r="TXG24" s="414"/>
      <c r="TXH24" s="414"/>
      <c r="TXI24" s="414"/>
      <c r="TXJ24" s="414"/>
      <c r="TXK24" s="414"/>
      <c r="TXL24" s="414"/>
      <c r="TXM24" s="414"/>
      <c r="TXN24" s="414"/>
      <c r="TXO24" s="414"/>
      <c r="TXP24" s="414"/>
      <c r="TXQ24" s="414"/>
      <c r="TXR24" s="414"/>
      <c r="TXS24" s="414"/>
      <c r="TXT24" s="414"/>
      <c r="TXU24" s="414"/>
      <c r="TXV24" s="414"/>
      <c r="TXW24" s="414"/>
      <c r="TXX24" s="414"/>
      <c r="TXY24" s="414"/>
      <c r="TXZ24" s="414"/>
      <c r="TYA24" s="414"/>
      <c r="TYB24" s="414"/>
      <c r="TYC24" s="414"/>
      <c r="TYD24" s="414"/>
      <c r="TYE24" s="414"/>
      <c r="TYF24" s="414"/>
      <c r="TYG24" s="414"/>
      <c r="TYH24" s="414"/>
      <c r="TYI24" s="414"/>
      <c r="TYJ24" s="414"/>
      <c r="TYK24" s="414"/>
      <c r="TYL24" s="414"/>
      <c r="TYM24" s="414"/>
      <c r="TYN24" s="414"/>
      <c r="TYO24" s="414"/>
      <c r="TYP24" s="414"/>
      <c r="TYQ24" s="414"/>
      <c r="TYR24" s="414"/>
      <c r="TYS24" s="414"/>
      <c r="TYT24" s="414"/>
      <c r="TYU24" s="414"/>
      <c r="TYV24" s="414"/>
      <c r="TYW24" s="414"/>
      <c r="TYX24" s="414"/>
      <c r="TYY24" s="414"/>
      <c r="TYZ24" s="414"/>
      <c r="TZA24" s="414"/>
      <c r="TZB24" s="414"/>
      <c r="TZC24" s="414"/>
      <c r="TZD24" s="414"/>
      <c r="TZE24" s="414"/>
      <c r="TZF24" s="414"/>
      <c r="TZG24" s="414"/>
      <c r="TZH24" s="414"/>
      <c r="TZI24" s="414"/>
      <c r="TZJ24" s="414"/>
      <c r="TZK24" s="414"/>
      <c r="TZL24" s="414"/>
      <c r="TZM24" s="414"/>
      <c r="TZN24" s="414"/>
      <c r="TZO24" s="414"/>
      <c r="TZP24" s="414"/>
      <c r="TZQ24" s="414"/>
      <c r="TZR24" s="414"/>
      <c r="TZS24" s="414"/>
      <c r="TZT24" s="414"/>
      <c r="TZU24" s="414"/>
      <c r="TZV24" s="414"/>
      <c r="TZW24" s="414"/>
      <c r="TZX24" s="414"/>
      <c r="TZY24" s="414"/>
      <c r="TZZ24" s="414"/>
      <c r="UAA24" s="414"/>
      <c r="UAB24" s="414"/>
      <c r="UAC24" s="414"/>
      <c r="UAD24" s="414"/>
      <c r="UAE24" s="414"/>
      <c r="UAF24" s="414"/>
      <c r="UAG24" s="414"/>
      <c r="UAH24" s="414"/>
      <c r="UAI24" s="414"/>
      <c r="UAJ24" s="414"/>
      <c r="UAK24" s="414"/>
      <c r="UAL24" s="414"/>
      <c r="UAM24" s="414"/>
      <c r="UAN24" s="414"/>
      <c r="UAO24" s="414"/>
      <c r="UAP24" s="414"/>
      <c r="UAQ24" s="414"/>
      <c r="UAR24" s="414"/>
      <c r="UAS24" s="414"/>
      <c r="UAT24" s="414"/>
      <c r="UAU24" s="414"/>
      <c r="UAV24" s="414"/>
      <c r="UAW24" s="414"/>
      <c r="UAX24" s="414"/>
      <c r="UAY24" s="414"/>
      <c r="UAZ24" s="414"/>
      <c r="UBA24" s="414"/>
      <c r="UBB24" s="414"/>
      <c r="UBC24" s="414"/>
      <c r="UBD24" s="414"/>
      <c r="UBE24" s="414"/>
      <c r="UBF24" s="414"/>
      <c r="UBG24" s="414"/>
      <c r="UBH24" s="414"/>
      <c r="UBI24" s="414"/>
      <c r="UBJ24" s="414"/>
      <c r="UBK24" s="414"/>
      <c r="UBL24" s="414"/>
      <c r="UBM24" s="414"/>
      <c r="UBN24" s="414"/>
      <c r="UBO24" s="414"/>
      <c r="UBP24" s="414"/>
      <c r="UBQ24" s="414"/>
      <c r="UBR24" s="414"/>
      <c r="UBS24" s="414"/>
      <c r="UBT24" s="414"/>
      <c r="UBU24" s="414"/>
      <c r="UBV24" s="414"/>
      <c r="UBW24" s="414"/>
      <c r="UBX24" s="414"/>
      <c r="UBY24" s="414"/>
      <c r="UBZ24" s="414"/>
      <c r="UCA24" s="414"/>
      <c r="UCB24" s="414"/>
      <c r="UCC24" s="414"/>
      <c r="UCD24" s="414"/>
      <c r="UCE24" s="414"/>
      <c r="UCF24" s="414"/>
      <c r="UCG24" s="414"/>
      <c r="UCH24" s="414"/>
      <c r="UCI24" s="414"/>
      <c r="UCJ24" s="414"/>
      <c r="UCK24" s="414"/>
      <c r="UCL24" s="414"/>
      <c r="UCM24" s="414"/>
      <c r="UCN24" s="414"/>
      <c r="UCO24" s="414"/>
      <c r="UCP24" s="414"/>
      <c r="UCQ24" s="414"/>
      <c r="UCR24" s="414"/>
      <c r="UCS24" s="414"/>
      <c r="UCT24" s="414"/>
      <c r="UCU24" s="414"/>
      <c r="UCV24" s="414"/>
      <c r="UCW24" s="414"/>
      <c r="UCX24" s="414"/>
      <c r="UCY24" s="414"/>
      <c r="UCZ24" s="414"/>
      <c r="UDA24" s="414"/>
      <c r="UDB24" s="414"/>
      <c r="UDC24" s="414"/>
      <c r="UDD24" s="414"/>
      <c r="UDE24" s="414"/>
      <c r="UDF24" s="414"/>
      <c r="UDG24" s="414"/>
      <c r="UDH24" s="414"/>
      <c r="UDI24" s="414"/>
      <c r="UDJ24" s="414"/>
      <c r="UDK24" s="414"/>
      <c r="UDL24" s="414"/>
      <c r="UDM24" s="414"/>
      <c r="UDN24" s="414"/>
      <c r="UDO24" s="414"/>
      <c r="UDP24" s="414"/>
      <c r="UDQ24" s="414"/>
      <c r="UDR24" s="414"/>
      <c r="UDS24" s="414"/>
      <c r="UDT24" s="414"/>
      <c r="UDU24" s="414"/>
      <c r="UDV24" s="414"/>
      <c r="UDW24" s="414"/>
      <c r="UDX24" s="414"/>
      <c r="UDY24" s="414"/>
      <c r="UDZ24" s="414"/>
      <c r="UEA24" s="414"/>
      <c r="UEB24" s="414"/>
      <c r="UEC24" s="414"/>
      <c r="UED24" s="414"/>
      <c r="UEE24" s="414"/>
      <c r="UEF24" s="414"/>
      <c r="UEG24" s="414"/>
      <c r="UEH24" s="414"/>
      <c r="UEI24" s="414"/>
      <c r="UEJ24" s="414"/>
      <c r="UEK24" s="414"/>
      <c r="UEL24" s="414"/>
      <c r="UEM24" s="414"/>
      <c r="UEN24" s="414"/>
      <c r="UEO24" s="414"/>
      <c r="UEP24" s="414"/>
      <c r="UEQ24" s="414"/>
      <c r="UER24" s="414"/>
      <c r="UES24" s="414"/>
      <c r="UET24" s="414"/>
      <c r="UEU24" s="414"/>
      <c r="UEV24" s="414"/>
      <c r="UEW24" s="414"/>
      <c r="UEX24" s="414"/>
      <c r="UEY24" s="414"/>
      <c r="UEZ24" s="414"/>
      <c r="UFA24" s="414"/>
      <c r="UFB24" s="414"/>
      <c r="UFC24" s="414"/>
      <c r="UFD24" s="414"/>
      <c r="UFE24" s="414"/>
      <c r="UFF24" s="414"/>
      <c r="UFG24" s="414"/>
      <c r="UFH24" s="414"/>
      <c r="UFI24" s="414"/>
      <c r="UFJ24" s="414"/>
      <c r="UFK24" s="414"/>
      <c r="UFL24" s="414"/>
      <c r="UFM24" s="414"/>
      <c r="UFN24" s="414"/>
      <c r="UFO24" s="414"/>
      <c r="UFP24" s="414"/>
      <c r="UFQ24" s="414"/>
      <c r="UFR24" s="414"/>
      <c r="UFS24" s="414"/>
      <c r="UFT24" s="414"/>
      <c r="UFU24" s="414"/>
      <c r="UFV24" s="414"/>
      <c r="UFW24" s="414"/>
      <c r="UFX24" s="414"/>
      <c r="UFY24" s="414"/>
      <c r="UFZ24" s="414"/>
      <c r="UGA24" s="414"/>
      <c r="UGB24" s="414"/>
      <c r="UGC24" s="414"/>
      <c r="UGD24" s="414"/>
      <c r="UGE24" s="414"/>
      <c r="UGF24" s="414"/>
      <c r="UGG24" s="414"/>
      <c r="UGH24" s="414"/>
      <c r="UGI24" s="414"/>
      <c r="UGJ24" s="414"/>
      <c r="UGK24" s="414"/>
      <c r="UGL24" s="414"/>
      <c r="UGM24" s="414"/>
      <c r="UGN24" s="414"/>
      <c r="UGO24" s="414"/>
      <c r="UGP24" s="414"/>
      <c r="UGQ24" s="414"/>
      <c r="UGR24" s="414"/>
      <c r="UGS24" s="414"/>
      <c r="UGT24" s="414"/>
      <c r="UGU24" s="414"/>
      <c r="UGV24" s="414"/>
      <c r="UGW24" s="414"/>
      <c r="UGX24" s="414"/>
      <c r="UGY24" s="414"/>
      <c r="UGZ24" s="414"/>
      <c r="UHA24" s="414"/>
      <c r="UHB24" s="414"/>
      <c r="UHC24" s="414"/>
      <c r="UHD24" s="414"/>
      <c r="UHE24" s="414"/>
      <c r="UHF24" s="414"/>
      <c r="UHG24" s="414"/>
      <c r="UHH24" s="414"/>
      <c r="UHI24" s="414"/>
      <c r="UHJ24" s="414"/>
      <c r="UHK24" s="414"/>
      <c r="UHL24" s="414"/>
      <c r="UHM24" s="414"/>
      <c r="UHN24" s="414"/>
      <c r="UHO24" s="414"/>
      <c r="UHP24" s="414"/>
      <c r="UHQ24" s="414"/>
      <c r="UHR24" s="414"/>
      <c r="UHS24" s="414"/>
      <c r="UHT24" s="414"/>
      <c r="UHU24" s="414"/>
      <c r="UHV24" s="414"/>
      <c r="UHW24" s="414"/>
      <c r="UHX24" s="414"/>
      <c r="UHY24" s="414"/>
      <c r="UHZ24" s="414"/>
      <c r="UIA24" s="414"/>
      <c r="UIB24" s="414"/>
      <c r="UIC24" s="414"/>
      <c r="UID24" s="414"/>
      <c r="UIE24" s="414"/>
      <c r="UIF24" s="414"/>
      <c r="UIG24" s="414"/>
      <c r="UIH24" s="414"/>
      <c r="UII24" s="414"/>
      <c r="UIJ24" s="414"/>
      <c r="UIK24" s="414"/>
      <c r="UIL24" s="414"/>
      <c r="UIM24" s="414"/>
      <c r="UIN24" s="414"/>
      <c r="UIO24" s="414"/>
      <c r="UIP24" s="414"/>
      <c r="UIQ24" s="414"/>
      <c r="UIR24" s="414"/>
      <c r="UIS24" s="414"/>
      <c r="UIT24" s="414"/>
      <c r="UIU24" s="414"/>
      <c r="UIV24" s="414"/>
      <c r="UIW24" s="414"/>
      <c r="UIX24" s="414"/>
      <c r="UIY24" s="414"/>
      <c r="UIZ24" s="414"/>
      <c r="UJA24" s="414"/>
      <c r="UJB24" s="414"/>
      <c r="UJC24" s="414"/>
      <c r="UJD24" s="414"/>
      <c r="UJE24" s="414"/>
      <c r="UJF24" s="414"/>
      <c r="UJG24" s="414"/>
      <c r="UJH24" s="414"/>
      <c r="UJI24" s="414"/>
      <c r="UJJ24" s="414"/>
      <c r="UJK24" s="414"/>
      <c r="UJL24" s="414"/>
      <c r="UJM24" s="414"/>
      <c r="UJN24" s="414"/>
      <c r="UJO24" s="414"/>
      <c r="UJP24" s="414"/>
      <c r="UJQ24" s="414"/>
      <c r="UJR24" s="414"/>
      <c r="UJS24" s="414"/>
      <c r="UJT24" s="414"/>
      <c r="UJU24" s="414"/>
      <c r="UJV24" s="414"/>
      <c r="UJW24" s="414"/>
      <c r="UJX24" s="414"/>
      <c r="UJY24" s="414"/>
      <c r="UJZ24" s="414"/>
      <c r="UKA24" s="414"/>
      <c r="UKB24" s="414"/>
      <c r="UKC24" s="414"/>
      <c r="UKD24" s="414"/>
      <c r="UKE24" s="414"/>
      <c r="UKF24" s="414"/>
      <c r="UKG24" s="414"/>
      <c r="UKH24" s="414"/>
      <c r="UKI24" s="414"/>
      <c r="UKJ24" s="414"/>
      <c r="UKK24" s="414"/>
      <c r="UKL24" s="414"/>
      <c r="UKM24" s="414"/>
      <c r="UKN24" s="414"/>
      <c r="UKO24" s="414"/>
      <c r="UKP24" s="414"/>
      <c r="UKQ24" s="414"/>
      <c r="UKR24" s="414"/>
      <c r="UKS24" s="414"/>
      <c r="UKT24" s="414"/>
      <c r="UKU24" s="414"/>
      <c r="UKV24" s="414"/>
      <c r="UKW24" s="414"/>
      <c r="UKX24" s="414"/>
      <c r="UKY24" s="414"/>
      <c r="UKZ24" s="414"/>
      <c r="ULA24" s="414"/>
      <c r="ULB24" s="414"/>
      <c r="ULC24" s="414"/>
      <c r="ULD24" s="414"/>
      <c r="ULE24" s="414"/>
      <c r="ULF24" s="414"/>
      <c r="ULG24" s="414"/>
      <c r="ULH24" s="414"/>
      <c r="ULI24" s="414"/>
      <c r="ULJ24" s="414"/>
      <c r="ULK24" s="414"/>
      <c r="ULL24" s="414"/>
      <c r="ULM24" s="414"/>
      <c r="ULN24" s="414"/>
      <c r="ULO24" s="414"/>
      <c r="ULP24" s="414"/>
      <c r="ULQ24" s="414"/>
      <c r="ULR24" s="414"/>
      <c r="ULS24" s="414"/>
      <c r="ULT24" s="414"/>
      <c r="ULU24" s="414"/>
      <c r="ULV24" s="414"/>
      <c r="ULW24" s="414"/>
      <c r="ULX24" s="414"/>
      <c r="ULY24" s="414"/>
      <c r="ULZ24" s="414"/>
      <c r="UMA24" s="414"/>
      <c r="UMB24" s="414"/>
      <c r="UMC24" s="414"/>
      <c r="UMD24" s="414"/>
      <c r="UME24" s="414"/>
      <c r="UMF24" s="414"/>
      <c r="UMG24" s="414"/>
      <c r="UMH24" s="414"/>
      <c r="UMI24" s="414"/>
      <c r="UMJ24" s="414"/>
      <c r="UMK24" s="414"/>
      <c r="UML24" s="414"/>
      <c r="UMM24" s="414"/>
      <c r="UMN24" s="414"/>
      <c r="UMO24" s="414"/>
      <c r="UMP24" s="414"/>
      <c r="UMQ24" s="414"/>
      <c r="UMR24" s="414"/>
      <c r="UMS24" s="414"/>
      <c r="UMT24" s="414"/>
      <c r="UMU24" s="414"/>
      <c r="UMV24" s="414"/>
      <c r="UMW24" s="414"/>
      <c r="UMX24" s="414"/>
      <c r="UMY24" s="414"/>
      <c r="UMZ24" s="414"/>
      <c r="UNA24" s="414"/>
      <c r="UNB24" s="414"/>
      <c r="UNC24" s="414"/>
      <c r="UND24" s="414"/>
      <c r="UNE24" s="414"/>
      <c r="UNF24" s="414"/>
      <c r="UNG24" s="414"/>
      <c r="UNH24" s="414"/>
      <c r="UNI24" s="414"/>
      <c r="UNJ24" s="414"/>
      <c r="UNK24" s="414"/>
      <c r="UNL24" s="414"/>
      <c r="UNM24" s="414"/>
      <c r="UNN24" s="414"/>
      <c r="UNO24" s="414"/>
      <c r="UNP24" s="414"/>
      <c r="UNQ24" s="414"/>
      <c r="UNR24" s="414"/>
      <c r="UNS24" s="414"/>
      <c r="UNT24" s="414"/>
      <c r="UNU24" s="414"/>
      <c r="UNV24" s="414"/>
      <c r="UNW24" s="414"/>
      <c r="UNX24" s="414"/>
      <c r="UNY24" s="414"/>
      <c r="UNZ24" s="414"/>
      <c r="UOA24" s="414"/>
      <c r="UOB24" s="414"/>
      <c r="UOC24" s="414"/>
      <c r="UOD24" s="414"/>
      <c r="UOE24" s="414"/>
      <c r="UOF24" s="414"/>
      <c r="UOG24" s="414"/>
      <c r="UOH24" s="414"/>
      <c r="UOI24" s="414"/>
      <c r="UOJ24" s="414"/>
      <c r="UOK24" s="414"/>
      <c r="UOL24" s="414"/>
      <c r="UOM24" s="414"/>
      <c r="UON24" s="414"/>
      <c r="UOO24" s="414"/>
      <c r="UOP24" s="414"/>
      <c r="UOQ24" s="414"/>
      <c r="UOR24" s="414"/>
      <c r="UOS24" s="414"/>
      <c r="UOT24" s="414"/>
      <c r="UOU24" s="414"/>
      <c r="UOV24" s="414"/>
      <c r="UOW24" s="414"/>
      <c r="UOX24" s="414"/>
      <c r="UOY24" s="414"/>
      <c r="UOZ24" s="414"/>
      <c r="UPA24" s="414"/>
      <c r="UPB24" s="414"/>
      <c r="UPC24" s="414"/>
      <c r="UPD24" s="414"/>
      <c r="UPE24" s="414"/>
      <c r="UPF24" s="414"/>
      <c r="UPG24" s="414"/>
      <c r="UPH24" s="414"/>
      <c r="UPI24" s="414"/>
      <c r="UPJ24" s="414"/>
      <c r="UPK24" s="414"/>
      <c r="UPL24" s="414"/>
      <c r="UPM24" s="414"/>
      <c r="UPN24" s="414"/>
      <c r="UPO24" s="414"/>
      <c r="UPP24" s="414"/>
      <c r="UPQ24" s="414"/>
      <c r="UPR24" s="414"/>
      <c r="UPS24" s="414"/>
      <c r="UPT24" s="414"/>
      <c r="UPU24" s="414"/>
      <c r="UPV24" s="414"/>
      <c r="UPW24" s="414"/>
      <c r="UPX24" s="414"/>
      <c r="UPY24" s="414"/>
      <c r="UPZ24" s="414"/>
      <c r="UQA24" s="414"/>
      <c r="UQB24" s="414"/>
      <c r="UQC24" s="414"/>
      <c r="UQD24" s="414"/>
      <c r="UQE24" s="414"/>
      <c r="UQF24" s="414"/>
      <c r="UQG24" s="414"/>
      <c r="UQH24" s="414"/>
      <c r="UQI24" s="414"/>
      <c r="UQJ24" s="414"/>
      <c r="UQK24" s="414"/>
      <c r="UQL24" s="414"/>
      <c r="UQM24" s="414"/>
      <c r="UQN24" s="414"/>
      <c r="UQO24" s="414"/>
      <c r="UQP24" s="414"/>
      <c r="UQQ24" s="414"/>
      <c r="UQR24" s="414"/>
      <c r="UQS24" s="414"/>
      <c r="UQT24" s="414"/>
      <c r="UQU24" s="414"/>
      <c r="UQV24" s="414"/>
      <c r="UQW24" s="414"/>
      <c r="UQX24" s="414"/>
      <c r="UQY24" s="414"/>
      <c r="UQZ24" s="414"/>
      <c r="URA24" s="414"/>
      <c r="URB24" s="414"/>
      <c r="URC24" s="414"/>
      <c r="URD24" s="414"/>
      <c r="URE24" s="414"/>
      <c r="URF24" s="414"/>
      <c r="URG24" s="414"/>
      <c r="URH24" s="414"/>
      <c r="URI24" s="414"/>
      <c r="URJ24" s="414"/>
      <c r="URK24" s="414"/>
      <c r="URL24" s="414"/>
      <c r="URM24" s="414"/>
      <c r="URN24" s="414"/>
      <c r="URO24" s="414"/>
      <c r="URP24" s="414"/>
      <c r="URQ24" s="414"/>
      <c r="URR24" s="414"/>
      <c r="URS24" s="414"/>
      <c r="URT24" s="414"/>
      <c r="URU24" s="414"/>
      <c r="URV24" s="414"/>
      <c r="URW24" s="414"/>
      <c r="URX24" s="414"/>
      <c r="URY24" s="414"/>
      <c r="URZ24" s="414"/>
      <c r="USA24" s="414"/>
      <c r="USB24" s="414"/>
      <c r="USC24" s="414"/>
      <c r="USD24" s="414"/>
      <c r="USE24" s="414"/>
      <c r="USF24" s="414"/>
      <c r="USG24" s="414"/>
      <c r="USH24" s="414"/>
      <c r="USI24" s="414"/>
      <c r="USJ24" s="414"/>
      <c r="USK24" s="414"/>
      <c r="USL24" s="414"/>
      <c r="USM24" s="414"/>
      <c r="USN24" s="414"/>
      <c r="USO24" s="414"/>
      <c r="USP24" s="414"/>
      <c r="USQ24" s="414"/>
      <c r="USR24" s="414"/>
      <c r="USS24" s="414"/>
      <c r="UST24" s="414"/>
      <c r="USU24" s="414"/>
      <c r="USV24" s="414"/>
      <c r="USW24" s="414"/>
      <c r="USX24" s="414"/>
      <c r="USY24" s="414"/>
      <c r="USZ24" s="414"/>
      <c r="UTA24" s="414"/>
      <c r="UTB24" s="414"/>
      <c r="UTC24" s="414"/>
      <c r="UTD24" s="414"/>
      <c r="UTE24" s="414"/>
      <c r="UTF24" s="414"/>
      <c r="UTG24" s="414"/>
      <c r="UTH24" s="414"/>
      <c r="UTI24" s="414"/>
      <c r="UTJ24" s="414"/>
      <c r="UTK24" s="414"/>
      <c r="UTL24" s="414"/>
      <c r="UTM24" s="414"/>
      <c r="UTN24" s="414"/>
      <c r="UTO24" s="414"/>
      <c r="UTP24" s="414"/>
      <c r="UTQ24" s="414"/>
      <c r="UTR24" s="414"/>
      <c r="UTS24" s="414"/>
      <c r="UTT24" s="414"/>
      <c r="UTU24" s="414"/>
      <c r="UTV24" s="414"/>
      <c r="UTW24" s="414"/>
      <c r="UTX24" s="414"/>
      <c r="UTY24" s="414"/>
      <c r="UTZ24" s="414"/>
      <c r="UUA24" s="414"/>
      <c r="UUB24" s="414"/>
      <c r="UUC24" s="414"/>
      <c r="UUD24" s="414"/>
      <c r="UUE24" s="414"/>
      <c r="UUF24" s="414"/>
      <c r="UUG24" s="414"/>
      <c r="UUH24" s="414"/>
      <c r="UUI24" s="414"/>
      <c r="UUJ24" s="414"/>
      <c r="UUK24" s="414"/>
      <c r="UUL24" s="414"/>
      <c r="UUM24" s="414"/>
      <c r="UUN24" s="414"/>
      <c r="UUO24" s="414"/>
      <c r="UUP24" s="414"/>
      <c r="UUQ24" s="414"/>
      <c r="UUR24" s="414"/>
      <c r="UUS24" s="414"/>
      <c r="UUT24" s="414"/>
      <c r="UUU24" s="414"/>
      <c r="UUV24" s="414"/>
      <c r="UUW24" s="414"/>
      <c r="UUX24" s="414"/>
      <c r="UUY24" s="414"/>
      <c r="UUZ24" s="414"/>
      <c r="UVA24" s="414"/>
      <c r="UVB24" s="414"/>
      <c r="UVC24" s="414"/>
      <c r="UVD24" s="414"/>
      <c r="UVE24" s="414"/>
      <c r="UVF24" s="414"/>
      <c r="UVG24" s="414"/>
      <c r="UVH24" s="414"/>
      <c r="UVI24" s="414"/>
      <c r="UVJ24" s="414"/>
      <c r="UVK24" s="414"/>
      <c r="UVL24" s="414"/>
      <c r="UVM24" s="414"/>
      <c r="UVN24" s="414"/>
      <c r="UVO24" s="414"/>
      <c r="UVP24" s="414"/>
      <c r="UVQ24" s="414"/>
      <c r="UVR24" s="414"/>
      <c r="UVS24" s="414"/>
      <c r="UVT24" s="414"/>
      <c r="UVU24" s="414"/>
      <c r="UVV24" s="414"/>
      <c r="UVW24" s="414"/>
      <c r="UVX24" s="414"/>
      <c r="UVY24" s="414"/>
      <c r="UVZ24" s="414"/>
      <c r="UWA24" s="414"/>
      <c r="UWB24" s="414"/>
      <c r="UWC24" s="414"/>
      <c r="UWD24" s="414"/>
      <c r="UWE24" s="414"/>
      <c r="UWF24" s="414"/>
      <c r="UWG24" s="414"/>
      <c r="UWH24" s="414"/>
      <c r="UWI24" s="414"/>
      <c r="UWJ24" s="414"/>
      <c r="UWK24" s="414"/>
      <c r="UWL24" s="414"/>
      <c r="UWM24" s="414"/>
      <c r="UWN24" s="414"/>
      <c r="UWO24" s="414"/>
      <c r="UWP24" s="414"/>
      <c r="UWQ24" s="414"/>
      <c r="UWR24" s="414"/>
      <c r="UWS24" s="414"/>
      <c r="UWT24" s="414"/>
      <c r="UWU24" s="414"/>
      <c r="UWV24" s="414"/>
      <c r="UWW24" s="414"/>
      <c r="UWX24" s="414"/>
      <c r="UWY24" s="414"/>
      <c r="UWZ24" s="414"/>
      <c r="UXA24" s="414"/>
      <c r="UXB24" s="414"/>
      <c r="UXC24" s="414"/>
      <c r="UXD24" s="414"/>
      <c r="UXE24" s="414"/>
      <c r="UXF24" s="414"/>
      <c r="UXG24" s="414"/>
      <c r="UXH24" s="414"/>
      <c r="UXI24" s="414"/>
      <c r="UXJ24" s="414"/>
      <c r="UXK24" s="414"/>
      <c r="UXL24" s="414"/>
      <c r="UXM24" s="414"/>
      <c r="UXN24" s="414"/>
      <c r="UXO24" s="414"/>
      <c r="UXP24" s="414"/>
      <c r="UXQ24" s="414"/>
      <c r="UXR24" s="414"/>
      <c r="UXS24" s="414"/>
      <c r="UXT24" s="414"/>
      <c r="UXU24" s="414"/>
      <c r="UXV24" s="414"/>
      <c r="UXW24" s="414"/>
      <c r="UXX24" s="414"/>
      <c r="UXY24" s="414"/>
      <c r="UXZ24" s="414"/>
      <c r="UYA24" s="414"/>
      <c r="UYB24" s="414"/>
      <c r="UYC24" s="414"/>
      <c r="UYD24" s="414"/>
      <c r="UYE24" s="414"/>
      <c r="UYF24" s="414"/>
      <c r="UYG24" s="414"/>
      <c r="UYH24" s="414"/>
      <c r="UYI24" s="414"/>
      <c r="UYJ24" s="414"/>
      <c r="UYK24" s="414"/>
      <c r="UYL24" s="414"/>
      <c r="UYM24" s="414"/>
      <c r="UYN24" s="414"/>
      <c r="UYO24" s="414"/>
      <c r="UYP24" s="414"/>
      <c r="UYQ24" s="414"/>
      <c r="UYR24" s="414"/>
      <c r="UYS24" s="414"/>
      <c r="UYT24" s="414"/>
      <c r="UYU24" s="414"/>
      <c r="UYV24" s="414"/>
      <c r="UYW24" s="414"/>
      <c r="UYX24" s="414"/>
      <c r="UYY24" s="414"/>
      <c r="UYZ24" s="414"/>
      <c r="UZA24" s="414"/>
      <c r="UZB24" s="414"/>
      <c r="UZC24" s="414"/>
      <c r="UZD24" s="414"/>
      <c r="UZE24" s="414"/>
      <c r="UZF24" s="414"/>
      <c r="UZG24" s="414"/>
      <c r="UZH24" s="414"/>
      <c r="UZI24" s="414"/>
      <c r="UZJ24" s="414"/>
      <c r="UZK24" s="414"/>
      <c r="UZL24" s="414"/>
      <c r="UZM24" s="414"/>
      <c r="UZN24" s="414"/>
      <c r="UZO24" s="414"/>
      <c r="UZP24" s="414"/>
      <c r="UZQ24" s="414"/>
      <c r="UZR24" s="414"/>
      <c r="UZS24" s="414"/>
      <c r="UZT24" s="414"/>
      <c r="UZU24" s="414"/>
      <c r="UZV24" s="414"/>
      <c r="UZW24" s="414"/>
      <c r="UZX24" s="414"/>
      <c r="UZY24" s="414"/>
      <c r="UZZ24" s="414"/>
      <c r="VAA24" s="414"/>
      <c r="VAB24" s="414"/>
      <c r="VAC24" s="414"/>
      <c r="VAD24" s="414"/>
      <c r="VAE24" s="414"/>
      <c r="VAF24" s="414"/>
      <c r="VAG24" s="414"/>
      <c r="VAH24" s="414"/>
      <c r="VAI24" s="414"/>
      <c r="VAJ24" s="414"/>
      <c r="VAK24" s="414"/>
      <c r="VAL24" s="414"/>
      <c r="VAM24" s="414"/>
      <c r="VAN24" s="414"/>
      <c r="VAO24" s="414"/>
      <c r="VAP24" s="414"/>
      <c r="VAQ24" s="414"/>
      <c r="VAR24" s="414"/>
      <c r="VAS24" s="414"/>
      <c r="VAT24" s="414"/>
      <c r="VAU24" s="414"/>
      <c r="VAV24" s="414"/>
      <c r="VAW24" s="414"/>
      <c r="VAX24" s="414"/>
      <c r="VAY24" s="414"/>
      <c r="VAZ24" s="414"/>
      <c r="VBA24" s="414"/>
      <c r="VBB24" s="414"/>
      <c r="VBC24" s="414"/>
      <c r="VBD24" s="414"/>
      <c r="VBE24" s="414"/>
      <c r="VBF24" s="414"/>
      <c r="VBG24" s="414"/>
      <c r="VBH24" s="414"/>
      <c r="VBI24" s="414"/>
      <c r="VBJ24" s="414"/>
      <c r="VBK24" s="414"/>
      <c r="VBL24" s="414"/>
      <c r="VBM24" s="414"/>
      <c r="VBN24" s="414"/>
      <c r="VBO24" s="414"/>
      <c r="VBP24" s="414"/>
      <c r="VBQ24" s="414"/>
      <c r="VBR24" s="414"/>
      <c r="VBS24" s="414"/>
      <c r="VBT24" s="414"/>
      <c r="VBU24" s="414"/>
      <c r="VBV24" s="414"/>
      <c r="VBW24" s="414"/>
      <c r="VBX24" s="414"/>
      <c r="VBY24" s="414"/>
      <c r="VBZ24" s="414"/>
      <c r="VCA24" s="414"/>
      <c r="VCB24" s="414"/>
      <c r="VCC24" s="414"/>
      <c r="VCD24" s="414"/>
      <c r="VCE24" s="414"/>
      <c r="VCF24" s="414"/>
      <c r="VCG24" s="414"/>
      <c r="VCH24" s="414"/>
      <c r="VCI24" s="414"/>
      <c r="VCJ24" s="414"/>
      <c r="VCK24" s="414"/>
      <c r="VCL24" s="414"/>
      <c r="VCM24" s="414"/>
      <c r="VCN24" s="414"/>
      <c r="VCO24" s="414"/>
      <c r="VCP24" s="414"/>
      <c r="VCQ24" s="414"/>
      <c r="VCR24" s="414"/>
      <c r="VCS24" s="414"/>
      <c r="VCT24" s="414"/>
      <c r="VCU24" s="414"/>
      <c r="VCV24" s="414"/>
      <c r="VCW24" s="414"/>
      <c r="VCX24" s="414"/>
      <c r="VCY24" s="414"/>
      <c r="VCZ24" s="414"/>
      <c r="VDA24" s="414"/>
      <c r="VDB24" s="414"/>
      <c r="VDC24" s="414"/>
      <c r="VDD24" s="414"/>
      <c r="VDE24" s="414"/>
      <c r="VDF24" s="414"/>
      <c r="VDG24" s="414"/>
      <c r="VDH24" s="414"/>
      <c r="VDI24" s="414"/>
      <c r="VDJ24" s="414"/>
      <c r="VDK24" s="414"/>
      <c r="VDL24" s="414"/>
      <c r="VDM24" s="414"/>
      <c r="VDN24" s="414"/>
      <c r="VDO24" s="414"/>
      <c r="VDP24" s="414"/>
      <c r="VDQ24" s="414"/>
      <c r="VDR24" s="414"/>
      <c r="VDS24" s="414"/>
      <c r="VDT24" s="414"/>
      <c r="VDU24" s="414"/>
      <c r="VDV24" s="414"/>
      <c r="VDW24" s="414"/>
      <c r="VDX24" s="414"/>
      <c r="VDY24" s="414"/>
      <c r="VDZ24" s="414"/>
      <c r="VEA24" s="414"/>
      <c r="VEB24" s="414"/>
      <c r="VEC24" s="414"/>
      <c r="VED24" s="414"/>
      <c r="VEE24" s="414"/>
      <c r="VEF24" s="414"/>
      <c r="VEG24" s="414"/>
      <c r="VEH24" s="414"/>
      <c r="VEI24" s="414"/>
      <c r="VEJ24" s="414"/>
      <c r="VEK24" s="414"/>
      <c r="VEL24" s="414"/>
      <c r="VEM24" s="414"/>
      <c r="VEN24" s="414"/>
      <c r="VEO24" s="414"/>
      <c r="VEP24" s="414"/>
      <c r="VEQ24" s="414"/>
      <c r="VER24" s="414"/>
      <c r="VES24" s="414"/>
      <c r="VET24" s="414"/>
      <c r="VEU24" s="414"/>
      <c r="VEV24" s="414"/>
      <c r="VEW24" s="414"/>
      <c r="VEX24" s="414"/>
      <c r="VEY24" s="414"/>
      <c r="VEZ24" s="414"/>
      <c r="VFA24" s="414"/>
      <c r="VFB24" s="414"/>
      <c r="VFC24" s="414"/>
      <c r="VFD24" s="414"/>
      <c r="VFE24" s="414"/>
      <c r="VFF24" s="414"/>
      <c r="VFG24" s="414"/>
      <c r="VFH24" s="414"/>
      <c r="VFI24" s="414"/>
      <c r="VFJ24" s="414"/>
      <c r="VFK24" s="414"/>
      <c r="VFL24" s="414"/>
      <c r="VFM24" s="414"/>
      <c r="VFN24" s="414"/>
      <c r="VFO24" s="414"/>
      <c r="VFP24" s="414"/>
      <c r="VFQ24" s="414"/>
      <c r="VFR24" s="414"/>
      <c r="VFS24" s="414"/>
      <c r="VFT24" s="414"/>
      <c r="VFU24" s="414"/>
      <c r="VFV24" s="414"/>
      <c r="VFW24" s="414"/>
      <c r="VFX24" s="414"/>
      <c r="VFY24" s="414"/>
      <c r="VFZ24" s="414"/>
      <c r="VGA24" s="414"/>
      <c r="VGB24" s="414"/>
      <c r="VGC24" s="414"/>
      <c r="VGD24" s="414"/>
      <c r="VGE24" s="414"/>
      <c r="VGF24" s="414"/>
      <c r="VGG24" s="414"/>
      <c r="VGH24" s="414"/>
      <c r="VGI24" s="414"/>
      <c r="VGJ24" s="414"/>
      <c r="VGK24" s="414"/>
      <c r="VGL24" s="414"/>
      <c r="VGM24" s="414"/>
      <c r="VGN24" s="414"/>
      <c r="VGO24" s="414"/>
      <c r="VGP24" s="414"/>
      <c r="VGQ24" s="414"/>
      <c r="VGR24" s="414"/>
      <c r="VGS24" s="414"/>
      <c r="VGT24" s="414"/>
      <c r="VGU24" s="414"/>
      <c r="VGV24" s="414"/>
      <c r="VGW24" s="414"/>
      <c r="VGX24" s="414"/>
      <c r="VGY24" s="414"/>
      <c r="VGZ24" s="414"/>
      <c r="VHA24" s="414"/>
      <c r="VHB24" s="414"/>
      <c r="VHC24" s="414"/>
      <c r="VHD24" s="414"/>
      <c r="VHE24" s="414"/>
      <c r="VHF24" s="414"/>
      <c r="VHG24" s="414"/>
      <c r="VHH24" s="414"/>
      <c r="VHI24" s="414"/>
      <c r="VHJ24" s="414"/>
      <c r="VHK24" s="414"/>
      <c r="VHL24" s="414"/>
      <c r="VHM24" s="414"/>
      <c r="VHN24" s="414"/>
      <c r="VHO24" s="414"/>
      <c r="VHP24" s="414"/>
      <c r="VHQ24" s="414"/>
      <c r="VHR24" s="414"/>
      <c r="VHS24" s="414"/>
      <c r="VHT24" s="414"/>
      <c r="VHU24" s="414"/>
      <c r="VHV24" s="414"/>
      <c r="VHW24" s="414"/>
      <c r="VHX24" s="414"/>
      <c r="VHY24" s="414"/>
      <c r="VHZ24" s="414"/>
      <c r="VIA24" s="414"/>
      <c r="VIB24" s="414"/>
      <c r="VIC24" s="414"/>
      <c r="VID24" s="414"/>
      <c r="VIE24" s="414"/>
      <c r="VIF24" s="414"/>
      <c r="VIG24" s="414"/>
      <c r="VIH24" s="414"/>
      <c r="VII24" s="414"/>
      <c r="VIJ24" s="414"/>
      <c r="VIK24" s="414"/>
      <c r="VIL24" s="414"/>
      <c r="VIM24" s="414"/>
      <c r="VIN24" s="414"/>
      <c r="VIO24" s="414"/>
      <c r="VIP24" s="414"/>
      <c r="VIQ24" s="414"/>
      <c r="VIR24" s="414"/>
      <c r="VIS24" s="414"/>
      <c r="VIT24" s="414"/>
      <c r="VIU24" s="414"/>
      <c r="VIV24" s="414"/>
      <c r="VIW24" s="414"/>
      <c r="VIX24" s="414"/>
      <c r="VIY24" s="414"/>
      <c r="VIZ24" s="414"/>
      <c r="VJA24" s="414"/>
      <c r="VJB24" s="414"/>
      <c r="VJC24" s="414"/>
      <c r="VJD24" s="414"/>
      <c r="VJE24" s="414"/>
      <c r="VJF24" s="414"/>
      <c r="VJG24" s="414"/>
      <c r="VJH24" s="414"/>
      <c r="VJI24" s="414"/>
      <c r="VJJ24" s="414"/>
      <c r="VJK24" s="414"/>
      <c r="VJL24" s="414"/>
      <c r="VJM24" s="414"/>
      <c r="VJN24" s="414"/>
      <c r="VJO24" s="414"/>
      <c r="VJP24" s="414"/>
      <c r="VJQ24" s="414"/>
      <c r="VJR24" s="414"/>
      <c r="VJS24" s="414"/>
      <c r="VJT24" s="414"/>
      <c r="VJU24" s="414"/>
      <c r="VJV24" s="414"/>
      <c r="VJW24" s="414"/>
      <c r="VJX24" s="414"/>
      <c r="VJY24" s="414"/>
      <c r="VJZ24" s="414"/>
      <c r="VKA24" s="414"/>
      <c r="VKB24" s="414"/>
      <c r="VKC24" s="414"/>
      <c r="VKD24" s="414"/>
      <c r="VKE24" s="414"/>
      <c r="VKF24" s="414"/>
      <c r="VKG24" s="414"/>
      <c r="VKH24" s="414"/>
      <c r="VKI24" s="414"/>
      <c r="VKJ24" s="414"/>
      <c r="VKK24" s="414"/>
      <c r="VKL24" s="414"/>
      <c r="VKM24" s="414"/>
      <c r="VKN24" s="414"/>
      <c r="VKO24" s="414"/>
      <c r="VKP24" s="414"/>
      <c r="VKQ24" s="414"/>
      <c r="VKR24" s="414"/>
      <c r="VKS24" s="414"/>
      <c r="VKT24" s="414"/>
      <c r="VKU24" s="414"/>
      <c r="VKV24" s="414"/>
      <c r="VKW24" s="414"/>
      <c r="VKX24" s="414"/>
      <c r="VKY24" s="414"/>
      <c r="VKZ24" s="414"/>
      <c r="VLA24" s="414"/>
      <c r="VLB24" s="414"/>
      <c r="VLC24" s="414"/>
      <c r="VLD24" s="414"/>
      <c r="VLE24" s="414"/>
      <c r="VLF24" s="414"/>
      <c r="VLG24" s="414"/>
      <c r="VLH24" s="414"/>
      <c r="VLI24" s="414"/>
      <c r="VLJ24" s="414"/>
      <c r="VLK24" s="414"/>
      <c r="VLL24" s="414"/>
      <c r="VLM24" s="414"/>
      <c r="VLN24" s="414"/>
      <c r="VLO24" s="414"/>
      <c r="VLP24" s="414"/>
      <c r="VLQ24" s="414"/>
      <c r="VLR24" s="414"/>
      <c r="VLS24" s="414"/>
      <c r="VLT24" s="414"/>
      <c r="VLU24" s="414"/>
      <c r="VLV24" s="414"/>
      <c r="VLW24" s="414"/>
      <c r="VLX24" s="414"/>
      <c r="VLY24" s="414"/>
      <c r="VLZ24" s="414"/>
      <c r="VMA24" s="414"/>
      <c r="VMB24" s="414"/>
      <c r="VMC24" s="414"/>
      <c r="VMD24" s="414"/>
      <c r="VME24" s="414"/>
      <c r="VMF24" s="414"/>
      <c r="VMG24" s="414"/>
      <c r="VMH24" s="414"/>
      <c r="VMI24" s="414"/>
      <c r="VMJ24" s="414"/>
      <c r="VMK24" s="414"/>
      <c r="VML24" s="414"/>
      <c r="VMM24" s="414"/>
      <c r="VMN24" s="414"/>
      <c r="VMO24" s="414"/>
      <c r="VMP24" s="414"/>
      <c r="VMQ24" s="414"/>
      <c r="VMR24" s="414"/>
      <c r="VMS24" s="414"/>
      <c r="VMT24" s="414"/>
      <c r="VMU24" s="414"/>
      <c r="VMV24" s="414"/>
      <c r="VMW24" s="414"/>
      <c r="VMX24" s="414"/>
      <c r="VMY24" s="414"/>
      <c r="VMZ24" s="414"/>
      <c r="VNA24" s="414"/>
      <c r="VNB24" s="414"/>
      <c r="VNC24" s="414"/>
      <c r="VND24" s="414"/>
      <c r="VNE24" s="414"/>
      <c r="VNF24" s="414"/>
      <c r="VNG24" s="414"/>
      <c r="VNH24" s="414"/>
      <c r="VNI24" s="414"/>
      <c r="VNJ24" s="414"/>
      <c r="VNK24" s="414"/>
      <c r="VNL24" s="414"/>
      <c r="VNM24" s="414"/>
      <c r="VNN24" s="414"/>
      <c r="VNO24" s="414"/>
      <c r="VNP24" s="414"/>
      <c r="VNQ24" s="414"/>
      <c r="VNR24" s="414"/>
      <c r="VNS24" s="414"/>
      <c r="VNT24" s="414"/>
      <c r="VNU24" s="414"/>
      <c r="VNV24" s="414"/>
      <c r="VNW24" s="414"/>
      <c r="VNX24" s="414"/>
      <c r="VNY24" s="414"/>
      <c r="VNZ24" s="414"/>
      <c r="VOA24" s="414"/>
      <c r="VOB24" s="414"/>
      <c r="VOC24" s="414"/>
      <c r="VOD24" s="414"/>
      <c r="VOE24" s="414"/>
      <c r="VOF24" s="414"/>
      <c r="VOG24" s="414"/>
      <c r="VOH24" s="414"/>
      <c r="VOI24" s="414"/>
      <c r="VOJ24" s="414"/>
      <c r="VOK24" s="414"/>
      <c r="VOL24" s="414"/>
      <c r="VOM24" s="414"/>
      <c r="VON24" s="414"/>
      <c r="VOO24" s="414"/>
      <c r="VOP24" s="414"/>
      <c r="VOQ24" s="414"/>
      <c r="VOR24" s="414"/>
      <c r="VOS24" s="414"/>
      <c r="VOT24" s="414"/>
      <c r="VOU24" s="414"/>
      <c r="VOV24" s="414"/>
      <c r="VOW24" s="414"/>
      <c r="VOX24" s="414"/>
      <c r="VOY24" s="414"/>
      <c r="VOZ24" s="414"/>
      <c r="VPA24" s="414"/>
      <c r="VPB24" s="414"/>
      <c r="VPC24" s="414"/>
      <c r="VPD24" s="414"/>
      <c r="VPE24" s="414"/>
      <c r="VPF24" s="414"/>
      <c r="VPG24" s="414"/>
      <c r="VPH24" s="414"/>
      <c r="VPI24" s="414"/>
      <c r="VPJ24" s="414"/>
      <c r="VPK24" s="414"/>
      <c r="VPL24" s="414"/>
      <c r="VPM24" s="414"/>
      <c r="VPN24" s="414"/>
      <c r="VPO24" s="414"/>
      <c r="VPP24" s="414"/>
      <c r="VPQ24" s="414"/>
      <c r="VPR24" s="414"/>
      <c r="VPS24" s="414"/>
      <c r="VPT24" s="414"/>
      <c r="VPU24" s="414"/>
      <c r="VPV24" s="414"/>
      <c r="VPW24" s="414"/>
      <c r="VPX24" s="414"/>
      <c r="VPY24" s="414"/>
      <c r="VPZ24" s="414"/>
      <c r="VQA24" s="414"/>
      <c r="VQB24" s="414"/>
      <c r="VQC24" s="414"/>
      <c r="VQD24" s="414"/>
      <c r="VQE24" s="414"/>
      <c r="VQF24" s="414"/>
      <c r="VQG24" s="414"/>
      <c r="VQH24" s="414"/>
      <c r="VQI24" s="414"/>
      <c r="VQJ24" s="414"/>
      <c r="VQK24" s="414"/>
      <c r="VQL24" s="414"/>
      <c r="VQM24" s="414"/>
      <c r="VQN24" s="414"/>
      <c r="VQO24" s="414"/>
      <c r="VQP24" s="414"/>
      <c r="VQQ24" s="414"/>
      <c r="VQR24" s="414"/>
      <c r="VQS24" s="414"/>
      <c r="VQT24" s="414"/>
      <c r="VQU24" s="414"/>
      <c r="VQV24" s="414"/>
      <c r="VQW24" s="414"/>
      <c r="VQX24" s="414"/>
      <c r="VQY24" s="414"/>
      <c r="VQZ24" s="414"/>
      <c r="VRA24" s="414"/>
      <c r="VRB24" s="414"/>
      <c r="VRC24" s="414"/>
      <c r="VRD24" s="414"/>
      <c r="VRE24" s="414"/>
      <c r="VRF24" s="414"/>
      <c r="VRG24" s="414"/>
      <c r="VRH24" s="414"/>
      <c r="VRI24" s="414"/>
      <c r="VRJ24" s="414"/>
      <c r="VRK24" s="414"/>
      <c r="VRL24" s="414"/>
      <c r="VRM24" s="414"/>
      <c r="VRN24" s="414"/>
      <c r="VRO24" s="414"/>
      <c r="VRP24" s="414"/>
      <c r="VRQ24" s="414"/>
      <c r="VRR24" s="414"/>
      <c r="VRS24" s="414"/>
      <c r="VRT24" s="414"/>
      <c r="VRU24" s="414"/>
      <c r="VRV24" s="414"/>
      <c r="VRW24" s="414"/>
      <c r="VRX24" s="414"/>
      <c r="VRY24" s="414"/>
      <c r="VRZ24" s="414"/>
      <c r="VSA24" s="414"/>
      <c r="VSB24" s="414"/>
      <c r="VSC24" s="414"/>
      <c r="VSD24" s="414"/>
      <c r="VSE24" s="414"/>
      <c r="VSF24" s="414"/>
      <c r="VSG24" s="414"/>
      <c r="VSH24" s="414"/>
      <c r="VSI24" s="414"/>
      <c r="VSJ24" s="414"/>
      <c r="VSK24" s="414"/>
      <c r="VSL24" s="414"/>
      <c r="VSM24" s="414"/>
      <c r="VSN24" s="414"/>
      <c r="VSO24" s="414"/>
      <c r="VSP24" s="414"/>
      <c r="VSQ24" s="414"/>
      <c r="VSR24" s="414"/>
      <c r="VSS24" s="414"/>
      <c r="VST24" s="414"/>
      <c r="VSU24" s="414"/>
      <c r="VSV24" s="414"/>
      <c r="VSW24" s="414"/>
      <c r="VSX24" s="414"/>
      <c r="VSY24" s="414"/>
      <c r="VSZ24" s="414"/>
      <c r="VTA24" s="414"/>
      <c r="VTB24" s="414"/>
      <c r="VTC24" s="414"/>
      <c r="VTD24" s="414"/>
      <c r="VTE24" s="414"/>
      <c r="VTF24" s="414"/>
      <c r="VTG24" s="414"/>
      <c r="VTH24" s="414"/>
      <c r="VTI24" s="414"/>
      <c r="VTJ24" s="414"/>
      <c r="VTK24" s="414"/>
      <c r="VTL24" s="414"/>
      <c r="VTM24" s="414"/>
      <c r="VTN24" s="414"/>
      <c r="VTO24" s="414"/>
      <c r="VTP24" s="414"/>
      <c r="VTQ24" s="414"/>
      <c r="VTR24" s="414"/>
      <c r="VTS24" s="414"/>
      <c r="VTT24" s="414"/>
      <c r="VTU24" s="414"/>
      <c r="VTV24" s="414"/>
      <c r="VTW24" s="414"/>
      <c r="VTX24" s="414"/>
      <c r="VTY24" s="414"/>
      <c r="VTZ24" s="414"/>
      <c r="VUA24" s="414"/>
      <c r="VUB24" s="414"/>
      <c r="VUC24" s="414"/>
      <c r="VUD24" s="414"/>
      <c r="VUE24" s="414"/>
      <c r="VUF24" s="414"/>
      <c r="VUG24" s="414"/>
      <c r="VUH24" s="414"/>
      <c r="VUI24" s="414"/>
      <c r="VUJ24" s="414"/>
      <c r="VUK24" s="414"/>
      <c r="VUL24" s="414"/>
      <c r="VUM24" s="414"/>
      <c r="VUN24" s="414"/>
      <c r="VUO24" s="414"/>
      <c r="VUP24" s="414"/>
      <c r="VUQ24" s="414"/>
      <c r="VUR24" s="414"/>
      <c r="VUS24" s="414"/>
      <c r="VUT24" s="414"/>
      <c r="VUU24" s="414"/>
      <c r="VUV24" s="414"/>
      <c r="VUW24" s="414"/>
      <c r="VUX24" s="414"/>
      <c r="VUY24" s="414"/>
      <c r="VUZ24" s="414"/>
      <c r="VVA24" s="414"/>
      <c r="VVB24" s="414"/>
      <c r="VVC24" s="414"/>
      <c r="VVD24" s="414"/>
      <c r="VVE24" s="414"/>
      <c r="VVF24" s="414"/>
      <c r="VVG24" s="414"/>
      <c r="VVH24" s="414"/>
      <c r="VVI24" s="414"/>
      <c r="VVJ24" s="414"/>
      <c r="VVK24" s="414"/>
      <c r="VVL24" s="414"/>
      <c r="VVM24" s="414"/>
      <c r="VVN24" s="414"/>
      <c r="VVO24" s="414"/>
      <c r="VVP24" s="414"/>
      <c r="VVQ24" s="414"/>
      <c r="VVR24" s="414"/>
      <c r="VVS24" s="414"/>
      <c r="VVT24" s="414"/>
      <c r="VVU24" s="414"/>
      <c r="VVV24" s="414"/>
      <c r="VVW24" s="414"/>
      <c r="VVX24" s="414"/>
      <c r="VVY24" s="414"/>
      <c r="VVZ24" s="414"/>
      <c r="VWA24" s="414"/>
      <c r="VWB24" s="414"/>
      <c r="VWC24" s="414"/>
      <c r="VWD24" s="414"/>
      <c r="VWE24" s="414"/>
      <c r="VWF24" s="414"/>
      <c r="VWG24" s="414"/>
      <c r="VWH24" s="414"/>
      <c r="VWI24" s="414"/>
      <c r="VWJ24" s="414"/>
      <c r="VWK24" s="414"/>
      <c r="VWL24" s="414"/>
      <c r="VWM24" s="414"/>
      <c r="VWN24" s="414"/>
      <c r="VWO24" s="414"/>
      <c r="VWP24" s="414"/>
      <c r="VWQ24" s="414"/>
      <c r="VWR24" s="414"/>
      <c r="VWS24" s="414"/>
      <c r="VWT24" s="414"/>
      <c r="VWU24" s="414"/>
      <c r="VWV24" s="414"/>
      <c r="VWW24" s="414"/>
      <c r="VWX24" s="414"/>
      <c r="VWY24" s="414"/>
      <c r="VWZ24" s="414"/>
      <c r="VXA24" s="414"/>
      <c r="VXB24" s="414"/>
      <c r="VXC24" s="414"/>
      <c r="VXD24" s="414"/>
      <c r="VXE24" s="414"/>
      <c r="VXF24" s="414"/>
      <c r="VXG24" s="414"/>
      <c r="VXH24" s="414"/>
      <c r="VXI24" s="414"/>
      <c r="VXJ24" s="414"/>
      <c r="VXK24" s="414"/>
      <c r="VXL24" s="414"/>
      <c r="VXM24" s="414"/>
      <c r="VXN24" s="414"/>
      <c r="VXO24" s="414"/>
      <c r="VXP24" s="414"/>
      <c r="VXQ24" s="414"/>
      <c r="VXR24" s="414"/>
      <c r="VXS24" s="414"/>
      <c r="VXT24" s="414"/>
      <c r="VXU24" s="414"/>
      <c r="VXV24" s="414"/>
      <c r="VXW24" s="414"/>
      <c r="VXX24" s="414"/>
      <c r="VXY24" s="414"/>
      <c r="VXZ24" s="414"/>
      <c r="VYA24" s="414"/>
      <c r="VYB24" s="414"/>
      <c r="VYC24" s="414"/>
      <c r="VYD24" s="414"/>
      <c r="VYE24" s="414"/>
      <c r="VYF24" s="414"/>
      <c r="VYG24" s="414"/>
      <c r="VYH24" s="414"/>
      <c r="VYI24" s="414"/>
      <c r="VYJ24" s="414"/>
      <c r="VYK24" s="414"/>
      <c r="VYL24" s="414"/>
      <c r="VYM24" s="414"/>
      <c r="VYN24" s="414"/>
      <c r="VYO24" s="414"/>
      <c r="VYP24" s="414"/>
      <c r="VYQ24" s="414"/>
      <c r="VYR24" s="414"/>
      <c r="VYS24" s="414"/>
      <c r="VYT24" s="414"/>
      <c r="VYU24" s="414"/>
      <c r="VYV24" s="414"/>
      <c r="VYW24" s="414"/>
      <c r="VYX24" s="414"/>
      <c r="VYY24" s="414"/>
      <c r="VYZ24" s="414"/>
      <c r="VZA24" s="414"/>
      <c r="VZB24" s="414"/>
      <c r="VZC24" s="414"/>
      <c r="VZD24" s="414"/>
      <c r="VZE24" s="414"/>
      <c r="VZF24" s="414"/>
      <c r="VZG24" s="414"/>
      <c r="VZH24" s="414"/>
      <c r="VZI24" s="414"/>
      <c r="VZJ24" s="414"/>
      <c r="VZK24" s="414"/>
      <c r="VZL24" s="414"/>
      <c r="VZM24" s="414"/>
      <c r="VZN24" s="414"/>
      <c r="VZO24" s="414"/>
      <c r="VZP24" s="414"/>
      <c r="VZQ24" s="414"/>
      <c r="VZR24" s="414"/>
      <c r="VZS24" s="414"/>
      <c r="VZT24" s="414"/>
      <c r="VZU24" s="414"/>
      <c r="VZV24" s="414"/>
      <c r="VZW24" s="414"/>
      <c r="VZX24" s="414"/>
      <c r="VZY24" s="414"/>
      <c r="VZZ24" s="414"/>
      <c r="WAA24" s="414"/>
      <c r="WAB24" s="414"/>
      <c r="WAC24" s="414"/>
      <c r="WAD24" s="414"/>
      <c r="WAE24" s="414"/>
      <c r="WAF24" s="414"/>
      <c r="WAG24" s="414"/>
      <c r="WAH24" s="414"/>
      <c r="WAI24" s="414"/>
      <c r="WAJ24" s="414"/>
      <c r="WAK24" s="414"/>
      <c r="WAL24" s="414"/>
      <c r="WAM24" s="414"/>
      <c r="WAN24" s="414"/>
      <c r="WAO24" s="414"/>
      <c r="WAP24" s="414"/>
      <c r="WAQ24" s="414"/>
      <c r="WAR24" s="414"/>
      <c r="WAS24" s="414"/>
      <c r="WAT24" s="414"/>
      <c r="WAU24" s="414"/>
      <c r="WAV24" s="414"/>
      <c r="WAW24" s="414"/>
      <c r="WAX24" s="414"/>
      <c r="WAY24" s="414"/>
      <c r="WAZ24" s="414"/>
      <c r="WBA24" s="414"/>
      <c r="WBB24" s="414"/>
      <c r="WBC24" s="414"/>
      <c r="WBD24" s="414"/>
      <c r="WBE24" s="414"/>
      <c r="WBF24" s="414"/>
      <c r="WBG24" s="414"/>
      <c r="WBH24" s="414"/>
      <c r="WBI24" s="414"/>
      <c r="WBJ24" s="414"/>
      <c r="WBK24" s="414"/>
      <c r="WBL24" s="414"/>
      <c r="WBM24" s="414"/>
      <c r="WBN24" s="414"/>
      <c r="WBO24" s="414"/>
      <c r="WBP24" s="414"/>
      <c r="WBQ24" s="414"/>
      <c r="WBR24" s="414"/>
      <c r="WBS24" s="414"/>
      <c r="WBT24" s="414"/>
      <c r="WBU24" s="414"/>
      <c r="WBV24" s="414"/>
      <c r="WBW24" s="414"/>
      <c r="WBX24" s="414"/>
      <c r="WBY24" s="414"/>
      <c r="WBZ24" s="414"/>
      <c r="WCA24" s="414"/>
      <c r="WCB24" s="414"/>
      <c r="WCC24" s="414"/>
      <c r="WCD24" s="414"/>
      <c r="WCE24" s="414"/>
      <c r="WCF24" s="414"/>
      <c r="WCG24" s="414"/>
      <c r="WCH24" s="414"/>
      <c r="WCI24" s="414"/>
      <c r="WCJ24" s="414"/>
      <c r="WCK24" s="414"/>
      <c r="WCL24" s="414"/>
      <c r="WCM24" s="414"/>
      <c r="WCN24" s="414"/>
      <c r="WCO24" s="414"/>
      <c r="WCP24" s="414"/>
      <c r="WCQ24" s="414"/>
      <c r="WCR24" s="414"/>
      <c r="WCS24" s="414"/>
      <c r="WCT24" s="414"/>
      <c r="WCU24" s="414"/>
      <c r="WCV24" s="414"/>
      <c r="WCW24" s="414"/>
      <c r="WCX24" s="414"/>
      <c r="WCY24" s="414"/>
      <c r="WCZ24" s="414"/>
      <c r="WDA24" s="414"/>
      <c r="WDB24" s="414"/>
      <c r="WDC24" s="414"/>
      <c r="WDD24" s="414"/>
      <c r="WDE24" s="414"/>
      <c r="WDF24" s="414"/>
      <c r="WDG24" s="414"/>
      <c r="WDH24" s="414"/>
      <c r="WDI24" s="414"/>
      <c r="WDJ24" s="414"/>
      <c r="WDK24" s="414"/>
      <c r="WDL24" s="414"/>
      <c r="WDM24" s="414"/>
      <c r="WDN24" s="414"/>
      <c r="WDO24" s="414"/>
      <c r="WDP24" s="414"/>
      <c r="WDQ24" s="414"/>
      <c r="WDR24" s="414"/>
      <c r="WDS24" s="414"/>
      <c r="WDT24" s="414"/>
      <c r="WDU24" s="414"/>
      <c r="WDV24" s="414"/>
      <c r="WDW24" s="414"/>
      <c r="WDX24" s="414"/>
      <c r="WDY24" s="414"/>
      <c r="WDZ24" s="414"/>
      <c r="WEA24" s="414"/>
      <c r="WEB24" s="414"/>
      <c r="WEC24" s="414"/>
      <c r="WED24" s="414"/>
      <c r="WEE24" s="414"/>
      <c r="WEF24" s="414"/>
      <c r="WEG24" s="414"/>
      <c r="WEH24" s="414"/>
      <c r="WEI24" s="414"/>
      <c r="WEJ24" s="414"/>
      <c r="WEK24" s="414"/>
      <c r="WEL24" s="414"/>
      <c r="WEM24" s="414"/>
      <c r="WEN24" s="414"/>
      <c r="WEO24" s="414"/>
      <c r="WEP24" s="414"/>
      <c r="WEQ24" s="414"/>
      <c r="WER24" s="414"/>
      <c r="WES24" s="414"/>
      <c r="WET24" s="414"/>
      <c r="WEU24" s="414"/>
      <c r="WEV24" s="414"/>
      <c r="WEW24" s="414"/>
      <c r="WEX24" s="414"/>
      <c r="WEY24" s="414"/>
      <c r="WEZ24" s="414"/>
      <c r="WFA24" s="414"/>
      <c r="WFB24" s="414"/>
      <c r="WFC24" s="414"/>
      <c r="WFD24" s="414"/>
      <c r="WFE24" s="414"/>
      <c r="WFF24" s="414"/>
      <c r="WFG24" s="414"/>
      <c r="WFH24" s="414"/>
      <c r="WFI24" s="414"/>
      <c r="WFJ24" s="414"/>
      <c r="WFK24" s="414"/>
      <c r="WFL24" s="414"/>
      <c r="WFM24" s="414"/>
      <c r="WFN24" s="414"/>
      <c r="WFO24" s="414"/>
      <c r="WFP24" s="414"/>
      <c r="WFQ24" s="414"/>
      <c r="WFR24" s="414"/>
      <c r="WFS24" s="414"/>
      <c r="WFT24" s="414"/>
      <c r="WFU24" s="414"/>
      <c r="WFV24" s="414"/>
      <c r="WFW24" s="414"/>
      <c r="WFX24" s="414"/>
      <c r="WFY24" s="414"/>
      <c r="WFZ24" s="414"/>
      <c r="WGA24" s="414"/>
      <c r="WGB24" s="414"/>
      <c r="WGC24" s="414"/>
      <c r="WGD24" s="414"/>
      <c r="WGE24" s="414"/>
      <c r="WGF24" s="414"/>
      <c r="WGG24" s="414"/>
      <c r="WGH24" s="414"/>
      <c r="WGI24" s="414"/>
      <c r="WGJ24" s="414"/>
      <c r="WGK24" s="414"/>
      <c r="WGL24" s="414"/>
      <c r="WGM24" s="414"/>
      <c r="WGN24" s="414"/>
      <c r="WGO24" s="414"/>
      <c r="WGP24" s="414"/>
      <c r="WGQ24" s="414"/>
      <c r="WGR24" s="414"/>
      <c r="WGS24" s="414"/>
      <c r="WGT24" s="414"/>
      <c r="WGU24" s="414"/>
      <c r="WGV24" s="414"/>
      <c r="WGW24" s="414"/>
      <c r="WGX24" s="414"/>
      <c r="WGY24" s="414"/>
      <c r="WGZ24" s="414"/>
      <c r="WHA24" s="414"/>
      <c r="WHB24" s="414"/>
      <c r="WHC24" s="414"/>
      <c r="WHD24" s="414"/>
      <c r="WHE24" s="414"/>
      <c r="WHF24" s="414"/>
      <c r="WHG24" s="414"/>
      <c r="WHH24" s="414"/>
      <c r="WHI24" s="414"/>
      <c r="WHJ24" s="414"/>
      <c r="WHK24" s="414"/>
      <c r="WHL24" s="414"/>
      <c r="WHM24" s="414"/>
      <c r="WHN24" s="414"/>
      <c r="WHO24" s="414"/>
      <c r="WHP24" s="414"/>
      <c r="WHQ24" s="414"/>
      <c r="WHR24" s="414"/>
      <c r="WHS24" s="414"/>
      <c r="WHT24" s="414"/>
      <c r="WHU24" s="414"/>
      <c r="WHV24" s="414"/>
      <c r="WHW24" s="414"/>
      <c r="WHX24" s="414"/>
      <c r="WHY24" s="414"/>
      <c r="WHZ24" s="414"/>
      <c r="WIA24" s="414"/>
      <c r="WIB24" s="414"/>
      <c r="WIC24" s="414"/>
      <c r="WID24" s="414"/>
      <c r="WIE24" s="414"/>
      <c r="WIF24" s="414"/>
      <c r="WIG24" s="414"/>
      <c r="WIH24" s="414"/>
      <c r="WII24" s="414"/>
      <c r="WIJ24" s="414"/>
      <c r="WIK24" s="414"/>
      <c r="WIL24" s="414"/>
      <c r="WIM24" s="414"/>
      <c r="WIN24" s="414"/>
      <c r="WIO24" s="414"/>
      <c r="WIP24" s="414"/>
      <c r="WIQ24" s="414"/>
      <c r="WIR24" s="414"/>
      <c r="WIS24" s="414"/>
      <c r="WIT24" s="414"/>
      <c r="WIU24" s="414"/>
      <c r="WIV24" s="414"/>
      <c r="WIW24" s="414"/>
      <c r="WIX24" s="414"/>
      <c r="WIY24" s="414"/>
      <c r="WIZ24" s="414"/>
      <c r="WJA24" s="414"/>
      <c r="WJB24" s="414"/>
      <c r="WJC24" s="414"/>
      <c r="WJD24" s="414"/>
      <c r="WJE24" s="414"/>
      <c r="WJF24" s="414"/>
      <c r="WJG24" s="414"/>
      <c r="WJH24" s="414"/>
      <c r="WJI24" s="414"/>
      <c r="WJJ24" s="414"/>
      <c r="WJK24" s="414"/>
      <c r="WJL24" s="414"/>
      <c r="WJM24" s="414"/>
      <c r="WJN24" s="414"/>
      <c r="WJO24" s="414"/>
      <c r="WJP24" s="414"/>
      <c r="WJQ24" s="414"/>
      <c r="WJR24" s="414"/>
      <c r="WJS24" s="414"/>
      <c r="WJT24" s="414"/>
      <c r="WJU24" s="414"/>
      <c r="WJV24" s="414"/>
      <c r="WJW24" s="414"/>
      <c r="WJX24" s="414"/>
      <c r="WJY24" s="414"/>
      <c r="WJZ24" s="414"/>
      <c r="WKA24" s="414"/>
      <c r="WKB24" s="414"/>
      <c r="WKC24" s="414"/>
      <c r="WKD24" s="414"/>
      <c r="WKE24" s="414"/>
      <c r="WKF24" s="414"/>
      <c r="WKG24" s="414"/>
      <c r="WKH24" s="414"/>
      <c r="WKI24" s="414"/>
      <c r="WKJ24" s="414"/>
      <c r="WKK24" s="414"/>
      <c r="WKL24" s="414"/>
      <c r="WKM24" s="414"/>
      <c r="WKN24" s="414"/>
      <c r="WKO24" s="414"/>
      <c r="WKP24" s="414"/>
      <c r="WKQ24" s="414"/>
      <c r="WKR24" s="414"/>
      <c r="WKS24" s="414"/>
      <c r="WKT24" s="414"/>
      <c r="WKU24" s="414"/>
      <c r="WKV24" s="414"/>
      <c r="WKW24" s="414"/>
      <c r="WKX24" s="414"/>
      <c r="WKY24" s="414"/>
      <c r="WKZ24" s="414"/>
      <c r="WLA24" s="414"/>
      <c r="WLB24" s="414"/>
      <c r="WLC24" s="414"/>
      <c r="WLD24" s="414"/>
      <c r="WLE24" s="414"/>
      <c r="WLF24" s="414"/>
      <c r="WLG24" s="414"/>
      <c r="WLH24" s="414"/>
      <c r="WLI24" s="414"/>
      <c r="WLJ24" s="414"/>
      <c r="WLK24" s="414"/>
      <c r="WLL24" s="414"/>
      <c r="WLM24" s="414"/>
      <c r="WLN24" s="414"/>
      <c r="WLO24" s="414"/>
      <c r="WLP24" s="414"/>
      <c r="WLQ24" s="414"/>
      <c r="WLR24" s="414"/>
      <c r="WLS24" s="414"/>
      <c r="WLT24" s="414"/>
      <c r="WLU24" s="414"/>
      <c r="WLV24" s="414"/>
      <c r="WLW24" s="414"/>
      <c r="WLX24" s="414"/>
      <c r="WLY24" s="414"/>
      <c r="WLZ24" s="414"/>
      <c r="WMA24" s="414"/>
      <c r="WMB24" s="414"/>
      <c r="WMC24" s="414"/>
      <c r="WMD24" s="414"/>
      <c r="WME24" s="414"/>
      <c r="WMF24" s="414"/>
      <c r="WMG24" s="414"/>
      <c r="WMH24" s="414"/>
      <c r="WMI24" s="414"/>
      <c r="WMJ24" s="414"/>
      <c r="WMK24" s="414"/>
      <c r="WML24" s="414"/>
      <c r="WMM24" s="414"/>
      <c r="WMN24" s="414"/>
      <c r="WMO24" s="414"/>
      <c r="WMP24" s="414"/>
      <c r="WMQ24" s="414"/>
      <c r="WMR24" s="414"/>
      <c r="WMS24" s="414"/>
      <c r="WMT24" s="414"/>
      <c r="WMU24" s="414"/>
      <c r="WMV24" s="414"/>
      <c r="WMW24" s="414"/>
      <c r="WMX24" s="414"/>
      <c r="WMY24" s="414"/>
      <c r="WMZ24" s="414"/>
      <c r="WNA24" s="414"/>
      <c r="WNB24" s="414"/>
      <c r="WNC24" s="414"/>
      <c r="WND24" s="414"/>
      <c r="WNE24" s="414"/>
      <c r="WNF24" s="414"/>
      <c r="WNG24" s="414"/>
      <c r="WNH24" s="414"/>
      <c r="WNI24" s="414"/>
      <c r="WNJ24" s="414"/>
      <c r="WNK24" s="414"/>
      <c r="WNL24" s="414"/>
      <c r="WNM24" s="414"/>
      <c r="WNN24" s="414"/>
      <c r="WNO24" s="414"/>
      <c r="WNP24" s="414"/>
      <c r="WNQ24" s="414"/>
      <c r="WNR24" s="414"/>
      <c r="WNS24" s="414"/>
      <c r="WNT24" s="414"/>
      <c r="WNU24" s="414"/>
      <c r="WNV24" s="414"/>
      <c r="WNW24" s="414"/>
      <c r="WNX24" s="414"/>
      <c r="WNY24" s="414"/>
      <c r="WNZ24" s="414"/>
      <c r="WOA24" s="414"/>
      <c r="WOB24" s="414"/>
      <c r="WOC24" s="414"/>
      <c r="WOD24" s="414"/>
      <c r="WOE24" s="414"/>
      <c r="WOF24" s="414"/>
      <c r="WOG24" s="414"/>
      <c r="WOH24" s="414"/>
      <c r="WOI24" s="414"/>
      <c r="WOJ24" s="414"/>
      <c r="WOK24" s="414"/>
      <c r="WOL24" s="414"/>
      <c r="WOM24" s="414"/>
      <c r="WON24" s="414"/>
      <c r="WOO24" s="414"/>
      <c r="WOP24" s="414"/>
      <c r="WOQ24" s="414"/>
      <c r="WOR24" s="414"/>
      <c r="WOS24" s="414"/>
      <c r="WOT24" s="414"/>
      <c r="WOU24" s="414"/>
      <c r="WOV24" s="414"/>
      <c r="WOW24" s="414"/>
      <c r="WOX24" s="414"/>
      <c r="WOY24" s="414"/>
      <c r="WOZ24" s="414"/>
      <c r="WPA24" s="414"/>
      <c r="WPB24" s="414"/>
      <c r="WPC24" s="414"/>
      <c r="WPD24" s="414"/>
      <c r="WPE24" s="414"/>
      <c r="WPF24" s="414"/>
      <c r="WPG24" s="414"/>
      <c r="WPH24" s="414"/>
      <c r="WPI24" s="414"/>
      <c r="WPJ24" s="414"/>
      <c r="WPK24" s="414"/>
      <c r="WPL24" s="414"/>
      <c r="WPM24" s="414"/>
      <c r="WPN24" s="414"/>
      <c r="WPO24" s="414"/>
      <c r="WPP24" s="414"/>
      <c r="WPQ24" s="414"/>
      <c r="WPR24" s="414"/>
      <c r="WPS24" s="414"/>
      <c r="WPT24" s="414"/>
      <c r="WPU24" s="414"/>
      <c r="WPV24" s="414"/>
      <c r="WPW24" s="414"/>
      <c r="WPX24" s="414"/>
      <c r="WPY24" s="414"/>
      <c r="WPZ24" s="414"/>
      <c r="WQA24" s="414"/>
      <c r="WQB24" s="414"/>
      <c r="WQC24" s="414"/>
      <c r="WQD24" s="414"/>
      <c r="WQE24" s="414"/>
      <c r="WQF24" s="414"/>
      <c r="WQG24" s="414"/>
      <c r="WQH24" s="414"/>
      <c r="WQI24" s="414"/>
      <c r="WQJ24" s="414"/>
      <c r="WQK24" s="414"/>
      <c r="WQL24" s="414"/>
      <c r="WQM24" s="414"/>
      <c r="WQN24" s="414"/>
      <c r="WQO24" s="414"/>
      <c r="WQP24" s="414"/>
      <c r="WQQ24" s="414"/>
      <c r="WQR24" s="414"/>
      <c r="WQS24" s="414"/>
      <c r="WQT24" s="414"/>
      <c r="WQU24" s="414"/>
      <c r="WQV24" s="414"/>
      <c r="WQW24" s="414"/>
      <c r="WQX24" s="414"/>
      <c r="WQY24" s="414"/>
      <c r="WQZ24" s="414"/>
      <c r="WRA24" s="414"/>
      <c r="WRB24" s="414"/>
      <c r="WRC24" s="414"/>
      <c r="WRD24" s="414"/>
      <c r="WRE24" s="414"/>
      <c r="WRF24" s="414"/>
      <c r="WRG24" s="414"/>
      <c r="WRH24" s="414"/>
      <c r="WRI24" s="414"/>
      <c r="WRJ24" s="414"/>
      <c r="WRK24" s="414"/>
      <c r="WRL24" s="414"/>
      <c r="WRM24" s="414"/>
      <c r="WRN24" s="414"/>
      <c r="WRO24" s="414"/>
      <c r="WRP24" s="414"/>
      <c r="WRQ24" s="414"/>
      <c r="WRR24" s="414"/>
      <c r="WRS24" s="414"/>
      <c r="WRT24" s="414"/>
      <c r="WRU24" s="414"/>
      <c r="WRV24" s="414"/>
      <c r="WRW24" s="414"/>
      <c r="WRX24" s="414"/>
      <c r="WRY24" s="414"/>
      <c r="WRZ24" s="414"/>
      <c r="WSA24" s="414"/>
      <c r="WSB24" s="414"/>
      <c r="WSC24" s="414"/>
      <c r="WSD24" s="414"/>
      <c r="WSE24" s="414"/>
      <c r="WSF24" s="414"/>
      <c r="WSG24" s="414"/>
      <c r="WSH24" s="414"/>
      <c r="WSI24" s="414"/>
      <c r="WSJ24" s="414"/>
      <c r="WSK24" s="414"/>
      <c r="WSL24" s="414"/>
      <c r="WSM24" s="414"/>
      <c r="WSN24" s="414"/>
      <c r="WSO24" s="414"/>
      <c r="WSP24" s="414"/>
      <c r="WSQ24" s="414"/>
      <c r="WSR24" s="414"/>
      <c r="WSS24" s="414"/>
      <c r="WST24" s="414"/>
      <c r="WSU24" s="414"/>
      <c r="WSV24" s="414"/>
      <c r="WSW24" s="414"/>
      <c r="WSX24" s="414"/>
      <c r="WSY24" s="414"/>
      <c r="WSZ24" s="414"/>
      <c r="WTA24" s="414"/>
      <c r="WTB24" s="414"/>
      <c r="WTC24" s="414"/>
      <c r="WTD24" s="414"/>
      <c r="WTE24" s="414"/>
      <c r="WTF24" s="414"/>
      <c r="WTG24" s="414"/>
      <c r="WTH24" s="414"/>
      <c r="WTI24" s="414"/>
      <c r="WTJ24" s="414"/>
      <c r="WTK24" s="414"/>
      <c r="WTL24" s="414"/>
      <c r="WTM24" s="414"/>
      <c r="WTN24" s="414"/>
      <c r="WTO24" s="414"/>
      <c r="WTP24" s="414"/>
      <c r="WTQ24" s="414"/>
      <c r="WTR24" s="414"/>
      <c r="WTS24" s="414"/>
      <c r="WTT24" s="414"/>
      <c r="WTU24" s="414"/>
      <c r="WTV24" s="414"/>
      <c r="WTW24" s="414"/>
      <c r="WTX24" s="414"/>
      <c r="WTY24" s="414"/>
      <c r="WTZ24" s="414"/>
      <c r="WUA24" s="414"/>
      <c r="WUB24" s="414"/>
      <c r="WUC24" s="414"/>
      <c r="WUD24" s="414"/>
      <c r="WUE24" s="414"/>
      <c r="WUF24" s="414"/>
      <c r="WUG24" s="414"/>
      <c r="WUH24" s="414"/>
      <c r="WUI24" s="414"/>
      <c r="WUJ24" s="414"/>
      <c r="WUK24" s="414"/>
      <c r="WUL24" s="414"/>
      <c r="WUM24" s="414"/>
      <c r="WUN24" s="414"/>
      <c r="WUO24" s="414"/>
      <c r="WUP24" s="414"/>
      <c r="WUQ24" s="414"/>
      <c r="WUR24" s="414"/>
      <c r="WUS24" s="414"/>
      <c r="WUT24" s="414"/>
      <c r="WUU24" s="414"/>
      <c r="WUV24" s="414"/>
      <c r="WUW24" s="414"/>
      <c r="WUX24" s="414"/>
      <c r="WUY24" s="414"/>
      <c r="WUZ24" s="414"/>
      <c r="WVA24" s="414"/>
      <c r="WVB24" s="414"/>
      <c r="WVC24" s="414"/>
      <c r="WVD24" s="414"/>
      <c r="WVE24" s="414"/>
      <c r="WVF24" s="414"/>
      <c r="WVG24" s="414"/>
      <c r="WVH24" s="414"/>
      <c r="WVI24" s="414"/>
      <c r="WVJ24" s="414"/>
      <c r="WVK24" s="414"/>
      <c r="WVL24" s="414"/>
      <c r="WVM24" s="414"/>
      <c r="WVN24" s="414"/>
      <c r="WVO24" s="414"/>
      <c r="WVP24" s="414"/>
      <c r="WVQ24" s="414"/>
      <c r="WVR24" s="414"/>
      <c r="WVS24" s="414"/>
      <c r="WVT24" s="414"/>
      <c r="WVU24" s="414"/>
      <c r="WVV24" s="414"/>
      <c r="WVW24" s="414"/>
      <c r="WVX24" s="414"/>
      <c r="WVY24" s="414"/>
      <c r="WVZ24" s="414"/>
      <c r="WWA24" s="414"/>
      <c r="WWB24" s="414"/>
      <c r="WWC24" s="414"/>
      <c r="WWD24" s="414"/>
      <c r="WWE24" s="414"/>
      <c r="WWF24" s="414"/>
      <c r="WWG24" s="414"/>
      <c r="WWH24" s="414"/>
      <c r="WWI24" s="414"/>
      <c r="WWJ24" s="414"/>
      <c r="WWK24" s="414"/>
      <c r="WWL24" s="414"/>
      <c r="WWM24" s="414"/>
      <c r="WWN24" s="414"/>
      <c r="WWO24" s="414"/>
      <c r="WWP24" s="414"/>
      <c r="WWQ24" s="414"/>
      <c r="WWR24" s="414"/>
      <c r="WWS24" s="414"/>
      <c r="WWT24" s="414"/>
      <c r="WWU24" s="414"/>
      <c r="WWV24" s="414"/>
      <c r="WWW24" s="414"/>
      <c r="WWX24" s="414"/>
      <c r="WWY24" s="414"/>
      <c r="WWZ24" s="414"/>
      <c r="WXA24" s="414"/>
      <c r="WXB24" s="414"/>
      <c r="WXC24" s="414"/>
      <c r="WXD24" s="414"/>
      <c r="WXE24" s="414"/>
      <c r="WXF24" s="414"/>
      <c r="WXG24" s="414"/>
      <c r="WXH24" s="414"/>
      <c r="WXI24" s="414"/>
      <c r="WXJ24" s="414"/>
      <c r="WXK24" s="414"/>
      <c r="WXL24" s="414"/>
      <c r="WXM24" s="414"/>
      <c r="WXN24" s="414"/>
      <c r="WXO24" s="414"/>
      <c r="WXP24" s="414"/>
      <c r="WXQ24" s="414"/>
      <c r="WXR24" s="414"/>
      <c r="WXS24" s="414"/>
      <c r="WXT24" s="414"/>
      <c r="WXU24" s="414"/>
      <c r="WXV24" s="414"/>
      <c r="WXW24" s="414"/>
      <c r="WXX24" s="414"/>
      <c r="WXY24" s="414"/>
      <c r="WXZ24" s="414"/>
      <c r="WYA24" s="414"/>
      <c r="WYB24" s="414"/>
      <c r="WYC24" s="414"/>
      <c r="WYD24" s="414"/>
      <c r="WYE24" s="414"/>
      <c r="WYF24" s="414"/>
      <c r="WYG24" s="414"/>
      <c r="WYH24" s="414"/>
      <c r="WYI24" s="414"/>
      <c r="WYJ24" s="414"/>
      <c r="WYK24" s="414"/>
      <c r="WYL24" s="414"/>
      <c r="WYM24" s="414"/>
      <c r="WYN24" s="414"/>
      <c r="WYO24" s="414"/>
      <c r="WYP24" s="414"/>
      <c r="WYQ24" s="414"/>
      <c r="WYR24" s="414"/>
      <c r="WYS24" s="414"/>
      <c r="WYT24" s="414"/>
      <c r="WYU24" s="414"/>
      <c r="WYV24" s="414"/>
      <c r="WYW24" s="414"/>
      <c r="WYX24" s="414"/>
      <c r="WYY24" s="414"/>
      <c r="WYZ24" s="414"/>
      <c r="WZA24" s="414"/>
      <c r="WZB24" s="414"/>
      <c r="WZC24" s="414"/>
      <c r="WZD24" s="414"/>
      <c r="WZE24" s="414"/>
      <c r="WZF24" s="414"/>
      <c r="WZG24" s="414"/>
      <c r="WZH24" s="414"/>
      <c r="WZI24" s="414"/>
      <c r="WZJ24" s="414"/>
      <c r="WZK24" s="414"/>
      <c r="WZL24" s="414"/>
      <c r="WZM24" s="414"/>
      <c r="WZN24" s="414"/>
      <c r="WZO24" s="414"/>
      <c r="WZP24" s="414"/>
      <c r="WZQ24" s="414"/>
      <c r="WZR24" s="414"/>
      <c r="WZS24" s="414"/>
      <c r="WZT24" s="414"/>
      <c r="WZU24" s="414"/>
      <c r="WZV24" s="414"/>
      <c r="WZW24" s="414"/>
      <c r="WZX24" s="414"/>
      <c r="WZY24" s="414"/>
      <c r="WZZ24" s="414"/>
      <c r="XAA24" s="414"/>
      <c r="XAB24" s="414"/>
      <c r="XAC24" s="414"/>
      <c r="XAD24" s="414"/>
      <c r="XAE24" s="414"/>
      <c r="XAF24" s="414"/>
      <c r="XAG24" s="414"/>
      <c r="XAH24" s="414"/>
      <c r="XAI24" s="414"/>
      <c r="XAJ24" s="414"/>
      <c r="XAK24" s="414"/>
      <c r="XAL24" s="414"/>
      <c r="XAM24" s="414"/>
      <c r="XAN24" s="414"/>
      <c r="XAO24" s="414"/>
      <c r="XAP24" s="414"/>
      <c r="XAQ24" s="414"/>
      <c r="XAR24" s="414"/>
      <c r="XAS24" s="414"/>
      <c r="XAT24" s="414"/>
      <c r="XAU24" s="414"/>
      <c r="XAV24" s="414"/>
      <c r="XAW24" s="414"/>
      <c r="XAX24" s="414"/>
      <c r="XAY24" s="414"/>
      <c r="XAZ24" s="414"/>
      <c r="XBA24" s="414"/>
      <c r="XBB24" s="414"/>
      <c r="XBC24" s="414"/>
      <c r="XBD24" s="414"/>
      <c r="XBE24" s="414"/>
      <c r="XBF24" s="414"/>
      <c r="XBG24" s="414"/>
      <c r="XBH24" s="414"/>
      <c r="XBI24" s="414"/>
      <c r="XBJ24" s="414"/>
      <c r="XBK24" s="414"/>
      <c r="XBL24" s="414"/>
      <c r="XBM24" s="414"/>
      <c r="XBN24" s="414"/>
      <c r="XBO24" s="414"/>
      <c r="XBP24" s="414"/>
      <c r="XBQ24" s="414"/>
      <c r="XBR24" s="414"/>
      <c r="XBS24" s="414"/>
      <c r="XBT24" s="414"/>
      <c r="XBU24" s="414"/>
      <c r="XBV24" s="414"/>
      <c r="XBW24" s="414"/>
      <c r="XBX24" s="414"/>
      <c r="XBY24" s="414"/>
      <c r="XBZ24" s="414"/>
      <c r="XCA24" s="414"/>
      <c r="XCB24" s="414"/>
      <c r="XCC24" s="414"/>
      <c r="XCD24" s="414"/>
      <c r="XCE24" s="414"/>
      <c r="XCF24" s="414"/>
      <c r="XCG24" s="414"/>
      <c r="XCH24" s="414"/>
      <c r="XCI24" s="414"/>
      <c r="XCJ24" s="414"/>
      <c r="XCK24" s="414"/>
      <c r="XCL24" s="414"/>
      <c r="XCM24" s="414"/>
      <c r="XCN24" s="414"/>
      <c r="XCO24" s="414"/>
      <c r="XCP24" s="414"/>
      <c r="XCQ24" s="414"/>
      <c r="XCR24" s="414"/>
      <c r="XCS24" s="414"/>
      <c r="XCT24" s="414"/>
      <c r="XCU24" s="414"/>
      <c r="XCV24" s="414"/>
      <c r="XCW24" s="414"/>
      <c r="XCX24" s="414"/>
      <c r="XCY24" s="414"/>
      <c r="XCZ24" s="414"/>
      <c r="XDA24" s="414"/>
      <c r="XDB24" s="414"/>
      <c r="XDC24" s="414"/>
      <c r="XDD24" s="414"/>
      <c r="XDE24" s="414"/>
      <c r="XDF24" s="414"/>
      <c r="XDG24" s="414"/>
      <c r="XDH24" s="414"/>
      <c r="XDI24" s="414"/>
      <c r="XDJ24" s="414"/>
      <c r="XDK24" s="414"/>
      <c r="XDL24" s="414"/>
      <c r="XDM24" s="414"/>
      <c r="XDN24" s="414"/>
      <c r="XDO24" s="414"/>
      <c r="XDP24" s="414"/>
      <c r="XDQ24" s="414"/>
      <c r="XDR24" s="414"/>
      <c r="XDS24" s="414"/>
      <c r="XDT24" s="414"/>
      <c r="XDU24" s="414"/>
      <c r="XDV24" s="414"/>
      <c r="XDW24" s="414"/>
      <c r="XDX24" s="414"/>
      <c r="XDY24" s="414"/>
      <c r="XDZ24" s="414"/>
      <c r="XEA24" s="414"/>
      <c r="XEB24" s="414"/>
      <c r="XEC24" s="414"/>
      <c r="XED24" s="414"/>
      <c r="XEE24" s="414"/>
      <c r="XEF24" s="414"/>
      <c r="XEG24" s="414"/>
      <c r="XEH24" s="414"/>
      <c r="XEI24" s="414"/>
      <c r="XEJ24" s="414"/>
      <c r="XEK24" s="414"/>
      <c r="XEL24" s="414"/>
      <c r="XEM24" s="414"/>
      <c r="XEN24" s="414"/>
      <c r="XEO24" s="414"/>
      <c r="XEP24" s="414"/>
      <c r="XEQ24" s="414"/>
      <c r="XER24" s="414"/>
      <c r="XES24" s="414"/>
      <c r="XET24" s="414"/>
      <c r="XEU24" s="414"/>
      <c r="XEV24" s="414"/>
      <c r="XEW24" s="414"/>
      <c r="XEX24" s="414"/>
      <c r="XEY24" s="414"/>
      <c r="XEZ24" s="414"/>
      <c r="XFA24" s="414"/>
      <c r="XFB24" s="414"/>
      <c r="XFC24" s="414"/>
      <c r="XFD24" s="414"/>
    </row>
    <row r="25" spans="1:16384" x14ac:dyDescent="0.2">
      <c r="B25" s="419"/>
      <c r="C25" s="419"/>
      <c r="D25" s="419"/>
      <c r="E25" s="420"/>
      <c r="F25" s="421"/>
      <c r="G25" s="421"/>
      <c r="H25" s="421"/>
      <c r="I25" s="68"/>
      <c r="J25" s="68"/>
      <c r="K25" s="68"/>
      <c r="L25" s="68"/>
      <c r="M25" s="68"/>
      <c r="N25" s="68"/>
      <c r="O25" s="68"/>
      <c r="P25" s="68"/>
      <c r="Q25" s="68"/>
      <c r="AD25" s="434"/>
      <c r="AE25" s="434"/>
      <c r="AF25" s="434"/>
      <c r="AG25" s="432"/>
      <c r="AH25" s="421"/>
      <c r="AI25" s="421"/>
      <c r="AJ25" s="421"/>
      <c r="AK25" s="68"/>
      <c r="AL25" s="68"/>
      <c r="AM25" s="68"/>
      <c r="AN25" s="68"/>
      <c r="AO25" s="68"/>
      <c r="AP25" s="68"/>
      <c r="AQ25" s="68"/>
      <c r="AR25" s="68"/>
      <c r="AS25" s="68"/>
      <c r="BF25" s="439"/>
      <c r="BG25" s="439"/>
      <c r="BH25" s="439"/>
      <c r="BI25" s="439"/>
      <c r="BJ25" s="426"/>
      <c r="BK25" s="426"/>
      <c r="BL25" s="426"/>
      <c r="BM25" s="68"/>
      <c r="BN25" s="68"/>
      <c r="BO25" s="68"/>
      <c r="BP25" s="68"/>
      <c r="BQ25" s="68"/>
      <c r="BR25" s="68"/>
      <c r="BS25" s="68"/>
      <c r="BT25" s="68"/>
      <c r="BU25" s="68"/>
      <c r="CH25" s="68"/>
      <c r="CI25" s="68"/>
      <c r="CJ25" s="68"/>
      <c r="CK25" s="68"/>
      <c r="CL25" s="433"/>
      <c r="CM25" s="433"/>
      <c r="CN25" s="433"/>
      <c r="CO25" s="68"/>
      <c r="CP25" s="68"/>
      <c r="CQ25" s="68"/>
      <c r="CR25" s="68"/>
      <c r="CS25" s="68"/>
      <c r="CT25" s="68"/>
      <c r="CU25" s="68"/>
      <c r="CV25" s="68"/>
      <c r="CW25" s="68"/>
      <c r="DJ25" s="68"/>
      <c r="DK25" s="68"/>
      <c r="DL25" s="68"/>
      <c r="DM25" s="68"/>
      <c r="DN25" s="68"/>
      <c r="DO25" s="68"/>
      <c r="DP25" s="68"/>
      <c r="DQ25" s="68"/>
      <c r="DR25" s="68"/>
      <c r="DS25" s="68"/>
      <c r="DT25" s="68"/>
      <c r="DU25" s="68"/>
      <c r="DV25" s="475"/>
      <c r="DW25" s="475"/>
      <c r="DX25" s="475"/>
      <c r="DY25" s="476"/>
      <c r="DZ25" s="415"/>
      <c r="EA25" s="415"/>
      <c r="EB25" s="415"/>
      <c r="EC25" s="415"/>
      <c r="ED25" s="415"/>
      <c r="EE25" s="415"/>
      <c r="EF25" s="415"/>
      <c r="EG25" s="415"/>
      <c r="EH25" s="415"/>
      <c r="EI25" s="415"/>
      <c r="EJ25" s="415"/>
      <c r="EK25" s="415"/>
      <c r="EL25" s="471"/>
      <c r="EM25" s="471"/>
      <c r="EN25" s="471"/>
      <c r="EO25" s="471"/>
      <c r="EP25" s="471"/>
      <c r="EQ25" s="471"/>
      <c r="ER25" s="471"/>
      <c r="ES25" s="471"/>
      <c r="FF25" s="446"/>
      <c r="FG25" s="446"/>
      <c r="FH25" s="446"/>
      <c r="FI25" s="446"/>
      <c r="FJ25" s="471"/>
      <c r="FK25" s="471"/>
      <c r="FL25" s="471"/>
      <c r="FM25" s="471"/>
      <c r="FN25" s="471"/>
      <c r="FO25" s="471"/>
      <c r="FP25" s="471"/>
      <c r="FQ25" s="471"/>
      <c r="GD25" s="446"/>
      <c r="GE25" s="446"/>
      <c r="GF25" s="446"/>
      <c r="GG25" s="446"/>
      <c r="GH25" s="471"/>
      <c r="GI25" s="471"/>
      <c r="GJ25" s="471"/>
      <c r="GK25" s="471"/>
      <c r="GL25" s="471"/>
      <c r="GM25" s="471"/>
      <c r="GN25" s="471"/>
      <c r="GO25" s="471"/>
      <c r="GP25" s="408" t="s">
        <v>473</v>
      </c>
      <c r="GX25" s="446"/>
      <c r="GY25" s="446"/>
      <c r="GZ25" s="446"/>
      <c r="HA25" s="446"/>
      <c r="HB25" s="471"/>
      <c r="HC25" s="471"/>
      <c r="HD25" s="471"/>
      <c r="HE25" s="471"/>
      <c r="HF25" s="471"/>
      <c r="HG25" s="471"/>
      <c r="HH25" s="471"/>
      <c r="HI25" s="471"/>
      <c r="HV25" s="471"/>
      <c r="HW25" s="471"/>
      <c r="HX25" s="471"/>
      <c r="HY25" s="471"/>
      <c r="HZ25" s="471"/>
      <c r="IA25" s="471"/>
      <c r="IB25" s="471"/>
      <c r="IC25" s="471"/>
      <c r="IP25" s="446"/>
      <c r="IQ25" s="446"/>
      <c r="IR25" s="446"/>
      <c r="IS25" s="446"/>
      <c r="IT25" s="471"/>
      <c r="IU25" s="471"/>
      <c r="IV25" s="471"/>
      <c r="IW25" s="471"/>
      <c r="IX25" s="471"/>
      <c r="IY25" s="471"/>
      <c r="IZ25" s="471"/>
      <c r="JA25" s="471"/>
      <c r="JN25" s="471"/>
      <c r="JO25" s="471"/>
      <c r="JP25" s="471"/>
      <c r="JQ25" s="471"/>
      <c r="JR25" s="471"/>
      <c r="JS25" s="471"/>
      <c r="JT25" s="471"/>
      <c r="JU25" s="471"/>
      <c r="KH25" s="446"/>
      <c r="KI25" s="446"/>
      <c r="KJ25" s="446"/>
      <c r="KK25" s="446"/>
      <c r="KL25" s="471"/>
      <c r="KM25" s="471"/>
      <c r="KN25" s="471"/>
      <c r="KO25" s="471"/>
      <c r="KP25" s="471"/>
      <c r="KQ25" s="471"/>
      <c r="KR25" s="471"/>
      <c r="KS25" s="471"/>
      <c r="LF25" s="446"/>
      <c r="LG25" s="446"/>
      <c r="LH25" s="446"/>
      <c r="LI25" s="446"/>
      <c r="LJ25" s="471"/>
      <c r="LK25" s="471"/>
      <c r="LL25" s="471"/>
      <c r="LM25" s="471"/>
      <c r="LN25" s="471"/>
      <c r="LO25" s="471"/>
      <c r="LP25" s="471"/>
      <c r="LQ25" s="471"/>
      <c r="MD25" s="446"/>
      <c r="ME25" s="446"/>
      <c r="MF25" s="448"/>
      <c r="MG25" s="446"/>
      <c r="MH25" s="471"/>
      <c r="MI25" s="471"/>
      <c r="MJ25" s="471"/>
      <c r="MK25" s="471"/>
      <c r="ML25" s="471"/>
      <c r="MM25" s="471"/>
      <c r="MN25" s="471"/>
      <c r="MO25" s="471"/>
      <c r="NB25" s="446"/>
      <c r="NC25" s="446"/>
      <c r="ND25" s="446"/>
      <c r="NE25" s="446"/>
      <c r="NF25" s="471"/>
      <c r="NG25" s="471"/>
      <c r="NH25" s="471"/>
      <c r="NI25" s="471"/>
      <c r="NJ25" s="471"/>
      <c r="NK25" s="471"/>
      <c r="NL25" s="471"/>
      <c r="NM25" s="471"/>
      <c r="NZ25" s="446"/>
      <c r="OA25" s="446"/>
      <c r="OB25" s="446"/>
      <c r="OC25" s="446"/>
      <c r="OD25" s="471"/>
      <c r="OE25" s="471"/>
      <c r="OF25" s="471"/>
      <c r="OG25" s="471"/>
      <c r="OH25" s="471"/>
      <c r="OI25" s="471"/>
      <c r="OJ25" s="471"/>
      <c r="OK25" s="471"/>
      <c r="OX25" s="446"/>
      <c r="OY25" s="446"/>
      <c r="OZ25" s="446"/>
      <c r="PA25" s="446"/>
      <c r="PB25" s="471"/>
      <c r="PC25" s="471"/>
      <c r="PD25" s="471"/>
      <c r="PE25" s="471"/>
      <c r="PF25" s="471"/>
      <c r="PG25" s="471"/>
      <c r="PH25" s="471"/>
      <c r="PI25" s="471"/>
      <c r="PV25" s="471"/>
      <c r="PW25" s="471"/>
      <c r="PX25" s="471"/>
      <c r="PY25" s="471"/>
      <c r="PZ25" s="471"/>
      <c r="QA25" s="471"/>
      <c r="QB25" s="471"/>
      <c r="QC25" s="471"/>
      <c r="QP25" s="446"/>
      <c r="QQ25" s="446"/>
      <c r="QR25" s="446"/>
      <c r="QS25" s="446"/>
      <c r="QT25" s="471"/>
      <c r="QU25" s="471"/>
      <c r="QV25" s="471"/>
      <c r="QW25" s="471"/>
      <c r="QX25" s="471"/>
      <c r="QY25" s="471"/>
      <c r="QZ25" s="471"/>
      <c r="RA25" s="471"/>
      <c r="RN25" s="446"/>
      <c r="RO25" s="446"/>
      <c r="RP25" s="446"/>
      <c r="RQ25" s="446"/>
      <c r="RR25" s="471"/>
      <c r="RS25" s="471"/>
      <c r="RT25" s="471"/>
      <c r="RU25" s="471"/>
      <c r="RV25" s="471"/>
      <c r="RW25" s="471"/>
      <c r="RX25" s="471"/>
      <c r="RY25" s="471"/>
      <c r="SL25" s="450"/>
      <c r="SM25" s="450"/>
      <c r="SN25" s="450"/>
      <c r="SO25" s="449"/>
      <c r="SP25" s="471"/>
      <c r="SQ25" s="471"/>
      <c r="SR25" s="471"/>
      <c r="SS25" s="471"/>
      <c r="ST25" s="471"/>
      <c r="SU25" s="471"/>
      <c r="SV25" s="471"/>
      <c r="SW25" s="471"/>
      <c r="TJ25" s="449"/>
      <c r="TK25" s="449"/>
      <c r="TL25" s="449"/>
      <c r="TM25" s="449"/>
      <c r="TN25" s="471"/>
      <c r="TO25" s="471"/>
      <c r="TP25" s="471"/>
      <c r="TQ25" s="471"/>
      <c r="TR25" s="471"/>
      <c r="TS25" s="471"/>
      <c r="TT25" s="471"/>
      <c r="TU25" s="471"/>
      <c r="UH25" s="452"/>
      <c r="UI25" s="451"/>
      <c r="UJ25" s="451"/>
      <c r="UK25" s="449"/>
      <c r="UL25" s="471"/>
      <c r="UM25" s="471"/>
      <c r="UN25" s="471"/>
      <c r="UO25" s="471"/>
      <c r="UP25" s="471"/>
      <c r="UQ25" s="471"/>
      <c r="UR25" s="471"/>
      <c r="US25" s="471"/>
      <c r="XN25" s="415">
        <v>0</v>
      </c>
      <c r="XO25" s="415">
        <v>0</v>
      </c>
      <c r="XP25" s="415">
        <v>0</v>
      </c>
      <c r="XQ25" s="415">
        <v>0</v>
      </c>
      <c r="XR25" s="415"/>
      <c r="XS25" s="415"/>
      <c r="XT25" s="415"/>
      <c r="XU25" s="415"/>
      <c r="XV25" s="415"/>
      <c r="XW25" s="415"/>
      <c r="XX25" s="415"/>
      <c r="XY25" s="415"/>
      <c r="ZU25" s="458"/>
      <c r="ZV25" s="458"/>
      <c r="ZW25" s="458"/>
      <c r="AAP25" s="414"/>
      <c r="AAQ25" s="417"/>
      <c r="AAR25" s="417"/>
    </row>
    <row r="26" spans="1:16384" x14ac:dyDescent="0.2">
      <c r="B26" s="423"/>
      <c r="C26" s="423"/>
      <c r="D26" s="423"/>
      <c r="E26" s="420"/>
      <c r="F26" s="424"/>
      <c r="G26" s="424"/>
      <c r="H26" s="424"/>
      <c r="I26" s="68"/>
      <c r="J26" s="68"/>
      <c r="K26" s="68"/>
      <c r="L26" s="68"/>
      <c r="M26" s="68"/>
      <c r="N26" s="68"/>
      <c r="O26" s="68"/>
      <c r="P26" s="68"/>
      <c r="Q26" s="68"/>
      <c r="AD26" s="431"/>
      <c r="AE26" s="431"/>
      <c r="AF26" s="431"/>
      <c r="AG26" s="432"/>
      <c r="AH26" s="433"/>
      <c r="AI26" s="433"/>
      <c r="AJ26" s="433"/>
      <c r="AK26" s="68"/>
      <c r="AL26" s="68"/>
      <c r="AM26" s="68"/>
      <c r="AN26" s="68"/>
      <c r="AO26" s="68"/>
      <c r="AP26" s="68"/>
      <c r="AQ26" s="68"/>
      <c r="AR26" s="68"/>
      <c r="AS26" s="68"/>
      <c r="BF26" s="439"/>
      <c r="BG26" s="439"/>
      <c r="BH26" s="439"/>
      <c r="BI26" s="439"/>
      <c r="BJ26" s="426"/>
      <c r="BK26" s="426"/>
      <c r="BL26" s="426"/>
      <c r="BM26" s="68"/>
      <c r="BN26" s="68"/>
      <c r="BO26" s="68"/>
      <c r="BP26" s="68"/>
      <c r="BQ26" s="68"/>
      <c r="BR26" s="68"/>
      <c r="BS26" s="68"/>
      <c r="BT26" s="68"/>
      <c r="BU26" s="68"/>
      <c r="CH26" s="68"/>
      <c r="CI26" s="68"/>
      <c r="CJ26" s="68"/>
      <c r="CK26" s="68"/>
      <c r="CL26" s="424"/>
      <c r="CM26" s="424"/>
      <c r="CN26" s="424"/>
      <c r="CO26" s="68"/>
      <c r="CP26" s="68"/>
      <c r="CQ26" s="68"/>
      <c r="CR26" s="68"/>
      <c r="CS26" s="68"/>
      <c r="CT26" s="68"/>
      <c r="CU26" s="68"/>
      <c r="CV26" s="68"/>
      <c r="CW26" s="68"/>
      <c r="DJ26" s="68"/>
      <c r="DK26" s="68"/>
      <c r="DL26" s="68"/>
      <c r="DM26" s="68"/>
      <c r="DN26" s="68"/>
      <c r="DO26" s="68"/>
      <c r="DP26" s="68"/>
      <c r="DQ26" s="68"/>
      <c r="DR26" s="68"/>
      <c r="DS26" s="68"/>
      <c r="DT26" s="68"/>
      <c r="DU26" s="68"/>
      <c r="DV26" s="475"/>
      <c r="DW26" s="475"/>
      <c r="DX26" s="475"/>
      <c r="DY26" s="476"/>
      <c r="DZ26" s="415"/>
      <c r="EA26" s="415"/>
      <c r="EB26" s="415"/>
      <c r="EC26" s="415"/>
      <c r="ED26" s="415"/>
      <c r="EE26" s="415"/>
      <c r="EF26" s="415"/>
      <c r="EG26" s="415"/>
      <c r="EH26" s="415"/>
      <c r="EI26" s="415"/>
      <c r="EJ26" s="415"/>
      <c r="EK26" s="415"/>
      <c r="EL26" s="471"/>
      <c r="EM26" s="471"/>
      <c r="EN26" s="471"/>
      <c r="EO26" s="471"/>
      <c r="EP26" s="471"/>
      <c r="EQ26" s="471"/>
      <c r="ER26" s="471"/>
      <c r="ES26" s="471"/>
      <c r="FF26" s="446"/>
      <c r="FG26" s="446"/>
      <c r="FH26" s="446"/>
      <c r="FI26" s="446"/>
      <c r="FJ26" s="471"/>
      <c r="FK26" s="471"/>
      <c r="FL26" s="471"/>
      <c r="FM26" s="471"/>
      <c r="FN26" s="471"/>
      <c r="FO26" s="471"/>
      <c r="FP26" s="471"/>
      <c r="FQ26" s="471"/>
      <c r="GD26" s="446"/>
      <c r="GE26" s="446"/>
      <c r="GF26" s="446"/>
      <c r="GG26" s="446"/>
      <c r="GH26" s="471"/>
      <c r="GI26" s="471"/>
      <c r="GJ26" s="471"/>
      <c r="GK26" s="471"/>
      <c r="GL26" s="471"/>
      <c r="GM26" s="471"/>
      <c r="GN26" s="471"/>
      <c r="GO26" s="471"/>
      <c r="GX26" s="446"/>
      <c r="GY26" s="446"/>
      <c r="GZ26" s="446"/>
      <c r="HA26" s="446"/>
      <c r="HB26" s="471"/>
      <c r="HC26" s="471"/>
      <c r="HD26" s="471"/>
      <c r="HE26" s="471"/>
      <c r="HF26" s="471"/>
      <c r="HG26" s="471"/>
      <c r="HH26" s="471"/>
      <c r="HI26" s="471"/>
      <c r="HV26" s="471"/>
      <c r="HW26" s="471"/>
      <c r="HX26" s="471"/>
      <c r="HY26" s="471"/>
      <c r="HZ26" s="471"/>
      <c r="IA26" s="471"/>
      <c r="IB26" s="471"/>
      <c r="IC26" s="471"/>
      <c r="IP26" s="446"/>
      <c r="IQ26" s="446"/>
      <c r="IR26" s="446"/>
      <c r="IS26" s="446"/>
      <c r="IT26" s="471"/>
      <c r="IU26" s="471"/>
      <c r="IV26" s="471"/>
      <c r="IW26" s="471"/>
      <c r="IX26" s="471"/>
      <c r="IY26" s="471"/>
      <c r="IZ26" s="471"/>
      <c r="JA26" s="471"/>
      <c r="JN26" s="471"/>
      <c r="JO26" s="471"/>
      <c r="JP26" s="471"/>
      <c r="JQ26" s="471"/>
      <c r="JR26" s="471"/>
      <c r="JS26" s="471"/>
      <c r="JT26" s="471"/>
      <c r="JU26" s="471"/>
      <c r="KH26" s="446"/>
      <c r="KI26" s="446"/>
      <c r="KJ26" s="446"/>
      <c r="KK26" s="446"/>
      <c r="KL26" s="471"/>
      <c r="KM26" s="471"/>
      <c r="KN26" s="471"/>
      <c r="KO26" s="471"/>
      <c r="KP26" s="471"/>
      <c r="KQ26" s="471"/>
      <c r="KR26" s="471"/>
      <c r="KS26" s="471"/>
      <c r="LF26" s="446"/>
      <c r="LG26" s="446"/>
      <c r="LH26" s="446"/>
      <c r="LI26" s="446"/>
      <c r="LJ26" s="471"/>
      <c r="LK26" s="471"/>
      <c r="LL26" s="471"/>
      <c r="LM26" s="471"/>
      <c r="LN26" s="471"/>
      <c r="LO26" s="471"/>
      <c r="LP26" s="471"/>
      <c r="LQ26" s="471"/>
      <c r="MD26" s="446"/>
      <c r="ME26" s="446"/>
      <c r="MF26" s="448"/>
      <c r="MG26" s="446"/>
      <c r="MH26" s="471"/>
      <c r="MI26" s="471"/>
      <c r="MJ26" s="471"/>
      <c r="MK26" s="471"/>
      <c r="ML26" s="471"/>
      <c r="MM26" s="471"/>
      <c r="MN26" s="471"/>
      <c r="MO26" s="471"/>
      <c r="NB26" s="446"/>
      <c r="NC26" s="446"/>
      <c r="ND26" s="446"/>
      <c r="NE26" s="446"/>
      <c r="NF26" s="471"/>
      <c r="NG26" s="471"/>
      <c r="NH26" s="471"/>
      <c r="NI26" s="471"/>
      <c r="NJ26" s="471"/>
      <c r="NK26" s="471"/>
      <c r="NL26" s="471"/>
      <c r="NM26" s="471"/>
      <c r="NZ26" s="446"/>
      <c r="OA26" s="446"/>
      <c r="OB26" s="446"/>
      <c r="OC26" s="446"/>
      <c r="OD26" s="471"/>
      <c r="OE26" s="471"/>
      <c r="OF26" s="471"/>
      <c r="OG26" s="471"/>
      <c r="OH26" s="471"/>
      <c r="OI26" s="471"/>
      <c r="OJ26" s="471"/>
      <c r="OK26" s="471"/>
      <c r="OX26" s="446"/>
      <c r="OY26" s="446"/>
      <c r="OZ26" s="446"/>
      <c r="PA26" s="446"/>
      <c r="PB26" s="471"/>
      <c r="PC26" s="471"/>
      <c r="PD26" s="471"/>
      <c r="PE26" s="471"/>
      <c r="PF26" s="471"/>
      <c r="PG26" s="471"/>
      <c r="PH26" s="471"/>
      <c r="PI26" s="471"/>
      <c r="PV26" s="471"/>
      <c r="PW26" s="471"/>
      <c r="PX26" s="471"/>
      <c r="PY26" s="471"/>
      <c r="PZ26" s="471"/>
      <c r="QA26" s="471"/>
      <c r="QB26" s="471"/>
      <c r="QC26" s="471"/>
      <c r="QP26" s="446"/>
      <c r="QQ26" s="446"/>
      <c r="QR26" s="446"/>
      <c r="QS26" s="446"/>
      <c r="QT26" s="471"/>
      <c r="QU26" s="471"/>
      <c r="QV26" s="471"/>
      <c r="QW26" s="471"/>
      <c r="QX26" s="471"/>
      <c r="QY26" s="471"/>
      <c r="QZ26" s="471"/>
      <c r="RA26" s="471"/>
      <c r="RN26" s="446"/>
      <c r="RO26" s="446"/>
      <c r="RP26" s="446"/>
      <c r="RQ26" s="446"/>
      <c r="RR26" s="471"/>
      <c r="RS26" s="471"/>
      <c r="RT26" s="471"/>
      <c r="RU26" s="471"/>
      <c r="RV26" s="471"/>
      <c r="RW26" s="471"/>
      <c r="RX26" s="471"/>
      <c r="RY26" s="471"/>
      <c r="SL26" s="450"/>
      <c r="SM26" s="450"/>
      <c r="SN26" s="450"/>
      <c r="SO26" s="449"/>
      <c r="SP26" s="471"/>
      <c r="SQ26" s="471"/>
      <c r="SR26" s="471"/>
      <c r="SS26" s="471"/>
      <c r="ST26" s="471"/>
      <c r="SU26" s="471"/>
      <c r="SV26" s="471"/>
      <c r="SW26" s="471"/>
      <c r="TJ26" s="449"/>
      <c r="TK26" s="449"/>
      <c r="TL26" s="449"/>
      <c r="TM26" s="449"/>
      <c r="TN26" s="471"/>
      <c r="TO26" s="471"/>
      <c r="TP26" s="471"/>
      <c r="TQ26" s="471"/>
      <c r="TR26" s="471"/>
      <c r="TS26" s="471"/>
      <c r="TT26" s="471"/>
      <c r="TU26" s="471"/>
      <c r="UH26" s="449"/>
      <c r="UI26" s="452"/>
      <c r="UJ26" s="452"/>
      <c r="UK26" s="449"/>
      <c r="UL26" s="471"/>
      <c r="UM26" s="471"/>
      <c r="UN26" s="471"/>
      <c r="UO26" s="471"/>
      <c r="UP26" s="471"/>
      <c r="UQ26" s="471"/>
      <c r="UR26" s="471"/>
      <c r="US26" s="471"/>
      <c r="XN26" s="415">
        <v>0</v>
      </c>
      <c r="XO26" s="415">
        <v>0</v>
      </c>
      <c r="XP26" s="415">
        <v>0</v>
      </c>
      <c r="XQ26" s="415">
        <v>0</v>
      </c>
      <c r="XR26" s="415"/>
      <c r="XS26" s="415"/>
      <c r="XT26" s="415"/>
      <c r="XU26" s="415"/>
      <c r="XV26" s="415"/>
      <c r="XW26" s="415"/>
      <c r="XX26" s="415"/>
      <c r="XY26" s="415"/>
      <c r="XZ26" s="415"/>
      <c r="ZU26" s="458"/>
      <c r="ZV26" s="458"/>
      <c r="ZW26" s="458"/>
      <c r="ZX26" s="433"/>
      <c r="AAP26" s="414"/>
      <c r="AAQ26" s="417"/>
      <c r="AAR26" s="417"/>
    </row>
    <row r="27" spans="1:16384" x14ac:dyDescent="0.2">
      <c r="B27" s="425"/>
      <c r="C27" s="425"/>
      <c r="D27" s="425"/>
      <c r="E27" s="420"/>
      <c r="F27" s="426"/>
      <c r="G27" s="426"/>
      <c r="H27" s="426"/>
      <c r="I27" s="68"/>
      <c r="J27" s="68"/>
      <c r="K27" s="68"/>
      <c r="L27" s="68"/>
      <c r="M27" s="68"/>
      <c r="N27" s="68"/>
      <c r="O27" s="68"/>
      <c r="P27" s="68"/>
      <c r="Q27" s="68"/>
      <c r="AD27" s="431"/>
      <c r="AE27" s="431"/>
      <c r="AF27" s="431"/>
      <c r="AG27" s="432"/>
      <c r="AH27" s="433"/>
      <c r="AI27" s="433"/>
      <c r="AJ27" s="433"/>
      <c r="AK27" s="68"/>
      <c r="AL27" s="68"/>
      <c r="AM27" s="68"/>
      <c r="AN27" s="68"/>
      <c r="AO27" s="68"/>
      <c r="AP27" s="68"/>
      <c r="AQ27" s="68"/>
      <c r="AR27" s="68"/>
      <c r="AS27" s="68"/>
      <c r="BF27" s="439"/>
      <c r="BG27" s="439"/>
      <c r="BH27" s="439"/>
      <c r="BI27" s="439"/>
      <c r="BJ27" s="428"/>
      <c r="BK27" s="428"/>
      <c r="BL27" s="428"/>
      <c r="BM27" s="68"/>
      <c r="BN27" s="68"/>
      <c r="BO27" s="68"/>
      <c r="BP27" s="68"/>
      <c r="BQ27" s="68"/>
      <c r="BR27" s="68"/>
      <c r="BS27" s="68"/>
      <c r="BT27" s="68"/>
      <c r="BU27" s="68"/>
      <c r="CH27" s="68"/>
      <c r="CI27" s="68"/>
      <c r="CJ27" s="68"/>
      <c r="CK27" s="68"/>
      <c r="CL27" s="428"/>
      <c r="CM27" s="428"/>
      <c r="CN27" s="428"/>
      <c r="CO27" s="68"/>
      <c r="CP27" s="68"/>
      <c r="CQ27" s="68"/>
      <c r="CR27" s="68"/>
      <c r="CS27" s="68"/>
      <c r="CT27" s="68"/>
      <c r="CU27" s="68"/>
      <c r="CV27" s="68"/>
      <c r="CW27" s="68"/>
      <c r="DJ27" s="68"/>
      <c r="DK27" s="68"/>
      <c r="DL27" s="68"/>
      <c r="DM27" s="68"/>
      <c r="DN27" s="68"/>
      <c r="DO27" s="68"/>
      <c r="DP27" s="68"/>
      <c r="DQ27" s="68"/>
      <c r="DR27" s="68"/>
      <c r="DS27" s="68"/>
      <c r="DT27" s="68"/>
      <c r="DU27" s="68"/>
      <c r="DV27" s="475"/>
      <c r="DW27" s="475"/>
      <c r="DX27" s="475"/>
      <c r="DY27" s="476"/>
      <c r="DZ27" s="415"/>
      <c r="EA27" s="415"/>
      <c r="EB27" s="415"/>
      <c r="EC27" s="415"/>
      <c r="ED27" s="415"/>
      <c r="EE27" s="415"/>
      <c r="EF27" s="415"/>
      <c r="EG27" s="415"/>
      <c r="EH27" s="415"/>
      <c r="EI27" s="415"/>
      <c r="EJ27" s="415"/>
      <c r="EK27" s="415"/>
      <c r="EL27" s="473"/>
      <c r="EM27" s="473"/>
      <c r="EN27" s="473"/>
      <c r="EO27" s="473"/>
      <c r="EP27" s="473"/>
      <c r="EQ27" s="473"/>
      <c r="ER27" s="473"/>
      <c r="ES27" s="473"/>
      <c r="FF27" s="446"/>
      <c r="FG27" s="446"/>
      <c r="FH27" s="446"/>
      <c r="FI27" s="446"/>
      <c r="FJ27" s="473"/>
      <c r="FK27" s="473"/>
      <c r="FL27" s="473"/>
      <c r="FM27" s="473"/>
      <c r="FN27" s="473"/>
      <c r="FO27" s="473"/>
      <c r="FP27" s="473"/>
      <c r="FQ27" s="473"/>
      <c r="GD27" s="446"/>
      <c r="GE27" s="446"/>
      <c r="GF27" s="446"/>
      <c r="GG27" s="446"/>
      <c r="GH27" s="473"/>
      <c r="GI27" s="473"/>
      <c r="GJ27" s="473"/>
      <c r="GK27" s="473"/>
      <c r="GL27" s="473"/>
      <c r="GM27" s="473"/>
      <c r="GN27" s="473"/>
      <c r="GO27" s="473"/>
      <c r="GX27" s="446"/>
      <c r="GY27" s="446"/>
      <c r="GZ27" s="446"/>
      <c r="HA27" s="446"/>
      <c r="HB27" s="473"/>
      <c r="HC27" s="473"/>
      <c r="HD27" s="473"/>
      <c r="HE27" s="473"/>
      <c r="HF27" s="473"/>
      <c r="HG27" s="473"/>
      <c r="HH27" s="473"/>
      <c r="HI27" s="473"/>
      <c r="HV27" s="473"/>
      <c r="HW27" s="473"/>
      <c r="HX27" s="473"/>
      <c r="HY27" s="473"/>
      <c r="HZ27" s="473"/>
      <c r="IA27" s="473"/>
      <c r="IB27" s="473"/>
      <c r="IC27" s="473"/>
      <c r="IP27" s="446"/>
      <c r="IQ27" s="446"/>
      <c r="IR27" s="446"/>
      <c r="IS27" s="446"/>
      <c r="IT27" s="473"/>
      <c r="IU27" s="473"/>
      <c r="IV27" s="473"/>
      <c r="IW27" s="473"/>
      <c r="IX27" s="473"/>
      <c r="IY27" s="473"/>
      <c r="IZ27" s="473"/>
      <c r="JA27" s="473"/>
      <c r="JN27" s="473"/>
      <c r="JO27" s="473"/>
      <c r="JP27" s="473"/>
      <c r="JQ27" s="473"/>
      <c r="JR27" s="473"/>
      <c r="JS27" s="473"/>
      <c r="JT27" s="473"/>
      <c r="JU27" s="473"/>
      <c r="KH27" s="446"/>
      <c r="KI27" s="446"/>
      <c r="KJ27" s="446"/>
      <c r="KK27" s="446"/>
      <c r="KL27" s="473"/>
      <c r="KM27" s="473"/>
      <c r="KN27" s="473"/>
      <c r="KO27" s="473"/>
      <c r="KP27" s="473"/>
      <c r="KQ27" s="473"/>
      <c r="KR27" s="473"/>
      <c r="KS27" s="473"/>
      <c r="LF27" s="448"/>
      <c r="LG27" s="448"/>
      <c r="LH27" s="448"/>
      <c r="LI27" s="446"/>
      <c r="LJ27" s="473"/>
      <c r="LK27" s="473"/>
      <c r="LL27" s="473"/>
      <c r="LM27" s="473"/>
      <c r="LN27" s="473"/>
      <c r="LO27" s="473"/>
      <c r="LP27" s="473"/>
      <c r="LQ27" s="473"/>
      <c r="MD27" s="446"/>
      <c r="ME27" s="446"/>
      <c r="MF27" s="448"/>
      <c r="MG27" s="446"/>
      <c r="MH27" s="473"/>
      <c r="MI27" s="473"/>
      <c r="MJ27" s="473"/>
      <c r="MK27" s="473"/>
      <c r="ML27" s="473"/>
      <c r="MM27" s="473"/>
      <c r="MN27" s="473"/>
      <c r="MO27" s="473"/>
      <c r="NB27" s="446"/>
      <c r="NC27" s="446"/>
      <c r="ND27" s="446"/>
      <c r="NE27" s="446"/>
      <c r="NF27" s="473"/>
      <c r="NG27" s="473"/>
      <c r="NH27" s="473"/>
      <c r="NI27" s="473"/>
      <c r="NJ27" s="473"/>
      <c r="NK27" s="473"/>
      <c r="NL27" s="473"/>
      <c r="NM27" s="473"/>
      <c r="NZ27" s="446"/>
      <c r="OA27" s="446"/>
      <c r="OB27" s="446"/>
      <c r="OC27" s="446"/>
      <c r="OD27" s="473"/>
      <c r="OE27" s="473"/>
      <c r="OF27" s="473"/>
      <c r="OG27" s="473"/>
      <c r="OH27" s="473"/>
      <c r="OI27" s="473"/>
      <c r="OJ27" s="473"/>
      <c r="OK27" s="473"/>
      <c r="OX27" s="446"/>
      <c r="OY27" s="446"/>
      <c r="OZ27" s="446"/>
      <c r="PA27" s="446"/>
      <c r="PB27" s="473"/>
      <c r="PC27" s="473"/>
      <c r="PD27" s="473"/>
      <c r="PE27" s="473"/>
      <c r="PF27" s="473"/>
      <c r="PG27" s="473"/>
      <c r="PH27" s="473"/>
      <c r="PI27" s="473"/>
      <c r="PV27" s="473"/>
      <c r="PW27" s="473"/>
      <c r="PX27" s="473"/>
      <c r="PY27" s="473"/>
      <c r="PZ27" s="473"/>
      <c r="QA27" s="473"/>
      <c r="QB27" s="473"/>
      <c r="QC27" s="473"/>
      <c r="QP27" s="446"/>
      <c r="QQ27" s="446"/>
      <c r="QR27" s="446"/>
      <c r="QS27" s="446"/>
      <c r="QT27" s="473"/>
      <c r="QU27" s="473"/>
      <c r="QV27" s="473"/>
      <c r="QW27" s="473"/>
      <c r="QX27" s="473"/>
      <c r="QY27" s="473"/>
      <c r="QZ27" s="473"/>
      <c r="RA27" s="473"/>
      <c r="RN27" s="446"/>
      <c r="RO27" s="446"/>
      <c r="RP27" s="446"/>
      <c r="RQ27" s="446"/>
      <c r="RR27" s="473"/>
      <c r="RS27" s="473"/>
      <c r="RT27" s="473"/>
      <c r="RU27" s="473"/>
      <c r="RV27" s="473"/>
      <c r="RW27" s="473"/>
      <c r="RX27" s="473"/>
      <c r="RY27" s="473"/>
      <c r="SL27" s="449"/>
      <c r="SM27" s="449"/>
      <c r="SN27" s="449"/>
      <c r="SO27" s="449"/>
      <c r="SP27" s="473"/>
      <c r="SQ27" s="473"/>
      <c r="SR27" s="473"/>
      <c r="SS27" s="473"/>
      <c r="ST27" s="473"/>
      <c r="SU27" s="473"/>
      <c r="SV27" s="473"/>
      <c r="SW27" s="473"/>
      <c r="TJ27" s="449"/>
      <c r="TK27" s="449"/>
      <c r="TL27" s="449"/>
      <c r="TM27" s="449"/>
      <c r="TN27" s="473"/>
      <c r="TO27" s="473"/>
      <c r="TP27" s="473"/>
      <c r="TQ27" s="473"/>
      <c r="TR27" s="473"/>
      <c r="TS27" s="473"/>
      <c r="TT27" s="473"/>
      <c r="TU27" s="473"/>
      <c r="UH27" s="449"/>
      <c r="UI27" s="449"/>
      <c r="UJ27" s="449"/>
      <c r="UK27" s="449"/>
      <c r="UL27" s="473"/>
      <c r="UM27" s="473"/>
      <c r="UN27" s="473"/>
      <c r="UO27" s="473"/>
      <c r="UP27" s="473"/>
      <c r="UQ27" s="473"/>
      <c r="UR27" s="473"/>
      <c r="US27" s="473"/>
      <c r="XN27" s="415">
        <v>0</v>
      </c>
      <c r="XO27" s="415">
        <v>0</v>
      </c>
      <c r="XP27" s="415">
        <v>0</v>
      </c>
      <c r="XQ27" s="415">
        <v>0</v>
      </c>
      <c r="XR27" s="415"/>
      <c r="XS27" s="415"/>
      <c r="XT27" s="415"/>
      <c r="XU27" s="415"/>
      <c r="XV27" s="415"/>
      <c r="XW27" s="415"/>
      <c r="XX27" s="415"/>
      <c r="XY27" s="415"/>
      <c r="ZU27" s="458"/>
      <c r="ZV27" s="458"/>
      <c r="ZW27" s="458"/>
      <c r="AAP27" s="414"/>
      <c r="AAQ27" s="417"/>
      <c r="AAR27" s="417"/>
    </row>
    <row r="28" spans="1:16384" x14ac:dyDescent="0.2">
      <c r="B28" s="427"/>
      <c r="C28" s="427"/>
      <c r="D28" s="427"/>
      <c r="E28" s="420"/>
      <c r="F28" s="428"/>
      <c r="G28" s="428"/>
      <c r="H28" s="428"/>
      <c r="I28" s="68"/>
      <c r="J28" s="68"/>
      <c r="K28" s="68"/>
      <c r="L28" s="68"/>
      <c r="M28" s="68"/>
      <c r="N28" s="68"/>
      <c r="O28" s="68"/>
      <c r="P28" s="68"/>
      <c r="Q28" s="68"/>
      <c r="AD28" s="435"/>
      <c r="AE28" s="435"/>
      <c r="AF28" s="435"/>
      <c r="AG28" s="432"/>
      <c r="AH28" s="428"/>
      <c r="AI28" s="428"/>
      <c r="AJ28" s="428"/>
      <c r="AK28" s="68"/>
      <c r="AL28" s="68"/>
      <c r="AM28" s="68"/>
      <c r="AN28" s="68"/>
      <c r="AO28" s="68"/>
      <c r="AP28" s="68"/>
      <c r="AQ28" s="68"/>
      <c r="AR28" s="68"/>
      <c r="AS28" s="68"/>
      <c r="BF28" s="440"/>
      <c r="BG28" s="440"/>
      <c r="BH28" s="440"/>
      <c r="BI28" s="440"/>
      <c r="BJ28" s="428"/>
      <c r="BK28" s="428"/>
      <c r="BL28" s="428"/>
      <c r="BM28" s="68"/>
      <c r="BN28" s="68"/>
      <c r="BO28" s="68"/>
      <c r="BP28" s="68"/>
      <c r="BQ28" s="68"/>
      <c r="BR28" s="68"/>
      <c r="BS28" s="68"/>
      <c r="BT28" s="68"/>
      <c r="BU28" s="68"/>
      <c r="CH28" s="68"/>
      <c r="CI28" s="68"/>
      <c r="CJ28" s="68"/>
      <c r="CK28" s="68"/>
      <c r="CL28" s="428"/>
      <c r="CM28" s="428"/>
      <c r="CN28" s="428"/>
      <c r="CO28" s="68"/>
      <c r="CP28" s="68"/>
      <c r="CQ28" s="68"/>
      <c r="CR28" s="68"/>
      <c r="CS28" s="68"/>
      <c r="CT28" s="68"/>
      <c r="CU28" s="68"/>
      <c r="CV28" s="68"/>
      <c r="CW28" s="68"/>
      <c r="DJ28" s="68"/>
      <c r="DK28" s="68"/>
      <c r="DL28" s="68"/>
      <c r="DM28" s="68"/>
      <c r="DN28" s="68"/>
      <c r="DO28" s="68"/>
      <c r="DP28" s="68"/>
      <c r="DQ28" s="68"/>
      <c r="DR28" s="68"/>
      <c r="DS28" s="68"/>
      <c r="DT28" s="68"/>
      <c r="DU28" s="68"/>
      <c r="DV28" s="475"/>
      <c r="DW28" s="475"/>
      <c r="DX28" s="475"/>
      <c r="DY28" s="476"/>
      <c r="DZ28" s="415"/>
      <c r="EA28" s="415"/>
      <c r="EB28" s="415"/>
      <c r="EC28" s="415"/>
      <c r="ED28" s="415"/>
      <c r="EE28" s="415"/>
      <c r="EF28" s="415"/>
      <c r="EG28" s="415"/>
      <c r="EH28" s="415"/>
      <c r="EI28" s="415"/>
      <c r="EJ28" s="415"/>
      <c r="EK28" s="415"/>
      <c r="EL28" s="445"/>
      <c r="EM28" s="445"/>
      <c r="EN28" s="445"/>
      <c r="EO28" s="445"/>
      <c r="EP28" s="445"/>
      <c r="EQ28" s="445"/>
      <c r="ER28" s="445"/>
      <c r="ES28" s="445"/>
      <c r="FF28" s="477"/>
      <c r="FG28" s="478"/>
      <c r="FH28" s="478"/>
      <c r="FI28" s="478"/>
      <c r="FJ28" s="445"/>
      <c r="FK28" s="445"/>
      <c r="FL28" s="445"/>
      <c r="FM28" s="445"/>
      <c r="FN28" s="445"/>
      <c r="FO28" s="445"/>
      <c r="FP28" s="445"/>
      <c r="FQ28" s="445"/>
      <c r="GD28" s="477"/>
      <c r="GE28" s="478"/>
      <c r="GF28" s="477"/>
      <c r="GG28" s="477"/>
      <c r="GH28" s="445"/>
      <c r="GI28" s="445"/>
      <c r="GJ28" s="445"/>
      <c r="GK28" s="445"/>
      <c r="GL28" s="445"/>
      <c r="GM28" s="445"/>
      <c r="GN28" s="445"/>
      <c r="GO28" s="445"/>
      <c r="GX28" s="445"/>
      <c r="GY28" s="445"/>
      <c r="GZ28" s="445"/>
      <c r="HA28" s="445"/>
      <c r="HB28" s="445"/>
      <c r="HC28" s="445"/>
      <c r="HD28" s="445"/>
      <c r="HE28" s="445"/>
      <c r="HF28" s="445"/>
      <c r="HG28" s="445"/>
      <c r="HH28" s="445"/>
      <c r="HI28" s="445"/>
      <c r="HV28" s="445"/>
      <c r="HW28" s="445"/>
      <c r="HX28" s="445"/>
      <c r="HY28" s="445"/>
      <c r="HZ28" s="445"/>
      <c r="IA28" s="445"/>
      <c r="IB28" s="445"/>
      <c r="IC28" s="445"/>
      <c r="IP28" s="445"/>
      <c r="IQ28" s="445"/>
      <c r="IR28" s="445"/>
      <c r="IS28" s="445"/>
      <c r="IT28" s="445"/>
      <c r="IU28" s="445"/>
      <c r="IV28" s="445"/>
      <c r="IW28" s="445"/>
      <c r="IX28" s="445"/>
      <c r="IY28" s="445"/>
      <c r="IZ28" s="445"/>
      <c r="JA28" s="445"/>
      <c r="JN28" s="445"/>
      <c r="JO28" s="445"/>
      <c r="JP28" s="445"/>
      <c r="JQ28" s="445"/>
      <c r="JR28" s="445"/>
      <c r="JS28" s="445"/>
      <c r="JT28" s="445"/>
      <c r="JU28" s="445"/>
      <c r="KH28" s="477"/>
      <c r="KI28" s="478"/>
      <c r="KJ28" s="478"/>
      <c r="KK28" s="478"/>
      <c r="KL28" s="445"/>
      <c r="KM28" s="445"/>
      <c r="KN28" s="445"/>
      <c r="KO28" s="445"/>
      <c r="KP28" s="445"/>
      <c r="KQ28" s="445"/>
      <c r="KR28" s="445"/>
      <c r="KS28" s="445"/>
      <c r="LF28" s="479"/>
      <c r="LG28" s="478"/>
      <c r="LH28" s="478"/>
      <c r="LI28" s="478"/>
      <c r="LJ28" s="445"/>
      <c r="LK28" s="445"/>
      <c r="LL28" s="445"/>
      <c r="LM28" s="445"/>
      <c r="LN28" s="445"/>
      <c r="LO28" s="445"/>
      <c r="LP28" s="445"/>
      <c r="LQ28" s="445"/>
      <c r="MD28" s="477"/>
      <c r="ME28" s="477"/>
      <c r="MF28" s="477"/>
      <c r="MG28" s="477"/>
      <c r="MH28" s="445"/>
      <c r="MI28" s="445"/>
      <c r="MJ28" s="445"/>
      <c r="MK28" s="445"/>
      <c r="ML28" s="445"/>
      <c r="MM28" s="445"/>
      <c r="MN28" s="445"/>
      <c r="MO28" s="445"/>
      <c r="NB28" s="478"/>
      <c r="NC28" s="478"/>
      <c r="ND28" s="478"/>
      <c r="NE28" s="478"/>
      <c r="NF28" s="445"/>
      <c r="NG28" s="445"/>
      <c r="NH28" s="445"/>
      <c r="NI28" s="445"/>
      <c r="NJ28" s="445"/>
      <c r="NK28" s="445"/>
      <c r="NL28" s="445"/>
      <c r="NM28" s="445"/>
      <c r="NZ28" s="478"/>
      <c r="OA28" s="478"/>
      <c r="OB28" s="478"/>
      <c r="OC28" s="478"/>
      <c r="OD28" s="445"/>
      <c r="OE28" s="445"/>
      <c r="OF28" s="445"/>
      <c r="OG28" s="445"/>
      <c r="OH28" s="445"/>
      <c r="OI28" s="445"/>
      <c r="OJ28" s="445"/>
      <c r="OK28" s="445"/>
      <c r="OX28" s="477"/>
      <c r="OY28" s="477"/>
      <c r="OZ28" s="477"/>
      <c r="PA28" s="478"/>
      <c r="PB28" s="445"/>
      <c r="PC28" s="445"/>
      <c r="PD28" s="445"/>
      <c r="PE28" s="445"/>
      <c r="PF28" s="445"/>
      <c r="PG28" s="445"/>
      <c r="PH28" s="445"/>
      <c r="PI28" s="445"/>
      <c r="PV28" s="445"/>
      <c r="PW28" s="445"/>
      <c r="PX28" s="445"/>
      <c r="PY28" s="445"/>
      <c r="PZ28" s="445"/>
      <c r="QA28" s="445"/>
      <c r="QB28" s="445"/>
      <c r="QC28" s="445"/>
      <c r="QP28" s="478"/>
      <c r="QQ28" s="478"/>
      <c r="QR28" s="478"/>
      <c r="QS28" s="478"/>
      <c r="QT28" s="445"/>
      <c r="QU28" s="445"/>
      <c r="QV28" s="445"/>
      <c r="QW28" s="445"/>
      <c r="QX28" s="445"/>
      <c r="QY28" s="445"/>
      <c r="QZ28" s="445"/>
      <c r="RA28" s="445"/>
      <c r="RN28" s="478"/>
      <c r="RO28" s="478"/>
      <c r="RP28" s="478"/>
      <c r="RQ28" s="478"/>
      <c r="RR28" s="445"/>
      <c r="RS28" s="445"/>
      <c r="RT28" s="445"/>
      <c r="RU28" s="445"/>
      <c r="RV28" s="445"/>
      <c r="RW28" s="445"/>
      <c r="RX28" s="445"/>
      <c r="RY28" s="445"/>
      <c r="SL28" s="478"/>
      <c r="SM28" s="478"/>
      <c r="SN28" s="478"/>
      <c r="SO28" s="478"/>
      <c r="SP28" s="445"/>
      <c r="SQ28" s="445"/>
      <c r="SR28" s="445"/>
      <c r="SS28" s="445"/>
      <c r="ST28" s="445"/>
      <c r="SU28" s="445"/>
      <c r="SV28" s="445"/>
      <c r="SW28" s="445"/>
      <c r="TJ28" s="478"/>
      <c r="TK28" s="478"/>
      <c r="TL28" s="478"/>
      <c r="TM28" s="478"/>
      <c r="TN28" s="445"/>
      <c r="TO28" s="445"/>
      <c r="TP28" s="445"/>
      <c r="TQ28" s="445"/>
      <c r="TR28" s="445"/>
      <c r="TS28" s="445"/>
      <c r="TT28" s="445"/>
      <c r="TU28" s="445"/>
      <c r="UH28" s="477"/>
      <c r="UI28" s="477"/>
      <c r="UJ28" s="477"/>
      <c r="UK28" s="477"/>
      <c r="UL28" s="445"/>
      <c r="UM28" s="445"/>
      <c r="UN28" s="445"/>
      <c r="UO28" s="445"/>
      <c r="UP28" s="445"/>
      <c r="UQ28" s="445"/>
      <c r="UR28" s="445"/>
      <c r="US28" s="445"/>
      <c r="XN28" s="415">
        <v>0</v>
      </c>
      <c r="XO28" s="415">
        <v>0</v>
      </c>
      <c r="XP28" s="415">
        <v>0</v>
      </c>
      <c r="XQ28" s="415">
        <v>0</v>
      </c>
      <c r="XR28" s="415"/>
      <c r="XS28" s="415"/>
      <c r="XT28" s="415"/>
      <c r="XU28" s="415"/>
      <c r="XV28" s="415"/>
      <c r="XW28" s="415"/>
      <c r="XX28" s="415"/>
      <c r="XY28" s="415"/>
      <c r="ZU28" s="458"/>
      <c r="ZV28" s="458"/>
      <c r="ZW28" s="458"/>
      <c r="AAP28" s="414"/>
      <c r="AAQ28" s="417"/>
      <c r="AAR28" s="417"/>
    </row>
    <row r="29" spans="1:16384" x14ac:dyDescent="0.2">
      <c r="B29" s="427"/>
      <c r="C29" s="427"/>
      <c r="D29" s="428"/>
      <c r="E29" s="68"/>
      <c r="F29" s="428"/>
      <c r="G29" s="428"/>
      <c r="H29" s="428"/>
      <c r="I29" s="68"/>
      <c r="J29" s="68"/>
      <c r="K29" s="68"/>
      <c r="L29" s="68"/>
      <c r="M29" s="68"/>
      <c r="N29" s="68"/>
      <c r="O29" s="68"/>
      <c r="P29" s="68"/>
      <c r="Q29" s="68"/>
      <c r="AD29" s="435"/>
      <c r="AE29" s="435"/>
      <c r="AF29" s="436"/>
      <c r="AG29" s="437"/>
      <c r="AH29" s="428"/>
      <c r="AI29" s="428"/>
      <c r="AJ29" s="428"/>
      <c r="AK29" s="68"/>
      <c r="AL29" s="68"/>
      <c r="AM29" s="68"/>
      <c r="AN29" s="68"/>
      <c r="AO29" s="68"/>
      <c r="AP29" s="68"/>
      <c r="AQ29" s="68"/>
      <c r="AR29" s="68"/>
      <c r="AS29" s="68"/>
      <c r="BF29" s="430"/>
      <c r="BG29" s="441"/>
      <c r="BH29" s="430"/>
      <c r="BI29" s="430"/>
      <c r="BJ29" s="428"/>
      <c r="BK29" s="428"/>
      <c r="BL29" s="428"/>
      <c r="BM29" s="68"/>
      <c r="BN29" s="68"/>
      <c r="BO29" s="68"/>
      <c r="BP29" s="68"/>
      <c r="BQ29" s="68"/>
      <c r="BR29" s="68"/>
      <c r="BS29" s="68"/>
      <c r="BT29" s="68"/>
      <c r="BU29" s="68"/>
      <c r="CH29" s="68"/>
      <c r="CI29" s="68"/>
      <c r="CJ29" s="68"/>
      <c r="CK29" s="68"/>
      <c r="CL29" s="428"/>
      <c r="CM29" s="428"/>
      <c r="CN29" s="428"/>
      <c r="CO29" s="68"/>
      <c r="CP29" s="68"/>
      <c r="CQ29" s="68"/>
      <c r="CR29" s="68"/>
      <c r="CS29" s="68"/>
      <c r="CT29" s="68"/>
      <c r="CU29" s="68"/>
      <c r="CV29" s="68"/>
      <c r="CW29" s="68"/>
      <c r="DJ29" s="68"/>
      <c r="DK29" s="68"/>
      <c r="DL29" s="68"/>
      <c r="DM29" s="68"/>
      <c r="DN29" s="68"/>
      <c r="DO29" s="68"/>
      <c r="DP29" s="68"/>
      <c r="DQ29" s="68"/>
      <c r="DR29" s="68"/>
      <c r="DS29" s="68"/>
      <c r="DT29" s="68"/>
      <c r="DU29" s="68"/>
      <c r="DV29" s="475"/>
      <c r="DW29" s="475"/>
      <c r="DX29" s="475"/>
      <c r="DY29" s="476"/>
      <c r="DZ29" s="415"/>
      <c r="EA29" s="415"/>
      <c r="EB29" s="415"/>
      <c r="EC29" s="415"/>
      <c r="ED29" s="415"/>
      <c r="EE29" s="415"/>
      <c r="EF29" s="415"/>
      <c r="EG29" s="415"/>
      <c r="EH29" s="415"/>
      <c r="EI29" s="415"/>
      <c r="EJ29" s="415"/>
      <c r="EK29" s="415"/>
      <c r="XN29" s="415">
        <v>0</v>
      </c>
      <c r="XO29" s="415">
        <v>0</v>
      </c>
      <c r="XP29" s="415">
        <v>0</v>
      </c>
      <c r="XQ29" s="415">
        <v>0</v>
      </c>
      <c r="XR29" s="415"/>
      <c r="XS29" s="415"/>
      <c r="XT29" s="415"/>
      <c r="XU29" s="415"/>
      <c r="XV29" s="415"/>
      <c r="XW29" s="415"/>
      <c r="XX29" s="415"/>
      <c r="XY29" s="415"/>
      <c r="ZU29" s="458"/>
      <c r="ZV29" s="458"/>
      <c r="ZW29" s="458"/>
      <c r="AAP29" s="414"/>
      <c r="AAQ29" s="417"/>
      <c r="AAR29" s="417"/>
    </row>
    <row r="30" spans="1:16384" x14ac:dyDescent="0.2">
      <c r="B30" s="429"/>
      <c r="C30" s="429"/>
      <c r="D30" s="429"/>
      <c r="E30" s="420"/>
      <c r="F30" s="430"/>
      <c r="G30" s="430"/>
      <c r="H30" s="430"/>
      <c r="I30" s="68"/>
      <c r="J30" s="68"/>
      <c r="K30" s="68"/>
      <c r="L30" s="68"/>
      <c r="M30" s="68"/>
      <c r="N30" s="68"/>
      <c r="O30" s="68"/>
      <c r="P30" s="68"/>
      <c r="Q30" s="68"/>
      <c r="AD30" s="438"/>
      <c r="AE30" s="438"/>
      <c r="AF30" s="438"/>
      <c r="AG30" s="432"/>
      <c r="AH30" s="430"/>
      <c r="AI30" s="430"/>
      <c r="AJ30" s="430"/>
      <c r="AK30" s="68"/>
      <c r="AL30" s="68"/>
      <c r="AM30" s="68"/>
      <c r="AN30" s="68"/>
      <c r="AO30" s="68"/>
      <c r="AP30" s="68"/>
      <c r="AQ30" s="68"/>
      <c r="AR30" s="68"/>
      <c r="AS30" s="68"/>
      <c r="BF30" s="441"/>
      <c r="BG30" s="441"/>
      <c r="BH30" s="441"/>
      <c r="BI30" s="441"/>
      <c r="BJ30" s="430"/>
      <c r="BK30" s="430"/>
      <c r="BL30" s="430"/>
      <c r="BM30" s="68"/>
      <c r="BN30" s="68"/>
      <c r="BO30" s="68"/>
      <c r="BP30" s="68"/>
      <c r="BQ30" s="68"/>
      <c r="BR30" s="68"/>
      <c r="BS30" s="68"/>
      <c r="BT30" s="68"/>
      <c r="BU30" s="68"/>
      <c r="CH30" s="68"/>
      <c r="CI30" s="68"/>
      <c r="CJ30" s="68"/>
      <c r="CK30" s="68"/>
      <c r="CL30" s="428"/>
      <c r="CM30" s="428"/>
      <c r="CN30" s="428"/>
      <c r="CO30" s="68"/>
      <c r="CP30" s="68"/>
      <c r="CQ30" s="68"/>
      <c r="CR30" s="68"/>
      <c r="CS30" s="68"/>
      <c r="CT30" s="68"/>
      <c r="CU30" s="68"/>
      <c r="CV30" s="68"/>
      <c r="CW30" s="68"/>
      <c r="DJ30" s="68"/>
      <c r="DK30" s="68"/>
      <c r="DL30" s="68"/>
      <c r="DM30" s="68"/>
      <c r="DN30" s="68"/>
      <c r="DO30" s="68"/>
      <c r="DP30" s="68"/>
      <c r="DQ30" s="68"/>
      <c r="DR30" s="68"/>
      <c r="DS30" s="68"/>
      <c r="DT30" s="68"/>
      <c r="DU30" s="68"/>
      <c r="DV30" s="475"/>
      <c r="DW30" s="475"/>
      <c r="DX30" s="475"/>
      <c r="DY30" s="476"/>
      <c r="DZ30" s="415"/>
      <c r="EA30" s="415"/>
      <c r="EB30" s="415"/>
      <c r="EC30" s="415"/>
      <c r="ED30" s="415"/>
      <c r="EE30" s="415"/>
      <c r="EF30" s="415"/>
      <c r="EG30" s="415"/>
      <c r="EH30" s="415"/>
      <c r="EI30" s="415"/>
      <c r="EJ30" s="415"/>
      <c r="EK30" s="415"/>
      <c r="XN30" s="415">
        <v>0</v>
      </c>
      <c r="XO30" s="415">
        <v>0</v>
      </c>
      <c r="XP30" s="415">
        <v>0</v>
      </c>
      <c r="XQ30" s="415">
        <v>0</v>
      </c>
      <c r="XR30" s="415"/>
      <c r="XS30" s="415"/>
      <c r="XT30" s="415"/>
      <c r="XU30" s="415"/>
      <c r="XV30" s="415"/>
      <c r="XW30" s="415"/>
      <c r="XX30" s="415"/>
      <c r="XY30" s="415"/>
      <c r="ZU30" s="458"/>
      <c r="ZV30" s="458"/>
      <c r="ZW30" s="458"/>
      <c r="AAP30" s="414"/>
      <c r="AAQ30" s="417"/>
      <c r="AAR30" s="417"/>
    </row>
    <row r="31" spans="1:16384" x14ac:dyDescent="0.2">
      <c r="B31" s="427"/>
      <c r="C31" s="427"/>
      <c r="D31" s="427"/>
      <c r="E31" s="420"/>
      <c r="F31" s="428"/>
      <c r="G31" s="428"/>
      <c r="H31" s="428"/>
      <c r="I31" s="68"/>
      <c r="J31" s="68"/>
      <c r="K31" s="68"/>
      <c r="L31" s="68"/>
      <c r="M31" s="68"/>
      <c r="N31" s="68"/>
      <c r="O31" s="68"/>
      <c r="P31" s="68"/>
      <c r="Q31" s="68"/>
      <c r="AD31" s="435"/>
      <c r="AE31" s="435"/>
      <c r="AF31" s="435"/>
      <c r="AG31" s="432"/>
      <c r="AH31" s="428"/>
      <c r="AI31" s="428"/>
      <c r="AJ31" s="428"/>
      <c r="AK31" s="68"/>
      <c r="AL31" s="68"/>
      <c r="AM31" s="68"/>
      <c r="AN31" s="68"/>
      <c r="AO31" s="68"/>
      <c r="AP31" s="68"/>
      <c r="AQ31" s="68"/>
      <c r="AR31" s="68"/>
      <c r="AS31" s="68"/>
      <c r="BF31" s="440"/>
      <c r="BG31" s="440"/>
      <c r="BH31" s="440"/>
      <c r="BI31" s="440"/>
      <c r="BJ31" s="428"/>
      <c r="BK31" s="428"/>
      <c r="BL31" s="428"/>
      <c r="BM31" s="68"/>
      <c r="BN31" s="68"/>
      <c r="BO31" s="68"/>
      <c r="BP31" s="68"/>
      <c r="BQ31" s="68"/>
      <c r="BR31" s="68"/>
      <c r="BS31" s="68"/>
      <c r="BT31" s="68"/>
      <c r="BU31" s="68"/>
      <c r="CH31" s="68"/>
      <c r="CI31" s="68"/>
      <c r="CJ31" s="68"/>
      <c r="CK31" s="68"/>
      <c r="CL31" s="428"/>
      <c r="CM31" s="428"/>
      <c r="CN31" s="428"/>
      <c r="CO31" s="68"/>
      <c r="CP31" s="68"/>
      <c r="CQ31" s="68"/>
      <c r="CR31" s="68"/>
      <c r="CS31" s="68"/>
      <c r="CT31" s="68"/>
      <c r="CU31" s="68"/>
      <c r="CV31" s="68"/>
      <c r="CW31" s="68"/>
      <c r="DJ31" s="68"/>
      <c r="DK31" s="68"/>
      <c r="DL31" s="68"/>
      <c r="DM31" s="68"/>
      <c r="DN31" s="68"/>
      <c r="DO31" s="68"/>
      <c r="DP31" s="68"/>
      <c r="DQ31" s="68"/>
      <c r="DR31" s="68"/>
      <c r="DS31" s="68"/>
      <c r="DT31" s="68"/>
      <c r="DU31" s="68"/>
      <c r="DV31" s="475"/>
      <c r="DW31" s="475"/>
      <c r="DX31" s="475"/>
      <c r="DY31" s="476"/>
      <c r="DZ31" s="415"/>
      <c r="EA31" s="415"/>
      <c r="EB31" s="415"/>
      <c r="EC31" s="415"/>
      <c r="ED31" s="415"/>
      <c r="EE31" s="415"/>
      <c r="EF31" s="415"/>
      <c r="EG31" s="415"/>
      <c r="EH31" s="415"/>
      <c r="EI31" s="415"/>
      <c r="EJ31" s="415"/>
      <c r="EK31" s="415"/>
      <c r="XN31" s="415">
        <v>0</v>
      </c>
      <c r="XO31" s="415">
        <v>0</v>
      </c>
      <c r="XP31" s="415">
        <v>0</v>
      </c>
      <c r="XQ31" s="415">
        <v>0</v>
      </c>
      <c r="XR31" s="415"/>
      <c r="XS31" s="415"/>
      <c r="XT31" s="415"/>
      <c r="XU31" s="415"/>
      <c r="XV31" s="415"/>
      <c r="XW31" s="415"/>
      <c r="XX31" s="415"/>
      <c r="XY31" s="415"/>
      <c r="ZU31" s="458"/>
      <c r="ZV31" s="458"/>
      <c r="ZW31" s="458"/>
      <c r="AAP31" s="414"/>
      <c r="AAQ31" s="417"/>
      <c r="AAR31" s="417"/>
    </row>
    <row r="32" spans="1:16384" x14ac:dyDescent="0.2">
      <c r="B32" s="427"/>
      <c r="C32" s="427"/>
      <c r="D32" s="428"/>
      <c r="E32" s="68"/>
      <c r="F32" s="428"/>
      <c r="G32" s="428"/>
      <c r="H32" s="428"/>
      <c r="I32" s="68"/>
      <c r="J32" s="68"/>
      <c r="K32" s="68"/>
      <c r="L32" s="68"/>
      <c r="M32" s="68"/>
      <c r="N32" s="68"/>
      <c r="O32" s="68"/>
      <c r="P32" s="68"/>
      <c r="Q32" s="68"/>
      <c r="AD32" s="435"/>
      <c r="AE32" s="435"/>
      <c r="AF32" s="436"/>
      <c r="AG32" s="437"/>
      <c r="AH32" s="428"/>
      <c r="AI32" s="428"/>
      <c r="AJ32" s="428"/>
      <c r="AK32" s="68"/>
      <c r="AL32" s="68"/>
      <c r="AM32" s="68"/>
      <c r="AN32" s="68"/>
      <c r="AO32" s="68"/>
      <c r="AP32" s="68"/>
      <c r="AQ32" s="68"/>
      <c r="AR32" s="68"/>
      <c r="AS32" s="68"/>
      <c r="BF32" s="433"/>
      <c r="BG32" s="439"/>
      <c r="BH32" s="433"/>
      <c r="BI32" s="433"/>
      <c r="BJ32" s="428"/>
      <c r="BK32" s="428"/>
      <c r="BL32" s="428"/>
      <c r="BM32" s="68"/>
      <c r="BN32" s="68"/>
      <c r="BO32" s="68"/>
      <c r="BP32" s="68"/>
      <c r="BQ32" s="68"/>
      <c r="BR32" s="68"/>
      <c r="BS32" s="68"/>
      <c r="BT32" s="68"/>
      <c r="BU32" s="68"/>
      <c r="CH32" s="68"/>
      <c r="CI32" s="68"/>
      <c r="CJ32" s="68"/>
      <c r="CK32" s="68"/>
      <c r="CL32" s="428"/>
      <c r="CM32" s="428"/>
      <c r="CN32" s="428"/>
      <c r="CO32" s="68"/>
      <c r="CP32" s="68"/>
      <c r="CQ32" s="68"/>
      <c r="CR32" s="68"/>
      <c r="CS32" s="68"/>
      <c r="CT32" s="68"/>
      <c r="CU32" s="68"/>
      <c r="CV32" s="68"/>
      <c r="CW32" s="68"/>
      <c r="DJ32" s="68"/>
      <c r="DK32" s="68"/>
      <c r="DL32" s="68"/>
      <c r="DM32" s="68"/>
      <c r="DN32" s="68"/>
      <c r="DO32" s="68"/>
      <c r="DP32" s="68"/>
      <c r="DQ32" s="68"/>
      <c r="DR32" s="68"/>
      <c r="DS32" s="68"/>
      <c r="DT32" s="68"/>
      <c r="DU32" s="68"/>
      <c r="DV32" s="475"/>
      <c r="DW32" s="475"/>
      <c r="DX32" s="475"/>
      <c r="DY32" s="476"/>
      <c r="DZ32" s="415"/>
      <c r="EA32" s="415"/>
      <c r="EB32" s="415"/>
      <c r="EC32" s="415"/>
      <c r="ED32" s="415"/>
      <c r="EE32" s="415"/>
      <c r="EF32" s="415"/>
      <c r="EG32" s="415"/>
      <c r="EH32" s="415"/>
      <c r="EI32" s="415"/>
      <c r="EJ32" s="415"/>
      <c r="EK32" s="415"/>
      <c r="XN32" s="415">
        <v>0</v>
      </c>
      <c r="XO32" s="415">
        <v>0</v>
      </c>
      <c r="XP32" s="415">
        <v>0</v>
      </c>
      <c r="XQ32" s="415">
        <v>0</v>
      </c>
      <c r="XR32" s="415"/>
      <c r="XS32" s="415"/>
      <c r="XT32" s="415"/>
      <c r="XU32" s="415"/>
      <c r="XV32" s="415"/>
      <c r="XW32" s="415"/>
      <c r="XX32" s="415"/>
      <c r="XY32" s="415"/>
      <c r="ZU32" s="458"/>
      <c r="ZV32" s="458"/>
      <c r="ZW32" s="458"/>
      <c r="AAP32" s="414"/>
      <c r="AAQ32" s="417"/>
      <c r="AAR32" s="417"/>
    </row>
    <row r="33" spans="2:720" x14ac:dyDescent="0.2">
      <c r="B33" s="420"/>
      <c r="C33" s="420"/>
      <c r="D33" s="420"/>
      <c r="E33" s="420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AD33" s="431"/>
      <c r="AE33" s="431"/>
      <c r="AF33" s="431"/>
      <c r="AG33" s="432"/>
      <c r="AH33" s="433"/>
      <c r="AI33" s="433"/>
      <c r="AJ33" s="433"/>
      <c r="AK33" s="68"/>
      <c r="AL33" s="68"/>
      <c r="AM33" s="68"/>
      <c r="AN33" s="68"/>
      <c r="AO33" s="68"/>
      <c r="AP33" s="68"/>
      <c r="AQ33" s="68"/>
      <c r="AR33" s="68"/>
      <c r="AS33" s="68"/>
      <c r="BF33" s="439"/>
      <c r="BG33" s="439"/>
      <c r="BH33" s="439"/>
      <c r="BI33" s="439"/>
      <c r="BJ33" s="68"/>
      <c r="BK33" s="68"/>
      <c r="BL33" s="68"/>
      <c r="BM33" s="68"/>
      <c r="BN33" s="68"/>
      <c r="BO33" s="68"/>
      <c r="BP33" s="68"/>
      <c r="BQ33" s="68"/>
      <c r="BR33" s="68"/>
      <c r="BS33" s="68"/>
      <c r="BT33" s="68"/>
      <c r="BU33" s="68"/>
      <c r="CH33" s="68"/>
      <c r="CI33" s="68"/>
      <c r="CJ33" s="68"/>
      <c r="CK33" s="68"/>
      <c r="CL33" s="428"/>
      <c r="CM33" s="428"/>
      <c r="CN33" s="428"/>
      <c r="CO33" s="68"/>
      <c r="CP33" s="68"/>
      <c r="CQ33" s="68"/>
      <c r="CR33" s="68"/>
      <c r="CS33" s="68"/>
      <c r="CT33" s="68"/>
      <c r="CU33" s="68"/>
      <c r="CV33" s="68"/>
      <c r="CW33" s="68"/>
      <c r="DJ33" s="68"/>
      <c r="DK33" s="68"/>
      <c r="DL33" s="68"/>
      <c r="DM33" s="68"/>
      <c r="DN33" s="68"/>
      <c r="DO33" s="68"/>
      <c r="DP33" s="68"/>
      <c r="DQ33" s="68"/>
      <c r="DR33" s="68"/>
      <c r="DS33" s="68"/>
      <c r="DT33" s="68"/>
      <c r="DU33" s="68"/>
      <c r="DV33" s="475"/>
      <c r="DW33" s="475"/>
      <c r="DX33" s="475"/>
      <c r="DY33" s="476"/>
      <c r="DZ33" s="415"/>
      <c r="EA33" s="415"/>
      <c r="EB33" s="415"/>
      <c r="EC33" s="415"/>
      <c r="ED33" s="415"/>
      <c r="EE33" s="415"/>
      <c r="EF33" s="415"/>
      <c r="EG33" s="415"/>
      <c r="EH33" s="415"/>
      <c r="EI33" s="415"/>
      <c r="EJ33" s="415"/>
      <c r="EK33" s="415"/>
      <c r="XN33" s="417">
        <v>0</v>
      </c>
      <c r="XO33" s="418">
        <v>1.1368683772161603E-13</v>
      </c>
      <c r="XP33" s="417">
        <v>2.3646862246096134E-11</v>
      </c>
      <c r="XQ33" s="417">
        <v>7.2759576141834259E-12</v>
      </c>
      <c r="XR33" s="415"/>
      <c r="XS33" s="415"/>
      <c r="XT33" s="415"/>
      <c r="XU33" s="415"/>
      <c r="XV33" s="415"/>
      <c r="XW33" s="415"/>
      <c r="XX33" s="415"/>
      <c r="XY33" s="415"/>
      <c r="ZU33" s="458"/>
      <c r="ZV33" s="458"/>
      <c r="ZW33" s="458"/>
      <c r="AAP33" s="414"/>
      <c r="AAQ33" s="417"/>
      <c r="AAR33" s="417"/>
    </row>
    <row r="34" spans="2:720" x14ac:dyDescent="0.2">
      <c r="B34" s="420"/>
      <c r="C34" s="420"/>
      <c r="D34" s="420"/>
      <c r="E34" s="420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AD34" s="434"/>
      <c r="AE34" s="434"/>
      <c r="AF34" s="434"/>
      <c r="AG34" s="432"/>
      <c r="AH34" s="421"/>
      <c r="AI34" s="421"/>
      <c r="AJ34" s="421"/>
      <c r="AK34" s="68"/>
      <c r="AL34" s="68"/>
      <c r="AM34" s="68"/>
      <c r="AN34" s="68"/>
      <c r="AO34" s="68"/>
      <c r="AP34" s="68"/>
      <c r="AQ34" s="68"/>
      <c r="AR34" s="68"/>
      <c r="AS34" s="68"/>
      <c r="BF34" s="442"/>
      <c r="BG34" s="442"/>
      <c r="BH34" s="442"/>
      <c r="BI34" s="442"/>
      <c r="BJ34" s="68"/>
      <c r="BK34" s="68"/>
      <c r="BL34" s="68"/>
      <c r="BM34" s="68"/>
      <c r="BN34" s="68"/>
      <c r="BO34" s="68"/>
      <c r="BP34" s="68"/>
      <c r="BQ34" s="68"/>
      <c r="BR34" s="68"/>
      <c r="BS34" s="68"/>
      <c r="BT34" s="68"/>
      <c r="BU34" s="68"/>
      <c r="CH34" s="68"/>
      <c r="CI34" s="68"/>
      <c r="CJ34" s="68"/>
      <c r="CK34" s="68"/>
      <c r="CL34" s="428"/>
      <c r="CM34" s="428"/>
      <c r="CN34" s="428"/>
      <c r="CO34" s="68"/>
      <c r="CP34" s="68"/>
      <c r="CQ34" s="68"/>
      <c r="CR34" s="68"/>
      <c r="CS34" s="68"/>
      <c r="CT34" s="68"/>
      <c r="CU34" s="68"/>
      <c r="CV34" s="68"/>
      <c r="CW34" s="68"/>
      <c r="DJ34" s="68"/>
      <c r="DK34" s="68"/>
      <c r="DL34" s="68"/>
      <c r="DM34" s="68"/>
      <c r="DN34" s="68"/>
      <c r="DO34" s="68"/>
      <c r="DP34" s="68"/>
      <c r="DQ34" s="68"/>
      <c r="DR34" s="68"/>
      <c r="DS34" s="68"/>
      <c r="DT34" s="68"/>
      <c r="DU34" s="68"/>
      <c r="DV34" s="475"/>
      <c r="DW34" s="475"/>
      <c r="DX34" s="475"/>
      <c r="DY34" s="476"/>
      <c r="DZ34" s="415"/>
      <c r="EA34" s="415"/>
      <c r="EB34" s="415"/>
      <c r="EC34" s="415"/>
      <c r="ED34" s="415"/>
      <c r="EE34" s="415"/>
      <c r="EF34" s="415"/>
      <c r="EG34" s="415"/>
      <c r="EH34" s="415"/>
      <c r="EI34" s="415"/>
      <c r="EJ34" s="415"/>
      <c r="EK34" s="415"/>
      <c r="XN34" s="415">
        <v>0</v>
      </c>
      <c r="XO34" s="415">
        <v>0</v>
      </c>
      <c r="XP34" s="415">
        <v>0</v>
      </c>
      <c r="XQ34" s="415">
        <v>0</v>
      </c>
      <c r="XR34" s="415"/>
      <c r="XS34" s="415"/>
      <c r="XT34" s="415"/>
      <c r="XU34" s="415"/>
      <c r="XV34" s="415"/>
      <c r="XW34" s="415"/>
      <c r="XX34" s="415"/>
      <c r="XY34" s="415"/>
      <c r="ZU34" s="458"/>
      <c r="ZV34" s="458"/>
      <c r="ZW34" s="458"/>
      <c r="AAP34" s="414"/>
      <c r="AAQ34" s="417"/>
      <c r="AAR34" s="417"/>
    </row>
    <row r="35" spans="2:720" x14ac:dyDescent="0.2">
      <c r="B35" s="420"/>
      <c r="C35" s="420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AD35" s="435"/>
      <c r="AE35" s="435"/>
      <c r="AF35" s="436"/>
      <c r="AG35" s="437"/>
      <c r="AH35" s="68"/>
      <c r="AI35" s="68"/>
      <c r="AJ35" s="68"/>
      <c r="AK35" s="68"/>
      <c r="AL35" s="68"/>
      <c r="AM35" s="68"/>
      <c r="AN35" s="68"/>
      <c r="AO35" s="68"/>
      <c r="AP35" s="68"/>
      <c r="AQ35" s="68"/>
      <c r="AR35" s="68"/>
      <c r="AS35" s="68"/>
      <c r="BF35" s="428"/>
      <c r="BG35" s="440"/>
      <c r="BH35" s="428"/>
      <c r="BI35" s="428"/>
      <c r="BJ35" s="68"/>
      <c r="BK35" s="68"/>
      <c r="BL35" s="68"/>
      <c r="BM35" s="68"/>
      <c r="BN35" s="68"/>
      <c r="BO35" s="68"/>
      <c r="BP35" s="68"/>
      <c r="BQ35" s="68"/>
      <c r="BR35" s="68"/>
      <c r="BS35" s="68"/>
      <c r="BT35" s="68"/>
      <c r="BU35" s="68"/>
      <c r="CH35" s="68"/>
      <c r="CI35" s="68"/>
      <c r="CJ35" s="68"/>
      <c r="CK35" s="68"/>
      <c r="CL35" s="68"/>
      <c r="CM35" s="68"/>
      <c r="CN35" s="68"/>
      <c r="CO35" s="68"/>
      <c r="CP35" s="68"/>
      <c r="CQ35" s="68"/>
      <c r="CR35" s="68"/>
      <c r="CS35" s="68"/>
      <c r="CT35" s="68"/>
      <c r="CU35" s="68"/>
      <c r="CV35" s="68"/>
      <c r="CW35" s="68"/>
      <c r="DJ35" s="68"/>
      <c r="DK35" s="68"/>
      <c r="DL35" s="68"/>
      <c r="DM35" s="68"/>
      <c r="DN35" s="68"/>
      <c r="DO35" s="68"/>
      <c r="DP35" s="68"/>
      <c r="DQ35" s="68"/>
      <c r="DR35" s="68"/>
      <c r="DS35" s="68"/>
      <c r="DT35" s="68"/>
      <c r="DU35" s="68"/>
      <c r="DV35" s="475"/>
      <c r="DW35" s="475"/>
      <c r="DX35" s="475"/>
      <c r="DY35" s="476"/>
      <c r="DZ35" s="415"/>
      <c r="EA35" s="415"/>
      <c r="EB35" s="415"/>
      <c r="EC35" s="415"/>
      <c r="ED35" s="415"/>
      <c r="EE35" s="415"/>
      <c r="EF35" s="415"/>
      <c r="EG35" s="415"/>
      <c r="EH35" s="415"/>
      <c r="EI35" s="415"/>
      <c r="EJ35" s="415"/>
      <c r="EK35" s="415"/>
      <c r="XN35" s="415">
        <v>0</v>
      </c>
      <c r="XO35" s="415">
        <v>0</v>
      </c>
      <c r="XP35" s="415">
        <v>0</v>
      </c>
      <c r="XQ35" s="415">
        <v>0</v>
      </c>
      <c r="XR35" s="415"/>
      <c r="XS35" s="415"/>
      <c r="XT35" s="415"/>
      <c r="XU35" s="415"/>
      <c r="XV35" s="415"/>
      <c r="XW35" s="415"/>
      <c r="XX35" s="415"/>
      <c r="XY35" s="415"/>
      <c r="ZU35" s="458"/>
      <c r="ZV35" s="458"/>
      <c r="ZW35" s="458"/>
      <c r="AAP35" s="414"/>
      <c r="AAQ35" s="417"/>
      <c r="AAR35" s="417"/>
    </row>
    <row r="36" spans="2:720" x14ac:dyDescent="0.2">
      <c r="DZ36" s="415"/>
      <c r="EA36" s="415"/>
      <c r="EB36" s="415"/>
      <c r="EC36" s="415"/>
      <c r="ED36" s="415"/>
      <c r="EE36" s="415"/>
      <c r="EF36" s="415"/>
      <c r="EG36" s="415"/>
      <c r="EH36" s="415"/>
      <c r="EI36" s="415"/>
      <c r="EJ36" s="415"/>
      <c r="EK36" s="415"/>
      <c r="XN36" s="415">
        <v>0</v>
      </c>
      <c r="XO36" s="415">
        <v>0</v>
      </c>
      <c r="XP36" s="415">
        <v>0</v>
      </c>
      <c r="XQ36" s="415">
        <v>0</v>
      </c>
      <c r="XR36" s="415"/>
      <c r="XS36" s="415"/>
      <c r="XT36" s="415"/>
      <c r="XU36" s="415"/>
      <c r="XV36" s="415"/>
      <c r="XW36" s="415"/>
      <c r="XX36" s="415"/>
      <c r="XY36" s="415"/>
      <c r="ZU36" s="458"/>
      <c r="ZV36" s="458"/>
      <c r="ZW36" s="458"/>
      <c r="AAP36" s="414"/>
      <c r="AAQ36" s="417"/>
      <c r="AAR36" s="417"/>
    </row>
    <row r="37" spans="2:720" x14ac:dyDescent="0.2">
      <c r="DZ37" s="415"/>
      <c r="EA37" s="415"/>
      <c r="EB37" s="415"/>
      <c r="EC37" s="415"/>
      <c r="ED37" s="415"/>
      <c r="EE37" s="415"/>
      <c r="EF37" s="415"/>
      <c r="EG37" s="415"/>
      <c r="EH37" s="415"/>
      <c r="EI37" s="415"/>
      <c r="EJ37" s="415"/>
      <c r="EK37" s="415"/>
      <c r="XN37" s="415">
        <v>0</v>
      </c>
      <c r="XO37" s="415">
        <v>0</v>
      </c>
      <c r="XP37" s="415">
        <v>0</v>
      </c>
      <c r="XQ37" s="415">
        <v>0</v>
      </c>
      <c r="XR37" s="415"/>
      <c r="XS37" s="415"/>
      <c r="XT37" s="415"/>
      <c r="XU37" s="415"/>
      <c r="XV37" s="415"/>
      <c r="XW37" s="415"/>
      <c r="XX37" s="415"/>
      <c r="XY37" s="415"/>
      <c r="ZU37" s="458"/>
      <c r="ZV37" s="458"/>
      <c r="ZW37" s="458"/>
      <c r="AAP37" s="414"/>
      <c r="AAQ37" s="417"/>
      <c r="AAR37" s="417"/>
    </row>
    <row r="38" spans="2:720" x14ac:dyDescent="0.2">
      <c r="AI38" s="980"/>
      <c r="AJ38" s="980"/>
      <c r="AK38" s="980"/>
      <c r="AL38" s="485"/>
      <c r="AM38" s="485"/>
      <c r="AN38" s="485"/>
      <c r="AO38" s="485"/>
      <c r="AP38" s="485"/>
      <c r="AQ38" s="485"/>
      <c r="AR38" s="485"/>
      <c r="AS38" s="485"/>
      <c r="DZ38" s="415"/>
      <c r="EA38" s="415"/>
      <c r="EB38" s="415"/>
      <c r="EC38" s="415"/>
      <c r="ED38" s="415"/>
      <c r="EE38" s="415"/>
      <c r="EF38" s="415"/>
      <c r="EG38" s="415"/>
      <c r="EH38" s="415"/>
      <c r="EI38" s="415"/>
      <c r="EJ38" s="415"/>
      <c r="EK38" s="415"/>
      <c r="XN38" s="415">
        <v>0</v>
      </c>
      <c r="XO38" s="415">
        <v>0</v>
      </c>
      <c r="XP38" s="415">
        <v>0</v>
      </c>
      <c r="XQ38" s="415">
        <v>0</v>
      </c>
      <c r="XR38" s="415"/>
      <c r="XS38" s="415"/>
      <c r="XT38" s="415"/>
      <c r="XU38" s="415"/>
      <c r="XV38" s="415"/>
      <c r="XW38" s="415"/>
      <c r="XX38" s="415"/>
      <c r="XY38" s="415"/>
      <c r="ZU38" s="458"/>
      <c r="ZV38" s="458"/>
      <c r="ZW38" s="458"/>
      <c r="AAP38" s="414"/>
      <c r="AAQ38" s="417"/>
      <c r="AAR38" s="417"/>
    </row>
    <row r="39" spans="2:720" x14ac:dyDescent="0.2">
      <c r="AI39" s="486"/>
      <c r="AJ39" s="486"/>
      <c r="AK39" s="486"/>
      <c r="AL39" s="486"/>
      <c r="AM39" s="486"/>
      <c r="AN39" s="486"/>
      <c r="AO39" s="486"/>
      <c r="AP39" s="486"/>
      <c r="AQ39" s="486"/>
      <c r="AR39" s="486"/>
      <c r="AS39" s="486"/>
      <c r="DZ39" s="415"/>
      <c r="EA39" s="415"/>
      <c r="EB39" s="415"/>
      <c r="EC39" s="415"/>
      <c r="ED39" s="415"/>
      <c r="EE39" s="415"/>
      <c r="EF39" s="415"/>
      <c r="EG39" s="415"/>
      <c r="EH39" s="415"/>
      <c r="EI39" s="415"/>
      <c r="EJ39" s="415"/>
      <c r="EK39" s="415"/>
      <c r="XN39" s="415">
        <v>0</v>
      </c>
      <c r="XO39" s="415">
        <v>0</v>
      </c>
      <c r="XP39" s="415">
        <v>0</v>
      </c>
      <c r="XQ39" s="415">
        <v>0</v>
      </c>
      <c r="XR39" s="415"/>
      <c r="XS39" s="415"/>
      <c r="XT39" s="415"/>
      <c r="XU39" s="415"/>
      <c r="XV39" s="415"/>
      <c r="XW39" s="415"/>
      <c r="XX39" s="415"/>
      <c r="XY39" s="415"/>
      <c r="ZU39" s="458"/>
      <c r="ZV39" s="458"/>
      <c r="ZW39" s="458"/>
      <c r="AAP39" s="417"/>
      <c r="AAQ39" s="417"/>
      <c r="AAR39" s="417"/>
    </row>
    <row r="40" spans="2:720" x14ac:dyDescent="0.2">
      <c r="AI40" s="487"/>
      <c r="AJ40" s="487"/>
      <c r="AK40" s="487"/>
      <c r="AL40" s="487"/>
      <c r="AM40" s="487"/>
      <c r="AN40" s="487"/>
      <c r="AO40" s="487"/>
      <c r="AP40" s="487"/>
      <c r="AQ40" s="487"/>
      <c r="AR40" s="487"/>
      <c r="AS40" s="487"/>
      <c r="DZ40" s="415"/>
      <c r="EA40" s="415"/>
      <c r="EB40" s="415"/>
      <c r="EC40" s="415"/>
      <c r="ED40" s="415"/>
      <c r="EE40" s="415"/>
      <c r="EF40" s="415"/>
      <c r="EG40" s="415"/>
      <c r="EH40" s="415"/>
      <c r="EI40" s="415"/>
      <c r="EJ40" s="415"/>
      <c r="EK40" s="415"/>
      <c r="XN40" s="415">
        <v>0</v>
      </c>
      <c r="XO40" s="415">
        <v>0</v>
      </c>
      <c r="XP40" s="415">
        <v>0</v>
      </c>
      <c r="XQ40" s="415">
        <v>0</v>
      </c>
      <c r="XR40" s="415"/>
      <c r="XS40" s="415"/>
      <c r="XT40" s="415"/>
      <c r="XU40" s="415"/>
      <c r="XV40" s="415"/>
      <c r="XW40" s="415"/>
      <c r="XX40" s="415"/>
      <c r="XY40" s="415"/>
      <c r="ZU40" s="458"/>
      <c r="ZV40" s="458"/>
      <c r="ZW40" s="458"/>
      <c r="AAP40" s="417"/>
      <c r="AAQ40" s="417"/>
      <c r="AAR40" s="417"/>
    </row>
    <row r="41" spans="2:720" x14ac:dyDescent="0.2">
      <c r="AI41" s="487"/>
      <c r="AJ41" s="487"/>
      <c r="AK41" s="487"/>
      <c r="AL41" s="487"/>
      <c r="AM41" s="487"/>
      <c r="AN41" s="487"/>
      <c r="AO41" s="487"/>
      <c r="AP41" s="487"/>
      <c r="AQ41" s="487"/>
      <c r="AR41" s="487"/>
      <c r="AS41" s="487"/>
      <c r="DZ41" s="415"/>
      <c r="EA41" s="415"/>
      <c r="EB41" s="415"/>
      <c r="EC41" s="415"/>
      <c r="ED41" s="415"/>
      <c r="EE41" s="415"/>
      <c r="EF41" s="415"/>
      <c r="EG41" s="415"/>
      <c r="EH41" s="415"/>
      <c r="EI41" s="415"/>
      <c r="EJ41" s="415"/>
      <c r="EK41" s="415"/>
      <c r="XN41" s="415">
        <v>0</v>
      </c>
      <c r="XO41" s="415">
        <v>0</v>
      </c>
      <c r="XP41" s="415">
        <v>0</v>
      </c>
      <c r="XQ41" s="415">
        <v>0</v>
      </c>
      <c r="XR41" s="415"/>
      <c r="XS41" s="415"/>
      <c r="XT41" s="415"/>
      <c r="XU41" s="415"/>
      <c r="XV41" s="415"/>
      <c r="XW41" s="415"/>
      <c r="XX41" s="415"/>
      <c r="XY41" s="415"/>
      <c r="ZU41" s="458"/>
      <c r="ZV41" s="458"/>
      <c r="ZW41" s="458"/>
      <c r="AAP41" s="417"/>
      <c r="AAQ41" s="417"/>
      <c r="AAR41" s="417"/>
    </row>
    <row r="42" spans="2:720" x14ac:dyDescent="0.2">
      <c r="AI42" s="487"/>
      <c r="AJ42" s="487"/>
      <c r="AK42" s="487"/>
      <c r="AL42" s="487"/>
      <c r="AM42" s="487"/>
      <c r="AN42" s="487"/>
      <c r="AO42" s="487"/>
      <c r="AP42" s="487"/>
      <c r="AQ42" s="487"/>
      <c r="AR42" s="487"/>
      <c r="AS42" s="487"/>
      <c r="DZ42" s="415"/>
      <c r="EA42" s="415"/>
      <c r="EB42" s="415"/>
      <c r="EC42" s="415"/>
      <c r="ED42" s="415"/>
      <c r="EE42" s="415"/>
      <c r="EF42" s="415"/>
      <c r="EG42" s="415"/>
      <c r="EH42" s="415"/>
      <c r="EI42" s="415"/>
      <c r="EJ42" s="415"/>
      <c r="EK42" s="415"/>
      <c r="XN42" s="415">
        <v>0</v>
      </c>
      <c r="XO42" s="415">
        <v>0</v>
      </c>
      <c r="XP42" s="415">
        <v>0</v>
      </c>
      <c r="XQ42" s="415">
        <v>0</v>
      </c>
      <c r="XR42" s="415"/>
      <c r="XS42" s="415"/>
      <c r="XT42" s="415"/>
      <c r="XU42" s="415"/>
      <c r="XV42" s="415"/>
      <c r="XW42" s="415"/>
      <c r="XX42" s="415"/>
      <c r="XY42" s="415"/>
      <c r="ZU42" s="458"/>
      <c r="ZV42" s="458"/>
      <c r="ZW42" s="458"/>
      <c r="AAP42" s="417"/>
      <c r="AAQ42" s="417"/>
      <c r="AAR42" s="417"/>
    </row>
    <row r="43" spans="2:720" x14ac:dyDescent="0.2">
      <c r="AI43" s="487"/>
      <c r="AJ43" s="487"/>
      <c r="AK43" s="487"/>
      <c r="AL43" s="487"/>
      <c r="AM43" s="487"/>
      <c r="AN43" s="487"/>
      <c r="AO43" s="487"/>
      <c r="AP43" s="487"/>
      <c r="AQ43" s="487"/>
      <c r="AR43" s="487"/>
      <c r="AS43" s="487"/>
      <c r="XN43" s="415">
        <v>0</v>
      </c>
      <c r="XO43" s="415">
        <v>0</v>
      </c>
      <c r="XP43" s="415">
        <v>0</v>
      </c>
      <c r="XQ43" s="415">
        <v>0</v>
      </c>
      <c r="ZU43" s="415"/>
      <c r="ZV43" s="415"/>
      <c r="ZW43" s="415"/>
    </row>
    <row r="44" spans="2:720" x14ac:dyDescent="0.2">
      <c r="AI44" s="487"/>
      <c r="AJ44" s="487"/>
      <c r="AK44" s="487"/>
      <c r="AL44" s="487"/>
      <c r="AM44" s="487"/>
      <c r="AN44" s="487"/>
      <c r="AO44" s="487"/>
      <c r="AP44" s="487"/>
      <c r="AQ44" s="487"/>
      <c r="AR44" s="487"/>
      <c r="AS44" s="487"/>
      <c r="XN44" s="415">
        <v>0</v>
      </c>
      <c r="XO44" s="415">
        <v>0</v>
      </c>
      <c r="XP44" s="415">
        <v>0</v>
      </c>
      <c r="XQ44" s="415">
        <v>0</v>
      </c>
      <c r="ZU44" s="415"/>
      <c r="ZV44" s="415"/>
      <c r="ZW44" s="415"/>
      <c r="AAB44" s="196"/>
    </row>
    <row r="45" spans="2:720" x14ac:dyDescent="0.2">
      <c r="AI45" s="487"/>
      <c r="AJ45" s="487"/>
      <c r="AK45" s="487"/>
      <c r="AL45" s="487"/>
      <c r="AM45" s="487"/>
      <c r="AN45" s="487"/>
      <c r="AO45" s="487"/>
      <c r="AP45" s="487"/>
      <c r="AQ45" s="487"/>
      <c r="AR45" s="487"/>
      <c r="AS45" s="487"/>
      <c r="XN45" s="415">
        <v>0</v>
      </c>
      <c r="XO45" s="415">
        <v>0</v>
      </c>
      <c r="XP45" s="415">
        <v>0</v>
      </c>
      <c r="XQ45" s="415">
        <v>0</v>
      </c>
      <c r="AAB45" s="196"/>
    </row>
    <row r="46" spans="2:720" x14ac:dyDescent="0.2">
      <c r="AI46" s="487"/>
      <c r="AJ46" s="487"/>
      <c r="AK46" s="487"/>
      <c r="AL46" s="487"/>
      <c r="AM46" s="487"/>
      <c r="AN46" s="487"/>
      <c r="AO46" s="487"/>
      <c r="AP46" s="487"/>
      <c r="AQ46" s="487"/>
      <c r="AR46" s="487"/>
      <c r="AS46" s="487"/>
      <c r="XN46" s="415">
        <v>0</v>
      </c>
      <c r="XO46" s="415">
        <v>0</v>
      </c>
      <c r="XP46" s="415">
        <v>0</v>
      </c>
      <c r="XQ46" s="415">
        <v>0</v>
      </c>
      <c r="AAB46" s="196"/>
    </row>
    <row r="47" spans="2:720" x14ac:dyDescent="0.2">
      <c r="AI47" s="446"/>
      <c r="AJ47" s="446"/>
      <c r="AK47" s="446"/>
      <c r="AL47" s="446"/>
      <c r="AM47" s="446"/>
      <c r="AN47" s="446"/>
      <c r="AO47" s="446"/>
      <c r="AP47" s="446"/>
      <c r="AQ47" s="446"/>
      <c r="AR47" s="446"/>
      <c r="AS47" s="446"/>
      <c r="XN47" s="415">
        <v>0</v>
      </c>
      <c r="XO47" s="415">
        <v>0</v>
      </c>
      <c r="XP47" s="415">
        <v>0</v>
      </c>
      <c r="XQ47" s="415">
        <v>0</v>
      </c>
      <c r="AAB47" s="196"/>
    </row>
    <row r="48" spans="2:720" x14ac:dyDescent="0.2">
      <c r="AI48" s="487"/>
      <c r="AJ48" s="487"/>
      <c r="AK48" s="487"/>
      <c r="AL48" s="487"/>
      <c r="AM48" s="487"/>
      <c r="AN48" s="487"/>
      <c r="AO48" s="487"/>
      <c r="AP48" s="487"/>
      <c r="AQ48" s="487"/>
      <c r="AR48" s="487"/>
      <c r="AS48" s="487"/>
      <c r="XN48" s="415">
        <v>0</v>
      </c>
      <c r="XO48" s="415">
        <v>0</v>
      </c>
      <c r="XP48" s="415">
        <v>0</v>
      </c>
      <c r="XQ48" s="415">
        <v>0</v>
      </c>
      <c r="AAB48" s="196"/>
    </row>
    <row r="49" spans="1:16384" s="409" customFormat="1" x14ac:dyDescent="0.2">
      <c r="A49" s="408"/>
      <c r="B49" s="480"/>
      <c r="C49" s="480"/>
      <c r="D49" s="480"/>
      <c r="E49" s="480"/>
      <c r="F49" s="196"/>
      <c r="G49" s="196"/>
      <c r="H49" s="196"/>
      <c r="I49" s="196"/>
      <c r="J49" s="196"/>
      <c r="K49" s="196"/>
      <c r="L49" s="196"/>
      <c r="M49" s="196"/>
      <c r="N49" s="196"/>
      <c r="O49" s="196"/>
      <c r="P49" s="196"/>
      <c r="Q49" s="196"/>
      <c r="R49" s="408"/>
      <c r="S49" s="408"/>
      <c r="T49" s="408"/>
      <c r="U49" s="408"/>
      <c r="V49" s="408"/>
      <c r="W49" s="408"/>
      <c r="X49" s="410"/>
      <c r="Y49" s="408"/>
      <c r="Z49" s="408"/>
      <c r="AA49" s="408"/>
      <c r="AB49" s="410"/>
      <c r="AC49" s="408"/>
      <c r="AD49" s="196"/>
      <c r="AE49" s="196"/>
      <c r="AF49" s="196"/>
      <c r="AG49" s="196"/>
      <c r="AH49" s="481"/>
      <c r="AI49" s="487"/>
      <c r="AJ49" s="487"/>
      <c r="AK49" s="487"/>
      <c r="AL49" s="487"/>
      <c r="AM49" s="487"/>
      <c r="AN49" s="487"/>
      <c r="AO49" s="487"/>
      <c r="AP49" s="487"/>
      <c r="AQ49" s="487"/>
      <c r="AR49" s="487"/>
      <c r="AS49" s="487"/>
      <c r="AT49" s="408"/>
      <c r="AU49" s="408"/>
      <c r="AV49" s="408"/>
      <c r="AW49" s="408"/>
      <c r="AX49" s="408"/>
      <c r="AY49" s="408"/>
      <c r="AZ49" s="408"/>
      <c r="BA49" s="408"/>
      <c r="BB49" s="408"/>
      <c r="BC49" s="408"/>
      <c r="BD49" s="408"/>
      <c r="BE49" s="408"/>
      <c r="BF49" s="482"/>
      <c r="BG49" s="482"/>
      <c r="BH49" s="482"/>
      <c r="BI49" s="482"/>
      <c r="BJ49" s="196"/>
      <c r="BK49" s="196"/>
      <c r="BL49" s="196"/>
      <c r="BM49" s="196"/>
      <c r="BN49" s="196"/>
      <c r="BO49" s="196"/>
      <c r="BP49" s="196"/>
      <c r="BQ49" s="196"/>
      <c r="BR49" s="196"/>
      <c r="BS49" s="196"/>
      <c r="BT49" s="196"/>
      <c r="BU49" s="196"/>
      <c r="BV49" s="408"/>
      <c r="BW49" s="408"/>
      <c r="BX49" s="408"/>
      <c r="BY49" s="408"/>
      <c r="BZ49" s="408"/>
      <c r="CA49" s="408"/>
      <c r="CB49" s="408"/>
      <c r="CC49" s="408"/>
      <c r="CD49" s="408"/>
      <c r="CE49" s="408"/>
      <c r="CF49" s="408"/>
      <c r="CG49" s="408"/>
      <c r="CH49" s="483"/>
      <c r="CI49" s="483"/>
      <c r="CJ49" s="483"/>
      <c r="CK49" s="483"/>
      <c r="CL49" s="484"/>
      <c r="CM49" s="483"/>
      <c r="CN49" s="483"/>
      <c r="CO49" s="483"/>
      <c r="CP49" s="483"/>
      <c r="CQ49" s="483"/>
      <c r="CR49" s="483"/>
      <c r="CS49" s="483"/>
      <c r="CT49" s="483"/>
      <c r="CU49" s="483"/>
      <c r="CV49" s="483"/>
      <c r="CW49" s="483"/>
      <c r="CX49" s="408"/>
      <c r="CY49" s="408"/>
      <c r="CZ49" s="408"/>
      <c r="DA49" s="408"/>
      <c r="DB49" s="408"/>
      <c r="DC49" s="408"/>
      <c r="DD49" s="408"/>
      <c r="DE49" s="408"/>
      <c r="DF49" s="408"/>
      <c r="DG49" s="408"/>
      <c r="DH49" s="408"/>
      <c r="DI49" s="408"/>
      <c r="DJ49" s="483"/>
      <c r="DK49" s="483"/>
      <c r="DL49" s="483"/>
      <c r="DM49" s="483"/>
      <c r="DN49" s="483"/>
      <c r="DO49" s="483"/>
      <c r="DP49" s="483"/>
      <c r="DQ49" s="483"/>
      <c r="DR49" s="483"/>
      <c r="DS49" s="483"/>
      <c r="DT49" s="483"/>
      <c r="DU49" s="483"/>
      <c r="DV49" s="196"/>
      <c r="DW49" s="196"/>
      <c r="DX49" s="196"/>
      <c r="DY49" s="468"/>
      <c r="EL49" s="456"/>
      <c r="EM49" s="456"/>
      <c r="EN49" s="456"/>
      <c r="EO49" s="456"/>
      <c r="EP49" s="456"/>
      <c r="EQ49" s="456"/>
      <c r="ER49" s="456"/>
      <c r="ES49" s="456"/>
      <c r="FF49" s="456"/>
      <c r="FG49" s="456"/>
      <c r="FH49" s="456"/>
      <c r="FI49" s="456"/>
      <c r="FJ49" s="456"/>
      <c r="FK49" s="456"/>
      <c r="FL49" s="456"/>
      <c r="FM49" s="456"/>
      <c r="FN49" s="456"/>
      <c r="FO49" s="456"/>
      <c r="FP49" s="456"/>
      <c r="FQ49" s="456"/>
      <c r="FR49" s="408"/>
      <c r="FS49" s="408"/>
      <c r="FT49" s="408"/>
      <c r="FU49" s="408"/>
      <c r="FV49" s="408"/>
      <c r="FW49" s="408"/>
      <c r="FX49" s="408"/>
      <c r="FY49" s="408"/>
      <c r="FZ49" s="408"/>
      <c r="GA49" s="408"/>
      <c r="GB49" s="408"/>
      <c r="GC49" s="408"/>
      <c r="GD49" s="456"/>
      <c r="GE49" s="456"/>
      <c r="GF49" s="456"/>
      <c r="GG49" s="456"/>
      <c r="GH49" s="456"/>
      <c r="GI49" s="456"/>
      <c r="GJ49" s="456"/>
      <c r="GK49" s="456"/>
      <c r="GL49" s="456"/>
      <c r="GM49" s="456"/>
      <c r="GN49" s="456"/>
      <c r="GO49" s="456"/>
      <c r="GP49" s="408"/>
      <c r="GQ49" s="408"/>
      <c r="GR49" s="408"/>
      <c r="GS49" s="408"/>
      <c r="GT49" s="408"/>
      <c r="GU49" s="408"/>
      <c r="GV49" s="408"/>
      <c r="GW49" s="408"/>
      <c r="GX49" s="456"/>
      <c r="GY49" s="456"/>
      <c r="GZ49" s="456"/>
      <c r="HA49" s="456"/>
      <c r="HB49" s="456"/>
      <c r="HC49" s="456"/>
      <c r="HD49" s="456"/>
      <c r="HE49" s="456"/>
      <c r="HF49" s="456"/>
      <c r="HG49" s="456"/>
      <c r="HH49" s="456"/>
      <c r="HI49" s="456"/>
      <c r="HJ49" s="408"/>
      <c r="HK49" s="408"/>
      <c r="HL49" s="408"/>
      <c r="HM49" s="408"/>
      <c r="HN49" s="408"/>
      <c r="HO49" s="408"/>
      <c r="HP49" s="408"/>
      <c r="HQ49" s="408"/>
      <c r="HR49" s="408"/>
      <c r="HS49" s="408"/>
      <c r="HT49" s="408"/>
      <c r="HU49" s="408"/>
      <c r="HV49" s="456"/>
      <c r="HW49" s="456"/>
      <c r="HX49" s="456"/>
      <c r="HY49" s="456"/>
      <c r="HZ49" s="456"/>
      <c r="IA49" s="456"/>
      <c r="IB49" s="456"/>
      <c r="IC49" s="456"/>
      <c r="ID49" s="408"/>
      <c r="IE49" s="408"/>
      <c r="IF49" s="408"/>
      <c r="IG49" s="408"/>
      <c r="IH49" s="408"/>
      <c r="II49" s="408"/>
      <c r="IJ49" s="408"/>
      <c r="IK49" s="408"/>
      <c r="IL49" s="408"/>
      <c r="IM49" s="408"/>
      <c r="IN49" s="408"/>
      <c r="IO49" s="408"/>
      <c r="IP49" s="456"/>
      <c r="IQ49" s="456"/>
      <c r="IR49" s="456"/>
      <c r="IS49" s="456"/>
      <c r="IT49" s="456"/>
      <c r="IU49" s="456"/>
      <c r="IV49" s="456"/>
      <c r="IW49" s="456"/>
      <c r="IX49" s="456"/>
      <c r="IY49" s="456"/>
      <c r="IZ49" s="456"/>
      <c r="JA49" s="456"/>
      <c r="JB49" s="408"/>
      <c r="JC49" s="408"/>
      <c r="JD49" s="408"/>
      <c r="JE49" s="408"/>
      <c r="JF49" s="408"/>
      <c r="JG49" s="408"/>
      <c r="JH49" s="408"/>
      <c r="JI49" s="408"/>
      <c r="JJ49" s="408"/>
      <c r="JK49" s="408"/>
      <c r="JL49" s="408"/>
      <c r="JM49" s="408"/>
      <c r="JN49" s="456"/>
      <c r="JO49" s="456"/>
      <c r="JP49" s="456"/>
      <c r="JQ49" s="456"/>
      <c r="JR49" s="456"/>
      <c r="JS49" s="456"/>
      <c r="JT49" s="456"/>
      <c r="JU49" s="456"/>
      <c r="JV49" s="408"/>
      <c r="JW49" s="408"/>
      <c r="JX49" s="408"/>
      <c r="JY49" s="408"/>
      <c r="JZ49" s="408"/>
      <c r="KA49" s="408"/>
      <c r="KB49" s="408"/>
      <c r="KC49" s="408"/>
      <c r="KD49" s="408"/>
      <c r="KE49" s="408"/>
      <c r="KF49" s="408"/>
      <c r="KG49" s="408"/>
      <c r="KH49" s="456"/>
      <c r="KI49" s="456"/>
      <c r="KJ49" s="456"/>
      <c r="KK49" s="456"/>
      <c r="KL49" s="456"/>
      <c r="KM49" s="456"/>
      <c r="KN49" s="456"/>
      <c r="KO49" s="456"/>
      <c r="KP49" s="456"/>
      <c r="KQ49" s="456"/>
      <c r="KR49" s="456"/>
      <c r="KS49" s="456"/>
      <c r="KT49" s="408"/>
      <c r="KU49" s="408"/>
      <c r="KV49" s="408"/>
      <c r="KW49" s="408"/>
      <c r="KX49" s="408"/>
      <c r="KY49" s="408"/>
      <c r="KZ49" s="408"/>
      <c r="LA49" s="408"/>
      <c r="LB49" s="408"/>
      <c r="LC49" s="408"/>
      <c r="LD49" s="408"/>
      <c r="LE49" s="408"/>
      <c r="LF49" s="456"/>
      <c r="LG49" s="456"/>
      <c r="LH49" s="456"/>
      <c r="LI49" s="456"/>
      <c r="LJ49" s="456"/>
      <c r="LK49" s="456"/>
      <c r="LL49" s="456"/>
      <c r="LM49" s="456"/>
      <c r="LN49" s="456"/>
      <c r="LO49" s="456"/>
      <c r="LP49" s="456"/>
      <c r="LQ49" s="456"/>
      <c r="LR49" s="408"/>
      <c r="LS49" s="408"/>
      <c r="LT49" s="408"/>
      <c r="LU49" s="408"/>
      <c r="LV49" s="408"/>
      <c r="LW49" s="408"/>
      <c r="LX49" s="408"/>
      <c r="LY49" s="408"/>
      <c r="LZ49" s="408"/>
      <c r="MA49" s="408"/>
      <c r="MB49" s="408"/>
      <c r="MC49" s="408"/>
      <c r="MD49" s="456"/>
      <c r="ME49" s="456"/>
      <c r="MF49" s="456"/>
      <c r="MG49" s="456"/>
      <c r="MH49" s="456"/>
      <c r="MI49" s="456"/>
      <c r="MJ49" s="456"/>
      <c r="MK49" s="456"/>
      <c r="ML49" s="456"/>
      <c r="MM49" s="456"/>
      <c r="MN49" s="456"/>
      <c r="MO49" s="456"/>
      <c r="MP49" s="408"/>
      <c r="MQ49" s="408"/>
      <c r="MR49" s="408"/>
      <c r="MS49" s="408"/>
      <c r="MT49" s="408"/>
      <c r="MU49" s="408"/>
      <c r="MV49" s="408"/>
      <c r="MW49" s="408"/>
      <c r="MX49" s="408"/>
      <c r="MY49" s="408"/>
      <c r="MZ49" s="408"/>
      <c r="NA49" s="408"/>
      <c r="NB49" s="456"/>
      <c r="NC49" s="456"/>
      <c r="ND49" s="456"/>
      <c r="NE49" s="456"/>
      <c r="NF49" s="456"/>
      <c r="NG49" s="456"/>
      <c r="NH49" s="456"/>
      <c r="NI49" s="456"/>
      <c r="NJ49" s="456"/>
      <c r="NK49" s="456"/>
      <c r="NL49" s="456"/>
      <c r="NM49" s="456"/>
      <c r="NN49" s="408"/>
      <c r="NO49" s="408"/>
      <c r="NP49" s="408"/>
      <c r="NQ49" s="408"/>
      <c r="NR49" s="408"/>
      <c r="NS49" s="408"/>
      <c r="NT49" s="408"/>
      <c r="NU49" s="408"/>
      <c r="NV49" s="408"/>
      <c r="NW49" s="408"/>
      <c r="NX49" s="408"/>
      <c r="NY49" s="408"/>
      <c r="NZ49" s="456"/>
      <c r="OA49" s="456"/>
      <c r="OB49" s="456"/>
      <c r="OC49" s="456"/>
      <c r="OD49" s="456"/>
      <c r="OE49" s="456"/>
      <c r="OF49" s="456"/>
      <c r="OG49" s="456"/>
      <c r="OH49" s="456"/>
      <c r="OI49" s="456"/>
      <c r="OJ49" s="456"/>
      <c r="OK49" s="456"/>
      <c r="OL49" s="408"/>
      <c r="OM49" s="408"/>
      <c r="ON49" s="408"/>
      <c r="OO49" s="408"/>
      <c r="OP49" s="408"/>
      <c r="OQ49" s="408"/>
      <c r="OR49" s="408"/>
      <c r="OS49" s="408"/>
      <c r="OT49" s="408"/>
      <c r="OU49" s="408"/>
      <c r="OV49" s="408"/>
      <c r="OW49" s="408"/>
      <c r="OX49" s="456"/>
      <c r="OY49" s="456"/>
      <c r="OZ49" s="456"/>
      <c r="PA49" s="456"/>
      <c r="PB49" s="456"/>
      <c r="PC49" s="456"/>
      <c r="PD49" s="456"/>
      <c r="PE49" s="456"/>
      <c r="PF49" s="456"/>
      <c r="PG49" s="456"/>
      <c r="PH49" s="456"/>
      <c r="PI49" s="456"/>
      <c r="PJ49" s="408"/>
      <c r="PK49" s="408"/>
      <c r="PL49" s="408"/>
      <c r="PM49" s="408"/>
      <c r="PN49" s="408"/>
      <c r="PO49" s="408"/>
      <c r="PP49" s="408"/>
      <c r="PQ49" s="408"/>
      <c r="PR49" s="408"/>
      <c r="PS49" s="408"/>
      <c r="PT49" s="408"/>
      <c r="PU49" s="408"/>
      <c r="PV49" s="456"/>
      <c r="PW49" s="456"/>
      <c r="PX49" s="456"/>
      <c r="PY49" s="456"/>
      <c r="PZ49" s="456"/>
      <c r="QA49" s="456"/>
      <c r="QB49" s="456"/>
      <c r="QC49" s="456"/>
      <c r="QD49" s="408"/>
      <c r="QE49" s="408"/>
      <c r="QF49" s="408"/>
      <c r="QG49" s="408"/>
      <c r="QH49" s="408"/>
      <c r="QI49" s="408"/>
      <c r="QJ49" s="408"/>
      <c r="QK49" s="408"/>
      <c r="QL49" s="408"/>
      <c r="QM49" s="408"/>
      <c r="QN49" s="408"/>
      <c r="QO49" s="408"/>
      <c r="QP49" s="456"/>
      <c r="QQ49" s="456"/>
      <c r="QR49" s="456"/>
      <c r="QS49" s="456"/>
      <c r="QT49" s="456"/>
      <c r="QU49" s="456"/>
      <c r="QV49" s="456"/>
      <c r="QW49" s="456"/>
      <c r="QX49" s="456"/>
      <c r="QY49" s="456"/>
      <c r="QZ49" s="456"/>
      <c r="RA49" s="456"/>
      <c r="RB49" s="408"/>
      <c r="RC49" s="408"/>
      <c r="RD49" s="408"/>
      <c r="RE49" s="408"/>
      <c r="RF49" s="408"/>
      <c r="RG49" s="408"/>
      <c r="RH49" s="408"/>
      <c r="RI49" s="408"/>
      <c r="RJ49" s="408"/>
      <c r="RK49" s="408"/>
      <c r="RL49" s="408"/>
      <c r="RM49" s="408"/>
      <c r="RN49" s="456"/>
      <c r="RO49" s="456"/>
      <c r="RP49" s="456"/>
      <c r="RQ49" s="456"/>
      <c r="RR49" s="456"/>
      <c r="RS49" s="456"/>
      <c r="RT49" s="456"/>
      <c r="RU49" s="456"/>
      <c r="RV49" s="456"/>
      <c r="RW49" s="456"/>
      <c r="RX49" s="456"/>
      <c r="RY49" s="456"/>
      <c r="RZ49" s="408"/>
      <c r="SA49" s="408"/>
      <c r="SB49" s="408"/>
      <c r="SC49" s="408"/>
      <c r="SD49" s="408"/>
      <c r="SE49" s="408"/>
      <c r="SF49" s="408"/>
      <c r="SG49" s="408"/>
      <c r="SH49" s="408"/>
      <c r="SI49" s="408"/>
      <c r="SJ49" s="408"/>
      <c r="SK49" s="408"/>
      <c r="SL49" s="456"/>
      <c r="SM49" s="456"/>
      <c r="SN49" s="456"/>
      <c r="SO49" s="456"/>
      <c r="SP49" s="456"/>
      <c r="SQ49" s="456"/>
      <c r="SR49" s="456"/>
      <c r="SS49" s="456"/>
      <c r="ST49" s="456"/>
      <c r="SU49" s="456"/>
      <c r="SV49" s="456"/>
      <c r="SW49" s="456"/>
      <c r="SX49" s="408"/>
      <c r="SY49" s="408"/>
      <c r="SZ49" s="408"/>
      <c r="TA49" s="408"/>
      <c r="TB49" s="408"/>
      <c r="TC49" s="408"/>
      <c r="TD49" s="408"/>
      <c r="TE49" s="408"/>
      <c r="TF49" s="408"/>
      <c r="TG49" s="408"/>
      <c r="TH49" s="408"/>
      <c r="TI49" s="408"/>
      <c r="TJ49" s="456"/>
      <c r="TK49" s="456"/>
      <c r="TL49" s="456"/>
      <c r="TM49" s="456"/>
      <c r="TN49" s="456"/>
      <c r="TO49" s="456"/>
      <c r="TP49" s="456"/>
      <c r="TQ49" s="456"/>
      <c r="TR49" s="456"/>
      <c r="TS49" s="456"/>
      <c r="TT49" s="456"/>
      <c r="TU49" s="456"/>
      <c r="TV49" s="408"/>
      <c r="TW49" s="408"/>
      <c r="TX49" s="408"/>
      <c r="TY49" s="408"/>
      <c r="TZ49" s="408"/>
      <c r="UA49" s="408"/>
      <c r="UB49" s="408"/>
      <c r="UC49" s="408"/>
      <c r="UD49" s="408"/>
      <c r="UE49" s="408"/>
      <c r="UF49" s="408"/>
      <c r="UG49" s="408"/>
      <c r="UH49" s="456"/>
      <c r="UI49" s="456"/>
      <c r="UJ49" s="456"/>
      <c r="UK49" s="456"/>
      <c r="UL49" s="456"/>
      <c r="UM49" s="456"/>
      <c r="UN49" s="456"/>
      <c r="UO49" s="456"/>
      <c r="UP49" s="456"/>
      <c r="UQ49" s="456"/>
      <c r="UR49" s="456"/>
      <c r="US49" s="456"/>
      <c r="UT49" s="408"/>
      <c r="UU49" s="408"/>
      <c r="UV49" s="408"/>
      <c r="UW49" s="408"/>
      <c r="UX49" s="408"/>
      <c r="UY49" s="408"/>
      <c r="UZ49" s="408"/>
      <c r="VA49" s="408"/>
      <c r="VB49" s="408"/>
      <c r="VC49" s="408"/>
      <c r="VD49" s="408"/>
      <c r="VE49" s="408"/>
      <c r="VF49" s="456"/>
      <c r="VG49" s="456"/>
      <c r="VH49" s="456"/>
      <c r="VI49" s="456"/>
      <c r="VJ49" s="456"/>
      <c r="VK49" s="456"/>
      <c r="VL49" s="456"/>
      <c r="VM49" s="456"/>
      <c r="VN49" s="456"/>
      <c r="VO49" s="456"/>
      <c r="VP49" s="456"/>
      <c r="VQ49" s="456"/>
      <c r="VR49" s="408"/>
      <c r="VS49" s="408"/>
      <c r="VT49" s="408"/>
      <c r="VU49" s="408"/>
      <c r="VV49" s="408"/>
      <c r="VW49" s="408"/>
      <c r="VX49" s="408"/>
      <c r="VY49" s="408"/>
      <c r="VZ49" s="408"/>
      <c r="WA49" s="408"/>
      <c r="WB49" s="408"/>
      <c r="WC49" s="408"/>
      <c r="WD49" s="456"/>
      <c r="WE49" s="456"/>
      <c r="WF49" s="456"/>
      <c r="WG49" s="456"/>
      <c r="WH49" s="456"/>
      <c r="WI49" s="456"/>
      <c r="WJ49" s="456"/>
      <c r="WK49" s="456"/>
      <c r="WL49" s="456"/>
      <c r="WM49" s="456"/>
      <c r="WN49" s="456"/>
      <c r="WO49" s="456"/>
      <c r="WP49" s="408"/>
      <c r="WQ49" s="408"/>
      <c r="WR49" s="408"/>
      <c r="WS49" s="408"/>
      <c r="WT49" s="408"/>
      <c r="WU49" s="408"/>
      <c r="WV49" s="408"/>
      <c r="WW49" s="408"/>
      <c r="WX49" s="408"/>
      <c r="WY49" s="408"/>
      <c r="WZ49" s="408"/>
      <c r="XA49" s="408"/>
      <c r="XB49" s="456"/>
      <c r="XC49" s="456"/>
      <c r="XD49" s="456"/>
      <c r="XE49" s="456"/>
      <c r="XF49" s="456"/>
      <c r="XG49" s="456"/>
      <c r="XH49" s="456"/>
      <c r="XI49" s="456"/>
      <c r="XJ49" s="456"/>
      <c r="XK49" s="456"/>
      <c r="XL49" s="456"/>
      <c r="XM49" s="456"/>
      <c r="XN49" s="415">
        <v>0</v>
      </c>
      <c r="XO49" s="415">
        <v>0</v>
      </c>
      <c r="XP49" s="415">
        <v>0</v>
      </c>
      <c r="XQ49" s="415">
        <v>0</v>
      </c>
      <c r="XZ49" s="458"/>
      <c r="YA49" s="458"/>
      <c r="YB49" s="458"/>
      <c r="YC49" s="408"/>
      <c r="YD49" s="408"/>
      <c r="YE49" s="408"/>
      <c r="YF49" s="458"/>
      <c r="YG49" s="458"/>
      <c r="YH49" s="458"/>
      <c r="YI49" s="458"/>
      <c r="YJ49" s="408"/>
      <c r="YK49" s="408"/>
      <c r="YL49" s="408"/>
      <c r="YM49" s="458"/>
      <c r="YN49" s="458"/>
      <c r="YO49" s="458"/>
      <c r="YP49" s="458"/>
      <c r="YQ49" s="408"/>
      <c r="YR49" s="458"/>
      <c r="YS49" s="458"/>
      <c r="YT49" s="458"/>
      <c r="YU49" s="458"/>
      <c r="YV49" s="408"/>
      <c r="YW49" s="408"/>
      <c r="YX49" s="408"/>
      <c r="YY49" s="458"/>
      <c r="YZ49" s="458"/>
      <c r="ZA49" s="458"/>
      <c r="ZB49" s="458"/>
      <c r="ZC49" s="408"/>
      <c r="ZD49" s="408"/>
      <c r="ZE49" s="408"/>
      <c r="ZF49" s="458"/>
      <c r="ZG49" s="408"/>
      <c r="ZH49" s="408"/>
      <c r="ZI49" s="408"/>
      <c r="ZJ49" s="458"/>
      <c r="ZK49" s="458"/>
      <c r="ZL49" s="458"/>
      <c r="ZM49" s="458"/>
      <c r="ZN49" s="408"/>
      <c r="ZO49" s="410"/>
      <c r="ZP49" s="410"/>
      <c r="ZQ49" s="458"/>
      <c r="ZR49" s="458"/>
      <c r="ZS49" s="458"/>
      <c r="ZT49" s="458"/>
      <c r="ZX49" s="196"/>
      <c r="ZY49" s="196"/>
      <c r="ZZ49" s="196"/>
      <c r="AAA49" s="196"/>
      <c r="AAB49" s="196"/>
      <c r="AAC49" s="408"/>
      <c r="AAD49" s="408"/>
      <c r="AAE49" s="196"/>
      <c r="AAF49" s="196"/>
      <c r="AAG49" s="196"/>
      <c r="AAH49" s="196"/>
      <c r="AAI49" s="408"/>
      <c r="AAJ49" s="408"/>
      <c r="AAK49" s="408"/>
      <c r="AAQ49" s="408"/>
      <c r="AAR49" s="408"/>
      <c r="AAS49" s="408"/>
      <c r="AAT49" s="408"/>
      <c r="AAU49" s="408"/>
      <c r="AAV49" s="408"/>
      <c r="AAW49" s="408"/>
      <c r="AAX49" s="408"/>
      <c r="AAY49" s="408"/>
      <c r="AAZ49" s="408"/>
      <c r="ABA49" s="408"/>
      <c r="ABB49" s="408"/>
      <c r="ABC49" s="408"/>
      <c r="ABD49" s="408"/>
      <c r="ABE49" s="408"/>
      <c r="ABF49" s="408"/>
      <c r="ABG49" s="408"/>
      <c r="ABH49" s="408"/>
      <c r="ABI49" s="408"/>
      <c r="ABJ49" s="408"/>
      <c r="ABK49" s="408"/>
      <c r="ABL49" s="408"/>
      <c r="ABM49" s="408"/>
      <c r="ABN49" s="408"/>
      <c r="ABO49" s="408"/>
      <c r="ABP49" s="408"/>
      <c r="ABQ49" s="408"/>
      <c r="ABR49" s="408"/>
      <c r="ABS49" s="408"/>
      <c r="ABT49" s="408"/>
      <c r="ABU49" s="408"/>
      <c r="ABV49" s="408"/>
      <c r="ABW49" s="408"/>
      <c r="ABX49" s="408"/>
      <c r="ABY49" s="408"/>
      <c r="ABZ49" s="408"/>
      <c r="ACA49" s="408"/>
      <c r="ACB49" s="408"/>
      <c r="ACC49" s="408"/>
      <c r="ACD49" s="408"/>
      <c r="ACE49" s="408"/>
      <c r="ACF49" s="408"/>
      <c r="ACG49" s="408"/>
      <c r="ACH49" s="408"/>
      <c r="ACI49" s="408"/>
      <c r="ACJ49" s="408"/>
      <c r="ACK49" s="408"/>
      <c r="ACL49" s="408"/>
      <c r="ACM49" s="408"/>
      <c r="ACN49" s="408"/>
      <c r="ACO49" s="408"/>
      <c r="ACP49" s="408"/>
      <c r="ACQ49" s="408"/>
      <c r="ACR49" s="408"/>
      <c r="ACS49" s="408"/>
      <c r="ACT49" s="408"/>
      <c r="ACU49" s="408"/>
      <c r="ACV49" s="408"/>
      <c r="ACW49" s="408"/>
      <c r="ACX49" s="408"/>
      <c r="ACY49" s="408"/>
      <c r="ACZ49" s="408"/>
      <c r="ADA49" s="408"/>
      <c r="ADB49" s="408"/>
      <c r="ADC49" s="408"/>
      <c r="ADD49" s="408"/>
      <c r="ADE49" s="408"/>
      <c r="ADF49" s="408"/>
      <c r="ADG49" s="408"/>
      <c r="ADH49" s="408"/>
      <c r="ADI49" s="408"/>
      <c r="ADJ49" s="408"/>
      <c r="ADK49" s="408"/>
      <c r="ADL49" s="408"/>
      <c r="ADM49" s="408"/>
      <c r="ADN49" s="408"/>
      <c r="ADO49" s="408"/>
      <c r="ADP49" s="408"/>
      <c r="ADQ49" s="408"/>
      <c r="ADR49" s="408"/>
      <c r="ADS49" s="408"/>
      <c r="ADT49" s="408"/>
      <c r="ADU49" s="408"/>
      <c r="ADV49" s="408"/>
      <c r="ADW49" s="408"/>
      <c r="ADX49" s="408"/>
      <c r="ADY49" s="408"/>
      <c r="ADZ49" s="408"/>
      <c r="AEA49" s="408"/>
      <c r="AEB49" s="408"/>
      <c r="AEC49" s="408"/>
      <c r="AED49" s="408"/>
      <c r="AEE49" s="408"/>
      <c r="AEF49" s="408"/>
      <c r="AEG49" s="408"/>
      <c r="AEH49" s="408"/>
      <c r="AEI49" s="408"/>
      <c r="AEJ49" s="408"/>
      <c r="AEK49" s="408"/>
      <c r="AEL49" s="408"/>
      <c r="AEM49" s="408"/>
      <c r="AEN49" s="408"/>
      <c r="AEO49" s="408"/>
      <c r="AEP49" s="408"/>
      <c r="AEQ49" s="408"/>
      <c r="AER49" s="408"/>
      <c r="AES49" s="408"/>
      <c r="AET49" s="408"/>
      <c r="AEU49" s="408"/>
      <c r="AEV49" s="408"/>
      <c r="AEW49" s="408"/>
      <c r="AEX49" s="408"/>
      <c r="AEY49" s="408"/>
      <c r="AEZ49" s="408"/>
      <c r="AFA49" s="408"/>
      <c r="AFB49" s="408"/>
      <c r="AFC49" s="408"/>
      <c r="AFD49" s="408"/>
      <c r="AFE49" s="408"/>
      <c r="AFF49" s="408"/>
      <c r="AFG49" s="408"/>
      <c r="AFH49" s="408"/>
      <c r="AFI49" s="408"/>
      <c r="AFJ49" s="408"/>
      <c r="AFK49" s="408"/>
      <c r="AFL49" s="408"/>
      <c r="AFM49" s="408"/>
      <c r="AFN49" s="408"/>
      <c r="AFO49" s="408"/>
      <c r="AFP49" s="408"/>
      <c r="AFQ49" s="408"/>
      <c r="AFR49" s="408"/>
      <c r="AFS49" s="408"/>
      <c r="AFT49" s="408"/>
      <c r="AFU49" s="408"/>
      <c r="AFV49" s="408"/>
      <c r="AFW49" s="408"/>
      <c r="AFX49" s="408"/>
      <c r="AFY49" s="408"/>
      <c r="AFZ49" s="408"/>
      <c r="AGA49" s="408"/>
      <c r="AGB49" s="408"/>
      <c r="AGC49" s="408"/>
      <c r="AGD49" s="408"/>
      <c r="AGE49" s="408"/>
      <c r="AGF49" s="408"/>
      <c r="AGG49" s="408"/>
      <c r="AGH49" s="408"/>
      <c r="AGI49" s="408"/>
      <c r="AGJ49" s="408"/>
      <c r="AGK49" s="408"/>
      <c r="AGL49" s="408"/>
      <c r="AGM49" s="408"/>
      <c r="AGN49" s="408"/>
      <c r="AGO49" s="408"/>
      <c r="AGP49" s="408"/>
      <c r="AGQ49" s="408"/>
      <c r="AGR49" s="408"/>
      <c r="AGS49" s="408"/>
      <c r="AGT49" s="408"/>
      <c r="AGU49" s="408"/>
      <c r="AGV49" s="408"/>
      <c r="AGW49" s="408"/>
      <c r="AGX49" s="408"/>
      <c r="AGY49" s="408"/>
      <c r="AGZ49" s="408"/>
      <c r="AHA49" s="408"/>
      <c r="AHB49" s="408"/>
      <c r="AHC49" s="408"/>
      <c r="AHD49" s="408"/>
      <c r="AHE49" s="408"/>
      <c r="AHF49" s="408"/>
      <c r="AHG49" s="408"/>
      <c r="AHH49" s="408"/>
      <c r="AHI49" s="408"/>
      <c r="AHJ49" s="408"/>
      <c r="AHK49" s="408"/>
      <c r="AHL49" s="408"/>
      <c r="AHM49" s="408"/>
      <c r="AHN49" s="408"/>
      <c r="AHO49" s="408"/>
      <c r="AHP49" s="408"/>
      <c r="AHQ49" s="408"/>
      <c r="AHR49" s="408"/>
      <c r="AHS49" s="408"/>
      <c r="AHT49" s="408"/>
      <c r="AHU49" s="408"/>
      <c r="AHV49" s="408"/>
      <c r="AHW49" s="408"/>
      <c r="AHX49" s="408"/>
      <c r="AHY49" s="408"/>
      <c r="AHZ49" s="408"/>
      <c r="AIA49" s="408"/>
      <c r="AIB49" s="408"/>
      <c r="AIC49" s="408"/>
      <c r="AID49" s="408"/>
      <c r="AIE49" s="408"/>
      <c r="AIF49" s="408"/>
      <c r="AIG49" s="408"/>
      <c r="AIH49" s="408"/>
      <c r="AII49" s="408"/>
      <c r="AIJ49" s="408"/>
      <c r="AIK49" s="408"/>
      <c r="AIL49" s="408"/>
      <c r="AIM49" s="408"/>
      <c r="AIN49" s="408"/>
      <c r="AIO49" s="408"/>
      <c r="AIP49" s="408"/>
      <c r="AIQ49" s="408"/>
      <c r="AIR49" s="408"/>
      <c r="AIS49" s="408"/>
      <c r="AIT49" s="408"/>
      <c r="AIU49" s="408"/>
      <c r="AIV49" s="408"/>
      <c r="AIW49" s="408"/>
      <c r="AIX49" s="408"/>
      <c r="AIY49" s="408"/>
      <c r="AIZ49" s="408"/>
      <c r="AJA49" s="408"/>
      <c r="AJB49" s="408"/>
      <c r="AJC49" s="408"/>
      <c r="AJD49" s="408"/>
      <c r="AJE49" s="408"/>
      <c r="AJF49" s="408"/>
      <c r="AJG49" s="408"/>
      <c r="AJH49" s="408"/>
      <c r="AJI49" s="408"/>
      <c r="AJJ49" s="408"/>
      <c r="AJK49" s="408"/>
      <c r="AJL49" s="408"/>
      <c r="AJM49" s="408"/>
      <c r="AJN49" s="408"/>
      <c r="AJO49" s="408"/>
      <c r="AJP49" s="408"/>
      <c r="AJQ49" s="408"/>
      <c r="AJR49" s="408"/>
      <c r="AJS49" s="408"/>
      <c r="AJT49" s="408"/>
      <c r="AJU49" s="408"/>
      <c r="AJV49" s="408"/>
      <c r="AJW49" s="408"/>
      <c r="AJX49" s="408"/>
      <c r="AJY49" s="408"/>
      <c r="AJZ49" s="408"/>
      <c r="AKA49" s="408"/>
      <c r="AKB49" s="408"/>
      <c r="AKC49" s="408"/>
      <c r="AKD49" s="408"/>
      <c r="AKE49" s="408"/>
      <c r="AKF49" s="408"/>
      <c r="AKG49" s="408"/>
      <c r="AKH49" s="408"/>
      <c r="AKI49" s="408"/>
      <c r="AKJ49" s="408"/>
      <c r="AKK49" s="408"/>
      <c r="AKL49" s="408"/>
      <c r="AKM49" s="408"/>
      <c r="AKN49" s="408"/>
      <c r="AKO49" s="408"/>
      <c r="AKP49" s="408"/>
      <c r="AKQ49" s="408"/>
      <c r="AKR49" s="408"/>
      <c r="AKS49" s="408"/>
      <c r="AKT49" s="408"/>
      <c r="AKU49" s="408"/>
      <c r="AKV49" s="408"/>
      <c r="AKW49" s="408"/>
      <c r="AKX49" s="408"/>
      <c r="AKY49" s="408"/>
      <c r="AKZ49" s="408"/>
      <c r="ALA49" s="408"/>
      <c r="ALB49" s="408"/>
      <c r="ALC49" s="408"/>
      <c r="ALD49" s="408"/>
      <c r="ALE49" s="408"/>
      <c r="ALF49" s="408"/>
      <c r="ALG49" s="408"/>
      <c r="ALH49" s="408"/>
      <c r="ALI49" s="408"/>
      <c r="ALJ49" s="408"/>
      <c r="ALK49" s="408"/>
      <c r="ALL49" s="408"/>
      <c r="ALM49" s="408"/>
      <c r="ALN49" s="408"/>
      <c r="ALO49" s="408"/>
      <c r="ALP49" s="408"/>
      <c r="ALQ49" s="408"/>
      <c r="ALR49" s="408"/>
      <c r="ALS49" s="408"/>
      <c r="ALT49" s="408"/>
      <c r="ALU49" s="408"/>
      <c r="ALV49" s="408"/>
      <c r="ALW49" s="408"/>
      <c r="ALX49" s="408"/>
      <c r="ALY49" s="408"/>
      <c r="ALZ49" s="408"/>
      <c r="AMA49" s="408"/>
      <c r="AMB49" s="408"/>
      <c r="AMC49" s="408"/>
      <c r="AMD49" s="408"/>
      <c r="AME49" s="408"/>
      <c r="AMF49" s="408"/>
      <c r="AMG49" s="408"/>
      <c r="AMH49" s="408"/>
      <c r="AMI49" s="408"/>
      <c r="AMJ49" s="408"/>
      <c r="AMK49" s="408"/>
      <c r="AML49" s="408"/>
      <c r="AMM49" s="408"/>
      <c r="AMN49" s="408"/>
      <c r="AMO49" s="408"/>
      <c r="AMP49" s="408"/>
      <c r="AMQ49" s="408"/>
      <c r="AMR49" s="408"/>
      <c r="AMS49" s="408"/>
      <c r="AMT49" s="408"/>
      <c r="AMU49" s="408"/>
      <c r="AMV49" s="408"/>
      <c r="AMW49" s="408"/>
      <c r="AMX49" s="408"/>
      <c r="AMY49" s="408"/>
      <c r="AMZ49" s="408"/>
      <c r="ANA49" s="408"/>
      <c r="ANB49" s="408"/>
      <c r="ANC49" s="408"/>
      <c r="AND49" s="408"/>
      <c r="ANE49" s="408"/>
      <c r="ANF49" s="408"/>
      <c r="ANG49" s="408"/>
      <c r="ANH49" s="408"/>
      <c r="ANI49" s="408"/>
      <c r="ANJ49" s="408"/>
      <c r="ANK49" s="408"/>
      <c r="ANL49" s="408"/>
      <c r="ANM49" s="408"/>
      <c r="ANN49" s="408"/>
      <c r="ANO49" s="408"/>
      <c r="ANP49" s="408"/>
      <c r="ANQ49" s="408"/>
      <c r="ANR49" s="408"/>
      <c r="ANS49" s="408"/>
      <c r="ANT49" s="408"/>
      <c r="ANU49" s="408"/>
      <c r="ANV49" s="408"/>
      <c r="ANW49" s="408"/>
      <c r="ANX49" s="408"/>
      <c r="ANY49" s="408"/>
      <c r="ANZ49" s="408"/>
      <c r="AOA49" s="408"/>
      <c r="AOB49" s="408"/>
      <c r="AOC49" s="408"/>
      <c r="AOD49" s="408"/>
      <c r="AOE49" s="408"/>
      <c r="AOF49" s="408"/>
      <c r="AOG49" s="408"/>
      <c r="AOH49" s="408"/>
      <c r="AOI49" s="408"/>
      <c r="AOJ49" s="408"/>
      <c r="AOK49" s="408"/>
      <c r="AOL49" s="408"/>
      <c r="AOM49" s="408"/>
      <c r="AON49" s="408"/>
      <c r="AOO49" s="408"/>
      <c r="AOP49" s="408"/>
      <c r="AOQ49" s="408"/>
      <c r="AOR49" s="408"/>
      <c r="AOS49" s="408"/>
      <c r="AOT49" s="408"/>
      <c r="AOU49" s="408"/>
      <c r="AOV49" s="408"/>
      <c r="AOW49" s="408"/>
      <c r="AOX49" s="408"/>
      <c r="AOY49" s="408"/>
      <c r="AOZ49" s="408"/>
      <c r="APA49" s="408"/>
      <c r="APB49" s="408"/>
      <c r="APC49" s="408"/>
      <c r="APD49" s="408"/>
      <c r="APE49" s="408"/>
      <c r="APF49" s="408"/>
      <c r="APG49" s="408"/>
      <c r="APH49" s="408"/>
      <c r="API49" s="408"/>
      <c r="APJ49" s="408"/>
      <c r="APK49" s="408"/>
      <c r="APL49" s="408"/>
      <c r="APM49" s="408"/>
      <c r="APN49" s="408"/>
      <c r="APO49" s="408"/>
      <c r="APP49" s="408"/>
      <c r="APQ49" s="408"/>
      <c r="APR49" s="408"/>
      <c r="APS49" s="408"/>
      <c r="APT49" s="408"/>
      <c r="APU49" s="408"/>
      <c r="APV49" s="408"/>
      <c r="APW49" s="408"/>
      <c r="APX49" s="408"/>
      <c r="APY49" s="408"/>
      <c r="APZ49" s="408"/>
      <c r="AQA49" s="408"/>
      <c r="AQB49" s="408"/>
      <c r="AQC49" s="408"/>
      <c r="AQD49" s="408"/>
      <c r="AQE49" s="408"/>
      <c r="AQF49" s="408"/>
      <c r="AQG49" s="408"/>
      <c r="AQH49" s="408"/>
      <c r="AQI49" s="408"/>
      <c r="AQJ49" s="408"/>
      <c r="AQK49" s="408"/>
      <c r="AQL49" s="408"/>
      <c r="AQM49" s="408"/>
      <c r="AQN49" s="408"/>
      <c r="AQO49" s="408"/>
      <c r="AQP49" s="408"/>
      <c r="AQQ49" s="408"/>
      <c r="AQR49" s="408"/>
      <c r="AQS49" s="408"/>
      <c r="AQT49" s="408"/>
      <c r="AQU49" s="408"/>
      <c r="AQV49" s="408"/>
      <c r="AQW49" s="408"/>
      <c r="AQX49" s="408"/>
      <c r="AQY49" s="408"/>
      <c r="AQZ49" s="408"/>
      <c r="ARA49" s="408"/>
      <c r="ARB49" s="408"/>
      <c r="ARC49" s="408"/>
      <c r="ARD49" s="408"/>
      <c r="ARE49" s="408"/>
      <c r="ARF49" s="408"/>
      <c r="ARG49" s="408"/>
      <c r="ARH49" s="408"/>
      <c r="ARI49" s="408"/>
      <c r="ARJ49" s="408"/>
      <c r="ARK49" s="408"/>
      <c r="ARL49" s="408"/>
      <c r="ARM49" s="408"/>
      <c r="ARN49" s="408"/>
      <c r="ARO49" s="408"/>
      <c r="ARP49" s="408"/>
      <c r="ARQ49" s="408"/>
      <c r="ARR49" s="408"/>
      <c r="ARS49" s="408"/>
      <c r="ART49" s="408"/>
      <c r="ARU49" s="408"/>
      <c r="ARV49" s="408"/>
      <c r="ARW49" s="408"/>
      <c r="ARX49" s="408"/>
      <c r="ARY49" s="408"/>
      <c r="ARZ49" s="408"/>
      <c r="ASA49" s="408"/>
      <c r="ASB49" s="408"/>
      <c r="ASC49" s="408"/>
      <c r="ASD49" s="408"/>
      <c r="ASE49" s="408"/>
      <c r="ASF49" s="408"/>
      <c r="ASG49" s="408"/>
      <c r="ASH49" s="408"/>
      <c r="ASI49" s="408"/>
      <c r="ASJ49" s="408"/>
      <c r="ASK49" s="408"/>
      <c r="ASL49" s="408"/>
      <c r="ASM49" s="408"/>
      <c r="ASN49" s="408"/>
      <c r="ASO49" s="408"/>
      <c r="ASP49" s="408"/>
      <c r="ASQ49" s="408"/>
      <c r="ASR49" s="408"/>
      <c r="ASS49" s="408"/>
      <c r="AST49" s="408"/>
      <c r="ASU49" s="408"/>
      <c r="ASV49" s="408"/>
      <c r="ASW49" s="408"/>
      <c r="ASX49" s="408"/>
      <c r="ASY49" s="408"/>
      <c r="ASZ49" s="408"/>
      <c r="ATA49" s="408"/>
      <c r="ATB49" s="408"/>
      <c r="ATC49" s="408"/>
      <c r="ATD49" s="408"/>
      <c r="ATE49" s="408"/>
      <c r="ATF49" s="408"/>
      <c r="ATG49" s="408"/>
      <c r="ATH49" s="408"/>
      <c r="ATI49" s="408"/>
      <c r="ATJ49" s="408"/>
      <c r="ATK49" s="408"/>
      <c r="ATL49" s="408"/>
      <c r="ATM49" s="408"/>
      <c r="ATN49" s="408"/>
      <c r="ATO49" s="408"/>
      <c r="ATP49" s="408"/>
      <c r="ATQ49" s="408"/>
      <c r="ATR49" s="408"/>
      <c r="ATS49" s="408"/>
      <c r="ATT49" s="408"/>
      <c r="ATU49" s="408"/>
      <c r="ATV49" s="408"/>
      <c r="ATW49" s="408"/>
      <c r="ATX49" s="408"/>
      <c r="ATY49" s="408"/>
      <c r="ATZ49" s="408"/>
      <c r="AUA49" s="408"/>
      <c r="AUB49" s="408"/>
      <c r="AUC49" s="408"/>
      <c r="AUD49" s="408"/>
      <c r="AUE49" s="408"/>
      <c r="AUF49" s="408"/>
      <c r="AUG49" s="408"/>
      <c r="AUH49" s="408"/>
      <c r="AUI49" s="408"/>
      <c r="AUJ49" s="408"/>
      <c r="AUK49" s="408"/>
      <c r="AUL49" s="408"/>
      <c r="AUM49" s="408"/>
      <c r="AUN49" s="408"/>
      <c r="AUO49" s="408"/>
      <c r="AUP49" s="408"/>
      <c r="AUQ49" s="408"/>
      <c r="AUR49" s="408"/>
      <c r="AUS49" s="408"/>
      <c r="AUT49" s="408"/>
      <c r="AUU49" s="408"/>
      <c r="AUV49" s="408"/>
      <c r="AUW49" s="408"/>
      <c r="AUX49" s="408"/>
      <c r="AUY49" s="408"/>
      <c r="AUZ49" s="408"/>
      <c r="AVA49" s="408"/>
      <c r="AVB49" s="408"/>
      <c r="AVC49" s="408"/>
      <c r="AVD49" s="408"/>
      <c r="AVE49" s="408"/>
      <c r="AVF49" s="408"/>
      <c r="AVG49" s="408"/>
      <c r="AVH49" s="408"/>
      <c r="AVI49" s="408"/>
      <c r="AVJ49" s="408"/>
      <c r="AVK49" s="408"/>
      <c r="AVL49" s="408"/>
      <c r="AVM49" s="408"/>
      <c r="AVN49" s="408"/>
      <c r="AVO49" s="408"/>
      <c r="AVP49" s="408"/>
      <c r="AVQ49" s="408"/>
      <c r="AVR49" s="408"/>
      <c r="AVS49" s="408"/>
      <c r="AVT49" s="408"/>
      <c r="AVU49" s="408"/>
      <c r="AVV49" s="408"/>
      <c r="AVW49" s="408"/>
      <c r="AVX49" s="408"/>
      <c r="AVY49" s="408"/>
      <c r="AVZ49" s="408"/>
      <c r="AWA49" s="408"/>
      <c r="AWB49" s="408"/>
      <c r="AWC49" s="408"/>
      <c r="AWD49" s="408"/>
      <c r="AWE49" s="408"/>
      <c r="AWF49" s="408"/>
      <c r="AWG49" s="408"/>
      <c r="AWH49" s="408"/>
      <c r="AWI49" s="408"/>
      <c r="AWJ49" s="408"/>
      <c r="AWK49" s="408"/>
      <c r="AWL49" s="408"/>
      <c r="AWM49" s="408"/>
      <c r="AWN49" s="408"/>
      <c r="AWO49" s="408"/>
      <c r="AWP49" s="408"/>
      <c r="AWQ49" s="408"/>
      <c r="AWR49" s="408"/>
      <c r="AWS49" s="408"/>
      <c r="AWT49" s="408"/>
      <c r="AWU49" s="408"/>
      <c r="AWV49" s="408"/>
      <c r="AWW49" s="408"/>
      <c r="AWX49" s="408"/>
      <c r="AWY49" s="408"/>
      <c r="AWZ49" s="408"/>
      <c r="AXA49" s="408"/>
      <c r="AXB49" s="408"/>
      <c r="AXC49" s="408"/>
      <c r="AXD49" s="408"/>
      <c r="AXE49" s="408"/>
      <c r="AXF49" s="408"/>
      <c r="AXG49" s="408"/>
      <c r="AXH49" s="408"/>
      <c r="AXI49" s="408"/>
      <c r="AXJ49" s="408"/>
      <c r="AXK49" s="408"/>
      <c r="AXL49" s="408"/>
      <c r="AXM49" s="408"/>
      <c r="AXN49" s="408"/>
      <c r="AXO49" s="408"/>
      <c r="AXP49" s="408"/>
      <c r="AXQ49" s="408"/>
      <c r="AXR49" s="408"/>
      <c r="AXS49" s="408"/>
      <c r="AXT49" s="408"/>
      <c r="AXU49" s="408"/>
      <c r="AXV49" s="408"/>
      <c r="AXW49" s="408"/>
      <c r="AXX49" s="408"/>
      <c r="AXY49" s="408"/>
      <c r="AXZ49" s="408"/>
      <c r="AYA49" s="408"/>
      <c r="AYB49" s="408"/>
      <c r="AYC49" s="408"/>
      <c r="AYD49" s="408"/>
      <c r="AYE49" s="408"/>
      <c r="AYF49" s="408"/>
      <c r="AYG49" s="408"/>
      <c r="AYH49" s="408"/>
      <c r="AYI49" s="408"/>
      <c r="AYJ49" s="408"/>
      <c r="AYK49" s="408"/>
      <c r="AYL49" s="408"/>
      <c r="AYM49" s="408"/>
      <c r="AYN49" s="408"/>
      <c r="AYO49" s="408"/>
      <c r="AYP49" s="408"/>
      <c r="AYQ49" s="408"/>
      <c r="AYR49" s="408"/>
      <c r="AYS49" s="408"/>
      <c r="AYT49" s="408"/>
      <c r="AYU49" s="408"/>
      <c r="AYV49" s="408"/>
      <c r="AYW49" s="408"/>
      <c r="AYX49" s="408"/>
      <c r="AYY49" s="408"/>
      <c r="AYZ49" s="408"/>
      <c r="AZA49" s="408"/>
      <c r="AZB49" s="408"/>
      <c r="AZC49" s="408"/>
      <c r="AZD49" s="408"/>
      <c r="AZE49" s="408"/>
      <c r="AZF49" s="408"/>
      <c r="AZG49" s="408"/>
      <c r="AZH49" s="408"/>
      <c r="AZI49" s="408"/>
      <c r="AZJ49" s="408"/>
      <c r="AZK49" s="408"/>
      <c r="AZL49" s="408"/>
      <c r="AZM49" s="408"/>
      <c r="AZN49" s="408"/>
      <c r="AZO49" s="408"/>
      <c r="AZP49" s="408"/>
      <c r="AZQ49" s="408"/>
      <c r="AZR49" s="408"/>
      <c r="AZS49" s="408"/>
      <c r="AZT49" s="408"/>
      <c r="AZU49" s="408"/>
      <c r="AZV49" s="408"/>
      <c r="AZW49" s="408"/>
      <c r="AZX49" s="408"/>
      <c r="AZY49" s="408"/>
      <c r="AZZ49" s="408"/>
      <c r="BAA49" s="408"/>
      <c r="BAB49" s="408"/>
      <c r="BAC49" s="408"/>
      <c r="BAD49" s="408"/>
      <c r="BAE49" s="408"/>
      <c r="BAF49" s="408"/>
      <c r="BAG49" s="408"/>
      <c r="BAH49" s="408"/>
      <c r="BAI49" s="408"/>
      <c r="BAJ49" s="408"/>
      <c r="BAK49" s="408"/>
      <c r="BAL49" s="408"/>
      <c r="BAM49" s="408"/>
      <c r="BAN49" s="408"/>
      <c r="BAO49" s="408"/>
      <c r="BAP49" s="408"/>
      <c r="BAQ49" s="408"/>
      <c r="BAR49" s="408"/>
      <c r="BAS49" s="408"/>
      <c r="BAT49" s="408"/>
      <c r="BAU49" s="408"/>
      <c r="BAV49" s="408"/>
      <c r="BAW49" s="408"/>
      <c r="BAX49" s="408"/>
      <c r="BAY49" s="408"/>
      <c r="BAZ49" s="408"/>
      <c r="BBA49" s="408"/>
      <c r="BBB49" s="408"/>
      <c r="BBC49" s="408"/>
      <c r="BBD49" s="408"/>
      <c r="BBE49" s="408"/>
      <c r="BBF49" s="408"/>
      <c r="BBG49" s="408"/>
      <c r="BBH49" s="408"/>
      <c r="BBI49" s="408"/>
      <c r="BBJ49" s="408"/>
      <c r="BBK49" s="408"/>
      <c r="BBL49" s="408"/>
      <c r="BBM49" s="408"/>
      <c r="BBN49" s="408"/>
      <c r="BBO49" s="408"/>
      <c r="BBP49" s="408"/>
      <c r="BBQ49" s="408"/>
      <c r="BBR49" s="408"/>
      <c r="BBS49" s="408"/>
      <c r="BBT49" s="408"/>
      <c r="BBU49" s="408"/>
      <c r="BBV49" s="408"/>
      <c r="BBW49" s="408"/>
      <c r="BBX49" s="408"/>
      <c r="BBY49" s="408"/>
      <c r="BBZ49" s="408"/>
      <c r="BCA49" s="408"/>
      <c r="BCB49" s="408"/>
      <c r="BCC49" s="408"/>
      <c r="BCD49" s="408"/>
      <c r="BCE49" s="408"/>
      <c r="BCF49" s="408"/>
      <c r="BCG49" s="408"/>
      <c r="BCH49" s="408"/>
      <c r="BCI49" s="408"/>
      <c r="BCJ49" s="408"/>
      <c r="BCK49" s="408"/>
      <c r="BCL49" s="408"/>
      <c r="BCM49" s="408"/>
      <c r="BCN49" s="408"/>
      <c r="BCO49" s="408"/>
      <c r="BCP49" s="408"/>
      <c r="BCQ49" s="408"/>
      <c r="BCR49" s="408"/>
      <c r="BCS49" s="408"/>
      <c r="BCT49" s="408"/>
      <c r="BCU49" s="408"/>
      <c r="BCV49" s="408"/>
      <c r="BCW49" s="408"/>
      <c r="BCX49" s="408"/>
      <c r="BCY49" s="408"/>
      <c r="BCZ49" s="408"/>
      <c r="BDA49" s="408"/>
      <c r="BDB49" s="408"/>
      <c r="BDC49" s="408"/>
      <c r="BDD49" s="408"/>
      <c r="BDE49" s="408"/>
      <c r="BDF49" s="408"/>
      <c r="BDG49" s="408"/>
      <c r="BDH49" s="408"/>
      <c r="BDI49" s="408"/>
      <c r="BDJ49" s="408"/>
      <c r="BDK49" s="408"/>
      <c r="BDL49" s="408"/>
      <c r="BDM49" s="408"/>
      <c r="BDN49" s="408"/>
      <c r="BDO49" s="408"/>
      <c r="BDP49" s="408"/>
      <c r="BDQ49" s="408"/>
      <c r="BDR49" s="408"/>
      <c r="BDS49" s="408"/>
      <c r="BDT49" s="408"/>
      <c r="BDU49" s="408"/>
      <c r="BDV49" s="408"/>
      <c r="BDW49" s="408"/>
      <c r="BDX49" s="408"/>
      <c r="BDY49" s="408"/>
      <c r="BDZ49" s="408"/>
      <c r="BEA49" s="408"/>
      <c r="BEB49" s="408"/>
      <c r="BEC49" s="408"/>
      <c r="BED49" s="408"/>
      <c r="BEE49" s="408"/>
      <c r="BEF49" s="408"/>
      <c r="BEG49" s="408"/>
      <c r="BEH49" s="408"/>
      <c r="BEI49" s="408"/>
      <c r="BEJ49" s="408"/>
      <c r="BEK49" s="408"/>
      <c r="BEL49" s="408"/>
      <c r="BEM49" s="408"/>
      <c r="BEN49" s="408"/>
      <c r="BEO49" s="408"/>
      <c r="BEP49" s="408"/>
      <c r="BEQ49" s="408"/>
      <c r="BER49" s="408"/>
      <c r="BES49" s="408"/>
      <c r="BET49" s="408"/>
      <c r="BEU49" s="408"/>
      <c r="BEV49" s="408"/>
      <c r="BEW49" s="408"/>
      <c r="BEX49" s="408"/>
      <c r="BEY49" s="408"/>
      <c r="BEZ49" s="408"/>
      <c r="BFA49" s="408"/>
      <c r="BFB49" s="408"/>
      <c r="BFC49" s="408"/>
      <c r="BFD49" s="408"/>
      <c r="BFE49" s="408"/>
      <c r="BFF49" s="408"/>
      <c r="BFG49" s="408"/>
      <c r="BFH49" s="408"/>
      <c r="BFI49" s="408"/>
      <c r="BFJ49" s="408"/>
      <c r="BFK49" s="408"/>
      <c r="BFL49" s="408"/>
      <c r="BFM49" s="408"/>
      <c r="BFN49" s="408"/>
      <c r="BFO49" s="408"/>
      <c r="BFP49" s="408"/>
      <c r="BFQ49" s="408"/>
      <c r="BFR49" s="408"/>
      <c r="BFS49" s="408"/>
      <c r="BFT49" s="408"/>
      <c r="BFU49" s="408"/>
      <c r="BFV49" s="408"/>
      <c r="BFW49" s="408"/>
      <c r="BFX49" s="408"/>
      <c r="BFY49" s="408"/>
      <c r="BFZ49" s="408"/>
      <c r="BGA49" s="408"/>
      <c r="BGB49" s="408"/>
      <c r="BGC49" s="408"/>
      <c r="BGD49" s="408"/>
      <c r="BGE49" s="408"/>
      <c r="BGF49" s="408"/>
      <c r="BGG49" s="408"/>
      <c r="BGH49" s="408"/>
      <c r="BGI49" s="408"/>
      <c r="BGJ49" s="408"/>
      <c r="BGK49" s="408"/>
      <c r="BGL49" s="408"/>
      <c r="BGM49" s="408"/>
      <c r="BGN49" s="408"/>
      <c r="BGO49" s="408"/>
      <c r="BGP49" s="408"/>
      <c r="BGQ49" s="408"/>
      <c r="BGR49" s="408"/>
      <c r="BGS49" s="408"/>
      <c r="BGT49" s="408"/>
      <c r="BGU49" s="408"/>
      <c r="BGV49" s="408"/>
      <c r="BGW49" s="408"/>
      <c r="BGX49" s="408"/>
      <c r="BGY49" s="408"/>
      <c r="BGZ49" s="408"/>
      <c r="BHA49" s="408"/>
      <c r="BHB49" s="408"/>
      <c r="BHC49" s="408"/>
      <c r="BHD49" s="408"/>
      <c r="BHE49" s="408"/>
      <c r="BHF49" s="408"/>
      <c r="BHG49" s="408"/>
      <c r="BHH49" s="408"/>
      <c r="BHI49" s="408"/>
      <c r="BHJ49" s="408"/>
      <c r="BHK49" s="408"/>
      <c r="BHL49" s="408"/>
      <c r="BHM49" s="408"/>
      <c r="BHN49" s="408"/>
      <c r="BHO49" s="408"/>
      <c r="BHP49" s="408"/>
      <c r="BHQ49" s="408"/>
      <c r="BHR49" s="408"/>
      <c r="BHS49" s="408"/>
      <c r="BHT49" s="408"/>
      <c r="BHU49" s="408"/>
      <c r="BHV49" s="408"/>
      <c r="BHW49" s="408"/>
      <c r="BHX49" s="408"/>
      <c r="BHY49" s="408"/>
      <c r="BHZ49" s="408"/>
      <c r="BIA49" s="408"/>
      <c r="BIB49" s="408"/>
      <c r="BIC49" s="408"/>
      <c r="BID49" s="408"/>
      <c r="BIE49" s="408"/>
      <c r="BIF49" s="408"/>
      <c r="BIG49" s="408"/>
      <c r="BIH49" s="408"/>
      <c r="BII49" s="408"/>
      <c r="BIJ49" s="408"/>
      <c r="BIK49" s="408"/>
      <c r="BIL49" s="408"/>
      <c r="BIM49" s="408"/>
      <c r="BIN49" s="408"/>
      <c r="BIO49" s="408"/>
      <c r="BIP49" s="408"/>
      <c r="BIQ49" s="408"/>
      <c r="BIR49" s="408"/>
      <c r="BIS49" s="408"/>
      <c r="BIT49" s="408"/>
      <c r="BIU49" s="408"/>
      <c r="BIV49" s="408"/>
      <c r="BIW49" s="408"/>
      <c r="BIX49" s="408"/>
      <c r="BIY49" s="408"/>
      <c r="BIZ49" s="408"/>
      <c r="BJA49" s="408"/>
      <c r="BJB49" s="408"/>
      <c r="BJC49" s="408"/>
      <c r="BJD49" s="408"/>
      <c r="BJE49" s="408"/>
      <c r="BJF49" s="408"/>
      <c r="BJG49" s="408"/>
      <c r="BJH49" s="408"/>
      <c r="BJI49" s="408"/>
      <c r="BJJ49" s="408"/>
      <c r="BJK49" s="408"/>
      <c r="BJL49" s="408"/>
      <c r="BJM49" s="408"/>
      <c r="BJN49" s="408"/>
      <c r="BJO49" s="408"/>
      <c r="BJP49" s="408"/>
      <c r="BJQ49" s="408"/>
      <c r="BJR49" s="408"/>
      <c r="BJS49" s="408"/>
      <c r="BJT49" s="408"/>
      <c r="BJU49" s="408"/>
      <c r="BJV49" s="408"/>
      <c r="BJW49" s="408"/>
      <c r="BJX49" s="408"/>
      <c r="BJY49" s="408"/>
      <c r="BJZ49" s="408"/>
      <c r="BKA49" s="408"/>
      <c r="BKB49" s="408"/>
      <c r="BKC49" s="408"/>
      <c r="BKD49" s="408"/>
      <c r="BKE49" s="408"/>
      <c r="BKF49" s="408"/>
      <c r="BKG49" s="408"/>
      <c r="BKH49" s="408"/>
      <c r="BKI49" s="408"/>
      <c r="BKJ49" s="408"/>
      <c r="BKK49" s="408"/>
      <c r="BKL49" s="408"/>
      <c r="BKM49" s="408"/>
      <c r="BKN49" s="408"/>
      <c r="BKO49" s="408"/>
      <c r="BKP49" s="408"/>
      <c r="BKQ49" s="408"/>
      <c r="BKR49" s="408"/>
      <c r="BKS49" s="408"/>
      <c r="BKT49" s="408"/>
      <c r="BKU49" s="408"/>
      <c r="BKV49" s="408"/>
      <c r="BKW49" s="408"/>
      <c r="BKX49" s="408"/>
      <c r="BKY49" s="408"/>
      <c r="BKZ49" s="408"/>
      <c r="BLA49" s="408"/>
      <c r="BLB49" s="408"/>
      <c r="BLC49" s="408"/>
      <c r="BLD49" s="408"/>
      <c r="BLE49" s="408"/>
      <c r="BLF49" s="408"/>
      <c r="BLG49" s="408"/>
      <c r="BLH49" s="408"/>
      <c r="BLI49" s="408"/>
      <c r="BLJ49" s="408"/>
      <c r="BLK49" s="408"/>
      <c r="BLL49" s="408"/>
      <c r="BLM49" s="408"/>
      <c r="BLN49" s="408"/>
      <c r="BLO49" s="408"/>
      <c r="BLP49" s="408"/>
      <c r="BLQ49" s="408"/>
      <c r="BLR49" s="408"/>
      <c r="BLS49" s="408"/>
      <c r="BLT49" s="408"/>
      <c r="BLU49" s="408"/>
      <c r="BLV49" s="408"/>
      <c r="BLW49" s="408"/>
      <c r="BLX49" s="408"/>
      <c r="BLY49" s="408"/>
      <c r="BLZ49" s="408"/>
      <c r="BMA49" s="408"/>
      <c r="BMB49" s="408"/>
      <c r="BMC49" s="408"/>
      <c r="BMD49" s="408"/>
      <c r="BME49" s="408"/>
      <c r="BMF49" s="408"/>
      <c r="BMG49" s="408"/>
      <c r="BMH49" s="408"/>
      <c r="BMI49" s="408"/>
      <c r="BMJ49" s="408"/>
      <c r="BMK49" s="408"/>
      <c r="BML49" s="408"/>
      <c r="BMM49" s="408"/>
      <c r="BMN49" s="408"/>
      <c r="BMO49" s="408"/>
      <c r="BMP49" s="408"/>
      <c r="BMQ49" s="408"/>
      <c r="BMR49" s="408"/>
      <c r="BMS49" s="408"/>
      <c r="BMT49" s="408"/>
      <c r="BMU49" s="408"/>
      <c r="BMV49" s="408"/>
      <c r="BMW49" s="408"/>
      <c r="BMX49" s="408"/>
      <c r="BMY49" s="408"/>
      <c r="BMZ49" s="408"/>
      <c r="BNA49" s="408"/>
      <c r="BNB49" s="408"/>
      <c r="BNC49" s="408"/>
      <c r="BND49" s="408"/>
      <c r="BNE49" s="408"/>
      <c r="BNF49" s="408"/>
      <c r="BNG49" s="408"/>
      <c r="BNH49" s="408"/>
      <c r="BNI49" s="408"/>
      <c r="BNJ49" s="408"/>
      <c r="BNK49" s="408"/>
      <c r="BNL49" s="408"/>
      <c r="BNM49" s="408"/>
      <c r="BNN49" s="408"/>
      <c r="BNO49" s="408"/>
      <c r="BNP49" s="408"/>
      <c r="BNQ49" s="408"/>
      <c r="BNR49" s="408"/>
      <c r="BNS49" s="408"/>
      <c r="BNT49" s="408"/>
      <c r="BNU49" s="408"/>
      <c r="BNV49" s="408"/>
      <c r="BNW49" s="408"/>
      <c r="BNX49" s="408"/>
      <c r="BNY49" s="408"/>
      <c r="BNZ49" s="408"/>
      <c r="BOA49" s="408"/>
      <c r="BOB49" s="408"/>
      <c r="BOC49" s="408"/>
      <c r="BOD49" s="408"/>
      <c r="BOE49" s="408"/>
      <c r="BOF49" s="408"/>
      <c r="BOG49" s="408"/>
      <c r="BOH49" s="408"/>
      <c r="BOI49" s="408"/>
      <c r="BOJ49" s="408"/>
      <c r="BOK49" s="408"/>
      <c r="BOL49" s="408"/>
      <c r="BOM49" s="408"/>
      <c r="BON49" s="408"/>
      <c r="BOO49" s="408"/>
      <c r="BOP49" s="408"/>
      <c r="BOQ49" s="408"/>
      <c r="BOR49" s="408"/>
      <c r="BOS49" s="408"/>
      <c r="BOT49" s="408"/>
      <c r="BOU49" s="408"/>
      <c r="BOV49" s="408"/>
      <c r="BOW49" s="408"/>
      <c r="BOX49" s="408"/>
      <c r="BOY49" s="408"/>
      <c r="BOZ49" s="408"/>
      <c r="BPA49" s="408"/>
      <c r="BPB49" s="408"/>
      <c r="BPC49" s="408"/>
      <c r="BPD49" s="408"/>
      <c r="BPE49" s="408"/>
      <c r="BPF49" s="408"/>
      <c r="BPG49" s="408"/>
      <c r="BPH49" s="408"/>
      <c r="BPI49" s="408"/>
      <c r="BPJ49" s="408"/>
      <c r="BPK49" s="408"/>
      <c r="BPL49" s="408"/>
      <c r="BPM49" s="408"/>
      <c r="BPN49" s="408"/>
      <c r="BPO49" s="408"/>
      <c r="BPP49" s="408"/>
      <c r="BPQ49" s="408"/>
      <c r="BPR49" s="408"/>
      <c r="BPS49" s="408"/>
      <c r="BPT49" s="408"/>
      <c r="BPU49" s="408"/>
      <c r="BPV49" s="408"/>
      <c r="BPW49" s="408"/>
      <c r="BPX49" s="408"/>
      <c r="BPY49" s="408"/>
      <c r="BPZ49" s="408"/>
      <c r="BQA49" s="408"/>
      <c r="BQB49" s="408"/>
      <c r="BQC49" s="408"/>
      <c r="BQD49" s="408"/>
      <c r="BQE49" s="408"/>
      <c r="BQF49" s="408"/>
      <c r="BQG49" s="408"/>
      <c r="BQH49" s="408"/>
      <c r="BQI49" s="408"/>
      <c r="BQJ49" s="408"/>
      <c r="BQK49" s="408"/>
      <c r="BQL49" s="408"/>
      <c r="BQM49" s="408"/>
      <c r="BQN49" s="408"/>
      <c r="BQO49" s="408"/>
      <c r="BQP49" s="408"/>
      <c r="BQQ49" s="408"/>
      <c r="BQR49" s="408"/>
      <c r="BQS49" s="408"/>
      <c r="BQT49" s="408"/>
      <c r="BQU49" s="408"/>
      <c r="BQV49" s="408"/>
      <c r="BQW49" s="408"/>
      <c r="BQX49" s="408"/>
      <c r="BQY49" s="408"/>
      <c r="BQZ49" s="408"/>
      <c r="BRA49" s="408"/>
      <c r="BRB49" s="408"/>
      <c r="BRC49" s="408"/>
      <c r="BRD49" s="408"/>
      <c r="BRE49" s="408"/>
      <c r="BRF49" s="408"/>
      <c r="BRG49" s="408"/>
      <c r="BRH49" s="408"/>
      <c r="BRI49" s="408"/>
      <c r="BRJ49" s="408"/>
      <c r="BRK49" s="408"/>
      <c r="BRL49" s="408"/>
      <c r="BRM49" s="408"/>
      <c r="BRN49" s="408"/>
      <c r="BRO49" s="408"/>
      <c r="BRP49" s="408"/>
      <c r="BRQ49" s="408"/>
      <c r="BRR49" s="408"/>
      <c r="BRS49" s="408"/>
      <c r="BRT49" s="408"/>
      <c r="BRU49" s="408"/>
      <c r="BRV49" s="408"/>
      <c r="BRW49" s="408"/>
      <c r="BRX49" s="408"/>
      <c r="BRY49" s="408"/>
      <c r="BRZ49" s="408"/>
      <c r="BSA49" s="408"/>
      <c r="BSB49" s="408"/>
      <c r="BSC49" s="408"/>
      <c r="BSD49" s="408"/>
      <c r="BSE49" s="408"/>
      <c r="BSF49" s="408"/>
      <c r="BSG49" s="408"/>
      <c r="BSH49" s="408"/>
      <c r="BSI49" s="408"/>
      <c r="BSJ49" s="408"/>
      <c r="BSK49" s="408"/>
      <c r="BSL49" s="408"/>
      <c r="BSM49" s="408"/>
      <c r="BSN49" s="408"/>
      <c r="BSO49" s="408"/>
      <c r="BSP49" s="408"/>
      <c r="BSQ49" s="408"/>
      <c r="BSR49" s="408"/>
      <c r="BSS49" s="408"/>
      <c r="BST49" s="408"/>
      <c r="BSU49" s="408"/>
      <c r="BSV49" s="408"/>
      <c r="BSW49" s="408"/>
      <c r="BSX49" s="408"/>
      <c r="BSY49" s="408"/>
      <c r="BSZ49" s="408"/>
      <c r="BTA49" s="408"/>
      <c r="BTB49" s="408"/>
      <c r="BTC49" s="408"/>
      <c r="BTD49" s="408"/>
      <c r="BTE49" s="408"/>
      <c r="BTF49" s="408"/>
      <c r="BTG49" s="408"/>
      <c r="BTH49" s="408"/>
      <c r="BTI49" s="408"/>
      <c r="BTJ49" s="408"/>
      <c r="BTK49" s="408"/>
      <c r="BTL49" s="408"/>
      <c r="BTM49" s="408"/>
      <c r="BTN49" s="408"/>
      <c r="BTO49" s="408"/>
      <c r="BTP49" s="408"/>
      <c r="BTQ49" s="408"/>
      <c r="BTR49" s="408"/>
      <c r="BTS49" s="408"/>
      <c r="BTT49" s="408"/>
      <c r="BTU49" s="408"/>
      <c r="BTV49" s="408"/>
      <c r="BTW49" s="408"/>
      <c r="BTX49" s="408"/>
      <c r="BTY49" s="408"/>
      <c r="BTZ49" s="408"/>
      <c r="BUA49" s="408"/>
      <c r="BUB49" s="408"/>
      <c r="BUC49" s="408"/>
      <c r="BUD49" s="408"/>
      <c r="BUE49" s="408"/>
      <c r="BUF49" s="408"/>
      <c r="BUG49" s="408"/>
      <c r="BUH49" s="408"/>
      <c r="BUI49" s="408"/>
      <c r="BUJ49" s="408"/>
      <c r="BUK49" s="408"/>
      <c r="BUL49" s="408"/>
      <c r="BUM49" s="408"/>
      <c r="BUN49" s="408"/>
      <c r="BUO49" s="408"/>
      <c r="BUP49" s="408"/>
      <c r="BUQ49" s="408"/>
      <c r="BUR49" s="408"/>
      <c r="BUS49" s="408"/>
      <c r="BUT49" s="408"/>
      <c r="BUU49" s="408"/>
      <c r="BUV49" s="408"/>
      <c r="BUW49" s="408"/>
      <c r="BUX49" s="408"/>
      <c r="BUY49" s="408"/>
      <c r="BUZ49" s="408"/>
      <c r="BVA49" s="408"/>
      <c r="BVB49" s="408"/>
      <c r="BVC49" s="408"/>
      <c r="BVD49" s="408"/>
      <c r="BVE49" s="408"/>
      <c r="BVF49" s="408"/>
      <c r="BVG49" s="408"/>
      <c r="BVH49" s="408"/>
      <c r="BVI49" s="408"/>
      <c r="BVJ49" s="408"/>
      <c r="BVK49" s="408"/>
      <c r="BVL49" s="408"/>
      <c r="BVM49" s="408"/>
      <c r="BVN49" s="408"/>
      <c r="BVO49" s="408"/>
      <c r="BVP49" s="408"/>
      <c r="BVQ49" s="408"/>
      <c r="BVR49" s="408"/>
      <c r="BVS49" s="408"/>
      <c r="BVT49" s="408"/>
      <c r="BVU49" s="408"/>
      <c r="BVV49" s="408"/>
      <c r="BVW49" s="408"/>
      <c r="BVX49" s="408"/>
      <c r="BVY49" s="408"/>
      <c r="BVZ49" s="408"/>
      <c r="BWA49" s="408"/>
      <c r="BWB49" s="408"/>
      <c r="BWC49" s="408"/>
      <c r="BWD49" s="408"/>
      <c r="BWE49" s="408"/>
      <c r="BWF49" s="408"/>
      <c r="BWG49" s="408"/>
      <c r="BWH49" s="408"/>
      <c r="BWI49" s="408"/>
      <c r="BWJ49" s="408"/>
      <c r="BWK49" s="408"/>
      <c r="BWL49" s="408"/>
      <c r="BWM49" s="408"/>
      <c r="BWN49" s="408"/>
      <c r="BWO49" s="408"/>
      <c r="BWP49" s="408"/>
      <c r="BWQ49" s="408"/>
      <c r="BWR49" s="408"/>
      <c r="BWS49" s="408"/>
      <c r="BWT49" s="408"/>
      <c r="BWU49" s="408"/>
      <c r="BWV49" s="408"/>
      <c r="BWW49" s="408"/>
      <c r="BWX49" s="408"/>
      <c r="BWY49" s="408"/>
      <c r="BWZ49" s="408"/>
      <c r="BXA49" s="408"/>
      <c r="BXB49" s="408"/>
      <c r="BXC49" s="408"/>
      <c r="BXD49" s="408"/>
      <c r="BXE49" s="408"/>
      <c r="BXF49" s="408"/>
      <c r="BXG49" s="408"/>
      <c r="BXH49" s="408"/>
      <c r="BXI49" s="408"/>
      <c r="BXJ49" s="408"/>
      <c r="BXK49" s="408"/>
      <c r="BXL49" s="408"/>
      <c r="BXM49" s="408"/>
      <c r="BXN49" s="408"/>
      <c r="BXO49" s="408"/>
      <c r="BXP49" s="408"/>
      <c r="BXQ49" s="408"/>
      <c r="BXR49" s="408"/>
      <c r="BXS49" s="408"/>
      <c r="BXT49" s="408"/>
      <c r="BXU49" s="408"/>
      <c r="BXV49" s="408"/>
      <c r="BXW49" s="408"/>
      <c r="BXX49" s="408"/>
      <c r="BXY49" s="408"/>
      <c r="BXZ49" s="408"/>
      <c r="BYA49" s="408"/>
      <c r="BYB49" s="408"/>
      <c r="BYC49" s="408"/>
      <c r="BYD49" s="408"/>
      <c r="BYE49" s="408"/>
      <c r="BYF49" s="408"/>
      <c r="BYG49" s="408"/>
      <c r="BYH49" s="408"/>
      <c r="BYI49" s="408"/>
      <c r="BYJ49" s="408"/>
      <c r="BYK49" s="408"/>
      <c r="BYL49" s="408"/>
      <c r="BYM49" s="408"/>
      <c r="BYN49" s="408"/>
      <c r="BYO49" s="408"/>
      <c r="BYP49" s="408"/>
      <c r="BYQ49" s="408"/>
      <c r="BYR49" s="408"/>
      <c r="BYS49" s="408"/>
      <c r="BYT49" s="408"/>
      <c r="BYU49" s="408"/>
      <c r="BYV49" s="408"/>
      <c r="BYW49" s="408"/>
      <c r="BYX49" s="408"/>
      <c r="BYY49" s="408"/>
      <c r="BYZ49" s="408"/>
      <c r="BZA49" s="408"/>
      <c r="BZB49" s="408"/>
      <c r="BZC49" s="408"/>
      <c r="BZD49" s="408"/>
      <c r="BZE49" s="408"/>
      <c r="BZF49" s="408"/>
      <c r="BZG49" s="408"/>
      <c r="BZH49" s="408"/>
      <c r="BZI49" s="408"/>
      <c r="BZJ49" s="408"/>
      <c r="BZK49" s="408"/>
      <c r="BZL49" s="408"/>
      <c r="BZM49" s="408"/>
      <c r="BZN49" s="408"/>
      <c r="BZO49" s="408"/>
      <c r="BZP49" s="408"/>
      <c r="BZQ49" s="408"/>
      <c r="BZR49" s="408"/>
      <c r="BZS49" s="408"/>
      <c r="BZT49" s="408"/>
      <c r="BZU49" s="408"/>
      <c r="BZV49" s="408"/>
      <c r="BZW49" s="408"/>
      <c r="BZX49" s="408"/>
      <c r="BZY49" s="408"/>
      <c r="BZZ49" s="408"/>
      <c r="CAA49" s="408"/>
      <c r="CAB49" s="408"/>
      <c r="CAC49" s="408"/>
      <c r="CAD49" s="408"/>
      <c r="CAE49" s="408"/>
      <c r="CAF49" s="408"/>
      <c r="CAG49" s="408"/>
      <c r="CAH49" s="408"/>
      <c r="CAI49" s="408"/>
      <c r="CAJ49" s="408"/>
      <c r="CAK49" s="408"/>
      <c r="CAL49" s="408"/>
      <c r="CAM49" s="408"/>
      <c r="CAN49" s="408"/>
      <c r="CAO49" s="408"/>
      <c r="CAP49" s="408"/>
      <c r="CAQ49" s="408"/>
      <c r="CAR49" s="408"/>
      <c r="CAS49" s="408"/>
      <c r="CAT49" s="408"/>
      <c r="CAU49" s="408"/>
      <c r="CAV49" s="408"/>
      <c r="CAW49" s="408"/>
      <c r="CAX49" s="408"/>
      <c r="CAY49" s="408"/>
      <c r="CAZ49" s="408"/>
      <c r="CBA49" s="408"/>
      <c r="CBB49" s="408"/>
      <c r="CBC49" s="408"/>
      <c r="CBD49" s="408"/>
      <c r="CBE49" s="408"/>
      <c r="CBF49" s="408"/>
      <c r="CBG49" s="408"/>
      <c r="CBH49" s="408"/>
      <c r="CBI49" s="408"/>
      <c r="CBJ49" s="408"/>
      <c r="CBK49" s="408"/>
      <c r="CBL49" s="408"/>
      <c r="CBM49" s="408"/>
      <c r="CBN49" s="408"/>
      <c r="CBO49" s="408"/>
      <c r="CBP49" s="408"/>
      <c r="CBQ49" s="408"/>
      <c r="CBR49" s="408"/>
      <c r="CBS49" s="408"/>
      <c r="CBT49" s="408"/>
      <c r="CBU49" s="408"/>
      <c r="CBV49" s="408"/>
      <c r="CBW49" s="408"/>
      <c r="CBX49" s="408"/>
      <c r="CBY49" s="408"/>
      <c r="CBZ49" s="408"/>
      <c r="CCA49" s="408"/>
      <c r="CCB49" s="408"/>
      <c r="CCC49" s="408"/>
      <c r="CCD49" s="408"/>
      <c r="CCE49" s="408"/>
      <c r="CCF49" s="408"/>
      <c r="CCG49" s="408"/>
      <c r="CCH49" s="408"/>
      <c r="CCI49" s="408"/>
      <c r="CCJ49" s="408"/>
      <c r="CCK49" s="408"/>
      <c r="CCL49" s="408"/>
      <c r="CCM49" s="408"/>
      <c r="CCN49" s="408"/>
      <c r="CCO49" s="408"/>
      <c r="CCP49" s="408"/>
      <c r="CCQ49" s="408"/>
      <c r="CCR49" s="408"/>
      <c r="CCS49" s="408"/>
      <c r="CCT49" s="408"/>
      <c r="CCU49" s="408"/>
      <c r="CCV49" s="408"/>
      <c r="CCW49" s="408"/>
      <c r="CCX49" s="408"/>
      <c r="CCY49" s="408"/>
      <c r="CCZ49" s="408"/>
      <c r="CDA49" s="408"/>
      <c r="CDB49" s="408"/>
      <c r="CDC49" s="408"/>
      <c r="CDD49" s="408"/>
      <c r="CDE49" s="408"/>
      <c r="CDF49" s="408"/>
      <c r="CDG49" s="408"/>
      <c r="CDH49" s="408"/>
      <c r="CDI49" s="408"/>
      <c r="CDJ49" s="408"/>
      <c r="CDK49" s="408"/>
      <c r="CDL49" s="408"/>
      <c r="CDM49" s="408"/>
      <c r="CDN49" s="408"/>
      <c r="CDO49" s="408"/>
      <c r="CDP49" s="408"/>
      <c r="CDQ49" s="408"/>
      <c r="CDR49" s="408"/>
      <c r="CDS49" s="408"/>
      <c r="CDT49" s="408"/>
      <c r="CDU49" s="408"/>
      <c r="CDV49" s="408"/>
      <c r="CDW49" s="408"/>
      <c r="CDX49" s="408"/>
      <c r="CDY49" s="408"/>
      <c r="CDZ49" s="408"/>
      <c r="CEA49" s="408"/>
      <c r="CEB49" s="408"/>
      <c r="CEC49" s="408"/>
      <c r="CED49" s="408"/>
      <c r="CEE49" s="408"/>
      <c r="CEF49" s="408"/>
      <c r="CEG49" s="408"/>
      <c r="CEH49" s="408"/>
      <c r="CEI49" s="408"/>
      <c r="CEJ49" s="408"/>
      <c r="CEK49" s="408"/>
      <c r="CEL49" s="408"/>
      <c r="CEM49" s="408"/>
      <c r="CEN49" s="408"/>
      <c r="CEO49" s="408"/>
      <c r="CEP49" s="408"/>
      <c r="CEQ49" s="408"/>
      <c r="CER49" s="408"/>
      <c r="CES49" s="408"/>
      <c r="CET49" s="408"/>
      <c r="CEU49" s="408"/>
      <c r="CEV49" s="408"/>
      <c r="CEW49" s="408"/>
      <c r="CEX49" s="408"/>
      <c r="CEY49" s="408"/>
      <c r="CEZ49" s="408"/>
      <c r="CFA49" s="408"/>
      <c r="CFB49" s="408"/>
      <c r="CFC49" s="408"/>
      <c r="CFD49" s="408"/>
      <c r="CFE49" s="408"/>
      <c r="CFF49" s="408"/>
      <c r="CFG49" s="408"/>
      <c r="CFH49" s="408"/>
      <c r="CFI49" s="408"/>
      <c r="CFJ49" s="408"/>
      <c r="CFK49" s="408"/>
      <c r="CFL49" s="408"/>
      <c r="CFM49" s="408"/>
      <c r="CFN49" s="408"/>
      <c r="CFO49" s="408"/>
      <c r="CFP49" s="408"/>
      <c r="CFQ49" s="408"/>
      <c r="CFR49" s="408"/>
      <c r="CFS49" s="408"/>
      <c r="CFT49" s="408"/>
      <c r="CFU49" s="408"/>
      <c r="CFV49" s="408"/>
      <c r="CFW49" s="408"/>
      <c r="CFX49" s="408"/>
      <c r="CFY49" s="408"/>
      <c r="CFZ49" s="408"/>
      <c r="CGA49" s="408"/>
      <c r="CGB49" s="408"/>
      <c r="CGC49" s="408"/>
      <c r="CGD49" s="408"/>
      <c r="CGE49" s="408"/>
      <c r="CGF49" s="408"/>
      <c r="CGG49" s="408"/>
      <c r="CGH49" s="408"/>
      <c r="CGI49" s="408"/>
      <c r="CGJ49" s="408"/>
      <c r="CGK49" s="408"/>
      <c r="CGL49" s="408"/>
      <c r="CGM49" s="408"/>
      <c r="CGN49" s="408"/>
      <c r="CGO49" s="408"/>
      <c r="CGP49" s="408"/>
      <c r="CGQ49" s="408"/>
      <c r="CGR49" s="408"/>
      <c r="CGS49" s="408"/>
      <c r="CGT49" s="408"/>
      <c r="CGU49" s="408"/>
      <c r="CGV49" s="408"/>
      <c r="CGW49" s="408"/>
      <c r="CGX49" s="408"/>
      <c r="CGY49" s="408"/>
      <c r="CGZ49" s="408"/>
      <c r="CHA49" s="408"/>
      <c r="CHB49" s="408"/>
      <c r="CHC49" s="408"/>
      <c r="CHD49" s="408"/>
      <c r="CHE49" s="408"/>
      <c r="CHF49" s="408"/>
      <c r="CHG49" s="408"/>
      <c r="CHH49" s="408"/>
      <c r="CHI49" s="408"/>
      <c r="CHJ49" s="408"/>
      <c r="CHK49" s="408"/>
      <c r="CHL49" s="408"/>
      <c r="CHM49" s="408"/>
      <c r="CHN49" s="408"/>
      <c r="CHO49" s="408"/>
      <c r="CHP49" s="408"/>
      <c r="CHQ49" s="408"/>
      <c r="CHR49" s="408"/>
      <c r="CHS49" s="408"/>
      <c r="CHT49" s="408"/>
      <c r="CHU49" s="408"/>
      <c r="CHV49" s="408"/>
      <c r="CHW49" s="408"/>
      <c r="CHX49" s="408"/>
      <c r="CHY49" s="408"/>
      <c r="CHZ49" s="408"/>
      <c r="CIA49" s="408"/>
      <c r="CIB49" s="408"/>
      <c r="CIC49" s="408"/>
      <c r="CID49" s="408"/>
      <c r="CIE49" s="408"/>
      <c r="CIF49" s="408"/>
      <c r="CIG49" s="408"/>
      <c r="CIH49" s="408"/>
      <c r="CII49" s="408"/>
      <c r="CIJ49" s="408"/>
      <c r="CIK49" s="408"/>
      <c r="CIL49" s="408"/>
      <c r="CIM49" s="408"/>
      <c r="CIN49" s="408"/>
      <c r="CIO49" s="408"/>
      <c r="CIP49" s="408"/>
      <c r="CIQ49" s="408"/>
      <c r="CIR49" s="408"/>
      <c r="CIS49" s="408"/>
      <c r="CIT49" s="408"/>
      <c r="CIU49" s="408"/>
      <c r="CIV49" s="408"/>
      <c r="CIW49" s="408"/>
      <c r="CIX49" s="408"/>
      <c r="CIY49" s="408"/>
      <c r="CIZ49" s="408"/>
      <c r="CJA49" s="408"/>
      <c r="CJB49" s="408"/>
      <c r="CJC49" s="408"/>
      <c r="CJD49" s="408"/>
      <c r="CJE49" s="408"/>
      <c r="CJF49" s="408"/>
      <c r="CJG49" s="408"/>
      <c r="CJH49" s="408"/>
      <c r="CJI49" s="408"/>
      <c r="CJJ49" s="408"/>
      <c r="CJK49" s="408"/>
      <c r="CJL49" s="408"/>
      <c r="CJM49" s="408"/>
      <c r="CJN49" s="408"/>
      <c r="CJO49" s="408"/>
      <c r="CJP49" s="408"/>
      <c r="CJQ49" s="408"/>
      <c r="CJR49" s="408"/>
      <c r="CJS49" s="408"/>
      <c r="CJT49" s="408"/>
      <c r="CJU49" s="408"/>
      <c r="CJV49" s="408"/>
      <c r="CJW49" s="408"/>
      <c r="CJX49" s="408"/>
      <c r="CJY49" s="408"/>
      <c r="CJZ49" s="408"/>
      <c r="CKA49" s="408"/>
      <c r="CKB49" s="408"/>
      <c r="CKC49" s="408"/>
      <c r="CKD49" s="408"/>
      <c r="CKE49" s="408"/>
      <c r="CKF49" s="408"/>
      <c r="CKG49" s="408"/>
      <c r="CKH49" s="408"/>
      <c r="CKI49" s="408"/>
      <c r="CKJ49" s="408"/>
      <c r="CKK49" s="408"/>
      <c r="CKL49" s="408"/>
      <c r="CKM49" s="408"/>
      <c r="CKN49" s="408"/>
      <c r="CKO49" s="408"/>
      <c r="CKP49" s="408"/>
      <c r="CKQ49" s="408"/>
      <c r="CKR49" s="408"/>
      <c r="CKS49" s="408"/>
      <c r="CKT49" s="408"/>
      <c r="CKU49" s="408"/>
      <c r="CKV49" s="408"/>
      <c r="CKW49" s="408"/>
      <c r="CKX49" s="408"/>
      <c r="CKY49" s="408"/>
      <c r="CKZ49" s="408"/>
      <c r="CLA49" s="408"/>
      <c r="CLB49" s="408"/>
      <c r="CLC49" s="408"/>
      <c r="CLD49" s="408"/>
      <c r="CLE49" s="408"/>
      <c r="CLF49" s="408"/>
      <c r="CLG49" s="408"/>
      <c r="CLH49" s="408"/>
      <c r="CLI49" s="408"/>
      <c r="CLJ49" s="408"/>
      <c r="CLK49" s="408"/>
      <c r="CLL49" s="408"/>
      <c r="CLM49" s="408"/>
      <c r="CLN49" s="408"/>
      <c r="CLO49" s="408"/>
      <c r="CLP49" s="408"/>
      <c r="CLQ49" s="408"/>
      <c r="CLR49" s="408"/>
      <c r="CLS49" s="408"/>
      <c r="CLT49" s="408"/>
      <c r="CLU49" s="408"/>
      <c r="CLV49" s="408"/>
      <c r="CLW49" s="408"/>
      <c r="CLX49" s="408"/>
      <c r="CLY49" s="408"/>
      <c r="CLZ49" s="408"/>
      <c r="CMA49" s="408"/>
      <c r="CMB49" s="408"/>
      <c r="CMC49" s="408"/>
      <c r="CMD49" s="408"/>
      <c r="CME49" s="408"/>
      <c r="CMF49" s="408"/>
      <c r="CMG49" s="408"/>
      <c r="CMH49" s="408"/>
      <c r="CMI49" s="408"/>
      <c r="CMJ49" s="408"/>
      <c r="CMK49" s="408"/>
      <c r="CML49" s="408"/>
      <c r="CMM49" s="408"/>
      <c r="CMN49" s="408"/>
      <c r="CMO49" s="408"/>
      <c r="CMP49" s="408"/>
      <c r="CMQ49" s="408"/>
      <c r="CMR49" s="408"/>
      <c r="CMS49" s="408"/>
      <c r="CMT49" s="408"/>
      <c r="CMU49" s="408"/>
      <c r="CMV49" s="408"/>
      <c r="CMW49" s="408"/>
      <c r="CMX49" s="408"/>
      <c r="CMY49" s="408"/>
      <c r="CMZ49" s="408"/>
      <c r="CNA49" s="408"/>
      <c r="CNB49" s="408"/>
      <c r="CNC49" s="408"/>
      <c r="CND49" s="408"/>
      <c r="CNE49" s="408"/>
      <c r="CNF49" s="408"/>
      <c r="CNG49" s="408"/>
      <c r="CNH49" s="408"/>
      <c r="CNI49" s="408"/>
      <c r="CNJ49" s="408"/>
      <c r="CNK49" s="408"/>
      <c r="CNL49" s="408"/>
      <c r="CNM49" s="408"/>
      <c r="CNN49" s="408"/>
      <c r="CNO49" s="408"/>
      <c r="CNP49" s="408"/>
      <c r="CNQ49" s="408"/>
      <c r="CNR49" s="408"/>
      <c r="CNS49" s="408"/>
      <c r="CNT49" s="408"/>
      <c r="CNU49" s="408"/>
      <c r="CNV49" s="408"/>
      <c r="CNW49" s="408"/>
      <c r="CNX49" s="408"/>
      <c r="CNY49" s="408"/>
      <c r="CNZ49" s="408"/>
      <c r="COA49" s="408"/>
      <c r="COB49" s="408"/>
      <c r="COC49" s="408"/>
      <c r="COD49" s="408"/>
      <c r="COE49" s="408"/>
      <c r="COF49" s="408"/>
      <c r="COG49" s="408"/>
      <c r="COH49" s="408"/>
      <c r="COI49" s="408"/>
      <c r="COJ49" s="408"/>
      <c r="COK49" s="408"/>
      <c r="COL49" s="408"/>
      <c r="COM49" s="408"/>
      <c r="CON49" s="408"/>
      <c r="COO49" s="408"/>
      <c r="COP49" s="408"/>
      <c r="COQ49" s="408"/>
      <c r="COR49" s="408"/>
      <c r="COS49" s="408"/>
      <c r="COT49" s="408"/>
      <c r="COU49" s="408"/>
      <c r="COV49" s="408"/>
      <c r="COW49" s="408"/>
      <c r="COX49" s="408"/>
      <c r="COY49" s="408"/>
      <c r="COZ49" s="408"/>
      <c r="CPA49" s="408"/>
      <c r="CPB49" s="408"/>
      <c r="CPC49" s="408"/>
      <c r="CPD49" s="408"/>
      <c r="CPE49" s="408"/>
      <c r="CPF49" s="408"/>
      <c r="CPG49" s="408"/>
      <c r="CPH49" s="408"/>
      <c r="CPI49" s="408"/>
      <c r="CPJ49" s="408"/>
      <c r="CPK49" s="408"/>
      <c r="CPL49" s="408"/>
      <c r="CPM49" s="408"/>
      <c r="CPN49" s="408"/>
      <c r="CPO49" s="408"/>
      <c r="CPP49" s="408"/>
      <c r="CPQ49" s="408"/>
      <c r="CPR49" s="408"/>
      <c r="CPS49" s="408"/>
      <c r="CPT49" s="408"/>
      <c r="CPU49" s="408"/>
      <c r="CPV49" s="408"/>
      <c r="CPW49" s="408"/>
      <c r="CPX49" s="408"/>
      <c r="CPY49" s="408"/>
      <c r="CPZ49" s="408"/>
      <c r="CQA49" s="408"/>
      <c r="CQB49" s="408"/>
      <c r="CQC49" s="408"/>
      <c r="CQD49" s="408"/>
      <c r="CQE49" s="408"/>
      <c r="CQF49" s="408"/>
      <c r="CQG49" s="408"/>
      <c r="CQH49" s="408"/>
      <c r="CQI49" s="408"/>
      <c r="CQJ49" s="408"/>
      <c r="CQK49" s="408"/>
      <c r="CQL49" s="408"/>
      <c r="CQM49" s="408"/>
      <c r="CQN49" s="408"/>
      <c r="CQO49" s="408"/>
      <c r="CQP49" s="408"/>
      <c r="CQQ49" s="408"/>
      <c r="CQR49" s="408"/>
      <c r="CQS49" s="408"/>
      <c r="CQT49" s="408"/>
      <c r="CQU49" s="408"/>
      <c r="CQV49" s="408"/>
      <c r="CQW49" s="408"/>
      <c r="CQX49" s="408"/>
      <c r="CQY49" s="408"/>
      <c r="CQZ49" s="408"/>
      <c r="CRA49" s="408"/>
      <c r="CRB49" s="408"/>
      <c r="CRC49" s="408"/>
      <c r="CRD49" s="408"/>
      <c r="CRE49" s="408"/>
      <c r="CRF49" s="408"/>
      <c r="CRG49" s="408"/>
      <c r="CRH49" s="408"/>
      <c r="CRI49" s="408"/>
      <c r="CRJ49" s="408"/>
      <c r="CRK49" s="408"/>
      <c r="CRL49" s="408"/>
      <c r="CRM49" s="408"/>
      <c r="CRN49" s="408"/>
      <c r="CRO49" s="408"/>
      <c r="CRP49" s="408"/>
      <c r="CRQ49" s="408"/>
      <c r="CRR49" s="408"/>
      <c r="CRS49" s="408"/>
      <c r="CRT49" s="408"/>
      <c r="CRU49" s="408"/>
      <c r="CRV49" s="408"/>
      <c r="CRW49" s="408"/>
      <c r="CRX49" s="408"/>
      <c r="CRY49" s="408"/>
      <c r="CRZ49" s="408"/>
      <c r="CSA49" s="408"/>
      <c r="CSB49" s="408"/>
      <c r="CSC49" s="408"/>
      <c r="CSD49" s="408"/>
      <c r="CSE49" s="408"/>
      <c r="CSF49" s="408"/>
      <c r="CSG49" s="408"/>
      <c r="CSH49" s="408"/>
      <c r="CSI49" s="408"/>
      <c r="CSJ49" s="408"/>
      <c r="CSK49" s="408"/>
      <c r="CSL49" s="408"/>
      <c r="CSM49" s="408"/>
      <c r="CSN49" s="408"/>
      <c r="CSO49" s="408"/>
      <c r="CSP49" s="408"/>
      <c r="CSQ49" s="408"/>
      <c r="CSR49" s="408"/>
      <c r="CSS49" s="408"/>
      <c r="CST49" s="408"/>
      <c r="CSU49" s="408"/>
      <c r="CSV49" s="408"/>
      <c r="CSW49" s="408"/>
      <c r="CSX49" s="408"/>
      <c r="CSY49" s="408"/>
      <c r="CSZ49" s="408"/>
      <c r="CTA49" s="408"/>
      <c r="CTB49" s="408"/>
      <c r="CTC49" s="408"/>
      <c r="CTD49" s="408"/>
      <c r="CTE49" s="408"/>
      <c r="CTF49" s="408"/>
      <c r="CTG49" s="408"/>
      <c r="CTH49" s="408"/>
      <c r="CTI49" s="408"/>
      <c r="CTJ49" s="408"/>
      <c r="CTK49" s="408"/>
      <c r="CTL49" s="408"/>
      <c r="CTM49" s="408"/>
      <c r="CTN49" s="408"/>
      <c r="CTO49" s="408"/>
      <c r="CTP49" s="408"/>
      <c r="CTQ49" s="408"/>
      <c r="CTR49" s="408"/>
      <c r="CTS49" s="408"/>
      <c r="CTT49" s="408"/>
      <c r="CTU49" s="408"/>
      <c r="CTV49" s="408"/>
      <c r="CTW49" s="408"/>
      <c r="CTX49" s="408"/>
      <c r="CTY49" s="408"/>
      <c r="CTZ49" s="408"/>
      <c r="CUA49" s="408"/>
      <c r="CUB49" s="408"/>
      <c r="CUC49" s="408"/>
      <c r="CUD49" s="408"/>
      <c r="CUE49" s="408"/>
      <c r="CUF49" s="408"/>
      <c r="CUG49" s="408"/>
      <c r="CUH49" s="408"/>
      <c r="CUI49" s="408"/>
      <c r="CUJ49" s="408"/>
      <c r="CUK49" s="408"/>
      <c r="CUL49" s="408"/>
      <c r="CUM49" s="408"/>
      <c r="CUN49" s="408"/>
      <c r="CUO49" s="408"/>
      <c r="CUP49" s="408"/>
      <c r="CUQ49" s="408"/>
      <c r="CUR49" s="408"/>
      <c r="CUS49" s="408"/>
      <c r="CUT49" s="408"/>
      <c r="CUU49" s="408"/>
      <c r="CUV49" s="408"/>
      <c r="CUW49" s="408"/>
      <c r="CUX49" s="408"/>
      <c r="CUY49" s="408"/>
      <c r="CUZ49" s="408"/>
      <c r="CVA49" s="408"/>
      <c r="CVB49" s="408"/>
      <c r="CVC49" s="408"/>
      <c r="CVD49" s="408"/>
      <c r="CVE49" s="408"/>
      <c r="CVF49" s="408"/>
      <c r="CVG49" s="408"/>
      <c r="CVH49" s="408"/>
      <c r="CVI49" s="408"/>
      <c r="CVJ49" s="408"/>
      <c r="CVK49" s="408"/>
      <c r="CVL49" s="408"/>
      <c r="CVM49" s="408"/>
      <c r="CVN49" s="408"/>
      <c r="CVO49" s="408"/>
      <c r="CVP49" s="408"/>
      <c r="CVQ49" s="408"/>
      <c r="CVR49" s="408"/>
      <c r="CVS49" s="408"/>
      <c r="CVT49" s="408"/>
      <c r="CVU49" s="408"/>
      <c r="CVV49" s="408"/>
      <c r="CVW49" s="408"/>
      <c r="CVX49" s="408"/>
      <c r="CVY49" s="408"/>
      <c r="CVZ49" s="408"/>
      <c r="CWA49" s="408"/>
      <c r="CWB49" s="408"/>
      <c r="CWC49" s="408"/>
      <c r="CWD49" s="408"/>
      <c r="CWE49" s="408"/>
      <c r="CWF49" s="408"/>
      <c r="CWG49" s="408"/>
      <c r="CWH49" s="408"/>
      <c r="CWI49" s="408"/>
      <c r="CWJ49" s="408"/>
      <c r="CWK49" s="408"/>
      <c r="CWL49" s="408"/>
      <c r="CWM49" s="408"/>
      <c r="CWN49" s="408"/>
      <c r="CWO49" s="408"/>
      <c r="CWP49" s="408"/>
      <c r="CWQ49" s="408"/>
      <c r="CWR49" s="408"/>
      <c r="CWS49" s="408"/>
      <c r="CWT49" s="408"/>
      <c r="CWU49" s="408"/>
      <c r="CWV49" s="408"/>
      <c r="CWW49" s="408"/>
      <c r="CWX49" s="408"/>
      <c r="CWY49" s="408"/>
      <c r="CWZ49" s="408"/>
      <c r="CXA49" s="408"/>
      <c r="CXB49" s="408"/>
      <c r="CXC49" s="408"/>
      <c r="CXD49" s="408"/>
      <c r="CXE49" s="408"/>
      <c r="CXF49" s="408"/>
      <c r="CXG49" s="408"/>
      <c r="CXH49" s="408"/>
      <c r="CXI49" s="408"/>
      <c r="CXJ49" s="408"/>
      <c r="CXK49" s="408"/>
      <c r="CXL49" s="408"/>
      <c r="CXM49" s="408"/>
      <c r="CXN49" s="408"/>
      <c r="CXO49" s="408"/>
      <c r="CXP49" s="408"/>
      <c r="CXQ49" s="408"/>
      <c r="CXR49" s="408"/>
      <c r="CXS49" s="408"/>
      <c r="CXT49" s="408"/>
      <c r="CXU49" s="408"/>
      <c r="CXV49" s="408"/>
      <c r="CXW49" s="408"/>
      <c r="CXX49" s="408"/>
      <c r="CXY49" s="408"/>
      <c r="CXZ49" s="408"/>
      <c r="CYA49" s="408"/>
      <c r="CYB49" s="408"/>
      <c r="CYC49" s="408"/>
      <c r="CYD49" s="408"/>
      <c r="CYE49" s="408"/>
      <c r="CYF49" s="408"/>
      <c r="CYG49" s="408"/>
      <c r="CYH49" s="408"/>
      <c r="CYI49" s="408"/>
      <c r="CYJ49" s="408"/>
      <c r="CYK49" s="408"/>
      <c r="CYL49" s="408"/>
      <c r="CYM49" s="408"/>
      <c r="CYN49" s="408"/>
      <c r="CYO49" s="408"/>
      <c r="CYP49" s="408"/>
      <c r="CYQ49" s="408"/>
      <c r="CYR49" s="408"/>
      <c r="CYS49" s="408"/>
      <c r="CYT49" s="408"/>
      <c r="CYU49" s="408"/>
      <c r="CYV49" s="408"/>
      <c r="CYW49" s="408"/>
      <c r="CYX49" s="408"/>
      <c r="CYY49" s="408"/>
      <c r="CYZ49" s="408"/>
      <c r="CZA49" s="408"/>
      <c r="CZB49" s="408"/>
      <c r="CZC49" s="408"/>
      <c r="CZD49" s="408"/>
      <c r="CZE49" s="408"/>
      <c r="CZF49" s="408"/>
      <c r="CZG49" s="408"/>
      <c r="CZH49" s="408"/>
      <c r="CZI49" s="408"/>
      <c r="CZJ49" s="408"/>
      <c r="CZK49" s="408"/>
      <c r="CZL49" s="408"/>
      <c r="CZM49" s="408"/>
      <c r="CZN49" s="408"/>
      <c r="CZO49" s="408"/>
      <c r="CZP49" s="408"/>
      <c r="CZQ49" s="408"/>
      <c r="CZR49" s="408"/>
      <c r="CZS49" s="408"/>
      <c r="CZT49" s="408"/>
      <c r="CZU49" s="408"/>
      <c r="CZV49" s="408"/>
      <c r="CZW49" s="408"/>
      <c r="CZX49" s="408"/>
      <c r="CZY49" s="408"/>
      <c r="CZZ49" s="408"/>
      <c r="DAA49" s="408"/>
      <c r="DAB49" s="408"/>
      <c r="DAC49" s="408"/>
      <c r="DAD49" s="408"/>
      <c r="DAE49" s="408"/>
      <c r="DAF49" s="408"/>
      <c r="DAG49" s="408"/>
      <c r="DAH49" s="408"/>
      <c r="DAI49" s="408"/>
      <c r="DAJ49" s="408"/>
      <c r="DAK49" s="408"/>
      <c r="DAL49" s="408"/>
      <c r="DAM49" s="408"/>
      <c r="DAN49" s="408"/>
      <c r="DAO49" s="408"/>
      <c r="DAP49" s="408"/>
      <c r="DAQ49" s="408"/>
      <c r="DAR49" s="408"/>
      <c r="DAS49" s="408"/>
      <c r="DAT49" s="408"/>
      <c r="DAU49" s="408"/>
      <c r="DAV49" s="408"/>
      <c r="DAW49" s="408"/>
      <c r="DAX49" s="408"/>
      <c r="DAY49" s="408"/>
      <c r="DAZ49" s="408"/>
      <c r="DBA49" s="408"/>
      <c r="DBB49" s="408"/>
      <c r="DBC49" s="408"/>
      <c r="DBD49" s="408"/>
      <c r="DBE49" s="408"/>
      <c r="DBF49" s="408"/>
      <c r="DBG49" s="408"/>
      <c r="DBH49" s="408"/>
      <c r="DBI49" s="408"/>
      <c r="DBJ49" s="408"/>
      <c r="DBK49" s="408"/>
      <c r="DBL49" s="408"/>
      <c r="DBM49" s="408"/>
      <c r="DBN49" s="408"/>
      <c r="DBO49" s="408"/>
      <c r="DBP49" s="408"/>
      <c r="DBQ49" s="408"/>
      <c r="DBR49" s="408"/>
      <c r="DBS49" s="408"/>
      <c r="DBT49" s="408"/>
      <c r="DBU49" s="408"/>
      <c r="DBV49" s="408"/>
      <c r="DBW49" s="408"/>
      <c r="DBX49" s="408"/>
      <c r="DBY49" s="408"/>
      <c r="DBZ49" s="408"/>
      <c r="DCA49" s="408"/>
      <c r="DCB49" s="408"/>
      <c r="DCC49" s="408"/>
      <c r="DCD49" s="408"/>
      <c r="DCE49" s="408"/>
      <c r="DCF49" s="408"/>
      <c r="DCG49" s="408"/>
      <c r="DCH49" s="408"/>
      <c r="DCI49" s="408"/>
      <c r="DCJ49" s="408"/>
      <c r="DCK49" s="408"/>
      <c r="DCL49" s="408"/>
      <c r="DCM49" s="408"/>
      <c r="DCN49" s="408"/>
      <c r="DCO49" s="408"/>
      <c r="DCP49" s="408"/>
      <c r="DCQ49" s="408"/>
      <c r="DCR49" s="408"/>
      <c r="DCS49" s="408"/>
      <c r="DCT49" s="408"/>
      <c r="DCU49" s="408"/>
      <c r="DCV49" s="408"/>
      <c r="DCW49" s="408"/>
      <c r="DCX49" s="408"/>
      <c r="DCY49" s="408"/>
      <c r="DCZ49" s="408"/>
      <c r="DDA49" s="408"/>
      <c r="DDB49" s="408"/>
      <c r="DDC49" s="408"/>
      <c r="DDD49" s="408"/>
      <c r="DDE49" s="408"/>
      <c r="DDF49" s="408"/>
      <c r="DDG49" s="408"/>
      <c r="DDH49" s="408"/>
      <c r="DDI49" s="408"/>
      <c r="DDJ49" s="408"/>
      <c r="DDK49" s="408"/>
      <c r="DDL49" s="408"/>
      <c r="DDM49" s="408"/>
      <c r="DDN49" s="408"/>
      <c r="DDO49" s="408"/>
      <c r="DDP49" s="408"/>
      <c r="DDQ49" s="408"/>
      <c r="DDR49" s="408"/>
      <c r="DDS49" s="408"/>
      <c r="DDT49" s="408"/>
      <c r="DDU49" s="408"/>
      <c r="DDV49" s="408"/>
      <c r="DDW49" s="408"/>
      <c r="DDX49" s="408"/>
      <c r="DDY49" s="408"/>
      <c r="DDZ49" s="408"/>
      <c r="DEA49" s="408"/>
      <c r="DEB49" s="408"/>
      <c r="DEC49" s="408"/>
      <c r="DED49" s="408"/>
      <c r="DEE49" s="408"/>
      <c r="DEF49" s="408"/>
      <c r="DEG49" s="408"/>
      <c r="DEH49" s="408"/>
      <c r="DEI49" s="408"/>
      <c r="DEJ49" s="408"/>
      <c r="DEK49" s="408"/>
      <c r="DEL49" s="408"/>
      <c r="DEM49" s="408"/>
      <c r="DEN49" s="408"/>
      <c r="DEO49" s="408"/>
      <c r="DEP49" s="408"/>
      <c r="DEQ49" s="408"/>
      <c r="DER49" s="408"/>
      <c r="DES49" s="408"/>
      <c r="DET49" s="408"/>
      <c r="DEU49" s="408"/>
      <c r="DEV49" s="408"/>
      <c r="DEW49" s="408"/>
      <c r="DEX49" s="408"/>
      <c r="DEY49" s="408"/>
      <c r="DEZ49" s="408"/>
      <c r="DFA49" s="408"/>
      <c r="DFB49" s="408"/>
      <c r="DFC49" s="408"/>
      <c r="DFD49" s="408"/>
      <c r="DFE49" s="408"/>
      <c r="DFF49" s="408"/>
      <c r="DFG49" s="408"/>
      <c r="DFH49" s="408"/>
      <c r="DFI49" s="408"/>
      <c r="DFJ49" s="408"/>
      <c r="DFK49" s="408"/>
      <c r="DFL49" s="408"/>
      <c r="DFM49" s="408"/>
      <c r="DFN49" s="408"/>
      <c r="DFO49" s="408"/>
      <c r="DFP49" s="408"/>
      <c r="DFQ49" s="408"/>
      <c r="DFR49" s="408"/>
      <c r="DFS49" s="408"/>
      <c r="DFT49" s="408"/>
      <c r="DFU49" s="408"/>
      <c r="DFV49" s="408"/>
      <c r="DFW49" s="408"/>
      <c r="DFX49" s="408"/>
      <c r="DFY49" s="408"/>
      <c r="DFZ49" s="408"/>
      <c r="DGA49" s="408"/>
      <c r="DGB49" s="408"/>
      <c r="DGC49" s="408"/>
      <c r="DGD49" s="408"/>
      <c r="DGE49" s="408"/>
      <c r="DGF49" s="408"/>
      <c r="DGG49" s="408"/>
      <c r="DGH49" s="408"/>
      <c r="DGI49" s="408"/>
      <c r="DGJ49" s="408"/>
      <c r="DGK49" s="408"/>
      <c r="DGL49" s="408"/>
      <c r="DGM49" s="408"/>
      <c r="DGN49" s="408"/>
      <c r="DGO49" s="408"/>
      <c r="DGP49" s="408"/>
      <c r="DGQ49" s="408"/>
      <c r="DGR49" s="408"/>
      <c r="DGS49" s="408"/>
      <c r="DGT49" s="408"/>
      <c r="DGU49" s="408"/>
      <c r="DGV49" s="408"/>
      <c r="DGW49" s="408"/>
      <c r="DGX49" s="408"/>
      <c r="DGY49" s="408"/>
      <c r="DGZ49" s="408"/>
      <c r="DHA49" s="408"/>
      <c r="DHB49" s="408"/>
      <c r="DHC49" s="408"/>
      <c r="DHD49" s="408"/>
      <c r="DHE49" s="408"/>
      <c r="DHF49" s="408"/>
      <c r="DHG49" s="408"/>
      <c r="DHH49" s="408"/>
      <c r="DHI49" s="408"/>
      <c r="DHJ49" s="408"/>
      <c r="DHK49" s="408"/>
      <c r="DHL49" s="408"/>
      <c r="DHM49" s="408"/>
      <c r="DHN49" s="408"/>
      <c r="DHO49" s="408"/>
      <c r="DHP49" s="408"/>
      <c r="DHQ49" s="408"/>
      <c r="DHR49" s="408"/>
      <c r="DHS49" s="408"/>
      <c r="DHT49" s="408"/>
      <c r="DHU49" s="408"/>
      <c r="DHV49" s="408"/>
      <c r="DHW49" s="408"/>
      <c r="DHX49" s="408"/>
      <c r="DHY49" s="408"/>
      <c r="DHZ49" s="408"/>
      <c r="DIA49" s="408"/>
      <c r="DIB49" s="408"/>
      <c r="DIC49" s="408"/>
      <c r="DID49" s="408"/>
      <c r="DIE49" s="408"/>
      <c r="DIF49" s="408"/>
      <c r="DIG49" s="408"/>
      <c r="DIH49" s="408"/>
      <c r="DII49" s="408"/>
      <c r="DIJ49" s="408"/>
      <c r="DIK49" s="408"/>
      <c r="DIL49" s="408"/>
      <c r="DIM49" s="408"/>
      <c r="DIN49" s="408"/>
      <c r="DIO49" s="408"/>
      <c r="DIP49" s="408"/>
      <c r="DIQ49" s="408"/>
      <c r="DIR49" s="408"/>
      <c r="DIS49" s="408"/>
      <c r="DIT49" s="408"/>
      <c r="DIU49" s="408"/>
      <c r="DIV49" s="408"/>
      <c r="DIW49" s="408"/>
      <c r="DIX49" s="408"/>
      <c r="DIY49" s="408"/>
      <c r="DIZ49" s="408"/>
      <c r="DJA49" s="408"/>
      <c r="DJB49" s="408"/>
      <c r="DJC49" s="408"/>
      <c r="DJD49" s="408"/>
      <c r="DJE49" s="408"/>
      <c r="DJF49" s="408"/>
      <c r="DJG49" s="408"/>
      <c r="DJH49" s="408"/>
      <c r="DJI49" s="408"/>
      <c r="DJJ49" s="408"/>
      <c r="DJK49" s="408"/>
      <c r="DJL49" s="408"/>
      <c r="DJM49" s="408"/>
      <c r="DJN49" s="408"/>
      <c r="DJO49" s="408"/>
      <c r="DJP49" s="408"/>
      <c r="DJQ49" s="408"/>
      <c r="DJR49" s="408"/>
      <c r="DJS49" s="408"/>
      <c r="DJT49" s="408"/>
      <c r="DJU49" s="408"/>
      <c r="DJV49" s="408"/>
      <c r="DJW49" s="408"/>
      <c r="DJX49" s="408"/>
      <c r="DJY49" s="408"/>
      <c r="DJZ49" s="408"/>
      <c r="DKA49" s="408"/>
      <c r="DKB49" s="408"/>
      <c r="DKC49" s="408"/>
      <c r="DKD49" s="408"/>
      <c r="DKE49" s="408"/>
      <c r="DKF49" s="408"/>
      <c r="DKG49" s="408"/>
      <c r="DKH49" s="408"/>
      <c r="DKI49" s="408"/>
      <c r="DKJ49" s="408"/>
      <c r="DKK49" s="408"/>
      <c r="DKL49" s="408"/>
      <c r="DKM49" s="408"/>
      <c r="DKN49" s="408"/>
      <c r="DKO49" s="408"/>
      <c r="DKP49" s="408"/>
      <c r="DKQ49" s="408"/>
      <c r="DKR49" s="408"/>
      <c r="DKS49" s="408"/>
      <c r="DKT49" s="408"/>
      <c r="DKU49" s="408"/>
      <c r="DKV49" s="408"/>
      <c r="DKW49" s="408"/>
      <c r="DKX49" s="408"/>
      <c r="DKY49" s="408"/>
      <c r="DKZ49" s="408"/>
      <c r="DLA49" s="408"/>
      <c r="DLB49" s="408"/>
      <c r="DLC49" s="408"/>
      <c r="DLD49" s="408"/>
      <c r="DLE49" s="408"/>
      <c r="DLF49" s="408"/>
      <c r="DLG49" s="408"/>
      <c r="DLH49" s="408"/>
      <c r="DLI49" s="408"/>
      <c r="DLJ49" s="408"/>
      <c r="DLK49" s="408"/>
      <c r="DLL49" s="408"/>
      <c r="DLM49" s="408"/>
      <c r="DLN49" s="408"/>
      <c r="DLO49" s="408"/>
      <c r="DLP49" s="408"/>
      <c r="DLQ49" s="408"/>
      <c r="DLR49" s="408"/>
      <c r="DLS49" s="408"/>
      <c r="DLT49" s="408"/>
      <c r="DLU49" s="408"/>
      <c r="DLV49" s="408"/>
      <c r="DLW49" s="408"/>
      <c r="DLX49" s="408"/>
      <c r="DLY49" s="408"/>
      <c r="DLZ49" s="408"/>
      <c r="DMA49" s="408"/>
      <c r="DMB49" s="408"/>
      <c r="DMC49" s="408"/>
      <c r="DMD49" s="408"/>
      <c r="DME49" s="408"/>
      <c r="DMF49" s="408"/>
      <c r="DMG49" s="408"/>
      <c r="DMH49" s="408"/>
      <c r="DMI49" s="408"/>
      <c r="DMJ49" s="408"/>
      <c r="DMK49" s="408"/>
      <c r="DML49" s="408"/>
      <c r="DMM49" s="408"/>
      <c r="DMN49" s="408"/>
      <c r="DMO49" s="408"/>
      <c r="DMP49" s="408"/>
      <c r="DMQ49" s="408"/>
      <c r="DMR49" s="408"/>
      <c r="DMS49" s="408"/>
      <c r="DMT49" s="408"/>
      <c r="DMU49" s="408"/>
      <c r="DMV49" s="408"/>
      <c r="DMW49" s="408"/>
      <c r="DMX49" s="408"/>
      <c r="DMY49" s="408"/>
      <c r="DMZ49" s="408"/>
      <c r="DNA49" s="408"/>
      <c r="DNB49" s="408"/>
      <c r="DNC49" s="408"/>
      <c r="DND49" s="408"/>
      <c r="DNE49" s="408"/>
      <c r="DNF49" s="408"/>
      <c r="DNG49" s="408"/>
      <c r="DNH49" s="408"/>
      <c r="DNI49" s="408"/>
      <c r="DNJ49" s="408"/>
      <c r="DNK49" s="408"/>
      <c r="DNL49" s="408"/>
      <c r="DNM49" s="408"/>
      <c r="DNN49" s="408"/>
      <c r="DNO49" s="408"/>
      <c r="DNP49" s="408"/>
      <c r="DNQ49" s="408"/>
      <c r="DNR49" s="408"/>
      <c r="DNS49" s="408"/>
      <c r="DNT49" s="408"/>
      <c r="DNU49" s="408"/>
      <c r="DNV49" s="408"/>
      <c r="DNW49" s="408"/>
      <c r="DNX49" s="408"/>
      <c r="DNY49" s="408"/>
      <c r="DNZ49" s="408"/>
      <c r="DOA49" s="408"/>
      <c r="DOB49" s="408"/>
      <c r="DOC49" s="408"/>
      <c r="DOD49" s="408"/>
      <c r="DOE49" s="408"/>
      <c r="DOF49" s="408"/>
      <c r="DOG49" s="408"/>
      <c r="DOH49" s="408"/>
      <c r="DOI49" s="408"/>
      <c r="DOJ49" s="408"/>
      <c r="DOK49" s="408"/>
      <c r="DOL49" s="408"/>
      <c r="DOM49" s="408"/>
      <c r="DON49" s="408"/>
      <c r="DOO49" s="408"/>
      <c r="DOP49" s="408"/>
      <c r="DOQ49" s="408"/>
      <c r="DOR49" s="408"/>
      <c r="DOS49" s="408"/>
      <c r="DOT49" s="408"/>
      <c r="DOU49" s="408"/>
      <c r="DOV49" s="408"/>
      <c r="DOW49" s="408"/>
      <c r="DOX49" s="408"/>
      <c r="DOY49" s="408"/>
      <c r="DOZ49" s="408"/>
      <c r="DPA49" s="408"/>
      <c r="DPB49" s="408"/>
      <c r="DPC49" s="408"/>
      <c r="DPD49" s="408"/>
      <c r="DPE49" s="408"/>
      <c r="DPF49" s="408"/>
      <c r="DPG49" s="408"/>
      <c r="DPH49" s="408"/>
      <c r="DPI49" s="408"/>
      <c r="DPJ49" s="408"/>
      <c r="DPK49" s="408"/>
      <c r="DPL49" s="408"/>
      <c r="DPM49" s="408"/>
      <c r="DPN49" s="408"/>
      <c r="DPO49" s="408"/>
      <c r="DPP49" s="408"/>
      <c r="DPQ49" s="408"/>
      <c r="DPR49" s="408"/>
      <c r="DPS49" s="408"/>
      <c r="DPT49" s="408"/>
      <c r="DPU49" s="408"/>
      <c r="DPV49" s="408"/>
      <c r="DPW49" s="408"/>
      <c r="DPX49" s="408"/>
      <c r="DPY49" s="408"/>
      <c r="DPZ49" s="408"/>
      <c r="DQA49" s="408"/>
      <c r="DQB49" s="408"/>
      <c r="DQC49" s="408"/>
      <c r="DQD49" s="408"/>
      <c r="DQE49" s="408"/>
      <c r="DQF49" s="408"/>
      <c r="DQG49" s="408"/>
      <c r="DQH49" s="408"/>
      <c r="DQI49" s="408"/>
      <c r="DQJ49" s="408"/>
      <c r="DQK49" s="408"/>
      <c r="DQL49" s="408"/>
      <c r="DQM49" s="408"/>
      <c r="DQN49" s="408"/>
      <c r="DQO49" s="408"/>
      <c r="DQP49" s="408"/>
      <c r="DQQ49" s="408"/>
      <c r="DQR49" s="408"/>
      <c r="DQS49" s="408"/>
      <c r="DQT49" s="408"/>
      <c r="DQU49" s="408"/>
      <c r="DQV49" s="408"/>
      <c r="DQW49" s="408"/>
      <c r="DQX49" s="408"/>
      <c r="DQY49" s="408"/>
      <c r="DQZ49" s="408"/>
      <c r="DRA49" s="408"/>
      <c r="DRB49" s="408"/>
      <c r="DRC49" s="408"/>
      <c r="DRD49" s="408"/>
      <c r="DRE49" s="408"/>
      <c r="DRF49" s="408"/>
      <c r="DRG49" s="408"/>
      <c r="DRH49" s="408"/>
      <c r="DRI49" s="408"/>
      <c r="DRJ49" s="408"/>
      <c r="DRK49" s="408"/>
      <c r="DRL49" s="408"/>
      <c r="DRM49" s="408"/>
      <c r="DRN49" s="408"/>
      <c r="DRO49" s="408"/>
      <c r="DRP49" s="408"/>
      <c r="DRQ49" s="408"/>
      <c r="DRR49" s="408"/>
      <c r="DRS49" s="408"/>
      <c r="DRT49" s="408"/>
      <c r="DRU49" s="408"/>
      <c r="DRV49" s="408"/>
      <c r="DRW49" s="408"/>
      <c r="DRX49" s="408"/>
      <c r="DRY49" s="408"/>
      <c r="DRZ49" s="408"/>
      <c r="DSA49" s="408"/>
      <c r="DSB49" s="408"/>
      <c r="DSC49" s="408"/>
      <c r="DSD49" s="408"/>
      <c r="DSE49" s="408"/>
      <c r="DSF49" s="408"/>
      <c r="DSG49" s="408"/>
      <c r="DSH49" s="408"/>
      <c r="DSI49" s="408"/>
      <c r="DSJ49" s="408"/>
      <c r="DSK49" s="408"/>
      <c r="DSL49" s="408"/>
      <c r="DSM49" s="408"/>
      <c r="DSN49" s="408"/>
      <c r="DSO49" s="408"/>
      <c r="DSP49" s="408"/>
      <c r="DSQ49" s="408"/>
      <c r="DSR49" s="408"/>
      <c r="DSS49" s="408"/>
      <c r="DST49" s="408"/>
      <c r="DSU49" s="408"/>
      <c r="DSV49" s="408"/>
      <c r="DSW49" s="408"/>
      <c r="DSX49" s="408"/>
      <c r="DSY49" s="408"/>
      <c r="DSZ49" s="408"/>
      <c r="DTA49" s="408"/>
      <c r="DTB49" s="408"/>
      <c r="DTC49" s="408"/>
      <c r="DTD49" s="408"/>
      <c r="DTE49" s="408"/>
      <c r="DTF49" s="408"/>
      <c r="DTG49" s="408"/>
      <c r="DTH49" s="408"/>
      <c r="DTI49" s="408"/>
      <c r="DTJ49" s="408"/>
      <c r="DTK49" s="408"/>
      <c r="DTL49" s="408"/>
      <c r="DTM49" s="408"/>
      <c r="DTN49" s="408"/>
      <c r="DTO49" s="408"/>
      <c r="DTP49" s="408"/>
      <c r="DTQ49" s="408"/>
      <c r="DTR49" s="408"/>
      <c r="DTS49" s="408"/>
      <c r="DTT49" s="408"/>
      <c r="DTU49" s="408"/>
      <c r="DTV49" s="408"/>
      <c r="DTW49" s="408"/>
      <c r="DTX49" s="408"/>
      <c r="DTY49" s="408"/>
      <c r="DTZ49" s="408"/>
      <c r="DUA49" s="408"/>
      <c r="DUB49" s="408"/>
      <c r="DUC49" s="408"/>
      <c r="DUD49" s="408"/>
      <c r="DUE49" s="408"/>
      <c r="DUF49" s="408"/>
      <c r="DUG49" s="408"/>
      <c r="DUH49" s="408"/>
      <c r="DUI49" s="408"/>
      <c r="DUJ49" s="408"/>
      <c r="DUK49" s="408"/>
      <c r="DUL49" s="408"/>
      <c r="DUM49" s="408"/>
      <c r="DUN49" s="408"/>
      <c r="DUO49" s="408"/>
      <c r="DUP49" s="408"/>
      <c r="DUQ49" s="408"/>
      <c r="DUR49" s="408"/>
      <c r="DUS49" s="408"/>
      <c r="DUT49" s="408"/>
      <c r="DUU49" s="408"/>
      <c r="DUV49" s="408"/>
      <c r="DUW49" s="408"/>
      <c r="DUX49" s="408"/>
      <c r="DUY49" s="408"/>
      <c r="DUZ49" s="408"/>
      <c r="DVA49" s="408"/>
      <c r="DVB49" s="408"/>
      <c r="DVC49" s="408"/>
      <c r="DVD49" s="408"/>
      <c r="DVE49" s="408"/>
      <c r="DVF49" s="408"/>
      <c r="DVG49" s="408"/>
      <c r="DVH49" s="408"/>
      <c r="DVI49" s="408"/>
      <c r="DVJ49" s="408"/>
      <c r="DVK49" s="408"/>
      <c r="DVL49" s="408"/>
      <c r="DVM49" s="408"/>
      <c r="DVN49" s="408"/>
      <c r="DVO49" s="408"/>
      <c r="DVP49" s="408"/>
      <c r="DVQ49" s="408"/>
      <c r="DVR49" s="408"/>
      <c r="DVS49" s="408"/>
      <c r="DVT49" s="408"/>
      <c r="DVU49" s="408"/>
      <c r="DVV49" s="408"/>
      <c r="DVW49" s="408"/>
      <c r="DVX49" s="408"/>
      <c r="DVY49" s="408"/>
      <c r="DVZ49" s="408"/>
      <c r="DWA49" s="408"/>
      <c r="DWB49" s="408"/>
      <c r="DWC49" s="408"/>
      <c r="DWD49" s="408"/>
      <c r="DWE49" s="408"/>
      <c r="DWF49" s="408"/>
      <c r="DWG49" s="408"/>
      <c r="DWH49" s="408"/>
      <c r="DWI49" s="408"/>
      <c r="DWJ49" s="408"/>
      <c r="DWK49" s="408"/>
      <c r="DWL49" s="408"/>
      <c r="DWM49" s="408"/>
      <c r="DWN49" s="408"/>
      <c r="DWO49" s="408"/>
      <c r="DWP49" s="408"/>
      <c r="DWQ49" s="408"/>
      <c r="DWR49" s="408"/>
      <c r="DWS49" s="408"/>
      <c r="DWT49" s="408"/>
      <c r="DWU49" s="408"/>
      <c r="DWV49" s="408"/>
      <c r="DWW49" s="408"/>
      <c r="DWX49" s="408"/>
      <c r="DWY49" s="408"/>
      <c r="DWZ49" s="408"/>
      <c r="DXA49" s="408"/>
      <c r="DXB49" s="408"/>
      <c r="DXC49" s="408"/>
      <c r="DXD49" s="408"/>
      <c r="DXE49" s="408"/>
      <c r="DXF49" s="408"/>
      <c r="DXG49" s="408"/>
      <c r="DXH49" s="408"/>
      <c r="DXI49" s="408"/>
      <c r="DXJ49" s="408"/>
      <c r="DXK49" s="408"/>
      <c r="DXL49" s="408"/>
      <c r="DXM49" s="408"/>
      <c r="DXN49" s="408"/>
      <c r="DXO49" s="408"/>
      <c r="DXP49" s="408"/>
      <c r="DXQ49" s="408"/>
      <c r="DXR49" s="408"/>
      <c r="DXS49" s="408"/>
      <c r="DXT49" s="408"/>
      <c r="DXU49" s="408"/>
      <c r="DXV49" s="408"/>
      <c r="DXW49" s="408"/>
      <c r="DXX49" s="408"/>
      <c r="DXY49" s="408"/>
      <c r="DXZ49" s="408"/>
      <c r="DYA49" s="408"/>
      <c r="DYB49" s="408"/>
      <c r="DYC49" s="408"/>
      <c r="DYD49" s="408"/>
      <c r="DYE49" s="408"/>
      <c r="DYF49" s="408"/>
      <c r="DYG49" s="408"/>
      <c r="DYH49" s="408"/>
      <c r="DYI49" s="408"/>
      <c r="DYJ49" s="408"/>
      <c r="DYK49" s="408"/>
      <c r="DYL49" s="408"/>
      <c r="DYM49" s="408"/>
      <c r="DYN49" s="408"/>
      <c r="DYO49" s="408"/>
      <c r="DYP49" s="408"/>
      <c r="DYQ49" s="408"/>
      <c r="DYR49" s="408"/>
      <c r="DYS49" s="408"/>
      <c r="DYT49" s="408"/>
      <c r="DYU49" s="408"/>
      <c r="DYV49" s="408"/>
      <c r="DYW49" s="408"/>
      <c r="DYX49" s="408"/>
      <c r="DYY49" s="408"/>
      <c r="DYZ49" s="408"/>
      <c r="DZA49" s="408"/>
      <c r="DZB49" s="408"/>
      <c r="DZC49" s="408"/>
      <c r="DZD49" s="408"/>
      <c r="DZE49" s="408"/>
      <c r="DZF49" s="408"/>
      <c r="DZG49" s="408"/>
      <c r="DZH49" s="408"/>
      <c r="DZI49" s="408"/>
      <c r="DZJ49" s="408"/>
      <c r="DZK49" s="408"/>
      <c r="DZL49" s="408"/>
      <c r="DZM49" s="408"/>
      <c r="DZN49" s="408"/>
      <c r="DZO49" s="408"/>
      <c r="DZP49" s="408"/>
      <c r="DZQ49" s="408"/>
      <c r="DZR49" s="408"/>
      <c r="DZS49" s="408"/>
      <c r="DZT49" s="408"/>
      <c r="DZU49" s="408"/>
      <c r="DZV49" s="408"/>
      <c r="DZW49" s="408"/>
      <c r="DZX49" s="408"/>
      <c r="DZY49" s="408"/>
      <c r="DZZ49" s="408"/>
      <c r="EAA49" s="408"/>
      <c r="EAB49" s="408"/>
      <c r="EAC49" s="408"/>
      <c r="EAD49" s="408"/>
      <c r="EAE49" s="408"/>
      <c r="EAF49" s="408"/>
      <c r="EAG49" s="408"/>
      <c r="EAH49" s="408"/>
      <c r="EAI49" s="408"/>
      <c r="EAJ49" s="408"/>
      <c r="EAK49" s="408"/>
      <c r="EAL49" s="408"/>
      <c r="EAM49" s="408"/>
      <c r="EAN49" s="408"/>
      <c r="EAO49" s="408"/>
      <c r="EAP49" s="408"/>
      <c r="EAQ49" s="408"/>
      <c r="EAR49" s="408"/>
      <c r="EAS49" s="408"/>
      <c r="EAT49" s="408"/>
      <c r="EAU49" s="408"/>
      <c r="EAV49" s="408"/>
      <c r="EAW49" s="408"/>
      <c r="EAX49" s="408"/>
      <c r="EAY49" s="408"/>
      <c r="EAZ49" s="408"/>
      <c r="EBA49" s="408"/>
      <c r="EBB49" s="408"/>
      <c r="EBC49" s="408"/>
      <c r="EBD49" s="408"/>
      <c r="EBE49" s="408"/>
      <c r="EBF49" s="408"/>
      <c r="EBG49" s="408"/>
      <c r="EBH49" s="408"/>
      <c r="EBI49" s="408"/>
      <c r="EBJ49" s="408"/>
      <c r="EBK49" s="408"/>
      <c r="EBL49" s="408"/>
      <c r="EBM49" s="408"/>
      <c r="EBN49" s="408"/>
      <c r="EBO49" s="408"/>
      <c r="EBP49" s="408"/>
      <c r="EBQ49" s="408"/>
      <c r="EBR49" s="408"/>
      <c r="EBS49" s="408"/>
      <c r="EBT49" s="408"/>
      <c r="EBU49" s="408"/>
      <c r="EBV49" s="408"/>
      <c r="EBW49" s="408"/>
      <c r="EBX49" s="408"/>
      <c r="EBY49" s="408"/>
      <c r="EBZ49" s="408"/>
      <c r="ECA49" s="408"/>
      <c r="ECB49" s="408"/>
      <c r="ECC49" s="408"/>
      <c r="ECD49" s="408"/>
      <c r="ECE49" s="408"/>
      <c r="ECF49" s="408"/>
      <c r="ECG49" s="408"/>
      <c r="ECH49" s="408"/>
      <c r="ECI49" s="408"/>
      <c r="ECJ49" s="408"/>
      <c r="ECK49" s="408"/>
      <c r="ECL49" s="408"/>
      <c r="ECM49" s="408"/>
      <c r="ECN49" s="408"/>
      <c r="ECO49" s="408"/>
      <c r="ECP49" s="408"/>
      <c r="ECQ49" s="408"/>
      <c r="ECR49" s="408"/>
      <c r="ECS49" s="408"/>
      <c r="ECT49" s="408"/>
      <c r="ECU49" s="408"/>
      <c r="ECV49" s="408"/>
      <c r="ECW49" s="408"/>
      <c r="ECX49" s="408"/>
      <c r="ECY49" s="408"/>
      <c r="ECZ49" s="408"/>
      <c r="EDA49" s="408"/>
      <c r="EDB49" s="408"/>
      <c r="EDC49" s="408"/>
      <c r="EDD49" s="408"/>
      <c r="EDE49" s="408"/>
      <c r="EDF49" s="408"/>
      <c r="EDG49" s="408"/>
      <c r="EDH49" s="408"/>
      <c r="EDI49" s="408"/>
      <c r="EDJ49" s="408"/>
      <c r="EDK49" s="408"/>
      <c r="EDL49" s="408"/>
      <c r="EDM49" s="408"/>
      <c r="EDN49" s="408"/>
      <c r="EDO49" s="408"/>
      <c r="EDP49" s="408"/>
      <c r="EDQ49" s="408"/>
      <c r="EDR49" s="408"/>
      <c r="EDS49" s="408"/>
      <c r="EDT49" s="408"/>
      <c r="EDU49" s="408"/>
      <c r="EDV49" s="408"/>
      <c r="EDW49" s="408"/>
      <c r="EDX49" s="408"/>
      <c r="EDY49" s="408"/>
      <c r="EDZ49" s="408"/>
      <c r="EEA49" s="408"/>
      <c r="EEB49" s="408"/>
      <c r="EEC49" s="408"/>
      <c r="EED49" s="408"/>
      <c r="EEE49" s="408"/>
      <c r="EEF49" s="408"/>
      <c r="EEG49" s="408"/>
      <c r="EEH49" s="408"/>
      <c r="EEI49" s="408"/>
      <c r="EEJ49" s="408"/>
      <c r="EEK49" s="408"/>
      <c r="EEL49" s="408"/>
      <c r="EEM49" s="408"/>
      <c r="EEN49" s="408"/>
      <c r="EEO49" s="408"/>
      <c r="EEP49" s="408"/>
      <c r="EEQ49" s="408"/>
      <c r="EER49" s="408"/>
      <c r="EES49" s="408"/>
      <c r="EET49" s="408"/>
      <c r="EEU49" s="408"/>
      <c r="EEV49" s="408"/>
      <c r="EEW49" s="408"/>
      <c r="EEX49" s="408"/>
      <c r="EEY49" s="408"/>
      <c r="EEZ49" s="408"/>
      <c r="EFA49" s="408"/>
      <c r="EFB49" s="408"/>
      <c r="EFC49" s="408"/>
      <c r="EFD49" s="408"/>
      <c r="EFE49" s="408"/>
      <c r="EFF49" s="408"/>
      <c r="EFG49" s="408"/>
      <c r="EFH49" s="408"/>
      <c r="EFI49" s="408"/>
      <c r="EFJ49" s="408"/>
      <c r="EFK49" s="408"/>
      <c r="EFL49" s="408"/>
      <c r="EFM49" s="408"/>
      <c r="EFN49" s="408"/>
      <c r="EFO49" s="408"/>
      <c r="EFP49" s="408"/>
      <c r="EFQ49" s="408"/>
      <c r="EFR49" s="408"/>
      <c r="EFS49" s="408"/>
      <c r="EFT49" s="408"/>
      <c r="EFU49" s="408"/>
      <c r="EFV49" s="408"/>
      <c r="EFW49" s="408"/>
      <c r="EFX49" s="408"/>
      <c r="EFY49" s="408"/>
      <c r="EFZ49" s="408"/>
      <c r="EGA49" s="408"/>
      <c r="EGB49" s="408"/>
      <c r="EGC49" s="408"/>
      <c r="EGD49" s="408"/>
      <c r="EGE49" s="408"/>
      <c r="EGF49" s="408"/>
      <c r="EGG49" s="408"/>
      <c r="EGH49" s="408"/>
      <c r="EGI49" s="408"/>
      <c r="EGJ49" s="408"/>
      <c r="EGK49" s="408"/>
      <c r="EGL49" s="408"/>
      <c r="EGM49" s="408"/>
      <c r="EGN49" s="408"/>
      <c r="EGO49" s="408"/>
      <c r="EGP49" s="408"/>
      <c r="EGQ49" s="408"/>
      <c r="EGR49" s="408"/>
      <c r="EGS49" s="408"/>
      <c r="EGT49" s="408"/>
      <c r="EGU49" s="408"/>
      <c r="EGV49" s="408"/>
      <c r="EGW49" s="408"/>
      <c r="EGX49" s="408"/>
      <c r="EGY49" s="408"/>
      <c r="EGZ49" s="408"/>
      <c r="EHA49" s="408"/>
      <c r="EHB49" s="408"/>
      <c r="EHC49" s="408"/>
      <c r="EHD49" s="408"/>
      <c r="EHE49" s="408"/>
      <c r="EHF49" s="408"/>
      <c r="EHG49" s="408"/>
      <c r="EHH49" s="408"/>
      <c r="EHI49" s="408"/>
      <c r="EHJ49" s="408"/>
      <c r="EHK49" s="408"/>
      <c r="EHL49" s="408"/>
      <c r="EHM49" s="408"/>
      <c r="EHN49" s="408"/>
      <c r="EHO49" s="408"/>
      <c r="EHP49" s="408"/>
      <c r="EHQ49" s="408"/>
      <c r="EHR49" s="408"/>
      <c r="EHS49" s="408"/>
      <c r="EHT49" s="408"/>
      <c r="EHU49" s="408"/>
      <c r="EHV49" s="408"/>
      <c r="EHW49" s="408"/>
      <c r="EHX49" s="408"/>
      <c r="EHY49" s="408"/>
      <c r="EHZ49" s="408"/>
      <c r="EIA49" s="408"/>
      <c r="EIB49" s="408"/>
      <c r="EIC49" s="408"/>
      <c r="EID49" s="408"/>
      <c r="EIE49" s="408"/>
      <c r="EIF49" s="408"/>
      <c r="EIG49" s="408"/>
      <c r="EIH49" s="408"/>
      <c r="EII49" s="408"/>
      <c r="EIJ49" s="408"/>
      <c r="EIK49" s="408"/>
      <c r="EIL49" s="408"/>
      <c r="EIM49" s="408"/>
      <c r="EIN49" s="408"/>
      <c r="EIO49" s="408"/>
      <c r="EIP49" s="408"/>
      <c r="EIQ49" s="408"/>
      <c r="EIR49" s="408"/>
      <c r="EIS49" s="408"/>
      <c r="EIT49" s="408"/>
      <c r="EIU49" s="408"/>
      <c r="EIV49" s="408"/>
      <c r="EIW49" s="408"/>
      <c r="EIX49" s="408"/>
      <c r="EIY49" s="408"/>
      <c r="EIZ49" s="408"/>
      <c r="EJA49" s="408"/>
      <c r="EJB49" s="408"/>
      <c r="EJC49" s="408"/>
      <c r="EJD49" s="408"/>
      <c r="EJE49" s="408"/>
      <c r="EJF49" s="408"/>
      <c r="EJG49" s="408"/>
      <c r="EJH49" s="408"/>
      <c r="EJI49" s="408"/>
      <c r="EJJ49" s="408"/>
      <c r="EJK49" s="408"/>
      <c r="EJL49" s="408"/>
      <c r="EJM49" s="408"/>
      <c r="EJN49" s="408"/>
      <c r="EJO49" s="408"/>
      <c r="EJP49" s="408"/>
      <c r="EJQ49" s="408"/>
      <c r="EJR49" s="408"/>
      <c r="EJS49" s="408"/>
      <c r="EJT49" s="408"/>
      <c r="EJU49" s="408"/>
      <c r="EJV49" s="408"/>
      <c r="EJW49" s="408"/>
      <c r="EJX49" s="408"/>
      <c r="EJY49" s="408"/>
      <c r="EJZ49" s="408"/>
      <c r="EKA49" s="408"/>
      <c r="EKB49" s="408"/>
      <c r="EKC49" s="408"/>
      <c r="EKD49" s="408"/>
      <c r="EKE49" s="408"/>
      <c r="EKF49" s="408"/>
      <c r="EKG49" s="408"/>
      <c r="EKH49" s="408"/>
      <c r="EKI49" s="408"/>
      <c r="EKJ49" s="408"/>
      <c r="EKK49" s="408"/>
      <c r="EKL49" s="408"/>
      <c r="EKM49" s="408"/>
      <c r="EKN49" s="408"/>
      <c r="EKO49" s="408"/>
      <c r="EKP49" s="408"/>
      <c r="EKQ49" s="408"/>
      <c r="EKR49" s="408"/>
      <c r="EKS49" s="408"/>
      <c r="EKT49" s="408"/>
      <c r="EKU49" s="408"/>
      <c r="EKV49" s="408"/>
      <c r="EKW49" s="408"/>
      <c r="EKX49" s="408"/>
      <c r="EKY49" s="408"/>
      <c r="EKZ49" s="408"/>
      <c r="ELA49" s="408"/>
      <c r="ELB49" s="408"/>
      <c r="ELC49" s="408"/>
      <c r="ELD49" s="408"/>
      <c r="ELE49" s="408"/>
      <c r="ELF49" s="408"/>
      <c r="ELG49" s="408"/>
      <c r="ELH49" s="408"/>
      <c r="ELI49" s="408"/>
      <c r="ELJ49" s="408"/>
      <c r="ELK49" s="408"/>
      <c r="ELL49" s="408"/>
      <c r="ELM49" s="408"/>
      <c r="ELN49" s="408"/>
      <c r="ELO49" s="408"/>
      <c r="ELP49" s="408"/>
      <c r="ELQ49" s="408"/>
      <c r="ELR49" s="408"/>
      <c r="ELS49" s="408"/>
      <c r="ELT49" s="408"/>
      <c r="ELU49" s="408"/>
      <c r="ELV49" s="408"/>
      <c r="ELW49" s="408"/>
      <c r="ELX49" s="408"/>
      <c r="ELY49" s="408"/>
      <c r="ELZ49" s="408"/>
      <c r="EMA49" s="408"/>
      <c r="EMB49" s="408"/>
      <c r="EMC49" s="408"/>
      <c r="EMD49" s="408"/>
      <c r="EME49" s="408"/>
      <c r="EMF49" s="408"/>
      <c r="EMG49" s="408"/>
      <c r="EMH49" s="408"/>
      <c r="EMI49" s="408"/>
      <c r="EMJ49" s="408"/>
      <c r="EMK49" s="408"/>
      <c r="EML49" s="408"/>
      <c r="EMM49" s="408"/>
      <c r="EMN49" s="408"/>
      <c r="EMO49" s="408"/>
      <c r="EMP49" s="408"/>
      <c r="EMQ49" s="408"/>
      <c r="EMR49" s="408"/>
      <c r="EMS49" s="408"/>
      <c r="EMT49" s="408"/>
      <c r="EMU49" s="408"/>
      <c r="EMV49" s="408"/>
      <c r="EMW49" s="408"/>
      <c r="EMX49" s="408"/>
      <c r="EMY49" s="408"/>
      <c r="EMZ49" s="408"/>
      <c r="ENA49" s="408"/>
      <c r="ENB49" s="408"/>
      <c r="ENC49" s="408"/>
      <c r="END49" s="408"/>
      <c r="ENE49" s="408"/>
      <c r="ENF49" s="408"/>
      <c r="ENG49" s="408"/>
      <c r="ENH49" s="408"/>
      <c r="ENI49" s="408"/>
      <c r="ENJ49" s="408"/>
      <c r="ENK49" s="408"/>
      <c r="ENL49" s="408"/>
      <c r="ENM49" s="408"/>
      <c r="ENN49" s="408"/>
      <c r="ENO49" s="408"/>
      <c r="ENP49" s="408"/>
      <c r="ENQ49" s="408"/>
      <c r="ENR49" s="408"/>
      <c r="ENS49" s="408"/>
      <c r="ENT49" s="408"/>
      <c r="ENU49" s="408"/>
      <c r="ENV49" s="408"/>
      <c r="ENW49" s="408"/>
      <c r="ENX49" s="408"/>
      <c r="ENY49" s="408"/>
      <c r="ENZ49" s="408"/>
      <c r="EOA49" s="408"/>
      <c r="EOB49" s="408"/>
      <c r="EOC49" s="408"/>
      <c r="EOD49" s="408"/>
      <c r="EOE49" s="408"/>
      <c r="EOF49" s="408"/>
      <c r="EOG49" s="408"/>
      <c r="EOH49" s="408"/>
      <c r="EOI49" s="408"/>
      <c r="EOJ49" s="408"/>
      <c r="EOK49" s="408"/>
      <c r="EOL49" s="408"/>
      <c r="EOM49" s="408"/>
      <c r="EON49" s="408"/>
      <c r="EOO49" s="408"/>
      <c r="EOP49" s="408"/>
      <c r="EOQ49" s="408"/>
      <c r="EOR49" s="408"/>
      <c r="EOS49" s="408"/>
      <c r="EOT49" s="408"/>
      <c r="EOU49" s="408"/>
      <c r="EOV49" s="408"/>
      <c r="EOW49" s="408"/>
      <c r="EOX49" s="408"/>
      <c r="EOY49" s="408"/>
      <c r="EOZ49" s="408"/>
      <c r="EPA49" s="408"/>
      <c r="EPB49" s="408"/>
      <c r="EPC49" s="408"/>
      <c r="EPD49" s="408"/>
      <c r="EPE49" s="408"/>
      <c r="EPF49" s="408"/>
      <c r="EPG49" s="408"/>
      <c r="EPH49" s="408"/>
      <c r="EPI49" s="408"/>
      <c r="EPJ49" s="408"/>
      <c r="EPK49" s="408"/>
      <c r="EPL49" s="408"/>
      <c r="EPM49" s="408"/>
      <c r="EPN49" s="408"/>
      <c r="EPO49" s="408"/>
      <c r="EPP49" s="408"/>
      <c r="EPQ49" s="408"/>
      <c r="EPR49" s="408"/>
      <c r="EPS49" s="408"/>
      <c r="EPT49" s="408"/>
      <c r="EPU49" s="408"/>
      <c r="EPV49" s="408"/>
      <c r="EPW49" s="408"/>
      <c r="EPX49" s="408"/>
      <c r="EPY49" s="408"/>
      <c r="EPZ49" s="408"/>
      <c r="EQA49" s="408"/>
      <c r="EQB49" s="408"/>
      <c r="EQC49" s="408"/>
      <c r="EQD49" s="408"/>
      <c r="EQE49" s="408"/>
      <c r="EQF49" s="408"/>
      <c r="EQG49" s="408"/>
      <c r="EQH49" s="408"/>
      <c r="EQI49" s="408"/>
      <c r="EQJ49" s="408"/>
      <c r="EQK49" s="408"/>
      <c r="EQL49" s="408"/>
      <c r="EQM49" s="408"/>
      <c r="EQN49" s="408"/>
      <c r="EQO49" s="408"/>
      <c r="EQP49" s="408"/>
      <c r="EQQ49" s="408"/>
      <c r="EQR49" s="408"/>
      <c r="EQS49" s="408"/>
      <c r="EQT49" s="408"/>
      <c r="EQU49" s="408"/>
      <c r="EQV49" s="408"/>
      <c r="EQW49" s="408"/>
      <c r="EQX49" s="408"/>
      <c r="EQY49" s="408"/>
      <c r="EQZ49" s="408"/>
      <c r="ERA49" s="408"/>
      <c r="ERB49" s="408"/>
      <c r="ERC49" s="408"/>
      <c r="ERD49" s="408"/>
      <c r="ERE49" s="408"/>
      <c r="ERF49" s="408"/>
      <c r="ERG49" s="408"/>
      <c r="ERH49" s="408"/>
      <c r="ERI49" s="408"/>
      <c r="ERJ49" s="408"/>
      <c r="ERK49" s="408"/>
      <c r="ERL49" s="408"/>
      <c r="ERM49" s="408"/>
      <c r="ERN49" s="408"/>
      <c r="ERO49" s="408"/>
      <c r="ERP49" s="408"/>
      <c r="ERQ49" s="408"/>
      <c r="ERR49" s="408"/>
      <c r="ERS49" s="408"/>
      <c r="ERT49" s="408"/>
      <c r="ERU49" s="408"/>
      <c r="ERV49" s="408"/>
      <c r="ERW49" s="408"/>
      <c r="ERX49" s="408"/>
      <c r="ERY49" s="408"/>
      <c r="ERZ49" s="408"/>
      <c r="ESA49" s="408"/>
      <c r="ESB49" s="408"/>
      <c r="ESC49" s="408"/>
      <c r="ESD49" s="408"/>
      <c r="ESE49" s="408"/>
      <c r="ESF49" s="408"/>
      <c r="ESG49" s="408"/>
      <c r="ESH49" s="408"/>
      <c r="ESI49" s="408"/>
      <c r="ESJ49" s="408"/>
      <c r="ESK49" s="408"/>
      <c r="ESL49" s="408"/>
      <c r="ESM49" s="408"/>
      <c r="ESN49" s="408"/>
      <c r="ESO49" s="408"/>
      <c r="ESP49" s="408"/>
      <c r="ESQ49" s="408"/>
      <c r="ESR49" s="408"/>
      <c r="ESS49" s="408"/>
      <c r="EST49" s="408"/>
      <c r="ESU49" s="408"/>
      <c r="ESV49" s="408"/>
      <c r="ESW49" s="408"/>
      <c r="ESX49" s="408"/>
      <c r="ESY49" s="408"/>
      <c r="ESZ49" s="408"/>
      <c r="ETA49" s="408"/>
      <c r="ETB49" s="408"/>
      <c r="ETC49" s="408"/>
      <c r="ETD49" s="408"/>
      <c r="ETE49" s="408"/>
      <c r="ETF49" s="408"/>
      <c r="ETG49" s="408"/>
      <c r="ETH49" s="408"/>
      <c r="ETI49" s="408"/>
      <c r="ETJ49" s="408"/>
      <c r="ETK49" s="408"/>
      <c r="ETL49" s="408"/>
      <c r="ETM49" s="408"/>
      <c r="ETN49" s="408"/>
      <c r="ETO49" s="408"/>
      <c r="ETP49" s="408"/>
      <c r="ETQ49" s="408"/>
      <c r="ETR49" s="408"/>
      <c r="ETS49" s="408"/>
      <c r="ETT49" s="408"/>
      <c r="ETU49" s="408"/>
      <c r="ETV49" s="408"/>
      <c r="ETW49" s="408"/>
      <c r="ETX49" s="408"/>
      <c r="ETY49" s="408"/>
      <c r="ETZ49" s="408"/>
      <c r="EUA49" s="408"/>
      <c r="EUB49" s="408"/>
      <c r="EUC49" s="408"/>
      <c r="EUD49" s="408"/>
      <c r="EUE49" s="408"/>
      <c r="EUF49" s="408"/>
      <c r="EUG49" s="408"/>
      <c r="EUH49" s="408"/>
      <c r="EUI49" s="408"/>
      <c r="EUJ49" s="408"/>
      <c r="EUK49" s="408"/>
      <c r="EUL49" s="408"/>
      <c r="EUM49" s="408"/>
      <c r="EUN49" s="408"/>
      <c r="EUO49" s="408"/>
      <c r="EUP49" s="408"/>
      <c r="EUQ49" s="408"/>
      <c r="EUR49" s="408"/>
      <c r="EUS49" s="408"/>
      <c r="EUT49" s="408"/>
      <c r="EUU49" s="408"/>
      <c r="EUV49" s="408"/>
      <c r="EUW49" s="408"/>
      <c r="EUX49" s="408"/>
      <c r="EUY49" s="408"/>
      <c r="EUZ49" s="408"/>
      <c r="EVA49" s="408"/>
      <c r="EVB49" s="408"/>
      <c r="EVC49" s="408"/>
      <c r="EVD49" s="408"/>
      <c r="EVE49" s="408"/>
      <c r="EVF49" s="408"/>
      <c r="EVG49" s="408"/>
      <c r="EVH49" s="408"/>
      <c r="EVI49" s="408"/>
      <c r="EVJ49" s="408"/>
      <c r="EVK49" s="408"/>
      <c r="EVL49" s="408"/>
      <c r="EVM49" s="408"/>
      <c r="EVN49" s="408"/>
      <c r="EVO49" s="408"/>
      <c r="EVP49" s="408"/>
      <c r="EVQ49" s="408"/>
      <c r="EVR49" s="408"/>
      <c r="EVS49" s="408"/>
      <c r="EVT49" s="408"/>
      <c r="EVU49" s="408"/>
      <c r="EVV49" s="408"/>
      <c r="EVW49" s="408"/>
      <c r="EVX49" s="408"/>
      <c r="EVY49" s="408"/>
      <c r="EVZ49" s="408"/>
      <c r="EWA49" s="408"/>
      <c r="EWB49" s="408"/>
      <c r="EWC49" s="408"/>
      <c r="EWD49" s="408"/>
      <c r="EWE49" s="408"/>
      <c r="EWF49" s="408"/>
      <c r="EWG49" s="408"/>
      <c r="EWH49" s="408"/>
      <c r="EWI49" s="408"/>
      <c r="EWJ49" s="408"/>
      <c r="EWK49" s="408"/>
      <c r="EWL49" s="408"/>
      <c r="EWM49" s="408"/>
      <c r="EWN49" s="408"/>
      <c r="EWO49" s="408"/>
      <c r="EWP49" s="408"/>
      <c r="EWQ49" s="408"/>
      <c r="EWR49" s="408"/>
      <c r="EWS49" s="408"/>
      <c r="EWT49" s="408"/>
      <c r="EWU49" s="408"/>
      <c r="EWV49" s="408"/>
      <c r="EWW49" s="408"/>
      <c r="EWX49" s="408"/>
      <c r="EWY49" s="408"/>
      <c r="EWZ49" s="408"/>
      <c r="EXA49" s="408"/>
      <c r="EXB49" s="408"/>
      <c r="EXC49" s="408"/>
      <c r="EXD49" s="408"/>
      <c r="EXE49" s="408"/>
      <c r="EXF49" s="408"/>
      <c r="EXG49" s="408"/>
      <c r="EXH49" s="408"/>
      <c r="EXI49" s="408"/>
      <c r="EXJ49" s="408"/>
      <c r="EXK49" s="408"/>
      <c r="EXL49" s="408"/>
      <c r="EXM49" s="408"/>
      <c r="EXN49" s="408"/>
      <c r="EXO49" s="408"/>
      <c r="EXP49" s="408"/>
      <c r="EXQ49" s="408"/>
      <c r="EXR49" s="408"/>
      <c r="EXS49" s="408"/>
      <c r="EXT49" s="408"/>
      <c r="EXU49" s="408"/>
      <c r="EXV49" s="408"/>
      <c r="EXW49" s="408"/>
      <c r="EXX49" s="408"/>
      <c r="EXY49" s="408"/>
      <c r="EXZ49" s="408"/>
      <c r="EYA49" s="408"/>
      <c r="EYB49" s="408"/>
      <c r="EYC49" s="408"/>
      <c r="EYD49" s="408"/>
      <c r="EYE49" s="408"/>
      <c r="EYF49" s="408"/>
      <c r="EYG49" s="408"/>
      <c r="EYH49" s="408"/>
      <c r="EYI49" s="408"/>
      <c r="EYJ49" s="408"/>
      <c r="EYK49" s="408"/>
      <c r="EYL49" s="408"/>
      <c r="EYM49" s="408"/>
      <c r="EYN49" s="408"/>
      <c r="EYO49" s="408"/>
      <c r="EYP49" s="408"/>
      <c r="EYQ49" s="408"/>
      <c r="EYR49" s="408"/>
      <c r="EYS49" s="408"/>
      <c r="EYT49" s="408"/>
      <c r="EYU49" s="408"/>
      <c r="EYV49" s="408"/>
      <c r="EYW49" s="408"/>
      <c r="EYX49" s="408"/>
      <c r="EYY49" s="408"/>
      <c r="EYZ49" s="408"/>
      <c r="EZA49" s="408"/>
      <c r="EZB49" s="408"/>
      <c r="EZC49" s="408"/>
      <c r="EZD49" s="408"/>
      <c r="EZE49" s="408"/>
      <c r="EZF49" s="408"/>
      <c r="EZG49" s="408"/>
      <c r="EZH49" s="408"/>
      <c r="EZI49" s="408"/>
      <c r="EZJ49" s="408"/>
      <c r="EZK49" s="408"/>
      <c r="EZL49" s="408"/>
      <c r="EZM49" s="408"/>
      <c r="EZN49" s="408"/>
      <c r="EZO49" s="408"/>
      <c r="EZP49" s="408"/>
      <c r="EZQ49" s="408"/>
      <c r="EZR49" s="408"/>
      <c r="EZS49" s="408"/>
      <c r="EZT49" s="408"/>
      <c r="EZU49" s="408"/>
      <c r="EZV49" s="408"/>
      <c r="EZW49" s="408"/>
      <c r="EZX49" s="408"/>
      <c r="EZY49" s="408"/>
      <c r="EZZ49" s="408"/>
      <c r="FAA49" s="408"/>
      <c r="FAB49" s="408"/>
      <c r="FAC49" s="408"/>
      <c r="FAD49" s="408"/>
      <c r="FAE49" s="408"/>
      <c r="FAF49" s="408"/>
      <c r="FAG49" s="408"/>
      <c r="FAH49" s="408"/>
      <c r="FAI49" s="408"/>
      <c r="FAJ49" s="408"/>
      <c r="FAK49" s="408"/>
      <c r="FAL49" s="408"/>
      <c r="FAM49" s="408"/>
      <c r="FAN49" s="408"/>
      <c r="FAO49" s="408"/>
      <c r="FAP49" s="408"/>
      <c r="FAQ49" s="408"/>
      <c r="FAR49" s="408"/>
      <c r="FAS49" s="408"/>
      <c r="FAT49" s="408"/>
      <c r="FAU49" s="408"/>
      <c r="FAV49" s="408"/>
      <c r="FAW49" s="408"/>
      <c r="FAX49" s="408"/>
      <c r="FAY49" s="408"/>
      <c r="FAZ49" s="408"/>
      <c r="FBA49" s="408"/>
      <c r="FBB49" s="408"/>
      <c r="FBC49" s="408"/>
      <c r="FBD49" s="408"/>
      <c r="FBE49" s="408"/>
      <c r="FBF49" s="408"/>
      <c r="FBG49" s="408"/>
      <c r="FBH49" s="408"/>
      <c r="FBI49" s="408"/>
      <c r="FBJ49" s="408"/>
      <c r="FBK49" s="408"/>
      <c r="FBL49" s="408"/>
      <c r="FBM49" s="408"/>
      <c r="FBN49" s="408"/>
      <c r="FBO49" s="408"/>
      <c r="FBP49" s="408"/>
      <c r="FBQ49" s="408"/>
      <c r="FBR49" s="408"/>
      <c r="FBS49" s="408"/>
      <c r="FBT49" s="408"/>
      <c r="FBU49" s="408"/>
      <c r="FBV49" s="408"/>
      <c r="FBW49" s="408"/>
      <c r="FBX49" s="408"/>
      <c r="FBY49" s="408"/>
      <c r="FBZ49" s="408"/>
      <c r="FCA49" s="408"/>
      <c r="FCB49" s="408"/>
      <c r="FCC49" s="408"/>
      <c r="FCD49" s="408"/>
      <c r="FCE49" s="408"/>
      <c r="FCF49" s="408"/>
      <c r="FCG49" s="408"/>
      <c r="FCH49" s="408"/>
      <c r="FCI49" s="408"/>
      <c r="FCJ49" s="408"/>
      <c r="FCK49" s="408"/>
      <c r="FCL49" s="408"/>
      <c r="FCM49" s="408"/>
      <c r="FCN49" s="408"/>
      <c r="FCO49" s="408"/>
      <c r="FCP49" s="408"/>
      <c r="FCQ49" s="408"/>
      <c r="FCR49" s="408"/>
      <c r="FCS49" s="408"/>
      <c r="FCT49" s="408"/>
      <c r="FCU49" s="408"/>
      <c r="FCV49" s="408"/>
      <c r="FCW49" s="408"/>
      <c r="FCX49" s="408"/>
      <c r="FCY49" s="408"/>
      <c r="FCZ49" s="408"/>
      <c r="FDA49" s="408"/>
      <c r="FDB49" s="408"/>
      <c r="FDC49" s="408"/>
      <c r="FDD49" s="408"/>
      <c r="FDE49" s="408"/>
      <c r="FDF49" s="408"/>
      <c r="FDG49" s="408"/>
      <c r="FDH49" s="408"/>
      <c r="FDI49" s="408"/>
      <c r="FDJ49" s="408"/>
      <c r="FDK49" s="408"/>
      <c r="FDL49" s="408"/>
      <c r="FDM49" s="408"/>
      <c r="FDN49" s="408"/>
      <c r="FDO49" s="408"/>
      <c r="FDP49" s="408"/>
      <c r="FDQ49" s="408"/>
      <c r="FDR49" s="408"/>
      <c r="FDS49" s="408"/>
      <c r="FDT49" s="408"/>
      <c r="FDU49" s="408"/>
      <c r="FDV49" s="408"/>
      <c r="FDW49" s="408"/>
      <c r="FDX49" s="408"/>
      <c r="FDY49" s="408"/>
      <c r="FDZ49" s="408"/>
      <c r="FEA49" s="408"/>
      <c r="FEB49" s="408"/>
      <c r="FEC49" s="408"/>
      <c r="FED49" s="408"/>
      <c r="FEE49" s="408"/>
      <c r="FEF49" s="408"/>
      <c r="FEG49" s="408"/>
      <c r="FEH49" s="408"/>
      <c r="FEI49" s="408"/>
      <c r="FEJ49" s="408"/>
      <c r="FEK49" s="408"/>
      <c r="FEL49" s="408"/>
      <c r="FEM49" s="408"/>
      <c r="FEN49" s="408"/>
      <c r="FEO49" s="408"/>
      <c r="FEP49" s="408"/>
      <c r="FEQ49" s="408"/>
      <c r="FER49" s="408"/>
      <c r="FES49" s="408"/>
      <c r="FET49" s="408"/>
      <c r="FEU49" s="408"/>
      <c r="FEV49" s="408"/>
      <c r="FEW49" s="408"/>
      <c r="FEX49" s="408"/>
      <c r="FEY49" s="408"/>
      <c r="FEZ49" s="408"/>
      <c r="FFA49" s="408"/>
      <c r="FFB49" s="408"/>
      <c r="FFC49" s="408"/>
      <c r="FFD49" s="408"/>
      <c r="FFE49" s="408"/>
      <c r="FFF49" s="408"/>
      <c r="FFG49" s="408"/>
      <c r="FFH49" s="408"/>
      <c r="FFI49" s="408"/>
      <c r="FFJ49" s="408"/>
      <c r="FFK49" s="408"/>
      <c r="FFL49" s="408"/>
      <c r="FFM49" s="408"/>
      <c r="FFN49" s="408"/>
      <c r="FFO49" s="408"/>
      <c r="FFP49" s="408"/>
      <c r="FFQ49" s="408"/>
      <c r="FFR49" s="408"/>
      <c r="FFS49" s="408"/>
      <c r="FFT49" s="408"/>
      <c r="FFU49" s="408"/>
      <c r="FFV49" s="408"/>
      <c r="FFW49" s="408"/>
      <c r="FFX49" s="408"/>
      <c r="FFY49" s="408"/>
      <c r="FFZ49" s="408"/>
      <c r="FGA49" s="408"/>
      <c r="FGB49" s="408"/>
      <c r="FGC49" s="408"/>
      <c r="FGD49" s="408"/>
      <c r="FGE49" s="408"/>
      <c r="FGF49" s="408"/>
      <c r="FGG49" s="408"/>
      <c r="FGH49" s="408"/>
      <c r="FGI49" s="408"/>
      <c r="FGJ49" s="408"/>
      <c r="FGK49" s="408"/>
      <c r="FGL49" s="408"/>
      <c r="FGM49" s="408"/>
      <c r="FGN49" s="408"/>
      <c r="FGO49" s="408"/>
      <c r="FGP49" s="408"/>
      <c r="FGQ49" s="408"/>
      <c r="FGR49" s="408"/>
      <c r="FGS49" s="408"/>
      <c r="FGT49" s="408"/>
      <c r="FGU49" s="408"/>
      <c r="FGV49" s="408"/>
      <c r="FGW49" s="408"/>
      <c r="FGX49" s="408"/>
      <c r="FGY49" s="408"/>
      <c r="FGZ49" s="408"/>
      <c r="FHA49" s="408"/>
      <c r="FHB49" s="408"/>
      <c r="FHC49" s="408"/>
      <c r="FHD49" s="408"/>
      <c r="FHE49" s="408"/>
      <c r="FHF49" s="408"/>
      <c r="FHG49" s="408"/>
      <c r="FHH49" s="408"/>
      <c r="FHI49" s="408"/>
      <c r="FHJ49" s="408"/>
      <c r="FHK49" s="408"/>
      <c r="FHL49" s="408"/>
      <c r="FHM49" s="408"/>
      <c r="FHN49" s="408"/>
      <c r="FHO49" s="408"/>
      <c r="FHP49" s="408"/>
      <c r="FHQ49" s="408"/>
      <c r="FHR49" s="408"/>
      <c r="FHS49" s="408"/>
      <c r="FHT49" s="408"/>
      <c r="FHU49" s="408"/>
      <c r="FHV49" s="408"/>
      <c r="FHW49" s="408"/>
      <c r="FHX49" s="408"/>
      <c r="FHY49" s="408"/>
      <c r="FHZ49" s="408"/>
      <c r="FIA49" s="408"/>
      <c r="FIB49" s="408"/>
      <c r="FIC49" s="408"/>
      <c r="FID49" s="408"/>
      <c r="FIE49" s="408"/>
      <c r="FIF49" s="408"/>
      <c r="FIG49" s="408"/>
      <c r="FIH49" s="408"/>
      <c r="FII49" s="408"/>
      <c r="FIJ49" s="408"/>
      <c r="FIK49" s="408"/>
      <c r="FIL49" s="408"/>
      <c r="FIM49" s="408"/>
      <c r="FIN49" s="408"/>
      <c r="FIO49" s="408"/>
      <c r="FIP49" s="408"/>
      <c r="FIQ49" s="408"/>
      <c r="FIR49" s="408"/>
      <c r="FIS49" s="408"/>
      <c r="FIT49" s="408"/>
      <c r="FIU49" s="408"/>
      <c r="FIV49" s="408"/>
      <c r="FIW49" s="408"/>
      <c r="FIX49" s="408"/>
      <c r="FIY49" s="408"/>
      <c r="FIZ49" s="408"/>
      <c r="FJA49" s="408"/>
      <c r="FJB49" s="408"/>
      <c r="FJC49" s="408"/>
      <c r="FJD49" s="408"/>
      <c r="FJE49" s="408"/>
      <c r="FJF49" s="408"/>
      <c r="FJG49" s="408"/>
      <c r="FJH49" s="408"/>
      <c r="FJI49" s="408"/>
      <c r="FJJ49" s="408"/>
      <c r="FJK49" s="408"/>
      <c r="FJL49" s="408"/>
      <c r="FJM49" s="408"/>
      <c r="FJN49" s="408"/>
      <c r="FJO49" s="408"/>
      <c r="FJP49" s="408"/>
      <c r="FJQ49" s="408"/>
      <c r="FJR49" s="408"/>
      <c r="FJS49" s="408"/>
      <c r="FJT49" s="408"/>
      <c r="FJU49" s="408"/>
      <c r="FJV49" s="408"/>
      <c r="FJW49" s="408"/>
      <c r="FJX49" s="408"/>
      <c r="FJY49" s="408"/>
      <c r="FJZ49" s="408"/>
      <c r="FKA49" s="408"/>
      <c r="FKB49" s="408"/>
      <c r="FKC49" s="408"/>
      <c r="FKD49" s="408"/>
      <c r="FKE49" s="408"/>
      <c r="FKF49" s="408"/>
      <c r="FKG49" s="408"/>
      <c r="FKH49" s="408"/>
      <c r="FKI49" s="408"/>
      <c r="FKJ49" s="408"/>
      <c r="FKK49" s="408"/>
      <c r="FKL49" s="408"/>
      <c r="FKM49" s="408"/>
      <c r="FKN49" s="408"/>
      <c r="FKO49" s="408"/>
      <c r="FKP49" s="408"/>
      <c r="FKQ49" s="408"/>
      <c r="FKR49" s="408"/>
      <c r="FKS49" s="408"/>
      <c r="FKT49" s="408"/>
      <c r="FKU49" s="408"/>
      <c r="FKV49" s="408"/>
      <c r="FKW49" s="408"/>
      <c r="FKX49" s="408"/>
      <c r="FKY49" s="408"/>
      <c r="FKZ49" s="408"/>
      <c r="FLA49" s="408"/>
      <c r="FLB49" s="408"/>
      <c r="FLC49" s="408"/>
      <c r="FLD49" s="408"/>
      <c r="FLE49" s="408"/>
      <c r="FLF49" s="408"/>
      <c r="FLG49" s="408"/>
      <c r="FLH49" s="408"/>
      <c r="FLI49" s="408"/>
      <c r="FLJ49" s="408"/>
      <c r="FLK49" s="408"/>
      <c r="FLL49" s="408"/>
      <c r="FLM49" s="408"/>
      <c r="FLN49" s="408"/>
      <c r="FLO49" s="408"/>
      <c r="FLP49" s="408"/>
      <c r="FLQ49" s="408"/>
      <c r="FLR49" s="408"/>
      <c r="FLS49" s="408"/>
      <c r="FLT49" s="408"/>
      <c r="FLU49" s="408"/>
      <c r="FLV49" s="408"/>
      <c r="FLW49" s="408"/>
      <c r="FLX49" s="408"/>
      <c r="FLY49" s="408"/>
      <c r="FLZ49" s="408"/>
      <c r="FMA49" s="408"/>
      <c r="FMB49" s="408"/>
      <c r="FMC49" s="408"/>
      <c r="FMD49" s="408"/>
      <c r="FME49" s="408"/>
      <c r="FMF49" s="408"/>
      <c r="FMG49" s="408"/>
      <c r="FMH49" s="408"/>
      <c r="FMI49" s="408"/>
      <c r="FMJ49" s="408"/>
      <c r="FMK49" s="408"/>
      <c r="FML49" s="408"/>
      <c r="FMM49" s="408"/>
      <c r="FMN49" s="408"/>
      <c r="FMO49" s="408"/>
      <c r="FMP49" s="408"/>
      <c r="FMQ49" s="408"/>
      <c r="FMR49" s="408"/>
      <c r="FMS49" s="408"/>
      <c r="FMT49" s="408"/>
      <c r="FMU49" s="408"/>
      <c r="FMV49" s="408"/>
      <c r="FMW49" s="408"/>
      <c r="FMX49" s="408"/>
      <c r="FMY49" s="408"/>
      <c r="FMZ49" s="408"/>
      <c r="FNA49" s="408"/>
      <c r="FNB49" s="408"/>
      <c r="FNC49" s="408"/>
      <c r="FND49" s="408"/>
      <c r="FNE49" s="408"/>
      <c r="FNF49" s="408"/>
      <c r="FNG49" s="408"/>
      <c r="FNH49" s="408"/>
      <c r="FNI49" s="408"/>
      <c r="FNJ49" s="408"/>
      <c r="FNK49" s="408"/>
      <c r="FNL49" s="408"/>
      <c r="FNM49" s="408"/>
      <c r="FNN49" s="408"/>
      <c r="FNO49" s="408"/>
      <c r="FNP49" s="408"/>
      <c r="FNQ49" s="408"/>
      <c r="FNR49" s="408"/>
      <c r="FNS49" s="408"/>
      <c r="FNT49" s="408"/>
      <c r="FNU49" s="408"/>
      <c r="FNV49" s="408"/>
      <c r="FNW49" s="408"/>
      <c r="FNX49" s="408"/>
      <c r="FNY49" s="408"/>
      <c r="FNZ49" s="408"/>
      <c r="FOA49" s="408"/>
      <c r="FOB49" s="408"/>
      <c r="FOC49" s="408"/>
      <c r="FOD49" s="408"/>
      <c r="FOE49" s="408"/>
      <c r="FOF49" s="408"/>
      <c r="FOG49" s="408"/>
      <c r="FOH49" s="408"/>
      <c r="FOI49" s="408"/>
      <c r="FOJ49" s="408"/>
      <c r="FOK49" s="408"/>
      <c r="FOL49" s="408"/>
      <c r="FOM49" s="408"/>
      <c r="FON49" s="408"/>
      <c r="FOO49" s="408"/>
      <c r="FOP49" s="408"/>
      <c r="FOQ49" s="408"/>
      <c r="FOR49" s="408"/>
      <c r="FOS49" s="408"/>
      <c r="FOT49" s="408"/>
      <c r="FOU49" s="408"/>
      <c r="FOV49" s="408"/>
      <c r="FOW49" s="408"/>
      <c r="FOX49" s="408"/>
      <c r="FOY49" s="408"/>
      <c r="FOZ49" s="408"/>
      <c r="FPA49" s="408"/>
      <c r="FPB49" s="408"/>
      <c r="FPC49" s="408"/>
      <c r="FPD49" s="408"/>
      <c r="FPE49" s="408"/>
      <c r="FPF49" s="408"/>
      <c r="FPG49" s="408"/>
      <c r="FPH49" s="408"/>
      <c r="FPI49" s="408"/>
      <c r="FPJ49" s="408"/>
      <c r="FPK49" s="408"/>
      <c r="FPL49" s="408"/>
      <c r="FPM49" s="408"/>
      <c r="FPN49" s="408"/>
      <c r="FPO49" s="408"/>
      <c r="FPP49" s="408"/>
      <c r="FPQ49" s="408"/>
      <c r="FPR49" s="408"/>
      <c r="FPS49" s="408"/>
      <c r="FPT49" s="408"/>
      <c r="FPU49" s="408"/>
      <c r="FPV49" s="408"/>
      <c r="FPW49" s="408"/>
      <c r="FPX49" s="408"/>
      <c r="FPY49" s="408"/>
      <c r="FPZ49" s="408"/>
      <c r="FQA49" s="408"/>
      <c r="FQB49" s="408"/>
      <c r="FQC49" s="408"/>
      <c r="FQD49" s="408"/>
      <c r="FQE49" s="408"/>
      <c r="FQF49" s="408"/>
      <c r="FQG49" s="408"/>
      <c r="FQH49" s="408"/>
      <c r="FQI49" s="408"/>
      <c r="FQJ49" s="408"/>
      <c r="FQK49" s="408"/>
      <c r="FQL49" s="408"/>
      <c r="FQM49" s="408"/>
      <c r="FQN49" s="408"/>
      <c r="FQO49" s="408"/>
      <c r="FQP49" s="408"/>
      <c r="FQQ49" s="408"/>
      <c r="FQR49" s="408"/>
      <c r="FQS49" s="408"/>
      <c r="FQT49" s="408"/>
      <c r="FQU49" s="408"/>
      <c r="FQV49" s="408"/>
      <c r="FQW49" s="408"/>
      <c r="FQX49" s="408"/>
      <c r="FQY49" s="408"/>
      <c r="FQZ49" s="408"/>
      <c r="FRA49" s="408"/>
      <c r="FRB49" s="408"/>
      <c r="FRC49" s="408"/>
      <c r="FRD49" s="408"/>
      <c r="FRE49" s="408"/>
      <c r="FRF49" s="408"/>
      <c r="FRG49" s="408"/>
      <c r="FRH49" s="408"/>
      <c r="FRI49" s="408"/>
      <c r="FRJ49" s="408"/>
      <c r="FRK49" s="408"/>
      <c r="FRL49" s="408"/>
      <c r="FRM49" s="408"/>
      <c r="FRN49" s="408"/>
      <c r="FRO49" s="408"/>
      <c r="FRP49" s="408"/>
      <c r="FRQ49" s="408"/>
      <c r="FRR49" s="408"/>
      <c r="FRS49" s="408"/>
      <c r="FRT49" s="408"/>
      <c r="FRU49" s="408"/>
      <c r="FRV49" s="408"/>
      <c r="FRW49" s="408"/>
      <c r="FRX49" s="408"/>
      <c r="FRY49" s="408"/>
      <c r="FRZ49" s="408"/>
      <c r="FSA49" s="408"/>
      <c r="FSB49" s="408"/>
      <c r="FSC49" s="408"/>
      <c r="FSD49" s="408"/>
      <c r="FSE49" s="408"/>
      <c r="FSF49" s="408"/>
      <c r="FSG49" s="408"/>
      <c r="FSH49" s="408"/>
      <c r="FSI49" s="408"/>
      <c r="FSJ49" s="408"/>
      <c r="FSK49" s="408"/>
      <c r="FSL49" s="408"/>
      <c r="FSM49" s="408"/>
      <c r="FSN49" s="408"/>
      <c r="FSO49" s="408"/>
      <c r="FSP49" s="408"/>
      <c r="FSQ49" s="408"/>
      <c r="FSR49" s="408"/>
      <c r="FSS49" s="408"/>
      <c r="FST49" s="408"/>
      <c r="FSU49" s="408"/>
      <c r="FSV49" s="408"/>
      <c r="FSW49" s="408"/>
      <c r="FSX49" s="408"/>
      <c r="FSY49" s="408"/>
      <c r="FSZ49" s="408"/>
      <c r="FTA49" s="408"/>
      <c r="FTB49" s="408"/>
      <c r="FTC49" s="408"/>
      <c r="FTD49" s="408"/>
      <c r="FTE49" s="408"/>
      <c r="FTF49" s="408"/>
      <c r="FTG49" s="408"/>
      <c r="FTH49" s="408"/>
      <c r="FTI49" s="408"/>
      <c r="FTJ49" s="408"/>
      <c r="FTK49" s="408"/>
      <c r="FTL49" s="408"/>
      <c r="FTM49" s="408"/>
      <c r="FTN49" s="408"/>
      <c r="FTO49" s="408"/>
      <c r="FTP49" s="408"/>
      <c r="FTQ49" s="408"/>
      <c r="FTR49" s="408"/>
      <c r="FTS49" s="408"/>
      <c r="FTT49" s="408"/>
      <c r="FTU49" s="408"/>
      <c r="FTV49" s="408"/>
      <c r="FTW49" s="408"/>
      <c r="FTX49" s="408"/>
      <c r="FTY49" s="408"/>
      <c r="FTZ49" s="408"/>
      <c r="FUA49" s="408"/>
      <c r="FUB49" s="408"/>
      <c r="FUC49" s="408"/>
      <c r="FUD49" s="408"/>
      <c r="FUE49" s="408"/>
      <c r="FUF49" s="408"/>
      <c r="FUG49" s="408"/>
      <c r="FUH49" s="408"/>
      <c r="FUI49" s="408"/>
      <c r="FUJ49" s="408"/>
      <c r="FUK49" s="408"/>
      <c r="FUL49" s="408"/>
      <c r="FUM49" s="408"/>
      <c r="FUN49" s="408"/>
      <c r="FUO49" s="408"/>
      <c r="FUP49" s="408"/>
      <c r="FUQ49" s="408"/>
      <c r="FUR49" s="408"/>
      <c r="FUS49" s="408"/>
      <c r="FUT49" s="408"/>
      <c r="FUU49" s="408"/>
      <c r="FUV49" s="408"/>
      <c r="FUW49" s="408"/>
      <c r="FUX49" s="408"/>
      <c r="FUY49" s="408"/>
      <c r="FUZ49" s="408"/>
      <c r="FVA49" s="408"/>
      <c r="FVB49" s="408"/>
      <c r="FVC49" s="408"/>
      <c r="FVD49" s="408"/>
      <c r="FVE49" s="408"/>
      <c r="FVF49" s="408"/>
      <c r="FVG49" s="408"/>
      <c r="FVH49" s="408"/>
      <c r="FVI49" s="408"/>
      <c r="FVJ49" s="408"/>
      <c r="FVK49" s="408"/>
      <c r="FVL49" s="408"/>
      <c r="FVM49" s="408"/>
      <c r="FVN49" s="408"/>
      <c r="FVO49" s="408"/>
      <c r="FVP49" s="408"/>
      <c r="FVQ49" s="408"/>
      <c r="FVR49" s="408"/>
      <c r="FVS49" s="408"/>
      <c r="FVT49" s="408"/>
      <c r="FVU49" s="408"/>
      <c r="FVV49" s="408"/>
      <c r="FVW49" s="408"/>
      <c r="FVX49" s="408"/>
      <c r="FVY49" s="408"/>
      <c r="FVZ49" s="408"/>
      <c r="FWA49" s="408"/>
      <c r="FWB49" s="408"/>
      <c r="FWC49" s="408"/>
      <c r="FWD49" s="408"/>
      <c r="FWE49" s="408"/>
      <c r="FWF49" s="408"/>
      <c r="FWG49" s="408"/>
      <c r="FWH49" s="408"/>
      <c r="FWI49" s="408"/>
      <c r="FWJ49" s="408"/>
      <c r="FWK49" s="408"/>
      <c r="FWL49" s="408"/>
      <c r="FWM49" s="408"/>
      <c r="FWN49" s="408"/>
      <c r="FWO49" s="408"/>
      <c r="FWP49" s="408"/>
      <c r="FWQ49" s="408"/>
      <c r="FWR49" s="408"/>
      <c r="FWS49" s="408"/>
      <c r="FWT49" s="408"/>
      <c r="FWU49" s="408"/>
      <c r="FWV49" s="408"/>
      <c r="FWW49" s="408"/>
      <c r="FWX49" s="408"/>
      <c r="FWY49" s="408"/>
      <c r="FWZ49" s="408"/>
      <c r="FXA49" s="408"/>
      <c r="FXB49" s="408"/>
      <c r="FXC49" s="408"/>
      <c r="FXD49" s="408"/>
      <c r="FXE49" s="408"/>
      <c r="FXF49" s="408"/>
      <c r="FXG49" s="408"/>
      <c r="FXH49" s="408"/>
      <c r="FXI49" s="408"/>
      <c r="FXJ49" s="408"/>
      <c r="FXK49" s="408"/>
      <c r="FXL49" s="408"/>
      <c r="FXM49" s="408"/>
      <c r="FXN49" s="408"/>
      <c r="FXO49" s="408"/>
      <c r="FXP49" s="408"/>
      <c r="FXQ49" s="408"/>
      <c r="FXR49" s="408"/>
      <c r="FXS49" s="408"/>
      <c r="FXT49" s="408"/>
      <c r="FXU49" s="408"/>
      <c r="FXV49" s="408"/>
      <c r="FXW49" s="408"/>
      <c r="FXX49" s="408"/>
      <c r="FXY49" s="408"/>
      <c r="FXZ49" s="408"/>
      <c r="FYA49" s="408"/>
      <c r="FYB49" s="408"/>
      <c r="FYC49" s="408"/>
      <c r="FYD49" s="408"/>
      <c r="FYE49" s="408"/>
      <c r="FYF49" s="408"/>
      <c r="FYG49" s="408"/>
      <c r="FYH49" s="408"/>
      <c r="FYI49" s="408"/>
      <c r="FYJ49" s="408"/>
      <c r="FYK49" s="408"/>
      <c r="FYL49" s="408"/>
      <c r="FYM49" s="408"/>
      <c r="FYN49" s="408"/>
      <c r="FYO49" s="408"/>
      <c r="FYP49" s="408"/>
      <c r="FYQ49" s="408"/>
      <c r="FYR49" s="408"/>
      <c r="FYS49" s="408"/>
      <c r="FYT49" s="408"/>
      <c r="FYU49" s="408"/>
      <c r="FYV49" s="408"/>
      <c r="FYW49" s="408"/>
      <c r="FYX49" s="408"/>
      <c r="FYY49" s="408"/>
      <c r="FYZ49" s="408"/>
      <c r="FZA49" s="408"/>
      <c r="FZB49" s="408"/>
      <c r="FZC49" s="408"/>
      <c r="FZD49" s="408"/>
      <c r="FZE49" s="408"/>
      <c r="FZF49" s="408"/>
      <c r="FZG49" s="408"/>
      <c r="FZH49" s="408"/>
      <c r="FZI49" s="408"/>
      <c r="FZJ49" s="408"/>
      <c r="FZK49" s="408"/>
      <c r="FZL49" s="408"/>
      <c r="FZM49" s="408"/>
      <c r="FZN49" s="408"/>
      <c r="FZO49" s="408"/>
      <c r="FZP49" s="408"/>
      <c r="FZQ49" s="408"/>
      <c r="FZR49" s="408"/>
      <c r="FZS49" s="408"/>
      <c r="FZT49" s="408"/>
      <c r="FZU49" s="408"/>
      <c r="FZV49" s="408"/>
      <c r="FZW49" s="408"/>
      <c r="FZX49" s="408"/>
      <c r="FZY49" s="408"/>
      <c r="FZZ49" s="408"/>
      <c r="GAA49" s="408"/>
      <c r="GAB49" s="408"/>
      <c r="GAC49" s="408"/>
      <c r="GAD49" s="408"/>
      <c r="GAE49" s="408"/>
      <c r="GAF49" s="408"/>
      <c r="GAG49" s="408"/>
      <c r="GAH49" s="408"/>
      <c r="GAI49" s="408"/>
      <c r="GAJ49" s="408"/>
      <c r="GAK49" s="408"/>
      <c r="GAL49" s="408"/>
      <c r="GAM49" s="408"/>
      <c r="GAN49" s="408"/>
      <c r="GAO49" s="408"/>
      <c r="GAP49" s="408"/>
      <c r="GAQ49" s="408"/>
      <c r="GAR49" s="408"/>
      <c r="GAS49" s="408"/>
      <c r="GAT49" s="408"/>
      <c r="GAU49" s="408"/>
      <c r="GAV49" s="408"/>
      <c r="GAW49" s="408"/>
      <c r="GAX49" s="408"/>
      <c r="GAY49" s="408"/>
      <c r="GAZ49" s="408"/>
      <c r="GBA49" s="408"/>
      <c r="GBB49" s="408"/>
      <c r="GBC49" s="408"/>
      <c r="GBD49" s="408"/>
      <c r="GBE49" s="408"/>
      <c r="GBF49" s="408"/>
      <c r="GBG49" s="408"/>
      <c r="GBH49" s="408"/>
      <c r="GBI49" s="408"/>
      <c r="GBJ49" s="408"/>
      <c r="GBK49" s="408"/>
      <c r="GBL49" s="408"/>
      <c r="GBM49" s="408"/>
      <c r="GBN49" s="408"/>
      <c r="GBO49" s="408"/>
      <c r="GBP49" s="408"/>
      <c r="GBQ49" s="408"/>
      <c r="GBR49" s="408"/>
      <c r="GBS49" s="408"/>
      <c r="GBT49" s="408"/>
      <c r="GBU49" s="408"/>
      <c r="GBV49" s="408"/>
      <c r="GBW49" s="408"/>
      <c r="GBX49" s="408"/>
      <c r="GBY49" s="408"/>
      <c r="GBZ49" s="408"/>
      <c r="GCA49" s="408"/>
      <c r="GCB49" s="408"/>
      <c r="GCC49" s="408"/>
      <c r="GCD49" s="408"/>
      <c r="GCE49" s="408"/>
      <c r="GCF49" s="408"/>
      <c r="GCG49" s="408"/>
      <c r="GCH49" s="408"/>
      <c r="GCI49" s="408"/>
      <c r="GCJ49" s="408"/>
      <c r="GCK49" s="408"/>
      <c r="GCL49" s="408"/>
      <c r="GCM49" s="408"/>
      <c r="GCN49" s="408"/>
      <c r="GCO49" s="408"/>
      <c r="GCP49" s="408"/>
      <c r="GCQ49" s="408"/>
      <c r="GCR49" s="408"/>
      <c r="GCS49" s="408"/>
      <c r="GCT49" s="408"/>
      <c r="GCU49" s="408"/>
      <c r="GCV49" s="408"/>
      <c r="GCW49" s="408"/>
      <c r="GCX49" s="408"/>
      <c r="GCY49" s="408"/>
      <c r="GCZ49" s="408"/>
      <c r="GDA49" s="408"/>
      <c r="GDB49" s="408"/>
      <c r="GDC49" s="408"/>
      <c r="GDD49" s="408"/>
      <c r="GDE49" s="408"/>
      <c r="GDF49" s="408"/>
      <c r="GDG49" s="408"/>
      <c r="GDH49" s="408"/>
      <c r="GDI49" s="408"/>
      <c r="GDJ49" s="408"/>
      <c r="GDK49" s="408"/>
      <c r="GDL49" s="408"/>
      <c r="GDM49" s="408"/>
      <c r="GDN49" s="408"/>
      <c r="GDO49" s="408"/>
      <c r="GDP49" s="408"/>
      <c r="GDQ49" s="408"/>
      <c r="GDR49" s="408"/>
      <c r="GDS49" s="408"/>
      <c r="GDT49" s="408"/>
      <c r="GDU49" s="408"/>
      <c r="GDV49" s="408"/>
      <c r="GDW49" s="408"/>
      <c r="GDX49" s="408"/>
      <c r="GDY49" s="408"/>
      <c r="GDZ49" s="408"/>
      <c r="GEA49" s="408"/>
      <c r="GEB49" s="408"/>
      <c r="GEC49" s="408"/>
      <c r="GED49" s="408"/>
      <c r="GEE49" s="408"/>
      <c r="GEF49" s="408"/>
      <c r="GEG49" s="408"/>
      <c r="GEH49" s="408"/>
      <c r="GEI49" s="408"/>
      <c r="GEJ49" s="408"/>
      <c r="GEK49" s="408"/>
      <c r="GEL49" s="408"/>
      <c r="GEM49" s="408"/>
      <c r="GEN49" s="408"/>
      <c r="GEO49" s="408"/>
      <c r="GEP49" s="408"/>
      <c r="GEQ49" s="408"/>
      <c r="GER49" s="408"/>
      <c r="GES49" s="408"/>
      <c r="GET49" s="408"/>
      <c r="GEU49" s="408"/>
      <c r="GEV49" s="408"/>
      <c r="GEW49" s="408"/>
      <c r="GEX49" s="408"/>
      <c r="GEY49" s="408"/>
      <c r="GEZ49" s="408"/>
      <c r="GFA49" s="408"/>
      <c r="GFB49" s="408"/>
      <c r="GFC49" s="408"/>
      <c r="GFD49" s="408"/>
      <c r="GFE49" s="408"/>
      <c r="GFF49" s="408"/>
      <c r="GFG49" s="408"/>
      <c r="GFH49" s="408"/>
      <c r="GFI49" s="408"/>
      <c r="GFJ49" s="408"/>
      <c r="GFK49" s="408"/>
      <c r="GFL49" s="408"/>
      <c r="GFM49" s="408"/>
      <c r="GFN49" s="408"/>
      <c r="GFO49" s="408"/>
      <c r="GFP49" s="408"/>
      <c r="GFQ49" s="408"/>
      <c r="GFR49" s="408"/>
      <c r="GFS49" s="408"/>
      <c r="GFT49" s="408"/>
      <c r="GFU49" s="408"/>
      <c r="GFV49" s="408"/>
      <c r="GFW49" s="408"/>
      <c r="GFX49" s="408"/>
      <c r="GFY49" s="408"/>
      <c r="GFZ49" s="408"/>
      <c r="GGA49" s="408"/>
      <c r="GGB49" s="408"/>
      <c r="GGC49" s="408"/>
      <c r="GGD49" s="408"/>
      <c r="GGE49" s="408"/>
      <c r="GGF49" s="408"/>
      <c r="GGG49" s="408"/>
      <c r="GGH49" s="408"/>
      <c r="GGI49" s="408"/>
      <c r="GGJ49" s="408"/>
      <c r="GGK49" s="408"/>
      <c r="GGL49" s="408"/>
      <c r="GGM49" s="408"/>
      <c r="GGN49" s="408"/>
      <c r="GGO49" s="408"/>
      <c r="GGP49" s="408"/>
      <c r="GGQ49" s="408"/>
      <c r="GGR49" s="408"/>
      <c r="GGS49" s="408"/>
      <c r="GGT49" s="408"/>
      <c r="GGU49" s="408"/>
      <c r="GGV49" s="408"/>
      <c r="GGW49" s="408"/>
      <c r="GGX49" s="408"/>
      <c r="GGY49" s="408"/>
      <c r="GGZ49" s="408"/>
      <c r="GHA49" s="408"/>
      <c r="GHB49" s="408"/>
      <c r="GHC49" s="408"/>
      <c r="GHD49" s="408"/>
      <c r="GHE49" s="408"/>
      <c r="GHF49" s="408"/>
      <c r="GHG49" s="408"/>
      <c r="GHH49" s="408"/>
      <c r="GHI49" s="408"/>
      <c r="GHJ49" s="408"/>
      <c r="GHK49" s="408"/>
      <c r="GHL49" s="408"/>
      <c r="GHM49" s="408"/>
      <c r="GHN49" s="408"/>
      <c r="GHO49" s="408"/>
      <c r="GHP49" s="408"/>
      <c r="GHQ49" s="408"/>
      <c r="GHR49" s="408"/>
      <c r="GHS49" s="408"/>
      <c r="GHT49" s="408"/>
      <c r="GHU49" s="408"/>
      <c r="GHV49" s="408"/>
      <c r="GHW49" s="408"/>
      <c r="GHX49" s="408"/>
      <c r="GHY49" s="408"/>
      <c r="GHZ49" s="408"/>
      <c r="GIA49" s="408"/>
      <c r="GIB49" s="408"/>
      <c r="GIC49" s="408"/>
      <c r="GID49" s="408"/>
      <c r="GIE49" s="408"/>
      <c r="GIF49" s="408"/>
      <c r="GIG49" s="408"/>
      <c r="GIH49" s="408"/>
      <c r="GII49" s="408"/>
      <c r="GIJ49" s="408"/>
      <c r="GIK49" s="408"/>
      <c r="GIL49" s="408"/>
      <c r="GIM49" s="408"/>
      <c r="GIN49" s="408"/>
      <c r="GIO49" s="408"/>
      <c r="GIP49" s="408"/>
      <c r="GIQ49" s="408"/>
      <c r="GIR49" s="408"/>
      <c r="GIS49" s="408"/>
      <c r="GIT49" s="408"/>
      <c r="GIU49" s="408"/>
      <c r="GIV49" s="408"/>
      <c r="GIW49" s="408"/>
      <c r="GIX49" s="408"/>
      <c r="GIY49" s="408"/>
      <c r="GIZ49" s="408"/>
      <c r="GJA49" s="408"/>
      <c r="GJB49" s="408"/>
      <c r="GJC49" s="408"/>
      <c r="GJD49" s="408"/>
      <c r="GJE49" s="408"/>
      <c r="GJF49" s="408"/>
      <c r="GJG49" s="408"/>
      <c r="GJH49" s="408"/>
      <c r="GJI49" s="408"/>
      <c r="GJJ49" s="408"/>
      <c r="GJK49" s="408"/>
      <c r="GJL49" s="408"/>
      <c r="GJM49" s="408"/>
      <c r="GJN49" s="408"/>
      <c r="GJO49" s="408"/>
      <c r="GJP49" s="408"/>
      <c r="GJQ49" s="408"/>
      <c r="GJR49" s="408"/>
      <c r="GJS49" s="408"/>
      <c r="GJT49" s="408"/>
      <c r="GJU49" s="408"/>
      <c r="GJV49" s="408"/>
      <c r="GJW49" s="408"/>
      <c r="GJX49" s="408"/>
      <c r="GJY49" s="408"/>
      <c r="GJZ49" s="408"/>
      <c r="GKA49" s="408"/>
      <c r="GKB49" s="408"/>
      <c r="GKC49" s="408"/>
      <c r="GKD49" s="408"/>
      <c r="GKE49" s="408"/>
      <c r="GKF49" s="408"/>
      <c r="GKG49" s="408"/>
      <c r="GKH49" s="408"/>
      <c r="GKI49" s="408"/>
      <c r="GKJ49" s="408"/>
      <c r="GKK49" s="408"/>
      <c r="GKL49" s="408"/>
      <c r="GKM49" s="408"/>
      <c r="GKN49" s="408"/>
      <c r="GKO49" s="408"/>
      <c r="GKP49" s="408"/>
      <c r="GKQ49" s="408"/>
      <c r="GKR49" s="408"/>
      <c r="GKS49" s="408"/>
      <c r="GKT49" s="408"/>
      <c r="GKU49" s="408"/>
      <c r="GKV49" s="408"/>
      <c r="GKW49" s="408"/>
      <c r="GKX49" s="408"/>
      <c r="GKY49" s="408"/>
      <c r="GKZ49" s="408"/>
      <c r="GLA49" s="408"/>
      <c r="GLB49" s="408"/>
      <c r="GLC49" s="408"/>
      <c r="GLD49" s="408"/>
      <c r="GLE49" s="408"/>
      <c r="GLF49" s="408"/>
      <c r="GLG49" s="408"/>
      <c r="GLH49" s="408"/>
      <c r="GLI49" s="408"/>
      <c r="GLJ49" s="408"/>
      <c r="GLK49" s="408"/>
      <c r="GLL49" s="408"/>
      <c r="GLM49" s="408"/>
      <c r="GLN49" s="408"/>
      <c r="GLO49" s="408"/>
      <c r="GLP49" s="408"/>
      <c r="GLQ49" s="408"/>
      <c r="GLR49" s="408"/>
      <c r="GLS49" s="408"/>
      <c r="GLT49" s="408"/>
      <c r="GLU49" s="408"/>
      <c r="GLV49" s="408"/>
      <c r="GLW49" s="408"/>
      <c r="GLX49" s="408"/>
      <c r="GLY49" s="408"/>
      <c r="GLZ49" s="408"/>
      <c r="GMA49" s="408"/>
      <c r="GMB49" s="408"/>
      <c r="GMC49" s="408"/>
      <c r="GMD49" s="408"/>
      <c r="GME49" s="408"/>
      <c r="GMF49" s="408"/>
      <c r="GMG49" s="408"/>
      <c r="GMH49" s="408"/>
      <c r="GMI49" s="408"/>
      <c r="GMJ49" s="408"/>
      <c r="GMK49" s="408"/>
      <c r="GML49" s="408"/>
      <c r="GMM49" s="408"/>
      <c r="GMN49" s="408"/>
      <c r="GMO49" s="408"/>
      <c r="GMP49" s="408"/>
      <c r="GMQ49" s="408"/>
      <c r="GMR49" s="408"/>
      <c r="GMS49" s="408"/>
      <c r="GMT49" s="408"/>
      <c r="GMU49" s="408"/>
      <c r="GMV49" s="408"/>
      <c r="GMW49" s="408"/>
      <c r="GMX49" s="408"/>
      <c r="GMY49" s="408"/>
      <c r="GMZ49" s="408"/>
      <c r="GNA49" s="408"/>
      <c r="GNB49" s="408"/>
      <c r="GNC49" s="408"/>
      <c r="GND49" s="408"/>
      <c r="GNE49" s="408"/>
      <c r="GNF49" s="408"/>
      <c r="GNG49" s="408"/>
      <c r="GNH49" s="408"/>
      <c r="GNI49" s="408"/>
      <c r="GNJ49" s="408"/>
      <c r="GNK49" s="408"/>
      <c r="GNL49" s="408"/>
      <c r="GNM49" s="408"/>
      <c r="GNN49" s="408"/>
      <c r="GNO49" s="408"/>
      <c r="GNP49" s="408"/>
      <c r="GNQ49" s="408"/>
      <c r="GNR49" s="408"/>
      <c r="GNS49" s="408"/>
      <c r="GNT49" s="408"/>
      <c r="GNU49" s="408"/>
      <c r="GNV49" s="408"/>
      <c r="GNW49" s="408"/>
      <c r="GNX49" s="408"/>
      <c r="GNY49" s="408"/>
      <c r="GNZ49" s="408"/>
      <c r="GOA49" s="408"/>
      <c r="GOB49" s="408"/>
      <c r="GOC49" s="408"/>
      <c r="GOD49" s="408"/>
      <c r="GOE49" s="408"/>
      <c r="GOF49" s="408"/>
      <c r="GOG49" s="408"/>
      <c r="GOH49" s="408"/>
      <c r="GOI49" s="408"/>
      <c r="GOJ49" s="408"/>
      <c r="GOK49" s="408"/>
      <c r="GOL49" s="408"/>
      <c r="GOM49" s="408"/>
      <c r="GON49" s="408"/>
      <c r="GOO49" s="408"/>
      <c r="GOP49" s="408"/>
      <c r="GOQ49" s="408"/>
      <c r="GOR49" s="408"/>
      <c r="GOS49" s="408"/>
      <c r="GOT49" s="408"/>
      <c r="GOU49" s="408"/>
      <c r="GOV49" s="408"/>
      <c r="GOW49" s="408"/>
      <c r="GOX49" s="408"/>
      <c r="GOY49" s="408"/>
      <c r="GOZ49" s="408"/>
      <c r="GPA49" s="408"/>
      <c r="GPB49" s="408"/>
      <c r="GPC49" s="408"/>
      <c r="GPD49" s="408"/>
      <c r="GPE49" s="408"/>
      <c r="GPF49" s="408"/>
      <c r="GPG49" s="408"/>
      <c r="GPH49" s="408"/>
      <c r="GPI49" s="408"/>
      <c r="GPJ49" s="408"/>
      <c r="GPK49" s="408"/>
      <c r="GPL49" s="408"/>
      <c r="GPM49" s="408"/>
      <c r="GPN49" s="408"/>
      <c r="GPO49" s="408"/>
      <c r="GPP49" s="408"/>
      <c r="GPQ49" s="408"/>
      <c r="GPR49" s="408"/>
      <c r="GPS49" s="408"/>
      <c r="GPT49" s="408"/>
      <c r="GPU49" s="408"/>
      <c r="GPV49" s="408"/>
      <c r="GPW49" s="408"/>
      <c r="GPX49" s="408"/>
      <c r="GPY49" s="408"/>
      <c r="GPZ49" s="408"/>
      <c r="GQA49" s="408"/>
      <c r="GQB49" s="408"/>
      <c r="GQC49" s="408"/>
      <c r="GQD49" s="408"/>
      <c r="GQE49" s="408"/>
      <c r="GQF49" s="408"/>
      <c r="GQG49" s="408"/>
      <c r="GQH49" s="408"/>
      <c r="GQI49" s="408"/>
      <c r="GQJ49" s="408"/>
      <c r="GQK49" s="408"/>
      <c r="GQL49" s="408"/>
      <c r="GQM49" s="408"/>
      <c r="GQN49" s="408"/>
      <c r="GQO49" s="408"/>
      <c r="GQP49" s="408"/>
      <c r="GQQ49" s="408"/>
      <c r="GQR49" s="408"/>
      <c r="GQS49" s="408"/>
      <c r="GQT49" s="408"/>
      <c r="GQU49" s="408"/>
      <c r="GQV49" s="408"/>
      <c r="GQW49" s="408"/>
      <c r="GQX49" s="408"/>
      <c r="GQY49" s="408"/>
      <c r="GQZ49" s="408"/>
      <c r="GRA49" s="408"/>
      <c r="GRB49" s="408"/>
      <c r="GRC49" s="408"/>
      <c r="GRD49" s="408"/>
      <c r="GRE49" s="408"/>
      <c r="GRF49" s="408"/>
      <c r="GRG49" s="408"/>
      <c r="GRH49" s="408"/>
      <c r="GRI49" s="408"/>
      <c r="GRJ49" s="408"/>
      <c r="GRK49" s="408"/>
      <c r="GRL49" s="408"/>
      <c r="GRM49" s="408"/>
      <c r="GRN49" s="408"/>
      <c r="GRO49" s="408"/>
      <c r="GRP49" s="408"/>
      <c r="GRQ49" s="408"/>
      <c r="GRR49" s="408"/>
      <c r="GRS49" s="408"/>
      <c r="GRT49" s="408"/>
      <c r="GRU49" s="408"/>
      <c r="GRV49" s="408"/>
      <c r="GRW49" s="408"/>
      <c r="GRX49" s="408"/>
      <c r="GRY49" s="408"/>
      <c r="GRZ49" s="408"/>
      <c r="GSA49" s="408"/>
      <c r="GSB49" s="408"/>
      <c r="GSC49" s="408"/>
      <c r="GSD49" s="408"/>
      <c r="GSE49" s="408"/>
      <c r="GSF49" s="408"/>
      <c r="GSG49" s="408"/>
      <c r="GSH49" s="408"/>
      <c r="GSI49" s="408"/>
      <c r="GSJ49" s="408"/>
      <c r="GSK49" s="408"/>
      <c r="GSL49" s="408"/>
      <c r="GSM49" s="408"/>
      <c r="GSN49" s="408"/>
      <c r="GSO49" s="408"/>
      <c r="GSP49" s="408"/>
      <c r="GSQ49" s="408"/>
      <c r="GSR49" s="408"/>
      <c r="GSS49" s="408"/>
      <c r="GST49" s="408"/>
      <c r="GSU49" s="408"/>
      <c r="GSV49" s="408"/>
      <c r="GSW49" s="408"/>
      <c r="GSX49" s="408"/>
      <c r="GSY49" s="408"/>
      <c r="GSZ49" s="408"/>
      <c r="GTA49" s="408"/>
      <c r="GTB49" s="408"/>
      <c r="GTC49" s="408"/>
      <c r="GTD49" s="408"/>
      <c r="GTE49" s="408"/>
      <c r="GTF49" s="408"/>
      <c r="GTG49" s="408"/>
      <c r="GTH49" s="408"/>
      <c r="GTI49" s="408"/>
      <c r="GTJ49" s="408"/>
      <c r="GTK49" s="408"/>
      <c r="GTL49" s="408"/>
      <c r="GTM49" s="408"/>
      <c r="GTN49" s="408"/>
      <c r="GTO49" s="408"/>
      <c r="GTP49" s="408"/>
      <c r="GTQ49" s="408"/>
      <c r="GTR49" s="408"/>
      <c r="GTS49" s="408"/>
      <c r="GTT49" s="408"/>
      <c r="GTU49" s="408"/>
      <c r="GTV49" s="408"/>
      <c r="GTW49" s="408"/>
      <c r="GTX49" s="408"/>
      <c r="GTY49" s="408"/>
      <c r="GTZ49" s="408"/>
      <c r="GUA49" s="408"/>
      <c r="GUB49" s="408"/>
      <c r="GUC49" s="408"/>
      <c r="GUD49" s="408"/>
      <c r="GUE49" s="408"/>
      <c r="GUF49" s="408"/>
      <c r="GUG49" s="408"/>
      <c r="GUH49" s="408"/>
      <c r="GUI49" s="408"/>
      <c r="GUJ49" s="408"/>
      <c r="GUK49" s="408"/>
      <c r="GUL49" s="408"/>
      <c r="GUM49" s="408"/>
      <c r="GUN49" s="408"/>
      <c r="GUO49" s="408"/>
      <c r="GUP49" s="408"/>
      <c r="GUQ49" s="408"/>
      <c r="GUR49" s="408"/>
      <c r="GUS49" s="408"/>
      <c r="GUT49" s="408"/>
      <c r="GUU49" s="408"/>
      <c r="GUV49" s="408"/>
      <c r="GUW49" s="408"/>
      <c r="GUX49" s="408"/>
      <c r="GUY49" s="408"/>
      <c r="GUZ49" s="408"/>
      <c r="GVA49" s="408"/>
      <c r="GVB49" s="408"/>
      <c r="GVC49" s="408"/>
      <c r="GVD49" s="408"/>
      <c r="GVE49" s="408"/>
      <c r="GVF49" s="408"/>
      <c r="GVG49" s="408"/>
      <c r="GVH49" s="408"/>
      <c r="GVI49" s="408"/>
      <c r="GVJ49" s="408"/>
      <c r="GVK49" s="408"/>
      <c r="GVL49" s="408"/>
      <c r="GVM49" s="408"/>
      <c r="GVN49" s="408"/>
      <c r="GVO49" s="408"/>
      <c r="GVP49" s="408"/>
      <c r="GVQ49" s="408"/>
      <c r="GVR49" s="408"/>
      <c r="GVS49" s="408"/>
      <c r="GVT49" s="408"/>
      <c r="GVU49" s="408"/>
      <c r="GVV49" s="408"/>
      <c r="GVW49" s="408"/>
      <c r="GVX49" s="408"/>
      <c r="GVY49" s="408"/>
      <c r="GVZ49" s="408"/>
      <c r="GWA49" s="408"/>
      <c r="GWB49" s="408"/>
      <c r="GWC49" s="408"/>
      <c r="GWD49" s="408"/>
      <c r="GWE49" s="408"/>
      <c r="GWF49" s="408"/>
      <c r="GWG49" s="408"/>
      <c r="GWH49" s="408"/>
      <c r="GWI49" s="408"/>
      <c r="GWJ49" s="408"/>
      <c r="GWK49" s="408"/>
      <c r="GWL49" s="408"/>
      <c r="GWM49" s="408"/>
      <c r="GWN49" s="408"/>
      <c r="GWO49" s="408"/>
      <c r="GWP49" s="408"/>
      <c r="GWQ49" s="408"/>
      <c r="GWR49" s="408"/>
      <c r="GWS49" s="408"/>
      <c r="GWT49" s="408"/>
      <c r="GWU49" s="408"/>
      <c r="GWV49" s="408"/>
      <c r="GWW49" s="408"/>
      <c r="GWX49" s="408"/>
      <c r="GWY49" s="408"/>
      <c r="GWZ49" s="408"/>
      <c r="GXA49" s="408"/>
      <c r="GXB49" s="408"/>
      <c r="GXC49" s="408"/>
      <c r="GXD49" s="408"/>
      <c r="GXE49" s="408"/>
      <c r="GXF49" s="408"/>
      <c r="GXG49" s="408"/>
      <c r="GXH49" s="408"/>
      <c r="GXI49" s="408"/>
      <c r="GXJ49" s="408"/>
      <c r="GXK49" s="408"/>
      <c r="GXL49" s="408"/>
      <c r="GXM49" s="408"/>
      <c r="GXN49" s="408"/>
      <c r="GXO49" s="408"/>
      <c r="GXP49" s="408"/>
      <c r="GXQ49" s="408"/>
      <c r="GXR49" s="408"/>
      <c r="GXS49" s="408"/>
      <c r="GXT49" s="408"/>
      <c r="GXU49" s="408"/>
      <c r="GXV49" s="408"/>
      <c r="GXW49" s="408"/>
      <c r="GXX49" s="408"/>
      <c r="GXY49" s="408"/>
      <c r="GXZ49" s="408"/>
      <c r="GYA49" s="408"/>
      <c r="GYB49" s="408"/>
      <c r="GYC49" s="408"/>
      <c r="GYD49" s="408"/>
      <c r="GYE49" s="408"/>
      <c r="GYF49" s="408"/>
      <c r="GYG49" s="408"/>
      <c r="GYH49" s="408"/>
      <c r="GYI49" s="408"/>
      <c r="GYJ49" s="408"/>
      <c r="GYK49" s="408"/>
      <c r="GYL49" s="408"/>
      <c r="GYM49" s="408"/>
      <c r="GYN49" s="408"/>
      <c r="GYO49" s="408"/>
      <c r="GYP49" s="408"/>
      <c r="GYQ49" s="408"/>
      <c r="GYR49" s="408"/>
      <c r="GYS49" s="408"/>
      <c r="GYT49" s="408"/>
      <c r="GYU49" s="408"/>
      <c r="GYV49" s="408"/>
      <c r="GYW49" s="408"/>
      <c r="GYX49" s="408"/>
      <c r="GYY49" s="408"/>
      <c r="GYZ49" s="408"/>
      <c r="GZA49" s="408"/>
      <c r="GZB49" s="408"/>
      <c r="GZC49" s="408"/>
      <c r="GZD49" s="408"/>
      <c r="GZE49" s="408"/>
      <c r="GZF49" s="408"/>
      <c r="GZG49" s="408"/>
      <c r="GZH49" s="408"/>
      <c r="GZI49" s="408"/>
      <c r="GZJ49" s="408"/>
      <c r="GZK49" s="408"/>
      <c r="GZL49" s="408"/>
      <c r="GZM49" s="408"/>
      <c r="GZN49" s="408"/>
      <c r="GZO49" s="408"/>
      <c r="GZP49" s="408"/>
      <c r="GZQ49" s="408"/>
      <c r="GZR49" s="408"/>
      <c r="GZS49" s="408"/>
      <c r="GZT49" s="408"/>
      <c r="GZU49" s="408"/>
      <c r="GZV49" s="408"/>
      <c r="GZW49" s="408"/>
      <c r="GZX49" s="408"/>
      <c r="GZY49" s="408"/>
      <c r="GZZ49" s="408"/>
      <c r="HAA49" s="408"/>
      <c r="HAB49" s="408"/>
      <c r="HAC49" s="408"/>
      <c r="HAD49" s="408"/>
      <c r="HAE49" s="408"/>
      <c r="HAF49" s="408"/>
      <c r="HAG49" s="408"/>
      <c r="HAH49" s="408"/>
      <c r="HAI49" s="408"/>
      <c r="HAJ49" s="408"/>
      <c r="HAK49" s="408"/>
      <c r="HAL49" s="408"/>
      <c r="HAM49" s="408"/>
      <c r="HAN49" s="408"/>
      <c r="HAO49" s="408"/>
      <c r="HAP49" s="408"/>
      <c r="HAQ49" s="408"/>
      <c r="HAR49" s="408"/>
      <c r="HAS49" s="408"/>
      <c r="HAT49" s="408"/>
      <c r="HAU49" s="408"/>
      <c r="HAV49" s="408"/>
      <c r="HAW49" s="408"/>
      <c r="HAX49" s="408"/>
      <c r="HAY49" s="408"/>
      <c r="HAZ49" s="408"/>
      <c r="HBA49" s="408"/>
      <c r="HBB49" s="408"/>
      <c r="HBC49" s="408"/>
      <c r="HBD49" s="408"/>
      <c r="HBE49" s="408"/>
      <c r="HBF49" s="408"/>
      <c r="HBG49" s="408"/>
      <c r="HBH49" s="408"/>
      <c r="HBI49" s="408"/>
      <c r="HBJ49" s="408"/>
      <c r="HBK49" s="408"/>
      <c r="HBL49" s="408"/>
      <c r="HBM49" s="408"/>
      <c r="HBN49" s="408"/>
      <c r="HBO49" s="408"/>
      <c r="HBP49" s="408"/>
      <c r="HBQ49" s="408"/>
      <c r="HBR49" s="408"/>
      <c r="HBS49" s="408"/>
      <c r="HBT49" s="408"/>
      <c r="HBU49" s="408"/>
      <c r="HBV49" s="408"/>
      <c r="HBW49" s="408"/>
      <c r="HBX49" s="408"/>
      <c r="HBY49" s="408"/>
      <c r="HBZ49" s="408"/>
      <c r="HCA49" s="408"/>
      <c r="HCB49" s="408"/>
      <c r="HCC49" s="408"/>
      <c r="HCD49" s="408"/>
      <c r="HCE49" s="408"/>
      <c r="HCF49" s="408"/>
      <c r="HCG49" s="408"/>
      <c r="HCH49" s="408"/>
      <c r="HCI49" s="408"/>
      <c r="HCJ49" s="408"/>
      <c r="HCK49" s="408"/>
      <c r="HCL49" s="408"/>
      <c r="HCM49" s="408"/>
      <c r="HCN49" s="408"/>
      <c r="HCO49" s="408"/>
      <c r="HCP49" s="408"/>
      <c r="HCQ49" s="408"/>
      <c r="HCR49" s="408"/>
      <c r="HCS49" s="408"/>
      <c r="HCT49" s="408"/>
      <c r="HCU49" s="408"/>
      <c r="HCV49" s="408"/>
      <c r="HCW49" s="408"/>
      <c r="HCX49" s="408"/>
      <c r="HCY49" s="408"/>
      <c r="HCZ49" s="408"/>
      <c r="HDA49" s="408"/>
      <c r="HDB49" s="408"/>
      <c r="HDC49" s="408"/>
      <c r="HDD49" s="408"/>
      <c r="HDE49" s="408"/>
      <c r="HDF49" s="408"/>
      <c r="HDG49" s="408"/>
      <c r="HDH49" s="408"/>
      <c r="HDI49" s="408"/>
      <c r="HDJ49" s="408"/>
      <c r="HDK49" s="408"/>
      <c r="HDL49" s="408"/>
      <c r="HDM49" s="408"/>
      <c r="HDN49" s="408"/>
      <c r="HDO49" s="408"/>
      <c r="HDP49" s="408"/>
      <c r="HDQ49" s="408"/>
      <c r="HDR49" s="408"/>
      <c r="HDS49" s="408"/>
      <c r="HDT49" s="408"/>
      <c r="HDU49" s="408"/>
      <c r="HDV49" s="408"/>
      <c r="HDW49" s="408"/>
      <c r="HDX49" s="408"/>
      <c r="HDY49" s="408"/>
      <c r="HDZ49" s="408"/>
      <c r="HEA49" s="408"/>
      <c r="HEB49" s="408"/>
      <c r="HEC49" s="408"/>
      <c r="HED49" s="408"/>
      <c r="HEE49" s="408"/>
      <c r="HEF49" s="408"/>
      <c r="HEG49" s="408"/>
      <c r="HEH49" s="408"/>
      <c r="HEI49" s="408"/>
      <c r="HEJ49" s="408"/>
      <c r="HEK49" s="408"/>
      <c r="HEL49" s="408"/>
      <c r="HEM49" s="408"/>
      <c r="HEN49" s="408"/>
      <c r="HEO49" s="408"/>
      <c r="HEP49" s="408"/>
      <c r="HEQ49" s="408"/>
      <c r="HER49" s="408"/>
      <c r="HES49" s="408"/>
      <c r="HET49" s="408"/>
      <c r="HEU49" s="408"/>
      <c r="HEV49" s="408"/>
      <c r="HEW49" s="408"/>
      <c r="HEX49" s="408"/>
      <c r="HEY49" s="408"/>
      <c r="HEZ49" s="408"/>
      <c r="HFA49" s="408"/>
      <c r="HFB49" s="408"/>
      <c r="HFC49" s="408"/>
      <c r="HFD49" s="408"/>
      <c r="HFE49" s="408"/>
      <c r="HFF49" s="408"/>
      <c r="HFG49" s="408"/>
      <c r="HFH49" s="408"/>
      <c r="HFI49" s="408"/>
      <c r="HFJ49" s="408"/>
      <c r="HFK49" s="408"/>
      <c r="HFL49" s="408"/>
      <c r="HFM49" s="408"/>
      <c r="HFN49" s="408"/>
      <c r="HFO49" s="408"/>
      <c r="HFP49" s="408"/>
      <c r="HFQ49" s="408"/>
      <c r="HFR49" s="408"/>
      <c r="HFS49" s="408"/>
      <c r="HFT49" s="408"/>
      <c r="HFU49" s="408"/>
      <c r="HFV49" s="408"/>
      <c r="HFW49" s="408"/>
      <c r="HFX49" s="408"/>
      <c r="HFY49" s="408"/>
      <c r="HFZ49" s="408"/>
      <c r="HGA49" s="408"/>
      <c r="HGB49" s="408"/>
      <c r="HGC49" s="408"/>
      <c r="HGD49" s="408"/>
      <c r="HGE49" s="408"/>
      <c r="HGF49" s="408"/>
      <c r="HGG49" s="408"/>
      <c r="HGH49" s="408"/>
      <c r="HGI49" s="408"/>
      <c r="HGJ49" s="408"/>
      <c r="HGK49" s="408"/>
      <c r="HGL49" s="408"/>
      <c r="HGM49" s="408"/>
      <c r="HGN49" s="408"/>
      <c r="HGO49" s="408"/>
      <c r="HGP49" s="408"/>
      <c r="HGQ49" s="408"/>
      <c r="HGR49" s="408"/>
      <c r="HGS49" s="408"/>
      <c r="HGT49" s="408"/>
      <c r="HGU49" s="408"/>
      <c r="HGV49" s="408"/>
      <c r="HGW49" s="408"/>
      <c r="HGX49" s="408"/>
      <c r="HGY49" s="408"/>
      <c r="HGZ49" s="408"/>
      <c r="HHA49" s="408"/>
      <c r="HHB49" s="408"/>
      <c r="HHC49" s="408"/>
      <c r="HHD49" s="408"/>
      <c r="HHE49" s="408"/>
      <c r="HHF49" s="408"/>
      <c r="HHG49" s="408"/>
      <c r="HHH49" s="408"/>
      <c r="HHI49" s="408"/>
      <c r="HHJ49" s="408"/>
      <c r="HHK49" s="408"/>
      <c r="HHL49" s="408"/>
      <c r="HHM49" s="408"/>
      <c r="HHN49" s="408"/>
      <c r="HHO49" s="408"/>
      <c r="HHP49" s="408"/>
      <c r="HHQ49" s="408"/>
      <c r="HHR49" s="408"/>
      <c r="HHS49" s="408"/>
      <c r="HHT49" s="408"/>
      <c r="HHU49" s="408"/>
      <c r="HHV49" s="408"/>
      <c r="HHW49" s="408"/>
      <c r="HHX49" s="408"/>
      <c r="HHY49" s="408"/>
      <c r="HHZ49" s="408"/>
      <c r="HIA49" s="408"/>
      <c r="HIB49" s="408"/>
      <c r="HIC49" s="408"/>
      <c r="HID49" s="408"/>
      <c r="HIE49" s="408"/>
      <c r="HIF49" s="408"/>
      <c r="HIG49" s="408"/>
      <c r="HIH49" s="408"/>
      <c r="HII49" s="408"/>
      <c r="HIJ49" s="408"/>
      <c r="HIK49" s="408"/>
      <c r="HIL49" s="408"/>
      <c r="HIM49" s="408"/>
      <c r="HIN49" s="408"/>
      <c r="HIO49" s="408"/>
      <c r="HIP49" s="408"/>
      <c r="HIQ49" s="408"/>
      <c r="HIR49" s="408"/>
      <c r="HIS49" s="408"/>
      <c r="HIT49" s="408"/>
      <c r="HIU49" s="408"/>
      <c r="HIV49" s="408"/>
      <c r="HIW49" s="408"/>
      <c r="HIX49" s="408"/>
      <c r="HIY49" s="408"/>
      <c r="HIZ49" s="408"/>
      <c r="HJA49" s="408"/>
      <c r="HJB49" s="408"/>
      <c r="HJC49" s="408"/>
      <c r="HJD49" s="408"/>
      <c r="HJE49" s="408"/>
      <c r="HJF49" s="408"/>
      <c r="HJG49" s="408"/>
      <c r="HJH49" s="408"/>
      <c r="HJI49" s="408"/>
      <c r="HJJ49" s="408"/>
      <c r="HJK49" s="408"/>
      <c r="HJL49" s="408"/>
      <c r="HJM49" s="408"/>
      <c r="HJN49" s="408"/>
      <c r="HJO49" s="408"/>
      <c r="HJP49" s="408"/>
      <c r="HJQ49" s="408"/>
      <c r="HJR49" s="408"/>
      <c r="HJS49" s="408"/>
      <c r="HJT49" s="408"/>
      <c r="HJU49" s="408"/>
      <c r="HJV49" s="408"/>
      <c r="HJW49" s="408"/>
      <c r="HJX49" s="408"/>
      <c r="HJY49" s="408"/>
      <c r="HJZ49" s="408"/>
      <c r="HKA49" s="408"/>
      <c r="HKB49" s="408"/>
      <c r="HKC49" s="408"/>
      <c r="HKD49" s="408"/>
      <c r="HKE49" s="408"/>
      <c r="HKF49" s="408"/>
      <c r="HKG49" s="408"/>
      <c r="HKH49" s="408"/>
      <c r="HKI49" s="408"/>
      <c r="HKJ49" s="408"/>
      <c r="HKK49" s="408"/>
      <c r="HKL49" s="408"/>
      <c r="HKM49" s="408"/>
      <c r="HKN49" s="408"/>
      <c r="HKO49" s="408"/>
      <c r="HKP49" s="408"/>
      <c r="HKQ49" s="408"/>
      <c r="HKR49" s="408"/>
      <c r="HKS49" s="408"/>
      <c r="HKT49" s="408"/>
      <c r="HKU49" s="408"/>
      <c r="HKV49" s="408"/>
      <c r="HKW49" s="408"/>
      <c r="HKX49" s="408"/>
      <c r="HKY49" s="408"/>
      <c r="HKZ49" s="408"/>
      <c r="HLA49" s="408"/>
      <c r="HLB49" s="408"/>
      <c r="HLC49" s="408"/>
      <c r="HLD49" s="408"/>
      <c r="HLE49" s="408"/>
      <c r="HLF49" s="408"/>
      <c r="HLG49" s="408"/>
      <c r="HLH49" s="408"/>
      <c r="HLI49" s="408"/>
      <c r="HLJ49" s="408"/>
      <c r="HLK49" s="408"/>
      <c r="HLL49" s="408"/>
      <c r="HLM49" s="408"/>
      <c r="HLN49" s="408"/>
      <c r="HLO49" s="408"/>
      <c r="HLP49" s="408"/>
      <c r="HLQ49" s="408"/>
      <c r="HLR49" s="408"/>
      <c r="HLS49" s="408"/>
      <c r="HLT49" s="408"/>
      <c r="HLU49" s="408"/>
      <c r="HLV49" s="408"/>
      <c r="HLW49" s="408"/>
      <c r="HLX49" s="408"/>
      <c r="HLY49" s="408"/>
      <c r="HLZ49" s="408"/>
      <c r="HMA49" s="408"/>
      <c r="HMB49" s="408"/>
      <c r="HMC49" s="408"/>
      <c r="HMD49" s="408"/>
      <c r="HME49" s="408"/>
      <c r="HMF49" s="408"/>
      <c r="HMG49" s="408"/>
      <c r="HMH49" s="408"/>
      <c r="HMI49" s="408"/>
      <c r="HMJ49" s="408"/>
      <c r="HMK49" s="408"/>
      <c r="HML49" s="408"/>
      <c r="HMM49" s="408"/>
      <c r="HMN49" s="408"/>
      <c r="HMO49" s="408"/>
      <c r="HMP49" s="408"/>
      <c r="HMQ49" s="408"/>
      <c r="HMR49" s="408"/>
      <c r="HMS49" s="408"/>
      <c r="HMT49" s="408"/>
      <c r="HMU49" s="408"/>
      <c r="HMV49" s="408"/>
      <c r="HMW49" s="408"/>
      <c r="HMX49" s="408"/>
      <c r="HMY49" s="408"/>
      <c r="HMZ49" s="408"/>
      <c r="HNA49" s="408"/>
      <c r="HNB49" s="408"/>
      <c r="HNC49" s="408"/>
      <c r="HND49" s="408"/>
      <c r="HNE49" s="408"/>
      <c r="HNF49" s="408"/>
      <c r="HNG49" s="408"/>
      <c r="HNH49" s="408"/>
      <c r="HNI49" s="408"/>
      <c r="HNJ49" s="408"/>
      <c r="HNK49" s="408"/>
      <c r="HNL49" s="408"/>
      <c r="HNM49" s="408"/>
      <c r="HNN49" s="408"/>
      <c r="HNO49" s="408"/>
      <c r="HNP49" s="408"/>
      <c r="HNQ49" s="408"/>
      <c r="HNR49" s="408"/>
      <c r="HNS49" s="408"/>
      <c r="HNT49" s="408"/>
      <c r="HNU49" s="408"/>
      <c r="HNV49" s="408"/>
      <c r="HNW49" s="408"/>
      <c r="HNX49" s="408"/>
      <c r="HNY49" s="408"/>
      <c r="HNZ49" s="408"/>
      <c r="HOA49" s="408"/>
      <c r="HOB49" s="408"/>
      <c r="HOC49" s="408"/>
      <c r="HOD49" s="408"/>
      <c r="HOE49" s="408"/>
      <c r="HOF49" s="408"/>
      <c r="HOG49" s="408"/>
      <c r="HOH49" s="408"/>
      <c r="HOI49" s="408"/>
      <c r="HOJ49" s="408"/>
      <c r="HOK49" s="408"/>
      <c r="HOL49" s="408"/>
      <c r="HOM49" s="408"/>
      <c r="HON49" s="408"/>
      <c r="HOO49" s="408"/>
      <c r="HOP49" s="408"/>
      <c r="HOQ49" s="408"/>
      <c r="HOR49" s="408"/>
      <c r="HOS49" s="408"/>
      <c r="HOT49" s="408"/>
      <c r="HOU49" s="408"/>
      <c r="HOV49" s="408"/>
      <c r="HOW49" s="408"/>
      <c r="HOX49" s="408"/>
      <c r="HOY49" s="408"/>
      <c r="HOZ49" s="408"/>
      <c r="HPA49" s="408"/>
      <c r="HPB49" s="408"/>
      <c r="HPC49" s="408"/>
      <c r="HPD49" s="408"/>
      <c r="HPE49" s="408"/>
      <c r="HPF49" s="408"/>
      <c r="HPG49" s="408"/>
      <c r="HPH49" s="408"/>
      <c r="HPI49" s="408"/>
      <c r="HPJ49" s="408"/>
      <c r="HPK49" s="408"/>
      <c r="HPL49" s="408"/>
      <c r="HPM49" s="408"/>
      <c r="HPN49" s="408"/>
      <c r="HPO49" s="408"/>
      <c r="HPP49" s="408"/>
      <c r="HPQ49" s="408"/>
      <c r="HPR49" s="408"/>
      <c r="HPS49" s="408"/>
      <c r="HPT49" s="408"/>
      <c r="HPU49" s="408"/>
      <c r="HPV49" s="408"/>
      <c r="HPW49" s="408"/>
      <c r="HPX49" s="408"/>
      <c r="HPY49" s="408"/>
      <c r="HPZ49" s="408"/>
      <c r="HQA49" s="408"/>
      <c r="HQB49" s="408"/>
      <c r="HQC49" s="408"/>
      <c r="HQD49" s="408"/>
      <c r="HQE49" s="408"/>
      <c r="HQF49" s="408"/>
      <c r="HQG49" s="408"/>
      <c r="HQH49" s="408"/>
      <c r="HQI49" s="408"/>
      <c r="HQJ49" s="408"/>
      <c r="HQK49" s="408"/>
      <c r="HQL49" s="408"/>
      <c r="HQM49" s="408"/>
      <c r="HQN49" s="408"/>
      <c r="HQO49" s="408"/>
      <c r="HQP49" s="408"/>
      <c r="HQQ49" s="408"/>
      <c r="HQR49" s="408"/>
      <c r="HQS49" s="408"/>
      <c r="HQT49" s="408"/>
      <c r="HQU49" s="408"/>
      <c r="HQV49" s="408"/>
      <c r="HQW49" s="408"/>
      <c r="HQX49" s="408"/>
      <c r="HQY49" s="408"/>
      <c r="HQZ49" s="408"/>
      <c r="HRA49" s="408"/>
      <c r="HRB49" s="408"/>
      <c r="HRC49" s="408"/>
      <c r="HRD49" s="408"/>
      <c r="HRE49" s="408"/>
      <c r="HRF49" s="408"/>
      <c r="HRG49" s="408"/>
      <c r="HRH49" s="408"/>
      <c r="HRI49" s="408"/>
      <c r="HRJ49" s="408"/>
      <c r="HRK49" s="408"/>
      <c r="HRL49" s="408"/>
      <c r="HRM49" s="408"/>
      <c r="HRN49" s="408"/>
      <c r="HRO49" s="408"/>
      <c r="HRP49" s="408"/>
      <c r="HRQ49" s="408"/>
      <c r="HRR49" s="408"/>
      <c r="HRS49" s="408"/>
      <c r="HRT49" s="408"/>
      <c r="HRU49" s="408"/>
      <c r="HRV49" s="408"/>
      <c r="HRW49" s="408"/>
      <c r="HRX49" s="408"/>
      <c r="HRY49" s="408"/>
      <c r="HRZ49" s="408"/>
      <c r="HSA49" s="408"/>
      <c r="HSB49" s="408"/>
      <c r="HSC49" s="408"/>
      <c r="HSD49" s="408"/>
      <c r="HSE49" s="408"/>
      <c r="HSF49" s="408"/>
      <c r="HSG49" s="408"/>
      <c r="HSH49" s="408"/>
      <c r="HSI49" s="408"/>
      <c r="HSJ49" s="408"/>
      <c r="HSK49" s="408"/>
      <c r="HSL49" s="408"/>
      <c r="HSM49" s="408"/>
      <c r="HSN49" s="408"/>
      <c r="HSO49" s="408"/>
      <c r="HSP49" s="408"/>
      <c r="HSQ49" s="408"/>
      <c r="HSR49" s="408"/>
      <c r="HSS49" s="408"/>
      <c r="HST49" s="408"/>
      <c r="HSU49" s="408"/>
      <c r="HSV49" s="408"/>
      <c r="HSW49" s="408"/>
      <c r="HSX49" s="408"/>
      <c r="HSY49" s="408"/>
      <c r="HSZ49" s="408"/>
      <c r="HTA49" s="408"/>
      <c r="HTB49" s="408"/>
      <c r="HTC49" s="408"/>
      <c r="HTD49" s="408"/>
      <c r="HTE49" s="408"/>
      <c r="HTF49" s="408"/>
      <c r="HTG49" s="408"/>
      <c r="HTH49" s="408"/>
      <c r="HTI49" s="408"/>
      <c r="HTJ49" s="408"/>
      <c r="HTK49" s="408"/>
      <c r="HTL49" s="408"/>
      <c r="HTM49" s="408"/>
      <c r="HTN49" s="408"/>
      <c r="HTO49" s="408"/>
      <c r="HTP49" s="408"/>
      <c r="HTQ49" s="408"/>
      <c r="HTR49" s="408"/>
      <c r="HTS49" s="408"/>
      <c r="HTT49" s="408"/>
      <c r="HTU49" s="408"/>
      <c r="HTV49" s="408"/>
      <c r="HTW49" s="408"/>
      <c r="HTX49" s="408"/>
      <c r="HTY49" s="408"/>
      <c r="HTZ49" s="408"/>
      <c r="HUA49" s="408"/>
      <c r="HUB49" s="408"/>
      <c r="HUC49" s="408"/>
      <c r="HUD49" s="408"/>
      <c r="HUE49" s="408"/>
      <c r="HUF49" s="408"/>
      <c r="HUG49" s="408"/>
      <c r="HUH49" s="408"/>
      <c r="HUI49" s="408"/>
      <c r="HUJ49" s="408"/>
      <c r="HUK49" s="408"/>
      <c r="HUL49" s="408"/>
      <c r="HUM49" s="408"/>
      <c r="HUN49" s="408"/>
      <c r="HUO49" s="408"/>
      <c r="HUP49" s="408"/>
      <c r="HUQ49" s="408"/>
      <c r="HUR49" s="408"/>
      <c r="HUS49" s="408"/>
      <c r="HUT49" s="408"/>
      <c r="HUU49" s="408"/>
      <c r="HUV49" s="408"/>
      <c r="HUW49" s="408"/>
      <c r="HUX49" s="408"/>
      <c r="HUY49" s="408"/>
      <c r="HUZ49" s="408"/>
      <c r="HVA49" s="408"/>
      <c r="HVB49" s="408"/>
      <c r="HVC49" s="408"/>
      <c r="HVD49" s="408"/>
      <c r="HVE49" s="408"/>
      <c r="HVF49" s="408"/>
      <c r="HVG49" s="408"/>
      <c r="HVH49" s="408"/>
      <c r="HVI49" s="408"/>
      <c r="HVJ49" s="408"/>
      <c r="HVK49" s="408"/>
      <c r="HVL49" s="408"/>
      <c r="HVM49" s="408"/>
      <c r="HVN49" s="408"/>
      <c r="HVO49" s="408"/>
      <c r="HVP49" s="408"/>
      <c r="HVQ49" s="408"/>
      <c r="HVR49" s="408"/>
      <c r="HVS49" s="408"/>
      <c r="HVT49" s="408"/>
      <c r="HVU49" s="408"/>
      <c r="HVV49" s="408"/>
      <c r="HVW49" s="408"/>
      <c r="HVX49" s="408"/>
      <c r="HVY49" s="408"/>
      <c r="HVZ49" s="408"/>
      <c r="HWA49" s="408"/>
      <c r="HWB49" s="408"/>
      <c r="HWC49" s="408"/>
      <c r="HWD49" s="408"/>
      <c r="HWE49" s="408"/>
      <c r="HWF49" s="408"/>
      <c r="HWG49" s="408"/>
      <c r="HWH49" s="408"/>
      <c r="HWI49" s="408"/>
      <c r="HWJ49" s="408"/>
      <c r="HWK49" s="408"/>
      <c r="HWL49" s="408"/>
      <c r="HWM49" s="408"/>
      <c r="HWN49" s="408"/>
      <c r="HWO49" s="408"/>
      <c r="HWP49" s="408"/>
      <c r="HWQ49" s="408"/>
      <c r="HWR49" s="408"/>
      <c r="HWS49" s="408"/>
      <c r="HWT49" s="408"/>
      <c r="HWU49" s="408"/>
      <c r="HWV49" s="408"/>
      <c r="HWW49" s="408"/>
      <c r="HWX49" s="408"/>
      <c r="HWY49" s="408"/>
      <c r="HWZ49" s="408"/>
      <c r="HXA49" s="408"/>
      <c r="HXB49" s="408"/>
      <c r="HXC49" s="408"/>
      <c r="HXD49" s="408"/>
      <c r="HXE49" s="408"/>
      <c r="HXF49" s="408"/>
      <c r="HXG49" s="408"/>
      <c r="HXH49" s="408"/>
      <c r="HXI49" s="408"/>
      <c r="HXJ49" s="408"/>
      <c r="HXK49" s="408"/>
      <c r="HXL49" s="408"/>
      <c r="HXM49" s="408"/>
      <c r="HXN49" s="408"/>
      <c r="HXO49" s="408"/>
      <c r="HXP49" s="408"/>
      <c r="HXQ49" s="408"/>
      <c r="HXR49" s="408"/>
      <c r="HXS49" s="408"/>
      <c r="HXT49" s="408"/>
      <c r="HXU49" s="408"/>
      <c r="HXV49" s="408"/>
      <c r="HXW49" s="408"/>
      <c r="HXX49" s="408"/>
      <c r="HXY49" s="408"/>
      <c r="HXZ49" s="408"/>
      <c r="HYA49" s="408"/>
      <c r="HYB49" s="408"/>
      <c r="HYC49" s="408"/>
      <c r="HYD49" s="408"/>
      <c r="HYE49" s="408"/>
      <c r="HYF49" s="408"/>
      <c r="HYG49" s="408"/>
      <c r="HYH49" s="408"/>
      <c r="HYI49" s="408"/>
      <c r="HYJ49" s="408"/>
      <c r="HYK49" s="408"/>
      <c r="HYL49" s="408"/>
      <c r="HYM49" s="408"/>
      <c r="HYN49" s="408"/>
      <c r="HYO49" s="408"/>
      <c r="HYP49" s="408"/>
      <c r="HYQ49" s="408"/>
      <c r="HYR49" s="408"/>
      <c r="HYS49" s="408"/>
      <c r="HYT49" s="408"/>
      <c r="HYU49" s="408"/>
      <c r="HYV49" s="408"/>
      <c r="HYW49" s="408"/>
      <c r="HYX49" s="408"/>
      <c r="HYY49" s="408"/>
      <c r="HYZ49" s="408"/>
      <c r="HZA49" s="408"/>
      <c r="HZB49" s="408"/>
      <c r="HZC49" s="408"/>
      <c r="HZD49" s="408"/>
      <c r="HZE49" s="408"/>
      <c r="HZF49" s="408"/>
      <c r="HZG49" s="408"/>
      <c r="HZH49" s="408"/>
      <c r="HZI49" s="408"/>
      <c r="HZJ49" s="408"/>
      <c r="HZK49" s="408"/>
      <c r="HZL49" s="408"/>
      <c r="HZM49" s="408"/>
      <c r="HZN49" s="408"/>
      <c r="HZO49" s="408"/>
      <c r="HZP49" s="408"/>
      <c r="HZQ49" s="408"/>
      <c r="HZR49" s="408"/>
      <c r="HZS49" s="408"/>
      <c r="HZT49" s="408"/>
      <c r="HZU49" s="408"/>
      <c r="HZV49" s="408"/>
      <c r="HZW49" s="408"/>
      <c r="HZX49" s="408"/>
      <c r="HZY49" s="408"/>
      <c r="HZZ49" s="408"/>
      <c r="IAA49" s="408"/>
      <c r="IAB49" s="408"/>
      <c r="IAC49" s="408"/>
      <c r="IAD49" s="408"/>
      <c r="IAE49" s="408"/>
      <c r="IAF49" s="408"/>
      <c r="IAG49" s="408"/>
      <c r="IAH49" s="408"/>
      <c r="IAI49" s="408"/>
      <c r="IAJ49" s="408"/>
      <c r="IAK49" s="408"/>
      <c r="IAL49" s="408"/>
      <c r="IAM49" s="408"/>
      <c r="IAN49" s="408"/>
      <c r="IAO49" s="408"/>
      <c r="IAP49" s="408"/>
      <c r="IAQ49" s="408"/>
      <c r="IAR49" s="408"/>
      <c r="IAS49" s="408"/>
      <c r="IAT49" s="408"/>
      <c r="IAU49" s="408"/>
      <c r="IAV49" s="408"/>
      <c r="IAW49" s="408"/>
      <c r="IAX49" s="408"/>
      <c r="IAY49" s="408"/>
      <c r="IAZ49" s="408"/>
      <c r="IBA49" s="408"/>
      <c r="IBB49" s="408"/>
      <c r="IBC49" s="408"/>
      <c r="IBD49" s="408"/>
      <c r="IBE49" s="408"/>
      <c r="IBF49" s="408"/>
      <c r="IBG49" s="408"/>
      <c r="IBH49" s="408"/>
      <c r="IBI49" s="408"/>
      <c r="IBJ49" s="408"/>
      <c r="IBK49" s="408"/>
      <c r="IBL49" s="408"/>
      <c r="IBM49" s="408"/>
      <c r="IBN49" s="408"/>
      <c r="IBO49" s="408"/>
      <c r="IBP49" s="408"/>
      <c r="IBQ49" s="408"/>
      <c r="IBR49" s="408"/>
      <c r="IBS49" s="408"/>
      <c r="IBT49" s="408"/>
      <c r="IBU49" s="408"/>
      <c r="IBV49" s="408"/>
      <c r="IBW49" s="408"/>
      <c r="IBX49" s="408"/>
      <c r="IBY49" s="408"/>
      <c r="IBZ49" s="408"/>
      <c r="ICA49" s="408"/>
      <c r="ICB49" s="408"/>
      <c r="ICC49" s="408"/>
      <c r="ICD49" s="408"/>
      <c r="ICE49" s="408"/>
      <c r="ICF49" s="408"/>
      <c r="ICG49" s="408"/>
      <c r="ICH49" s="408"/>
      <c r="ICI49" s="408"/>
      <c r="ICJ49" s="408"/>
      <c r="ICK49" s="408"/>
      <c r="ICL49" s="408"/>
      <c r="ICM49" s="408"/>
      <c r="ICN49" s="408"/>
      <c r="ICO49" s="408"/>
      <c r="ICP49" s="408"/>
      <c r="ICQ49" s="408"/>
      <c r="ICR49" s="408"/>
      <c r="ICS49" s="408"/>
      <c r="ICT49" s="408"/>
      <c r="ICU49" s="408"/>
      <c r="ICV49" s="408"/>
      <c r="ICW49" s="408"/>
      <c r="ICX49" s="408"/>
      <c r="ICY49" s="408"/>
      <c r="ICZ49" s="408"/>
      <c r="IDA49" s="408"/>
      <c r="IDB49" s="408"/>
      <c r="IDC49" s="408"/>
      <c r="IDD49" s="408"/>
      <c r="IDE49" s="408"/>
      <c r="IDF49" s="408"/>
      <c r="IDG49" s="408"/>
      <c r="IDH49" s="408"/>
      <c r="IDI49" s="408"/>
      <c r="IDJ49" s="408"/>
      <c r="IDK49" s="408"/>
      <c r="IDL49" s="408"/>
      <c r="IDM49" s="408"/>
      <c r="IDN49" s="408"/>
      <c r="IDO49" s="408"/>
      <c r="IDP49" s="408"/>
      <c r="IDQ49" s="408"/>
      <c r="IDR49" s="408"/>
      <c r="IDS49" s="408"/>
      <c r="IDT49" s="408"/>
      <c r="IDU49" s="408"/>
      <c r="IDV49" s="408"/>
      <c r="IDW49" s="408"/>
      <c r="IDX49" s="408"/>
      <c r="IDY49" s="408"/>
      <c r="IDZ49" s="408"/>
      <c r="IEA49" s="408"/>
      <c r="IEB49" s="408"/>
      <c r="IEC49" s="408"/>
      <c r="IED49" s="408"/>
      <c r="IEE49" s="408"/>
      <c r="IEF49" s="408"/>
      <c r="IEG49" s="408"/>
      <c r="IEH49" s="408"/>
      <c r="IEI49" s="408"/>
      <c r="IEJ49" s="408"/>
      <c r="IEK49" s="408"/>
      <c r="IEL49" s="408"/>
      <c r="IEM49" s="408"/>
      <c r="IEN49" s="408"/>
      <c r="IEO49" s="408"/>
      <c r="IEP49" s="408"/>
      <c r="IEQ49" s="408"/>
      <c r="IER49" s="408"/>
      <c r="IES49" s="408"/>
      <c r="IET49" s="408"/>
      <c r="IEU49" s="408"/>
      <c r="IEV49" s="408"/>
      <c r="IEW49" s="408"/>
      <c r="IEX49" s="408"/>
      <c r="IEY49" s="408"/>
      <c r="IEZ49" s="408"/>
      <c r="IFA49" s="408"/>
      <c r="IFB49" s="408"/>
      <c r="IFC49" s="408"/>
      <c r="IFD49" s="408"/>
      <c r="IFE49" s="408"/>
      <c r="IFF49" s="408"/>
      <c r="IFG49" s="408"/>
      <c r="IFH49" s="408"/>
      <c r="IFI49" s="408"/>
      <c r="IFJ49" s="408"/>
      <c r="IFK49" s="408"/>
      <c r="IFL49" s="408"/>
      <c r="IFM49" s="408"/>
      <c r="IFN49" s="408"/>
      <c r="IFO49" s="408"/>
      <c r="IFP49" s="408"/>
      <c r="IFQ49" s="408"/>
      <c r="IFR49" s="408"/>
      <c r="IFS49" s="408"/>
      <c r="IFT49" s="408"/>
      <c r="IFU49" s="408"/>
      <c r="IFV49" s="408"/>
      <c r="IFW49" s="408"/>
      <c r="IFX49" s="408"/>
      <c r="IFY49" s="408"/>
      <c r="IFZ49" s="408"/>
      <c r="IGA49" s="408"/>
      <c r="IGB49" s="408"/>
      <c r="IGC49" s="408"/>
      <c r="IGD49" s="408"/>
      <c r="IGE49" s="408"/>
      <c r="IGF49" s="408"/>
      <c r="IGG49" s="408"/>
      <c r="IGH49" s="408"/>
      <c r="IGI49" s="408"/>
      <c r="IGJ49" s="408"/>
      <c r="IGK49" s="408"/>
      <c r="IGL49" s="408"/>
      <c r="IGM49" s="408"/>
      <c r="IGN49" s="408"/>
      <c r="IGO49" s="408"/>
      <c r="IGP49" s="408"/>
      <c r="IGQ49" s="408"/>
      <c r="IGR49" s="408"/>
      <c r="IGS49" s="408"/>
      <c r="IGT49" s="408"/>
      <c r="IGU49" s="408"/>
      <c r="IGV49" s="408"/>
      <c r="IGW49" s="408"/>
      <c r="IGX49" s="408"/>
      <c r="IGY49" s="408"/>
      <c r="IGZ49" s="408"/>
      <c r="IHA49" s="408"/>
      <c r="IHB49" s="408"/>
      <c r="IHC49" s="408"/>
      <c r="IHD49" s="408"/>
      <c r="IHE49" s="408"/>
      <c r="IHF49" s="408"/>
      <c r="IHG49" s="408"/>
      <c r="IHH49" s="408"/>
      <c r="IHI49" s="408"/>
      <c r="IHJ49" s="408"/>
      <c r="IHK49" s="408"/>
      <c r="IHL49" s="408"/>
      <c r="IHM49" s="408"/>
      <c r="IHN49" s="408"/>
      <c r="IHO49" s="408"/>
      <c r="IHP49" s="408"/>
      <c r="IHQ49" s="408"/>
      <c r="IHR49" s="408"/>
      <c r="IHS49" s="408"/>
      <c r="IHT49" s="408"/>
      <c r="IHU49" s="408"/>
      <c r="IHV49" s="408"/>
      <c r="IHW49" s="408"/>
      <c r="IHX49" s="408"/>
      <c r="IHY49" s="408"/>
      <c r="IHZ49" s="408"/>
      <c r="IIA49" s="408"/>
      <c r="IIB49" s="408"/>
      <c r="IIC49" s="408"/>
      <c r="IID49" s="408"/>
      <c r="IIE49" s="408"/>
      <c r="IIF49" s="408"/>
      <c r="IIG49" s="408"/>
      <c r="IIH49" s="408"/>
      <c r="III49" s="408"/>
      <c r="IIJ49" s="408"/>
      <c r="IIK49" s="408"/>
      <c r="IIL49" s="408"/>
      <c r="IIM49" s="408"/>
      <c r="IIN49" s="408"/>
      <c r="IIO49" s="408"/>
      <c r="IIP49" s="408"/>
      <c r="IIQ49" s="408"/>
      <c r="IIR49" s="408"/>
      <c r="IIS49" s="408"/>
      <c r="IIT49" s="408"/>
      <c r="IIU49" s="408"/>
      <c r="IIV49" s="408"/>
      <c r="IIW49" s="408"/>
      <c r="IIX49" s="408"/>
      <c r="IIY49" s="408"/>
      <c r="IIZ49" s="408"/>
      <c r="IJA49" s="408"/>
      <c r="IJB49" s="408"/>
      <c r="IJC49" s="408"/>
      <c r="IJD49" s="408"/>
      <c r="IJE49" s="408"/>
      <c r="IJF49" s="408"/>
      <c r="IJG49" s="408"/>
      <c r="IJH49" s="408"/>
      <c r="IJI49" s="408"/>
      <c r="IJJ49" s="408"/>
      <c r="IJK49" s="408"/>
      <c r="IJL49" s="408"/>
      <c r="IJM49" s="408"/>
      <c r="IJN49" s="408"/>
      <c r="IJO49" s="408"/>
      <c r="IJP49" s="408"/>
      <c r="IJQ49" s="408"/>
      <c r="IJR49" s="408"/>
      <c r="IJS49" s="408"/>
      <c r="IJT49" s="408"/>
      <c r="IJU49" s="408"/>
      <c r="IJV49" s="408"/>
      <c r="IJW49" s="408"/>
      <c r="IJX49" s="408"/>
      <c r="IJY49" s="408"/>
      <c r="IJZ49" s="408"/>
      <c r="IKA49" s="408"/>
      <c r="IKB49" s="408"/>
      <c r="IKC49" s="408"/>
      <c r="IKD49" s="408"/>
      <c r="IKE49" s="408"/>
      <c r="IKF49" s="408"/>
      <c r="IKG49" s="408"/>
      <c r="IKH49" s="408"/>
      <c r="IKI49" s="408"/>
      <c r="IKJ49" s="408"/>
      <c r="IKK49" s="408"/>
      <c r="IKL49" s="408"/>
      <c r="IKM49" s="408"/>
      <c r="IKN49" s="408"/>
      <c r="IKO49" s="408"/>
      <c r="IKP49" s="408"/>
      <c r="IKQ49" s="408"/>
      <c r="IKR49" s="408"/>
      <c r="IKS49" s="408"/>
      <c r="IKT49" s="408"/>
      <c r="IKU49" s="408"/>
      <c r="IKV49" s="408"/>
      <c r="IKW49" s="408"/>
      <c r="IKX49" s="408"/>
      <c r="IKY49" s="408"/>
      <c r="IKZ49" s="408"/>
      <c r="ILA49" s="408"/>
      <c r="ILB49" s="408"/>
      <c r="ILC49" s="408"/>
      <c r="ILD49" s="408"/>
      <c r="ILE49" s="408"/>
      <c r="ILF49" s="408"/>
      <c r="ILG49" s="408"/>
      <c r="ILH49" s="408"/>
      <c r="ILI49" s="408"/>
      <c r="ILJ49" s="408"/>
      <c r="ILK49" s="408"/>
      <c r="ILL49" s="408"/>
      <c r="ILM49" s="408"/>
      <c r="ILN49" s="408"/>
      <c r="ILO49" s="408"/>
      <c r="ILP49" s="408"/>
      <c r="ILQ49" s="408"/>
      <c r="ILR49" s="408"/>
      <c r="ILS49" s="408"/>
      <c r="ILT49" s="408"/>
      <c r="ILU49" s="408"/>
      <c r="ILV49" s="408"/>
      <c r="ILW49" s="408"/>
      <c r="ILX49" s="408"/>
      <c r="ILY49" s="408"/>
      <c r="ILZ49" s="408"/>
      <c r="IMA49" s="408"/>
      <c r="IMB49" s="408"/>
      <c r="IMC49" s="408"/>
      <c r="IMD49" s="408"/>
      <c r="IME49" s="408"/>
      <c r="IMF49" s="408"/>
      <c r="IMG49" s="408"/>
      <c r="IMH49" s="408"/>
      <c r="IMI49" s="408"/>
      <c r="IMJ49" s="408"/>
      <c r="IMK49" s="408"/>
      <c r="IML49" s="408"/>
      <c r="IMM49" s="408"/>
      <c r="IMN49" s="408"/>
      <c r="IMO49" s="408"/>
      <c r="IMP49" s="408"/>
      <c r="IMQ49" s="408"/>
      <c r="IMR49" s="408"/>
      <c r="IMS49" s="408"/>
      <c r="IMT49" s="408"/>
      <c r="IMU49" s="408"/>
      <c r="IMV49" s="408"/>
      <c r="IMW49" s="408"/>
      <c r="IMX49" s="408"/>
      <c r="IMY49" s="408"/>
      <c r="IMZ49" s="408"/>
      <c r="INA49" s="408"/>
      <c r="INB49" s="408"/>
      <c r="INC49" s="408"/>
      <c r="IND49" s="408"/>
      <c r="INE49" s="408"/>
      <c r="INF49" s="408"/>
      <c r="ING49" s="408"/>
      <c r="INH49" s="408"/>
      <c r="INI49" s="408"/>
      <c r="INJ49" s="408"/>
      <c r="INK49" s="408"/>
      <c r="INL49" s="408"/>
      <c r="INM49" s="408"/>
      <c r="INN49" s="408"/>
      <c r="INO49" s="408"/>
      <c r="INP49" s="408"/>
      <c r="INQ49" s="408"/>
      <c r="INR49" s="408"/>
      <c r="INS49" s="408"/>
      <c r="INT49" s="408"/>
      <c r="INU49" s="408"/>
      <c r="INV49" s="408"/>
      <c r="INW49" s="408"/>
      <c r="INX49" s="408"/>
      <c r="INY49" s="408"/>
      <c r="INZ49" s="408"/>
      <c r="IOA49" s="408"/>
      <c r="IOB49" s="408"/>
      <c r="IOC49" s="408"/>
      <c r="IOD49" s="408"/>
      <c r="IOE49" s="408"/>
      <c r="IOF49" s="408"/>
      <c r="IOG49" s="408"/>
      <c r="IOH49" s="408"/>
      <c r="IOI49" s="408"/>
      <c r="IOJ49" s="408"/>
      <c r="IOK49" s="408"/>
      <c r="IOL49" s="408"/>
      <c r="IOM49" s="408"/>
      <c r="ION49" s="408"/>
      <c r="IOO49" s="408"/>
      <c r="IOP49" s="408"/>
      <c r="IOQ49" s="408"/>
      <c r="IOR49" s="408"/>
      <c r="IOS49" s="408"/>
      <c r="IOT49" s="408"/>
      <c r="IOU49" s="408"/>
      <c r="IOV49" s="408"/>
      <c r="IOW49" s="408"/>
      <c r="IOX49" s="408"/>
      <c r="IOY49" s="408"/>
      <c r="IOZ49" s="408"/>
      <c r="IPA49" s="408"/>
      <c r="IPB49" s="408"/>
      <c r="IPC49" s="408"/>
      <c r="IPD49" s="408"/>
      <c r="IPE49" s="408"/>
      <c r="IPF49" s="408"/>
      <c r="IPG49" s="408"/>
      <c r="IPH49" s="408"/>
      <c r="IPI49" s="408"/>
      <c r="IPJ49" s="408"/>
      <c r="IPK49" s="408"/>
      <c r="IPL49" s="408"/>
      <c r="IPM49" s="408"/>
      <c r="IPN49" s="408"/>
      <c r="IPO49" s="408"/>
      <c r="IPP49" s="408"/>
      <c r="IPQ49" s="408"/>
      <c r="IPR49" s="408"/>
      <c r="IPS49" s="408"/>
      <c r="IPT49" s="408"/>
      <c r="IPU49" s="408"/>
      <c r="IPV49" s="408"/>
      <c r="IPW49" s="408"/>
      <c r="IPX49" s="408"/>
      <c r="IPY49" s="408"/>
      <c r="IPZ49" s="408"/>
      <c r="IQA49" s="408"/>
      <c r="IQB49" s="408"/>
      <c r="IQC49" s="408"/>
      <c r="IQD49" s="408"/>
      <c r="IQE49" s="408"/>
      <c r="IQF49" s="408"/>
      <c r="IQG49" s="408"/>
      <c r="IQH49" s="408"/>
      <c r="IQI49" s="408"/>
      <c r="IQJ49" s="408"/>
      <c r="IQK49" s="408"/>
      <c r="IQL49" s="408"/>
      <c r="IQM49" s="408"/>
      <c r="IQN49" s="408"/>
      <c r="IQO49" s="408"/>
      <c r="IQP49" s="408"/>
      <c r="IQQ49" s="408"/>
      <c r="IQR49" s="408"/>
      <c r="IQS49" s="408"/>
      <c r="IQT49" s="408"/>
      <c r="IQU49" s="408"/>
      <c r="IQV49" s="408"/>
      <c r="IQW49" s="408"/>
      <c r="IQX49" s="408"/>
      <c r="IQY49" s="408"/>
      <c r="IQZ49" s="408"/>
      <c r="IRA49" s="408"/>
      <c r="IRB49" s="408"/>
      <c r="IRC49" s="408"/>
      <c r="IRD49" s="408"/>
      <c r="IRE49" s="408"/>
      <c r="IRF49" s="408"/>
      <c r="IRG49" s="408"/>
      <c r="IRH49" s="408"/>
      <c r="IRI49" s="408"/>
      <c r="IRJ49" s="408"/>
      <c r="IRK49" s="408"/>
      <c r="IRL49" s="408"/>
      <c r="IRM49" s="408"/>
      <c r="IRN49" s="408"/>
      <c r="IRO49" s="408"/>
      <c r="IRP49" s="408"/>
      <c r="IRQ49" s="408"/>
      <c r="IRR49" s="408"/>
      <c r="IRS49" s="408"/>
      <c r="IRT49" s="408"/>
      <c r="IRU49" s="408"/>
      <c r="IRV49" s="408"/>
      <c r="IRW49" s="408"/>
      <c r="IRX49" s="408"/>
      <c r="IRY49" s="408"/>
      <c r="IRZ49" s="408"/>
      <c r="ISA49" s="408"/>
      <c r="ISB49" s="408"/>
      <c r="ISC49" s="408"/>
      <c r="ISD49" s="408"/>
      <c r="ISE49" s="408"/>
      <c r="ISF49" s="408"/>
      <c r="ISG49" s="408"/>
      <c r="ISH49" s="408"/>
      <c r="ISI49" s="408"/>
      <c r="ISJ49" s="408"/>
      <c r="ISK49" s="408"/>
      <c r="ISL49" s="408"/>
      <c r="ISM49" s="408"/>
      <c r="ISN49" s="408"/>
      <c r="ISO49" s="408"/>
      <c r="ISP49" s="408"/>
      <c r="ISQ49" s="408"/>
      <c r="ISR49" s="408"/>
      <c r="ISS49" s="408"/>
      <c r="IST49" s="408"/>
      <c r="ISU49" s="408"/>
      <c r="ISV49" s="408"/>
      <c r="ISW49" s="408"/>
      <c r="ISX49" s="408"/>
      <c r="ISY49" s="408"/>
      <c r="ISZ49" s="408"/>
      <c r="ITA49" s="408"/>
      <c r="ITB49" s="408"/>
      <c r="ITC49" s="408"/>
      <c r="ITD49" s="408"/>
      <c r="ITE49" s="408"/>
      <c r="ITF49" s="408"/>
      <c r="ITG49" s="408"/>
      <c r="ITH49" s="408"/>
      <c r="ITI49" s="408"/>
      <c r="ITJ49" s="408"/>
      <c r="ITK49" s="408"/>
      <c r="ITL49" s="408"/>
      <c r="ITM49" s="408"/>
      <c r="ITN49" s="408"/>
      <c r="ITO49" s="408"/>
      <c r="ITP49" s="408"/>
      <c r="ITQ49" s="408"/>
      <c r="ITR49" s="408"/>
      <c r="ITS49" s="408"/>
      <c r="ITT49" s="408"/>
      <c r="ITU49" s="408"/>
      <c r="ITV49" s="408"/>
      <c r="ITW49" s="408"/>
      <c r="ITX49" s="408"/>
      <c r="ITY49" s="408"/>
      <c r="ITZ49" s="408"/>
      <c r="IUA49" s="408"/>
      <c r="IUB49" s="408"/>
      <c r="IUC49" s="408"/>
      <c r="IUD49" s="408"/>
      <c r="IUE49" s="408"/>
      <c r="IUF49" s="408"/>
      <c r="IUG49" s="408"/>
      <c r="IUH49" s="408"/>
      <c r="IUI49" s="408"/>
      <c r="IUJ49" s="408"/>
      <c r="IUK49" s="408"/>
      <c r="IUL49" s="408"/>
      <c r="IUM49" s="408"/>
      <c r="IUN49" s="408"/>
      <c r="IUO49" s="408"/>
      <c r="IUP49" s="408"/>
      <c r="IUQ49" s="408"/>
      <c r="IUR49" s="408"/>
      <c r="IUS49" s="408"/>
      <c r="IUT49" s="408"/>
      <c r="IUU49" s="408"/>
      <c r="IUV49" s="408"/>
      <c r="IUW49" s="408"/>
      <c r="IUX49" s="408"/>
      <c r="IUY49" s="408"/>
      <c r="IUZ49" s="408"/>
      <c r="IVA49" s="408"/>
      <c r="IVB49" s="408"/>
      <c r="IVC49" s="408"/>
      <c r="IVD49" s="408"/>
      <c r="IVE49" s="408"/>
      <c r="IVF49" s="408"/>
      <c r="IVG49" s="408"/>
      <c r="IVH49" s="408"/>
      <c r="IVI49" s="408"/>
      <c r="IVJ49" s="408"/>
      <c r="IVK49" s="408"/>
      <c r="IVL49" s="408"/>
      <c r="IVM49" s="408"/>
      <c r="IVN49" s="408"/>
      <c r="IVO49" s="408"/>
      <c r="IVP49" s="408"/>
      <c r="IVQ49" s="408"/>
      <c r="IVR49" s="408"/>
      <c r="IVS49" s="408"/>
      <c r="IVT49" s="408"/>
      <c r="IVU49" s="408"/>
      <c r="IVV49" s="408"/>
      <c r="IVW49" s="408"/>
      <c r="IVX49" s="408"/>
      <c r="IVY49" s="408"/>
      <c r="IVZ49" s="408"/>
      <c r="IWA49" s="408"/>
      <c r="IWB49" s="408"/>
      <c r="IWC49" s="408"/>
      <c r="IWD49" s="408"/>
      <c r="IWE49" s="408"/>
      <c r="IWF49" s="408"/>
      <c r="IWG49" s="408"/>
      <c r="IWH49" s="408"/>
      <c r="IWI49" s="408"/>
      <c r="IWJ49" s="408"/>
      <c r="IWK49" s="408"/>
      <c r="IWL49" s="408"/>
      <c r="IWM49" s="408"/>
      <c r="IWN49" s="408"/>
      <c r="IWO49" s="408"/>
      <c r="IWP49" s="408"/>
      <c r="IWQ49" s="408"/>
      <c r="IWR49" s="408"/>
      <c r="IWS49" s="408"/>
      <c r="IWT49" s="408"/>
      <c r="IWU49" s="408"/>
      <c r="IWV49" s="408"/>
      <c r="IWW49" s="408"/>
      <c r="IWX49" s="408"/>
      <c r="IWY49" s="408"/>
      <c r="IWZ49" s="408"/>
      <c r="IXA49" s="408"/>
      <c r="IXB49" s="408"/>
      <c r="IXC49" s="408"/>
      <c r="IXD49" s="408"/>
      <c r="IXE49" s="408"/>
      <c r="IXF49" s="408"/>
      <c r="IXG49" s="408"/>
      <c r="IXH49" s="408"/>
      <c r="IXI49" s="408"/>
      <c r="IXJ49" s="408"/>
      <c r="IXK49" s="408"/>
      <c r="IXL49" s="408"/>
      <c r="IXM49" s="408"/>
      <c r="IXN49" s="408"/>
      <c r="IXO49" s="408"/>
      <c r="IXP49" s="408"/>
      <c r="IXQ49" s="408"/>
      <c r="IXR49" s="408"/>
      <c r="IXS49" s="408"/>
      <c r="IXT49" s="408"/>
      <c r="IXU49" s="408"/>
      <c r="IXV49" s="408"/>
      <c r="IXW49" s="408"/>
      <c r="IXX49" s="408"/>
      <c r="IXY49" s="408"/>
      <c r="IXZ49" s="408"/>
      <c r="IYA49" s="408"/>
      <c r="IYB49" s="408"/>
      <c r="IYC49" s="408"/>
      <c r="IYD49" s="408"/>
      <c r="IYE49" s="408"/>
      <c r="IYF49" s="408"/>
      <c r="IYG49" s="408"/>
      <c r="IYH49" s="408"/>
      <c r="IYI49" s="408"/>
      <c r="IYJ49" s="408"/>
      <c r="IYK49" s="408"/>
      <c r="IYL49" s="408"/>
      <c r="IYM49" s="408"/>
      <c r="IYN49" s="408"/>
      <c r="IYO49" s="408"/>
      <c r="IYP49" s="408"/>
      <c r="IYQ49" s="408"/>
      <c r="IYR49" s="408"/>
      <c r="IYS49" s="408"/>
      <c r="IYT49" s="408"/>
      <c r="IYU49" s="408"/>
      <c r="IYV49" s="408"/>
      <c r="IYW49" s="408"/>
      <c r="IYX49" s="408"/>
      <c r="IYY49" s="408"/>
      <c r="IYZ49" s="408"/>
      <c r="IZA49" s="408"/>
      <c r="IZB49" s="408"/>
      <c r="IZC49" s="408"/>
      <c r="IZD49" s="408"/>
      <c r="IZE49" s="408"/>
      <c r="IZF49" s="408"/>
      <c r="IZG49" s="408"/>
      <c r="IZH49" s="408"/>
      <c r="IZI49" s="408"/>
      <c r="IZJ49" s="408"/>
      <c r="IZK49" s="408"/>
      <c r="IZL49" s="408"/>
      <c r="IZM49" s="408"/>
      <c r="IZN49" s="408"/>
      <c r="IZO49" s="408"/>
      <c r="IZP49" s="408"/>
      <c r="IZQ49" s="408"/>
      <c r="IZR49" s="408"/>
      <c r="IZS49" s="408"/>
      <c r="IZT49" s="408"/>
      <c r="IZU49" s="408"/>
      <c r="IZV49" s="408"/>
      <c r="IZW49" s="408"/>
      <c r="IZX49" s="408"/>
      <c r="IZY49" s="408"/>
      <c r="IZZ49" s="408"/>
      <c r="JAA49" s="408"/>
      <c r="JAB49" s="408"/>
      <c r="JAC49" s="408"/>
      <c r="JAD49" s="408"/>
      <c r="JAE49" s="408"/>
      <c r="JAF49" s="408"/>
      <c r="JAG49" s="408"/>
      <c r="JAH49" s="408"/>
      <c r="JAI49" s="408"/>
      <c r="JAJ49" s="408"/>
      <c r="JAK49" s="408"/>
      <c r="JAL49" s="408"/>
      <c r="JAM49" s="408"/>
      <c r="JAN49" s="408"/>
      <c r="JAO49" s="408"/>
      <c r="JAP49" s="408"/>
      <c r="JAQ49" s="408"/>
      <c r="JAR49" s="408"/>
      <c r="JAS49" s="408"/>
      <c r="JAT49" s="408"/>
      <c r="JAU49" s="408"/>
      <c r="JAV49" s="408"/>
      <c r="JAW49" s="408"/>
      <c r="JAX49" s="408"/>
      <c r="JAY49" s="408"/>
      <c r="JAZ49" s="408"/>
      <c r="JBA49" s="408"/>
      <c r="JBB49" s="408"/>
      <c r="JBC49" s="408"/>
      <c r="JBD49" s="408"/>
      <c r="JBE49" s="408"/>
      <c r="JBF49" s="408"/>
      <c r="JBG49" s="408"/>
      <c r="JBH49" s="408"/>
      <c r="JBI49" s="408"/>
      <c r="JBJ49" s="408"/>
      <c r="JBK49" s="408"/>
      <c r="JBL49" s="408"/>
      <c r="JBM49" s="408"/>
      <c r="JBN49" s="408"/>
      <c r="JBO49" s="408"/>
      <c r="JBP49" s="408"/>
      <c r="JBQ49" s="408"/>
      <c r="JBR49" s="408"/>
      <c r="JBS49" s="408"/>
      <c r="JBT49" s="408"/>
      <c r="JBU49" s="408"/>
      <c r="JBV49" s="408"/>
      <c r="JBW49" s="408"/>
      <c r="JBX49" s="408"/>
      <c r="JBY49" s="408"/>
      <c r="JBZ49" s="408"/>
      <c r="JCA49" s="408"/>
      <c r="JCB49" s="408"/>
      <c r="JCC49" s="408"/>
      <c r="JCD49" s="408"/>
      <c r="JCE49" s="408"/>
      <c r="JCF49" s="408"/>
      <c r="JCG49" s="408"/>
      <c r="JCH49" s="408"/>
      <c r="JCI49" s="408"/>
      <c r="JCJ49" s="408"/>
      <c r="JCK49" s="408"/>
      <c r="JCL49" s="408"/>
      <c r="JCM49" s="408"/>
      <c r="JCN49" s="408"/>
      <c r="JCO49" s="408"/>
      <c r="JCP49" s="408"/>
      <c r="JCQ49" s="408"/>
      <c r="JCR49" s="408"/>
      <c r="JCS49" s="408"/>
      <c r="JCT49" s="408"/>
      <c r="JCU49" s="408"/>
      <c r="JCV49" s="408"/>
      <c r="JCW49" s="408"/>
      <c r="JCX49" s="408"/>
      <c r="JCY49" s="408"/>
      <c r="JCZ49" s="408"/>
      <c r="JDA49" s="408"/>
      <c r="JDB49" s="408"/>
      <c r="JDC49" s="408"/>
      <c r="JDD49" s="408"/>
      <c r="JDE49" s="408"/>
      <c r="JDF49" s="408"/>
      <c r="JDG49" s="408"/>
      <c r="JDH49" s="408"/>
      <c r="JDI49" s="408"/>
      <c r="JDJ49" s="408"/>
      <c r="JDK49" s="408"/>
      <c r="JDL49" s="408"/>
      <c r="JDM49" s="408"/>
      <c r="JDN49" s="408"/>
      <c r="JDO49" s="408"/>
      <c r="JDP49" s="408"/>
      <c r="JDQ49" s="408"/>
      <c r="JDR49" s="408"/>
      <c r="JDS49" s="408"/>
      <c r="JDT49" s="408"/>
      <c r="JDU49" s="408"/>
      <c r="JDV49" s="408"/>
      <c r="JDW49" s="408"/>
      <c r="JDX49" s="408"/>
      <c r="JDY49" s="408"/>
      <c r="JDZ49" s="408"/>
      <c r="JEA49" s="408"/>
      <c r="JEB49" s="408"/>
      <c r="JEC49" s="408"/>
      <c r="JED49" s="408"/>
      <c r="JEE49" s="408"/>
      <c r="JEF49" s="408"/>
      <c r="JEG49" s="408"/>
      <c r="JEH49" s="408"/>
      <c r="JEI49" s="408"/>
      <c r="JEJ49" s="408"/>
      <c r="JEK49" s="408"/>
      <c r="JEL49" s="408"/>
      <c r="JEM49" s="408"/>
      <c r="JEN49" s="408"/>
      <c r="JEO49" s="408"/>
      <c r="JEP49" s="408"/>
      <c r="JEQ49" s="408"/>
      <c r="JER49" s="408"/>
      <c r="JES49" s="408"/>
      <c r="JET49" s="408"/>
      <c r="JEU49" s="408"/>
      <c r="JEV49" s="408"/>
      <c r="JEW49" s="408"/>
      <c r="JEX49" s="408"/>
      <c r="JEY49" s="408"/>
      <c r="JEZ49" s="408"/>
      <c r="JFA49" s="408"/>
      <c r="JFB49" s="408"/>
      <c r="JFC49" s="408"/>
      <c r="JFD49" s="408"/>
      <c r="JFE49" s="408"/>
      <c r="JFF49" s="408"/>
      <c r="JFG49" s="408"/>
      <c r="JFH49" s="408"/>
      <c r="JFI49" s="408"/>
      <c r="JFJ49" s="408"/>
      <c r="JFK49" s="408"/>
      <c r="JFL49" s="408"/>
      <c r="JFM49" s="408"/>
      <c r="JFN49" s="408"/>
      <c r="JFO49" s="408"/>
      <c r="JFP49" s="408"/>
      <c r="JFQ49" s="408"/>
      <c r="JFR49" s="408"/>
      <c r="JFS49" s="408"/>
      <c r="JFT49" s="408"/>
      <c r="JFU49" s="408"/>
      <c r="JFV49" s="408"/>
      <c r="JFW49" s="408"/>
      <c r="JFX49" s="408"/>
      <c r="JFY49" s="408"/>
      <c r="JFZ49" s="408"/>
      <c r="JGA49" s="408"/>
      <c r="JGB49" s="408"/>
      <c r="JGC49" s="408"/>
      <c r="JGD49" s="408"/>
      <c r="JGE49" s="408"/>
      <c r="JGF49" s="408"/>
      <c r="JGG49" s="408"/>
      <c r="JGH49" s="408"/>
      <c r="JGI49" s="408"/>
      <c r="JGJ49" s="408"/>
      <c r="JGK49" s="408"/>
      <c r="JGL49" s="408"/>
      <c r="JGM49" s="408"/>
      <c r="JGN49" s="408"/>
      <c r="JGO49" s="408"/>
      <c r="JGP49" s="408"/>
      <c r="JGQ49" s="408"/>
      <c r="JGR49" s="408"/>
      <c r="JGS49" s="408"/>
      <c r="JGT49" s="408"/>
      <c r="JGU49" s="408"/>
      <c r="JGV49" s="408"/>
      <c r="JGW49" s="408"/>
      <c r="JGX49" s="408"/>
      <c r="JGY49" s="408"/>
      <c r="JGZ49" s="408"/>
      <c r="JHA49" s="408"/>
      <c r="JHB49" s="408"/>
      <c r="JHC49" s="408"/>
      <c r="JHD49" s="408"/>
      <c r="JHE49" s="408"/>
      <c r="JHF49" s="408"/>
      <c r="JHG49" s="408"/>
      <c r="JHH49" s="408"/>
      <c r="JHI49" s="408"/>
      <c r="JHJ49" s="408"/>
      <c r="JHK49" s="408"/>
      <c r="JHL49" s="408"/>
      <c r="JHM49" s="408"/>
      <c r="JHN49" s="408"/>
      <c r="JHO49" s="408"/>
      <c r="JHP49" s="408"/>
      <c r="JHQ49" s="408"/>
      <c r="JHR49" s="408"/>
      <c r="JHS49" s="408"/>
      <c r="JHT49" s="408"/>
      <c r="JHU49" s="408"/>
      <c r="JHV49" s="408"/>
      <c r="JHW49" s="408"/>
      <c r="JHX49" s="408"/>
      <c r="JHY49" s="408"/>
      <c r="JHZ49" s="408"/>
      <c r="JIA49" s="408"/>
      <c r="JIB49" s="408"/>
      <c r="JIC49" s="408"/>
      <c r="JID49" s="408"/>
      <c r="JIE49" s="408"/>
      <c r="JIF49" s="408"/>
      <c r="JIG49" s="408"/>
      <c r="JIH49" s="408"/>
      <c r="JII49" s="408"/>
      <c r="JIJ49" s="408"/>
      <c r="JIK49" s="408"/>
      <c r="JIL49" s="408"/>
      <c r="JIM49" s="408"/>
      <c r="JIN49" s="408"/>
      <c r="JIO49" s="408"/>
      <c r="JIP49" s="408"/>
      <c r="JIQ49" s="408"/>
      <c r="JIR49" s="408"/>
      <c r="JIS49" s="408"/>
      <c r="JIT49" s="408"/>
      <c r="JIU49" s="408"/>
      <c r="JIV49" s="408"/>
      <c r="JIW49" s="408"/>
      <c r="JIX49" s="408"/>
      <c r="JIY49" s="408"/>
      <c r="JIZ49" s="408"/>
      <c r="JJA49" s="408"/>
      <c r="JJB49" s="408"/>
      <c r="JJC49" s="408"/>
      <c r="JJD49" s="408"/>
      <c r="JJE49" s="408"/>
      <c r="JJF49" s="408"/>
      <c r="JJG49" s="408"/>
      <c r="JJH49" s="408"/>
      <c r="JJI49" s="408"/>
      <c r="JJJ49" s="408"/>
      <c r="JJK49" s="408"/>
      <c r="JJL49" s="408"/>
      <c r="JJM49" s="408"/>
      <c r="JJN49" s="408"/>
      <c r="JJO49" s="408"/>
      <c r="JJP49" s="408"/>
      <c r="JJQ49" s="408"/>
      <c r="JJR49" s="408"/>
      <c r="JJS49" s="408"/>
      <c r="JJT49" s="408"/>
      <c r="JJU49" s="408"/>
      <c r="JJV49" s="408"/>
      <c r="JJW49" s="408"/>
      <c r="JJX49" s="408"/>
      <c r="JJY49" s="408"/>
      <c r="JJZ49" s="408"/>
      <c r="JKA49" s="408"/>
      <c r="JKB49" s="408"/>
      <c r="JKC49" s="408"/>
      <c r="JKD49" s="408"/>
      <c r="JKE49" s="408"/>
      <c r="JKF49" s="408"/>
      <c r="JKG49" s="408"/>
      <c r="JKH49" s="408"/>
      <c r="JKI49" s="408"/>
      <c r="JKJ49" s="408"/>
      <c r="JKK49" s="408"/>
      <c r="JKL49" s="408"/>
      <c r="JKM49" s="408"/>
      <c r="JKN49" s="408"/>
      <c r="JKO49" s="408"/>
      <c r="JKP49" s="408"/>
      <c r="JKQ49" s="408"/>
      <c r="JKR49" s="408"/>
      <c r="JKS49" s="408"/>
      <c r="JKT49" s="408"/>
      <c r="JKU49" s="408"/>
      <c r="JKV49" s="408"/>
      <c r="JKW49" s="408"/>
      <c r="JKX49" s="408"/>
      <c r="JKY49" s="408"/>
      <c r="JKZ49" s="408"/>
      <c r="JLA49" s="408"/>
      <c r="JLB49" s="408"/>
      <c r="JLC49" s="408"/>
      <c r="JLD49" s="408"/>
      <c r="JLE49" s="408"/>
      <c r="JLF49" s="408"/>
      <c r="JLG49" s="408"/>
      <c r="JLH49" s="408"/>
      <c r="JLI49" s="408"/>
      <c r="JLJ49" s="408"/>
      <c r="JLK49" s="408"/>
      <c r="JLL49" s="408"/>
      <c r="JLM49" s="408"/>
      <c r="JLN49" s="408"/>
      <c r="JLO49" s="408"/>
      <c r="JLP49" s="408"/>
      <c r="JLQ49" s="408"/>
      <c r="JLR49" s="408"/>
      <c r="JLS49" s="408"/>
      <c r="JLT49" s="408"/>
      <c r="JLU49" s="408"/>
      <c r="JLV49" s="408"/>
      <c r="JLW49" s="408"/>
      <c r="JLX49" s="408"/>
      <c r="JLY49" s="408"/>
      <c r="JLZ49" s="408"/>
      <c r="JMA49" s="408"/>
      <c r="JMB49" s="408"/>
      <c r="JMC49" s="408"/>
      <c r="JMD49" s="408"/>
      <c r="JME49" s="408"/>
      <c r="JMF49" s="408"/>
      <c r="JMG49" s="408"/>
      <c r="JMH49" s="408"/>
      <c r="JMI49" s="408"/>
      <c r="JMJ49" s="408"/>
      <c r="JMK49" s="408"/>
      <c r="JML49" s="408"/>
      <c r="JMM49" s="408"/>
      <c r="JMN49" s="408"/>
      <c r="JMO49" s="408"/>
      <c r="JMP49" s="408"/>
      <c r="JMQ49" s="408"/>
      <c r="JMR49" s="408"/>
      <c r="JMS49" s="408"/>
      <c r="JMT49" s="408"/>
      <c r="JMU49" s="408"/>
      <c r="JMV49" s="408"/>
      <c r="JMW49" s="408"/>
      <c r="JMX49" s="408"/>
      <c r="JMY49" s="408"/>
      <c r="JMZ49" s="408"/>
      <c r="JNA49" s="408"/>
      <c r="JNB49" s="408"/>
      <c r="JNC49" s="408"/>
      <c r="JND49" s="408"/>
      <c r="JNE49" s="408"/>
      <c r="JNF49" s="408"/>
      <c r="JNG49" s="408"/>
      <c r="JNH49" s="408"/>
      <c r="JNI49" s="408"/>
      <c r="JNJ49" s="408"/>
      <c r="JNK49" s="408"/>
      <c r="JNL49" s="408"/>
      <c r="JNM49" s="408"/>
      <c r="JNN49" s="408"/>
      <c r="JNO49" s="408"/>
      <c r="JNP49" s="408"/>
      <c r="JNQ49" s="408"/>
      <c r="JNR49" s="408"/>
      <c r="JNS49" s="408"/>
      <c r="JNT49" s="408"/>
      <c r="JNU49" s="408"/>
      <c r="JNV49" s="408"/>
      <c r="JNW49" s="408"/>
      <c r="JNX49" s="408"/>
      <c r="JNY49" s="408"/>
      <c r="JNZ49" s="408"/>
      <c r="JOA49" s="408"/>
      <c r="JOB49" s="408"/>
      <c r="JOC49" s="408"/>
      <c r="JOD49" s="408"/>
      <c r="JOE49" s="408"/>
      <c r="JOF49" s="408"/>
      <c r="JOG49" s="408"/>
      <c r="JOH49" s="408"/>
      <c r="JOI49" s="408"/>
      <c r="JOJ49" s="408"/>
      <c r="JOK49" s="408"/>
      <c r="JOL49" s="408"/>
      <c r="JOM49" s="408"/>
      <c r="JON49" s="408"/>
      <c r="JOO49" s="408"/>
      <c r="JOP49" s="408"/>
      <c r="JOQ49" s="408"/>
      <c r="JOR49" s="408"/>
      <c r="JOS49" s="408"/>
      <c r="JOT49" s="408"/>
      <c r="JOU49" s="408"/>
      <c r="JOV49" s="408"/>
      <c r="JOW49" s="408"/>
      <c r="JOX49" s="408"/>
      <c r="JOY49" s="408"/>
      <c r="JOZ49" s="408"/>
      <c r="JPA49" s="408"/>
      <c r="JPB49" s="408"/>
      <c r="JPC49" s="408"/>
      <c r="JPD49" s="408"/>
      <c r="JPE49" s="408"/>
      <c r="JPF49" s="408"/>
      <c r="JPG49" s="408"/>
      <c r="JPH49" s="408"/>
      <c r="JPI49" s="408"/>
      <c r="JPJ49" s="408"/>
      <c r="JPK49" s="408"/>
      <c r="JPL49" s="408"/>
      <c r="JPM49" s="408"/>
      <c r="JPN49" s="408"/>
      <c r="JPO49" s="408"/>
      <c r="JPP49" s="408"/>
      <c r="JPQ49" s="408"/>
      <c r="JPR49" s="408"/>
      <c r="JPS49" s="408"/>
      <c r="JPT49" s="408"/>
      <c r="JPU49" s="408"/>
      <c r="JPV49" s="408"/>
      <c r="JPW49" s="408"/>
      <c r="JPX49" s="408"/>
      <c r="JPY49" s="408"/>
      <c r="JPZ49" s="408"/>
      <c r="JQA49" s="408"/>
      <c r="JQB49" s="408"/>
      <c r="JQC49" s="408"/>
      <c r="JQD49" s="408"/>
      <c r="JQE49" s="408"/>
      <c r="JQF49" s="408"/>
      <c r="JQG49" s="408"/>
      <c r="JQH49" s="408"/>
      <c r="JQI49" s="408"/>
      <c r="JQJ49" s="408"/>
      <c r="JQK49" s="408"/>
      <c r="JQL49" s="408"/>
      <c r="JQM49" s="408"/>
      <c r="JQN49" s="408"/>
      <c r="JQO49" s="408"/>
      <c r="JQP49" s="408"/>
      <c r="JQQ49" s="408"/>
      <c r="JQR49" s="408"/>
      <c r="JQS49" s="408"/>
      <c r="JQT49" s="408"/>
      <c r="JQU49" s="408"/>
      <c r="JQV49" s="408"/>
      <c r="JQW49" s="408"/>
      <c r="JQX49" s="408"/>
      <c r="JQY49" s="408"/>
      <c r="JQZ49" s="408"/>
      <c r="JRA49" s="408"/>
      <c r="JRB49" s="408"/>
      <c r="JRC49" s="408"/>
      <c r="JRD49" s="408"/>
      <c r="JRE49" s="408"/>
      <c r="JRF49" s="408"/>
      <c r="JRG49" s="408"/>
      <c r="JRH49" s="408"/>
      <c r="JRI49" s="408"/>
      <c r="JRJ49" s="408"/>
      <c r="JRK49" s="408"/>
      <c r="JRL49" s="408"/>
      <c r="JRM49" s="408"/>
      <c r="JRN49" s="408"/>
      <c r="JRO49" s="408"/>
      <c r="JRP49" s="408"/>
      <c r="JRQ49" s="408"/>
      <c r="JRR49" s="408"/>
      <c r="JRS49" s="408"/>
      <c r="JRT49" s="408"/>
      <c r="JRU49" s="408"/>
      <c r="JRV49" s="408"/>
      <c r="JRW49" s="408"/>
      <c r="JRX49" s="408"/>
      <c r="JRY49" s="408"/>
      <c r="JRZ49" s="408"/>
      <c r="JSA49" s="408"/>
      <c r="JSB49" s="408"/>
      <c r="JSC49" s="408"/>
      <c r="JSD49" s="408"/>
      <c r="JSE49" s="408"/>
      <c r="JSF49" s="408"/>
      <c r="JSG49" s="408"/>
      <c r="JSH49" s="408"/>
      <c r="JSI49" s="408"/>
      <c r="JSJ49" s="408"/>
      <c r="JSK49" s="408"/>
      <c r="JSL49" s="408"/>
      <c r="JSM49" s="408"/>
      <c r="JSN49" s="408"/>
      <c r="JSO49" s="408"/>
      <c r="JSP49" s="408"/>
      <c r="JSQ49" s="408"/>
      <c r="JSR49" s="408"/>
      <c r="JSS49" s="408"/>
      <c r="JST49" s="408"/>
      <c r="JSU49" s="408"/>
      <c r="JSV49" s="408"/>
      <c r="JSW49" s="408"/>
      <c r="JSX49" s="408"/>
      <c r="JSY49" s="408"/>
      <c r="JSZ49" s="408"/>
      <c r="JTA49" s="408"/>
      <c r="JTB49" s="408"/>
      <c r="JTC49" s="408"/>
      <c r="JTD49" s="408"/>
      <c r="JTE49" s="408"/>
      <c r="JTF49" s="408"/>
      <c r="JTG49" s="408"/>
      <c r="JTH49" s="408"/>
      <c r="JTI49" s="408"/>
      <c r="JTJ49" s="408"/>
      <c r="JTK49" s="408"/>
      <c r="JTL49" s="408"/>
      <c r="JTM49" s="408"/>
      <c r="JTN49" s="408"/>
      <c r="JTO49" s="408"/>
      <c r="JTP49" s="408"/>
      <c r="JTQ49" s="408"/>
      <c r="JTR49" s="408"/>
      <c r="JTS49" s="408"/>
      <c r="JTT49" s="408"/>
      <c r="JTU49" s="408"/>
      <c r="JTV49" s="408"/>
      <c r="JTW49" s="408"/>
      <c r="JTX49" s="408"/>
      <c r="JTY49" s="408"/>
      <c r="JTZ49" s="408"/>
      <c r="JUA49" s="408"/>
      <c r="JUB49" s="408"/>
      <c r="JUC49" s="408"/>
      <c r="JUD49" s="408"/>
      <c r="JUE49" s="408"/>
      <c r="JUF49" s="408"/>
      <c r="JUG49" s="408"/>
      <c r="JUH49" s="408"/>
      <c r="JUI49" s="408"/>
      <c r="JUJ49" s="408"/>
      <c r="JUK49" s="408"/>
      <c r="JUL49" s="408"/>
      <c r="JUM49" s="408"/>
      <c r="JUN49" s="408"/>
      <c r="JUO49" s="408"/>
      <c r="JUP49" s="408"/>
      <c r="JUQ49" s="408"/>
      <c r="JUR49" s="408"/>
      <c r="JUS49" s="408"/>
      <c r="JUT49" s="408"/>
      <c r="JUU49" s="408"/>
      <c r="JUV49" s="408"/>
      <c r="JUW49" s="408"/>
      <c r="JUX49" s="408"/>
      <c r="JUY49" s="408"/>
      <c r="JUZ49" s="408"/>
      <c r="JVA49" s="408"/>
      <c r="JVB49" s="408"/>
      <c r="JVC49" s="408"/>
      <c r="JVD49" s="408"/>
      <c r="JVE49" s="408"/>
      <c r="JVF49" s="408"/>
      <c r="JVG49" s="408"/>
      <c r="JVH49" s="408"/>
      <c r="JVI49" s="408"/>
      <c r="JVJ49" s="408"/>
      <c r="JVK49" s="408"/>
      <c r="JVL49" s="408"/>
      <c r="JVM49" s="408"/>
      <c r="JVN49" s="408"/>
      <c r="JVO49" s="408"/>
      <c r="JVP49" s="408"/>
      <c r="JVQ49" s="408"/>
      <c r="JVR49" s="408"/>
      <c r="JVS49" s="408"/>
      <c r="JVT49" s="408"/>
      <c r="JVU49" s="408"/>
      <c r="JVV49" s="408"/>
      <c r="JVW49" s="408"/>
      <c r="JVX49" s="408"/>
      <c r="JVY49" s="408"/>
      <c r="JVZ49" s="408"/>
      <c r="JWA49" s="408"/>
      <c r="JWB49" s="408"/>
      <c r="JWC49" s="408"/>
      <c r="JWD49" s="408"/>
      <c r="JWE49" s="408"/>
      <c r="JWF49" s="408"/>
      <c r="JWG49" s="408"/>
      <c r="JWH49" s="408"/>
      <c r="JWI49" s="408"/>
      <c r="JWJ49" s="408"/>
      <c r="JWK49" s="408"/>
      <c r="JWL49" s="408"/>
      <c r="JWM49" s="408"/>
      <c r="JWN49" s="408"/>
      <c r="JWO49" s="408"/>
      <c r="JWP49" s="408"/>
      <c r="JWQ49" s="408"/>
      <c r="JWR49" s="408"/>
      <c r="JWS49" s="408"/>
      <c r="JWT49" s="408"/>
      <c r="JWU49" s="408"/>
      <c r="JWV49" s="408"/>
      <c r="JWW49" s="408"/>
      <c r="JWX49" s="408"/>
      <c r="JWY49" s="408"/>
      <c r="JWZ49" s="408"/>
      <c r="JXA49" s="408"/>
      <c r="JXB49" s="408"/>
      <c r="JXC49" s="408"/>
      <c r="JXD49" s="408"/>
      <c r="JXE49" s="408"/>
      <c r="JXF49" s="408"/>
      <c r="JXG49" s="408"/>
      <c r="JXH49" s="408"/>
      <c r="JXI49" s="408"/>
      <c r="JXJ49" s="408"/>
      <c r="JXK49" s="408"/>
      <c r="JXL49" s="408"/>
      <c r="JXM49" s="408"/>
      <c r="JXN49" s="408"/>
      <c r="JXO49" s="408"/>
      <c r="JXP49" s="408"/>
      <c r="JXQ49" s="408"/>
      <c r="JXR49" s="408"/>
      <c r="JXS49" s="408"/>
      <c r="JXT49" s="408"/>
      <c r="JXU49" s="408"/>
      <c r="JXV49" s="408"/>
      <c r="JXW49" s="408"/>
      <c r="JXX49" s="408"/>
      <c r="JXY49" s="408"/>
      <c r="JXZ49" s="408"/>
      <c r="JYA49" s="408"/>
      <c r="JYB49" s="408"/>
      <c r="JYC49" s="408"/>
      <c r="JYD49" s="408"/>
      <c r="JYE49" s="408"/>
      <c r="JYF49" s="408"/>
      <c r="JYG49" s="408"/>
      <c r="JYH49" s="408"/>
      <c r="JYI49" s="408"/>
      <c r="JYJ49" s="408"/>
      <c r="JYK49" s="408"/>
      <c r="JYL49" s="408"/>
      <c r="JYM49" s="408"/>
      <c r="JYN49" s="408"/>
      <c r="JYO49" s="408"/>
      <c r="JYP49" s="408"/>
      <c r="JYQ49" s="408"/>
      <c r="JYR49" s="408"/>
      <c r="JYS49" s="408"/>
      <c r="JYT49" s="408"/>
      <c r="JYU49" s="408"/>
      <c r="JYV49" s="408"/>
      <c r="JYW49" s="408"/>
      <c r="JYX49" s="408"/>
      <c r="JYY49" s="408"/>
      <c r="JYZ49" s="408"/>
      <c r="JZA49" s="408"/>
      <c r="JZB49" s="408"/>
      <c r="JZC49" s="408"/>
      <c r="JZD49" s="408"/>
      <c r="JZE49" s="408"/>
      <c r="JZF49" s="408"/>
      <c r="JZG49" s="408"/>
      <c r="JZH49" s="408"/>
      <c r="JZI49" s="408"/>
      <c r="JZJ49" s="408"/>
      <c r="JZK49" s="408"/>
      <c r="JZL49" s="408"/>
      <c r="JZM49" s="408"/>
      <c r="JZN49" s="408"/>
      <c r="JZO49" s="408"/>
      <c r="JZP49" s="408"/>
      <c r="JZQ49" s="408"/>
      <c r="JZR49" s="408"/>
      <c r="JZS49" s="408"/>
      <c r="JZT49" s="408"/>
      <c r="JZU49" s="408"/>
      <c r="JZV49" s="408"/>
      <c r="JZW49" s="408"/>
      <c r="JZX49" s="408"/>
      <c r="JZY49" s="408"/>
      <c r="JZZ49" s="408"/>
      <c r="KAA49" s="408"/>
      <c r="KAB49" s="408"/>
      <c r="KAC49" s="408"/>
      <c r="KAD49" s="408"/>
      <c r="KAE49" s="408"/>
      <c r="KAF49" s="408"/>
      <c r="KAG49" s="408"/>
      <c r="KAH49" s="408"/>
      <c r="KAI49" s="408"/>
      <c r="KAJ49" s="408"/>
      <c r="KAK49" s="408"/>
      <c r="KAL49" s="408"/>
      <c r="KAM49" s="408"/>
      <c r="KAN49" s="408"/>
      <c r="KAO49" s="408"/>
      <c r="KAP49" s="408"/>
      <c r="KAQ49" s="408"/>
      <c r="KAR49" s="408"/>
      <c r="KAS49" s="408"/>
      <c r="KAT49" s="408"/>
      <c r="KAU49" s="408"/>
      <c r="KAV49" s="408"/>
      <c r="KAW49" s="408"/>
      <c r="KAX49" s="408"/>
      <c r="KAY49" s="408"/>
      <c r="KAZ49" s="408"/>
      <c r="KBA49" s="408"/>
      <c r="KBB49" s="408"/>
      <c r="KBC49" s="408"/>
      <c r="KBD49" s="408"/>
      <c r="KBE49" s="408"/>
      <c r="KBF49" s="408"/>
      <c r="KBG49" s="408"/>
      <c r="KBH49" s="408"/>
      <c r="KBI49" s="408"/>
      <c r="KBJ49" s="408"/>
      <c r="KBK49" s="408"/>
      <c r="KBL49" s="408"/>
      <c r="KBM49" s="408"/>
      <c r="KBN49" s="408"/>
      <c r="KBO49" s="408"/>
      <c r="KBP49" s="408"/>
      <c r="KBQ49" s="408"/>
      <c r="KBR49" s="408"/>
      <c r="KBS49" s="408"/>
      <c r="KBT49" s="408"/>
      <c r="KBU49" s="408"/>
      <c r="KBV49" s="408"/>
      <c r="KBW49" s="408"/>
      <c r="KBX49" s="408"/>
      <c r="KBY49" s="408"/>
      <c r="KBZ49" s="408"/>
      <c r="KCA49" s="408"/>
      <c r="KCB49" s="408"/>
      <c r="KCC49" s="408"/>
      <c r="KCD49" s="408"/>
      <c r="KCE49" s="408"/>
      <c r="KCF49" s="408"/>
      <c r="KCG49" s="408"/>
      <c r="KCH49" s="408"/>
      <c r="KCI49" s="408"/>
      <c r="KCJ49" s="408"/>
      <c r="KCK49" s="408"/>
      <c r="KCL49" s="408"/>
      <c r="KCM49" s="408"/>
      <c r="KCN49" s="408"/>
      <c r="KCO49" s="408"/>
      <c r="KCP49" s="408"/>
      <c r="KCQ49" s="408"/>
      <c r="KCR49" s="408"/>
      <c r="KCS49" s="408"/>
      <c r="KCT49" s="408"/>
      <c r="KCU49" s="408"/>
      <c r="KCV49" s="408"/>
      <c r="KCW49" s="408"/>
      <c r="KCX49" s="408"/>
      <c r="KCY49" s="408"/>
      <c r="KCZ49" s="408"/>
      <c r="KDA49" s="408"/>
      <c r="KDB49" s="408"/>
      <c r="KDC49" s="408"/>
      <c r="KDD49" s="408"/>
      <c r="KDE49" s="408"/>
      <c r="KDF49" s="408"/>
      <c r="KDG49" s="408"/>
      <c r="KDH49" s="408"/>
      <c r="KDI49" s="408"/>
      <c r="KDJ49" s="408"/>
      <c r="KDK49" s="408"/>
      <c r="KDL49" s="408"/>
      <c r="KDM49" s="408"/>
      <c r="KDN49" s="408"/>
      <c r="KDO49" s="408"/>
      <c r="KDP49" s="408"/>
      <c r="KDQ49" s="408"/>
      <c r="KDR49" s="408"/>
      <c r="KDS49" s="408"/>
      <c r="KDT49" s="408"/>
      <c r="KDU49" s="408"/>
      <c r="KDV49" s="408"/>
      <c r="KDW49" s="408"/>
      <c r="KDX49" s="408"/>
      <c r="KDY49" s="408"/>
      <c r="KDZ49" s="408"/>
      <c r="KEA49" s="408"/>
      <c r="KEB49" s="408"/>
      <c r="KEC49" s="408"/>
      <c r="KED49" s="408"/>
      <c r="KEE49" s="408"/>
      <c r="KEF49" s="408"/>
      <c r="KEG49" s="408"/>
      <c r="KEH49" s="408"/>
      <c r="KEI49" s="408"/>
      <c r="KEJ49" s="408"/>
      <c r="KEK49" s="408"/>
      <c r="KEL49" s="408"/>
      <c r="KEM49" s="408"/>
      <c r="KEN49" s="408"/>
      <c r="KEO49" s="408"/>
      <c r="KEP49" s="408"/>
      <c r="KEQ49" s="408"/>
      <c r="KER49" s="408"/>
      <c r="KES49" s="408"/>
      <c r="KET49" s="408"/>
      <c r="KEU49" s="408"/>
      <c r="KEV49" s="408"/>
      <c r="KEW49" s="408"/>
      <c r="KEX49" s="408"/>
      <c r="KEY49" s="408"/>
      <c r="KEZ49" s="408"/>
      <c r="KFA49" s="408"/>
      <c r="KFB49" s="408"/>
      <c r="KFC49" s="408"/>
      <c r="KFD49" s="408"/>
      <c r="KFE49" s="408"/>
      <c r="KFF49" s="408"/>
      <c r="KFG49" s="408"/>
      <c r="KFH49" s="408"/>
      <c r="KFI49" s="408"/>
      <c r="KFJ49" s="408"/>
      <c r="KFK49" s="408"/>
      <c r="KFL49" s="408"/>
      <c r="KFM49" s="408"/>
      <c r="KFN49" s="408"/>
      <c r="KFO49" s="408"/>
      <c r="KFP49" s="408"/>
      <c r="KFQ49" s="408"/>
      <c r="KFR49" s="408"/>
      <c r="KFS49" s="408"/>
      <c r="KFT49" s="408"/>
      <c r="KFU49" s="408"/>
      <c r="KFV49" s="408"/>
      <c r="KFW49" s="408"/>
      <c r="KFX49" s="408"/>
      <c r="KFY49" s="408"/>
      <c r="KFZ49" s="408"/>
      <c r="KGA49" s="408"/>
      <c r="KGB49" s="408"/>
      <c r="KGC49" s="408"/>
      <c r="KGD49" s="408"/>
      <c r="KGE49" s="408"/>
      <c r="KGF49" s="408"/>
      <c r="KGG49" s="408"/>
      <c r="KGH49" s="408"/>
      <c r="KGI49" s="408"/>
      <c r="KGJ49" s="408"/>
      <c r="KGK49" s="408"/>
      <c r="KGL49" s="408"/>
      <c r="KGM49" s="408"/>
      <c r="KGN49" s="408"/>
      <c r="KGO49" s="408"/>
      <c r="KGP49" s="408"/>
      <c r="KGQ49" s="408"/>
      <c r="KGR49" s="408"/>
      <c r="KGS49" s="408"/>
      <c r="KGT49" s="408"/>
      <c r="KGU49" s="408"/>
      <c r="KGV49" s="408"/>
      <c r="KGW49" s="408"/>
      <c r="KGX49" s="408"/>
      <c r="KGY49" s="408"/>
      <c r="KGZ49" s="408"/>
      <c r="KHA49" s="408"/>
      <c r="KHB49" s="408"/>
      <c r="KHC49" s="408"/>
      <c r="KHD49" s="408"/>
      <c r="KHE49" s="408"/>
      <c r="KHF49" s="408"/>
      <c r="KHG49" s="408"/>
      <c r="KHH49" s="408"/>
      <c r="KHI49" s="408"/>
      <c r="KHJ49" s="408"/>
      <c r="KHK49" s="408"/>
      <c r="KHL49" s="408"/>
      <c r="KHM49" s="408"/>
      <c r="KHN49" s="408"/>
      <c r="KHO49" s="408"/>
      <c r="KHP49" s="408"/>
      <c r="KHQ49" s="408"/>
      <c r="KHR49" s="408"/>
      <c r="KHS49" s="408"/>
      <c r="KHT49" s="408"/>
      <c r="KHU49" s="408"/>
      <c r="KHV49" s="408"/>
      <c r="KHW49" s="408"/>
      <c r="KHX49" s="408"/>
      <c r="KHY49" s="408"/>
      <c r="KHZ49" s="408"/>
      <c r="KIA49" s="408"/>
      <c r="KIB49" s="408"/>
      <c r="KIC49" s="408"/>
      <c r="KID49" s="408"/>
      <c r="KIE49" s="408"/>
      <c r="KIF49" s="408"/>
      <c r="KIG49" s="408"/>
      <c r="KIH49" s="408"/>
      <c r="KII49" s="408"/>
      <c r="KIJ49" s="408"/>
      <c r="KIK49" s="408"/>
      <c r="KIL49" s="408"/>
      <c r="KIM49" s="408"/>
      <c r="KIN49" s="408"/>
      <c r="KIO49" s="408"/>
      <c r="KIP49" s="408"/>
      <c r="KIQ49" s="408"/>
      <c r="KIR49" s="408"/>
      <c r="KIS49" s="408"/>
      <c r="KIT49" s="408"/>
      <c r="KIU49" s="408"/>
      <c r="KIV49" s="408"/>
      <c r="KIW49" s="408"/>
      <c r="KIX49" s="408"/>
      <c r="KIY49" s="408"/>
      <c r="KIZ49" s="408"/>
      <c r="KJA49" s="408"/>
      <c r="KJB49" s="408"/>
      <c r="KJC49" s="408"/>
      <c r="KJD49" s="408"/>
      <c r="KJE49" s="408"/>
      <c r="KJF49" s="408"/>
      <c r="KJG49" s="408"/>
      <c r="KJH49" s="408"/>
      <c r="KJI49" s="408"/>
      <c r="KJJ49" s="408"/>
      <c r="KJK49" s="408"/>
      <c r="KJL49" s="408"/>
      <c r="KJM49" s="408"/>
      <c r="KJN49" s="408"/>
      <c r="KJO49" s="408"/>
      <c r="KJP49" s="408"/>
      <c r="KJQ49" s="408"/>
      <c r="KJR49" s="408"/>
      <c r="KJS49" s="408"/>
      <c r="KJT49" s="408"/>
      <c r="KJU49" s="408"/>
      <c r="KJV49" s="408"/>
      <c r="KJW49" s="408"/>
      <c r="KJX49" s="408"/>
      <c r="KJY49" s="408"/>
      <c r="KJZ49" s="408"/>
      <c r="KKA49" s="408"/>
      <c r="KKB49" s="408"/>
      <c r="KKC49" s="408"/>
      <c r="KKD49" s="408"/>
      <c r="KKE49" s="408"/>
      <c r="KKF49" s="408"/>
      <c r="KKG49" s="408"/>
      <c r="KKH49" s="408"/>
      <c r="KKI49" s="408"/>
      <c r="KKJ49" s="408"/>
      <c r="KKK49" s="408"/>
      <c r="KKL49" s="408"/>
      <c r="KKM49" s="408"/>
      <c r="KKN49" s="408"/>
      <c r="KKO49" s="408"/>
      <c r="KKP49" s="408"/>
      <c r="KKQ49" s="408"/>
      <c r="KKR49" s="408"/>
      <c r="KKS49" s="408"/>
      <c r="KKT49" s="408"/>
      <c r="KKU49" s="408"/>
      <c r="KKV49" s="408"/>
      <c r="KKW49" s="408"/>
      <c r="KKX49" s="408"/>
      <c r="KKY49" s="408"/>
      <c r="KKZ49" s="408"/>
      <c r="KLA49" s="408"/>
      <c r="KLB49" s="408"/>
      <c r="KLC49" s="408"/>
      <c r="KLD49" s="408"/>
      <c r="KLE49" s="408"/>
      <c r="KLF49" s="408"/>
      <c r="KLG49" s="408"/>
      <c r="KLH49" s="408"/>
      <c r="KLI49" s="408"/>
      <c r="KLJ49" s="408"/>
      <c r="KLK49" s="408"/>
      <c r="KLL49" s="408"/>
      <c r="KLM49" s="408"/>
      <c r="KLN49" s="408"/>
      <c r="KLO49" s="408"/>
      <c r="KLP49" s="408"/>
      <c r="KLQ49" s="408"/>
      <c r="KLR49" s="408"/>
      <c r="KLS49" s="408"/>
      <c r="KLT49" s="408"/>
      <c r="KLU49" s="408"/>
      <c r="KLV49" s="408"/>
      <c r="KLW49" s="408"/>
      <c r="KLX49" s="408"/>
      <c r="KLY49" s="408"/>
      <c r="KLZ49" s="408"/>
      <c r="KMA49" s="408"/>
      <c r="KMB49" s="408"/>
      <c r="KMC49" s="408"/>
      <c r="KMD49" s="408"/>
      <c r="KME49" s="408"/>
      <c r="KMF49" s="408"/>
      <c r="KMG49" s="408"/>
      <c r="KMH49" s="408"/>
      <c r="KMI49" s="408"/>
      <c r="KMJ49" s="408"/>
      <c r="KMK49" s="408"/>
      <c r="KML49" s="408"/>
      <c r="KMM49" s="408"/>
      <c r="KMN49" s="408"/>
      <c r="KMO49" s="408"/>
      <c r="KMP49" s="408"/>
      <c r="KMQ49" s="408"/>
      <c r="KMR49" s="408"/>
      <c r="KMS49" s="408"/>
      <c r="KMT49" s="408"/>
      <c r="KMU49" s="408"/>
      <c r="KMV49" s="408"/>
      <c r="KMW49" s="408"/>
      <c r="KMX49" s="408"/>
      <c r="KMY49" s="408"/>
      <c r="KMZ49" s="408"/>
      <c r="KNA49" s="408"/>
      <c r="KNB49" s="408"/>
      <c r="KNC49" s="408"/>
      <c r="KND49" s="408"/>
      <c r="KNE49" s="408"/>
      <c r="KNF49" s="408"/>
      <c r="KNG49" s="408"/>
      <c r="KNH49" s="408"/>
      <c r="KNI49" s="408"/>
      <c r="KNJ49" s="408"/>
      <c r="KNK49" s="408"/>
      <c r="KNL49" s="408"/>
      <c r="KNM49" s="408"/>
      <c r="KNN49" s="408"/>
      <c r="KNO49" s="408"/>
      <c r="KNP49" s="408"/>
      <c r="KNQ49" s="408"/>
      <c r="KNR49" s="408"/>
      <c r="KNS49" s="408"/>
      <c r="KNT49" s="408"/>
      <c r="KNU49" s="408"/>
      <c r="KNV49" s="408"/>
      <c r="KNW49" s="408"/>
      <c r="KNX49" s="408"/>
      <c r="KNY49" s="408"/>
      <c r="KNZ49" s="408"/>
      <c r="KOA49" s="408"/>
      <c r="KOB49" s="408"/>
      <c r="KOC49" s="408"/>
      <c r="KOD49" s="408"/>
      <c r="KOE49" s="408"/>
      <c r="KOF49" s="408"/>
      <c r="KOG49" s="408"/>
      <c r="KOH49" s="408"/>
      <c r="KOI49" s="408"/>
      <c r="KOJ49" s="408"/>
      <c r="KOK49" s="408"/>
      <c r="KOL49" s="408"/>
      <c r="KOM49" s="408"/>
      <c r="KON49" s="408"/>
      <c r="KOO49" s="408"/>
      <c r="KOP49" s="408"/>
      <c r="KOQ49" s="408"/>
      <c r="KOR49" s="408"/>
      <c r="KOS49" s="408"/>
      <c r="KOT49" s="408"/>
      <c r="KOU49" s="408"/>
      <c r="KOV49" s="408"/>
      <c r="KOW49" s="408"/>
      <c r="KOX49" s="408"/>
      <c r="KOY49" s="408"/>
      <c r="KOZ49" s="408"/>
      <c r="KPA49" s="408"/>
      <c r="KPB49" s="408"/>
      <c r="KPC49" s="408"/>
      <c r="KPD49" s="408"/>
      <c r="KPE49" s="408"/>
      <c r="KPF49" s="408"/>
      <c r="KPG49" s="408"/>
      <c r="KPH49" s="408"/>
      <c r="KPI49" s="408"/>
      <c r="KPJ49" s="408"/>
      <c r="KPK49" s="408"/>
      <c r="KPL49" s="408"/>
      <c r="KPM49" s="408"/>
      <c r="KPN49" s="408"/>
      <c r="KPO49" s="408"/>
      <c r="KPP49" s="408"/>
      <c r="KPQ49" s="408"/>
      <c r="KPR49" s="408"/>
      <c r="KPS49" s="408"/>
      <c r="KPT49" s="408"/>
      <c r="KPU49" s="408"/>
      <c r="KPV49" s="408"/>
      <c r="KPW49" s="408"/>
      <c r="KPX49" s="408"/>
      <c r="KPY49" s="408"/>
      <c r="KPZ49" s="408"/>
      <c r="KQA49" s="408"/>
      <c r="KQB49" s="408"/>
      <c r="KQC49" s="408"/>
      <c r="KQD49" s="408"/>
      <c r="KQE49" s="408"/>
      <c r="KQF49" s="408"/>
      <c r="KQG49" s="408"/>
      <c r="KQH49" s="408"/>
      <c r="KQI49" s="408"/>
      <c r="KQJ49" s="408"/>
      <c r="KQK49" s="408"/>
      <c r="KQL49" s="408"/>
      <c r="KQM49" s="408"/>
      <c r="KQN49" s="408"/>
      <c r="KQO49" s="408"/>
      <c r="KQP49" s="408"/>
      <c r="KQQ49" s="408"/>
      <c r="KQR49" s="408"/>
      <c r="KQS49" s="408"/>
      <c r="KQT49" s="408"/>
      <c r="KQU49" s="408"/>
      <c r="KQV49" s="408"/>
      <c r="KQW49" s="408"/>
      <c r="KQX49" s="408"/>
      <c r="KQY49" s="408"/>
      <c r="KQZ49" s="408"/>
      <c r="KRA49" s="408"/>
      <c r="KRB49" s="408"/>
      <c r="KRC49" s="408"/>
      <c r="KRD49" s="408"/>
      <c r="KRE49" s="408"/>
      <c r="KRF49" s="408"/>
      <c r="KRG49" s="408"/>
      <c r="KRH49" s="408"/>
      <c r="KRI49" s="408"/>
      <c r="KRJ49" s="408"/>
      <c r="KRK49" s="408"/>
      <c r="KRL49" s="408"/>
      <c r="KRM49" s="408"/>
      <c r="KRN49" s="408"/>
      <c r="KRO49" s="408"/>
      <c r="KRP49" s="408"/>
      <c r="KRQ49" s="408"/>
      <c r="KRR49" s="408"/>
      <c r="KRS49" s="408"/>
      <c r="KRT49" s="408"/>
      <c r="KRU49" s="408"/>
      <c r="KRV49" s="408"/>
      <c r="KRW49" s="408"/>
      <c r="KRX49" s="408"/>
      <c r="KRY49" s="408"/>
      <c r="KRZ49" s="408"/>
      <c r="KSA49" s="408"/>
      <c r="KSB49" s="408"/>
      <c r="KSC49" s="408"/>
      <c r="KSD49" s="408"/>
      <c r="KSE49" s="408"/>
      <c r="KSF49" s="408"/>
      <c r="KSG49" s="408"/>
      <c r="KSH49" s="408"/>
      <c r="KSI49" s="408"/>
      <c r="KSJ49" s="408"/>
      <c r="KSK49" s="408"/>
      <c r="KSL49" s="408"/>
      <c r="KSM49" s="408"/>
      <c r="KSN49" s="408"/>
      <c r="KSO49" s="408"/>
      <c r="KSP49" s="408"/>
      <c r="KSQ49" s="408"/>
      <c r="KSR49" s="408"/>
      <c r="KSS49" s="408"/>
      <c r="KST49" s="408"/>
      <c r="KSU49" s="408"/>
      <c r="KSV49" s="408"/>
      <c r="KSW49" s="408"/>
      <c r="KSX49" s="408"/>
      <c r="KSY49" s="408"/>
      <c r="KSZ49" s="408"/>
      <c r="KTA49" s="408"/>
      <c r="KTB49" s="408"/>
      <c r="KTC49" s="408"/>
      <c r="KTD49" s="408"/>
      <c r="KTE49" s="408"/>
      <c r="KTF49" s="408"/>
      <c r="KTG49" s="408"/>
      <c r="KTH49" s="408"/>
      <c r="KTI49" s="408"/>
      <c r="KTJ49" s="408"/>
      <c r="KTK49" s="408"/>
      <c r="KTL49" s="408"/>
      <c r="KTM49" s="408"/>
      <c r="KTN49" s="408"/>
      <c r="KTO49" s="408"/>
      <c r="KTP49" s="408"/>
      <c r="KTQ49" s="408"/>
      <c r="KTR49" s="408"/>
      <c r="KTS49" s="408"/>
      <c r="KTT49" s="408"/>
      <c r="KTU49" s="408"/>
      <c r="KTV49" s="408"/>
      <c r="KTW49" s="408"/>
      <c r="KTX49" s="408"/>
      <c r="KTY49" s="408"/>
      <c r="KTZ49" s="408"/>
      <c r="KUA49" s="408"/>
      <c r="KUB49" s="408"/>
      <c r="KUC49" s="408"/>
      <c r="KUD49" s="408"/>
      <c r="KUE49" s="408"/>
      <c r="KUF49" s="408"/>
      <c r="KUG49" s="408"/>
      <c r="KUH49" s="408"/>
      <c r="KUI49" s="408"/>
      <c r="KUJ49" s="408"/>
      <c r="KUK49" s="408"/>
      <c r="KUL49" s="408"/>
      <c r="KUM49" s="408"/>
      <c r="KUN49" s="408"/>
      <c r="KUO49" s="408"/>
      <c r="KUP49" s="408"/>
      <c r="KUQ49" s="408"/>
      <c r="KUR49" s="408"/>
      <c r="KUS49" s="408"/>
      <c r="KUT49" s="408"/>
      <c r="KUU49" s="408"/>
      <c r="KUV49" s="408"/>
      <c r="KUW49" s="408"/>
      <c r="KUX49" s="408"/>
      <c r="KUY49" s="408"/>
      <c r="KUZ49" s="408"/>
      <c r="KVA49" s="408"/>
      <c r="KVB49" s="408"/>
      <c r="KVC49" s="408"/>
      <c r="KVD49" s="408"/>
      <c r="KVE49" s="408"/>
      <c r="KVF49" s="408"/>
      <c r="KVG49" s="408"/>
      <c r="KVH49" s="408"/>
      <c r="KVI49" s="408"/>
      <c r="KVJ49" s="408"/>
      <c r="KVK49" s="408"/>
      <c r="KVL49" s="408"/>
      <c r="KVM49" s="408"/>
      <c r="KVN49" s="408"/>
      <c r="KVO49" s="408"/>
      <c r="KVP49" s="408"/>
      <c r="KVQ49" s="408"/>
      <c r="KVR49" s="408"/>
      <c r="KVS49" s="408"/>
      <c r="KVT49" s="408"/>
      <c r="KVU49" s="408"/>
      <c r="KVV49" s="408"/>
      <c r="KVW49" s="408"/>
      <c r="KVX49" s="408"/>
      <c r="KVY49" s="408"/>
      <c r="KVZ49" s="408"/>
      <c r="KWA49" s="408"/>
      <c r="KWB49" s="408"/>
      <c r="KWC49" s="408"/>
      <c r="KWD49" s="408"/>
      <c r="KWE49" s="408"/>
      <c r="KWF49" s="408"/>
      <c r="KWG49" s="408"/>
      <c r="KWH49" s="408"/>
      <c r="KWI49" s="408"/>
      <c r="KWJ49" s="408"/>
      <c r="KWK49" s="408"/>
      <c r="KWL49" s="408"/>
      <c r="KWM49" s="408"/>
      <c r="KWN49" s="408"/>
      <c r="KWO49" s="408"/>
      <c r="KWP49" s="408"/>
      <c r="KWQ49" s="408"/>
      <c r="KWR49" s="408"/>
      <c r="KWS49" s="408"/>
      <c r="KWT49" s="408"/>
      <c r="KWU49" s="408"/>
      <c r="KWV49" s="408"/>
      <c r="KWW49" s="408"/>
      <c r="KWX49" s="408"/>
      <c r="KWY49" s="408"/>
      <c r="KWZ49" s="408"/>
      <c r="KXA49" s="408"/>
      <c r="KXB49" s="408"/>
      <c r="KXC49" s="408"/>
      <c r="KXD49" s="408"/>
      <c r="KXE49" s="408"/>
      <c r="KXF49" s="408"/>
      <c r="KXG49" s="408"/>
      <c r="KXH49" s="408"/>
      <c r="KXI49" s="408"/>
      <c r="KXJ49" s="408"/>
      <c r="KXK49" s="408"/>
      <c r="KXL49" s="408"/>
      <c r="KXM49" s="408"/>
      <c r="KXN49" s="408"/>
      <c r="KXO49" s="408"/>
      <c r="KXP49" s="408"/>
      <c r="KXQ49" s="408"/>
      <c r="KXR49" s="408"/>
      <c r="KXS49" s="408"/>
      <c r="KXT49" s="408"/>
      <c r="KXU49" s="408"/>
      <c r="KXV49" s="408"/>
      <c r="KXW49" s="408"/>
      <c r="KXX49" s="408"/>
      <c r="KXY49" s="408"/>
      <c r="KXZ49" s="408"/>
      <c r="KYA49" s="408"/>
      <c r="KYB49" s="408"/>
      <c r="KYC49" s="408"/>
      <c r="KYD49" s="408"/>
      <c r="KYE49" s="408"/>
      <c r="KYF49" s="408"/>
      <c r="KYG49" s="408"/>
      <c r="KYH49" s="408"/>
      <c r="KYI49" s="408"/>
      <c r="KYJ49" s="408"/>
      <c r="KYK49" s="408"/>
      <c r="KYL49" s="408"/>
      <c r="KYM49" s="408"/>
      <c r="KYN49" s="408"/>
      <c r="KYO49" s="408"/>
      <c r="KYP49" s="408"/>
      <c r="KYQ49" s="408"/>
      <c r="KYR49" s="408"/>
      <c r="KYS49" s="408"/>
      <c r="KYT49" s="408"/>
      <c r="KYU49" s="408"/>
      <c r="KYV49" s="408"/>
      <c r="KYW49" s="408"/>
      <c r="KYX49" s="408"/>
      <c r="KYY49" s="408"/>
      <c r="KYZ49" s="408"/>
      <c r="KZA49" s="408"/>
      <c r="KZB49" s="408"/>
      <c r="KZC49" s="408"/>
      <c r="KZD49" s="408"/>
      <c r="KZE49" s="408"/>
      <c r="KZF49" s="408"/>
      <c r="KZG49" s="408"/>
      <c r="KZH49" s="408"/>
      <c r="KZI49" s="408"/>
      <c r="KZJ49" s="408"/>
      <c r="KZK49" s="408"/>
      <c r="KZL49" s="408"/>
      <c r="KZM49" s="408"/>
      <c r="KZN49" s="408"/>
      <c r="KZO49" s="408"/>
      <c r="KZP49" s="408"/>
      <c r="KZQ49" s="408"/>
      <c r="KZR49" s="408"/>
      <c r="KZS49" s="408"/>
      <c r="KZT49" s="408"/>
      <c r="KZU49" s="408"/>
      <c r="KZV49" s="408"/>
      <c r="KZW49" s="408"/>
      <c r="KZX49" s="408"/>
      <c r="KZY49" s="408"/>
      <c r="KZZ49" s="408"/>
      <c r="LAA49" s="408"/>
      <c r="LAB49" s="408"/>
      <c r="LAC49" s="408"/>
      <c r="LAD49" s="408"/>
      <c r="LAE49" s="408"/>
      <c r="LAF49" s="408"/>
      <c r="LAG49" s="408"/>
      <c r="LAH49" s="408"/>
      <c r="LAI49" s="408"/>
      <c r="LAJ49" s="408"/>
      <c r="LAK49" s="408"/>
      <c r="LAL49" s="408"/>
      <c r="LAM49" s="408"/>
      <c r="LAN49" s="408"/>
      <c r="LAO49" s="408"/>
      <c r="LAP49" s="408"/>
      <c r="LAQ49" s="408"/>
      <c r="LAR49" s="408"/>
      <c r="LAS49" s="408"/>
      <c r="LAT49" s="408"/>
      <c r="LAU49" s="408"/>
      <c r="LAV49" s="408"/>
      <c r="LAW49" s="408"/>
      <c r="LAX49" s="408"/>
      <c r="LAY49" s="408"/>
      <c r="LAZ49" s="408"/>
      <c r="LBA49" s="408"/>
      <c r="LBB49" s="408"/>
      <c r="LBC49" s="408"/>
      <c r="LBD49" s="408"/>
      <c r="LBE49" s="408"/>
      <c r="LBF49" s="408"/>
      <c r="LBG49" s="408"/>
      <c r="LBH49" s="408"/>
      <c r="LBI49" s="408"/>
      <c r="LBJ49" s="408"/>
      <c r="LBK49" s="408"/>
      <c r="LBL49" s="408"/>
      <c r="LBM49" s="408"/>
      <c r="LBN49" s="408"/>
      <c r="LBO49" s="408"/>
      <c r="LBP49" s="408"/>
      <c r="LBQ49" s="408"/>
      <c r="LBR49" s="408"/>
      <c r="LBS49" s="408"/>
      <c r="LBT49" s="408"/>
      <c r="LBU49" s="408"/>
      <c r="LBV49" s="408"/>
      <c r="LBW49" s="408"/>
      <c r="LBX49" s="408"/>
      <c r="LBY49" s="408"/>
      <c r="LBZ49" s="408"/>
      <c r="LCA49" s="408"/>
      <c r="LCB49" s="408"/>
      <c r="LCC49" s="408"/>
      <c r="LCD49" s="408"/>
      <c r="LCE49" s="408"/>
      <c r="LCF49" s="408"/>
      <c r="LCG49" s="408"/>
      <c r="LCH49" s="408"/>
      <c r="LCI49" s="408"/>
      <c r="LCJ49" s="408"/>
      <c r="LCK49" s="408"/>
      <c r="LCL49" s="408"/>
      <c r="LCM49" s="408"/>
      <c r="LCN49" s="408"/>
      <c r="LCO49" s="408"/>
      <c r="LCP49" s="408"/>
      <c r="LCQ49" s="408"/>
      <c r="LCR49" s="408"/>
      <c r="LCS49" s="408"/>
      <c r="LCT49" s="408"/>
      <c r="LCU49" s="408"/>
      <c r="LCV49" s="408"/>
      <c r="LCW49" s="408"/>
      <c r="LCX49" s="408"/>
      <c r="LCY49" s="408"/>
      <c r="LCZ49" s="408"/>
      <c r="LDA49" s="408"/>
      <c r="LDB49" s="408"/>
      <c r="LDC49" s="408"/>
      <c r="LDD49" s="408"/>
      <c r="LDE49" s="408"/>
      <c r="LDF49" s="408"/>
      <c r="LDG49" s="408"/>
      <c r="LDH49" s="408"/>
      <c r="LDI49" s="408"/>
      <c r="LDJ49" s="408"/>
      <c r="LDK49" s="408"/>
      <c r="LDL49" s="408"/>
      <c r="LDM49" s="408"/>
      <c r="LDN49" s="408"/>
      <c r="LDO49" s="408"/>
      <c r="LDP49" s="408"/>
      <c r="LDQ49" s="408"/>
      <c r="LDR49" s="408"/>
      <c r="LDS49" s="408"/>
      <c r="LDT49" s="408"/>
      <c r="LDU49" s="408"/>
      <c r="LDV49" s="408"/>
      <c r="LDW49" s="408"/>
      <c r="LDX49" s="408"/>
      <c r="LDY49" s="408"/>
      <c r="LDZ49" s="408"/>
      <c r="LEA49" s="408"/>
      <c r="LEB49" s="408"/>
      <c r="LEC49" s="408"/>
      <c r="LED49" s="408"/>
      <c r="LEE49" s="408"/>
      <c r="LEF49" s="408"/>
      <c r="LEG49" s="408"/>
      <c r="LEH49" s="408"/>
      <c r="LEI49" s="408"/>
      <c r="LEJ49" s="408"/>
      <c r="LEK49" s="408"/>
      <c r="LEL49" s="408"/>
      <c r="LEM49" s="408"/>
      <c r="LEN49" s="408"/>
      <c r="LEO49" s="408"/>
      <c r="LEP49" s="408"/>
      <c r="LEQ49" s="408"/>
      <c r="LER49" s="408"/>
      <c r="LES49" s="408"/>
      <c r="LET49" s="408"/>
      <c r="LEU49" s="408"/>
      <c r="LEV49" s="408"/>
      <c r="LEW49" s="408"/>
      <c r="LEX49" s="408"/>
      <c r="LEY49" s="408"/>
      <c r="LEZ49" s="408"/>
      <c r="LFA49" s="408"/>
      <c r="LFB49" s="408"/>
      <c r="LFC49" s="408"/>
      <c r="LFD49" s="408"/>
      <c r="LFE49" s="408"/>
      <c r="LFF49" s="408"/>
      <c r="LFG49" s="408"/>
      <c r="LFH49" s="408"/>
      <c r="LFI49" s="408"/>
      <c r="LFJ49" s="408"/>
      <c r="LFK49" s="408"/>
      <c r="LFL49" s="408"/>
      <c r="LFM49" s="408"/>
      <c r="LFN49" s="408"/>
      <c r="LFO49" s="408"/>
      <c r="LFP49" s="408"/>
      <c r="LFQ49" s="408"/>
      <c r="LFR49" s="408"/>
      <c r="LFS49" s="408"/>
      <c r="LFT49" s="408"/>
      <c r="LFU49" s="408"/>
      <c r="LFV49" s="408"/>
      <c r="LFW49" s="408"/>
      <c r="LFX49" s="408"/>
      <c r="LFY49" s="408"/>
      <c r="LFZ49" s="408"/>
      <c r="LGA49" s="408"/>
      <c r="LGB49" s="408"/>
      <c r="LGC49" s="408"/>
      <c r="LGD49" s="408"/>
      <c r="LGE49" s="408"/>
      <c r="LGF49" s="408"/>
      <c r="LGG49" s="408"/>
      <c r="LGH49" s="408"/>
      <c r="LGI49" s="408"/>
      <c r="LGJ49" s="408"/>
      <c r="LGK49" s="408"/>
      <c r="LGL49" s="408"/>
      <c r="LGM49" s="408"/>
      <c r="LGN49" s="408"/>
      <c r="LGO49" s="408"/>
      <c r="LGP49" s="408"/>
      <c r="LGQ49" s="408"/>
      <c r="LGR49" s="408"/>
      <c r="LGS49" s="408"/>
      <c r="LGT49" s="408"/>
      <c r="LGU49" s="408"/>
      <c r="LGV49" s="408"/>
      <c r="LGW49" s="408"/>
      <c r="LGX49" s="408"/>
      <c r="LGY49" s="408"/>
      <c r="LGZ49" s="408"/>
      <c r="LHA49" s="408"/>
      <c r="LHB49" s="408"/>
      <c r="LHC49" s="408"/>
      <c r="LHD49" s="408"/>
      <c r="LHE49" s="408"/>
      <c r="LHF49" s="408"/>
      <c r="LHG49" s="408"/>
      <c r="LHH49" s="408"/>
      <c r="LHI49" s="408"/>
      <c r="LHJ49" s="408"/>
      <c r="LHK49" s="408"/>
      <c r="LHL49" s="408"/>
      <c r="LHM49" s="408"/>
      <c r="LHN49" s="408"/>
      <c r="LHO49" s="408"/>
      <c r="LHP49" s="408"/>
      <c r="LHQ49" s="408"/>
      <c r="LHR49" s="408"/>
      <c r="LHS49" s="408"/>
      <c r="LHT49" s="408"/>
      <c r="LHU49" s="408"/>
      <c r="LHV49" s="408"/>
      <c r="LHW49" s="408"/>
      <c r="LHX49" s="408"/>
      <c r="LHY49" s="408"/>
      <c r="LHZ49" s="408"/>
      <c r="LIA49" s="408"/>
      <c r="LIB49" s="408"/>
      <c r="LIC49" s="408"/>
      <c r="LID49" s="408"/>
      <c r="LIE49" s="408"/>
      <c r="LIF49" s="408"/>
      <c r="LIG49" s="408"/>
      <c r="LIH49" s="408"/>
      <c r="LII49" s="408"/>
      <c r="LIJ49" s="408"/>
      <c r="LIK49" s="408"/>
      <c r="LIL49" s="408"/>
      <c r="LIM49" s="408"/>
      <c r="LIN49" s="408"/>
      <c r="LIO49" s="408"/>
      <c r="LIP49" s="408"/>
      <c r="LIQ49" s="408"/>
      <c r="LIR49" s="408"/>
      <c r="LIS49" s="408"/>
      <c r="LIT49" s="408"/>
      <c r="LIU49" s="408"/>
      <c r="LIV49" s="408"/>
      <c r="LIW49" s="408"/>
      <c r="LIX49" s="408"/>
      <c r="LIY49" s="408"/>
      <c r="LIZ49" s="408"/>
      <c r="LJA49" s="408"/>
      <c r="LJB49" s="408"/>
      <c r="LJC49" s="408"/>
      <c r="LJD49" s="408"/>
      <c r="LJE49" s="408"/>
      <c r="LJF49" s="408"/>
      <c r="LJG49" s="408"/>
      <c r="LJH49" s="408"/>
      <c r="LJI49" s="408"/>
      <c r="LJJ49" s="408"/>
      <c r="LJK49" s="408"/>
      <c r="LJL49" s="408"/>
      <c r="LJM49" s="408"/>
      <c r="LJN49" s="408"/>
      <c r="LJO49" s="408"/>
      <c r="LJP49" s="408"/>
      <c r="LJQ49" s="408"/>
      <c r="LJR49" s="408"/>
      <c r="LJS49" s="408"/>
      <c r="LJT49" s="408"/>
      <c r="LJU49" s="408"/>
      <c r="LJV49" s="408"/>
      <c r="LJW49" s="408"/>
      <c r="LJX49" s="408"/>
      <c r="LJY49" s="408"/>
      <c r="LJZ49" s="408"/>
      <c r="LKA49" s="408"/>
      <c r="LKB49" s="408"/>
      <c r="LKC49" s="408"/>
      <c r="LKD49" s="408"/>
      <c r="LKE49" s="408"/>
      <c r="LKF49" s="408"/>
      <c r="LKG49" s="408"/>
      <c r="LKH49" s="408"/>
      <c r="LKI49" s="408"/>
      <c r="LKJ49" s="408"/>
      <c r="LKK49" s="408"/>
      <c r="LKL49" s="408"/>
      <c r="LKM49" s="408"/>
      <c r="LKN49" s="408"/>
      <c r="LKO49" s="408"/>
      <c r="LKP49" s="408"/>
      <c r="LKQ49" s="408"/>
      <c r="LKR49" s="408"/>
      <c r="LKS49" s="408"/>
      <c r="LKT49" s="408"/>
      <c r="LKU49" s="408"/>
      <c r="LKV49" s="408"/>
      <c r="LKW49" s="408"/>
      <c r="LKX49" s="408"/>
      <c r="LKY49" s="408"/>
      <c r="LKZ49" s="408"/>
      <c r="LLA49" s="408"/>
      <c r="LLB49" s="408"/>
      <c r="LLC49" s="408"/>
      <c r="LLD49" s="408"/>
      <c r="LLE49" s="408"/>
      <c r="LLF49" s="408"/>
      <c r="LLG49" s="408"/>
      <c r="LLH49" s="408"/>
      <c r="LLI49" s="408"/>
      <c r="LLJ49" s="408"/>
      <c r="LLK49" s="408"/>
      <c r="LLL49" s="408"/>
      <c r="LLM49" s="408"/>
      <c r="LLN49" s="408"/>
      <c r="LLO49" s="408"/>
      <c r="LLP49" s="408"/>
      <c r="LLQ49" s="408"/>
      <c r="LLR49" s="408"/>
      <c r="LLS49" s="408"/>
      <c r="LLT49" s="408"/>
      <c r="LLU49" s="408"/>
      <c r="LLV49" s="408"/>
      <c r="LLW49" s="408"/>
      <c r="LLX49" s="408"/>
      <c r="LLY49" s="408"/>
      <c r="LLZ49" s="408"/>
      <c r="LMA49" s="408"/>
      <c r="LMB49" s="408"/>
      <c r="LMC49" s="408"/>
      <c r="LMD49" s="408"/>
      <c r="LME49" s="408"/>
      <c r="LMF49" s="408"/>
      <c r="LMG49" s="408"/>
      <c r="LMH49" s="408"/>
      <c r="LMI49" s="408"/>
      <c r="LMJ49" s="408"/>
      <c r="LMK49" s="408"/>
      <c r="LML49" s="408"/>
      <c r="LMM49" s="408"/>
      <c r="LMN49" s="408"/>
      <c r="LMO49" s="408"/>
      <c r="LMP49" s="408"/>
      <c r="LMQ49" s="408"/>
      <c r="LMR49" s="408"/>
      <c r="LMS49" s="408"/>
      <c r="LMT49" s="408"/>
      <c r="LMU49" s="408"/>
      <c r="LMV49" s="408"/>
      <c r="LMW49" s="408"/>
      <c r="LMX49" s="408"/>
      <c r="LMY49" s="408"/>
      <c r="LMZ49" s="408"/>
      <c r="LNA49" s="408"/>
      <c r="LNB49" s="408"/>
      <c r="LNC49" s="408"/>
      <c r="LND49" s="408"/>
      <c r="LNE49" s="408"/>
      <c r="LNF49" s="408"/>
      <c r="LNG49" s="408"/>
      <c r="LNH49" s="408"/>
      <c r="LNI49" s="408"/>
      <c r="LNJ49" s="408"/>
      <c r="LNK49" s="408"/>
      <c r="LNL49" s="408"/>
      <c r="LNM49" s="408"/>
      <c r="LNN49" s="408"/>
      <c r="LNO49" s="408"/>
      <c r="LNP49" s="408"/>
      <c r="LNQ49" s="408"/>
      <c r="LNR49" s="408"/>
      <c r="LNS49" s="408"/>
      <c r="LNT49" s="408"/>
      <c r="LNU49" s="408"/>
      <c r="LNV49" s="408"/>
      <c r="LNW49" s="408"/>
      <c r="LNX49" s="408"/>
      <c r="LNY49" s="408"/>
      <c r="LNZ49" s="408"/>
      <c r="LOA49" s="408"/>
      <c r="LOB49" s="408"/>
      <c r="LOC49" s="408"/>
      <c r="LOD49" s="408"/>
      <c r="LOE49" s="408"/>
      <c r="LOF49" s="408"/>
      <c r="LOG49" s="408"/>
      <c r="LOH49" s="408"/>
      <c r="LOI49" s="408"/>
      <c r="LOJ49" s="408"/>
      <c r="LOK49" s="408"/>
      <c r="LOL49" s="408"/>
      <c r="LOM49" s="408"/>
      <c r="LON49" s="408"/>
      <c r="LOO49" s="408"/>
      <c r="LOP49" s="408"/>
      <c r="LOQ49" s="408"/>
      <c r="LOR49" s="408"/>
      <c r="LOS49" s="408"/>
      <c r="LOT49" s="408"/>
      <c r="LOU49" s="408"/>
      <c r="LOV49" s="408"/>
      <c r="LOW49" s="408"/>
      <c r="LOX49" s="408"/>
      <c r="LOY49" s="408"/>
      <c r="LOZ49" s="408"/>
      <c r="LPA49" s="408"/>
      <c r="LPB49" s="408"/>
      <c r="LPC49" s="408"/>
      <c r="LPD49" s="408"/>
      <c r="LPE49" s="408"/>
      <c r="LPF49" s="408"/>
      <c r="LPG49" s="408"/>
      <c r="LPH49" s="408"/>
      <c r="LPI49" s="408"/>
      <c r="LPJ49" s="408"/>
      <c r="LPK49" s="408"/>
      <c r="LPL49" s="408"/>
      <c r="LPM49" s="408"/>
      <c r="LPN49" s="408"/>
      <c r="LPO49" s="408"/>
      <c r="LPP49" s="408"/>
      <c r="LPQ49" s="408"/>
      <c r="LPR49" s="408"/>
      <c r="LPS49" s="408"/>
      <c r="LPT49" s="408"/>
      <c r="LPU49" s="408"/>
      <c r="LPV49" s="408"/>
      <c r="LPW49" s="408"/>
      <c r="LPX49" s="408"/>
      <c r="LPY49" s="408"/>
      <c r="LPZ49" s="408"/>
      <c r="LQA49" s="408"/>
      <c r="LQB49" s="408"/>
      <c r="LQC49" s="408"/>
      <c r="LQD49" s="408"/>
      <c r="LQE49" s="408"/>
      <c r="LQF49" s="408"/>
      <c r="LQG49" s="408"/>
      <c r="LQH49" s="408"/>
      <c r="LQI49" s="408"/>
      <c r="LQJ49" s="408"/>
      <c r="LQK49" s="408"/>
      <c r="LQL49" s="408"/>
      <c r="LQM49" s="408"/>
      <c r="LQN49" s="408"/>
      <c r="LQO49" s="408"/>
      <c r="LQP49" s="408"/>
      <c r="LQQ49" s="408"/>
      <c r="LQR49" s="408"/>
      <c r="LQS49" s="408"/>
      <c r="LQT49" s="408"/>
      <c r="LQU49" s="408"/>
      <c r="LQV49" s="408"/>
      <c r="LQW49" s="408"/>
      <c r="LQX49" s="408"/>
      <c r="LQY49" s="408"/>
      <c r="LQZ49" s="408"/>
      <c r="LRA49" s="408"/>
      <c r="LRB49" s="408"/>
      <c r="LRC49" s="408"/>
      <c r="LRD49" s="408"/>
      <c r="LRE49" s="408"/>
      <c r="LRF49" s="408"/>
      <c r="LRG49" s="408"/>
      <c r="LRH49" s="408"/>
      <c r="LRI49" s="408"/>
      <c r="LRJ49" s="408"/>
      <c r="LRK49" s="408"/>
      <c r="LRL49" s="408"/>
      <c r="LRM49" s="408"/>
      <c r="LRN49" s="408"/>
      <c r="LRO49" s="408"/>
      <c r="LRP49" s="408"/>
      <c r="LRQ49" s="408"/>
      <c r="LRR49" s="408"/>
      <c r="LRS49" s="408"/>
      <c r="LRT49" s="408"/>
      <c r="LRU49" s="408"/>
      <c r="LRV49" s="408"/>
      <c r="LRW49" s="408"/>
      <c r="LRX49" s="408"/>
      <c r="LRY49" s="408"/>
      <c r="LRZ49" s="408"/>
      <c r="LSA49" s="408"/>
      <c r="LSB49" s="408"/>
      <c r="LSC49" s="408"/>
      <c r="LSD49" s="408"/>
      <c r="LSE49" s="408"/>
      <c r="LSF49" s="408"/>
      <c r="LSG49" s="408"/>
      <c r="LSH49" s="408"/>
      <c r="LSI49" s="408"/>
      <c r="LSJ49" s="408"/>
      <c r="LSK49" s="408"/>
      <c r="LSL49" s="408"/>
      <c r="LSM49" s="408"/>
      <c r="LSN49" s="408"/>
      <c r="LSO49" s="408"/>
      <c r="LSP49" s="408"/>
      <c r="LSQ49" s="408"/>
      <c r="LSR49" s="408"/>
      <c r="LSS49" s="408"/>
      <c r="LST49" s="408"/>
      <c r="LSU49" s="408"/>
      <c r="LSV49" s="408"/>
      <c r="LSW49" s="408"/>
      <c r="LSX49" s="408"/>
      <c r="LSY49" s="408"/>
      <c r="LSZ49" s="408"/>
      <c r="LTA49" s="408"/>
      <c r="LTB49" s="408"/>
      <c r="LTC49" s="408"/>
      <c r="LTD49" s="408"/>
      <c r="LTE49" s="408"/>
      <c r="LTF49" s="408"/>
      <c r="LTG49" s="408"/>
      <c r="LTH49" s="408"/>
      <c r="LTI49" s="408"/>
      <c r="LTJ49" s="408"/>
      <c r="LTK49" s="408"/>
      <c r="LTL49" s="408"/>
      <c r="LTM49" s="408"/>
      <c r="LTN49" s="408"/>
      <c r="LTO49" s="408"/>
      <c r="LTP49" s="408"/>
      <c r="LTQ49" s="408"/>
      <c r="LTR49" s="408"/>
      <c r="LTS49" s="408"/>
      <c r="LTT49" s="408"/>
      <c r="LTU49" s="408"/>
      <c r="LTV49" s="408"/>
      <c r="LTW49" s="408"/>
      <c r="LTX49" s="408"/>
      <c r="LTY49" s="408"/>
      <c r="LTZ49" s="408"/>
      <c r="LUA49" s="408"/>
      <c r="LUB49" s="408"/>
      <c r="LUC49" s="408"/>
      <c r="LUD49" s="408"/>
      <c r="LUE49" s="408"/>
      <c r="LUF49" s="408"/>
      <c r="LUG49" s="408"/>
      <c r="LUH49" s="408"/>
      <c r="LUI49" s="408"/>
      <c r="LUJ49" s="408"/>
      <c r="LUK49" s="408"/>
      <c r="LUL49" s="408"/>
      <c r="LUM49" s="408"/>
      <c r="LUN49" s="408"/>
      <c r="LUO49" s="408"/>
      <c r="LUP49" s="408"/>
      <c r="LUQ49" s="408"/>
      <c r="LUR49" s="408"/>
      <c r="LUS49" s="408"/>
      <c r="LUT49" s="408"/>
      <c r="LUU49" s="408"/>
      <c r="LUV49" s="408"/>
      <c r="LUW49" s="408"/>
      <c r="LUX49" s="408"/>
      <c r="LUY49" s="408"/>
      <c r="LUZ49" s="408"/>
      <c r="LVA49" s="408"/>
      <c r="LVB49" s="408"/>
      <c r="LVC49" s="408"/>
      <c r="LVD49" s="408"/>
      <c r="LVE49" s="408"/>
      <c r="LVF49" s="408"/>
      <c r="LVG49" s="408"/>
      <c r="LVH49" s="408"/>
      <c r="LVI49" s="408"/>
      <c r="LVJ49" s="408"/>
      <c r="LVK49" s="408"/>
      <c r="LVL49" s="408"/>
      <c r="LVM49" s="408"/>
      <c r="LVN49" s="408"/>
      <c r="LVO49" s="408"/>
      <c r="LVP49" s="408"/>
      <c r="LVQ49" s="408"/>
      <c r="LVR49" s="408"/>
      <c r="LVS49" s="408"/>
      <c r="LVT49" s="408"/>
      <c r="LVU49" s="408"/>
      <c r="LVV49" s="408"/>
      <c r="LVW49" s="408"/>
      <c r="LVX49" s="408"/>
      <c r="LVY49" s="408"/>
      <c r="LVZ49" s="408"/>
      <c r="LWA49" s="408"/>
      <c r="LWB49" s="408"/>
      <c r="LWC49" s="408"/>
      <c r="LWD49" s="408"/>
      <c r="LWE49" s="408"/>
      <c r="LWF49" s="408"/>
      <c r="LWG49" s="408"/>
      <c r="LWH49" s="408"/>
      <c r="LWI49" s="408"/>
      <c r="LWJ49" s="408"/>
      <c r="LWK49" s="408"/>
      <c r="LWL49" s="408"/>
      <c r="LWM49" s="408"/>
      <c r="LWN49" s="408"/>
      <c r="LWO49" s="408"/>
      <c r="LWP49" s="408"/>
      <c r="LWQ49" s="408"/>
      <c r="LWR49" s="408"/>
      <c r="LWS49" s="408"/>
      <c r="LWT49" s="408"/>
      <c r="LWU49" s="408"/>
      <c r="LWV49" s="408"/>
      <c r="LWW49" s="408"/>
      <c r="LWX49" s="408"/>
      <c r="LWY49" s="408"/>
      <c r="LWZ49" s="408"/>
      <c r="LXA49" s="408"/>
      <c r="LXB49" s="408"/>
      <c r="LXC49" s="408"/>
      <c r="LXD49" s="408"/>
      <c r="LXE49" s="408"/>
      <c r="LXF49" s="408"/>
      <c r="LXG49" s="408"/>
      <c r="LXH49" s="408"/>
      <c r="LXI49" s="408"/>
      <c r="LXJ49" s="408"/>
      <c r="LXK49" s="408"/>
      <c r="LXL49" s="408"/>
      <c r="LXM49" s="408"/>
      <c r="LXN49" s="408"/>
      <c r="LXO49" s="408"/>
      <c r="LXP49" s="408"/>
      <c r="LXQ49" s="408"/>
      <c r="LXR49" s="408"/>
      <c r="LXS49" s="408"/>
      <c r="LXT49" s="408"/>
      <c r="LXU49" s="408"/>
      <c r="LXV49" s="408"/>
      <c r="LXW49" s="408"/>
      <c r="LXX49" s="408"/>
      <c r="LXY49" s="408"/>
      <c r="LXZ49" s="408"/>
      <c r="LYA49" s="408"/>
      <c r="LYB49" s="408"/>
      <c r="LYC49" s="408"/>
      <c r="LYD49" s="408"/>
      <c r="LYE49" s="408"/>
      <c r="LYF49" s="408"/>
      <c r="LYG49" s="408"/>
      <c r="LYH49" s="408"/>
      <c r="LYI49" s="408"/>
      <c r="LYJ49" s="408"/>
      <c r="LYK49" s="408"/>
      <c r="LYL49" s="408"/>
      <c r="LYM49" s="408"/>
      <c r="LYN49" s="408"/>
      <c r="LYO49" s="408"/>
      <c r="LYP49" s="408"/>
      <c r="LYQ49" s="408"/>
      <c r="LYR49" s="408"/>
      <c r="LYS49" s="408"/>
      <c r="LYT49" s="408"/>
      <c r="LYU49" s="408"/>
      <c r="LYV49" s="408"/>
      <c r="LYW49" s="408"/>
      <c r="LYX49" s="408"/>
      <c r="LYY49" s="408"/>
      <c r="LYZ49" s="408"/>
      <c r="LZA49" s="408"/>
      <c r="LZB49" s="408"/>
      <c r="LZC49" s="408"/>
      <c r="LZD49" s="408"/>
      <c r="LZE49" s="408"/>
      <c r="LZF49" s="408"/>
      <c r="LZG49" s="408"/>
      <c r="LZH49" s="408"/>
      <c r="LZI49" s="408"/>
      <c r="LZJ49" s="408"/>
      <c r="LZK49" s="408"/>
      <c r="LZL49" s="408"/>
      <c r="LZM49" s="408"/>
      <c r="LZN49" s="408"/>
      <c r="LZO49" s="408"/>
      <c r="LZP49" s="408"/>
      <c r="LZQ49" s="408"/>
      <c r="LZR49" s="408"/>
      <c r="LZS49" s="408"/>
      <c r="LZT49" s="408"/>
      <c r="LZU49" s="408"/>
      <c r="LZV49" s="408"/>
      <c r="LZW49" s="408"/>
      <c r="LZX49" s="408"/>
      <c r="LZY49" s="408"/>
      <c r="LZZ49" s="408"/>
      <c r="MAA49" s="408"/>
      <c r="MAB49" s="408"/>
      <c r="MAC49" s="408"/>
      <c r="MAD49" s="408"/>
      <c r="MAE49" s="408"/>
      <c r="MAF49" s="408"/>
      <c r="MAG49" s="408"/>
      <c r="MAH49" s="408"/>
      <c r="MAI49" s="408"/>
      <c r="MAJ49" s="408"/>
      <c r="MAK49" s="408"/>
      <c r="MAL49" s="408"/>
      <c r="MAM49" s="408"/>
      <c r="MAN49" s="408"/>
      <c r="MAO49" s="408"/>
      <c r="MAP49" s="408"/>
      <c r="MAQ49" s="408"/>
      <c r="MAR49" s="408"/>
      <c r="MAS49" s="408"/>
      <c r="MAT49" s="408"/>
      <c r="MAU49" s="408"/>
      <c r="MAV49" s="408"/>
      <c r="MAW49" s="408"/>
      <c r="MAX49" s="408"/>
      <c r="MAY49" s="408"/>
      <c r="MAZ49" s="408"/>
      <c r="MBA49" s="408"/>
      <c r="MBB49" s="408"/>
      <c r="MBC49" s="408"/>
      <c r="MBD49" s="408"/>
      <c r="MBE49" s="408"/>
      <c r="MBF49" s="408"/>
      <c r="MBG49" s="408"/>
      <c r="MBH49" s="408"/>
      <c r="MBI49" s="408"/>
      <c r="MBJ49" s="408"/>
      <c r="MBK49" s="408"/>
      <c r="MBL49" s="408"/>
      <c r="MBM49" s="408"/>
      <c r="MBN49" s="408"/>
      <c r="MBO49" s="408"/>
      <c r="MBP49" s="408"/>
      <c r="MBQ49" s="408"/>
      <c r="MBR49" s="408"/>
      <c r="MBS49" s="408"/>
      <c r="MBT49" s="408"/>
      <c r="MBU49" s="408"/>
      <c r="MBV49" s="408"/>
      <c r="MBW49" s="408"/>
      <c r="MBX49" s="408"/>
      <c r="MBY49" s="408"/>
      <c r="MBZ49" s="408"/>
      <c r="MCA49" s="408"/>
      <c r="MCB49" s="408"/>
      <c r="MCC49" s="408"/>
      <c r="MCD49" s="408"/>
      <c r="MCE49" s="408"/>
      <c r="MCF49" s="408"/>
      <c r="MCG49" s="408"/>
      <c r="MCH49" s="408"/>
      <c r="MCI49" s="408"/>
      <c r="MCJ49" s="408"/>
      <c r="MCK49" s="408"/>
      <c r="MCL49" s="408"/>
      <c r="MCM49" s="408"/>
      <c r="MCN49" s="408"/>
      <c r="MCO49" s="408"/>
      <c r="MCP49" s="408"/>
      <c r="MCQ49" s="408"/>
      <c r="MCR49" s="408"/>
      <c r="MCS49" s="408"/>
      <c r="MCT49" s="408"/>
      <c r="MCU49" s="408"/>
      <c r="MCV49" s="408"/>
      <c r="MCW49" s="408"/>
      <c r="MCX49" s="408"/>
      <c r="MCY49" s="408"/>
      <c r="MCZ49" s="408"/>
      <c r="MDA49" s="408"/>
      <c r="MDB49" s="408"/>
      <c r="MDC49" s="408"/>
      <c r="MDD49" s="408"/>
      <c r="MDE49" s="408"/>
      <c r="MDF49" s="408"/>
      <c r="MDG49" s="408"/>
      <c r="MDH49" s="408"/>
      <c r="MDI49" s="408"/>
      <c r="MDJ49" s="408"/>
      <c r="MDK49" s="408"/>
      <c r="MDL49" s="408"/>
      <c r="MDM49" s="408"/>
      <c r="MDN49" s="408"/>
      <c r="MDO49" s="408"/>
      <c r="MDP49" s="408"/>
      <c r="MDQ49" s="408"/>
      <c r="MDR49" s="408"/>
      <c r="MDS49" s="408"/>
      <c r="MDT49" s="408"/>
      <c r="MDU49" s="408"/>
      <c r="MDV49" s="408"/>
      <c r="MDW49" s="408"/>
      <c r="MDX49" s="408"/>
      <c r="MDY49" s="408"/>
      <c r="MDZ49" s="408"/>
      <c r="MEA49" s="408"/>
      <c r="MEB49" s="408"/>
      <c r="MEC49" s="408"/>
      <c r="MED49" s="408"/>
      <c r="MEE49" s="408"/>
      <c r="MEF49" s="408"/>
      <c r="MEG49" s="408"/>
      <c r="MEH49" s="408"/>
      <c r="MEI49" s="408"/>
      <c r="MEJ49" s="408"/>
      <c r="MEK49" s="408"/>
      <c r="MEL49" s="408"/>
      <c r="MEM49" s="408"/>
      <c r="MEN49" s="408"/>
      <c r="MEO49" s="408"/>
      <c r="MEP49" s="408"/>
      <c r="MEQ49" s="408"/>
      <c r="MER49" s="408"/>
      <c r="MES49" s="408"/>
      <c r="MET49" s="408"/>
      <c r="MEU49" s="408"/>
      <c r="MEV49" s="408"/>
      <c r="MEW49" s="408"/>
      <c r="MEX49" s="408"/>
      <c r="MEY49" s="408"/>
      <c r="MEZ49" s="408"/>
      <c r="MFA49" s="408"/>
      <c r="MFB49" s="408"/>
      <c r="MFC49" s="408"/>
      <c r="MFD49" s="408"/>
      <c r="MFE49" s="408"/>
      <c r="MFF49" s="408"/>
      <c r="MFG49" s="408"/>
      <c r="MFH49" s="408"/>
      <c r="MFI49" s="408"/>
      <c r="MFJ49" s="408"/>
      <c r="MFK49" s="408"/>
      <c r="MFL49" s="408"/>
      <c r="MFM49" s="408"/>
      <c r="MFN49" s="408"/>
      <c r="MFO49" s="408"/>
      <c r="MFP49" s="408"/>
      <c r="MFQ49" s="408"/>
      <c r="MFR49" s="408"/>
      <c r="MFS49" s="408"/>
      <c r="MFT49" s="408"/>
      <c r="MFU49" s="408"/>
      <c r="MFV49" s="408"/>
      <c r="MFW49" s="408"/>
      <c r="MFX49" s="408"/>
      <c r="MFY49" s="408"/>
      <c r="MFZ49" s="408"/>
      <c r="MGA49" s="408"/>
      <c r="MGB49" s="408"/>
      <c r="MGC49" s="408"/>
      <c r="MGD49" s="408"/>
      <c r="MGE49" s="408"/>
      <c r="MGF49" s="408"/>
      <c r="MGG49" s="408"/>
      <c r="MGH49" s="408"/>
      <c r="MGI49" s="408"/>
      <c r="MGJ49" s="408"/>
      <c r="MGK49" s="408"/>
      <c r="MGL49" s="408"/>
      <c r="MGM49" s="408"/>
      <c r="MGN49" s="408"/>
      <c r="MGO49" s="408"/>
      <c r="MGP49" s="408"/>
      <c r="MGQ49" s="408"/>
      <c r="MGR49" s="408"/>
      <c r="MGS49" s="408"/>
      <c r="MGT49" s="408"/>
      <c r="MGU49" s="408"/>
      <c r="MGV49" s="408"/>
      <c r="MGW49" s="408"/>
      <c r="MGX49" s="408"/>
      <c r="MGY49" s="408"/>
      <c r="MGZ49" s="408"/>
      <c r="MHA49" s="408"/>
      <c r="MHB49" s="408"/>
      <c r="MHC49" s="408"/>
      <c r="MHD49" s="408"/>
      <c r="MHE49" s="408"/>
      <c r="MHF49" s="408"/>
      <c r="MHG49" s="408"/>
      <c r="MHH49" s="408"/>
      <c r="MHI49" s="408"/>
      <c r="MHJ49" s="408"/>
      <c r="MHK49" s="408"/>
      <c r="MHL49" s="408"/>
      <c r="MHM49" s="408"/>
      <c r="MHN49" s="408"/>
      <c r="MHO49" s="408"/>
      <c r="MHP49" s="408"/>
      <c r="MHQ49" s="408"/>
      <c r="MHR49" s="408"/>
      <c r="MHS49" s="408"/>
      <c r="MHT49" s="408"/>
      <c r="MHU49" s="408"/>
      <c r="MHV49" s="408"/>
      <c r="MHW49" s="408"/>
      <c r="MHX49" s="408"/>
      <c r="MHY49" s="408"/>
      <c r="MHZ49" s="408"/>
      <c r="MIA49" s="408"/>
      <c r="MIB49" s="408"/>
      <c r="MIC49" s="408"/>
      <c r="MID49" s="408"/>
      <c r="MIE49" s="408"/>
      <c r="MIF49" s="408"/>
      <c r="MIG49" s="408"/>
      <c r="MIH49" s="408"/>
      <c r="MII49" s="408"/>
      <c r="MIJ49" s="408"/>
      <c r="MIK49" s="408"/>
      <c r="MIL49" s="408"/>
      <c r="MIM49" s="408"/>
      <c r="MIN49" s="408"/>
      <c r="MIO49" s="408"/>
      <c r="MIP49" s="408"/>
      <c r="MIQ49" s="408"/>
      <c r="MIR49" s="408"/>
      <c r="MIS49" s="408"/>
      <c r="MIT49" s="408"/>
      <c r="MIU49" s="408"/>
      <c r="MIV49" s="408"/>
      <c r="MIW49" s="408"/>
      <c r="MIX49" s="408"/>
      <c r="MIY49" s="408"/>
      <c r="MIZ49" s="408"/>
      <c r="MJA49" s="408"/>
      <c r="MJB49" s="408"/>
      <c r="MJC49" s="408"/>
      <c r="MJD49" s="408"/>
      <c r="MJE49" s="408"/>
      <c r="MJF49" s="408"/>
      <c r="MJG49" s="408"/>
      <c r="MJH49" s="408"/>
      <c r="MJI49" s="408"/>
      <c r="MJJ49" s="408"/>
      <c r="MJK49" s="408"/>
      <c r="MJL49" s="408"/>
      <c r="MJM49" s="408"/>
      <c r="MJN49" s="408"/>
      <c r="MJO49" s="408"/>
      <c r="MJP49" s="408"/>
      <c r="MJQ49" s="408"/>
      <c r="MJR49" s="408"/>
      <c r="MJS49" s="408"/>
      <c r="MJT49" s="408"/>
      <c r="MJU49" s="408"/>
      <c r="MJV49" s="408"/>
      <c r="MJW49" s="408"/>
      <c r="MJX49" s="408"/>
      <c r="MJY49" s="408"/>
      <c r="MJZ49" s="408"/>
      <c r="MKA49" s="408"/>
      <c r="MKB49" s="408"/>
      <c r="MKC49" s="408"/>
      <c r="MKD49" s="408"/>
      <c r="MKE49" s="408"/>
      <c r="MKF49" s="408"/>
      <c r="MKG49" s="408"/>
      <c r="MKH49" s="408"/>
      <c r="MKI49" s="408"/>
      <c r="MKJ49" s="408"/>
      <c r="MKK49" s="408"/>
      <c r="MKL49" s="408"/>
      <c r="MKM49" s="408"/>
      <c r="MKN49" s="408"/>
      <c r="MKO49" s="408"/>
      <c r="MKP49" s="408"/>
      <c r="MKQ49" s="408"/>
      <c r="MKR49" s="408"/>
      <c r="MKS49" s="408"/>
      <c r="MKT49" s="408"/>
      <c r="MKU49" s="408"/>
      <c r="MKV49" s="408"/>
      <c r="MKW49" s="408"/>
      <c r="MKX49" s="408"/>
      <c r="MKY49" s="408"/>
      <c r="MKZ49" s="408"/>
      <c r="MLA49" s="408"/>
      <c r="MLB49" s="408"/>
      <c r="MLC49" s="408"/>
      <c r="MLD49" s="408"/>
      <c r="MLE49" s="408"/>
      <c r="MLF49" s="408"/>
      <c r="MLG49" s="408"/>
      <c r="MLH49" s="408"/>
      <c r="MLI49" s="408"/>
      <c r="MLJ49" s="408"/>
      <c r="MLK49" s="408"/>
      <c r="MLL49" s="408"/>
      <c r="MLM49" s="408"/>
      <c r="MLN49" s="408"/>
      <c r="MLO49" s="408"/>
      <c r="MLP49" s="408"/>
      <c r="MLQ49" s="408"/>
      <c r="MLR49" s="408"/>
      <c r="MLS49" s="408"/>
      <c r="MLT49" s="408"/>
      <c r="MLU49" s="408"/>
      <c r="MLV49" s="408"/>
      <c r="MLW49" s="408"/>
      <c r="MLX49" s="408"/>
      <c r="MLY49" s="408"/>
      <c r="MLZ49" s="408"/>
      <c r="MMA49" s="408"/>
      <c r="MMB49" s="408"/>
      <c r="MMC49" s="408"/>
      <c r="MMD49" s="408"/>
      <c r="MME49" s="408"/>
      <c r="MMF49" s="408"/>
      <c r="MMG49" s="408"/>
      <c r="MMH49" s="408"/>
      <c r="MMI49" s="408"/>
      <c r="MMJ49" s="408"/>
      <c r="MMK49" s="408"/>
      <c r="MML49" s="408"/>
      <c r="MMM49" s="408"/>
      <c r="MMN49" s="408"/>
      <c r="MMO49" s="408"/>
      <c r="MMP49" s="408"/>
      <c r="MMQ49" s="408"/>
      <c r="MMR49" s="408"/>
      <c r="MMS49" s="408"/>
      <c r="MMT49" s="408"/>
      <c r="MMU49" s="408"/>
      <c r="MMV49" s="408"/>
      <c r="MMW49" s="408"/>
      <c r="MMX49" s="408"/>
      <c r="MMY49" s="408"/>
      <c r="MMZ49" s="408"/>
      <c r="MNA49" s="408"/>
      <c r="MNB49" s="408"/>
      <c r="MNC49" s="408"/>
      <c r="MND49" s="408"/>
      <c r="MNE49" s="408"/>
      <c r="MNF49" s="408"/>
      <c r="MNG49" s="408"/>
      <c r="MNH49" s="408"/>
      <c r="MNI49" s="408"/>
      <c r="MNJ49" s="408"/>
      <c r="MNK49" s="408"/>
      <c r="MNL49" s="408"/>
      <c r="MNM49" s="408"/>
      <c r="MNN49" s="408"/>
      <c r="MNO49" s="408"/>
      <c r="MNP49" s="408"/>
      <c r="MNQ49" s="408"/>
      <c r="MNR49" s="408"/>
      <c r="MNS49" s="408"/>
      <c r="MNT49" s="408"/>
      <c r="MNU49" s="408"/>
      <c r="MNV49" s="408"/>
      <c r="MNW49" s="408"/>
      <c r="MNX49" s="408"/>
      <c r="MNY49" s="408"/>
      <c r="MNZ49" s="408"/>
      <c r="MOA49" s="408"/>
      <c r="MOB49" s="408"/>
      <c r="MOC49" s="408"/>
      <c r="MOD49" s="408"/>
      <c r="MOE49" s="408"/>
      <c r="MOF49" s="408"/>
      <c r="MOG49" s="408"/>
      <c r="MOH49" s="408"/>
      <c r="MOI49" s="408"/>
      <c r="MOJ49" s="408"/>
      <c r="MOK49" s="408"/>
      <c r="MOL49" s="408"/>
      <c r="MOM49" s="408"/>
      <c r="MON49" s="408"/>
      <c r="MOO49" s="408"/>
      <c r="MOP49" s="408"/>
      <c r="MOQ49" s="408"/>
      <c r="MOR49" s="408"/>
      <c r="MOS49" s="408"/>
      <c r="MOT49" s="408"/>
      <c r="MOU49" s="408"/>
      <c r="MOV49" s="408"/>
      <c r="MOW49" s="408"/>
      <c r="MOX49" s="408"/>
      <c r="MOY49" s="408"/>
      <c r="MOZ49" s="408"/>
      <c r="MPA49" s="408"/>
      <c r="MPB49" s="408"/>
      <c r="MPC49" s="408"/>
      <c r="MPD49" s="408"/>
      <c r="MPE49" s="408"/>
      <c r="MPF49" s="408"/>
      <c r="MPG49" s="408"/>
      <c r="MPH49" s="408"/>
      <c r="MPI49" s="408"/>
      <c r="MPJ49" s="408"/>
      <c r="MPK49" s="408"/>
      <c r="MPL49" s="408"/>
      <c r="MPM49" s="408"/>
      <c r="MPN49" s="408"/>
      <c r="MPO49" s="408"/>
      <c r="MPP49" s="408"/>
      <c r="MPQ49" s="408"/>
      <c r="MPR49" s="408"/>
      <c r="MPS49" s="408"/>
      <c r="MPT49" s="408"/>
      <c r="MPU49" s="408"/>
      <c r="MPV49" s="408"/>
      <c r="MPW49" s="408"/>
      <c r="MPX49" s="408"/>
      <c r="MPY49" s="408"/>
      <c r="MPZ49" s="408"/>
      <c r="MQA49" s="408"/>
      <c r="MQB49" s="408"/>
      <c r="MQC49" s="408"/>
      <c r="MQD49" s="408"/>
      <c r="MQE49" s="408"/>
      <c r="MQF49" s="408"/>
      <c r="MQG49" s="408"/>
      <c r="MQH49" s="408"/>
      <c r="MQI49" s="408"/>
      <c r="MQJ49" s="408"/>
      <c r="MQK49" s="408"/>
      <c r="MQL49" s="408"/>
      <c r="MQM49" s="408"/>
      <c r="MQN49" s="408"/>
      <c r="MQO49" s="408"/>
      <c r="MQP49" s="408"/>
      <c r="MQQ49" s="408"/>
      <c r="MQR49" s="408"/>
      <c r="MQS49" s="408"/>
      <c r="MQT49" s="408"/>
      <c r="MQU49" s="408"/>
      <c r="MQV49" s="408"/>
      <c r="MQW49" s="408"/>
      <c r="MQX49" s="408"/>
      <c r="MQY49" s="408"/>
      <c r="MQZ49" s="408"/>
      <c r="MRA49" s="408"/>
      <c r="MRB49" s="408"/>
      <c r="MRC49" s="408"/>
      <c r="MRD49" s="408"/>
      <c r="MRE49" s="408"/>
      <c r="MRF49" s="408"/>
      <c r="MRG49" s="408"/>
      <c r="MRH49" s="408"/>
      <c r="MRI49" s="408"/>
      <c r="MRJ49" s="408"/>
      <c r="MRK49" s="408"/>
      <c r="MRL49" s="408"/>
      <c r="MRM49" s="408"/>
      <c r="MRN49" s="408"/>
      <c r="MRO49" s="408"/>
      <c r="MRP49" s="408"/>
      <c r="MRQ49" s="408"/>
      <c r="MRR49" s="408"/>
      <c r="MRS49" s="408"/>
      <c r="MRT49" s="408"/>
      <c r="MRU49" s="408"/>
      <c r="MRV49" s="408"/>
      <c r="MRW49" s="408"/>
      <c r="MRX49" s="408"/>
      <c r="MRY49" s="408"/>
      <c r="MRZ49" s="408"/>
      <c r="MSA49" s="408"/>
      <c r="MSB49" s="408"/>
      <c r="MSC49" s="408"/>
      <c r="MSD49" s="408"/>
      <c r="MSE49" s="408"/>
      <c r="MSF49" s="408"/>
      <c r="MSG49" s="408"/>
      <c r="MSH49" s="408"/>
      <c r="MSI49" s="408"/>
      <c r="MSJ49" s="408"/>
      <c r="MSK49" s="408"/>
      <c r="MSL49" s="408"/>
      <c r="MSM49" s="408"/>
      <c r="MSN49" s="408"/>
      <c r="MSO49" s="408"/>
      <c r="MSP49" s="408"/>
      <c r="MSQ49" s="408"/>
      <c r="MSR49" s="408"/>
      <c r="MSS49" s="408"/>
      <c r="MST49" s="408"/>
      <c r="MSU49" s="408"/>
      <c r="MSV49" s="408"/>
      <c r="MSW49" s="408"/>
      <c r="MSX49" s="408"/>
      <c r="MSY49" s="408"/>
      <c r="MSZ49" s="408"/>
      <c r="MTA49" s="408"/>
      <c r="MTB49" s="408"/>
      <c r="MTC49" s="408"/>
      <c r="MTD49" s="408"/>
      <c r="MTE49" s="408"/>
      <c r="MTF49" s="408"/>
      <c r="MTG49" s="408"/>
      <c r="MTH49" s="408"/>
      <c r="MTI49" s="408"/>
      <c r="MTJ49" s="408"/>
      <c r="MTK49" s="408"/>
      <c r="MTL49" s="408"/>
      <c r="MTM49" s="408"/>
      <c r="MTN49" s="408"/>
      <c r="MTO49" s="408"/>
      <c r="MTP49" s="408"/>
      <c r="MTQ49" s="408"/>
      <c r="MTR49" s="408"/>
      <c r="MTS49" s="408"/>
      <c r="MTT49" s="408"/>
      <c r="MTU49" s="408"/>
      <c r="MTV49" s="408"/>
      <c r="MTW49" s="408"/>
      <c r="MTX49" s="408"/>
      <c r="MTY49" s="408"/>
      <c r="MTZ49" s="408"/>
      <c r="MUA49" s="408"/>
      <c r="MUB49" s="408"/>
      <c r="MUC49" s="408"/>
      <c r="MUD49" s="408"/>
      <c r="MUE49" s="408"/>
      <c r="MUF49" s="408"/>
      <c r="MUG49" s="408"/>
      <c r="MUH49" s="408"/>
      <c r="MUI49" s="408"/>
      <c r="MUJ49" s="408"/>
      <c r="MUK49" s="408"/>
      <c r="MUL49" s="408"/>
      <c r="MUM49" s="408"/>
      <c r="MUN49" s="408"/>
      <c r="MUO49" s="408"/>
      <c r="MUP49" s="408"/>
      <c r="MUQ49" s="408"/>
      <c r="MUR49" s="408"/>
      <c r="MUS49" s="408"/>
      <c r="MUT49" s="408"/>
      <c r="MUU49" s="408"/>
      <c r="MUV49" s="408"/>
      <c r="MUW49" s="408"/>
      <c r="MUX49" s="408"/>
      <c r="MUY49" s="408"/>
      <c r="MUZ49" s="408"/>
      <c r="MVA49" s="408"/>
      <c r="MVB49" s="408"/>
      <c r="MVC49" s="408"/>
      <c r="MVD49" s="408"/>
      <c r="MVE49" s="408"/>
      <c r="MVF49" s="408"/>
      <c r="MVG49" s="408"/>
      <c r="MVH49" s="408"/>
      <c r="MVI49" s="408"/>
      <c r="MVJ49" s="408"/>
      <c r="MVK49" s="408"/>
      <c r="MVL49" s="408"/>
      <c r="MVM49" s="408"/>
      <c r="MVN49" s="408"/>
      <c r="MVO49" s="408"/>
      <c r="MVP49" s="408"/>
      <c r="MVQ49" s="408"/>
      <c r="MVR49" s="408"/>
      <c r="MVS49" s="408"/>
      <c r="MVT49" s="408"/>
      <c r="MVU49" s="408"/>
      <c r="MVV49" s="408"/>
      <c r="MVW49" s="408"/>
      <c r="MVX49" s="408"/>
      <c r="MVY49" s="408"/>
      <c r="MVZ49" s="408"/>
      <c r="MWA49" s="408"/>
      <c r="MWB49" s="408"/>
      <c r="MWC49" s="408"/>
      <c r="MWD49" s="408"/>
      <c r="MWE49" s="408"/>
      <c r="MWF49" s="408"/>
      <c r="MWG49" s="408"/>
      <c r="MWH49" s="408"/>
      <c r="MWI49" s="408"/>
      <c r="MWJ49" s="408"/>
      <c r="MWK49" s="408"/>
      <c r="MWL49" s="408"/>
      <c r="MWM49" s="408"/>
      <c r="MWN49" s="408"/>
      <c r="MWO49" s="408"/>
      <c r="MWP49" s="408"/>
      <c r="MWQ49" s="408"/>
      <c r="MWR49" s="408"/>
      <c r="MWS49" s="408"/>
      <c r="MWT49" s="408"/>
      <c r="MWU49" s="408"/>
      <c r="MWV49" s="408"/>
      <c r="MWW49" s="408"/>
      <c r="MWX49" s="408"/>
      <c r="MWY49" s="408"/>
      <c r="MWZ49" s="408"/>
      <c r="MXA49" s="408"/>
      <c r="MXB49" s="408"/>
      <c r="MXC49" s="408"/>
      <c r="MXD49" s="408"/>
      <c r="MXE49" s="408"/>
      <c r="MXF49" s="408"/>
      <c r="MXG49" s="408"/>
      <c r="MXH49" s="408"/>
      <c r="MXI49" s="408"/>
      <c r="MXJ49" s="408"/>
      <c r="MXK49" s="408"/>
      <c r="MXL49" s="408"/>
      <c r="MXM49" s="408"/>
      <c r="MXN49" s="408"/>
      <c r="MXO49" s="408"/>
      <c r="MXP49" s="408"/>
      <c r="MXQ49" s="408"/>
      <c r="MXR49" s="408"/>
      <c r="MXS49" s="408"/>
      <c r="MXT49" s="408"/>
      <c r="MXU49" s="408"/>
      <c r="MXV49" s="408"/>
      <c r="MXW49" s="408"/>
      <c r="MXX49" s="408"/>
      <c r="MXY49" s="408"/>
      <c r="MXZ49" s="408"/>
      <c r="MYA49" s="408"/>
      <c r="MYB49" s="408"/>
      <c r="MYC49" s="408"/>
      <c r="MYD49" s="408"/>
      <c r="MYE49" s="408"/>
      <c r="MYF49" s="408"/>
      <c r="MYG49" s="408"/>
      <c r="MYH49" s="408"/>
      <c r="MYI49" s="408"/>
      <c r="MYJ49" s="408"/>
      <c r="MYK49" s="408"/>
      <c r="MYL49" s="408"/>
      <c r="MYM49" s="408"/>
      <c r="MYN49" s="408"/>
      <c r="MYO49" s="408"/>
      <c r="MYP49" s="408"/>
      <c r="MYQ49" s="408"/>
      <c r="MYR49" s="408"/>
      <c r="MYS49" s="408"/>
      <c r="MYT49" s="408"/>
      <c r="MYU49" s="408"/>
      <c r="MYV49" s="408"/>
      <c r="MYW49" s="408"/>
      <c r="MYX49" s="408"/>
      <c r="MYY49" s="408"/>
      <c r="MYZ49" s="408"/>
      <c r="MZA49" s="408"/>
      <c r="MZB49" s="408"/>
      <c r="MZC49" s="408"/>
      <c r="MZD49" s="408"/>
      <c r="MZE49" s="408"/>
      <c r="MZF49" s="408"/>
      <c r="MZG49" s="408"/>
      <c r="MZH49" s="408"/>
      <c r="MZI49" s="408"/>
      <c r="MZJ49" s="408"/>
      <c r="MZK49" s="408"/>
      <c r="MZL49" s="408"/>
      <c r="MZM49" s="408"/>
      <c r="MZN49" s="408"/>
      <c r="MZO49" s="408"/>
      <c r="MZP49" s="408"/>
      <c r="MZQ49" s="408"/>
      <c r="MZR49" s="408"/>
      <c r="MZS49" s="408"/>
      <c r="MZT49" s="408"/>
      <c r="MZU49" s="408"/>
      <c r="MZV49" s="408"/>
      <c r="MZW49" s="408"/>
      <c r="MZX49" s="408"/>
      <c r="MZY49" s="408"/>
      <c r="MZZ49" s="408"/>
      <c r="NAA49" s="408"/>
      <c r="NAB49" s="408"/>
      <c r="NAC49" s="408"/>
      <c r="NAD49" s="408"/>
      <c r="NAE49" s="408"/>
      <c r="NAF49" s="408"/>
      <c r="NAG49" s="408"/>
      <c r="NAH49" s="408"/>
      <c r="NAI49" s="408"/>
      <c r="NAJ49" s="408"/>
      <c r="NAK49" s="408"/>
      <c r="NAL49" s="408"/>
      <c r="NAM49" s="408"/>
      <c r="NAN49" s="408"/>
      <c r="NAO49" s="408"/>
      <c r="NAP49" s="408"/>
      <c r="NAQ49" s="408"/>
      <c r="NAR49" s="408"/>
      <c r="NAS49" s="408"/>
      <c r="NAT49" s="408"/>
      <c r="NAU49" s="408"/>
      <c r="NAV49" s="408"/>
      <c r="NAW49" s="408"/>
      <c r="NAX49" s="408"/>
      <c r="NAY49" s="408"/>
      <c r="NAZ49" s="408"/>
      <c r="NBA49" s="408"/>
      <c r="NBB49" s="408"/>
      <c r="NBC49" s="408"/>
      <c r="NBD49" s="408"/>
      <c r="NBE49" s="408"/>
      <c r="NBF49" s="408"/>
      <c r="NBG49" s="408"/>
      <c r="NBH49" s="408"/>
      <c r="NBI49" s="408"/>
      <c r="NBJ49" s="408"/>
      <c r="NBK49" s="408"/>
      <c r="NBL49" s="408"/>
      <c r="NBM49" s="408"/>
      <c r="NBN49" s="408"/>
      <c r="NBO49" s="408"/>
      <c r="NBP49" s="408"/>
      <c r="NBQ49" s="408"/>
      <c r="NBR49" s="408"/>
      <c r="NBS49" s="408"/>
      <c r="NBT49" s="408"/>
      <c r="NBU49" s="408"/>
      <c r="NBV49" s="408"/>
      <c r="NBW49" s="408"/>
      <c r="NBX49" s="408"/>
      <c r="NBY49" s="408"/>
      <c r="NBZ49" s="408"/>
      <c r="NCA49" s="408"/>
      <c r="NCB49" s="408"/>
      <c r="NCC49" s="408"/>
      <c r="NCD49" s="408"/>
      <c r="NCE49" s="408"/>
      <c r="NCF49" s="408"/>
      <c r="NCG49" s="408"/>
      <c r="NCH49" s="408"/>
      <c r="NCI49" s="408"/>
      <c r="NCJ49" s="408"/>
      <c r="NCK49" s="408"/>
      <c r="NCL49" s="408"/>
      <c r="NCM49" s="408"/>
      <c r="NCN49" s="408"/>
      <c r="NCO49" s="408"/>
      <c r="NCP49" s="408"/>
      <c r="NCQ49" s="408"/>
      <c r="NCR49" s="408"/>
      <c r="NCS49" s="408"/>
      <c r="NCT49" s="408"/>
      <c r="NCU49" s="408"/>
      <c r="NCV49" s="408"/>
      <c r="NCW49" s="408"/>
      <c r="NCX49" s="408"/>
      <c r="NCY49" s="408"/>
      <c r="NCZ49" s="408"/>
      <c r="NDA49" s="408"/>
      <c r="NDB49" s="408"/>
      <c r="NDC49" s="408"/>
      <c r="NDD49" s="408"/>
      <c r="NDE49" s="408"/>
      <c r="NDF49" s="408"/>
      <c r="NDG49" s="408"/>
      <c r="NDH49" s="408"/>
      <c r="NDI49" s="408"/>
      <c r="NDJ49" s="408"/>
      <c r="NDK49" s="408"/>
      <c r="NDL49" s="408"/>
      <c r="NDM49" s="408"/>
      <c r="NDN49" s="408"/>
      <c r="NDO49" s="408"/>
      <c r="NDP49" s="408"/>
      <c r="NDQ49" s="408"/>
      <c r="NDR49" s="408"/>
      <c r="NDS49" s="408"/>
      <c r="NDT49" s="408"/>
      <c r="NDU49" s="408"/>
      <c r="NDV49" s="408"/>
      <c r="NDW49" s="408"/>
      <c r="NDX49" s="408"/>
      <c r="NDY49" s="408"/>
      <c r="NDZ49" s="408"/>
      <c r="NEA49" s="408"/>
      <c r="NEB49" s="408"/>
      <c r="NEC49" s="408"/>
      <c r="NED49" s="408"/>
      <c r="NEE49" s="408"/>
      <c r="NEF49" s="408"/>
      <c r="NEG49" s="408"/>
      <c r="NEH49" s="408"/>
      <c r="NEI49" s="408"/>
      <c r="NEJ49" s="408"/>
      <c r="NEK49" s="408"/>
      <c r="NEL49" s="408"/>
      <c r="NEM49" s="408"/>
      <c r="NEN49" s="408"/>
      <c r="NEO49" s="408"/>
      <c r="NEP49" s="408"/>
      <c r="NEQ49" s="408"/>
      <c r="NER49" s="408"/>
      <c r="NES49" s="408"/>
      <c r="NET49" s="408"/>
      <c r="NEU49" s="408"/>
      <c r="NEV49" s="408"/>
      <c r="NEW49" s="408"/>
      <c r="NEX49" s="408"/>
      <c r="NEY49" s="408"/>
      <c r="NEZ49" s="408"/>
      <c r="NFA49" s="408"/>
      <c r="NFB49" s="408"/>
      <c r="NFC49" s="408"/>
      <c r="NFD49" s="408"/>
      <c r="NFE49" s="408"/>
      <c r="NFF49" s="408"/>
      <c r="NFG49" s="408"/>
      <c r="NFH49" s="408"/>
      <c r="NFI49" s="408"/>
      <c r="NFJ49" s="408"/>
      <c r="NFK49" s="408"/>
      <c r="NFL49" s="408"/>
      <c r="NFM49" s="408"/>
      <c r="NFN49" s="408"/>
      <c r="NFO49" s="408"/>
      <c r="NFP49" s="408"/>
      <c r="NFQ49" s="408"/>
      <c r="NFR49" s="408"/>
      <c r="NFS49" s="408"/>
      <c r="NFT49" s="408"/>
      <c r="NFU49" s="408"/>
      <c r="NFV49" s="408"/>
      <c r="NFW49" s="408"/>
      <c r="NFX49" s="408"/>
      <c r="NFY49" s="408"/>
      <c r="NFZ49" s="408"/>
      <c r="NGA49" s="408"/>
      <c r="NGB49" s="408"/>
      <c r="NGC49" s="408"/>
      <c r="NGD49" s="408"/>
      <c r="NGE49" s="408"/>
      <c r="NGF49" s="408"/>
      <c r="NGG49" s="408"/>
      <c r="NGH49" s="408"/>
      <c r="NGI49" s="408"/>
      <c r="NGJ49" s="408"/>
      <c r="NGK49" s="408"/>
      <c r="NGL49" s="408"/>
      <c r="NGM49" s="408"/>
      <c r="NGN49" s="408"/>
      <c r="NGO49" s="408"/>
      <c r="NGP49" s="408"/>
      <c r="NGQ49" s="408"/>
      <c r="NGR49" s="408"/>
      <c r="NGS49" s="408"/>
      <c r="NGT49" s="408"/>
      <c r="NGU49" s="408"/>
      <c r="NGV49" s="408"/>
      <c r="NGW49" s="408"/>
      <c r="NGX49" s="408"/>
      <c r="NGY49" s="408"/>
      <c r="NGZ49" s="408"/>
      <c r="NHA49" s="408"/>
      <c r="NHB49" s="408"/>
      <c r="NHC49" s="408"/>
      <c r="NHD49" s="408"/>
      <c r="NHE49" s="408"/>
      <c r="NHF49" s="408"/>
      <c r="NHG49" s="408"/>
      <c r="NHH49" s="408"/>
      <c r="NHI49" s="408"/>
      <c r="NHJ49" s="408"/>
      <c r="NHK49" s="408"/>
      <c r="NHL49" s="408"/>
      <c r="NHM49" s="408"/>
      <c r="NHN49" s="408"/>
      <c r="NHO49" s="408"/>
      <c r="NHP49" s="408"/>
      <c r="NHQ49" s="408"/>
      <c r="NHR49" s="408"/>
      <c r="NHS49" s="408"/>
      <c r="NHT49" s="408"/>
      <c r="NHU49" s="408"/>
      <c r="NHV49" s="408"/>
      <c r="NHW49" s="408"/>
      <c r="NHX49" s="408"/>
      <c r="NHY49" s="408"/>
      <c r="NHZ49" s="408"/>
      <c r="NIA49" s="408"/>
      <c r="NIB49" s="408"/>
      <c r="NIC49" s="408"/>
      <c r="NID49" s="408"/>
      <c r="NIE49" s="408"/>
      <c r="NIF49" s="408"/>
      <c r="NIG49" s="408"/>
      <c r="NIH49" s="408"/>
      <c r="NII49" s="408"/>
      <c r="NIJ49" s="408"/>
      <c r="NIK49" s="408"/>
      <c r="NIL49" s="408"/>
      <c r="NIM49" s="408"/>
      <c r="NIN49" s="408"/>
      <c r="NIO49" s="408"/>
      <c r="NIP49" s="408"/>
      <c r="NIQ49" s="408"/>
      <c r="NIR49" s="408"/>
      <c r="NIS49" s="408"/>
      <c r="NIT49" s="408"/>
      <c r="NIU49" s="408"/>
      <c r="NIV49" s="408"/>
      <c r="NIW49" s="408"/>
      <c r="NIX49" s="408"/>
      <c r="NIY49" s="408"/>
      <c r="NIZ49" s="408"/>
      <c r="NJA49" s="408"/>
      <c r="NJB49" s="408"/>
      <c r="NJC49" s="408"/>
      <c r="NJD49" s="408"/>
      <c r="NJE49" s="408"/>
      <c r="NJF49" s="408"/>
      <c r="NJG49" s="408"/>
      <c r="NJH49" s="408"/>
      <c r="NJI49" s="408"/>
      <c r="NJJ49" s="408"/>
      <c r="NJK49" s="408"/>
      <c r="NJL49" s="408"/>
      <c r="NJM49" s="408"/>
      <c r="NJN49" s="408"/>
      <c r="NJO49" s="408"/>
      <c r="NJP49" s="408"/>
      <c r="NJQ49" s="408"/>
      <c r="NJR49" s="408"/>
      <c r="NJS49" s="408"/>
      <c r="NJT49" s="408"/>
      <c r="NJU49" s="408"/>
      <c r="NJV49" s="408"/>
      <c r="NJW49" s="408"/>
      <c r="NJX49" s="408"/>
      <c r="NJY49" s="408"/>
      <c r="NJZ49" s="408"/>
      <c r="NKA49" s="408"/>
      <c r="NKB49" s="408"/>
      <c r="NKC49" s="408"/>
      <c r="NKD49" s="408"/>
      <c r="NKE49" s="408"/>
      <c r="NKF49" s="408"/>
      <c r="NKG49" s="408"/>
      <c r="NKH49" s="408"/>
      <c r="NKI49" s="408"/>
      <c r="NKJ49" s="408"/>
      <c r="NKK49" s="408"/>
      <c r="NKL49" s="408"/>
      <c r="NKM49" s="408"/>
      <c r="NKN49" s="408"/>
      <c r="NKO49" s="408"/>
      <c r="NKP49" s="408"/>
      <c r="NKQ49" s="408"/>
      <c r="NKR49" s="408"/>
      <c r="NKS49" s="408"/>
      <c r="NKT49" s="408"/>
      <c r="NKU49" s="408"/>
      <c r="NKV49" s="408"/>
      <c r="NKW49" s="408"/>
      <c r="NKX49" s="408"/>
      <c r="NKY49" s="408"/>
      <c r="NKZ49" s="408"/>
      <c r="NLA49" s="408"/>
      <c r="NLB49" s="408"/>
      <c r="NLC49" s="408"/>
      <c r="NLD49" s="408"/>
      <c r="NLE49" s="408"/>
      <c r="NLF49" s="408"/>
      <c r="NLG49" s="408"/>
      <c r="NLH49" s="408"/>
      <c r="NLI49" s="408"/>
      <c r="NLJ49" s="408"/>
      <c r="NLK49" s="408"/>
      <c r="NLL49" s="408"/>
      <c r="NLM49" s="408"/>
      <c r="NLN49" s="408"/>
      <c r="NLO49" s="408"/>
      <c r="NLP49" s="408"/>
      <c r="NLQ49" s="408"/>
      <c r="NLR49" s="408"/>
      <c r="NLS49" s="408"/>
      <c r="NLT49" s="408"/>
      <c r="NLU49" s="408"/>
      <c r="NLV49" s="408"/>
      <c r="NLW49" s="408"/>
      <c r="NLX49" s="408"/>
      <c r="NLY49" s="408"/>
      <c r="NLZ49" s="408"/>
      <c r="NMA49" s="408"/>
      <c r="NMB49" s="408"/>
      <c r="NMC49" s="408"/>
      <c r="NMD49" s="408"/>
      <c r="NME49" s="408"/>
      <c r="NMF49" s="408"/>
      <c r="NMG49" s="408"/>
      <c r="NMH49" s="408"/>
      <c r="NMI49" s="408"/>
      <c r="NMJ49" s="408"/>
      <c r="NMK49" s="408"/>
      <c r="NML49" s="408"/>
      <c r="NMM49" s="408"/>
      <c r="NMN49" s="408"/>
      <c r="NMO49" s="408"/>
      <c r="NMP49" s="408"/>
      <c r="NMQ49" s="408"/>
      <c r="NMR49" s="408"/>
      <c r="NMS49" s="408"/>
      <c r="NMT49" s="408"/>
      <c r="NMU49" s="408"/>
      <c r="NMV49" s="408"/>
      <c r="NMW49" s="408"/>
      <c r="NMX49" s="408"/>
      <c r="NMY49" s="408"/>
      <c r="NMZ49" s="408"/>
      <c r="NNA49" s="408"/>
      <c r="NNB49" s="408"/>
      <c r="NNC49" s="408"/>
      <c r="NND49" s="408"/>
      <c r="NNE49" s="408"/>
      <c r="NNF49" s="408"/>
      <c r="NNG49" s="408"/>
      <c r="NNH49" s="408"/>
      <c r="NNI49" s="408"/>
      <c r="NNJ49" s="408"/>
      <c r="NNK49" s="408"/>
      <c r="NNL49" s="408"/>
      <c r="NNM49" s="408"/>
      <c r="NNN49" s="408"/>
      <c r="NNO49" s="408"/>
      <c r="NNP49" s="408"/>
      <c r="NNQ49" s="408"/>
      <c r="NNR49" s="408"/>
      <c r="NNS49" s="408"/>
      <c r="NNT49" s="408"/>
      <c r="NNU49" s="408"/>
      <c r="NNV49" s="408"/>
      <c r="NNW49" s="408"/>
      <c r="NNX49" s="408"/>
      <c r="NNY49" s="408"/>
      <c r="NNZ49" s="408"/>
      <c r="NOA49" s="408"/>
      <c r="NOB49" s="408"/>
      <c r="NOC49" s="408"/>
      <c r="NOD49" s="408"/>
      <c r="NOE49" s="408"/>
      <c r="NOF49" s="408"/>
      <c r="NOG49" s="408"/>
      <c r="NOH49" s="408"/>
      <c r="NOI49" s="408"/>
      <c r="NOJ49" s="408"/>
      <c r="NOK49" s="408"/>
      <c r="NOL49" s="408"/>
      <c r="NOM49" s="408"/>
      <c r="NON49" s="408"/>
      <c r="NOO49" s="408"/>
      <c r="NOP49" s="408"/>
      <c r="NOQ49" s="408"/>
      <c r="NOR49" s="408"/>
      <c r="NOS49" s="408"/>
      <c r="NOT49" s="408"/>
      <c r="NOU49" s="408"/>
      <c r="NOV49" s="408"/>
      <c r="NOW49" s="408"/>
      <c r="NOX49" s="408"/>
      <c r="NOY49" s="408"/>
      <c r="NOZ49" s="408"/>
      <c r="NPA49" s="408"/>
      <c r="NPB49" s="408"/>
      <c r="NPC49" s="408"/>
      <c r="NPD49" s="408"/>
      <c r="NPE49" s="408"/>
      <c r="NPF49" s="408"/>
      <c r="NPG49" s="408"/>
      <c r="NPH49" s="408"/>
      <c r="NPI49" s="408"/>
      <c r="NPJ49" s="408"/>
      <c r="NPK49" s="408"/>
      <c r="NPL49" s="408"/>
      <c r="NPM49" s="408"/>
      <c r="NPN49" s="408"/>
      <c r="NPO49" s="408"/>
      <c r="NPP49" s="408"/>
      <c r="NPQ49" s="408"/>
      <c r="NPR49" s="408"/>
      <c r="NPS49" s="408"/>
      <c r="NPT49" s="408"/>
      <c r="NPU49" s="408"/>
      <c r="NPV49" s="408"/>
      <c r="NPW49" s="408"/>
      <c r="NPX49" s="408"/>
      <c r="NPY49" s="408"/>
      <c r="NPZ49" s="408"/>
      <c r="NQA49" s="408"/>
      <c r="NQB49" s="408"/>
      <c r="NQC49" s="408"/>
      <c r="NQD49" s="408"/>
      <c r="NQE49" s="408"/>
      <c r="NQF49" s="408"/>
      <c r="NQG49" s="408"/>
      <c r="NQH49" s="408"/>
      <c r="NQI49" s="408"/>
      <c r="NQJ49" s="408"/>
      <c r="NQK49" s="408"/>
      <c r="NQL49" s="408"/>
      <c r="NQM49" s="408"/>
      <c r="NQN49" s="408"/>
      <c r="NQO49" s="408"/>
      <c r="NQP49" s="408"/>
      <c r="NQQ49" s="408"/>
      <c r="NQR49" s="408"/>
      <c r="NQS49" s="408"/>
      <c r="NQT49" s="408"/>
      <c r="NQU49" s="408"/>
      <c r="NQV49" s="408"/>
      <c r="NQW49" s="408"/>
      <c r="NQX49" s="408"/>
      <c r="NQY49" s="408"/>
      <c r="NQZ49" s="408"/>
      <c r="NRA49" s="408"/>
      <c r="NRB49" s="408"/>
      <c r="NRC49" s="408"/>
      <c r="NRD49" s="408"/>
      <c r="NRE49" s="408"/>
      <c r="NRF49" s="408"/>
      <c r="NRG49" s="408"/>
      <c r="NRH49" s="408"/>
      <c r="NRI49" s="408"/>
      <c r="NRJ49" s="408"/>
      <c r="NRK49" s="408"/>
      <c r="NRL49" s="408"/>
      <c r="NRM49" s="408"/>
      <c r="NRN49" s="408"/>
      <c r="NRO49" s="408"/>
      <c r="NRP49" s="408"/>
      <c r="NRQ49" s="408"/>
      <c r="NRR49" s="408"/>
      <c r="NRS49" s="408"/>
      <c r="NRT49" s="408"/>
      <c r="NRU49" s="408"/>
      <c r="NRV49" s="408"/>
      <c r="NRW49" s="408"/>
      <c r="NRX49" s="408"/>
      <c r="NRY49" s="408"/>
      <c r="NRZ49" s="408"/>
      <c r="NSA49" s="408"/>
      <c r="NSB49" s="408"/>
      <c r="NSC49" s="408"/>
      <c r="NSD49" s="408"/>
      <c r="NSE49" s="408"/>
      <c r="NSF49" s="408"/>
      <c r="NSG49" s="408"/>
      <c r="NSH49" s="408"/>
      <c r="NSI49" s="408"/>
      <c r="NSJ49" s="408"/>
      <c r="NSK49" s="408"/>
      <c r="NSL49" s="408"/>
      <c r="NSM49" s="408"/>
      <c r="NSN49" s="408"/>
      <c r="NSO49" s="408"/>
      <c r="NSP49" s="408"/>
      <c r="NSQ49" s="408"/>
      <c r="NSR49" s="408"/>
      <c r="NSS49" s="408"/>
      <c r="NST49" s="408"/>
      <c r="NSU49" s="408"/>
      <c r="NSV49" s="408"/>
      <c r="NSW49" s="408"/>
      <c r="NSX49" s="408"/>
      <c r="NSY49" s="408"/>
      <c r="NSZ49" s="408"/>
      <c r="NTA49" s="408"/>
      <c r="NTB49" s="408"/>
      <c r="NTC49" s="408"/>
      <c r="NTD49" s="408"/>
      <c r="NTE49" s="408"/>
      <c r="NTF49" s="408"/>
      <c r="NTG49" s="408"/>
      <c r="NTH49" s="408"/>
      <c r="NTI49" s="408"/>
      <c r="NTJ49" s="408"/>
      <c r="NTK49" s="408"/>
      <c r="NTL49" s="408"/>
      <c r="NTM49" s="408"/>
      <c r="NTN49" s="408"/>
      <c r="NTO49" s="408"/>
      <c r="NTP49" s="408"/>
      <c r="NTQ49" s="408"/>
      <c r="NTR49" s="408"/>
      <c r="NTS49" s="408"/>
      <c r="NTT49" s="408"/>
      <c r="NTU49" s="408"/>
      <c r="NTV49" s="408"/>
      <c r="NTW49" s="408"/>
      <c r="NTX49" s="408"/>
      <c r="NTY49" s="408"/>
      <c r="NTZ49" s="408"/>
      <c r="NUA49" s="408"/>
      <c r="NUB49" s="408"/>
      <c r="NUC49" s="408"/>
      <c r="NUD49" s="408"/>
      <c r="NUE49" s="408"/>
      <c r="NUF49" s="408"/>
      <c r="NUG49" s="408"/>
      <c r="NUH49" s="408"/>
      <c r="NUI49" s="408"/>
      <c r="NUJ49" s="408"/>
      <c r="NUK49" s="408"/>
      <c r="NUL49" s="408"/>
      <c r="NUM49" s="408"/>
      <c r="NUN49" s="408"/>
      <c r="NUO49" s="408"/>
      <c r="NUP49" s="408"/>
      <c r="NUQ49" s="408"/>
      <c r="NUR49" s="408"/>
      <c r="NUS49" s="408"/>
      <c r="NUT49" s="408"/>
      <c r="NUU49" s="408"/>
      <c r="NUV49" s="408"/>
      <c r="NUW49" s="408"/>
      <c r="NUX49" s="408"/>
      <c r="NUY49" s="408"/>
      <c r="NUZ49" s="408"/>
      <c r="NVA49" s="408"/>
      <c r="NVB49" s="408"/>
      <c r="NVC49" s="408"/>
      <c r="NVD49" s="408"/>
      <c r="NVE49" s="408"/>
      <c r="NVF49" s="408"/>
      <c r="NVG49" s="408"/>
      <c r="NVH49" s="408"/>
      <c r="NVI49" s="408"/>
      <c r="NVJ49" s="408"/>
      <c r="NVK49" s="408"/>
      <c r="NVL49" s="408"/>
      <c r="NVM49" s="408"/>
      <c r="NVN49" s="408"/>
      <c r="NVO49" s="408"/>
      <c r="NVP49" s="408"/>
      <c r="NVQ49" s="408"/>
      <c r="NVR49" s="408"/>
      <c r="NVS49" s="408"/>
      <c r="NVT49" s="408"/>
      <c r="NVU49" s="408"/>
      <c r="NVV49" s="408"/>
      <c r="NVW49" s="408"/>
      <c r="NVX49" s="408"/>
      <c r="NVY49" s="408"/>
      <c r="NVZ49" s="408"/>
      <c r="NWA49" s="408"/>
      <c r="NWB49" s="408"/>
      <c r="NWC49" s="408"/>
      <c r="NWD49" s="408"/>
      <c r="NWE49" s="408"/>
      <c r="NWF49" s="408"/>
      <c r="NWG49" s="408"/>
      <c r="NWH49" s="408"/>
      <c r="NWI49" s="408"/>
      <c r="NWJ49" s="408"/>
      <c r="NWK49" s="408"/>
      <c r="NWL49" s="408"/>
      <c r="NWM49" s="408"/>
      <c r="NWN49" s="408"/>
      <c r="NWO49" s="408"/>
      <c r="NWP49" s="408"/>
      <c r="NWQ49" s="408"/>
      <c r="NWR49" s="408"/>
      <c r="NWS49" s="408"/>
      <c r="NWT49" s="408"/>
      <c r="NWU49" s="408"/>
      <c r="NWV49" s="408"/>
      <c r="NWW49" s="408"/>
      <c r="NWX49" s="408"/>
      <c r="NWY49" s="408"/>
      <c r="NWZ49" s="408"/>
      <c r="NXA49" s="408"/>
      <c r="NXB49" s="408"/>
      <c r="NXC49" s="408"/>
      <c r="NXD49" s="408"/>
      <c r="NXE49" s="408"/>
      <c r="NXF49" s="408"/>
      <c r="NXG49" s="408"/>
      <c r="NXH49" s="408"/>
      <c r="NXI49" s="408"/>
      <c r="NXJ49" s="408"/>
      <c r="NXK49" s="408"/>
      <c r="NXL49" s="408"/>
      <c r="NXM49" s="408"/>
      <c r="NXN49" s="408"/>
      <c r="NXO49" s="408"/>
      <c r="NXP49" s="408"/>
      <c r="NXQ49" s="408"/>
      <c r="NXR49" s="408"/>
      <c r="NXS49" s="408"/>
      <c r="NXT49" s="408"/>
      <c r="NXU49" s="408"/>
      <c r="NXV49" s="408"/>
      <c r="NXW49" s="408"/>
      <c r="NXX49" s="408"/>
      <c r="NXY49" s="408"/>
      <c r="NXZ49" s="408"/>
      <c r="NYA49" s="408"/>
      <c r="NYB49" s="408"/>
      <c r="NYC49" s="408"/>
      <c r="NYD49" s="408"/>
      <c r="NYE49" s="408"/>
      <c r="NYF49" s="408"/>
      <c r="NYG49" s="408"/>
      <c r="NYH49" s="408"/>
      <c r="NYI49" s="408"/>
      <c r="NYJ49" s="408"/>
      <c r="NYK49" s="408"/>
      <c r="NYL49" s="408"/>
      <c r="NYM49" s="408"/>
      <c r="NYN49" s="408"/>
      <c r="NYO49" s="408"/>
      <c r="NYP49" s="408"/>
      <c r="NYQ49" s="408"/>
      <c r="NYR49" s="408"/>
      <c r="NYS49" s="408"/>
      <c r="NYT49" s="408"/>
      <c r="NYU49" s="408"/>
      <c r="NYV49" s="408"/>
      <c r="NYW49" s="408"/>
      <c r="NYX49" s="408"/>
      <c r="NYY49" s="408"/>
      <c r="NYZ49" s="408"/>
      <c r="NZA49" s="408"/>
      <c r="NZB49" s="408"/>
      <c r="NZC49" s="408"/>
      <c r="NZD49" s="408"/>
      <c r="NZE49" s="408"/>
      <c r="NZF49" s="408"/>
      <c r="NZG49" s="408"/>
      <c r="NZH49" s="408"/>
      <c r="NZI49" s="408"/>
      <c r="NZJ49" s="408"/>
      <c r="NZK49" s="408"/>
      <c r="NZL49" s="408"/>
      <c r="NZM49" s="408"/>
      <c r="NZN49" s="408"/>
      <c r="NZO49" s="408"/>
      <c r="NZP49" s="408"/>
      <c r="NZQ49" s="408"/>
      <c r="NZR49" s="408"/>
      <c r="NZS49" s="408"/>
      <c r="NZT49" s="408"/>
      <c r="NZU49" s="408"/>
      <c r="NZV49" s="408"/>
      <c r="NZW49" s="408"/>
      <c r="NZX49" s="408"/>
      <c r="NZY49" s="408"/>
      <c r="NZZ49" s="408"/>
      <c r="OAA49" s="408"/>
      <c r="OAB49" s="408"/>
      <c r="OAC49" s="408"/>
      <c r="OAD49" s="408"/>
      <c r="OAE49" s="408"/>
      <c r="OAF49" s="408"/>
      <c r="OAG49" s="408"/>
      <c r="OAH49" s="408"/>
      <c r="OAI49" s="408"/>
      <c r="OAJ49" s="408"/>
      <c r="OAK49" s="408"/>
      <c r="OAL49" s="408"/>
      <c r="OAM49" s="408"/>
      <c r="OAN49" s="408"/>
      <c r="OAO49" s="408"/>
      <c r="OAP49" s="408"/>
      <c r="OAQ49" s="408"/>
      <c r="OAR49" s="408"/>
      <c r="OAS49" s="408"/>
      <c r="OAT49" s="408"/>
      <c r="OAU49" s="408"/>
      <c r="OAV49" s="408"/>
      <c r="OAW49" s="408"/>
      <c r="OAX49" s="408"/>
      <c r="OAY49" s="408"/>
      <c r="OAZ49" s="408"/>
      <c r="OBA49" s="408"/>
      <c r="OBB49" s="408"/>
      <c r="OBC49" s="408"/>
      <c r="OBD49" s="408"/>
      <c r="OBE49" s="408"/>
      <c r="OBF49" s="408"/>
      <c r="OBG49" s="408"/>
      <c r="OBH49" s="408"/>
      <c r="OBI49" s="408"/>
      <c r="OBJ49" s="408"/>
      <c r="OBK49" s="408"/>
      <c r="OBL49" s="408"/>
      <c r="OBM49" s="408"/>
      <c r="OBN49" s="408"/>
      <c r="OBO49" s="408"/>
      <c r="OBP49" s="408"/>
      <c r="OBQ49" s="408"/>
      <c r="OBR49" s="408"/>
      <c r="OBS49" s="408"/>
      <c r="OBT49" s="408"/>
      <c r="OBU49" s="408"/>
      <c r="OBV49" s="408"/>
      <c r="OBW49" s="408"/>
      <c r="OBX49" s="408"/>
      <c r="OBY49" s="408"/>
      <c r="OBZ49" s="408"/>
      <c r="OCA49" s="408"/>
      <c r="OCB49" s="408"/>
      <c r="OCC49" s="408"/>
      <c r="OCD49" s="408"/>
      <c r="OCE49" s="408"/>
      <c r="OCF49" s="408"/>
      <c r="OCG49" s="408"/>
      <c r="OCH49" s="408"/>
      <c r="OCI49" s="408"/>
      <c r="OCJ49" s="408"/>
      <c r="OCK49" s="408"/>
      <c r="OCL49" s="408"/>
      <c r="OCM49" s="408"/>
      <c r="OCN49" s="408"/>
      <c r="OCO49" s="408"/>
      <c r="OCP49" s="408"/>
      <c r="OCQ49" s="408"/>
      <c r="OCR49" s="408"/>
      <c r="OCS49" s="408"/>
      <c r="OCT49" s="408"/>
      <c r="OCU49" s="408"/>
      <c r="OCV49" s="408"/>
      <c r="OCW49" s="408"/>
      <c r="OCX49" s="408"/>
      <c r="OCY49" s="408"/>
      <c r="OCZ49" s="408"/>
      <c r="ODA49" s="408"/>
      <c r="ODB49" s="408"/>
      <c r="ODC49" s="408"/>
      <c r="ODD49" s="408"/>
      <c r="ODE49" s="408"/>
      <c r="ODF49" s="408"/>
      <c r="ODG49" s="408"/>
      <c r="ODH49" s="408"/>
      <c r="ODI49" s="408"/>
      <c r="ODJ49" s="408"/>
      <c r="ODK49" s="408"/>
      <c r="ODL49" s="408"/>
      <c r="ODM49" s="408"/>
      <c r="ODN49" s="408"/>
      <c r="ODO49" s="408"/>
      <c r="ODP49" s="408"/>
      <c r="ODQ49" s="408"/>
      <c r="ODR49" s="408"/>
      <c r="ODS49" s="408"/>
      <c r="ODT49" s="408"/>
      <c r="ODU49" s="408"/>
      <c r="ODV49" s="408"/>
      <c r="ODW49" s="408"/>
      <c r="ODX49" s="408"/>
      <c r="ODY49" s="408"/>
      <c r="ODZ49" s="408"/>
      <c r="OEA49" s="408"/>
      <c r="OEB49" s="408"/>
      <c r="OEC49" s="408"/>
      <c r="OED49" s="408"/>
      <c r="OEE49" s="408"/>
      <c r="OEF49" s="408"/>
      <c r="OEG49" s="408"/>
      <c r="OEH49" s="408"/>
      <c r="OEI49" s="408"/>
      <c r="OEJ49" s="408"/>
      <c r="OEK49" s="408"/>
      <c r="OEL49" s="408"/>
      <c r="OEM49" s="408"/>
      <c r="OEN49" s="408"/>
      <c r="OEO49" s="408"/>
      <c r="OEP49" s="408"/>
      <c r="OEQ49" s="408"/>
      <c r="OER49" s="408"/>
      <c r="OES49" s="408"/>
      <c r="OET49" s="408"/>
      <c r="OEU49" s="408"/>
      <c r="OEV49" s="408"/>
      <c r="OEW49" s="408"/>
      <c r="OEX49" s="408"/>
      <c r="OEY49" s="408"/>
      <c r="OEZ49" s="408"/>
      <c r="OFA49" s="408"/>
      <c r="OFB49" s="408"/>
      <c r="OFC49" s="408"/>
      <c r="OFD49" s="408"/>
      <c r="OFE49" s="408"/>
      <c r="OFF49" s="408"/>
      <c r="OFG49" s="408"/>
      <c r="OFH49" s="408"/>
      <c r="OFI49" s="408"/>
      <c r="OFJ49" s="408"/>
      <c r="OFK49" s="408"/>
      <c r="OFL49" s="408"/>
      <c r="OFM49" s="408"/>
      <c r="OFN49" s="408"/>
      <c r="OFO49" s="408"/>
      <c r="OFP49" s="408"/>
      <c r="OFQ49" s="408"/>
      <c r="OFR49" s="408"/>
      <c r="OFS49" s="408"/>
      <c r="OFT49" s="408"/>
      <c r="OFU49" s="408"/>
      <c r="OFV49" s="408"/>
      <c r="OFW49" s="408"/>
      <c r="OFX49" s="408"/>
      <c r="OFY49" s="408"/>
      <c r="OFZ49" s="408"/>
      <c r="OGA49" s="408"/>
      <c r="OGB49" s="408"/>
      <c r="OGC49" s="408"/>
      <c r="OGD49" s="408"/>
      <c r="OGE49" s="408"/>
      <c r="OGF49" s="408"/>
      <c r="OGG49" s="408"/>
      <c r="OGH49" s="408"/>
      <c r="OGI49" s="408"/>
      <c r="OGJ49" s="408"/>
      <c r="OGK49" s="408"/>
      <c r="OGL49" s="408"/>
      <c r="OGM49" s="408"/>
      <c r="OGN49" s="408"/>
      <c r="OGO49" s="408"/>
      <c r="OGP49" s="408"/>
      <c r="OGQ49" s="408"/>
      <c r="OGR49" s="408"/>
      <c r="OGS49" s="408"/>
      <c r="OGT49" s="408"/>
      <c r="OGU49" s="408"/>
      <c r="OGV49" s="408"/>
      <c r="OGW49" s="408"/>
      <c r="OGX49" s="408"/>
      <c r="OGY49" s="408"/>
      <c r="OGZ49" s="408"/>
      <c r="OHA49" s="408"/>
      <c r="OHB49" s="408"/>
      <c r="OHC49" s="408"/>
      <c r="OHD49" s="408"/>
      <c r="OHE49" s="408"/>
      <c r="OHF49" s="408"/>
      <c r="OHG49" s="408"/>
      <c r="OHH49" s="408"/>
      <c r="OHI49" s="408"/>
      <c r="OHJ49" s="408"/>
      <c r="OHK49" s="408"/>
      <c r="OHL49" s="408"/>
      <c r="OHM49" s="408"/>
      <c r="OHN49" s="408"/>
      <c r="OHO49" s="408"/>
      <c r="OHP49" s="408"/>
      <c r="OHQ49" s="408"/>
      <c r="OHR49" s="408"/>
      <c r="OHS49" s="408"/>
      <c r="OHT49" s="408"/>
      <c r="OHU49" s="408"/>
      <c r="OHV49" s="408"/>
      <c r="OHW49" s="408"/>
      <c r="OHX49" s="408"/>
      <c r="OHY49" s="408"/>
      <c r="OHZ49" s="408"/>
      <c r="OIA49" s="408"/>
      <c r="OIB49" s="408"/>
      <c r="OIC49" s="408"/>
      <c r="OID49" s="408"/>
      <c r="OIE49" s="408"/>
      <c r="OIF49" s="408"/>
      <c r="OIG49" s="408"/>
      <c r="OIH49" s="408"/>
      <c r="OII49" s="408"/>
      <c r="OIJ49" s="408"/>
      <c r="OIK49" s="408"/>
      <c r="OIL49" s="408"/>
      <c r="OIM49" s="408"/>
      <c r="OIN49" s="408"/>
      <c r="OIO49" s="408"/>
      <c r="OIP49" s="408"/>
      <c r="OIQ49" s="408"/>
      <c r="OIR49" s="408"/>
      <c r="OIS49" s="408"/>
      <c r="OIT49" s="408"/>
      <c r="OIU49" s="408"/>
      <c r="OIV49" s="408"/>
      <c r="OIW49" s="408"/>
      <c r="OIX49" s="408"/>
      <c r="OIY49" s="408"/>
      <c r="OIZ49" s="408"/>
      <c r="OJA49" s="408"/>
      <c r="OJB49" s="408"/>
      <c r="OJC49" s="408"/>
      <c r="OJD49" s="408"/>
      <c r="OJE49" s="408"/>
      <c r="OJF49" s="408"/>
      <c r="OJG49" s="408"/>
      <c r="OJH49" s="408"/>
      <c r="OJI49" s="408"/>
      <c r="OJJ49" s="408"/>
      <c r="OJK49" s="408"/>
      <c r="OJL49" s="408"/>
      <c r="OJM49" s="408"/>
      <c r="OJN49" s="408"/>
      <c r="OJO49" s="408"/>
      <c r="OJP49" s="408"/>
      <c r="OJQ49" s="408"/>
      <c r="OJR49" s="408"/>
      <c r="OJS49" s="408"/>
      <c r="OJT49" s="408"/>
      <c r="OJU49" s="408"/>
      <c r="OJV49" s="408"/>
      <c r="OJW49" s="408"/>
      <c r="OJX49" s="408"/>
      <c r="OJY49" s="408"/>
      <c r="OJZ49" s="408"/>
      <c r="OKA49" s="408"/>
      <c r="OKB49" s="408"/>
      <c r="OKC49" s="408"/>
      <c r="OKD49" s="408"/>
      <c r="OKE49" s="408"/>
      <c r="OKF49" s="408"/>
      <c r="OKG49" s="408"/>
      <c r="OKH49" s="408"/>
      <c r="OKI49" s="408"/>
      <c r="OKJ49" s="408"/>
      <c r="OKK49" s="408"/>
      <c r="OKL49" s="408"/>
      <c r="OKM49" s="408"/>
      <c r="OKN49" s="408"/>
      <c r="OKO49" s="408"/>
      <c r="OKP49" s="408"/>
      <c r="OKQ49" s="408"/>
      <c r="OKR49" s="408"/>
      <c r="OKS49" s="408"/>
      <c r="OKT49" s="408"/>
      <c r="OKU49" s="408"/>
      <c r="OKV49" s="408"/>
      <c r="OKW49" s="408"/>
      <c r="OKX49" s="408"/>
      <c r="OKY49" s="408"/>
      <c r="OKZ49" s="408"/>
      <c r="OLA49" s="408"/>
      <c r="OLB49" s="408"/>
      <c r="OLC49" s="408"/>
      <c r="OLD49" s="408"/>
      <c r="OLE49" s="408"/>
      <c r="OLF49" s="408"/>
      <c r="OLG49" s="408"/>
      <c r="OLH49" s="408"/>
      <c r="OLI49" s="408"/>
      <c r="OLJ49" s="408"/>
      <c r="OLK49" s="408"/>
      <c r="OLL49" s="408"/>
      <c r="OLM49" s="408"/>
      <c r="OLN49" s="408"/>
      <c r="OLO49" s="408"/>
      <c r="OLP49" s="408"/>
      <c r="OLQ49" s="408"/>
      <c r="OLR49" s="408"/>
      <c r="OLS49" s="408"/>
      <c r="OLT49" s="408"/>
      <c r="OLU49" s="408"/>
      <c r="OLV49" s="408"/>
      <c r="OLW49" s="408"/>
      <c r="OLX49" s="408"/>
      <c r="OLY49" s="408"/>
      <c r="OLZ49" s="408"/>
      <c r="OMA49" s="408"/>
      <c r="OMB49" s="408"/>
      <c r="OMC49" s="408"/>
      <c r="OMD49" s="408"/>
      <c r="OME49" s="408"/>
      <c r="OMF49" s="408"/>
      <c r="OMG49" s="408"/>
      <c r="OMH49" s="408"/>
      <c r="OMI49" s="408"/>
      <c r="OMJ49" s="408"/>
      <c r="OMK49" s="408"/>
      <c r="OML49" s="408"/>
      <c r="OMM49" s="408"/>
      <c r="OMN49" s="408"/>
      <c r="OMO49" s="408"/>
      <c r="OMP49" s="408"/>
      <c r="OMQ49" s="408"/>
      <c r="OMR49" s="408"/>
      <c r="OMS49" s="408"/>
      <c r="OMT49" s="408"/>
      <c r="OMU49" s="408"/>
      <c r="OMV49" s="408"/>
      <c r="OMW49" s="408"/>
      <c r="OMX49" s="408"/>
      <c r="OMY49" s="408"/>
      <c r="OMZ49" s="408"/>
      <c r="ONA49" s="408"/>
      <c r="ONB49" s="408"/>
      <c r="ONC49" s="408"/>
      <c r="OND49" s="408"/>
      <c r="ONE49" s="408"/>
      <c r="ONF49" s="408"/>
      <c r="ONG49" s="408"/>
      <c r="ONH49" s="408"/>
      <c r="ONI49" s="408"/>
      <c r="ONJ49" s="408"/>
      <c r="ONK49" s="408"/>
      <c r="ONL49" s="408"/>
      <c r="ONM49" s="408"/>
      <c r="ONN49" s="408"/>
      <c r="ONO49" s="408"/>
      <c r="ONP49" s="408"/>
      <c r="ONQ49" s="408"/>
      <c r="ONR49" s="408"/>
      <c r="ONS49" s="408"/>
      <c r="ONT49" s="408"/>
      <c r="ONU49" s="408"/>
      <c r="ONV49" s="408"/>
      <c r="ONW49" s="408"/>
      <c r="ONX49" s="408"/>
      <c r="ONY49" s="408"/>
      <c r="ONZ49" s="408"/>
      <c r="OOA49" s="408"/>
      <c r="OOB49" s="408"/>
      <c r="OOC49" s="408"/>
      <c r="OOD49" s="408"/>
      <c r="OOE49" s="408"/>
      <c r="OOF49" s="408"/>
      <c r="OOG49" s="408"/>
      <c r="OOH49" s="408"/>
      <c r="OOI49" s="408"/>
      <c r="OOJ49" s="408"/>
      <c r="OOK49" s="408"/>
      <c r="OOL49" s="408"/>
      <c r="OOM49" s="408"/>
      <c r="OON49" s="408"/>
      <c r="OOO49" s="408"/>
      <c r="OOP49" s="408"/>
      <c r="OOQ49" s="408"/>
      <c r="OOR49" s="408"/>
      <c r="OOS49" s="408"/>
      <c r="OOT49" s="408"/>
      <c r="OOU49" s="408"/>
      <c r="OOV49" s="408"/>
      <c r="OOW49" s="408"/>
      <c r="OOX49" s="408"/>
      <c r="OOY49" s="408"/>
      <c r="OOZ49" s="408"/>
      <c r="OPA49" s="408"/>
      <c r="OPB49" s="408"/>
      <c r="OPC49" s="408"/>
      <c r="OPD49" s="408"/>
      <c r="OPE49" s="408"/>
      <c r="OPF49" s="408"/>
      <c r="OPG49" s="408"/>
      <c r="OPH49" s="408"/>
      <c r="OPI49" s="408"/>
      <c r="OPJ49" s="408"/>
      <c r="OPK49" s="408"/>
      <c r="OPL49" s="408"/>
      <c r="OPM49" s="408"/>
      <c r="OPN49" s="408"/>
      <c r="OPO49" s="408"/>
      <c r="OPP49" s="408"/>
      <c r="OPQ49" s="408"/>
      <c r="OPR49" s="408"/>
      <c r="OPS49" s="408"/>
      <c r="OPT49" s="408"/>
      <c r="OPU49" s="408"/>
      <c r="OPV49" s="408"/>
      <c r="OPW49" s="408"/>
      <c r="OPX49" s="408"/>
      <c r="OPY49" s="408"/>
      <c r="OPZ49" s="408"/>
      <c r="OQA49" s="408"/>
      <c r="OQB49" s="408"/>
      <c r="OQC49" s="408"/>
      <c r="OQD49" s="408"/>
      <c r="OQE49" s="408"/>
      <c r="OQF49" s="408"/>
      <c r="OQG49" s="408"/>
      <c r="OQH49" s="408"/>
      <c r="OQI49" s="408"/>
      <c r="OQJ49" s="408"/>
      <c r="OQK49" s="408"/>
      <c r="OQL49" s="408"/>
      <c r="OQM49" s="408"/>
      <c r="OQN49" s="408"/>
      <c r="OQO49" s="408"/>
      <c r="OQP49" s="408"/>
      <c r="OQQ49" s="408"/>
      <c r="OQR49" s="408"/>
      <c r="OQS49" s="408"/>
      <c r="OQT49" s="408"/>
      <c r="OQU49" s="408"/>
      <c r="OQV49" s="408"/>
      <c r="OQW49" s="408"/>
      <c r="OQX49" s="408"/>
      <c r="OQY49" s="408"/>
      <c r="OQZ49" s="408"/>
      <c r="ORA49" s="408"/>
      <c r="ORB49" s="408"/>
      <c r="ORC49" s="408"/>
      <c r="ORD49" s="408"/>
      <c r="ORE49" s="408"/>
      <c r="ORF49" s="408"/>
      <c r="ORG49" s="408"/>
      <c r="ORH49" s="408"/>
      <c r="ORI49" s="408"/>
      <c r="ORJ49" s="408"/>
      <c r="ORK49" s="408"/>
      <c r="ORL49" s="408"/>
      <c r="ORM49" s="408"/>
      <c r="ORN49" s="408"/>
      <c r="ORO49" s="408"/>
      <c r="ORP49" s="408"/>
      <c r="ORQ49" s="408"/>
      <c r="ORR49" s="408"/>
      <c r="ORS49" s="408"/>
      <c r="ORT49" s="408"/>
      <c r="ORU49" s="408"/>
      <c r="ORV49" s="408"/>
      <c r="ORW49" s="408"/>
      <c r="ORX49" s="408"/>
      <c r="ORY49" s="408"/>
      <c r="ORZ49" s="408"/>
      <c r="OSA49" s="408"/>
      <c r="OSB49" s="408"/>
      <c r="OSC49" s="408"/>
      <c r="OSD49" s="408"/>
      <c r="OSE49" s="408"/>
      <c r="OSF49" s="408"/>
      <c r="OSG49" s="408"/>
      <c r="OSH49" s="408"/>
      <c r="OSI49" s="408"/>
      <c r="OSJ49" s="408"/>
      <c r="OSK49" s="408"/>
      <c r="OSL49" s="408"/>
      <c r="OSM49" s="408"/>
      <c r="OSN49" s="408"/>
      <c r="OSO49" s="408"/>
      <c r="OSP49" s="408"/>
      <c r="OSQ49" s="408"/>
      <c r="OSR49" s="408"/>
      <c r="OSS49" s="408"/>
      <c r="OST49" s="408"/>
      <c r="OSU49" s="408"/>
      <c r="OSV49" s="408"/>
      <c r="OSW49" s="408"/>
      <c r="OSX49" s="408"/>
      <c r="OSY49" s="408"/>
      <c r="OSZ49" s="408"/>
      <c r="OTA49" s="408"/>
      <c r="OTB49" s="408"/>
      <c r="OTC49" s="408"/>
      <c r="OTD49" s="408"/>
      <c r="OTE49" s="408"/>
      <c r="OTF49" s="408"/>
      <c r="OTG49" s="408"/>
      <c r="OTH49" s="408"/>
      <c r="OTI49" s="408"/>
      <c r="OTJ49" s="408"/>
      <c r="OTK49" s="408"/>
      <c r="OTL49" s="408"/>
      <c r="OTM49" s="408"/>
      <c r="OTN49" s="408"/>
      <c r="OTO49" s="408"/>
      <c r="OTP49" s="408"/>
      <c r="OTQ49" s="408"/>
      <c r="OTR49" s="408"/>
      <c r="OTS49" s="408"/>
      <c r="OTT49" s="408"/>
      <c r="OTU49" s="408"/>
      <c r="OTV49" s="408"/>
      <c r="OTW49" s="408"/>
      <c r="OTX49" s="408"/>
      <c r="OTY49" s="408"/>
      <c r="OTZ49" s="408"/>
      <c r="OUA49" s="408"/>
      <c r="OUB49" s="408"/>
      <c r="OUC49" s="408"/>
      <c r="OUD49" s="408"/>
      <c r="OUE49" s="408"/>
      <c r="OUF49" s="408"/>
      <c r="OUG49" s="408"/>
      <c r="OUH49" s="408"/>
      <c r="OUI49" s="408"/>
      <c r="OUJ49" s="408"/>
      <c r="OUK49" s="408"/>
      <c r="OUL49" s="408"/>
      <c r="OUM49" s="408"/>
      <c r="OUN49" s="408"/>
      <c r="OUO49" s="408"/>
      <c r="OUP49" s="408"/>
      <c r="OUQ49" s="408"/>
      <c r="OUR49" s="408"/>
      <c r="OUS49" s="408"/>
      <c r="OUT49" s="408"/>
      <c r="OUU49" s="408"/>
      <c r="OUV49" s="408"/>
      <c r="OUW49" s="408"/>
      <c r="OUX49" s="408"/>
      <c r="OUY49" s="408"/>
      <c r="OUZ49" s="408"/>
      <c r="OVA49" s="408"/>
      <c r="OVB49" s="408"/>
      <c r="OVC49" s="408"/>
      <c r="OVD49" s="408"/>
      <c r="OVE49" s="408"/>
      <c r="OVF49" s="408"/>
      <c r="OVG49" s="408"/>
      <c r="OVH49" s="408"/>
      <c r="OVI49" s="408"/>
      <c r="OVJ49" s="408"/>
      <c r="OVK49" s="408"/>
      <c r="OVL49" s="408"/>
      <c r="OVM49" s="408"/>
      <c r="OVN49" s="408"/>
      <c r="OVO49" s="408"/>
      <c r="OVP49" s="408"/>
      <c r="OVQ49" s="408"/>
      <c r="OVR49" s="408"/>
      <c r="OVS49" s="408"/>
      <c r="OVT49" s="408"/>
      <c r="OVU49" s="408"/>
      <c r="OVV49" s="408"/>
      <c r="OVW49" s="408"/>
      <c r="OVX49" s="408"/>
      <c r="OVY49" s="408"/>
      <c r="OVZ49" s="408"/>
      <c r="OWA49" s="408"/>
      <c r="OWB49" s="408"/>
      <c r="OWC49" s="408"/>
      <c r="OWD49" s="408"/>
      <c r="OWE49" s="408"/>
      <c r="OWF49" s="408"/>
      <c r="OWG49" s="408"/>
      <c r="OWH49" s="408"/>
      <c r="OWI49" s="408"/>
      <c r="OWJ49" s="408"/>
      <c r="OWK49" s="408"/>
      <c r="OWL49" s="408"/>
      <c r="OWM49" s="408"/>
      <c r="OWN49" s="408"/>
      <c r="OWO49" s="408"/>
      <c r="OWP49" s="408"/>
      <c r="OWQ49" s="408"/>
      <c r="OWR49" s="408"/>
      <c r="OWS49" s="408"/>
      <c r="OWT49" s="408"/>
      <c r="OWU49" s="408"/>
      <c r="OWV49" s="408"/>
      <c r="OWW49" s="408"/>
      <c r="OWX49" s="408"/>
      <c r="OWY49" s="408"/>
      <c r="OWZ49" s="408"/>
      <c r="OXA49" s="408"/>
      <c r="OXB49" s="408"/>
      <c r="OXC49" s="408"/>
      <c r="OXD49" s="408"/>
      <c r="OXE49" s="408"/>
      <c r="OXF49" s="408"/>
      <c r="OXG49" s="408"/>
      <c r="OXH49" s="408"/>
      <c r="OXI49" s="408"/>
      <c r="OXJ49" s="408"/>
      <c r="OXK49" s="408"/>
      <c r="OXL49" s="408"/>
      <c r="OXM49" s="408"/>
      <c r="OXN49" s="408"/>
      <c r="OXO49" s="408"/>
      <c r="OXP49" s="408"/>
      <c r="OXQ49" s="408"/>
      <c r="OXR49" s="408"/>
      <c r="OXS49" s="408"/>
      <c r="OXT49" s="408"/>
      <c r="OXU49" s="408"/>
      <c r="OXV49" s="408"/>
      <c r="OXW49" s="408"/>
      <c r="OXX49" s="408"/>
      <c r="OXY49" s="408"/>
      <c r="OXZ49" s="408"/>
      <c r="OYA49" s="408"/>
      <c r="OYB49" s="408"/>
      <c r="OYC49" s="408"/>
      <c r="OYD49" s="408"/>
      <c r="OYE49" s="408"/>
      <c r="OYF49" s="408"/>
      <c r="OYG49" s="408"/>
      <c r="OYH49" s="408"/>
      <c r="OYI49" s="408"/>
      <c r="OYJ49" s="408"/>
      <c r="OYK49" s="408"/>
      <c r="OYL49" s="408"/>
      <c r="OYM49" s="408"/>
      <c r="OYN49" s="408"/>
      <c r="OYO49" s="408"/>
      <c r="OYP49" s="408"/>
      <c r="OYQ49" s="408"/>
      <c r="OYR49" s="408"/>
      <c r="OYS49" s="408"/>
      <c r="OYT49" s="408"/>
      <c r="OYU49" s="408"/>
      <c r="OYV49" s="408"/>
      <c r="OYW49" s="408"/>
      <c r="OYX49" s="408"/>
      <c r="OYY49" s="408"/>
      <c r="OYZ49" s="408"/>
      <c r="OZA49" s="408"/>
      <c r="OZB49" s="408"/>
      <c r="OZC49" s="408"/>
      <c r="OZD49" s="408"/>
      <c r="OZE49" s="408"/>
      <c r="OZF49" s="408"/>
      <c r="OZG49" s="408"/>
      <c r="OZH49" s="408"/>
      <c r="OZI49" s="408"/>
      <c r="OZJ49" s="408"/>
      <c r="OZK49" s="408"/>
      <c r="OZL49" s="408"/>
      <c r="OZM49" s="408"/>
      <c r="OZN49" s="408"/>
      <c r="OZO49" s="408"/>
      <c r="OZP49" s="408"/>
      <c r="OZQ49" s="408"/>
      <c r="OZR49" s="408"/>
      <c r="OZS49" s="408"/>
      <c r="OZT49" s="408"/>
      <c r="OZU49" s="408"/>
      <c r="OZV49" s="408"/>
      <c r="OZW49" s="408"/>
      <c r="OZX49" s="408"/>
      <c r="OZY49" s="408"/>
      <c r="OZZ49" s="408"/>
      <c r="PAA49" s="408"/>
      <c r="PAB49" s="408"/>
      <c r="PAC49" s="408"/>
      <c r="PAD49" s="408"/>
      <c r="PAE49" s="408"/>
      <c r="PAF49" s="408"/>
      <c r="PAG49" s="408"/>
      <c r="PAH49" s="408"/>
      <c r="PAI49" s="408"/>
      <c r="PAJ49" s="408"/>
      <c r="PAK49" s="408"/>
      <c r="PAL49" s="408"/>
      <c r="PAM49" s="408"/>
      <c r="PAN49" s="408"/>
      <c r="PAO49" s="408"/>
      <c r="PAP49" s="408"/>
      <c r="PAQ49" s="408"/>
      <c r="PAR49" s="408"/>
      <c r="PAS49" s="408"/>
      <c r="PAT49" s="408"/>
      <c r="PAU49" s="408"/>
      <c r="PAV49" s="408"/>
      <c r="PAW49" s="408"/>
      <c r="PAX49" s="408"/>
      <c r="PAY49" s="408"/>
      <c r="PAZ49" s="408"/>
      <c r="PBA49" s="408"/>
      <c r="PBB49" s="408"/>
      <c r="PBC49" s="408"/>
      <c r="PBD49" s="408"/>
      <c r="PBE49" s="408"/>
      <c r="PBF49" s="408"/>
      <c r="PBG49" s="408"/>
      <c r="PBH49" s="408"/>
      <c r="PBI49" s="408"/>
      <c r="PBJ49" s="408"/>
      <c r="PBK49" s="408"/>
      <c r="PBL49" s="408"/>
      <c r="PBM49" s="408"/>
      <c r="PBN49" s="408"/>
      <c r="PBO49" s="408"/>
      <c r="PBP49" s="408"/>
      <c r="PBQ49" s="408"/>
      <c r="PBR49" s="408"/>
      <c r="PBS49" s="408"/>
      <c r="PBT49" s="408"/>
      <c r="PBU49" s="408"/>
      <c r="PBV49" s="408"/>
      <c r="PBW49" s="408"/>
      <c r="PBX49" s="408"/>
      <c r="PBY49" s="408"/>
      <c r="PBZ49" s="408"/>
      <c r="PCA49" s="408"/>
      <c r="PCB49" s="408"/>
      <c r="PCC49" s="408"/>
      <c r="PCD49" s="408"/>
      <c r="PCE49" s="408"/>
      <c r="PCF49" s="408"/>
      <c r="PCG49" s="408"/>
      <c r="PCH49" s="408"/>
      <c r="PCI49" s="408"/>
      <c r="PCJ49" s="408"/>
      <c r="PCK49" s="408"/>
      <c r="PCL49" s="408"/>
      <c r="PCM49" s="408"/>
      <c r="PCN49" s="408"/>
      <c r="PCO49" s="408"/>
      <c r="PCP49" s="408"/>
      <c r="PCQ49" s="408"/>
      <c r="PCR49" s="408"/>
      <c r="PCS49" s="408"/>
      <c r="PCT49" s="408"/>
      <c r="PCU49" s="408"/>
      <c r="PCV49" s="408"/>
      <c r="PCW49" s="408"/>
      <c r="PCX49" s="408"/>
      <c r="PCY49" s="408"/>
      <c r="PCZ49" s="408"/>
      <c r="PDA49" s="408"/>
      <c r="PDB49" s="408"/>
      <c r="PDC49" s="408"/>
      <c r="PDD49" s="408"/>
      <c r="PDE49" s="408"/>
      <c r="PDF49" s="408"/>
      <c r="PDG49" s="408"/>
      <c r="PDH49" s="408"/>
      <c r="PDI49" s="408"/>
      <c r="PDJ49" s="408"/>
      <c r="PDK49" s="408"/>
      <c r="PDL49" s="408"/>
      <c r="PDM49" s="408"/>
      <c r="PDN49" s="408"/>
      <c r="PDO49" s="408"/>
      <c r="PDP49" s="408"/>
      <c r="PDQ49" s="408"/>
      <c r="PDR49" s="408"/>
      <c r="PDS49" s="408"/>
      <c r="PDT49" s="408"/>
      <c r="PDU49" s="408"/>
      <c r="PDV49" s="408"/>
      <c r="PDW49" s="408"/>
      <c r="PDX49" s="408"/>
      <c r="PDY49" s="408"/>
      <c r="PDZ49" s="408"/>
      <c r="PEA49" s="408"/>
      <c r="PEB49" s="408"/>
      <c r="PEC49" s="408"/>
      <c r="PED49" s="408"/>
      <c r="PEE49" s="408"/>
      <c r="PEF49" s="408"/>
      <c r="PEG49" s="408"/>
      <c r="PEH49" s="408"/>
      <c r="PEI49" s="408"/>
      <c r="PEJ49" s="408"/>
      <c r="PEK49" s="408"/>
      <c r="PEL49" s="408"/>
      <c r="PEM49" s="408"/>
      <c r="PEN49" s="408"/>
      <c r="PEO49" s="408"/>
      <c r="PEP49" s="408"/>
      <c r="PEQ49" s="408"/>
      <c r="PER49" s="408"/>
      <c r="PES49" s="408"/>
      <c r="PET49" s="408"/>
      <c r="PEU49" s="408"/>
      <c r="PEV49" s="408"/>
      <c r="PEW49" s="408"/>
      <c r="PEX49" s="408"/>
      <c r="PEY49" s="408"/>
      <c r="PEZ49" s="408"/>
      <c r="PFA49" s="408"/>
      <c r="PFB49" s="408"/>
      <c r="PFC49" s="408"/>
      <c r="PFD49" s="408"/>
      <c r="PFE49" s="408"/>
      <c r="PFF49" s="408"/>
      <c r="PFG49" s="408"/>
      <c r="PFH49" s="408"/>
      <c r="PFI49" s="408"/>
      <c r="PFJ49" s="408"/>
      <c r="PFK49" s="408"/>
      <c r="PFL49" s="408"/>
      <c r="PFM49" s="408"/>
      <c r="PFN49" s="408"/>
      <c r="PFO49" s="408"/>
      <c r="PFP49" s="408"/>
      <c r="PFQ49" s="408"/>
      <c r="PFR49" s="408"/>
      <c r="PFS49" s="408"/>
      <c r="PFT49" s="408"/>
      <c r="PFU49" s="408"/>
      <c r="PFV49" s="408"/>
      <c r="PFW49" s="408"/>
      <c r="PFX49" s="408"/>
      <c r="PFY49" s="408"/>
      <c r="PFZ49" s="408"/>
      <c r="PGA49" s="408"/>
      <c r="PGB49" s="408"/>
      <c r="PGC49" s="408"/>
      <c r="PGD49" s="408"/>
      <c r="PGE49" s="408"/>
      <c r="PGF49" s="408"/>
      <c r="PGG49" s="408"/>
      <c r="PGH49" s="408"/>
      <c r="PGI49" s="408"/>
      <c r="PGJ49" s="408"/>
      <c r="PGK49" s="408"/>
      <c r="PGL49" s="408"/>
      <c r="PGM49" s="408"/>
      <c r="PGN49" s="408"/>
      <c r="PGO49" s="408"/>
      <c r="PGP49" s="408"/>
      <c r="PGQ49" s="408"/>
      <c r="PGR49" s="408"/>
      <c r="PGS49" s="408"/>
      <c r="PGT49" s="408"/>
      <c r="PGU49" s="408"/>
      <c r="PGV49" s="408"/>
      <c r="PGW49" s="408"/>
      <c r="PGX49" s="408"/>
      <c r="PGY49" s="408"/>
      <c r="PGZ49" s="408"/>
      <c r="PHA49" s="408"/>
      <c r="PHB49" s="408"/>
      <c r="PHC49" s="408"/>
      <c r="PHD49" s="408"/>
      <c r="PHE49" s="408"/>
      <c r="PHF49" s="408"/>
      <c r="PHG49" s="408"/>
      <c r="PHH49" s="408"/>
      <c r="PHI49" s="408"/>
      <c r="PHJ49" s="408"/>
      <c r="PHK49" s="408"/>
      <c r="PHL49" s="408"/>
      <c r="PHM49" s="408"/>
      <c r="PHN49" s="408"/>
      <c r="PHO49" s="408"/>
      <c r="PHP49" s="408"/>
      <c r="PHQ49" s="408"/>
      <c r="PHR49" s="408"/>
      <c r="PHS49" s="408"/>
      <c r="PHT49" s="408"/>
      <c r="PHU49" s="408"/>
      <c r="PHV49" s="408"/>
      <c r="PHW49" s="408"/>
      <c r="PHX49" s="408"/>
      <c r="PHY49" s="408"/>
      <c r="PHZ49" s="408"/>
      <c r="PIA49" s="408"/>
      <c r="PIB49" s="408"/>
      <c r="PIC49" s="408"/>
      <c r="PID49" s="408"/>
      <c r="PIE49" s="408"/>
      <c r="PIF49" s="408"/>
      <c r="PIG49" s="408"/>
      <c r="PIH49" s="408"/>
      <c r="PII49" s="408"/>
      <c r="PIJ49" s="408"/>
      <c r="PIK49" s="408"/>
      <c r="PIL49" s="408"/>
      <c r="PIM49" s="408"/>
      <c r="PIN49" s="408"/>
      <c r="PIO49" s="408"/>
      <c r="PIP49" s="408"/>
      <c r="PIQ49" s="408"/>
      <c r="PIR49" s="408"/>
      <c r="PIS49" s="408"/>
      <c r="PIT49" s="408"/>
      <c r="PIU49" s="408"/>
      <c r="PIV49" s="408"/>
      <c r="PIW49" s="408"/>
      <c r="PIX49" s="408"/>
      <c r="PIY49" s="408"/>
      <c r="PIZ49" s="408"/>
      <c r="PJA49" s="408"/>
      <c r="PJB49" s="408"/>
      <c r="PJC49" s="408"/>
      <c r="PJD49" s="408"/>
      <c r="PJE49" s="408"/>
      <c r="PJF49" s="408"/>
      <c r="PJG49" s="408"/>
      <c r="PJH49" s="408"/>
      <c r="PJI49" s="408"/>
      <c r="PJJ49" s="408"/>
      <c r="PJK49" s="408"/>
      <c r="PJL49" s="408"/>
      <c r="PJM49" s="408"/>
      <c r="PJN49" s="408"/>
      <c r="PJO49" s="408"/>
      <c r="PJP49" s="408"/>
      <c r="PJQ49" s="408"/>
      <c r="PJR49" s="408"/>
      <c r="PJS49" s="408"/>
      <c r="PJT49" s="408"/>
      <c r="PJU49" s="408"/>
      <c r="PJV49" s="408"/>
      <c r="PJW49" s="408"/>
      <c r="PJX49" s="408"/>
      <c r="PJY49" s="408"/>
      <c r="PJZ49" s="408"/>
      <c r="PKA49" s="408"/>
      <c r="PKB49" s="408"/>
      <c r="PKC49" s="408"/>
      <c r="PKD49" s="408"/>
      <c r="PKE49" s="408"/>
      <c r="PKF49" s="408"/>
      <c r="PKG49" s="408"/>
      <c r="PKH49" s="408"/>
      <c r="PKI49" s="408"/>
      <c r="PKJ49" s="408"/>
      <c r="PKK49" s="408"/>
      <c r="PKL49" s="408"/>
      <c r="PKM49" s="408"/>
      <c r="PKN49" s="408"/>
      <c r="PKO49" s="408"/>
      <c r="PKP49" s="408"/>
      <c r="PKQ49" s="408"/>
      <c r="PKR49" s="408"/>
      <c r="PKS49" s="408"/>
      <c r="PKT49" s="408"/>
      <c r="PKU49" s="408"/>
      <c r="PKV49" s="408"/>
      <c r="PKW49" s="408"/>
      <c r="PKX49" s="408"/>
      <c r="PKY49" s="408"/>
      <c r="PKZ49" s="408"/>
      <c r="PLA49" s="408"/>
      <c r="PLB49" s="408"/>
      <c r="PLC49" s="408"/>
      <c r="PLD49" s="408"/>
      <c r="PLE49" s="408"/>
      <c r="PLF49" s="408"/>
      <c r="PLG49" s="408"/>
      <c r="PLH49" s="408"/>
      <c r="PLI49" s="408"/>
      <c r="PLJ49" s="408"/>
      <c r="PLK49" s="408"/>
      <c r="PLL49" s="408"/>
      <c r="PLM49" s="408"/>
      <c r="PLN49" s="408"/>
      <c r="PLO49" s="408"/>
      <c r="PLP49" s="408"/>
      <c r="PLQ49" s="408"/>
      <c r="PLR49" s="408"/>
      <c r="PLS49" s="408"/>
      <c r="PLT49" s="408"/>
      <c r="PLU49" s="408"/>
      <c r="PLV49" s="408"/>
      <c r="PLW49" s="408"/>
      <c r="PLX49" s="408"/>
      <c r="PLY49" s="408"/>
      <c r="PLZ49" s="408"/>
      <c r="PMA49" s="408"/>
      <c r="PMB49" s="408"/>
      <c r="PMC49" s="408"/>
      <c r="PMD49" s="408"/>
      <c r="PME49" s="408"/>
      <c r="PMF49" s="408"/>
      <c r="PMG49" s="408"/>
      <c r="PMH49" s="408"/>
      <c r="PMI49" s="408"/>
      <c r="PMJ49" s="408"/>
      <c r="PMK49" s="408"/>
      <c r="PML49" s="408"/>
      <c r="PMM49" s="408"/>
      <c r="PMN49" s="408"/>
      <c r="PMO49" s="408"/>
      <c r="PMP49" s="408"/>
      <c r="PMQ49" s="408"/>
      <c r="PMR49" s="408"/>
      <c r="PMS49" s="408"/>
      <c r="PMT49" s="408"/>
      <c r="PMU49" s="408"/>
      <c r="PMV49" s="408"/>
      <c r="PMW49" s="408"/>
      <c r="PMX49" s="408"/>
      <c r="PMY49" s="408"/>
      <c r="PMZ49" s="408"/>
      <c r="PNA49" s="408"/>
      <c r="PNB49" s="408"/>
      <c r="PNC49" s="408"/>
      <c r="PND49" s="408"/>
      <c r="PNE49" s="408"/>
      <c r="PNF49" s="408"/>
      <c r="PNG49" s="408"/>
      <c r="PNH49" s="408"/>
      <c r="PNI49" s="408"/>
      <c r="PNJ49" s="408"/>
      <c r="PNK49" s="408"/>
      <c r="PNL49" s="408"/>
      <c r="PNM49" s="408"/>
      <c r="PNN49" s="408"/>
      <c r="PNO49" s="408"/>
      <c r="PNP49" s="408"/>
      <c r="PNQ49" s="408"/>
      <c r="PNR49" s="408"/>
      <c r="PNS49" s="408"/>
      <c r="PNT49" s="408"/>
      <c r="PNU49" s="408"/>
      <c r="PNV49" s="408"/>
      <c r="PNW49" s="408"/>
      <c r="PNX49" s="408"/>
      <c r="PNY49" s="408"/>
      <c r="PNZ49" s="408"/>
      <c r="POA49" s="408"/>
      <c r="POB49" s="408"/>
      <c r="POC49" s="408"/>
      <c r="POD49" s="408"/>
      <c r="POE49" s="408"/>
      <c r="POF49" s="408"/>
      <c r="POG49" s="408"/>
      <c r="POH49" s="408"/>
      <c r="POI49" s="408"/>
      <c r="POJ49" s="408"/>
      <c r="POK49" s="408"/>
      <c r="POL49" s="408"/>
      <c r="POM49" s="408"/>
      <c r="PON49" s="408"/>
      <c r="POO49" s="408"/>
      <c r="POP49" s="408"/>
      <c r="POQ49" s="408"/>
      <c r="POR49" s="408"/>
      <c r="POS49" s="408"/>
      <c r="POT49" s="408"/>
      <c r="POU49" s="408"/>
      <c r="POV49" s="408"/>
      <c r="POW49" s="408"/>
      <c r="POX49" s="408"/>
      <c r="POY49" s="408"/>
      <c r="POZ49" s="408"/>
      <c r="PPA49" s="408"/>
      <c r="PPB49" s="408"/>
      <c r="PPC49" s="408"/>
      <c r="PPD49" s="408"/>
      <c r="PPE49" s="408"/>
      <c r="PPF49" s="408"/>
      <c r="PPG49" s="408"/>
      <c r="PPH49" s="408"/>
      <c r="PPI49" s="408"/>
      <c r="PPJ49" s="408"/>
      <c r="PPK49" s="408"/>
      <c r="PPL49" s="408"/>
      <c r="PPM49" s="408"/>
      <c r="PPN49" s="408"/>
      <c r="PPO49" s="408"/>
      <c r="PPP49" s="408"/>
      <c r="PPQ49" s="408"/>
      <c r="PPR49" s="408"/>
      <c r="PPS49" s="408"/>
      <c r="PPT49" s="408"/>
      <c r="PPU49" s="408"/>
      <c r="PPV49" s="408"/>
      <c r="PPW49" s="408"/>
      <c r="PPX49" s="408"/>
      <c r="PPY49" s="408"/>
      <c r="PPZ49" s="408"/>
      <c r="PQA49" s="408"/>
      <c r="PQB49" s="408"/>
      <c r="PQC49" s="408"/>
      <c r="PQD49" s="408"/>
      <c r="PQE49" s="408"/>
      <c r="PQF49" s="408"/>
      <c r="PQG49" s="408"/>
      <c r="PQH49" s="408"/>
      <c r="PQI49" s="408"/>
      <c r="PQJ49" s="408"/>
      <c r="PQK49" s="408"/>
      <c r="PQL49" s="408"/>
      <c r="PQM49" s="408"/>
      <c r="PQN49" s="408"/>
      <c r="PQO49" s="408"/>
      <c r="PQP49" s="408"/>
      <c r="PQQ49" s="408"/>
      <c r="PQR49" s="408"/>
      <c r="PQS49" s="408"/>
      <c r="PQT49" s="408"/>
      <c r="PQU49" s="408"/>
      <c r="PQV49" s="408"/>
      <c r="PQW49" s="408"/>
      <c r="PQX49" s="408"/>
      <c r="PQY49" s="408"/>
      <c r="PQZ49" s="408"/>
      <c r="PRA49" s="408"/>
      <c r="PRB49" s="408"/>
      <c r="PRC49" s="408"/>
      <c r="PRD49" s="408"/>
      <c r="PRE49" s="408"/>
      <c r="PRF49" s="408"/>
      <c r="PRG49" s="408"/>
      <c r="PRH49" s="408"/>
      <c r="PRI49" s="408"/>
      <c r="PRJ49" s="408"/>
      <c r="PRK49" s="408"/>
      <c r="PRL49" s="408"/>
      <c r="PRM49" s="408"/>
      <c r="PRN49" s="408"/>
      <c r="PRO49" s="408"/>
      <c r="PRP49" s="408"/>
      <c r="PRQ49" s="408"/>
      <c r="PRR49" s="408"/>
      <c r="PRS49" s="408"/>
      <c r="PRT49" s="408"/>
      <c r="PRU49" s="408"/>
      <c r="PRV49" s="408"/>
      <c r="PRW49" s="408"/>
      <c r="PRX49" s="408"/>
      <c r="PRY49" s="408"/>
      <c r="PRZ49" s="408"/>
      <c r="PSA49" s="408"/>
      <c r="PSB49" s="408"/>
      <c r="PSC49" s="408"/>
      <c r="PSD49" s="408"/>
      <c r="PSE49" s="408"/>
      <c r="PSF49" s="408"/>
      <c r="PSG49" s="408"/>
      <c r="PSH49" s="408"/>
      <c r="PSI49" s="408"/>
      <c r="PSJ49" s="408"/>
      <c r="PSK49" s="408"/>
      <c r="PSL49" s="408"/>
      <c r="PSM49" s="408"/>
      <c r="PSN49" s="408"/>
      <c r="PSO49" s="408"/>
      <c r="PSP49" s="408"/>
      <c r="PSQ49" s="408"/>
      <c r="PSR49" s="408"/>
      <c r="PSS49" s="408"/>
      <c r="PST49" s="408"/>
      <c r="PSU49" s="408"/>
      <c r="PSV49" s="408"/>
      <c r="PSW49" s="408"/>
      <c r="PSX49" s="408"/>
      <c r="PSY49" s="408"/>
      <c r="PSZ49" s="408"/>
      <c r="PTA49" s="408"/>
      <c r="PTB49" s="408"/>
      <c r="PTC49" s="408"/>
      <c r="PTD49" s="408"/>
      <c r="PTE49" s="408"/>
      <c r="PTF49" s="408"/>
      <c r="PTG49" s="408"/>
      <c r="PTH49" s="408"/>
      <c r="PTI49" s="408"/>
      <c r="PTJ49" s="408"/>
      <c r="PTK49" s="408"/>
      <c r="PTL49" s="408"/>
      <c r="PTM49" s="408"/>
      <c r="PTN49" s="408"/>
      <c r="PTO49" s="408"/>
      <c r="PTP49" s="408"/>
      <c r="PTQ49" s="408"/>
      <c r="PTR49" s="408"/>
      <c r="PTS49" s="408"/>
      <c r="PTT49" s="408"/>
      <c r="PTU49" s="408"/>
      <c r="PTV49" s="408"/>
      <c r="PTW49" s="408"/>
      <c r="PTX49" s="408"/>
      <c r="PTY49" s="408"/>
      <c r="PTZ49" s="408"/>
      <c r="PUA49" s="408"/>
      <c r="PUB49" s="408"/>
      <c r="PUC49" s="408"/>
      <c r="PUD49" s="408"/>
      <c r="PUE49" s="408"/>
      <c r="PUF49" s="408"/>
      <c r="PUG49" s="408"/>
      <c r="PUH49" s="408"/>
      <c r="PUI49" s="408"/>
      <c r="PUJ49" s="408"/>
      <c r="PUK49" s="408"/>
      <c r="PUL49" s="408"/>
      <c r="PUM49" s="408"/>
      <c r="PUN49" s="408"/>
      <c r="PUO49" s="408"/>
      <c r="PUP49" s="408"/>
      <c r="PUQ49" s="408"/>
      <c r="PUR49" s="408"/>
      <c r="PUS49" s="408"/>
      <c r="PUT49" s="408"/>
      <c r="PUU49" s="408"/>
      <c r="PUV49" s="408"/>
      <c r="PUW49" s="408"/>
      <c r="PUX49" s="408"/>
      <c r="PUY49" s="408"/>
      <c r="PUZ49" s="408"/>
      <c r="PVA49" s="408"/>
      <c r="PVB49" s="408"/>
      <c r="PVC49" s="408"/>
      <c r="PVD49" s="408"/>
      <c r="PVE49" s="408"/>
      <c r="PVF49" s="408"/>
      <c r="PVG49" s="408"/>
      <c r="PVH49" s="408"/>
      <c r="PVI49" s="408"/>
      <c r="PVJ49" s="408"/>
      <c r="PVK49" s="408"/>
      <c r="PVL49" s="408"/>
      <c r="PVM49" s="408"/>
      <c r="PVN49" s="408"/>
      <c r="PVO49" s="408"/>
      <c r="PVP49" s="408"/>
      <c r="PVQ49" s="408"/>
      <c r="PVR49" s="408"/>
      <c r="PVS49" s="408"/>
      <c r="PVT49" s="408"/>
      <c r="PVU49" s="408"/>
      <c r="PVV49" s="408"/>
      <c r="PVW49" s="408"/>
      <c r="PVX49" s="408"/>
      <c r="PVY49" s="408"/>
      <c r="PVZ49" s="408"/>
      <c r="PWA49" s="408"/>
      <c r="PWB49" s="408"/>
      <c r="PWC49" s="408"/>
      <c r="PWD49" s="408"/>
      <c r="PWE49" s="408"/>
      <c r="PWF49" s="408"/>
      <c r="PWG49" s="408"/>
      <c r="PWH49" s="408"/>
      <c r="PWI49" s="408"/>
      <c r="PWJ49" s="408"/>
      <c r="PWK49" s="408"/>
      <c r="PWL49" s="408"/>
      <c r="PWM49" s="408"/>
      <c r="PWN49" s="408"/>
      <c r="PWO49" s="408"/>
      <c r="PWP49" s="408"/>
      <c r="PWQ49" s="408"/>
      <c r="PWR49" s="408"/>
      <c r="PWS49" s="408"/>
      <c r="PWT49" s="408"/>
      <c r="PWU49" s="408"/>
      <c r="PWV49" s="408"/>
      <c r="PWW49" s="408"/>
      <c r="PWX49" s="408"/>
      <c r="PWY49" s="408"/>
      <c r="PWZ49" s="408"/>
      <c r="PXA49" s="408"/>
      <c r="PXB49" s="408"/>
      <c r="PXC49" s="408"/>
      <c r="PXD49" s="408"/>
      <c r="PXE49" s="408"/>
      <c r="PXF49" s="408"/>
      <c r="PXG49" s="408"/>
      <c r="PXH49" s="408"/>
      <c r="PXI49" s="408"/>
      <c r="PXJ49" s="408"/>
      <c r="PXK49" s="408"/>
      <c r="PXL49" s="408"/>
      <c r="PXM49" s="408"/>
      <c r="PXN49" s="408"/>
      <c r="PXO49" s="408"/>
      <c r="PXP49" s="408"/>
      <c r="PXQ49" s="408"/>
      <c r="PXR49" s="408"/>
      <c r="PXS49" s="408"/>
      <c r="PXT49" s="408"/>
      <c r="PXU49" s="408"/>
      <c r="PXV49" s="408"/>
      <c r="PXW49" s="408"/>
      <c r="PXX49" s="408"/>
      <c r="PXY49" s="408"/>
      <c r="PXZ49" s="408"/>
      <c r="PYA49" s="408"/>
      <c r="PYB49" s="408"/>
      <c r="PYC49" s="408"/>
      <c r="PYD49" s="408"/>
      <c r="PYE49" s="408"/>
      <c r="PYF49" s="408"/>
      <c r="PYG49" s="408"/>
      <c r="PYH49" s="408"/>
      <c r="PYI49" s="408"/>
      <c r="PYJ49" s="408"/>
      <c r="PYK49" s="408"/>
      <c r="PYL49" s="408"/>
      <c r="PYM49" s="408"/>
      <c r="PYN49" s="408"/>
      <c r="PYO49" s="408"/>
      <c r="PYP49" s="408"/>
      <c r="PYQ49" s="408"/>
      <c r="PYR49" s="408"/>
      <c r="PYS49" s="408"/>
      <c r="PYT49" s="408"/>
      <c r="PYU49" s="408"/>
      <c r="PYV49" s="408"/>
      <c r="PYW49" s="408"/>
      <c r="PYX49" s="408"/>
      <c r="PYY49" s="408"/>
      <c r="PYZ49" s="408"/>
      <c r="PZA49" s="408"/>
      <c r="PZB49" s="408"/>
      <c r="PZC49" s="408"/>
      <c r="PZD49" s="408"/>
      <c r="PZE49" s="408"/>
      <c r="PZF49" s="408"/>
      <c r="PZG49" s="408"/>
      <c r="PZH49" s="408"/>
      <c r="PZI49" s="408"/>
      <c r="PZJ49" s="408"/>
      <c r="PZK49" s="408"/>
      <c r="PZL49" s="408"/>
      <c r="PZM49" s="408"/>
      <c r="PZN49" s="408"/>
      <c r="PZO49" s="408"/>
      <c r="PZP49" s="408"/>
      <c r="PZQ49" s="408"/>
      <c r="PZR49" s="408"/>
      <c r="PZS49" s="408"/>
      <c r="PZT49" s="408"/>
      <c r="PZU49" s="408"/>
      <c r="PZV49" s="408"/>
      <c r="PZW49" s="408"/>
      <c r="PZX49" s="408"/>
      <c r="PZY49" s="408"/>
      <c r="PZZ49" s="408"/>
      <c r="QAA49" s="408"/>
      <c r="QAB49" s="408"/>
      <c r="QAC49" s="408"/>
      <c r="QAD49" s="408"/>
      <c r="QAE49" s="408"/>
      <c r="QAF49" s="408"/>
      <c r="QAG49" s="408"/>
      <c r="QAH49" s="408"/>
      <c r="QAI49" s="408"/>
      <c r="QAJ49" s="408"/>
      <c r="QAK49" s="408"/>
      <c r="QAL49" s="408"/>
      <c r="QAM49" s="408"/>
      <c r="QAN49" s="408"/>
      <c r="QAO49" s="408"/>
      <c r="QAP49" s="408"/>
      <c r="QAQ49" s="408"/>
      <c r="QAR49" s="408"/>
      <c r="QAS49" s="408"/>
      <c r="QAT49" s="408"/>
      <c r="QAU49" s="408"/>
      <c r="QAV49" s="408"/>
      <c r="QAW49" s="408"/>
      <c r="QAX49" s="408"/>
      <c r="QAY49" s="408"/>
      <c r="QAZ49" s="408"/>
      <c r="QBA49" s="408"/>
      <c r="QBB49" s="408"/>
      <c r="QBC49" s="408"/>
      <c r="QBD49" s="408"/>
      <c r="QBE49" s="408"/>
      <c r="QBF49" s="408"/>
      <c r="QBG49" s="408"/>
      <c r="QBH49" s="408"/>
      <c r="QBI49" s="408"/>
      <c r="QBJ49" s="408"/>
      <c r="QBK49" s="408"/>
      <c r="QBL49" s="408"/>
      <c r="QBM49" s="408"/>
      <c r="QBN49" s="408"/>
      <c r="QBO49" s="408"/>
      <c r="QBP49" s="408"/>
      <c r="QBQ49" s="408"/>
      <c r="QBR49" s="408"/>
      <c r="QBS49" s="408"/>
      <c r="QBT49" s="408"/>
      <c r="QBU49" s="408"/>
      <c r="QBV49" s="408"/>
      <c r="QBW49" s="408"/>
      <c r="QBX49" s="408"/>
      <c r="QBY49" s="408"/>
      <c r="QBZ49" s="408"/>
      <c r="QCA49" s="408"/>
      <c r="QCB49" s="408"/>
      <c r="QCC49" s="408"/>
      <c r="QCD49" s="408"/>
      <c r="QCE49" s="408"/>
      <c r="QCF49" s="408"/>
      <c r="QCG49" s="408"/>
      <c r="QCH49" s="408"/>
      <c r="QCI49" s="408"/>
      <c r="QCJ49" s="408"/>
      <c r="QCK49" s="408"/>
      <c r="QCL49" s="408"/>
      <c r="QCM49" s="408"/>
      <c r="QCN49" s="408"/>
      <c r="QCO49" s="408"/>
      <c r="QCP49" s="408"/>
      <c r="QCQ49" s="408"/>
      <c r="QCR49" s="408"/>
      <c r="QCS49" s="408"/>
      <c r="QCT49" s="408"/>
      <c r="QCU49" s="408"/>
      <c r="QCV49" s="408"/>
      <c r="QCW49" s="408"/>
      <c r="QCX49" s="408"/>
      <c r="QCY49" s="408"/>
      <c r="QCZ49" s="408"/>
      <c r="QDA49" s="408"/>
      <c r="QDB49" s="408"/>
      <c r="QDC49" s="408"/>
      <c r="QDD49" s="408"/>
      <c r="QDE49" s="408"/>
      <c r="QDF49" s="408"/>
      <c r="QDG49" s="408"/>
      <c r="QDH49" s="408"/>
      <c r="QDI49" s="408"/>
      <c r="QDJ49" s="408"/>
      <c r="QDK49" s="408"/>
      <c r="QDL49" s="408"/>
      <c r="QDM49" s="408"/>
      <c r="QDN49" s="408"/>
      <c r="QDO49" s="408"/>
      <c r="QDP49" s="408"/>
      <c r="QDQ49" s="408"/>
      <c r="QDR49" s="408"/>
      <c r="QDS49" s="408"/>
      <c r="QDT49" s="408"/>
      <c r="QDU49" s="408"/>
      <c r="QDV49" s="408"/>
      <c r="QDW49" s="408"/>
      <c r="QDX49" s="408"/>
      <c r="QDY49" s="408"/>
      <c r="QDZ49" s="408"/>
      <c r="QEA49" s="408"/>
      <c r="QEB49" s="408"/>
      <c r="QEC49" s="408"/>
      <c r="QED49" s="408"/>
      <c r="QEE49" s="408"/>
      <c r="QEF49" s="408"/>
      <c r="QEG49" s="408"/>
      <c r="QEH49" s="408"/>
      <c r="QEI49" s="408"/>
      <c r="QEJ49" s="408"/>
      <c r="QEK49" s="408"/>
      <c r="QEL49" s="408"/>
      <c r="QEM49" s="408"/>
      <c r="QEN49" s="408"/>
      <c r="QEO49" s="408"/>
      <c r="QEP49" s="408"/>
      <c r="QEQ49" s="408"/>
      <c r="QER49" s="408"/>
      <c r="QES49" s="408"/>
      <c r="QET49" s="408"/>
      <c r="QEU49" s="408"/>
      <c r="QEV49" s="408"/>
      <c r="QEW49" s="408"/>
      <c r="QEX49" s="408"/>
      <c r="QEY49" s="408"/>
      <c r="QEZ49" s="408"/>
      <c r="QFA49" s="408"/>
      <c r="QFB49" s="408"/>
      <c r="QFC49" s="408"/>
      <c r="QFD49" s="408"/>
      <c r="QFE49" s="408"/>
      <c r="QFF49" s="408"/>
      <c r="QFG49" s="408"/>
      <c r="QFH49" s="408"/>
      <c r="QFI49" s="408"/>
      <c r="QFJ49" s="408"/>
      <c r="QFK49" s="408"/>
      <c r="QFL49" s="408"/>
      <c r="QFM49" s="408"/>
      <c r="QFN49" s="408"/>
      <c r="QFO49" s="408"/>
      <c r="QFP49" s="408"/>
      <c r="QFQ49" s="408"/>
      <c r="QFR49" s="408"/>
      <c r="QFS49" s="408"/>
      <c r="QFT49" s="408"/>
      <c r="QFU49" s="408"/>
      <c r="QFV49" s="408"/>
      <c r="QFW49" s="408"/>
      <c r="QFX49" s="408"/>
      <c r="QFY49" s="408"/>
      <c r="QFZ49" s="408"/>
      <c r="QGA49" s="408"/>
      <c r="QGB49" s="408"/>
      <c r="QGC49" s="408"/>
      <c r="QGD49" s="408"/>
      <c r="QGE49" s="408"/>
      <c r="QGF49" s="408"/>
      <c r="QGG49" s="408"/>
      <c r="QGH49" s="408"/>
      <c r="QGI49" s="408"/>
      <c r="QGJ49" s="408"/>
      <c r="QGK49" s="408"/>
      <c r="QGL49" s="408"/>
      <c r="QGM49" s="408"/>
      <c r="QGN49" s="408"/>
      <c r="QGO49" s="408"/>
      <c r="QGP49" s="408"/>
      <c r="QGQ49" s="408"/>
      <c r="QGR49" s="408"/>
      <c r="QGS49" s="408"/>
      <c r="QGT49" s="408"/>
      <c r="QGU49" s="408"/>
      <c r="QGV49" s="408"/>
      <c r="QGW49" s="408"/>
      <c r="QGX49" s="408"/>
      <c r="QGY49" s="408"/>
      <c r="QGZ49" s="408"/>
      <c r="QHA49" s="408"/>
      <c r="QHB49" s="408"/>
      <c r="QHC49" s="408"/>
      <c r="QHD49" s="408"/>
      <c r="QHE49" s="408"/>
      <c r="QHF49" s="408"/>
      <c r="QHG49" s="408"/>
      <c r="QHH49" s="408"/>
      <c r="QHI49" s="408"/>
      <c r="QHJ49" s="408"/>
      <c r="QHK49" s="408"/>
      <c r="QHL49" s="408"/>
      <c r="QHM49" s="408"/>
      <c r="QHN49" s="408"/>
      <c r="QHO49" s="408"/>
      <c r="QHP49" s="408"/>
      <c r="QHQ49" s="408"/>
      <c r="QHR49" s="408"/>
      <c r="QHS49" s="408"/>
      <c r="QHT49" s="408"/>
      <c r="QHU49" s="408"/>
      <c r="QHV49" s="408"/>
      <c r="QHW49" s="408"/>
      <c r="QHX49" s="408"/>
      <c r="QHY49" s="408"/>
      <c r="QHZ49" s="408"/>
      <c r="QIA49" s="408"/>
      <c r="QIB49" s="408"/>
      <c r="QIC49" s="408"/>
      <c r="QID49" s="408"/>
      <c r="QIE49" s="408"/>
      <c r="QIF49" s="408"/>
      <c r="QIG49" s="408"/>
      <c r="QIH49" s="408"/>
      <c r="QII49" s="408"/>
      <c r="QIJ49" s="408"/>
      <c r="QIK49" s="408"/>
      <c r="QIL49" s="408"/>
      <c r="QIM49" s="408"/>
      <c r="QIN49" s="408"/>
      <c r="QIO49" s="408"/>
      <c r="QIP49" s="408"/>
      <c r="QIQ49" s="408"/>
      <c r="QIR49" s="408"/>
      <c r="QIS49" s="408"/>
      <c r="QIT49" s="408"/>
      <c r="QIU49" s="408"/>
      <c r="QIV49" s="408"/>
      <c r="QIW49" s="408"/>
      <c r="QIX49" s="408"/>
      <c r="QIY49" s="408"/>
      <c r="QIZ49" s="408"/>
      <c r="QJA49" s="408"/>
      <c r="QJB49" s="408"/>
      <c r="QJC49" s="408"/>
      <c r="QJD49" s="408"/>
      <c r="QJE49" s="408"/>
      <c r="QJF49" s="408"/>
      <c r="QJG49" s="408"/>
      <c r="QJH49" s="408"/>
      <c r="QJI49" s="408"/>
      <c r="QJJ49" s="408"/>
      <c r="QJK49" s="408"/>
      <c r="QJL49" s="408"/>
      <c r="QJM49" s="408"/>
      <c r="QJN49" s="408"/>
      <c r="QJO49" s="408"/>
      <c r="QJP49" s="408"/>
      <c r="QJQ49" s="408"/>
      <c r="QJR49" s="408"/>
      <c r="QJS49" s="408"/>
      <c r="QJT49" s="408"/>
      <c r="QJU49" s="408"/>
      <c r="QJV49" s="408"/>
      <c r="QJW49" s="408"/>
      <c r="QJX49" s="408"/>
      <c r="QJY49" s="408"/>
      <c r="QJZ49" s="408"/>
      <c r="QKA49" s="408"/>
      <c r="QKB49" s="408"/>
      <c r="QKC49" s="408"/>
      <c r="QKD49" s="408"/>
      <c r="QKE49" s="408"/>
      <c r="QKF49" s="408"/>
      <c r="QKG49" s="408"/>
      <c r="QKH49" s="408"/>
      <c r="QKI49" s="408"/>
      <c r="QKJ49" s="408"/>
      <c r="QKK49" s="408"/>
      <c r="QKL49" s="408"/>
      <c r="QKM49" s="408"/>
      <c r="QKN49" s="408"/>
      <c r="QKO49" s="408"/>
      <c r="QKP49" s="408"/>
      <c r="QKQ49" s="408"/>
      <c r="QKR49" s="408"/>
      <c r="QKS49" s="408"/>
      <c r="QKT49" s="408"/>
      <c r="QKU49" s="408"/>
      <c r="QKV49" s="408"/>
      <c r="QKW49" s="408"/>
      <c r="QKX49" s="408"/>
      <c r="QKY49" s="408"/>
      <c r="QKZ49" s="408"/>
      <c r="QLA49" s="408"/>
      <c r="QLB49" s="408"/>
      <c r="QLC49" s="408"/>
      <c r="QLD49" s="408"/>
      <c r="QLE49" s="408"/>
      <c r="QLF49" s="408"/>
      <c r="QLG49" s="408"/>
      <c r="QLH49" s="408"/>
      <c r="QLI49" s="408"/>
      <c r="QLJ49" s="408"/>
      <c r="QLK49" s="408"/>
      <c r="QLL49" s="408"/>
      <c r="QLM49" s="408"/>
      <c r="QLN49" s="408"/>
      <c r="QLO49" s="408"/>
      <c r="QLP49" s="408"/>
      <c r="QLQ49" s="408"/>
      <c r="QLR49" s="408"/>
      <c r="QLS49" s="408"/>
      <c r="QLT49" s="408"/>
      <c r="QLU49" s="408"/>
      <c r="QLV49" s="408"/>
      <c r="QLW49" s="408"/>
      <c r="QLX49" s="408"/>
      <c r="QLY49" s="408"/>
      <c r="QLZ49" s="408"/>
      <c r="QMA49" s="408"/>
      <c r="QMB49" s="408"/>
      <c r="QMC49" s="408"/>
      <c r="QMD49" s="408"/>
      <c r="QME49" s="408"/>
      <c r="QMF49" s="408"/>
      <c r="QMG49" s="408"/>
      <c r="QMH49" s="408"/>
      <c r="QMI49" s="408"/>
      <c r="QMJ49" s="408"/>
      <c r="QMK49" s="408"/>
      <c r="QML49" s="408"/>
      <c r="QMM49" s="408"/>
      <c r="QMN49" s="408"/>
      <c r="QMO49" s="408"/>
      <c r="QMP49" s="408"/>
      <c r="QMQ49" s="408"/>
      <c r="QMR49" s="408"/>
      <c r="QMS49" s="408"/>
      <c r="QMT49" s="408"/>
      <c r="QMU49" s="408"/>
      <c r="QMV49" s="408"/>
      <c r="QMW49" s="408"/>
      <c r="QMX49" s="408"/>
      <c r="QMY49" s="408"/>
      <c r="QMZ49" s="408"/>
      <c r="QNA49" s="408"/>
      <c r="QNB49" s="408"/>
      <c r="QNC49" s="408"/>
      <c r="QND49" s="408"/>
      <c r="QNE49" s="408"/>
      <c r="QNF49" s="408"/>
      <c r="QNG49" s="408"/>
      <c r="QNH49" s="408"/>
      <c r="QNI49" s="408"/>
      <c r="QNJ49" s="408"/>
      <c r="QNK49" s="408"/>
      <c r="QNL49" s="408"/>
      <c r="QNM49" s="408"/>
      <c r="QNN49" s="408"/>
      <c r="QNO49" s="408"/>
      <c r="QNP49" s="408"/>
      <c r="QNQ49" s="408"/>
      <c r="QNR49" s="408"/>
      <c r="QNS49" s="408"/>
      <c r="QNT49" s="408"/>
      <c r="QNU49" s="408"/>
      <c r="QNV49" s="408"/>
      <c r="QNW49" s="408"/>
      <c r="QNX49" s="408"/>
      <c r="QNY49" s="408"/>
      <c r="QNZ49" s="408"/>
      <c r="QOA49" s="408"/>
      <c r="QOB49" s="408"/>
      <c r="QOC49" s="408"/>
      <c r="QOD49" s="408"/>
      <c r="QOE49" s="408"/>
      <c r="QOF49" s="408"/>
      <c r="QOG49" s="408"/>
      <c r="QOH49" s="408"/>
      <c r="QOI49" s="408"/>
      <c r="QOJ49" s="408"/>
      <c r="QOK49" s="408"/>
      <c r="QOL49" s="408"/>
      <c r="QOM49" s="408"/>
      <c r="QON49" s="408"/>
      <c r="QOO49" s="408"/>
      <c r="QOP49" s="408"/>
      <c r="QOQ49" s="408"/>
      <c r="QOR49" s="408"/>
      <c r="QOS49" s="408"/>
      <c r="QOT49" s="408"/>
      <c r="QOU49" s="408"/>
      <c r="QOV49" s="408"/>
      <c r="QOW49" s="408"/>
      <c r="QOX49" s="408"/>
      <c r="QOY49" s="408"/>
      <c r="QOZ49" s="408"/>
      <c r="QPA49" s="408"/>
      <c r="QPB49" s="408"/>
      <c r="QPC49" s="408"/>
      <c r="QPD49" s="408"/>
      <c r="QPE49" s="408"/>
      <c r="QPF49" s="408"/>
      <c r="QPG49" s="408"/>
      <c r="QPH49" s="408"/>
      <c r="QPI49" s="408"/>
      <c r="QPJ49" s="408"/>
      <c r="QPK49" s="408"/>
      <c r="QPL49" s="408"/>
      <c r="QPM49" s="408"/>
      <c r="QPN49" s="408"/>
      <c r="QPO49" s="408"/>
      <c r="QPP49" s="408"/>
      <c r="QPQ49" s="408"/>
      <c r="QPR49" s="408"/>
      <c r="QPS49" s="408"/>
      <c r="QPT49" s="408"/>
      <c r="QPU49" s="408"/>
      <c r="QPV49" s="408"/>
      <c r="QPW49" s="408"/>
      <c r="QPX49" s="408"/>
      <c r="QPY49" s="408"/>
      <c r="QPZ49" s="408"/>
      <c r="QQA49" s="408"/>
      <c r="QQB49" s="408"/>
      <c r="QQC49" s="408"/>
      <c r="QQD49" s="408"/>
      <c r="QQE49" s="408"/>
      <c r="QQF49" s="408"/>
      <c r="QQG49" s="408"/>
      <c r="QQH49" s="408"/>
      <c r="QQI49" s="408"/>
      <c r="QQJ49" s="408"/>
      <c r="QQK49" s="408"/>
      <c r="QQL49" s="408"/>
      <c r="QQM49" s="408"/>
      <c r="QQN49" s="408"/>
      <c r="QQO49" s="408"/>
      <c r="QQP49" s="408"/>
      <c r="QQQ49" s="408"/>
      <c r="QQR49" s="408"/>
      <c r="QQS49" s="408"/>
      <c r="QQT49" s="408"/>
      <c r="QQU49" s="408"/>
      <c r="QQV49" s="408"/>
      <c r="QQW49" s="408"/>
      <c r="QQX49" s="408"/>
      <c r="QQY49" s="408"/>
      <c r="QQZ49" s="408"/>
      <c r="QRA49" s="408"/>
      <c r="QRB49" s="408"/>
      <c r="QRC49" s="408"/>
      <c r="QRD49" s="408"/>
      <c r="QRE49" s="408"/>
      <c r="QRF49" s="408"/>
      <c r="QRG49" s="408"/>
      <c r="QRH49" s="408"/>
      <c r="QRI49" s="408"/>
      <c r="QRJ49" s="408"/>
      <c r="QRK49" s="408"/>
      <c r="QRL49" s="408"/>
      <c r="QRM49" s="408"/>
      <c r="QRN49" s="408"/>
      <c r="QRO49" s="408"/>
      <c r="QRP49" s="408"/>
      <c r="QRQ49" s="408"/>
      <c r="QRR49" s="408"/>
      <c r="QRS49" s="408"/>
      <c r="QRT49" s="408"/>
      <c r="QRU49" s="408"/>
      <c r="QRV49" s="408"/>
      <c r="QRW49" s="408"/>
      <c r="QRX49" s="408"/>
      <c r="QRY49" s="408"/>
      <c r="QRZ49" s="408"/>
      <c r="QSA49" s="408"/>
      <c r="QSB49" s="408"/>
      <c r="QSC49" s="408"/>
      <c r="QSD49" s="408"/>
      <c r="QSE49" s="408"/>
      <c r="QSF49" s="408"/>
      <c r="QSG49" s="408"/>
      <c r="QSH49" s="408"/>
      <c r="QSI49" s="408"/>
      <c r="QSJ49" s="408"/>
      <c r="QSK49" s="408"/>
      <c r="QSL49" s="408"/>
      <c r="QSM49" s="408"/>
      <c r="QSN49" s="408"/>
      <c r="QSO49" s="408"/>
      <c r="QSP49" s="408"/>
      <c r="QSQ49" s="408"/>
      <c r="QSR49" s="408"/>
      <c r="QSS49" s="408"/>
      <c r="QST49" s="408"/>
      <c r="QSU49" s="408"/>
      <c r="QSV49" s="408"/>
      <c r="QSW49" s="408"/>
      <c r="QSX49" s="408"/>
      <c r="QSY49" s="408"/>
      <c r="QSZ49" s="408"/>
      <c r="QTA49" s="408"/>
      <c r="QTB49" s="408"/>
      <c r="QTC49" s="408"/>
      <c r="QTD49" s="408"/>
      <c r="QTE49" s="408"/>
      <c r="QTF49" s="408"/>
      <c r="QTG49" s="408"/>
      <c r="QTH49" s="408"/>
      <c r="QTI49" s="408"/>
      <c r="QTJ49" s="408"/>
      <c r="QTK49" s="408"/>
      <c r="QTL49" s="408"/>
      <c r="QTM49" s="408"/>
      <c r="QTN49" s="408"/>
      <c r="QTO49" s="408"/>
      <c r="QTP49" s="408"/>
      <c r="QTQ49" s="408"/>
      <c r="QTR49" s="408"/>
      <c r="QTS49" s="408"/>
      <c r="QTT49" s="408"/>
      <c r="QTU49" s="408"/>
      <c r="QTV49" s="408"/>
      <c r="QTW49" s="408"/>
      <c r="QTX49" s="408"/>
      <c r="QTY49" s="408"/>
      <c r="QTZ49" s="408"/>
      <c r="QUA49" s="408"/>
      <c r="QUB49" s="408"/>
      <c r="QUC49" s="408"/>
      <c r="QUD49" s="408"/>
      <c r="QUE49" s="408"/>
      <c r="QUF49" s="408"/>
      <c r="QUG49" s="408"/>
      <c r="QUH49" s="408"/>
      <c r="QUI49" s="408"/>
      <c r="QUJ49" s="408"/>
      <c r="QUK49" s="408"/>
      <c r="QUL49" s="408"/>
      <c r="QUM49" s="408"/>
      <c r="QUN49" s="408"/>
      <c r="QUO49" s="408"/>
      <c r="QUP49" s="408"/>
      <c r="QUQ49" s="408"/>
      <c r="QUR49" s="408"/>
      <c r="QUS49" s="408"/>
      <c r="QUT49" s="408"/>
      <c r="QUU49" s="408"/>
      <c r="QUV49" s="408"/>
      <c r="QUW49" s="408"/>
      <c r="QUX49" s="408"/>
      <c r="QUY49" s="408"/>
      <c r="QUZ49" s="408"/>
      <c r="QVA49" s="408"/>
      <c r="QVB49" s="408"/>
      <c r="QVC49" s="408"/>
      <c r="QVD49" s="408"/>
      <c r="QVE49" s="408"/>
      <c r="QVF49" s="408"/>
      <c r="QVG49" s="408"/>
      <c r="QVH49" s="408"/>
      <c r="QVI49" s="408"/>
      <c r="QVJ49" s="408"/>
      <c r="QVK49" s="408"/>
      <c r="QVL49" s="408"/>
      <c r="QVM49" s="408"/>
      <c r="QVN49" s="408"/>
      <c r="QVO49" s="408"/>
      <c r="QVP49" s="408"/>
      <c r="QVQ49" s="408"/>
      <c r="QVR49" s="408"/>
      <c r="QVS49" s="408"/>
      <c r="QVT49" s="408"/>
      <c r="QVU49" s="408"/>
      <c r="QVV49" s="408"/>
      <c r="QVW49" s="408"/>
      <c r="QVX49" s="408"/>
      <c r="QVY49" s="408"/>
      <c r="QVZ49" s="408"/>
      <c r="QWA49" s="408"/>
      <c r="QWB49" s="408"/>
      <c r="QWC49" s="408"/>
      <c r="QWD49" s="408"/>
      <c r="QWE49" s="408"/>
      <c r="QWF49" s="408"/>
      <c r="QWG49" s="408"/>
      <c r="QWH49" s="408"/>
      <c r="QWI49" s="408"/>
      <c r="QWJ49" s="408"/>
      <c r="QWK49" s="408"/>
      <c r="QWL49" s="408"/>
      <c r="QWM49" s="408"/>
      <c r="QWN49" s="408"/>
      <c r="QWO49" s="408"/>
      <c r="QWP49" s="408"/>
      <c r="QWQ49" s="408"/>
      <c r="QWR49" s="408"/>
      <c r="QWS49" s="408"/>
      <c r="QWT49" s="408"/>
      <c r="QWU49" s="408"/>
      <c r="QWV49" s="408"/>
      <c r="QWW49" s="408"/>
      <c r="QWX49" s="408"/>
      <c r="QWY49" s="408"/>
      <c r="QWZ49" s="408"/>
      <c r="QXA49" s="408"/>
      <c r="QXB49" s="408"/>
      <c r="QXC49" s="408"/>
      <c r="QXD49" s="408"/>
      <c r="QXE49" s="408"/>
      <c r="QXF49" s="408"/>
      <c r="QXG49" s="408"/>
      <c r="QXH49" s="408"/>
      <c r="QXI49" s="408"/>
      <c r="QXJ49" s="408"/>
      <c r="QXK49" s="408"/>
      <c r="QXL49" s="408"/>
      <c r="QXM49" s="408"/>
      <c r="QXN49" s="408"/>
      <c r="QXO49" s="408"/>
      <c r="QXP49" s="408"/>
      <c r="QXQ49" s="408"/>
      <c r="QXR49" s="408"/>
      <c r="QXS49" s="408"/>
      <c r="QXT49" s="408"/>
      <c r="QXU49" s="408"/>
      <c r="QXV49" s="408"/>
      <c r="QXW49" s="408"/>
      <c r="QXX49" s="408"/>
      <c r="QXY49" s="408"/>
      <c r="QXZ49" s="408"/>
      <c r="QYA49" s="408"/>
      <c r="QYB49" s="408"/>
      <c r="QYC49" s="408"/>
      <c r="QYD49" s="408"/>
      <c r="QYE49" s="408"/>
      <c r="QYF49" s="408"/>
      <c r="QYG49" s="408"/>
      <c r="QYH49" s="408"/>
      <c r="QYI49" s="408"/>
      <c r="QYJ49" s="408"/>
      <c r="QYK49" s="408"/>
      <c r="QYL49" s="408"/>
      <c r="QYM49" s="408"/>
      <c r="QYN49" s="408"/>
      <c r="QYO49" s="408"/>
      <c r="QYP49" s="408"/>
      <c r="QYQ49" s="408"/>
      <c r="QYR49" s="408"/>
      <c r="QYS49" s="408"/>
      <c r="QYT49" s="408"/>
      <c r="QYU49" s="408"/>
      <c r="QYV49" s="408"/>
      <c r="QYW49" s="408"/>
      <c r="QYX49" s="408"/>
      <c r="QYY49" s="408"/>
      <c r="QYZ49" s="408"/>
      <c r="QZA49" s="408"/>
      <c r="QZB49" s="408"/>
      <c r="QZC49" s="408"/>
      <c r="QZD49" s="408"/>
      <c r="QZE49" s="408"/>
      <c r="QZF49" s="408"/>
      <c r="QZG49" s="408"/>
      <c r="QZH49" s="408"/>
      <c r="QZI49" s="408"/>
      <c r="QZJ49" s="408"/>
      <c r="QZK49" s="408"/>
      <c r="QZL49" s="408"/>
      <c r="QZM49" s="408"/>
      <c r="QZN49" s="408"/>
      <c r="QZO49" s="408"/>
      <c r="QZP49" s="408"/>
      <c r="QZQ49" s="408"/>
      <c r="QZR49" s="408"/>
      <c r="QZS49" s="408"/>
      <c r="QZT49" s="408"/>
      <c r="QZU49" s="408"/>
      <c r="QZV49" s="408"/>
      <c r="QZW49" s="408"/>
      <c r="QZX49" s="408"/>
      <c r="QZY49" s="408"/>
      <c r="QZZ49" s="408"/>
      <c r="RAA49" s="408"/>
      <c r="RAB49" s="408"/>
      <c r="RAC49" s="408"/>
      <c r="RAD49" s="408"/>
      <c r="RAE49" s="408"/>
      <c r="RAF49" s="408"/>
      <c r="RAG49" s="408"/>
      <c r="RAH49" s="408"/>
      <c r="RAI49" s="408"/>
      <c r="RAJ49" s="408"/>
      <c r="RAK49" s="408"/>
      <c r="RAL49" s="408"/>
      <c r="RAM49" s="408"/>
      <c r="RAN49" s="408"/>
      <c r="RAO49" s="408"/>
      <c r="RAP49" s="408"/>
      <c r="RAQ49" s="408"/>
      <c r="RAR49" s="408"/>
      <c r="RAS49" s="408"/>
      <c r="RAT49" s="408"/>
      <c r="RAU49" s="408"/>
      <c r="RAV49" s="408"/>
      <c r="RAW49" s="408"/>
      <c r="RAX49" s="408"/>
      <c r="RAY49" s="408"/>
      <c r="RAZ49" s="408"/>
      <c r="RBA49" s="408"/>
      <c r="RBB49" s="408"/>
      <c r="RBC49" s="408"/>
      <c r="RBD49" s="408"/>
      <c r="RBE49" s="408"/>
      <c r="RBF49" s="408"/>
      <c r="RBG49" s="408"/>
      <c r="RBH49" s="408"/>
      <c r="RBI49" s="408"/>
      <c r="RBJ49" s="408"/>
      <c r="RBK49" s="408"/>
      <c r="RBL49" s="408"/>
      <c r="RBM49" s="408"/>
      <c r="RBN49" s="408"/>
      <c r="RBO49" s="408"/>
      <c r="RBP49" s="408"/>
      <c r="RBQ49" s="408"/>
      <c r="RBR49" s="408"/>
      <c r="RBS49" s="408"/>
      <c r="RBT49" s="408"/>
      <c r="RBU49" s="408"/>
      <c r="RBV49" s="408"/>
      <c r="RBW49" s="408"/>
      <c r="RBX49" s="408"/>
      <c r="RBY49" s="408"/>
      <c r="RBZ49" s="408"/>
      <c r="RCA49" s="408"/>
      <c r="RCB49" s="408"/>
      <c r="RCC49" s="408"/>
      <c r="RCD49" s="408"/>
      <c r="RCE49" s="408"/>
      <c r="RCF49" s="408"/>
      <c r="RCG49" s="408"/>
      <c r="RCH49" s="408"/>
      <c r="RCI49" s="408"/>
      <c r="RCJ49" s="408"/>
      <c r="RCK49" s="408"/>
      <c r="RCL49" s="408"/>
      <c r="RCM49" s="408"/>
      <c r="RCN49" s="408"/>
      <c r="RCO49" s="408"/>
      <c r="RCP49" s="408"/>
      <c r="RCQ49" s="408"/>
      <c r="RCR49" s="408"/>
      <c r="RCS49" s="408"/>
      <c r="RCT49" s="408"/>
      <c r="RCU49" s="408"/>
      <c r="RCV49" s="408"/>
      <c r="RCW49" s="408"/>
      <c r="RCX49" s="408"/>
      <c r="RCY49" s="408"/>
      <c r="RCZ49" s="408"/>
      <c r="RDA49" s="408"/>
      <c r="RDB49" s="408"/>
      <c r="RDC49" s="408"/>
      <c r="RDD49" s="408"/>
      <c r="RDE49" s="408"/>
      <c r="RDF49" s="408"/>
      <c r="RDG49" s="408"/>
      <c r="RDH49" s="408"/>
      <c r="RDI49" s="408"/>
      <c r="RDJ49" s="408"/>
      <c r="RDK49" s="408"/>
      <c r="RDL49" s="408"/>
      <c r="RDM49" s="408"/>
      <c r="RDN49" s="408"/>
      <c r="RDO49" s="408"/>
      <c r="RDP49" s="408"/>
      <c r="RDQ49" s="408"/>
      <c r="RDR49" s="408"/>
      <c r="RDS49" s="408"/>
      <c r="RDT49" s="408"/>
      <c r="RDU49" s="408"/>
      <c r="RDV49" s="408"/>
      <c r="RDW49" s="408"/>
      <c r="RDX49" s="408"/>
      <c r="RDY49" s="408"/>
      <c r="RDZ49" s="408"/>
      <c r="REA49" s="408"/>
      <c r="REB49" s="408"/>
      <c r="REC49" s="408"/>
      <c r="RED49" s="408"/>
      <c r="REE49" s="408"/>
      <c r="REF49" s="408"/>
      <c r="REG49" s="408"/>
      <c r="REH49" s="408"/>
      <c r="REI49" s="408"/>
      <c r="REJ49" s="408"/>
      <c r="REK49" s="408"/>
      <c r="REL49" s="408"/>
      <c r="REM49" s="408"/>
      <c r="REN49" s="408"/>
      <c r="REO49" s="408"/>
      <c r="REP49" s="408"/>
      <c r="REQ49" s="408"/>
      <c r="RER49" s="408"/>
      <c r="RES49" s="408"/>
      <c r="RET49" s="408"/>
      <c r="REU49" s="408"/>
      <c r="REV49" s="408"/>
      <c r="REW49" s="408"/>
      <c r="REX49" s="408"/>
      <c r="REY49" s="408"/>
      <c r="REZ49" s="408"/>
      <c r="RFA49" s="408"/>
      <c r="RFB49" s="408"/>
      <c r="RFC49" s="408"/>
      <c r="RFD49" s="408"/>
      <c r="RFE49" s="408"/>
      <c r="RFF49" s="408"/>
      <c r="RFG49" s="408"/>
      <c r="RFH49" s="408"/>
      <c r="RFI49" s="408"/>
      <c r="RFJ49" s="408"/>
      <c r="RFK49" s="408"/>
      <c r="RFL49" s="408"/>
      <c r="RFM49" s="408"/>
      <c r="RFN49" s="408"/>
      <c r="RFO49" s="408"/>
      <c r="RFP49" s="408"/>
      <c r="RFQ49" s="408"/>
      <c r="RFR49" s="408"/>
      <c r="RFS49" s="408"/>
      <c r="RFT49" s="408"/>
      <c r="RFU49" s="408"/>
      <c r="RFV49" s="408"/>
      <c r="RFW49" s="408"/>
      <c r="RFX49" s="408"/>
      <c r="RFY49" s="408"/>
      <c r="RFZ49" s="408"/>
      <c r="RGA49" s="408"/>
      <c r="RGB49" s="408"/>
      <c r="RGC49" s="408"/>
      <c r="RGD49" s="408"/>
      <c r="RGE49" s="408"/>
      <c r="RGF49" s="408"/>
      <c r="RGG49" s="408"/>
      <c r="RGH49" s="408"/>
      <c r="RGI49" s="408"/>
      <c r="RGJ49" s="408"/>
      <c r="RGK49" s="408"/>
      <c r="RGL49" s="408"/>
      <c r="RGM49" s="408"/>
      <c r="RGN49" s="408"/>
      <c r="RGO49" s="408"/>
      <c r="RGP49" s="408"/>
      <c r="RGQ49" s="408"/>
      <c r="RGR49" s="408"/>
      <c r="RGS49" s="408"/>
      <c r="RGT49" s="408"/>
      <c r="RGU49" s="408"/>
      <c r="RGV49" s="408"/>
      <c r="RGW49" s="408"/>
      <c r="RGX49" s="408"/>
      <c r="RGY49" s="408"/>
      <c r="RGZ49" s="408"/>
      <c r="RHA49" s="408"/>
      <c r="RHB49" s="408"/>
      <c r="RHC49" s="408"/>
      <c r="RHD49" s="408"/>
      <c r="RHE49" s="408"/>
      <c r="RHF49" s="408"/>
      <c r="RHG49" s="408"/>
      <c r="RHH49" s="408"/>
      <c r="RHI49" s="408"/>
      <c r="RHJ49" s="408"/>
      <c r="RHK49" s="408"/>
      <c r="RHL49" s="408"/>
      <c r="RHM49" s="408"/>
      <c r="RHN49" s="408"/>
      <c r="RHO49" s="408"/>
      <c r="RHP49" s="408"/>
      <c r="RHQ49" s="408"/>
      <c r="RHR49" s="408"/>
      <c r="RHS49" s="408"/>
      <c r="RHT49" s="408"/>
      <c r="RHU49" s="408"/>
      <c r="RHV49" s="408"/>
      <c r="RHW49" s="408"/>
      <c r="RHX49" s="408"/>
      <c r="RHY49" s="408"/>
      <c r="RHZ49" s="408"/>
      <c r="RIA49" s="408"/>
      <c r="RIB49" s="408"/>
      <c r="RIC49" s="408"/>
      <c r="RID49" s="408"/>
      <c r="RIE49" s="408"/>
      <c r="RIF49" s="408"/>
      <c r="RIG49" s="408"/>
      <c r="RIH49" s="408"/>
      <c r="RII49" s="408"/>
      <c r="RIJ49" s="408"/>
      <c r="RIK49" s="408"/>
      <c r="RIL49" s="408"/>
      <c r="RIM49" s="408"/>
      <c r="RIN49" s="408"/>
      <c r="RIO49" s="408"/>
      <c r="RIP49" s="408"/>
      <c r="RIQ49" s="408"/>
      <c r="RIR49" s="408"/>
      <c r="RIS49" s="408"/>
      <c r="RIT49" s="408"/>
      <c r="RIU49" s="408"/>
      <c r="RIV49" s="408"/>
      <c r="RIW49" s="408"/>
      <c r="RIX49" s="408"/>
      <c r="RIY49" s="408"/>
      <c r="RIZ49" s="408"/>
      <c r="RJA49" s="408"/>
      <c r="RJB49" s="408"/>
      <c r="RJC49" s="408"/>
      <c r="RJD49" s="408"/>
      <c r="RJE49" s="408"/>
      <c r="RJF49" s="408"/>
      <c r="RJG49" s="408"/>
      <c r="RJH49" s="408"/>
      <c r="RJI49" s="408"/>
      <c r="RJJ49" s="408"/>
      <c r="RJK49" s="408"/>
      <c r="RJL49" s="408"/>
      <c r="RJM49" s="408"/>
      <c r="RJN49" s="408"/>
      <c r="RJO49" s="408"/>
      <c r="RJP49" s="408"/>
      <c r="RJQ49" s="408"/>
      <c r="RJR49" s="408"/>
      <c r="RJS49" s="408"/>
      <c r="RJT49" s="408"/>
      <c r="RJU49" s="408"/>
      <c r="RJV49" s="408"/>
      <c r="RJW49" s="408"/>
      <c r="RJX49" s="408"/>
      <c r="RJY49" s="408"/>
      <c r="RJZ49" s="408"/>
      <c r="RKA49" s="408"/>
      <c r="RKB49" s="408"/>
      <c r="RKC49" s="408"/>
      <c r="RKD49" s="408"/>
      <c r="RKE49" s="408"/>
      <c r="RKF49" s="408"/>
      <c r="RKG49" s="408"/>
      <c r="RKH49" s="408"/>
      <c r="RKI49" s="408"/>
      <c r="RKJ49" s="408"/>
      <c r="RKK49" s="408"/>
      <c r="RKL49" s="408"/>
      <c r="RKM49" s="408"/>
      <c r="RKN49" s="408"/>
      <c r="RKO49" s="408"/>
      <c r="RKP49" s="408"/>
      <c r="RKQ49" s="408"/>
      <c r="RKR49" s="408"/>
      <c r="RKS49" s="408"/>
      <c r="RKT49" s="408"/>
      <c r="RKU49" s="408"/>
      <c r="RKV49" s="408"/>
      <c r="RKW49" s="408"/>
      <c r="RKX49" s="408"/>
      <c r="RKY49" s="408"/>
      <c r="RKZ49" s="408"/>
      <c r="RLA49" s="408"/>
      <c r="RLB49" s="408"/>
      <c r="RLC49" s="408"/>
      <c r="RLD49" s="408"/>
      <c r="RLE49" s="408"/>
      <c r="RLF49" s="408"/>
      <c r="RLG49" s="408"/>
      <c r="RLH49" s="408"/>
      <c r="RLI49" s="408"/>
      <c r="RLJ49" s="408"/>
      <c r="RLK49" s="408"/>
      <c r="RLL49" s="408"/>
      <c r="RLM49" s="408"/>
      <c r="RLN49" s="408"/>
      <c r="RLO49" s="408"/>
      <c r="RLP49" s="408"/>
      <c r="RLQ49" s="408"/>
      <c r="RLR49" s="408"/>
      <c r="RLS49" s="408"/>
      <c r="RLT49" s="408"/>
      <c r="RLU49" s="408"/>
      <c r="RLV49" s="408"/>
      <c r="RLW49" s="408"/>
      <c r="RLX49" s="408"/>
      <c r="RLY49" s="408"/>
      <c r="RLZ49" s="408"/>
      <c r="RMA49" s="408"/>
      <c r="RMB49" s="408"/>
      <c r="RMC49" s="408"/>
      <c r="RMD49" s="408"/>
      <c r="RME49" s="408"/>
      <c r="RMF49" s="408"/>
      <c r="RMG49" s="408"/>
      <c r="RMH49" s="408"/>
      <c r="RMI49" s="408"/>
      <c r="RMJ49" s="408"/>
      <c r="RMK49" s="408"/>
      <c r="RML49" s="408"/>
      <c r="RMM49" s="408"/>
      <c r="RMN49" s="408"/>
      <c r="RMO49" s="408"/>
      <c r="RMP49" s="408"/>
      <c r="RMQ49" s="408"/>
      <c r="RMR49" s="408"/>
      <c r="RMS49" s="408"/>
      <c r="RMT49" s="408"/>
      <c r="RMU49" s="408"/>
      <c r="RMV49" s="408"/>
      <c r="RMW49" s="408"/>
      <c r="RMX49" s="408"/>
      <c r="RMY49" s="408"/>
      <c r="RMZ49" s="408"/>
      <c r="RNA49" s="408"/>
      <c r="RNB49" s="408"/>
      <c r="RNC49" s="408"/>
      <c r="RND49" s="408"/>
      <c r="RNE49" s="408"/>
      <c r="RNF49" s="408"/>
      <c r="RNG49" s="408"/>
      <c r="RNH49" s="408"/>
      <c r="RNI49" s="408"/>
      <c r="RNJ49" s="408"/>
      <c r="RNK49" s="408"/>
      <c r="RNL49" s="408"/>
      <c r="RNM49" s="408"/>
      <c r="RNN49" s="408"/>
      <c r="RNO49" s="408"/>
      <c r="RNP49" s="408"/>
      <c r="RNQ49" s="408"/>
      <c r="RNR49" s="408"/>
      <c r="RNS49" s="408"/>
      <c r="RNT49" s="408"/>
      <c r="RNU49" s="408"/>
      <c r="RNV49" s="408"/>
      <c r="RNW49" s="408"/>
      <c r="RNX49" s="408"/>
      <c r="RNY49" s="408"/>
      <c r="RNZ49" s="408"/>
      <c r="ROA49" s="408"/>
      <c r="ROB49" s="408"/>
      <c r="ROC49" s="408"/>
      <c r="ROD49" s="408"/>
      <c r="ROE49" s="408"/>
      <c r="ROF49" s="408"/>
      <c r="ROG49" s="408"/>
      <c r="ROH49" s="408"/>
      <c r="ROI49" s="408"/>
      <c r="ROJ49" s="408"/>
      <c r="ROK49" s="408"/>
      <c r="ROL49" s="408"/>
      <c r="ROM49" s="408"/>
      <c r="RON49" s="408"/>
      <c r="ROO49" s="408"/>
      <c r="ROP49" s="408"/>
      <c r="ROQ49" s="408"/>
      <c r="ROR49" s="408"/>
      <c r="ROS49" s="408"/>
      <c r="ROT49" s="408"/>
      <c r="ROU49" s="408"/>
      <c r="ROV49" s="408"/>
      <c r="ROW49" s="408"/>
      <c r="ROX49" s="408"/>
      <c r="ROY49" s="408"/>
      <c r="ROZ49" s="408"/>
      <c r="RPA49" s="408"/>
      <c r="RPB49" s="408"/>
      <c r="RPC49" s="408"/>
      <c r="RPD49" s="408"/>
      <c r="RPE49" s="408"/>
      <c r="RPF49" s="408"/>
      <c r="RPG49" s="408"/>
      <c r="RPH49" s="408"/>
      <c r="RPI49" s="408"/>
      <c r="RPJ49" s="408"/>
      <c r="RPK49" s="408"/>
      <c r="RPL49" s="408"/>
      <c r="RPM49" s="408"/>
      <c r="RPN49" s="408"/>
      <c r="RPO49" s="408"/>
      <c r="RPP49" s="408"/>
      <c r="RPQ49" s="408"/>
      <c r="RPR49" s="408"/>
      <c r="RPS49" s="408"/>
      <c r="RPT49" s="408"/>
      <c r="RPU49" s="408"/>
      <c r="RPV49" s="408"/>
      <c r="RPW49" s="408"/>
      <c r="RPX49" s="408"/>
      <c r="RPY49" s="408"/>
      <c r="RPZ49" s="408"/>
      <c r="RQA49" s="408"/>
      <c r="RQB49" s="408"/>
      <c r="RQC49" s="408"/>
      <c r="RQD49" s="408"/>
      <c r="RQE49" s="408"/>
      <c r="RQF49" s="408"/>
      <c r="RQG49" s="408"/>
      <c r="RQH49" s="408"/>
      <c r="RQI49" s="408"/>
      <c r="RQJ49" s="408"/>
      <c r="RQK49" s="408"/>
      <c r="RQL49" s="408"/>
      <c r="RQM49" s="408"/>
      <c r="RQN49" s="408"/>
      <c r="RQO49" s="408"/>
      <c r="RQP49" s="408"/>
      <c r="RQQ49" s="408"/>
      <c r="RQR49" s="408"/>
      <c r="RQS49" s="408"/>
      <c r="RQT49" s="408"/>
      <c r="RQU49" s="408"/>
      <c r="RQV49" s="408"/>
      <c r="RQW49" s="408"/>
      <c r="RQX49" s="408"/>
      <c r="RQY49" s="408"/>
      <c r="RQZ49" s="408"/>
      <c r="RRA49" s="408"/>
      <c r="RRB49" s="408"/>
      <c r="RRC49" s="408"/>
      <c r="RRD49" s="408"/>
      <c r="RRE49" s="408"/>
      <c r="RRF49" s="408"/>
      <c r="RRG49" s="408"/>
      <c r="RRH49" s="408"/>
      <c r="RRI49" s="408"/>
      <c r="RRJ49" s="408"/>
      <c r="RRK49" s="408"/>
      <c r="RRL49" s="408"/>
      <c r="RRM49" s="408"/>
      <c r="RRN49" s="408"/>
      <c r="RRO49" s="408"/>
      <c r="RRP49" s="408"/>
      <c r="RRQ49" s="408"/>
      <c r="RRR49" s="408"/>
      <c r="RRS49" s="408"/>
      <c r="RRT49" s="408"/>
      <c r="RRU49" s="408"/>
      <c r="RRV49" s="408"/>
      <c r="RRW49" s="408"/>
      <c r="RRX49" s="408"/>
      <c r="RRY49" s="408"/>
      <c r="RRZ49" s="408"/>
      <c r="RSA49" s="408"/>
      <c r="RSB49" s="408"/>
      <c r="RSC49" s="408"/>
      <c r="RSD49" s="408"/>
      <c r="RSE49" s="408"/>
      <c r="RSF49" s="408"/>
      <c r="RSG49" s="408"/>
      <c r="RSH49" s="408"/>
      <c r="RSI49" s="408"/>
      <c r="RSJ49" s="408"/>
      <c r="RSK49" s="408"/>
      <c r="RSL49" s="408"/>
      <c r="RSM49" s="408"/>
      <c r="RSN49" s="408"/>
      <c r="RSO49" s="408"/>
      <c r="RSP49" s="408"/>
      <c r="RSQ49" s="408"/>
      <c r="RSR49" s="408"/>
      <c r="RSS49" s="408"/>
      <c r="RST49" s="408"/>
      <c r="RSU49" s="408"/>
      <c r="RSV49" s="408"/>
      <c r="RSW49" s="408"/>
      <c r="RSX49" s="408"/>
      <c r="RSY49" s="408"/>
      <c r="RSZ49" s="408"/>
      <c r="RTA49" s="408"/>
      <c r="RTB49" s="408"/>
      <c r="RTC49" s="408"/>
      <c r="RTD49" s="408"/>
      <c r="RTE49" s="408"/>
      <c r="RTF49" s="408"/>
      <c r="RTG49" s="408"/>
      <c r="RTH49" s="408"/>
      <c r="RTI49" s="408"/>
      <c r="RTJ49" s="408"/>
      <c r="RTK49" s="408"/>
      <c r="RTL49" s="408"/>
      <c r="RTM49" s="408"/>
      <c r="RTN49" s="408"/>
      <c r="RTO49" s="408"/>
      <c r="RTP49" s="408"/>
      <c r="RTQ49" s="408"/>
      <c r="RTR49" s="408"/>
      <c r="RTS49" s="408"/>
      <c r="RTT49" s="408"/>
      <c r="RTU49" s="408"/>
      <c r="RTV49" s="408"/>
      <c r="RTW49" s="408"/>
      <c r="RTX49" s="408"/>
      <c r="RTY49" s="408"/>
      <c r="RTZ49" s="408"/>
      <c r="RUA49" s="408"/>
      <c r="RUB49" s="408"/>
      <c r="RUC49" s="408"/>
      <c r="RUD49" s="408"/>
      <c r="RUE49" s="408"/>
      <c r="RUF49" s="408"/>
      <c r="RUG49" s="408"/>
      <c r="RUH49" s="408"/>
      <c r="RUI49" s="408"/>
      <c r="RUJ49" s="408"/>
      <c r="RUK49" s="408"/>
      <c r="RUL49" s="408"/>
      <c r="RUM49" s="408"/>
      <c r="RUN49" s="408"/>
      <c r="RUO49" s="408"/>
      <c r="RUP49" s="408"/>
      <c r="RUQ49" s="408"/>
      <c r="RUR49" s="408"/>
      <c r="RUS49" s="408"/>
      <c r="RUT49" s="408"/>
      <c r="RUU49" s="408"/>
      <c r="RUV49" s="408"/>
      <c r="RUW49" s="408"/>
      <c r="RUX49" s="408"/>
      <c r="RUY49" s="408"/>
      <c r="RUZ49" s="408"/>
      <c r="RVA49" s="408"/>
      <c r="RVB49" s="408"/>
      <c r="RVC49" s="408"/>
      <c r="RVD49" s="408"/>
      <c r="RVE49" s="408"/>
      <c r="RVF49" s="408"/>
      <c r="RVG49" s="408"/>
      <c r="RVH49" s="408"/>
      <c r="RVI49" s="408"/>
      <c r="RVJ49" s="408"/>
      <c r="RVK49" s="408"/>
      <c r="RVL49" s="408"/>
      <c r="RVM49" s="408"/>
      <c r="RVN49" s="408"/>
      <c r="RVO49" s="408"/>
      <c r="RVP49" s="408"/>
      <c r="RVQ49" s="408"/>
      <c r="RVR49" s="408"/>
      <c r="RVS49" s="408"/>
      <c r="RVT49" s="408"/>
      <c r="RVU49" s="408"/>
      <c r="RVV49" s="408"/>
      <c r="RVW49" s="408"/>
      <c r="RVX49" s="408"/>
      <c r="RVY49" s="408"/>
      <c r="RVZ49" s="408"/>
      <c r="RWA49" s="408"/>
      <c r="RWB49" s="408"/>
      <c r="RWC49" s="408"/>
      <c r="RWD49" s="408"/>
      <c r="RWE49" s="408"/>
      <c r="RWF49" s="408"/>
      <c r="RWG49" s="408"/>
      <c r="RWH49" s="408"/>
      <c r="RWI49" s="408"/>
      <c r="RWJ49" s="408"/>
      <c r="RWK49" s="408"/>
      <c r="RWL49" s="408"/>
      <c r="RWM49" s="408"/>
      <c r="RWN49" s="408"/>
      <c r="RWO49" s="408"/>
      <c r="RWP49" s="408"/>
      <c r="RWQ49" s="408"/>
      <c r="RWR49" s="408"/>
      <c r="RWS49" s="408"/>
      <c r="RWT49" s="408"/>
      <c r="RWU49" s="408"/>
      <c r="RWV49" s="408"/>
      <c r="RWW49" s="408"/>
      <c r="RWX49" s="408"/>
      <c r="RWY49" s="408"/>
      <c r="RWZ49" s="408"/>
      <c r="RXA49" s="408"/>
      <c r="RXB49" s="408"/>
      <c r="RXC49" s="408"/>
      <c r="RXD49" s="408"/>
      <c r="RXE49" s="408"/>
      <c r="RXF49" s="408"/>
      <c r="RXG49" s="408"/>
      <c r="RXH49" s="408"/>
      <c r="RXI49" s="408"/>
      <c r="RXJ49" s="408"/>
      <c r="RXK49" s="408"/>
      <c r="RXL49" s="408"/>
      <c r="RXM49" s="408"/>
      <c r="RXN49" s="408"/>
      <c r="RXO49" s="408"/>
      <c r="RXP49" s="408"/>
      <c r="RXQ49" s="408"/>
      <c r="RXR49" s="408"/>
      <c r="RXS49" s="408"/>
      <c r="RXT49" s="408"/>
      <c r="RXU49" s="408"/>
      <c r="RXV49" s="408"/>
      <c r="RXW49" s="408"/>
      <c r="RXX49" s="408"/>
      <c r="RXY49" s="408"/>
      <c r="RXZ49" s="408"/>
      <c r="RYA49" s="408"/>
      <c r="RYB49" s="408"/>
      <c r="RYC49" s="408"/>
      <c r="RYD49" s="408"/>
      <c r="RYE49" s="408"/>
      <c r="RYF49" s="408"/>
      <c r="RYG49" s="408"/>
      <c r="RYH49" s="408"/>
      <c r="RYI49" s="408"/>
      <c r="RYJ49" s="408"/>
      <c r="RYK49" s="408"/>
      <c r="RYL49" s="408"/>
      <c r="RYM49" s="408"/>
      <c r="RYN49" s="408"/>
      <c r="RYO49" s="408"/>
      <c r="RYP49" s="408"/>
      <c r="RYQ49" s="408"/>
      <c r="RYR49" s="408"/>
      <c r="RYS49" s="408"/>
      <c r="RYT49" s="408"/>
      <c r="RYU49" s="408"/>
      <c r="RYV49" s="408"/>
      <c r="RYW49" s="408"/>
      <c r="RYX49" s="408"/>
      <c r="RYY49" s="408"/>
      <c r="RYZ49" s="408"/>
      <c r="RZA49" s="408"/>
      <c r="RZB49" s="408"/>
      <c r="RZC49" s="408"/>
      <c r="RZD49" s="408"/>
      <c r="RZE49" s="408"/>
      <c r="RZF49" s="408"/>
      <c r="RZG49" s="408"/>
      <c r="RZH49" s="408"/>
      <c r="RZI49" s="408"/>
      <c r="RZJ49" s="408"/>
      <c r="RZK49" s="408"/>
      <c r="RZL49" s="408"/>
      <c r="RZM49" s="408"/>
      <c r="RZN49" s="408"/>
      <c r="RZO49" s="408"/>
      <c r="RZP49" s="408"/>
      <c r="RZQ49" s="408"/>
      <c r="RZR49" s="408"/>
      <c r="RZS49" s="408"/>
      <c r="RZT49" s="408"/>
      <c r="RZU49" s="408"/>
      <c r="RZV49" s="408"/>
      <c r="RZW49" s="408"/>
      <c r="RZX49" s="408"/>
      <c r="RZY49" s="408"/>
      <c r="RZZ49" s="408"/>
      <c r="SAA49" s="408"/>
      <c r="SAB49" s="408"/>
      <c r="SAC49" s="408"/>
      <c r="SAD49" s="408"/>
      <c r="SAE49" s="408"/>
      <c r="SAF49" s="408"/>
      <c r="SAG49" s="408"/>
      <c r="SAH49" s="408"/>
      <c r="SAI49" s="408"/>
      <c r="SAJ49" s="408"/>
      <c r="SAK49" s="408"/>
      <c r="SAL49" s="408"/>
      <c r="SAM49" s="408"/>
      <c r="SAN49" s="408"/>
      <c r="SAO49" s="408"/>
      <c r="SAP49" s="408"/>
      <c r="SAQ49" s="408"/>
      <c r="SAR49" s="408"/>
      <c r="SAS49" s="408"/>
      <c r="SAT49" s="408"/>
      <c r="SAU49" s="408"/>
      <c r="SAV49" s="408"/>
      <c r="SAW49" s="408"/>
      <c r="SAX49" s="408"/>
      <c r="SAY49" s="408"/>
      <c r="SAZ49" s="408"/>
      <c r="SBA49" s="408"/>
      <c r="SBB49" s="408"/>
      <c r="SBC49" s="408"/>
      <c r="SBD49" s="408"/>
      <c r="SBE49" s="408"/>
      <c r="SBF49" s="408"/>
      <c r="SBG49" s="408"/>
      <c r="SBH49" s="408"/>
      <c r="SBI49" s="408"/>
      <c r="SBJ49" s="408"/>
      <c r="SBK49" s="408"/>
      <c r="SBL49" s="408"/>
      <c r="SBM49" s="408"/>
      <c r="SBN49" s="408"/>
      <c r="SBO49" s="408"/>
      <c r="SBP49" s="408"/>
      <c r="SBQ49" s="408"/>
      <c r="SBR49" s="408"/>
      <c r="SBS49" s="408"/>
      <c r="SBT49" s="408"/>
      <c r="SBU49" s="408"/>
      <c r="SBV49" s="408"/>
      <c r="SBW49" s="408"/>
      <c r="SBX49" s="408"/>
      <c r="SBY49" s="408"/>
      <c r="SBZ49" s="408"/>
      <c r="SCA49" s="408"/>
      <c r="SCB49" s="408"/>
      <c r="SCC49" s="408"/>
      <c r="SCD49" s="408"/>
      <c r="SCE49" s="408"/>
      <c r="SCF49" s="408"/>
      <c r="SCG49" s="408"/>
      <c r="SCH49" s="408"/>
      <c r="SCI49" s="408"/>
      <c r="SCJ49" s="408"/>
      <c r="SCK49" s="408"/>
      <c r="SCL49" s="408"/>
      <c r="SCM49" s="408"/>
      <c r="SCN49" s="408"/>
      <c r="SCO49" s="408"/>
      <c r="SCP49" s="408"/>
      <c r="SCQ49" s="408"/>
      <c r="SCR49" s="408"/>
      <c r="SCS49" s="408"/>
      <c r="SCT49" s="408"/>
      <c r="SCU49" s="408"/>
      <c r="SCV49" s="408"/>
      <c r="SCW49" s="408"/>
      <c r="SCX49" s="408"/>
      <c r="SCY49" s="408"/>
      <c r="SCZ49" s="408"/>
      <c r="SDA49" s="408"/>
      <c r="SDB49" s="408"/>
      <c r="SDC49" s="408"/>
      <c r="SDD49" s="408"/>
      <c r="SDE49" s="408"/>
      <c r="SDF49" s="408"/>
      <c r="SDG49" s="408"/>
      <c r="SDH49" s="408"/>
      <c r="SDI49" s="408"/>
      <c r="SDJ49" s="408"/>
      <c r="SDK49" s="408"/>
      <c r="SDL49" s="408"/>
      <c r="SDM49" s="408"/>
      <c r="SDN49" s="408"/>
      <c r="SDO49" s="408"/>
      <c r="SDP49" s="408"/>
      <c r="SDQ49" s="408"/>
      <c r="SDR49" s="408"/>
      <c r="SDS49" s="408"/>
      <c r="SDT49" s="408"/>
      <c r="SDU49" s="408"/>
      <c r="SDV49" s="408"/>
      <c r="SDW49" s="408"/>
      <c r="SDX49" s="408"/>
      <c r="SDY49" s="408"/>
      <c r="SDZ49" s="408"/>
      <c r="SEA49" s="408"/>
      <c r="SEB49" s="408"/>
      <c r="SEC49" s="408"/>
      <c r="SED49" s="408"/>
      <c r="SEE49" s="408"/>
      <c r="SEF49" s="408"/>
      <c r="SEG49" s="408"/>
      <c r="SEH49" s="408"/>
      <c r="SEI49" s="408"/>
      <c r="SEJ49" s="408"/>
      <c r="SEK49" s="408"/>
      <c r="SEL49" s="408"/>
      <c r="SEM49" s="408"/>
      <c r="SEN49" s="408"/>
      <c r="SEO49" s="408"/>
      <c r="SEP49" s="408"/>
      <c r="SEQ49" s="408"/>
      <c r="SER49" s="408"/>
      <c r="SES49" s="408"/>
      <c r="SET49" s="408"/>
      <c r="SEU49" s="408"/>
      <c r="SEV49" s="408"/>
      <c r="SEW49" s="408"/>
      <c r="SEX49" s="408"/>
      <c r="SEY49" s="408"/>
      <c r="SEZ49" s="408"/>
      <c r="SFA49" s="408"/>
      <c r="SFB49" s="408"/>
      <c r="SFC49" s="408"/>
      <c r="SFD49" s="408"/>
      <c r="SFE49" s="408"/>
      <c r="SFF49" s="408"/>
      <c r="SFG49" s="408"/>
      <c r="SFH49" s="408"/>
      <c r="SFI49" s="408"/>
      <c r="SFJ49" s="408"/>
      <c r="SFK49" s="408"/>
      <c r="SFL49" s="408"/>
      <c r="SFM49" s="408"/>
      <c r="SFN49" s="408"/>
      <c r="SFO49" s="408"/>
      <c r="SFP49" s="408"/>
      <c r="SFQ49" s="408"/>
      <c r="SFR49" s="408"/>
      <c r="SFS49" s="408"/>
      <c r="SFT49" s="408"/>
      <c r="SFU49" s="408"/>
      <c r="SFV49" s="408"/>
      <c r="SFW49" s="408"/>
      <c r="SFX49" s="408"/>
      <c r="SFY49" s="408"/>
      <c r="SFZ49" s="408"/>
      <c r="SGA49" s="408"/>
      <c r="SGB49" s="408"/>
      <c r="SGC49" s="408"/>
      <c r="SGD49" s="408"/>
      <c r="SGE49" s="408"/>
      <c r="SGF49" s="408"/>
      <c r="SGG49" s="408"/>
      <c r="SGH49" s="408"/>
      <c r="SGI49" s="408"/>
      <c r="SGJ49" s="408"/>
      <c r="SGK49" s="408"/>
      <c r="SGL49" s="408"/>
      <c r="SGM49" s="408"/>
      <c r="SGN49" s="408"/>
      <c r="SGO49" s="408"/>
      <c r="SGP49" s="408"/>
      <c r="SGQ49" s="408"/>
      <c r="SGR49" s="408"/>
      <c r="SGS49" s="408"/>
      <c r="SGT49" s="408"/>
      <c r="SGU49" s="408"/>
      <c r="SGV49" s="408"/>
      <c r="SGW49" s="408"/>
      <c r="SGX49" s="408"/>
      <c r="SGY49" s="408"/>
      <c r="SGZ49" s="408"/>
      <c r="SHA49" s="408"/>
      <c r="SHB49" s="408"/>
      <c r="SHC49" s="408"/>
      <c r="SHD49" s="408"/>
      <c r="SHE49" s="408"/>
      <c r="SHF49" s="408"/>
      <c r="SHG49" s="408"/>
      <c r="SHH49" s="408"/>
      <c r="SHI49" s="408"/>
      <c r="SHJ49" s="408"/>
      <c r="SHK49" s="408"/>
      <c r="SHL49" s="408"/>
      <c r="SHM49" s="408"/>
      <c r="SHN49" s="408"/>
      <c r="SHO49" s="408"/>
      <c r="SHP49" s="408"/>
      <c r="SHQ49" s="408"/>
      <c r="SHR49" s="408"/>
      <c r="SHS49" s="408"/>
      <c r="SHT49" s="408"/>
      <c r="SHU49" s="408"/>
      <c r="SHV49" s="408"/>
      <c r="SHW49" s="408"/>
      <c r="SHX49" s="408"/>
      <c r="SHY49" s="408"/>
      <c r="SHZ49" s="408"/>
      <c r="SIA49" s="408"/>
      <c r="SIB49" s="408"/>
      <c r="SIC49" s="408"/>
      <c r="SID49" s="408"/>
      <c r="SIE49" s="408"/>
      <c r="SIF49" s="408"/>
      <c r="SIG49" s="408"/>
      <c r="SIH49" s="408"/>
      <c r="SII49" s="408"/>
      <c r="SIJ49" s="408"/>
      <c r="SIK49" s="408"/>
      <c r="SIL49" s="408"/>
      <c r="SIM49" s="408"/>
      <c r="SIN49" s="408"/>
      <c r="SIO49" s="408"/>
      <c r="SIP49" s="408"/>
      <c r="SIQ49" s="408"/>
      <c r="SIR49" s="408"/>
      <c r="SIS49" s="408"/>
      <c r="SIT49" s="408"/>
      <c r="SIU49" s="408"/>
      <c r="SIV49" s="408"/>
      <c r="SIW49" s="408"/>
      <c r="SIX49" s="408"/>
      <c r="SIY49" s="408"/>
      <c r="SIZ49" s="408"/>
      <c r="SJA49" s="408"/>
      <c r="SJB49" s="408"/>
      <c r="SJC49" s="408"/>
      <c r="SJD49" s="408"/>
      <c r="SJE49" s="408"/>
      <c r="SJF49" s="408"/>
      <c r="SJG49" s="408"/>
      <c r="SJH49" s="408"/>
      <c r="SJI49" s="408"/>
      <c r="SJJ49" s="408"/>
      <c r="SJK49" s="408"/>
      <c r="SJL49" s="408"/>
      <c r="SJM49" s="408"/>
      <c r="SJN49" s="408"/>
      <c r="SJO49" s="408"/>
      <c r="SJP49" s="408"/>
      <c r="SJQ49" s="408"/>
      <c r="SJR49" s="408"/>
      <c r="SJS49" s="408"/>
      <c r="SJT49" s="408"/>
      <c r="SJU49" s="408"/>
      <c r="SJV49" s="408"/>
      <c r="SJW49" s="408"/>
      <c r="SJX49" s="408"/>
      <c r="SJY49" s="408"/>
      <c r="SJZ49" s="408"/>
      <c r="SKA49" s="408"/>
      <c r="SKB49" s="408"/>
      <c r="SKC49" s="408"/>
      <c r="SKD49" s="408"/>
      <c r="SKE49" s="408"/>
      <c r="SKF49" s="408"/>
      <c r="SKG49" s="408"/>
      <c r="SKH49" s="408"/>
      <c r="SKI49" s="408"/>
      <c r="SKJ49" s="408"/>
      <c r="SKK49" s="408"/>
      <c r="SKL49" s="408"/>
      <c r="SKM49" s="408"/>
      <c r="SKN49" s="408"/>
      <c r="SKO49" s="408"/>
      <c r="SKP49" s="408"/>
      <c r="SKQ49" s="408"/>
      <c r="SKR49" s="408"/>
      <c r="SKS49" s="408"/>
      <c r="SKT49" s="408"/>
      <c r="SKU49" s="408"/>
      <c r="SKV49" s="408"/>
      <c r="SKW49" s="408"/>
      <c r="SKX49" s="408"/>
      <c r="SKY49" s="408"/>
      <c r="SKZ49" s="408"/>
      <c r="SLA49" s="408"/>
      <c r="SLB49" s="408"/>
      <c r="SLC49" s="408"/>
      <c r="SLD49" s="408"/>
      <c r="SLE49" s="408"/>
      <c r="SLF49" s="408"/>
      <c r="SLG49" s="408"/>
      <c r="SLH49" s="408"/>
      <c r="SLI49" s="408"/>
      <c r="SLJ49" s="408"/>
      <c r="SLK49" s="408"/>
      <c r="SLL49" s="408"/>
      <c r="SLM49" s="408"/>
      <c r="SLN49" s="408"/>
      <c r="SLO49" s="408"/>
      <c r="SLP49" s="408"/>
      <c r="SLQ49" s="408"/>
      <c r="SLR49" s="408"/>
      <c r="SLS49" s="408"/>
      <c r="SLT49" s="408"/>
      <c r="SLU49" s="408"/>
      <c r="SLV49" s="408"/>
      <c r="SLW49" s="408"/>
      <c r="SLX49" s="408"/>
      <c r="SLY49" s="408"/>
      <c r="SLZ49" s="408"/>
      <c r="SMA49" s="408"/>
      <c r="SMB49" s="408"/>
      <c r="SMC49" s="408"/>
      <c r="SMD49" s="408"/>
      <c r="SME49" s="408"/>
      <c r="SMF49" s="408"/>
      <c r="SMG49" s="408"/>
      <c r="SMH49" s="408"/>
      <c r="SMI49" s="408"/>
      <c r="SMJ49" s="408"/>
      <c r="SMK49" s="408"/>
      <c r="SML49" s="408"/>
      <c r="SMM49" s="408"/>
      <c r="SMN49" s="408"/>
      <c r="SMO49" s="408"/>
      <c r="SMP49" s="408"/>
      <c r="SMQ49" s="408"/>
      <c r="SMR49" s="408"/>
      <c r="SMS49" s="408"/>
      <c r="SMT49" s="408"/>
      <c r="SMU49" s="408"/>
      <c r="SMV49" s="408"/>
      <c r="SMW49" s="408"/>
      <c r="SMX49" s="408"/>
      <c r="SMY49" s="408"/>
      <c r="SMZ49" s="408"/>
      <c r="SNA49" s="408"/>
      <c r="SNB49" s="408"/>
      <c r="SNC49" s="408"/>
      <c r="SND49" s="408"/>
      <c r="SNE49" s="408"/>
      <c r="SNF49" s="408"/>
      <c r="SNG49" s="408"/>
      <c r="SNH49" s="408"/>
      <c r="SNI49" s="408"/>
      <c r="SNJ49" s="408"/>
      <c r="SNK49" s="408"/>
      <c r="SNL49" s="408"/>
      <c r="SNM49" s="408"/>
      <c r="SNN49" s="408"/>
      <c r="SNO49" s="408"/>
      <c r="SNP49" s="408"/>
      <c r="SNQ49" s="408"/>
      <c r="SNR49" s="408"/>
      <c r="SNS49" s="408"/>
      <c r="SNT49" s="408"/>
      <c r="SNU49" s="408"/>
      <c r="SNV49" s="408"/>
      <c r="SNW49" s="408"/>
      <c r="SNX49" s="408"/>
      <c r="SNY49" s="408"/>
      <c r="SNZ49" s="408"/>
      <c r="SOA49" s="408"/>
      <c r="SOB49" s="408"/>
      <c r="SOC49" s="408"/>
      <c r="SOD49" s="408"/>
      <c r="SOE49" s="408"/>
      <c r="SOF49" s="408"/>
      <c r="SOG49" s="408"/>
      <c r="SOH49" s="408"/>
      <c r="SOI49" s="408"/>
      <c r="SOJ49" s="408"/>
      <c r="SOK49" s="408"/>
      <c r="SOL49" s="408"/>
      <c r="SOM49" s="408"/>
      <c r="SON49" s="408"/>
      <c r="SOO49" s="408"/>
      <c r="SOP49" s="408"/>
      <c r="SOQ49" s="408"/>
      <c r="SOR49" s="408"/>
      <c r="SOS49" s="408"/>
      <c r="SOT49" s="408"/>
      <c r="SOU49" s="408"/>
      <c r="SOV49" s="408"/>
      <c r="SOW49" s="408"/>
      <c r="SOX49" s="408"/>
      <c r="SOY49" s="408"/>
      <c r="SOZ49" s="408"/>
      <c r="SPA49" s="408"/>
      <c r="SPB49" s="408"/>
      <c r="SPC49" s="408"/>
      <c r="SPD49" s="408"/>
      <c r="SPE49" s="408"/>
      <c r="SPF49" s="408"/>
      <c r="SPG49" s="408"/>
      <c r="SPH49" s="408"/>
      <c r="SPI49" s="408"/>
      <c r="SPJ49" s="408"/>
      <c r="SPK49" s="408"/>
      <c r="SPL49" s="408"/>
      <c r="SPM49" s="408"/>
      <c r="SPN49" s="408"/>
      <c r="SPO49" s="408"/>
      <c r="SPP49" s="408"/>
      <c r="SPQ49" s="408"/>
      <c r="SPR49" s="408"/>
      <c r="SPS49" s="408"/>
      <c r="SPT49" s="408"/>
      <c r="SPU49" s="408"/>
      <c r="SPV49" s="408"/>
      <c r="SPW49" s="408"/>
      <c r="SPX49" s="408"/>
      <c r="SPY49" s="408"/>
      <c r="SPZ49" s="408"/>
      <c r="SQA49" s="408"/>
      <c r="SQB49" s="408"/>
      <c r="SQC49" s="408"/>
      <c r="SQD49" s="408"/>
      <c r="SQE49" s="408"/>
      <c r="SQF49" s="408"/>
      <c r="SQG49" s="408"/>
      <c r="SQH49" s="408"/>
      <c r="SQI49" s="408"/>
      <c r="SQJ49" s="408"/>
      <c r="SQK49" s="408"/>
      <c r="SQL49" s="408"/>
      <c r="SQM49" s="408"/>
      <c r="SQN49" s="408"/>
      <c r="SQO49" s="408"/>
      <c r="SQP49" s="408"/>
      <c r="SQQ49" s="408"/>
      <c r="SQR49" s="408"/>
      <c r="SQS49" s="408"/>
      <c r="SQT49" s="408"/>
      <c r="SQU49" s="408"/>
      <c r="SQV49" s="408"/>
      <c r="SQW49" s="408"/>
      <c r="SQX49" s="408"/>
      <c r="SQY49" s="408"/>
      <c r="SQZ49" s="408"/>
      <c r="SRA49" s="408"/>
      <c r="SRB49" s="408"/>
      <c r="SRC49" s="408"/>
      <c r="SRD49" s="408"/>
      <c r="SRE49" s="408"/>
      <c r="SRF49" s="408"/>
      <c r="SRG49" s="408"/>
      <c r="SRH49" s="408"/>
      <c r="SRI49" s="408"/>
      <c r="SRJ49" s="408"/>
      <c r="SRK49" s="408"/>
      <c r="SRL49" s="408"/>
      <c r="SRM49" s="408"/>
      <c r="SRN49" s="408"/>
      <c r="SRO49" s="408"/>
      <c r="SRP49" s="408"/>
      <c r="SRQ49" s="408"/>
      <c r="SRR49" s="408"/>
      <c r="SRS49" s="408"/>
      <c r="SRT49" s="408"/>
      <c r="SRU49" s="408"/>
      <c r="SRV49" s="408"/>
      <c r="SRW49" s="408"/>
      <c r="SRX49" s="408"/>
      <c r="SRY49" s="408"/>
      <c r="SRZ49" s="408"/>
      <c r="SSA49" s="408"/>
      <c r="SSB49" s="408"/>
      <c r="SSC49" s="408"/>
      <c r="SSD49" s="408"/>
      <c r="SSE49" s="408"/>
      <c r="SSF49" s="408"/>
      <c r="SSG49" s="408"/>
      <c r="SSH49" s="408"/>
      <c r="SSI49" s="408"/>
      <c r="SSJ49" s="408"/>
      <c r="SSK49" s="408"/>
      <c r="SSL49" s="408"/>
      <c r="SSM49" s="408"/>
      <c r="SSN49" s="408"/>
      <c r="SSO49" s="408"/>
      <c r="SSP49" s="408"/>
      <c r="SSQ49" s="408"/>
      <c r="SSR49" s="408"/>
      <c r="SSS49" s="408"/>
      <c r="SST49" s="408"/>
      <c r="SSU49" s="408"/>
      <c r="SSV49" s="408"/>
      <c r="SSW49" s="408"/>
      <c r="SSX49" s="408"/>
      <c r="SSY49" s="408"/>
      <c r="SSZ49" s="408"/>
      <c r="STA49" s="408"/>
      <c r="STB49" s="408"/>
      <c r="STC49" s="408"/>
      <c r="STD49" s="408"/>
      <c r="STE49" s="408"/>
      <c r="STF49" s="408"/>
      <c r="STG49" s="408"/>
      <c r="STH49" s="408"/>
      <c r="STI49" s="408"/>
      <c r="STJ49" s="408"/>
      <c r="STK49" s="408"/>
      <c r="STL49" s="408"/>
      <c r="STM49" s="408"/>
      <c r="STN49" s="408"/>
      <c r="STO49" s="408"/>
      <c r="STP49" s="408"/>
      <c r="STQ49" s="408"/>
      <c r="STR49" s="408"/>
      <c r="STS49" s="408"/>
      <c r="STT49" s="408"/>
      <c r="STU49" s="408"/>
      <c r="STV49" s="408"/>
      <c r="STW49" s="408"/>
      <c r="STX49" s="408"/>
      <c r="STY49" s="408"/>
      <c r="STZ49" s="408"/>
      <c r="SUA49" s="408"/>
      <c r="SUB49" s="408"/>
      <c r="SUC49" s="408"/>
      <c r="SUD49" s="408"/>
      <c r="SUE49" s="408"/>
      <c r="SUF49" s="408"/>
      <c r="SUG49" s="408"/>
      <c r="SUH49" s="408"/>
      <c r="SUI49" s="408"/>
      <c r="SUJ49" s="408"/>
      <c r="SUK49" s="408"/>
      <c r="SUL49" s="408"/>
      <c r="SUM49" s="408"/>
      <c r="SUN49" s="408"/>
      <c r="SUO49" s="408"/>
      <c r="SUP49" s="408"/>
      <c r="SUQ49" s="408"/>
      <c r="SUR49" s="408"/>
      <c r="SUS49" s="408"/>
      <c r="SUT49" s="408"/>
      <c r="SUU49" s="408"/>
      <c r="SUV49" s="408"/>
      <c r="SUW49" s="408"/>
      <c r="SUX49" s="408"/>
      <c r="SUY49" s="408"/>
      <c r="SUZ49" s="408"/>
      <c r="SVA49" s="408"/>
      <c r="SVB49" s="408"/>
      <c r="SVC49" s="408"/>
      <c r="SVD49" s="408"/>
      <c r="SVE49" s="408"/>
      <c r="SVF49" s="408"/>
      <c r="SVG49" s="408"/>
      <c r="SVH49" s="408"/>
      <c r="SVI49" s="408"/>
      <c r="SVJ49" s="408"/>
      <c r="SVK49" s="408"/>
      <c r="SVL49" s="408"/>
      <c r="SVM49" s="408"/>
      <c r="SVN49" s="408"/>
      <c r="SVO49" s="408"/>
      <c r="SVP49" s="408"/>
      <c r="SVQ49" s="408"/>
      <c r="SVR49" s="408"/>
      <c r="SVS49" s="408"/>
      <c r="SVT49" s="408"/>
      <c r="SVU49" s="408"/>
      <c r="SVV49" s="408"/>
      <c r="SVW49" s="408"/>
      <c r="SVX49" s="408"/>
      <c r="SVY49" s="408"/>
      <c r="SVZ49" s="408"/>
      <c r="SWA49" s="408"/>
      <c r="SWB49" s="408"/>
      <c r="SWC49" s="408"/>
      <c r="SWD49" s="408"/>
      <c r="SWE49" s="408"/>
      <c r="SWF49" s="408"/>
      <c r="SWG49" s="408"/>
      <c r="SWH49" s="408"/>
      <c r="SWI49" s="408"/>
      <c r="SWJ49" s="408"/>
      <c r="SWK49" s="408"/>
      <c r="SWL49" s="408"/>
      <c r="SWM49" s="408"/>
      <c r="SWN49" s="408"/>
      <c r="SWO49" s="408"/>
      <c r="SWP49" s="408"/>
      <c r="SWQ49" s="408"/>
      <c r="SWR49" s="408"/>
      <c r="SWS49" s="408"/>
      <c r="SWT49" s="408"/>
      <c r="SWU49" s="408"/>
      <c r="SWV49" s="408"/>
      <c r="SWW49" s="408"/>
      <c r="SWX49" s="408"/>
      <c r="SWY49" s="408"/>
      <c r="SWZ49" s="408"/>
      <c r="SXA49" s="408"/>
      <c r="SXB49" s="408"/>
      <c r="SXC49" s="408"/>
      <c r="SXD49" s="408"/>
      <c r="SXE49" s="408"/>
      <c r="SXF49" s="408"/>
      <c r="SXG49" s="408"/>
      <c r="SXH49" s="408"/>
      <c r="SXI49" s="408"/>
      <c r="SXJ49" s="408"/>
      <c r="SXK49" s="408"/>
      <c r="SXL49" s="408"/>
      <c r="SXM49" s="408"/>
      <c r="SXN49" s="408"/>
      <c r="SXO49" s="408"/>
      <c r="SXP49" s="408"/>
      <c r="SXQ49" s="408"/>
      <c r="SXR49" s="408"/>
      <c r="SXS49" s="408"/>
      <c r="SXT49" s="408"/>
      <c r="SXU49" s="408"/>
      <c r="SXV49" s="408"/>
      <c r="SXW49" s="408"/>
      <c r="SXX49" s="408"/>
      <c r="SXY49" s="408"/>
      <c r="SXZ49" s="408"/>
      <c r="SYA49" s="408"/>
      <c r="SYB49" s="408"/>
      <c r="SYC49" s="408"/>
      <c r="SYD49" s="408"/>
      <c r="SYE49" s="408"/>
      <c r="SYF49" s="408"/>
      <c r="SYG49" s="408"/>
      <c r="SYH49" s="408"/>
      <c r="SYI49" s="408"/>
      <c r="SYJ49" s="408"/>
      <c r="SYK49" s="408"/>
      <c r="SYL49" s="408"/>
      <c r="SYM49" s="408"/>
      <c r="SYN49" s="408"/>
      <c r="SYO49" s="408"/>
      <c r="SYP49" s="408"/>
      <c r="SYQ49" s="408"/>
      <c r="SYR49" s="408"/>
      <c r="SYS49" s="408"/>
      <c r="SYT49" s="408"/>
      <c r="SYU49" s="408"/>
      <c r="SYV49" s="408"/>
      <c r="SYW49" s="408"/>
      <c r="SYX49" s="408"/>
      <c r="SYY49" s="408"/>
      <c r="SYZ49" s="408"/>
      <c r="SZA49" s="408"/>
      <c r="SZB49" s="408"/>
      <c r="SZC49" s="408"/>
      <c r="SZD49" s="408"/>
      <c r="SZE49" s="408"/>
      <c r="SZF49" s="408"/>
      <c r="SZG49" s="408"/>
      <c r="SZH49" s="408"/>
      <c r="SZI49" s="408"/>
      <c r="SZJ49" s="408"/>
      <c r="SZK49" s="408"/>
      <c r="SZL49" s="408"/>
      <c r="SZM49" s="408"/>
      <c r="SZN49" s="408"/>
      <c r="SZO49" s="408"/>
      <c r="SZP49" s="408"/>
      <c r="SZQ49" s="408"/>
      <c r="SZR49" s="408"/>
      <c r="SZS49" s="408"/>
      <c r="SZT49" s="408"/>
      <c r="SZU49" s="408"/>
      <c r="SZV49" s="408"/>
      <c r="SZW49" s="408"/>
      <c r="SZX49" s="408"/>
      <c r="SZY49" s="408"/>
      <c r="SZZ49" s="408"/>
      <c r="TAA49" s="408"/>
      <c r="TAB49" s="408"/>
      <c r="TAC49" s="408"/>
      <c r="TAD49" s="408"/>
      <c r="TAE49" s="408"/>
      <c r="TAF49" s="408"/>
      <c r="TAG49" s="408"/>
      <c r="TAH49" s="408"/>
      <c r="TAI49" s="408"/>
      <c r="TAJ49" s="408"/>
      <c r="TAK49" s="408"/>
      <c r="TAL49" s="408"/>
      <c r="TAM49" s="408"/>
      <c r="TAN49" s="408"/>
      <c r="TAO49" s="408"/>
      <c r="TAP49" s="408"/>
      <c r="TAQ49" s="408"/>
      <c r="TAR49" s="408"/>
      <c r="TAS49" s="408"/>
      <c r="TAT49" s="408"/>
      <c r="TAU49" s="408"/>
      <c r="TAV49" s="408"/>
      <c r="TAW49" s="408"/>
      <c r="TAX49" s="408"/>
      <c r="TAY49" s="408"/>
      <c r="TAZ49" s="408"/>
      <c r="TBA49" s="408"/>
      <c r="TBB49" s="408"/>
      <c r="TBC49" s="408"/>
      <c r="TBD49" s="408"/>
      <c r="TBE49" s="408"/>
      <c r="TBF49" s="408"/>
      <c r="TBG49" s="408"/>
      <c r="TBH49" s="408"/>
      <c r="TBI49" s="408"/>
      <c r="TBJ49" s="408"/>
      <c r="TBK49" s="408"/>
      <c r="TBL49" s="408"/>
      <c r="TBM49" s="408"/>
      <c r="TBN49" s="408"/>
      <c r="TBO49" s="408"/>
      <c r="TBP49" s="408"/>
      <c r="TBQ49" s="408"/>
      <c r="TBR49" s="408"/>
      <c r="TBS49" s="408"/>
      <c r="TBT49" s="408"/>
      <c r="TBU49" s="408"/>
      <c r="TBV49" s="408"/>
      <c r="TBW49" s="408"/>
      <c r="TBX49" s="408"/>
      <c r="TBY49" s="408"/>
      <c r="TBZ49" s="408"/>
      <c r="TCA49" s="408"/>
      <c r="TCB49" s="408"/>
      <c r="TCC49" s="408"/>
      <c r="TCD49" s="408"/>
      <c r="TCE49" s="408"/>
      <c r="TCF49" s="408"/>
      <c r="TCG49" s="408"/>
      <c r="TCH49" s="408"/>
      <c r="TCI49" s="408"/>
      <c r="TCJ49" s="408"/>
      <c r="TCK49" s="408"/>
      <c r="TCL49" s="408"/>
      <c r="TCM49" s="408"/>
      <c r="TCN49" s="408"/>
      <c r="TCO49" s="408"/>
      <c r="TCP49" s="408"/>
      <c r="TCQ49" s="408"/>
      <c r="TCR49" s="408"/>
      <c r="TCS49" s="408"/>
      <c r="TCT49" s="408"/>
      <c r="TCU49" s="408"/>
      <c r="TCV49" s="408"/>
      <c r="TCW49" s="408"/>
      <c r="TCX49" s="408"/>
      <c r="TCY49" s="408"/>
      <c r="TCZ49" s="408"/>
      <c r="TDA49" s="408"/>
      <c r="TDB49" s="408"/>
      <c r="TDC49" s="408"/>
      <c r="TDD49" s="408"/>
      <c r="TDE49" s="408"/>
      <c r="TDF49" s="408"/>
      <c r="TDG49" s="408"/>
      <c r="TDH49" s="408"/>
      <c r="TDI49" s="408"/>
      <c r="TDJ49" s="408"/>
      <c r="TDK49" s="408"/>
      <c r="TDL49" s="408"/>
      <c r="TDM49" s="408"/>
      <c r="TDN49" s="408"/>
      <c r="TDO49" s="408"/>
      <c r="TDP49" s="408"/>
      <c r="TDQ49" s="408"/>
      <c r="TDR49" s="408"/>
      <c r="TDS49" s="408"/>
      <c r="TDT49" s="408"/>
      <c r="TDU49" s="408"/>
      <c r="TDV49" s="408"/>
      <c r="TDW49" s="408"/>
      <c r="TDX49" s="408"/>
      <c r="TDY49" s="408"/>
      <c r="TDZ49" s="408"/>
      <c r="TEA49" s="408"/>
      <c r="TEB49" s="408"/>
      <c r="TEC49" s="408"/>
      <c r="TED49" s="408"/>
      <c r="TEE49" s="408"/>
      <c r="TEF49" s="408"/>
      <c r="TEG49" s="408"/>
      <c r="TEH49" s="408"/>
      <c r="TEI49" s="408"/>
      <c r="TEJ49" s="408"/>
      <c r="TEK49" s="408"/>
      <c r="TEL49" s="408"/>
      <c r="TEM49" s="408"/>
      <c r="TEN49" s="408"/>
      <c r="TEO49" s="408"/>
      <c r="TEP49" s="408"/>
      <c r="TEQ49" s="408"/>
      <c r="TER49" s="408"/>
      <c r="TES49" s="408"/>
      <c r="TET49" s="408"/>
      <c r="TEU49" s="408"/>
      <c r="TEV49" s="408"/>
      <c r="TEW49" s="408"/>
      <c r="TEX49" s="408"/>
      <c r="TEY49" s="408"/>
      <c r="TEZ49" s="408"/>
      <c r="TFA49" s="408"/>
      <c r="TFB49" s="408"/>
      <c r="TFC49" s="408"/>
      <c r="TFD49" s="408"/>
      <c r="TFE49" s="408"/>
      <c r="TFF49" s="408"/>
      <c r="TFG49" s="408"/>
      <c r="TFH49" s="408"/>
      <c r="TFI49" s="408"/>
      <c r="TFJ49" s="408"/>
      <c r="TFK49" s="408"/>
      <c r="TFL49" s="408"/>
      <c r="TFM49" s="408"/>
      <c r="TFN49" s="408"/>
      <c r="TFO49" s="408"/>
      <c r="TFP49" s="408"/>
      <c r="TFQ49" s="408"/>
      <c r="TFR49" s="408"/>
      <c r="TFS49" s="408"/>
      <c r="TFT49" s="408"/>
      <c r="TFU49" s="408"/>
      <c r="TFV49" s="408"/>
      <c r="TFW49" s="408"/>
      <c r="TFX49" s="408"/>
      <c r="TFY49" s="408"/>
      <c r="TFZ49" s="408"/>
      <c r="TGA49" s="408"/>
      <c r="TGB49" s="408"/>
      <c r="TGC49" s="408"/>
      <c r="TGD49" s="408"/>
      <c r="TGE49" s="408"/>
      <c r="TGF49" s="408"/>
      <c r="TGG49" s="408"/>
      <c r="TGH49" s="408"/>
      <c r="TGI49" s="408"/>
      <c r="TGJ49" s="408"/>
      <c r="TGK49" s="408"/>
      <c r="TGL49" s="408"/>
      <c r="TGM49" s="408"/>
      <c r="TGN49" s="408"/>
      <c r="TGO49" s="408"/>
      <c r="TGP49" s="408"/>
      <c r="TGQ49" s="408"/>
      <c r="TGR49" s="408"/>
      <c r="TGS49" s="408"/>
      <c r="TGT49" s="408"/>
      <c r="TGU49" s="408"/>
      <c r="TGV49" s="408"/>
      <c r="TGW49" s="408"/>
      <c r="TGX49" s="408"/>
      <c r="TGY49" s="408"/>
      <c r="TGZ49" s="408"/>
      <c r="THA49" s="408"/>
      <c r="THB49" s="408"/>
      <c r="THC49" s="408"/>
      <c r="THD49" s="408"/>
      <c r="THE49" s="408"/>
      <c r="THF49" s="408"/>
      <c r="THG49" s="408"/>
      <c r="THH49" s="408"/>
      <c r="THI49" s="408"/>
      <c r="THJ49" s="408"/>
      <c r="THK49" s="408"/>
      <c r="THL49" s="408"/>
      <c r="THM49" s="408"/>
      <c r="THN49" s="408"/>
      <c r="THO49" s="408"/>
      <c r="THP49" s="408"/>
      <c r="THQ49" s="408"/>
      <c r="THR49" s="408"/>
      <c r="THS49" s="408"/>
      <c r="THT49" s="408"/>
      <c r="THU49" s="408"/>
      <c r="THV49" s="408"/>
      <c r="THW49" s="408"/>
      <c r="THX49" s="408"/>
      <c r="THY49" s="408"/>
      <c r="THZ49" s="408"/>
      <c r="TIA49" s="408"/>
      <c r="TIB49" s="408"/>
      <c r="TIC49" s="408"/>
      <c r="TID49" s="408"/>
      <c r="TIE49" s="408"/>
      <c r="TIF49" s="408"/>
      <c r="TIG49" s="408"/>
      <c r="TIH49" s="408"/>
      <c r="TII49" s="408"/>
      <c r="TIJ49" s="408"/>
      <c r="TIK49" s="408"/>
      <c r="TIL49" s="408"/>
      <c r="TIM49" s="408"/>
      <c r="TIN49" s="408"/>
      <c r="TIO49" s="408"/>
      <c r="TIP49" s="408"/>
      <c r="TIQ49" s="408"/>
      <c r="TIR49" s="408"/>
      <c r="TIS49" s="408"/>
      <c r="TIT49" s="408"/>
      <c r="TIU49" s="408"/>
      <c r="TIV49" s="408"/>
      <c r="TIW49" s="408"/>
      <c r="TIX49" s="408"/>
      <c r="TIY49" s="408"/>
      <c r="TIZ49" s="408"/>
      <c r="TJA49" s="408"/>
      <c r="TJB49" s="408"/>
      <c r="TJC49" s="408"/>
      <c r="TJD49" s="408"/>
      <c r="TJE49" s="408"/>
      <c r="TJF49" s="408"/>
      <c r="TJG49" s="408"/>
      <c r="TJH49" s="408"/>
      <c r="TJI49" s="408"/>
      <c r="TJJ49" s="408"/>
      <c r="TJK49" s="408"/>
      <c r="TJL49" s="408"/>
      <c r="TJM49" s="408"/>
      <c r="TJN49" s="408"/>
      <c r="TJO49" s="408"/>
      <c r="TJP49" s="408"/>
      <c r="TJQ49" s="408"/>
      <c r="TJR49" s="408"/>
      <c r="TJS49" s="408"/>
      <c r="TJT49" s="408"/>
      <c r="TJU49" s="408"/>
      <c r="TJV49" s="408"/>
      <c r="TJW49" s="408"/>
      <c r="TJX49" s="408"/>
      <c r="TJY49" s="408"/>
      <c r="TJZ49" s="408"/>
      <c r="TKA49" s="408"/>
      <c r="TKB49" s="408"/>
      <c r="TKC49" s="408"/>
      <c r="TKD49" s="408"/>
      <c r="TKE49" s="408"/>
      <c r="TKF49" s="408"/>
      <c r="TKG49" s="408"/>
      <c r="TKH49" s="408"/>
      <c r="TKI49" s="408"/>
      <c r="TKJ49" s="408"/>
      <c r="TKK49" s="408"/>
      <c r="TKL49" s="408"/>
      <c r="TKM49" s="408"/>
      <c r="TKN49" s="408"/>
      <c r="TKO49" s="408"/>
      <c r="TKP49" s="408"/>
      <c r="TKQ49" s="408"/>
      <c r="TKR49" s="408"/>
      <c r="TKS49" s="408"/>
      <c r="TKT49" s="408"/>
      <c r="TKU49" s="408"/>
      <c r="TKV49" s="408"/>
      <c r="TKW49" s="408"/>
      <c r="TKX49" s="408"/>
      <c r="TKY49" s="408"/>
      <c r="TKZ49" s="408"/>
      <c r="TLA49" s="408"/>
      <c r="TLB49" s="408"/>
      <c r="TLC49" s="408"/>
      <c r="TLD49" s="408"/>
      <c r="TLE49" s="408"/>
      <c r="TLF49" s="408"/>
      <c r="TLG49" s="408"/>
      <c r="TLH49" s="408"/>
      <c r="TLI49" s="408"/>
      <c r="TLJ49" s="408"/>
      <c r="TLK49" s="408"/>
      <c r="TLL49" s="408"/>
      <c r="TLM49" s="408"/>
      <c r="TLN49" s="408"/>
      <c r="TLO49" s="408"/>
      <c r="TLP49" s="408"/>
      <c r="TLQ49" s="408"/>
      <c r="TLR49" s="408"/>
      <c r="TLS49" s="408"/>
      <c r="TLT49" s="408"/>
      <c r="TLU49" s="408"/>
      <c r="TLV49" s="408"/>
      <c r="TLW49" s="408"/>
      <c r="TLX49" s="408"/>
      <c r="TLY49" s="408"/>
      <c r="TLZ49" s="408"/>
      <c r="TMA49" s="408"/>
      <c r="TMB49" s="408"/>
      <c r="TMC49" s="408"/>
      <c r="TMD49" s="408"/>
      <c r="TME49" s="408"/>
      <c r="TMF49" s="408"/>
      <c r="TMG49" s="408"/>
      <c r="TMH49" s="408"/>
      <c r="TMI49" s="408"/>
      <c r="TMJ49" s="408"/>
      <c r="TMK49" s="408"/>
      <c r="TML49" s="408"/>
      <c r="TMM49" s="408"/>
      <c r="TMN49" s="408"/>
      <c r="TMO49" s="408"/>
      <c r="TMP49" s="408"/>
      <c r="TMQ49" s="408"/>
      <c r="TMR49" s="408"/>
      <c r="TMS49" s="408"/>
      <c r="TMT49" s="408"/>
      <c r="TMU49" s="408"/>
      <c r="TMV49" s="408"/>
      <c r="TMW49" s="408"/>
      <c r="TMX49" s="408"/>
      <c r="TMY49" s="408"/>
      <c r="TMZ49" s="408"/>
      <c r="TNA49" s="408"/>
      <c r="TNB49" s="408"/>
      <c r="TNC49" s="408"/>
      <c r="TND49" s="408"/>
      <c r="TNE49" s="408"/>
      <c r="TNF49" s="408"/>
      <c r="TNG49" s="408"/>
      <c r="TNH49" s="408"/>
      <c r="TNI49" s="408"/>
      <c r="TNJ49" s="408"/>
      <c r="TNK49" s="408"/>
      <c r="TNL49" s="408"/>
      <c r="TNM49" s="408"/>
      <c r="TNN49" s="408"/>
      <c r="TNO49" s="408"/>
      <c r="TNP49" s="408"/>
      <c r="TNQ49" s="408"/>
      <c r="TNR49" s="408"/>
      <c r="TNS49" s="408"/>
      <c r="TNT49" s="408"/>
      <c r="TNU49" s="408"/>
      <c r="TNV49" s="408"/>
      <c r="TNW49" s="408"/>
      <c r="TNX49" s="408"/>
      <c r="TNY49" s="408"/>
      <c r="TNZ49" s="408"/>
      <c r="TOA49" s="408"/>
      <c r="TOB49" s="408"/>
      <c r="TOC49" s="408"/>
      <c r="TOD49" s="408"/>
      <c r="TOE49" s="408"/>
      <c r="TOF49" s="408"/>
      <c r="TOG49" s="408"/>
      <c r="TOH49" s="408"/>
      <c r="TOI49" s="408"/>
      <c r="TOJ49" s="408"/>
      <c r="TOK49" s="408"/>
      <c r="TOL49" s="408"/>
      <c r="TOM49" s="408"/>
      <c r="TON49" s="408"/>
      <c r="TOO49" s="408"/>
      <c r="TOP49" s="408"/>
      <c r="TOQ49" s="408"/>
      <c r="TOR49" s="408"/>
      <c r="TOS49" s="408"/>
      <c r="TOT49" s="408"/>
      <c r="TOU49" s="408"/>
      <c r="TOV49" s="408"/>
      <c r="TOW49" s="408"/>
      <c r="TOX49" s="408"/>
      <c r="TOY49" s="408"/>
      <c r="TOZ49" s="408"/>
      <c r="TPA49" s="408"/>
      <c r="TPB49" s="408"/>
      <c r="TPC49" s="408"/>
      <c r="TPD49" s="408"/>
      <c r="TPE49" s="408"/>
      <c r="TPF49" s="408"/>
      <c r="TPG49" s="408"/>
      <c r="TPH49" s="408"/>
      <c r="TPI49" s="408"/>
      <c r="TPJ49" s="408"/>
      <c r="TPK49" s="408"/>
      <c r="TPL49" s="408"/>
      <c r="TPM49" s="408"/>
      <c r="TPN49" s="408"/>
      <c r="TPO49" s="408"/>
      <c r="TPP49" s="408"/>
      <c r="TPQ49" s="408"/>
      <c r="TPR49" s="408"/>
      <c r="TPS49" s="408"/>
      <c r="TPT49" s="408"/>
      <c r="TPU49" s="408"/>
      <c r="TPV49" s="408"/>
      <c r="TPW49" s="408"/>
      <c r="TPX49" s="408"/>
      <c r="TPY49" s="408"/>
      <c r="TPZ49" s="408"/>
      <c r="TQA49" s="408"/>
      <c r="TQB49" s="408"/>
      <c r="TQC49" s="408"/>
      <c r="TQD49" s="408"/>
      <c r="TQE49" s="408"/>
      <c r="TQF49" s="408"/>
      <c r="TQG49" s="408"/>
      <c r="TQH49" s="408"/>
      <c r="TQI49" s="408"/>
      <c r="TQJ49" s="408"/>
      <c r="TQK49" s="408"/>
      <c r="TQL49" s="408"/>
      <c r="TQM49" s="408"/>
      <c r="TQN49" s="408"/>
      <c r="TQO49" s="408"/>
      <c r="TQP49" s="408"/>
      <c r="TQQ49" s="408"/>
      <c r="TQR49" s="408"/>
      <c r="TQS49" s="408"/>
      <c r="TQT49" s="408"/>
      <c r="TQU49" s="408"/>
      <c r="TQV49" s="408"/>
      <c r="TQW49" s="408"/>
      <c r="TQX49" s="408"/>
      <c r="TQY49" s="408"/>
      <c r="TQZ49" s="408"/>
      <c r="TRA49" s="408"/>
      <c r="TRB49" s="408"/>
      <c r="TRC49" s="408"/>
      <c r="TRD49" s="408"/>
      <c r="TRE49" s="408"/>
      <c r="TRF49" s="408"/>
      <c r="TRG49" s="408"/>
      <c r="TRH49" s="408"/>
      <c r="TRI49" s="408"/>
      <c r="TRJ49" s="408"/>
      <c r="TRK49" s="408"/>
      <c r="TRL49" s="408"/>
      <c r="TRM49" s="408"/>
      <c r="TRN49" s="408"/>
      <c r="TRO49" s="408"/>
      <c r="TRP49" s="408"/>
      <c r="TRQ49" s="408"/>
      <c r="TRR49" s="408"/>
      <c r="TRS49" s="408"/>
      <c r="TRT49" s="408"/>
      <c r="TRU49" s="408"/>
      <c r="TRV49" s="408"/>
      <c r="TRW49" s="408"/>
      <c r="TRX49" s="408"/>
      <c r="TRY49" s="408"/>
      <c r="TRZ49" s="408"/>
      <c r="TSA49" s="408"/>
      <c r="TSB49" s="408"/>
      <c r="TSC49" s="408"/>
      <c r="TSD49" s="408"/>
      <c r="TSE49" s="408"/>
      <c r="TSF49" s="408"/>
      <c r="TSG49" s="408"/>
      <c r="TSH49" s="408"/>
      <c r="TSI49" s="408"/>
      <c r="TSJ49" s="408"/>
      <c r="TSK49" s="408"/>
      <c r="TSL49" s="408"/>
      <c r="TSM49" s="408"/>
      <c r="TSN49" s="408"/>
      <c r="TSO49" s="408"/>
      <c r="TSP49" s="408"/>
      <c r="TSQ49" s="408"/>
      <c r="TSR49" s="408"/>
      <c r="TSS49" s="408"/>
      <c r="TST49" s="408"/>
      <c r="TSU49" s="408"/>
      <c r="TSV49" s="408"/>
      <c r="TSW49" s="408"/>
      <c r="TSX49" s="408"/>
      <c r="TSY49" s="408"/>
      <c r="TSZ49" s="408"/>
      <c r="TTA49" s="408"/>
      <c r="TTB49" s="408"/>
      <c r="TTC49" s="408"/>
      <c r="TTD49" s="408"/>
      <c r="TTE49" s="408"/>
      <c r="TTF49" s="408"/>
      <c r="TTG49" s="408"/>
      <c r="TTH49" s="408"/>
      <c r="TTI49" s="408"/>
      <c r="TTJ49" s="408"/>
      <c r="TTK49" s="408"/>
      <c r="TTL49" s="408"/>
      <c r="TTM49" s="408"/>
      <c r="TTN49" s="408"/>
      <c r="TTO49" s="408"/>
      <c r="TTP49" s="408"/>
      <c r="TTQ49" s="408"/>
      <c r="TTR49" s="408"/>
      <c r="TTS49" s="408"/>
      <c r="TTT49" s="408"/>
      <c r="TTU49" s="408"/>
      <c r="TTV49" s="408"/>
      <c r="TTW49" s="408"/>
      <c r="TTX49" s="408"/>
      <c r="TTY49" s="408"/>
      <c r="TTZ49" s="408"/>
      <c r="TUA49" s="408"/>
      <c r="TUB49" s="408"/>
      <c r="TUC49" s="408"/>
      <c r="TUD49" s="408"/>
      <c r="TUE49" s="408"/>
      <c r="TUF49" s="408"/>
      <c r="TUG49" s="408"/>
      <c r="TUH49" s="408"/>
      <c r="TUI49" s="408"/>
      <c r="TUJ49" s="408"/>
      <c r="TUK49" s="408"/>
      <c r="TUL49" s="408"/>
      <c r="TUM49" s="408"/>
      <c r="TUN49" s="408"/>
      <c r="TUO49" s="408"/>
      <c r="TUP49" s="408"/>
      <c r="TUQ49" s="408"/>
      <c r="TUR49" s="408"/>
      <c r="TUS49" s="408"/>
      <c r="TUT49" s="408"/>
      <c r="TUU49" s="408"/>
      <c r="TUV49" s="408"/>
      <c r="TUW49" s="408"/>
      <c r="TUX49" s="408"/>
      <c r="TUY49" s="408"/>
      <c r="TUZ49" s="408"/>
      <c r="TVA49" s="408"/>
      <c r="TVB49" s="408"/>
      <c r="TVC49" s="408"/>
      <c r="TVD49" s="408"/>
      <c r="TVE49" s="408"/>
      <c r="TVF49" s="408"/>
      <c r="TVG49" s="408"/>
      <c r="TVH49" s="408"/>
      <c r="TVI49" s="408"/>
      <c r="TVJ49" s="408"/>
      <c r="TVK49" s="408"/>
      <c r="TVL49" s="408"/>
      <c r="TVM49" s="408"/>
      <c r="TVN49" s="408"/>
      <c r="TVO49" s="408"/>
      <c r="TVP49" s="408"/>
      <c r="TVQ49" s="408"/>
      <c r="TVR49" s="408"/>
      <c r="TVS49" s="408"/>
      <c r="TVT49" s="408"/>
      <c r="TVU49" s="408"/>
      <c r="TVV49" s="408"/>
      <c r="TVW49" s="408"/>
      <c r="TVX49" s="408"/>
      <c r="TVY49" s="408"/>
      <c r="TVZ49" s="408"/>
      <c r="TWA49" s="408"/>
      <c r="TWB49" s="408"/>
      <c r="TWC49" s="408"/>
      <c r="TWD49" s="408"/>
      <c r="TWE49" s="408"/>
      <c r="TWF49" s="408"/>
      <c r="TWG49" s="408"/>
      <c r="TWH49" s="408"/>
      <c r="TWI49" s="408"/>
      <c r="TWJ49" s="408"/>
      <c r="TWK49" s="408"/>
      <c r="TWL49" s="408"/>
      <c r="TWM49" s="408"/>
      <c r="TWN49" s="408"/>
      <c r="TWO49" s="408"/>
      <c r="TWP49" s="408"/>
      <c r="TWQ49" s="408"/>
      <c r="TWR49" s="408"/>
      <c r="TWS49" s="408"/>
      <c r="TWT49" s="408"/>
      <c r="TWU49" s="408"/>
      <c r="TWV49" s="408"/>
      <c r="TWW49" s="408"/>
      <c r="TWX49" s="408"/>
      <c r="TWY49" s="408"/>
      <c r="TWZ49" s="408"/>
      <c r="TXA49" s="408"/>
      <c r="TXB49" s="408"/>
      <c r="TXC49" s="408"/>
      <c r="TXD49" s="408"/>
      <c r="TXE49" s="408"/>
      <c r="TXF49" s="408"/>
      <c r="TXG49" s="408"/>
      <c r="TXH49" s="408"/>
      <c r="TXI49" s="408"/>
      <c r="TXJ49" s="408"/>
      <c r="TXK49" s="408"/>
      <c r="TXL49" s="408"/>
      <c r="TXM49" s="408"/>
      <c r="TXN49" s="408"/>
      <c r="TXO49" s="408"/>
      <c r="TXP49" s="408"/>
      <c r="TXQ49" s="408"/>
      <c r="TXR49" s="408"/>
      <c r="TXS49" s="408"/>
      <c r="TXT49" s="408"/>
      <c r="TXU49" s="408"/>
      <c r="TXV49" s="408"/>
      <c r="TXW49" s="408"/>
      <c r="TXX49" s="408"/>
      <c r="TXY49" s="408"/>
      <c r="TXZ49" s="408"/>
      <c r="TYA49" s="408"/>
      <c r="TYB49" s="408"/>
      <c r="TYC49" s="408"/>
      <c r="TYD49" s="408"/>
      <c r="TYE49" s="408"/>
      <c r="TYF49" s="408"/>
      <c r="TYG49" s="408"/>
      <c r="TYH49" s="408"/>
      <c r="TYI49" s="408"/>
      <c r="TYJ49" s="408"/>
      <c r="TYK49" s="408"/>
      <c r="TYL49" s="408"/>
      <c r="TYM49" s="408"/>
      <c r="TYN49" s="408"/>
      <c r="TYO49" s="408"/>
      <c r="TYP49" s="408"/>
      <c r="TYQ49" s="408"/>
      <c r="TYR49" s="408"/>
      <c r="TYS49" s="408"/>
      <c r="TYT49" s="408"/>
      <c r="TYU49" s="408"/>
      <c r="TYV49" s="408"/>
      <c r="TYW49" s="408"/>
      <c r="TYX49" s="408"/>
      <c r="TYY49" s="408"/>
      <c r="TYZ49" s="408"/>
      <c r="TZA49" s="408"/>
      <c r="TZB49" s="408"/>
      <c r="TZC49" s="408"/>
      <c r="TZD49" s="408"/>
      <c r="TZE49" s="408"/>
      <c r="TZF49" s="408"/>
      <c r="TZG49" s="408"/>
      <c r="TZH49" s="408"/>
      <c r="TZI49" s="408"/>
      <c r="TZJ49" s="408"/>
      <c r="TZK49" s="408"/>
      <c r="TZL49" s="408"/>
      <c r="TZM49" s="408"/>
      <c r="TZN49" s="408"/>
      <c r="TZO49" s="408"/>
      <c r="TZP49" s="408"/>
      <c r="TZQ49" s="408"/>
      <c r="TZR49" s="408"/>
      <c r="TZS49" s="408"/>
      <c r="TZT49" s="408"/>
      <c r="TZU49" s="408"/>
      <c r="TZV49" s="408"/>
      <c r="TZW49" s="408"/>
      <c r="TZX49" s="408"/>
      <c r="TZY49" s="408"/>
      <c r="TZZ49" s="408"/>
      <c r="UAA49" s="408"/>
      <c r="UAB49" s="408"/>
      <c r="UAC49" s="408"/>
      <c r="UAD49" s="408"/>
      <c r="UAE49" s="408"/>
      <c r="UAF49" s="408"/>
      <c r="UAG49" s="408"/>
      <c r="UAH49" s="408"/>
      <c r="UAI49" s="408"/>
      <c r="UAJ49" s="408"/>
      <c r="UAK49" s="408"/>
      <c r="UAL49" s="408"/>
      <c r="UAM49" s="408"/>
      <c r="UAN49" s="408"/>
      <c r="UAO49" s="408"/>
      <c r="UAP49" s="408"/>
      <c r="UAQ49" s="408"/>
      <c r="UAR49" s="408"/>
      <c r="UAS49" s="408"/>
      <c r="UAT49" s="408"/>
      <c r="UAU49" s="408"/>
      <c r="UAV49" s="408"/>
      <c r="UAW49" s="408"/>
      <c r="UAX49" s="408"/>
      <c r="UAY49" s="408"/>
      <c r="UAZ49" s="408"/>
      <c r="UBA49" s="408"/>
      <c r="UBB49" s="408"/>
      <c r="UBC49" s="408"/>
      <c r="UBD49" s="408"/>
      <c r="UBE49" s="408"/>
      <c r="UBF49" s="408"/>
      <c r="UBG49" s="408"/>
      <c r="UBH49" s="408"/>
      <c r="UBI49" s="408"/>
      <c r="UBJ49" s="408"/>
      <c r="UBK49" s="408"/>
      <c r="UBL49" s="408"/>
      <c r="UBM49" s="408"/>
      <c r="UBN49" s="408"/>
      <c r="UBO49" s="408"/>
      <c r="UBP49" s="408"/>
      <c r="UBQ49" s="408"/>
      <c r="UBR49" s="408"/>
      <c r="UBS49" s="408"/>
      <c r="UBT49" s="408"/>
      <c r="UBU49" s="408"/>
      <c r="UBV49" s="408"/>
      <c r="UBW49" s="408"/>
      <c r="UBX49" s="408"/>
      <c r="UBY49" s="408"/>
      <c r="UBZ49" s="408"/>
      <c r="UCA49" s="408"/>
      <c r="UCB49" s="408"/>
      <c r="UCC49" s="408"/>
      <c r="UCD49" s="408"/>
      <c r="UCE49" s="408"/>
      <c r="UCF49" s="408"/>
      <c r="UCG49" s="408"/>
      <c r="UCH49" s="408"/>
      <c r="UCI49" s="408"/>
      <c r="UCJ49" s="408"/>
      <c r="UCK49" s="408"/>
      <c r="UCL49" s="408"/>
      <c r="UCM49" s="408"/>
      <c r="UCN49" s="408"/>
      <c r="UCO49" s="408"/>
      <c r="UCP49" s="408"/>
      <c r="UCQ49" s="408"/>
      <c r="UCR49" s="408"/>
      <c r="UCS49" s="408"/>
      <c r="UCT49" s="408"/>
      <c r="UCU49" s="408"/>
      <c r="UCV49" s="408"/>
      <c r="UCW49" s="408"/>
      <c r="UCX49" s="408"/>
      <c r="UCY49" s="408"/>
      <c r="UCZ49" s="408"/>
      <c r="UDA49" s="408"/>
      <c r="UDB49" s="408"/>
      <c r="UDC49" s="408"/>
      <c r="UDD49" s="408"/>
      <c r="UDE49" s="408"/>
      <c r="UDF49" s="408"/>
      <c r="UDG49" s="408"/>
      <c r="UDH49" s="408"/>
      <c r="UDI49" s="408"/>
      <c r="UDJ49" s="408"/>
      <c r="UDK49" s="408"/>
      <c r="UDL49" s="408"/>
      <c r="UDM49" s="408"/>
      <c r="UDN49" s="408"/>
      <c r="UDO49" s="408"/>
      <c r="UDP49" s="408"/>
      <c r="UDQ49" s="408"/>
      <c r="UDR49" s="408"/>
      <c r="UDS49" s="408"/>
      <c r="UDT49" s="408"/>
      <c r="UDU49" s="408"/>
      <c r="UDV49" s="408"/>
      <c r="UDW49" s="408"/>
      <c r="UDX49" s="408"/>
      <c r="UDY49" s="408"/>
      <c r="UDZ49" s="408"/>
      <c r="UEA49" s="408"/>
      <c r="UEB49" s="408"/>
      <c r="UEC49" s="408"/>
      <c r="UED49" s="408"/>
      <c r="UEE49" s="408"/>
      <c r="UEF49" s="408"/>
      <c r="UEG49" s="408"/>
      <c r="UEH49" s="408"/>
      <c r="UEI49" s="408"/>
      <c r="UEJ49" s="408"/>
      <c r="UEK49" s="408"/>
      <c r="UEL49" s="408"/>
      <c r="UEM49" s="408"/>
      <c r="UEN49" s="408"/>
      <c r="UEO49" s="408"/>
      <c r="UEP49" s="408"/>
      <c r="UEQ49" s="408"/>
      <c r="UER49" s="408"/>
      <c r="UES49" s="408"/>
      <c r="UET49" s="408"/>
      <c r="UEU49" s="408"/>
      <c r="UEV49" s="408"/>
      <c r="UEW49" s="408"/>
      <c r="UEX49" s="408"/>
      <c r="UEY49" s="408"/>
      <c r="UEZ49" s="408"/>
      <c r="UFA49" s="408"/>
      <c r="UFB49" s="408"/>
      <c r="UFC49" s="408"/>
      <c r="UFD49" s="408"/>
      <c r="UFE49" s="408"/>
      <c r="UFF49" s="408"/>
      <c r="UFG49" s="408"/>
      <c r="UFH49" s="408"/>
      <c r="UFI49" s="408"/>
      <c r="UFJ49" s="408"/>
      <c r="UFK49" s="408"/>
      <c r="UFL49" s="408"/>
      <c r="UFM49" s="408"/>
      <c r="UFN49" s="408"/>
      <c r="UFO49" s="408"/>
      <c r="UFP49" s="408"/>
      <c r="UFQ49" s="408"/>
      <c r="UFR49" s="408"/>
      <c r="UFS49" s="408"/>
      <c r="UFT49" s="408"/>
      <c r="UFU49" s="408"/>
      <c r="UFV49" s="408"/>
      <c r="UFW49" s="408"/>
      <c r="UFX49" s="408"/>
      <c r="UFY49" s="408"/>
      <c r="UFZ49" s="408"/>
      <c r="UGA49" s="408"/>
      <c r="UGB49" s="408"/>
      <c r="UGC49" s="408"/>
      <c r="UGD49" s="408"/>
      <c r="UGE49" s="408"/>
      <c r="UGF49" s="408"/>
      <c r="UGG49" s="408"/>
      <c r="UGH49" s="408"/>
      <c r="UGI49" s="408"/>
      <c r="UGJ49" s="408"/>
      <c r="UGK49" s="408"/>
      <c r="UGL49" s="408"/>
      <c r="UGM49" s="408"/>
      <c r="UGN49" s="408"/>
      <c r="UGO49" s="408"/>
      <c r="UGP49" s="408"/>
      <c r="UGQ49" s="408"/>
      <c r="UGR49" s="408"/>
      <c r="UGS49" s="408"/>
      <c r="UGT49" s="408"/>
      <c r="UGU49" s="408"/>
      <c r="UGV49" s="408"/>
      <c r="UGW49" s="408"/>
      <c r="UGX49" s="408"/>
      <c r="UGY49" s="408"/>
      <c r="UGZ49" s="408"/>
      <c r="UHA49" s="408"/>
      <c r="UHB49" s="408"/>
      <c r="UHC49" s="408"/>
      <c r="UHD49" s="408"/>
      <c r="UHE49" s="408"/>
      <c r="UHF49" s="408"/>
      <c r="UHG49" s="408"/>
      <c r="UHH49" s="408"/>
      <c r="UHI49" s="408"/>
      <c r="UHJ49" s="408"/>
      <c r="UHK49" s="408"/>
      <c r="UHL49" s="408"/>
      <c r="UHM49" s="408"/>
      <c r="UHN49" s="408"/>
      <c r="UHO49" s="408"/>
      <c r="UHP49" s="408"/>
      <c r="UHQ49" s="408"/>
      <c r="UHR49" s="408"/>
      <c r="UHS49" s="408"/>
      <c r="UHT49" s="408"/>
      <c r="UHU49" s="408"/>
      <c r="UHV49" s="408"/>
      <c r="UHW49" s="408"/>
      <c r="UHX49" s="408"/>
      <c r="UHY49" s="408"/>
      <c r="UHZ49" s="408"/>
      <c r="UIA49" s="408"/>
      <c r="UIB49" s="408"/>
      <c r="UIC49" s="408"/>
      <c r="UID49" s="408"/>
      <c r="UIE49" s="408"/>
      <c r="UIF49" s="408"/>
      <c r="UIG49" s="408"/>
      <c r="UIH49" s="408"/>
      <c r="UII49" s="408"/>
      <c r="UIJ49" s="408"/>
      <c r="UIK49" s="408"/>
      <c r="UIL49" s="408"/>
      <c r="UIM49" s="408"/>
      <c r="UIN49" s="408"/>
      <c r="UIO49" s="408"/>
      <c r="UIP49" s="408"/>
      <c r="UIQ49" s="408"/>
      <c r="UIR49" s="408"/>
      <c r="UIS49" s="408"/>
      <c r="UIT49" s="408"/>
      <c r="UIU49" s="408"/>
      <c r="UIV49" s="408"/>
      <c r="UIW49" s="408"/>
      <c r="UIX49" s="408"/>
      <c r="UIY49" s="408"/>
      <c r="UIZ49" s="408"/>
      <c r="UJA49" s="408"/>
      <c r="UJB49" s="408"/>
      <c r="UJC49" s="408"/>
      <c r="UJD49" s="408"/>
      <c r="UJE49" s="408"/>
      <c r="UJF49" s="408"/>
      <c r="UJG49" s="408"/>
      <c r="UJH49" s="408"/>
      <c r="UJI49" s="408"/>
      <c r="UJJ49" s="408"/>
      <c r="UJK49" s="408"/>
      <c r="UJL49" s="408"/>
      <c r="UJM49" s="408"/>
      <c r="UJN49" s="408"/>
      <c r="UJO49" s="408"/>
      <c r="UJP49" s="408"/>
      <c r="UJQ49" s="408"/>
      <c r="UJR49" s="408"/>
      <c r="UJS49" s="408"/>
      <c r="UJT49" s="408"/>
      <c r="UJU49" s="408"/>
      <c r="UJV49" s="408"/>
      <c r="UJW49" s="408"/>
      <c r="UJX49" s="408"/>
      <c r="UJY49" s="408"/>
      <c r="UJZ49" s="408"/>
      <c r="UKA49" s="408"/>
      <c r="UKB49" s="408"/>
      <c r="UKC49" s="408"/>
      <c r="UKD49" s="408"/>
      <c r="UKE49" s="408"/>
      <c r="UKF49" s="408"/>
      <c r="UKG49" s="408"/>
      <c r="UKH49" s="408"/>
      <c r="UKI49" s="408"/>
      <c r="UKJ49" s="408"/>
      <c r="UKK49" s="408"/>
      <c r="UKL49" s="408"/>
      <c r="UKM49" s="408"/>
      <c r="UKN49" s="408"/>
      <c r="UKO49" s="408"/>
      <c r="UKP49" s="408"/>
      <c r="UKQ49" s="408"/>
      <c r="UKR49" s="408"/>
      <c r="UKS49" s="408"/>
      <c r="UKT49" s="408"/>
      <c r="UKU49" s="408"/>
      <c r="UKV49" s="408"/>
      <c r="UKW49" s="408"/>
      <c r="UKX49" s="408"/>
      <c r="UKY49" s="408"/>
      <c r="UKZ49" s="408"/>
      <c r="ULA49" s="408"/>
      <c r="ULB49" s="408"/>
      <c r="ULC49" s="408"/>
      <c r="ULD49" s="408"/>
      <c r="ULE49" s="408"/>
      <c r="ULF49" s="408"/>
      <c r="ULG49" s="408"/>
      <c r="ULH49" s="408"/>
      <c r="ULI49" s="408"/>
      <c r="ULJ49" s="408"/>
      <c r="ULK49" s="408"/>
      <c r="ULL49" s="408"/>
      <c r="ULM49" s="408"/>
      <c r="ULN49" s="408"/>
      <c r="ULO49" s="408"/>
      <c r="ULP49" s="408"/>
      <c r="ULQ49" s="408"/>
      <c r="ULR49" s="408"/>
      <c r="ULS49" s="408"/>
      <c r="ULT49" s="408"/>
      <c r="ULU49" s="408"/>
      <c r="ULV49" s="408"/>
      <c r="ULW49" s="408"/>
      <c r="ULX49" s="408"/>
      <c r="ULY49" s="408"/>
      <c r="ULZ49" s="408"/>
      <c r="UMA49" s="408"/>
      <c r="UMB49" s="408"/>
      <c r="UMC49" s="408"/>
      <c r="UMD49" s="408"/>
      <c r="UME49" s="408"/>
      <c r="UMF49" s="408"/>
      <c r="UMG49" s="408"/>
      <c r="UMH49" s="408"/>
      <c r="UMI49" s="408"/>
      <c r="UMJ49" s="408"/>
      <c r="UMK49" s="408"/>
      <c r="UML49" s="408"/>
      <c r="UMM49" s="408"/>
      <c r="UMN49" s="408"/>
      <c r="UMO49" s="408"/>
      <c r="UMP49" s="408"/>
      <c r="UMQ49" s="408"/>
      <c r="UMR49" s="408"/>
      <c r="UMS49" s="408"/>
      <c r="UMT49" s="408"/>
      <c r="UMU49" s="408"/>
      <c r="UMV49" s="408"/>
      <c r="UMW49" s="408"/>
      <c r="UMX49" s="408"/>
      <c r="UMY49" s="408"/>
      <c r="UMZ49" s="408"/>
      <c r="UNA49" s="408"/>
      <c r="UNB49" s="408"/>
      <c r="UNC49" s="408"/>
      <c r="UND49" s="408"/>
      <c r="UNE49" s="408"/>
      <c r="UNF49" s="408"/>
      <c r="UNG49" s="408"/>
      <c r="UNH49" s="408"/>
      <c r="UNI49" s="408"/>
      <c r="UNJ49" s="408"/>
      <c r="UNK49" s="408"/>
      <c r="UNL49" s="408"/>
      <c r="UNM49" s="408"/>
      <c r="UNN49" s="408"/>
      <c r="UNO49" s="408"/>
      <c r="UNP49" s="408"/>
      <c r="UNQ49" s="408"/>
      <c r="UNR49" s="408"/>
      <c r="UNS49" s="408"/>
      <c r="UNT49" s="408"/>
      <c r="UNU49" s="408"/>
      <c r="UNV49" s="408"/>
      <c r="UNW49" s="408"/>
      <c r="UNX49" s="408"/>
      <c r="UNY49" s="408"/>
      <c r="UNZ49" s="408"/>
      <c r="UOA49" s="408"/>
      <c r="UOB49" s="408"/>
      <c r="UOC49" s="408"/>
      <c r="UOD49" s="408"/>
      <c r="UOE49" s="408"/>
      <c r="UOF49" s="408"/>
      <c r="UOG49" s="408"/>
      <c r="UOH49" s="408"/>
      <c r="UOI49" s="408"/>
      <c r="UOJ49" s="408"/>
      <c r="UOK49" s="408"/>
      <c r="UOL49" s="408"/>
      <c r="UOM49" s="408"/>
      <c r="UON49" s="408"/>
      <c r="UOO49" s="408"/>
      <c r="UOP49" s="408"/>
      <c r="UOQ49" s="408"/>
      <c r="UOR49" s="408"/>
      <c r="UOS49" s="408"/>
      <c r="UOT49" s="408"/>
      <c r="UOU49" s="408"/>
      <c r="UOV49" s="408"/>
      <c r="UOW49" s="408"/>
      <c r="UOX49" s="408"/>
      <c r="UOY49" s="408"/>
      <c r="UOZ49" s="408"/>
      <c r="UPA49" s="408"/>
      <c r="UPB49" s="408"/>
      <c r="UPC49" s="408"/>
      <c r="UPD49" s="408"/>
      <c r="UPE49" s="408"/>
      <c r="UPF49" s="408"/>
      <c r="UPG49" s="408"/>
      <c r="UPH49" s="408"/>
      <c r="UPI49" s="408"/>
      <c r="UPJ49" s="408"/>
      <c r="UPK49" s="408"/>
      <c r="UPL49" s="408"/>
      <c r="UPM49" s="408"/>
      <c r="UPN49" s="408"/>
      <c r="UPO49" s="408"/>
      <c r="UPP49" s="408"/>
      <c r="UPQ49" s="408"/>
      <c r="UPR49" s="408"/>
      <c r="UPS49" s="408"/>
      <c r="UPT49" s="408"/>
      <c r="UPU49" s="408"/>
      <c r="UPV49" s="408"/>
      <c r="UPW49" s="408"/>
      <c r="UPX49" s="408"/>
      <c r="UPY49" s="408"/>
      <c r="UPZ49" s="408"/>
      <c r="UQA49" s="408"/>
      <c r="UQB49" s="408"/>
      <c r="UQC49" s="408"/>
      <c r="UQD49" s="408"/>
      <c r="UQE49" s="408"/>
      <c r="UQF49" s="408"/>
      <c r="UQG49" s="408"/>
      <c r="UQH49" s="408"/>
      <c r="UQI49" s="408"/>
      <c r="UQJ49" s="408"/>
      <c r="UQK49" s="408"/>
      <c r="UQL49" s="408"/>
      <c r="UQM49" s="408"/>
      <c r="UQN49" s="408"/>
      <c r="UQO49" s="408"/>
      <c r="UQP49" s="408"/>
      <c r="UQQ49" s="408"/>
      <c r="UQR49" s="408"/>
      <c r="UQS49" s="408"/>
      <c r="UQT49" s="408"/>
      <c r="UQU49" s="408"/>
      <c r="UQV49" s="408"/>
      <c r="UQW49" s="408"/>
      <c r="UQX49" s="408"/>
      <c r="UQY49" s="408"/>
      <c r="UQZ49" s="408"/>
      <c r="URA49" s="408"/>
      <c r="URB49" s="408"/>
      <c r="URC49" s="408"/>
      <c r="URD49" s="408"/>
      <c r="URE49" s="408"/>
      <c r="URF49" s="408"/>
      <c r="URG49" s="408"/>
      <c r="URH49" s="408"/>
      <c r="URI49" s="408"/>
      <c r="URJ49" s="408"/>
      <c r="URK49" s="408"/>
      <c r="URL49" s="408"/>
      <c r="URM49" s="408"/>
      <c r="URN49" s="408"/>
      <c r="URO49" s="408"/>
      <c r="URP49" s="408"/>
      <c r="URQ49" s="408"/>
      <c r="URR49" s="408"/>
      <c r="URS49" s="408"/>
      <c r="URT49" s="408"/>
      <c r="URU49" s="408"/>
      <c r="URV49" s="408"/>
      <c r="URW49" s="408"/>
      <c r="URX49" s="408"/>
      <c r="URY49" s="408"/>
      <c r="URZ49" s="408"/>
      <c r="USA49" s="408"/>
      <c r="USB49" s="408"/>
      <c r="USC49" s="408"/>
      <c r="USD49" s="408"/>
      <c r="USE49" s="408"/>
      <c r="USF49" s="408"/>
      <c r="USG49" s="408"/>
      <c r="USH49" s="408"/>
      <c r="USI49" s="408"/>
      <c r="USJ49" s="408"/>
      <c r="USK49" s="408"/>
      <c r="USL49" s="408"/>
      <c r="USM49" s="408"/>
      <c r="USN49" s="408"/>
      <c r="USO49" s="408"/>
      <c r="USP49" s="408"/>
      <c r="USQ49" s="408"/>
      <c r="USR49" s="408"/>
      <c r="USS49" s="408"/>
      <c r="UST49" s="408"/>
      <c r="USU49" s="408"/>
      <c r="USV49" s="408"/>
      <c r="USW49" s="408"/>
      <c r="USX49" s="408"/>
      <c r="USY49" s="408"/>
      <c r="USZ49" s="408"/>
      <c r="UTA49" s="408"/>
      <c r="UTB49" s="408"/>
      <c r="UTC49" s="408"/>
      <c r="UTD49" s="408"/>
      <c r="UTE49" s="408"/>
      <c r="UTF49" s="408"/>
      <c r="UTG49" s="408"/>
      <c r="UTH49" s="408"/>
      <c r="UTI49" s="408"/>
      <c r="UTJ49" s="408"/>
      <c r="UTK49" s="408"/>
      <c r="UTL49" s="408"/>
      <c r="UTM49" s="408"/>
      <c r="UTN49" s="408"/>
      <c r="UTO49" s="408"/>
      <c r="UTP49" s="408"/>
      <c r="UTQ49" s="408"/>
      <c r="UTR49" s="408"/>
      <c r="UTS49" s="408"/>
      <c r="UTT49" s="408"/>
      <c r="UTU49" s="408"/>
      <c r="UTV49" s="408"/>
      <c r="UTW49" s="408"/>
      <c r="UTX49" s="408"/>
      <c r="UTY49" s="408"/>
      <c r="UTZ49" s="408"/>
      <c r="UUA49" s="408"/>
      <c r="UUB49" s="408"/>
      <c r="UUC49" s="408"/>
      <c r="UUD49" s="408"/>
      <c r="UUE49" s="408"/>
      <c r="UUF49" s="408"/>
      <c r="UUG49" s="408"/>
      <c r="UUH49" s="408"/>
      <c r="UUI49" s="408"/>
      <c r="UUJ49" s="408"/>
      <c r="UUK49" s="408"/>
      <c r="UUL49" s="408"/>
      <c r="UUM49" s="408"/>
      <c r="UUN49" s="408"/>
      <c r="UUO49" s="408"/>
      <c r="UUP49" s="408"/>
      <c r="UUQ49" s="408"/>
      <c r="UUR49" s="408"/>
      <c r="UUS49" s="408"/>
      <c r="UUT49" s="408"/>
      <c r="UUU49" s="408"/>
      <c r="UUV49" s="408"/>
      <c r="UUW49" s="408"/>
      <c r="UUX49" s="408"/>
      <c r="UUY49" s="408"/>
      <c r="UUZ49" s="408"/>
      <c r="UVA49" s="408"/>
      <c r="UVB49" s="408"/>
      <c r="UVC49" s="408"/>
      <c r="UVD49" s="408"/>
      <c r="UVE49" s="408"/>
      <c r="UVF49" s="408"/>
      <c r="UVG49" s="408"/>
      <c r="UVH49" s="408"/>
      <c r="UVI49" s="408"/>
      <c r="UVJ49" s="408"/>
      <c r="UVK49" s="408"/>
      <c r="UVL49" s="408"/>
      <c r="UVM49" s="408"/>
      <c r="UVN49" s="408"/>
      <c r="UVO49" s="408"/>
      <c r="UVP49" s="408"/>
      <c r="UVQ49" s="408"/>
      <c r="UVR49" s="408"/>
      <c r="UVS49" s="408"/>
      <c r="UVT49" s="408"/>
      <c r="UVU49" s="408"/>
      <c r="UVV49" s="408"/>
      <c r="UVW49" s="408"/>
      <c r="UVX49" s="408"/>
      <c r="UVY49" s="408"/>
      <c r="UVZ49" s="408"/>
      <c r="UWA49" s="408"/>
      <c r="UWB49" s="408"/>
      <c r="UWC49" s="408"/>
      <c r="UWD49" s="408"/>
      <c r="UWE49" s="408"/>
      <c r="UWF49" s="408"/>
      <c r="UWG49" s="408"/>
      <c r="UWH49" s="408"/>
      <c r="UWI49" s="408"/>
      <c r="UWJ49" s="408"/>
      <c r="UWK49" s="408"/>
      <c r="UWL49" s="408"/>
      <c r="UWM49" s="408"/>
      <c r="UWN49" s="408"/>
      <c r="UWO49" s="408"/>
      <c r="UWP49" s="408"/>
      <c r="UWQ49" s="408"/>
      <c r="UWR49" s="408"/>
      <c r="UWS49" s="408"/>
      <c r="UWT49" s="408"/>
      <c r="UWU49" s="408"/>
      <c r="UWV49" s="408"/>
      <c r="UWW49" s="408"/>
      <c r="UWX49" s="408"/>
      <c r="UWY49" s="408"/>
      <c r="UWZ49" s="408"/>
      <c r="UXA49" s="408"/>
      <c r="UXB49" s="408"/>
      <c r="UXC49" s="408"/>
      <c r="UXD49" s="408"/>
      <c r="UXE49" s="408"/>
      <c r="UXF49" s="408"/>
      <c r="UXG49" s="408"/>
      <c r="UXH49" s="408"/>
      <c r="UXI49" s="408"/>
      <c r="UXJ49" s="408"/>
      <c r="UXK49" s="408"/>
      <c r="UXL49" s="408"/>
      <c r="UXM49" s="408"/>
      <c r="UXN49" s="408"/>
      <c r="UXO49" s="408"/>
      <c r="UXP49" s="408"/>
      <c r="UXQ49" s="408"/>
      <c r="UXR49" s="408"/>
      <c r="UXS49" s="408"/>
      <c r="UXT49" s="408"/>
      <c r="UXU49" s="408"/>
      <c r="UXV49" s="408"/>
      <c r="UXW49" s="408"/>
      <c r="UXX49" s="408"/>
      <c r="UXY49" s="408"/>
      <c r="UXZ49" s="408"/>
      <c r="UYA49" s="408"/>
      <c r="UYB49" s="408"/>
      <c r="UYC49" s="408"/>
      <c r="UYD49" s="408"/>
      <c r="UYE49" s="408"/>
      <c r="UYF49" s="408"/>
      <c r="UYG49" s="408"/>
      <c r="UYH49" s="408"/>
      <c r="UYI49" s="408"/>
      <c r="UYJ49" s="408"/>
      <c r="UYK49" s="408"/>
      <c r="UYL49" s="408"/>
      <c r="UYM49" s="408"/>
      <c r="UYN49" s="408"/>
      <c r="UYO49" s="408"/>
      <c r="UYP49" s="408"/>
      <c r="UYQ49" s="408"/>
      <c r="UYR49" s="408"/>
      <c r="UYS49" s="408"/>
      <c r="UYT49" s="408"/>
      <c r="UYU49" s="408"/>
      <c r="UYV49" s="408"/>
      <c r="UYW49" s="408"/>
      <c r="UYX49" s="408"/>
      <c r="UYY49" s="408"/>
      <c r="UYZ49" s="408"/>
      <c r="UZA49" s="408"/>
      <c r="UZB49" s="408"/>
      <c r="UZC49" s="408"/>
      <c r="UZD49" s="408"/>
      <c r="UZE49" s="408"/>
      <c r="UZF49" s="408"/>
      <c r="UZG49" s="408"/>
      <c r="UZH49" s="408"/>
      <c r="UZI49" s="408"/>
      <c r="UZJ49" s="408"/>
      <c r="UZK49" s="408"/>
      <c r="UZL49" s="408"/>
      <c r="UZM49" s="408"/>
      <c r="UZN49" s="408"/>
      <c r="UZO49" s="408"/>
      <c r="UZP49" s="408"/>
      <c r="UZQ49" s="408"/>
      <c r="UZR49" s="408"/>
      <c r="UZS49" s="408"/>
      <c r="UZT49" s="408"/>
      <c r="UZU49" s="408"/>
      <c r="UZV49" s="408"/>
      <c r="UZW49" s="408"/>
      <c r="UZX49" s="408"/>
      <c r="UZY49" s="408"/>
      <c r="UZZ49" s="408"/>
      <c r="VAA49" s="408"/>
      <c r="VAB49" s="408"/>
      <c r="VAC49" s="408"/>
      <c r="VAD49" s="408"/>
      <c r="VAE49" s="408"/>
      <c r="VAF49" s="408"/>
      <c r="VAG49" s="408"/>
      <c r="VAH49" s="408"/>
      <c r="VAI49" s="408"/>
      <c r="VAJ49" s="408"/>
      <c r="VAK49" s="408"/>
      <c r="VAL49" s="408"/>
      <c r="VAM49" s="408"/>
      <c r="VAN49" s="408"/>
      <c r="VAO49" s="408"/>
      <c r="VAP49" s="408"/>
      <c r="VAQ49" s="408"/>
      <c r="VAR49" s="408"/>
      <c r="VAS49" s="408"/>
      <c r="VAT49" s="408"/>
      <c r="VAU49" s="408"/>
      <c r="VAV49" s="408"/>
      <c r="VAW49" s="408"/>
      <c r="VAX49" s="408"/>
      <c r="VAY49" s="408"/>
      <c r="VAZ49" s="408"/>
      <c r="VBA49" s="408"/>
      <c r="VBB49" s="408"/>
      <c r="VBC49" s="408"/>
      <c r="VBD49" s="408"/>
      <c r="VBE49" s="408"/>
      <c r="VBF49" s="408"/>
      <c r="VBG49" s="408"/>
      <c r="VBH49" s="408"/>
      <c r="VBI49" s="408"/>
      <c r="VBJ49" s="408"/>
      <c r="VBK49" s="408"/>
      <c r="VBL49" s="408"/>
      <c r="VBM49" s="408"/>
      <c r="VBN49" s="408"/>
      <c r="VBO49" s="408"/>
      <c r="VBP49" s="408"/>
      <c r="VBQ49" s="408"/>
      <c r="VBR49" s="408"/>
      <c r="VBS49" s="408"/>
      <c r="VBT49" s="408"/>
      <c r="VBU49" s="408"/>
      <c r="VBV49" s="408"/>
      <c r="VBW49" s="408"/>
      <c r="VBX49" s="408"/>
      <c r="VBY49" s="408"/>
      <c r="VBZ49" s="408"/>
      <c r="VCA49" s="408"/>
      <c r="VCB49" s="408"/>
      <c r="VCC49" s="408"/>
      <c r="VCD49" s="408"/>
      <c r="VCE49" s="408"/>
      <c r="VCF49" s="408"/>
      <c r="VCG49" s="408"/>
      <c r="VCH49" s="408"/>
      <c r="VCI49" s="408"/>
      <c r="VCJ49" s="408"/>
      <c r="VCK49" s="408"/>
      <c r="VCL49" s="408"/>
      <c r="VCM49" s="408"/>
      <c r="VCN49" s="408"/>
      <c r="VCO49" s="408"/>
      <c r="VCP49" s="408"/>
      <c r="VCQ49" s="408"/>
      <c r="VCR49" s="408"/>
      <c r="VCS49" s="408"/>
      <c r="VCT49" s="408"/>
      <c r="VCU49" s="408"/>
      <c r="VCV49" s="408"/>
      <c r="VCW49" s="408"/>
      <c r="VCX49" s="408"/>
      <c r="VCY49" s="408"/>
      <c r="VCZ49" s="408"/>
      <c r="VDA49" s="408"/>
      <c r="VDB49" s="408"/>
      <c r="VDC49" s="408"/>
      <c r="VDD49" s="408"/>
      <c r="VDE49" s="408"/>
      <c r="VDF49" s="408"/>
      <c r="VDG49" s="408"/>
      <c r="VDH49" s="408"/>
      <c r="VDI49" s="408"/>
      <c r="VDJ49" s="408"/>
      <c r="VDK49" s="408"/>
      <c r="VDL49" s="408"/>
      <c r="VDM49" s="408"/>
      <c r="VDN49" s="408"/>
      <c r="VDO49" s="408"/>
      <c r="VDP49" s="408"/>
      <c r="VDQ49" s="408"/>
      <c r="VDR49" s="408"/>
      <c r="VDS49" s="408"/>
      <c r="VDT49" s="408"/>
      <c r="VDU49" s="408"/>
      <c r="VDV49" s="408"/>
      <c r="VDW49" s="408"/>
      <c r="VDX49" s="408"/>
      <c r="VDY49" s="408"/>
      <c r="VDZ49" s="408"/>
      <c r="VEA49" s="408"/>
      <c r="VEB49" s="408"/>
      <c r="VEC49" s="408"/>
      <c r="VED49" s="408"/>
      <c r="VEE49" s="408"/>
      <c r="VEF49" s="408"/>
      <c r="VEG49" s="408"/>
      <c r="VEH49" s="408"/>
      <c r="VEI49" s="408"/>
      <c r="VEJ49" s="408"/>
      <c r="VEK49" s="408"/>
      <c r="VEL49" s="408"/>
      <c r="VEM49" s="408"/>
      <c r="VEN49" s="408"/>
      <c r="VEO49" s="408"/>
      <c r="VEP49" s="408"/>
      <c r="VEQ49" s="408"/>
      <c r="VER49" s="408"/>
      <c r="VES49" s="408"/>
      <c r="VET49" s="408"/>
      <c r="VEU49" s="408"/>
      <c r="VEV49" s="408"/>
      <c r="VEW49" s="408"/>
      <c r="VEX49" s="408"/>
      <c r="VEY49" s="408"/>
      <c r="VEZ49" s="408"/>
      <c r="VFA49" s="408"/>
      <c r="VFB49" s="408"/>
      <c r="VFC49" s="408"/>
      <c r="VFD49" s="408"/>
      <c r="VFE49" s="408"/>
      <c r="VFF49" s="408"/>
      <c r="VFG49" s="408"/>
      <c r="VFH49" s="408"/>
      <c r="VFI49" s="408"/>
      <c r="VFJ49" s="408"/>
      <c r="VFK49" s="408"/>
      <c r="VFL49" s="408"/>
      <c r="VFM49" s="408"/>
      <c r="VFN49" s="408"/>
      <c r="VFO49" s="408"/>
      <c r="VFP49" s="408"/>
      <c r="VFQ49" s="408"/>
      <c r="VFR49" s="408"/>
      <c r="VFS49" s="408"/>
      <c r="VFT49" s="408"/>
      <c r="VFU49" s="408"/>
      <c r="VFV49" s="408"/>
      <c r="VFW49" s="408"/>
      <c r="VFX49" s="408"/>
      <c r="VFY49" s="408"/>
      <c r="VFZ49" s="408"/>
      <c r="VGA49" s="408"/>
      <c r="VGB49" s="408"/>
      <c r="VGC49" s="408"/>
      <c r="VGD49" s="408"/>
      <c r="VGE49" s="408"/>
      <c r="VGF49" s="408"/>
      <c r="VGG49" s="408"/>
      <c r="VGH49" s="408"/>
      <c r="VGI49" s="408"/>
      <c r="VGJ49" s="408"/>
      <c r="VGK49" s="408"/>
      <c r="VGL49" s="408"/>
      <c r="VGM49" s="408"/>
      <c r="VGN49" s="408"/>
      <c r="VGO49" s="408"/>
      <c r="VGP49" s="408"/>
      <c r="VGQ49" s="408"/>
      <c r="VGR49" s="408"/>
      <c r="VGS49" s="408"/>
      <c r="VGT49" s="408"/>
      <c r="VGU49" s="408"/>
      <c r="VGV49" s="408"/>
      <c r="VGW49" s="408"/>
      <c r="VGX49" s="408"/>
      <c r="VGY49" s="408"/>
      <c r="VGZ49" s="408"/>
      <c r="VHA49" s="408"/>
      <c r="VHB49" s="408"/>
      <c r="VHC49" s="408"/>
      <c r="VHD49" s="408"/>
      <c r="VHE49" s="408"/>
      <c r="VHF49" s="408"/>
      <c r="VHG49" s="408"/>
      <c r="VHH49" s="408"/>
      <c r="VHI49" s="408"/>
      <c r="VHJ49" s="408"/>
      <c r="VHK49" s="408"/>
      <c r="VHL49" s="408"/>
      <c r="VHM49" s="408"/>
      <c r="VHN49" s="408"/>
      <c r="VHO49" s="408"/>
      <c r="VHP49" s="408"/>
      <c r="VHQ49" s="408"/>
      <c r="VHR49" s="408"/>
      <c r="VHS49" s="408"/>
      <c r="VHT49" s="408"/>
      <c r="VHU49" s="408"/>
      <c r="VHV49" s="408"/>
      <c r="VHW49" s="408"/>
      <c r="VHX49" s="408"/>
      <c r="VHY49" s="408"/>
      <c r="VHZ49" s="408"/>
      <c r="VIA49" s="408"/>
      <c r="VIB49" s="408"/>
      <c r="VIC49" s="408"/>
      <c r="VID49" s="408"/>
      <c r="VIE49" s="408"/>
      <c r="VIF49" s="408"/>
      <c r="VIG49" s="408"/>
      <c r="VIH49" s="408"/>
      <c r="VII49" s="408"/>
      <c r="VIJ49" s="408"/>
      <c r="VIK49" s="408"/>
      <c r="VIL49" s="408"/>
      <c r="VIM49" s="408"/>
      <c r="VIN49" s="408"/>
      <c r="VIO49" s="408"/>
      <c r="VIP49" s="408"/>
      <c r="VIQ49" s="408"/>
      <c r="VIR49" s="408"/>
      <c r="VIS49" s="408"/>
      <c r="VIT49" s="408"/>
      <c r="VIU49" s="408"/>
      <c r="VIV49" s="408"/>
      <c r="VIW49" s="408"/>
      <c r="VIX49" s="408"/>
      <c r="VIY49" s="408"/>
      <c r="VIZ49" s="408"/>
      <c r="VJA49" s="408"/>
      <c r="VJB49" s="408"/>
      <c r="VJC49" s="408"/>
      <c r="VJD49" s="408"/>
      <c r="VJE49" s="408"/>
      <c r="VJF49" s="408"/>
      <c r="VJG49" s="408"/>
      <c r="VJH49" s="408"/>
      <c r="VJI49" s="408"/>
      <c r="VJJ49" s="408"/>
      <c r="VJK49" s="408"/>
      <c r="VJL49" s="408"/>
      <c r="VJM49" s="408"/>
      <c r="VJN49" s="408"/>
      <c r="VJO49" s="408"/>
      <c r="VJP49" s="408"/>
      <c r="VJQ49" s="408"/>
      <c r="VJR49" s="408"/>
      <c r="VJS49" s="408"/>
      <c r="VJT49" s="408"/>
      <c r="VJU49" s="408"/>
      <c r="VJV49" s="408"/>
      <c r="VJW49" s="408"/>
      <c r="VJX49" s="408"/>
      <c r="VJY49" s="408"/>
      <c r="VJZ49" s="408"/>
      <c r="VKA49" s="408"/>
      <c r="VKB49" s="408"/>
      <c r="VKC49" s="408"/>
      <c r="VKD49" s="408"/>
      <c r="VKE49" s="408"/>
      <c r="VKF49" s="408"/>
      <c r="VKG49" s="408"/>
      <c r="VKH49" s="408"/>
      <c r="VKI49" s="408"/>
      <c r="VKJ49" s="408"/>
      <c r="VKK49" s="408"/>
      <c r="VKL49" s="408"/>
      <c r="VKM49" s="408"/>
      <c r="VKN49" s="408"/>
      <c r="VKO49" s="408"/>
      <c r="VKP49" s="408"/>
      <c r="VKQ49" s="408"/>
      <c r="VKR49" s="408"/>
      <c r="VKS49" s="408"/>
      <c r="VKT49" s="408"/>
      <c r="VKU49" s="408"/>
      <c r="VKV49" s="408"/>
      <c r="VKW49" s="408"/>
      <c r="VKX49" s="408"/>
      <c r="VKY49" s="408"/>
      <c r="VKZ49" s="408"/>
      <c r="VLA49" s="408"/>
      <c r="VLB49" s="408"/>
      <c r="VLC49" s="408"/>
      <c r="VLD49" s="408"/>
      <c r="VLE49" s="408"/>
      <c r="VLF49" s="408"/>
      <c r="VLG49" s="408"/>
      <c r="VLH49" s="408"/>
      <c r="VLI49" s="408"/>
      <c r="VLJ49" s="408"/>
      <c r="VLK49" s="408"/>
      <c r="VLL49" s="408"/>
      <c r="VLM49" s="408"/>
      <c r="VLN49" s="408"/>
      <c r="VLO49" s="408"/>
      <c r="VLP49" s="408"/>
      <c r="VLQ49" s="408"/>
      <c r="VLR49" s="408"/>
      <c r="VLS49" s="408"/>
      <c r="VLT49" s="408"/>
      <c r="VLU49" s="408"/>
      <c r="VLV49" s="408"/>
      <c r="VLW49" s="408"/>
      <c r="VLX49" s="408"/>
      <c r="VLY49" s="408"/>
      <c r="VLZ49" s="408"/>
      <c r="VMA49" s="408"/>
      <c r="VMB49" s="408"/>
      <c r="VMC49" s="408"/>
      <c r="VMD49" s="408"/>
      <c r="VME49" s="408"/>
      <c r="VMF49" s="408"/>
      <c r="VMG49" s="408"/>
      <c r="VMH49" s="408"/>
      <c r="VMI49" s="408"/>
      <c r="VMJ49" s="408"/>
      <c r="VMK49" s="408"/>
      <c r="VML49" s="408"/>
      <c r="VMM49" s="408"/>
      <c r="VMN49" s="408"/>
      <c r="VMO49" s="408"/>
      <c r="VMP49" s="408"/>
      <c r="VMQ49" s="408"/>
      <c r="VMR49" s="408"/>
      <c r="VMS49" s="408"/>
      <c r="VMT49" s="408"/>
      <c r="VMU49" s="408"/>
      <c r="VMV49" s="408"/>
      <c r="VMW49" s="408"/>
      <c r="VMX49" s="408"/>
      <c r="VMY49" s="408"/>
      <c r="VMZ49" s="408"/>
      <c r="VNA49" s="408"/>
      <c r="VNB49" s="408"/>
      <c r="VNC49" s="408"/>
      <c r="VND49" s="408"/>
      <c r="VNE49" s="408"/>
      <c r="VNF49" s="408"/>
      <c r="VNG49" s="408"/>
      <c r="VNH49" s="408"/>
      <c r="VNI49" s="408"/>
      <c r="VNJ49" s="408"/>
      <c r="VNK49" s="408"/>
      <c r="VNL49" s="408"/>
      <c r="VNM49" s="408"/>
      <c r="VNN49" s="408"/>
      <c r="VNO49" s="408"/>
      <c r="VNP49" s="408"/>
      <c r="VNQ49" s="408"/>
      <c r="VNR49" s="408"/>
      <c r="VNS49" s="408"/>
      <c r="VNT49" s="408"/>
      <c r="VNU49" s="408"/>
      <c r="VNV49" s="408"/>
      <c r="VNW49" s="408"/>
      <c r="VNX49" s="408"/>
      <c r="VNY49" s="408"/>
      <c r="VNZ49" s="408"/>
      <c r="VOA49" s="408"/>
      <c r="VOB49" s="408"/>
      <c r="VOC49" s="408"/>
      <c r="VOD49" s="408"/>
      <c r="VOE49" s="408"/>
      <c r="VOF49" s="408"/>
      <c r="VOG49" s="408"/>
      <c r="VOH49" s="408"/>
      <c r="VOI49" s="408"/>
      <c r="VOJ49" s="408"/>
      <c r="VOK49" s="408"/>
      <c r="VOL49" s="408"/>
      <c r="VOM49" s="408"/>
      <c r="VON49" s="408"/>
      <c r="VOO49" s="408"/>
      <c r="VOP49" s="408"/>
      <c r="VOQ49" s="408"/>
      <c r="VOR49" s="408"/>
      <c r="VOS49" s="408"/>
      <c r="VOT49" s="408"/>
      <c r="VOU49" s="408"/>
      <c r="VOV49" s="408"/>
      <c r="VOW49" s="408"/>
      <c r="VOX49" s="408"/>
      <c r="VOY49" s="408"/>
      <c r="VOZ49" s="408"/>
      <c r="VPA49" s="408"/>
      <c r="VPB49" s="408"/>
      <c r="VPC49" s="408"/>
      <c r="VPD49" s="408"/>
      <c r="VPE49" s="408"/>
      <c r="VPF49" s="408"/>
      <c r="VPG49" s="408"/>
      <c r="VPH49" s="408"/>
      <c r="VPI49" s="408"/>
      <c r="VPJ49" s="408"/>
      <c r="VPK49" s="408"/>
      <c r="VPL49" s="408"/>
      <c r="VPM49" s="408"/>
      <c r="VPN49" s="408"/>
      <c r="VPO49" s="408"/>
      <c r="VPP49" s="408"/>
      <c r="VPQ49" s="408"/>
      <c r="VPR49" s="408"/>
      <c r="VPS49" s="408"/>
      <c r="VPT49" s="408"/>
      <c r="VPU49" s="408"/>
      <c r="VPV49" s="408"/>
      <c r="VPW49" s="408"/>
      <c r="VPX49" s="408"/>
      <c r="VPY49" s="408"/>
      <c r="VPZ49" s="408"/>
      <c r="VQA49" s="408"/>
      <c r="VQB49" s="408"/>
      <c r="VQC49" s="408"/>
      <c r="VQD49" s="408"/>
      <c r="VQE49" s="408"/>
      <c r="VQF49" s="408"/>
      <c r="VQG49" s="408"/>
      <c r="VQH49" s="408"/>
      <c r="VQI49" s="408"/>
      <c r="VQJ49" s="408"/>
      <c r="VQK49" s="408"/>
      <c r="VQL49" s="408"/>
      <c r="VQM49" s="408"/>
      <c r="VQN49" s="408"/>
      <c r="VQO49" s="408"/>
      <c r="VQP49" s="408"/>
      <c r="VQQ49" s="408"/>
      <c r="VQR49" s="408"/>
      <c r="VQS49" s="408"/>
      <c r="VQT49" s="408"/>
      <c r="VQU49" s="408"/>
      <c r="VQV49" s="408"/>
      <c r="VQW49" s="408"/>
      <c r="VQX49" s="408"/>
      <c r="VQY49" s="408"/>
      <c r="VQZ49" s="408"/>
      <c r="VRA49" s="408"/>
      <c r="VRB49" s="408"/>
      <c r="VRC49" s="408"/>
      <c r="VRD49" s="408"/>
      <c r="VRE49" s="408"/>
      <c r="VRF49" s="408"/>
      <c r="VRG49" s="408"/>
      <c r="VRH49" s="408"/>
      <c r="VRI49" s="408"/>
      <c r="VRJ49" s="408"/>
      <c r="VRK49" s="408"/>
      <c r="VRL49" s="408"/>
      <c r="VRM49" s="408"/>
      <c r="VRN49" s="408"/>
      <c r="VRO49" s="408"/>
      <c r="VRP49" s="408"/>
      <c r="VRQ49" s="408"/>
      <c r="VRR49" s="408"/>
      <c r="VRS49" s="408"/>
      <c r="VRT49" s="408"/>
      <c r="VRU49" s="408"/>
      <c r="VRV49" s="408"/>
      <c r="VRW49" s="408"/>
      <c r="VRX49" s="408"/>
      <c r="VRY49" s="408"/>
      <c r="VRZ49" s="408"/>
      <c r="VSA49" s="408"/>
      <c r="VSB49" s="408"/>
      <c r="VSC49" s="408"/>
      <c r="VSD49" s="408"/>
      <c r="VSE49" s="408"/>
      <c r="VSF49" s="408"/>
      <c r="VSG49" s="408"/>
      <c r="VSH49" s="408"/>
      <c r="VSI49" s="408"/>
      <c r="VSJ49" s="408"/>
      <c r="VSK49" s="408"/>
      <c r="VSL49" s="408"/>
      <c r="VSM49" s="408"/>
      <c r="VSN49" s="408"/>
      <c r="VSO49" s="408"/>
      <c r="VSP49" s="408"/>
      <c r="VSQ49" s="408"/>
      <c r="VSR49" s="408"/>
      <c r="VSS49" s="408"/>
      <c r="VST49" s="408"/>
      <c r="VSU49" s="408"/>
      <c r="VSV49" s="408"/>
      <c r="VSW49" s="408"/>
      <c r="VSX49" s="408"/>
      <c r="VSY49" s="408"/>
      <c r="VSZ49" s="408"/>
      <c r="VTA49" s="408"/>
      <c r="VTB49" s="408"/>
      <c r="VTC49" s="408"/>
      <c r="VTD49" s="408"/>
      <c r="VTE49" s="408"/>
      <c r="VTF49" s="408"/>
      <c r="VTG49" s="408"/>
      <c r="VTH49" s="408"/>
      <c r="VTI49" s="408"/>
      <c r="VTJ49" s="408"/>
      <c r="VTK49" s="408"/>
      <c r="VTL49" s="408"/>
      <c r="VTM49" s="408"/>
      <c r="VTN49" s="408"/>
      <c r="VTO49" s="408"/>
      <c r="VTP49" s="408"/>
      <c r="VTQ49" s="408"/>
      <c r="VTR49" s="408"/>
      <c r="VTS49" s="408"/>
      <c r="VTT49" s="408"/>
      <c r="VTU49" s="408"/>
      <c r="VTV49" s="408"/>
      <c r="VTW49" s="408"/>
      <c r="VTX49" s="408"/>
      <c r="VTY49" s="408"/>
      <c r="VTZ49" s="408"/>
      <c r="VUA49" s="408"/>
      <c r="VUB49" s="408"/>
      <c r="VUC49" s="408"/>
      <c r="VUD49" s="408"/>
      <c r="VUE49" s="408"/>
      <c r="VUF49" s="408"/>
      <c r="VUG49" s="408"/>
      <c r="VUH49" s="408"/>
      <c r="VUI49" s="408"/>
      <c r="VUJ49" s="408"/>
      <c r="VUK49" s="408"/>
      <c r="VUL49" s="408"/>
      <c r="VUM49" s="408"/>
      <c r="VUN49" s="408"/>
      <c r="VUO49" s="408"/>
      <c r="VUP49" s="408"/>
      <c r="VUQ49" s="408"/>
      <c r="VUR49" s="408"/>
      <c r="VUS49" s="408"/>
      <c r="VUT49" s="408"/>
      <c r="VUU49" s="408"/>
      <c r="VUV49" s="408"/>
      <c r="VUW49" s="408"/>
      <c r="VUX49" s="408"/>
      <c r="VUY49" s="408"/>
      <c r="VUZ49" s="408"/>
      <c r="VVA49" s="408"/>
      <c r="VVB49" s="408"/>
      <c r="VVC49" s="408"/>
      <c r="VVD49" s="408"/>
      <c r="VVE49" s="408"/>
      <c r="VVF49" s="408"/>
      <c r="VVG49" s="408"/>
      <c r="VVH49" s="408"/>
      <c r="VVI49" s="408"/>
      <c r="VVJ49" s="408"/>
      <c r="VVK49" s="408"/>
      <c r="VVL49" s="408"/>
      <c r="VVM49" s="408"/>
      <c r="VVN49" s="408"/>
      <c r="VVO49" s="408"/>
      <c r="VVP49" s="408"/>
      <c r="VVQ49" s="408"/>
      <c r="VVR49" s="408"/>
      <c r="VVS49" s="408"/>
      <c r="VVT49" s="408"/>
      <c r="VVU49" s="408"/>
      <c r="VVV49" s="408"/>
      <c r="VVW49" s="408"/>
      <c r="VVX49" s="408"/>
      <c r="VVY49" s="408"/>
      <c r="VVZ49" s="408"/>
      <c r="VWA49" s="408"/>
      <c r="VWB49" s="408"/>
      <c r="VWC49" s="408"/>
      <c r="VWD49" s="408"/>
      <c r="VWE49" s="408"/>
      <c r="VWF49" s="408"/>
      <c r="VWG49" s="408"/>
      <c r="VWH49" s="408"/>
      <c r="VWI49" s="408"/>
      <c r="VWJ49" s="408"/>
      <c r="VWK49" s="408"/>
      <c r="VWL49" s="408"/>
      <c r="VWM49" s="408"/>
      <c r="VWN49" s="408"/>
      <c r="VWO49" s="408"/>
      <c r="VWP49" s="408"/>
      <c r="VWQ49" s="408"/>
      <c r="VWR49" s="408"/>
      <c r="VWS49" s="408"/>
      <c r="VWT49" s="408"/>
      <c r="VWU49" s="408"/>
      <c r="VWV49" s="408"/>
      <c r="VWW49" s="408"/>
      <c r="VWX49" s="408"/>
      <c r="VWY49" s="408"/>
      <c r="VWZ49" s="408"/>
      <c r="VXA49" s="408"/>
      <c r="VXB49" s="408"/>
      <c r="VXC49" s="408"/>
      <c r="VXD49" s="408"/>
      <c r="VXE49" s="408"/>
      <c r="VXF49" s="408"/>
      <c r="VXG49" s="408"/>
      <c r="VXH49" s="408"/>
      <c r="VXI49" s="408"/>
      <c r="VXJ49" s="408"/>
      <c r="VXK49" s="408"/>
      <c r="VXL49" s="408"/>
      <c r="VXM49" s="408"/>
      <c r="VXN49" s="408"/>
      <c r="VXO49" s="408"/>
      <c r="VXP49" s="408"/>
      <c r="VXQ49" s="408"/>
      <c r="VXR49" s="408"/>
      <c r="VXS49" s="408"/>
      <c r="VXT49" s="408"/>
      <c r="VXU49" s="408"/>
      <c r="VXV49" s="408"/>
      <c r="VXW49" s="408"/>
      <c r="VXX49" s="408"/>
      <c r="VXY49" s="408"/>
      <c r="VXZ49" s="408"/>
      <c r="VYA49" s="408"/>
      <c r="VYB49" s="408"/>
      <c r="VYC49" s="408"/>
      <c r="VYD49" s="408"/>
      <c r="VYE49" s="408"/>
      <c r="VYF49" s="408"/>
      <c r="VYG49" s="408"/>
      <c r="VYH49" s="408"/>
      <c r="VYI49" s="408"/>
      <c r="VYJ49" s="408"/>
      <c r="VYK49" s="408"/>
      <c r="VYL49" s="408"/>
      <c r="VYM49" s="408"/>
      <c r="VYN49" s="408"/>
      <c r="VYO49" s="408"/>
      <c r="VYP49" s="408"/>
      <c r="VYQ49" s="408"/>
      <c r="VYR49" s="408"/>
      <c r="VYS49" s="408"/>
      <c r="VYT49" s="408"/>
      <c r="VYU49" s="408"/>
      <c r="VYV49" s="408"/>
      <c r="VYW49" s="408"/>
      <c r="VYX49" s="408"/>
      <c r="VYY49" s="408"/>
      <c r="VYZ49" s="408"/>
      <c r="VZA49" s="408"/>
      <c r="VZB49" s="408"/>
      <c r="VZC49" s="408"/>
      <c r="VZD49" s="408"/>
      <c r="VZE49" s="408"/>
      <c r="VZF49" s="408"/>
      <c r="VZG49" s="408"/>
      <c r="VZH49" s="408"/>
      <c r="VZI49" s="408"/>
      <c r="VZJ49" s="408"/>
      <c r="VZK49" s="408"/>
      <c r="VZL49" s="408"/>
      <c r="VZM49" s="408"/>
      <c r="VZN49" s="408"/>
      <c r="VZO49" s="408"/>
      <c r="VZP49" s="408"/>
      <c r="VZQ49" s="408"/>
      <c r="VZR49" s="408"/>
      <c r="VZS49" s="408"/>
      <c r="VZT49" s="408"/>
      <c r="VZU49" s="408"/>
      <c r="VZV49" s="408"/>
      <c r="VZW49" s="408"/>
      <c r="VZX49" s="408"/>
      <c r="VZY49" s="408"/>
      <c r="VZZ49" s="408"/>
      <c r="WAA49" s="408"/>
      <c r="WAB49" s="408"/>
      <c r="WAC49" s="408"/>
      <c r="WAD49" s="408"/>
      <c r="WAE49" s="408"/>
      <c r="WAF49" s="408"/>
      <c r="WAG49" s="408"/>
      <c r="WAH49" s="408"/>
      <c r="WAI49" s="408"/>
      <c r="WAJ49" s="408"/>
      <c r="WAK49" s="408"/>
      <c r="WAL49" s="408"/>
      <c r="WAM49" s="408"/>
      <c r="WAN49" s="408"/>
      <c r="WAO49" s="408"/>
      <c r="WAP49" s="408"/>
      <c r="WAQ49" s="408"/>
      <c r="WAR49" s="408"/>
      <c r="WAS49" s="408"/>
      <c r="WAT49" s="408"/>
      <c r="WAU49" s="408"/>
      <c r="WAV49" s="408"/>
      <c r="WAW49" s="408"/>
      <c r="WAX49" s="408"/>
      <c r="WAY49" s="408"/>
      <c r="WAZ49" s="408"/>
      <c r="WBA49" s="408"/>
      <c r="WBB49" s="408"/>
      <c r="WBC49" s="408"/>
      <c r="WBD49" s="408"/>
      <c r="WBE49" s="408"/>
      <c r="WBF49" s="408"/>
      <c r="WBG49" s="408"/>
      <c r="WBH49" s="408"/>
      <c r="WBI49" s="408"/>
      <c r="WBJ49" s="408"/>
      <c r="WBK49" s="408"/>
      <c r="WBL49" s="408"/>
      <c r="WBM49" s="408"/>
      <c r="WBN49" s="408"/>
      <c r="WBO49" s="408"/>
      <c r="WBP49" s="408"/>
      <c r="WBQ49" s="408"/>
      <c r="WBR49" s="408"/>
      <c r="WBS49" s="408"/>
      <c r="WBT49" s="408"/>
      <c r="WBU49" s="408"/>
      <c r="WBV49" s="408"/>
      <c r="WBW49" s="408"/>
      <c r="WBX49" s="408"/>
      <c r="WBY49" s="408"/>
      <c r="WBZ49" s="408"/>
      <c r="WCA49" s="408"/>
      <c r="WCB49" s="408"/>
      <c r="WCC49" s="408"/>
      <c r="WCD49" s="408"/>
      <c r="WCE49" s="408"/>
      <c r="WCF49" s="408"/>
      <c r="WCG49" s="408"/>
      <c r="WCH49" s="408"/>
      <c r="WCI49" s="408"/>
      <c r="WCJ49" s="408"/>
      <c r="WCK49" s="408"/>
      <c r="WCL49" s="408"/>
      <c r="WCM49" s="408"/>
      <c r="WCN49" s="408"/>
      <c r="WCO49" s="408"/>
      <c r="WCP49" s="408"/>
      <c r="WCQ49" s="408"/>
      <c r="WCR49" s="408"/>
      <c r="WCS49" s="408"/>
      <c r="WCT49" s="408"/>
      <c r="WCU49" s="408"/>
      <c r="WCV49" s="408"/>
      <c r="WCW49" s="408"/>
      <c r="WCX49" s="408"/>
      <c r="WCY49" s="408"/>
      <c r="WCZ49" s="408"/>
      <c r="WDA49" s="408"/>
      <c r="WDB49" s="408"/>
      <c r="WDC49" s="408"/>
      <c r="WDD49" s="408"/>
      <c r="WDE49" s="408"/>
      <c r="WDF49" s="408"/>
      <c r="WDG49" s="408"/>
      <c r="WDH49" s="408"/>
      <c r="WDI49" s="408"/>
      <c r="WDJ49" s="408"/>
      <c r="WDK49" s="408"/>
      <c r="WDL49" s="408"/>
      <c r="WDM49" s="408"/>
      <c r="WDN49" s="408"/>
      <c r="WDO49" s="408"/>
      <c r="WDP49" s="408"/>
      <c r="WDQ49" s="408"/>
      <c r="WDR49" s="408"/>
      <c r="WDS49" s="408"/>
      <c r="WDT49" s="408"/>
      <c r="WDU49" s="408"/>
      <c r="WDV49" s="408"/>
      <c r="WDW49" s="408"/>
      <c r="WDX49" s="408"/>
      <c r="WDY49" s="408"/>
      <c r="WDZ49" s="408"/>
      <c r="WEA49" s="408"/>
      <c r="WEB49" s="408"/>
      <c r="WEC49" s="408"/>
      <c r="WED49" s="408"/>
      <c r="WEE49" s="408"/>
      <c r="WEF49" s="408"/>
      <c r="WEG49" s="408"/>
      <c r="WEH49" s="408"/>
      <c r="WEI49" s="408"/>
      <c r="WEJ49" s="408"/>
      <c r="WEK49" s="408"/>
      <c r="WEL49" s="408"/>
      <c r="WEM49" s="408"/>
      <c r="WEN49" s="408"/>
      <c r="WEO49" s="408"/>
      <c r="WEP49" s="408"/>
      <c r="WEQ49" s="408"/>
      <c r="WER49" s="408"/>
      <c r="WES49" s="408"/>
      <c r="WET49" s="408"/>
      <c r="WEU49" s="408"/>
      <c r="WEV49" s="408"/>
      <c r="WEW49" s="408"/>
      <c r="WEX49" s="408"/>
      <c r="WEY49" s="408"/>
      <c r="WEZ49" s="408"/>
      <c r="WFA49" s="408"/>
      <c r="WFB49" s="408"/>
      <c r="WFC49" s="408"/>
      <c r="WFD49" s="408"/>
      <c r="WFE49" s="408"/>
      <c r="WFF49" s="408"/>
      <c r="WFG49" s="408"/>
      <c r="WFH49" s="408"/>
      <c r="WFI49" s="408"/>
      <c r="WFJ49" s="408"/>
      <c r="WFK49" s="408"/>
      <c r="WFL49" s="408"/>
      <c r="WFM49" s="408"/>
      <c r="WFN49" s="408"/>
      <c r="WFO49" s="408"/>
      <c r="WFP49" s="408"/>
      <c r="WFQ49" s="408"/>
      <c r="WFR49" s="408"/>
      <c r="WFS49" s="408"/>
      <c r="WFT49" s="408"/>
      <c r="WFU49" s="408"/>
      <c r="WFV49" s="408"/>
      <c r="WFW49" s="408"/>
      <c r="WFX49" s="408"/>
      <c r="WFY49" s="408"/>
      <c r="WFZ49" s="408"/>
      <c r="WGA49" s="408"/>
      <c r="WGB49" s="408"/>
      <c r="WGC49" s="408"/>
      <c r="WGD49" s="408"/>
      <c r="WGE49" s="408"/>
      <c r="WGF49" s="408"/>
      <c r="WGG49" s="408"/>
      <c r="WGH49" s="408"/>
      <c r="WGI49" s="408"/>
      <c r="WGJ49" s="408"/>
      <c r="WGK49" s="408"/>
      <c r="WGL49" s="408"/>
      <c r="WGM49" s="408"/>
      <c r="WGN49" s="408"/>
      <c r="WGO49" s="408"/>
      <c r="WGP49" s="408"/>
      <c r="WGQ49" s="408"/>
      <c r="WGR49" s="408"/>
      <c r="WGS49" s="408"/>
      <c r="WGT49" s="408"/>
      <c r="WGU49" s="408"/>
      <c r="WGV49" s="408"/>
      <c r="WGW49" s="408"/>
      <c r="WGX49" s="408"/>
      <c r="WGY49" s="408"/>
      <c r="WGZ49" s="408"/>
      <c r="WHA49" s="408"/>
      <c r="WHB49" s="408"/>
      <c r="WHC49" s="408"/>
      <c r="WHD49" s="408"/>
      <c r="WHE49" s="408"/>
      <c r="WHF49" s="408"/>
      <c r="WHG49" s="408"/>
      <c r="WHH49" s="408"/>
      <c r="WHI49" s="408"/>
      <c r="WHJ49" s="408"/>
      <c r="WHK49" s="408"/>
      <c r="WHL49" s="408"/>
      <c r="WHM49" s="408"/>
      <c r="WHN49" s="408"/>
      <c r="WHO49" s="408"/>
      <c r="WHP49" s="408"/>
      <c r="WHQ49" s="408"/>
      <c r="WHR49" s="408"/>
      <c r="WHS49" s="408"/>
      <c r="WHT49" s="408"/>
      <c r="WHU49" s="408"/>
      <c r="WHV49" s="408"/>
      <c r="WHW49" s="408"/>
      <c r="WHX49" s="408"/>
      <c r="WHY49" s="408"/>
      <c r="WHZ49" s="408"/>
      <c r="WIA49" s="408"/>
      <c r="WIB49" s="408"/>
      <c r="WIC49" s="408"/>
      <c r="WID49" s="408"/>
      <c r="WIE49" s="408"/>
      <c r="WIF49" s="408"/>
      <c r="WIG49" s="408"/>
      <c r="WIH49" s="408"/>
      <c r="WII49" s="408"/>
      <c r="WIJ49" s="408"/>
      <c r="WIK49" s="408"/>
      <c r="WIL49" s="408"/>
      <c r="WIM49" s="408"/>
      <c r="WIN49" s="408"/>
      <c r="WIO49" s="408"/>
      <c r="WIP49" s="408"/>
      <c r="WIQ49" s="408"/>
      <c r="WIR49" s="408"/>
      <c r="WIS49" s="408"/>
      <c r="WIT49" s="408"/>
      <c r="WIU49" s="408"/>
      <c r="WIV49" s="408"/>
      <c r="WIW49" s="408"/>
      <c r="WIX49" s="408"/>
      <c r="WIY49" s="408"/>
      <c r="WIZ49" s="408"/>
      <c r="WJA49" s="408"/>
      <c r="WJB49" s="408"/>
      <c r="WJC49" s="408"/>
      <c r="WJD49" s="408"/>
      <c r="WJE49" s="408"/>
      <c r="WJF49" s="408"/>
      <c r="WJG49" s="408"/>
      <c r="WJH49" s="408"/>
      <c r="WJI49" s="408"/>
      <c r="WJJ49" s="408"/>
      <c r="WJK49" s="408"/>
      <c r="WJL49" s="408"/>
      <c r="WJM49" s="408"/>
      <c r="WJN49" s="408"/>
      <c r="WJO49" s="408"/>
      <c r="WJP49" s="408"/>
      <c r="WJQ49" s="408"/>
      <c r="WJR49" s="408"/>
      <c r="WJS49" s="408"/>
      <c r="WJT49" s="408"/>
      <c r="WJU49" s="408"/>
      <c r="WJV49" s="408"/>
      <c r="WJW49" s="408"/>
      <c r="WJX49" s="408"/>
      <c r="WJY49" s="408"/>
      <c r="WJZ49" s="408"/>
      <c r="WKA49" s="408"/>
      <c r="WKB49" s="408"/>
      <c r="WKC49" s="408"/>
      <c r="WKD49" s="408"/>
      <c r="WKE49" s="408"/>
      <c r="WKF49" s="408"/>
      <c r="WKG49" s="408"/>
      <c r="WKH49" s="408"/>
      <c r="WKI49" s="408"/>
      <c r="WKJ49" s="408"/>
      <c r="WKK49" s="408"/>
      <c r="WKL49" s="408"/>
      <c r="WKM49" s="408"/>
      <c r="WKN49" s="408"/>
      <c r="WKO49" s="408"/>
      <c r="WKP49" s="408"/>
      <c r="WKQ49" s="408"/>
      <c r="WKR49" s="408"/>
      <c r="WKS49" s="408"/>
      <c r="WKT49" s="408"/>
      <c r="WKU49" s="408"/>
      <c r="WKV49" s="408"/>
      <c r="WKW49" s="408"/>
      <c r="WKX49" s="408"/>
      <c r="WKY49" s="408"/>
      <c r="WKZ49" s="408"/>
      <c r="WLA49" s="408"/>
      <c r="WLB49" s="408"/>
      <c r="WLC49" s="408"/>
      <c r="WLD49" s="408"/>
      <c r="WLE49" s="408"/>
      <c r="WLF49" s="408"/>
      <c r="WLG49" s="408"/>
      <c r="WLH49" s="408"/>
      <c r="WLI49" s="408"/>
      <c r="WLJ49" s="408"/>
      <c r="WLK49" s="408"/>
      <c r="WLL49" s="408"/>
      <c r="WLM49" s="408"/>
      <c r="WLN49" s="408"/>
      <c r="WLO49" s="408"/>
      <c r="WLP49" s="408"/>
      <c r="WLQ49" s="408"/>
      <c r="WLR49" s="408"/>
      <c r="WLS49" s="408"/>
      <c r="WLT49" s="408"/>
      <c r="WLU49" s="408"/>
      <c r="WLV49" s="408"/>
      <c r="WLW49" s="408"/>
      <c r="WLX49" s="408"/>
      <c r="WLY49" s="408"/>
      <c r="WLZ49" s="408"/>
      <c r="WMA49" s="408"/>
      <c r="WMB49" s="408"/>
      <c r="WMC49" s="408"/>
      <c r="WMD49" s="408"/>
      <c r="WME49" s="408"/>
      <c r="WMF49" s="408"/>
      <c r="WMG49" s="408"/>
      <c r="WMH49" s="408"/>
      <c r="WMI49" s="408"/>
      <c r="WMJ49" s="408"/>
      <c r="WMK49" s="408"/>
      <c r="WML49" s="408"/>
      <c r="WMM49" s="408"/>
      <c r="WMN49" s="408"/>
      <c r="WMO49" s="408"/>
      <c r="WMP49" s="408"/>
      <c r="WMQ49" s="408"/>
      <c r="WMR49" s="408"/>
      <c r="WMS49" s="408"/>
      <c r="WMT49" s="408"/>
      <c r="WMU49" s="408"/>
      <c r="WMV49" s="408"/>
      <c r="WMW49" s="408"/>
      <c r="WMX49" s="408"/>
      <c r="WMY49" s="408"/>
      <c r="WMZ49" s="408"/>
      <c r="WNA49" s="408"/>
      <c r="WNB49" s="408"/>
      <c r="WNC49" s="408"/>
      <c r="WND49" s="408"/>
      <c r="WNE49" s="408"/>
      <c r="WNF49" s="408"/>
      <c r="WNG49" s="408"/>
      <c r="WNH49" s="408"/>
      <c r="WNI49" s="408"/>
      <c r="WNJ49" s="408"/>
      <c r="WNK49" s="408"/>
      <c r="WNL49" s="408"/>
      <c r="WNM49" s="408"/>
      <c r="WNN49" s="408"/>
      <c r="WNO49" s="408"/>
      <c r="WNP49" s="408"/>
      <c r="WNQ49" s="408"/>
      <c r="WNR49" s="408"/>
      <c r="WNS49" s="408"/>
      <c r="WNT49" s="408"/>
      <c r="WNU49" s="408"/>
      <c r="WNV49" s="408"/>
      <c r="WNW49" s="408"/>
      <c r="WNX49" s="408"/>
      <c r="WNY49" s="408"/>
      <c r="WNZ49" s="408"/>
      <c r="WOA49" s="408"/>
      <c r="WOB49" s="408"/>
      <c r="WOC49" s="408"/>
      <c r="WOD49" s="408"/>
      <c r="WOE49" s="408"/>
      <c r="WOF49" s="408"/>
      <c r="WOG49" s="408"/>
      <c r="WOH49" s="408"/>
      <c r="WOI49" s="408"/>
      <c r="WOJ49" s="408"/>
      <c r="WOK49" s="408"/>
      <c r="WOL49" s="408"/>
      <c r="WOM49" s="408"/>
      <c r="WON49" s="408"/>
      <c r="WOO49" s="408"/>
      <c r="WOP49" s="408"/>
      <c r="WOQ49" s="408"/>
      <c r="WOR49" s="408"/>
      <c r="WOS49" s="408"/>
      <c r="WOT49" s="408"/>
      <c r="WOU49" s="408"/>
      <c r="WOV49" s="408"/>
      <c r="WOW49" s="408"/>
      <c r="WOX49" s="408"/>
      <c r="WOY49" s="408"/>
      <c r="WOZ49" s="408"/>
      <c r="WPA49" s="408"/>
      <c r="WPB49" s="408"/>
      <c r="WPC49" s="408"/>
      <c r="WPD49" s="408"/>
      <c r="WPE49" s="408"/>
      <c r="WPF49" s="408"/>
      <c r="WPG49" s="408"/>
      <c r="WPH49" s="408"/>
      <c r="WPI49" s="408"/>
      <c r="WPJ49" s="408"/>
      <c r="WPK49" s="408"/>
      <c r="WPL49" s="408"/>
      <c r="WPM49" s="408"/>
      <c r="WPN49" s="408"/>
      <c r="WPO49" s="408"/>
      <c r="WPP49" s="408"/>
      <c r="WPQ49" s="408"/>
      <c r="WPR49" s="408"/>
      <c r="WPS49" s="408"/>
      <c r="WPT49" s="408"/>
      <c r="WPU49" s="408"/>
      <c r="WPV49" s="408"/>
      <c r="WPW49" s="408"/>
      <c r="WPX49" s="408"/>
      <c r="WPY49" s="408"/>
      <c r="WPZ49" s="408"/>
      <c r="WQA49" s="408"/>
      <c r="WQB49" s="408"/>
      <c r="WQC49" s="408"/>
      <c r="WQD49" s="408"/>
      <c r="WQE49" s="408"/>
      <c r="WQF49" s="408"/>
      <c r="WQG49" s="408"/>
      <c r="WQH49" s="408"/>
      <c r="WQI49" s="408"/>
      <c r="WQJ49" s="408"/>
      <c r="WQK49" s="408"/>
      <c r="WQL49" s="408"/>
      <c r="WQM49" s="408"/>
      <c r="WQN49" s="408"/>
      <c r="WQO49" s="408"/>
      <c r="WQP49" s="408"/>
      <c r="WQQ49" s="408"/>
      <c r="WQR49" s="408"/>
      <c r="WQS49" s="408"/>
      <c r="WQT49" s="408"/>
      <c r="WQU49" s="408"/>
      <c r="WQV49" s="408"/>
      <c r="WQW49" s="408"/>
      <c r="WQX49" s="408"/>
      <c r="WQY49" s="408"/>
      <c r="WQZ49" s="408"/>
      <c r="WRA49" s="408"/>
      <c r="WRB49" s="408"/>
      <c r="WRC49" s="408"/>
      <c r="WRD49" s="408"/>
      <c r="WRE49" s="408"/>
      <c r="WRF49" s="408"/>
      <c r="WRG49" s="408"/>
      <c r="WRH49" s="408"/>
      <c r="WRI49" s="408"/>
      <c r="WRJ49" s="408"/>
      <c r="WRK49" s="408"/>
      <c r="WRL49" s="408"/>
      <c r="WRM49" s="408"/>
      <c r="WRN49" s="408"/>
      <c r="WRO49" s="408"/>
      <c r="WRP49" s="408"/>
      <c r="WRQ49" s="408"/>
      <c r="WRR49" s="408"/>
      <c r="WRS49" s="408"/>
      <c r="WRT49" s="408"/>
      <c r="WRU49" s="408"/>
      <c r="WRV49" s="408"/>
      <c r="WRW49" s="408"/>
      <c r="WRX49" s="408"/>
      <c r="WRY49" s="408"/>
      <c r="WRZ49" s="408"/>
      <c r="WSA49" s="408"/>
      <c r="WSB49" s="408"/>
      <c r="WSC49" s="408"/>
      <c r="WSD49" s="408"/>
      <c r="WSE49" s="408"/>
      <c r="WSF49" s="408"/>
      <c r="WSG49" s="408"/>
      <c r="WSH49" s="408"/>
      <c r="WSI49" s="408"/>
      <c r="WSJ49" s="408"/>
      <c r="WSK49" s="408"/>
      <c r="WSL49" s="408"/>
      <c r="WSM49" s="408"/>
      <c r="WSN49" s="408"/>
      <c r="WSO49" s="408"/>
      <c r="WSP49" s="408"/>
      <c r="WSQ49" s="408"/>
      <c r="WSR49" s="408"/>
      <c r="WSS49" s="408"/>
      <c r="WST49" s="408"/>
      <c r="WSU49" s="408"/>
      <c r="WSV49" s="408"/>
      <c r="WSW49" s="408"/>
      <c r="WSX49" s="408"/>
      <c r="WSY49" s="408"/>
      <c r="WSZ49" s="408"/>
      <c r="WTA49" s="408"/>
      <c r="WTB49" s="408"/>
      <c r="WTC49" s="408"/>
      <c r="WTD49" s="408"/>
      <c r="WTE49" s="408"/>
      <c r="WTF49" s="408"/>
      <c r="WTG49" s="408"/>
      <c r="WTH49" s="408"/>
      <c r="WTI49" s="408"/>
      <c r="WTJ49" s="408"/>
      <c r="WTK49" s="408"/>
      <c r="WTL49" s="408"/>
      <c r="WTM49" s="408"/>
      <c r="WTN49" s="408"/>
      <c r="WTO49" s="408"/>
      <c r="WTP49" s="408"/>
      <c r="WTQ49" s="408"/>
      <c r="WTR49" s="408"/>
      <c r="WTS49" s="408"/>
      <c r="WTT49" s="408"/>
      <c r="WTU49" s="408"/>
      <c r="WTV49" s="408"/>
      <c r="WTW49" s="408"/>
      <c r="WTX49" s="408"/>
      <c r="WTY49" s="408"/>
      <c r="WTZ49" s="408"/>
      <c r="WUA49" s="408"/>
      <c r="WUB49" s="408"/>
      <c r="WUC49" s="408"/>
      <c r="WUD49" s="408"/>
      <c r="WUE49" s="408"/>
      <c r="WUF49" s="408"/>
      <c r="WUG49" s="408"/>
      <c r="WUH49" s="408"/>
      <c r="WUI49" s="408"/>
      <c r="WUJ49" s="408"/>
      <c r="WUK49" s="408"/>
      <c r="WUL49" s="408"/>
      <c r="WUM49" s="408"/>
      <c r="WUN49" s="408"/>
      <c r="WUO49" s="408"/>
      <c r="WUP49" s="408"/>
      <c r="WUQ49" s="408"/>
      <c r="WUR49" s="408"/>
      <c r="WUS49" s="408"/>
      <c r="WUT49" s="408"/>
      <c r="WUU49" s="408"/>
      <c r="WUV49" s="408"/>
      <c r="WUW49" s="408"/>
      <c r="WUX49" s="408"/>
      <c r="WUY49" s="408"/>
      <c r="WUZ49" s="408"/>
      <c r="WVA49" s="408"/>
      <c r="WVB49" s="408"/>
      <c r="WVC49" s="408"/>
      <c r="WVD49" s="408"/>
      <c r="WVE49" s="408"/>
      <c r="WVF49" s="408"/>
      <c r="WVG49" s="408"/>
      <c r="WVH49" s="408"/>
      <c r="WVI49" s="408"/>
      <c r="WVJ49" s="408"/>
      <c r="WVK49" s="408"/>
      <c r="WVL49" s="408"/>
      <c r="WVM49" s="408"/>
      <c r="WVN49" s="408"/>
      <c r="WVO49" s="408"/>
      <c r="WVP49" s="408"/>
      <c r="WVQ49" s="408"/>
      <c r="WVR49" s="408"/>
      <c r="WVS49" s="408"/>
      <c r="WVT49" s="408"/>
      <c r="WVU49" s="408"/>
      <c r="WVV49" s="408"/>
      <c r="WVW49" s="408"/>
      <c r="WVX49" s="408"/>
      <c r="WVY49" s="408"/>
      <c r="WVZ49" s="408"/>
      <c r="WWA49" s="408"/>
      <c r="WWB49" s="408"/>
      <c r="WWC49" s="408"/>
      <c r="WWD49" s="408"/>
      <c r="WWE49" s="408"/>
      <c r="WWF49" s="408"/>
      <c r="WWG49" s="408"/>
      <c r="WWH49" s="408"/>
      <c r="WWI49" s="408"/>
      <c r="WWJ49" s="408"/>
      <c r="WWK49" s="408"/>
      <c r="WWL49" s="408"/>
      <c r="WWM49" s="408"/>
      <c r="WWN49" s="408"/>
      <c r="WWO49" s="408"/>
      <c r="WWP49" s="408"/>
      <c r="WWQ49" s="408"/>
      <c r="WWR49" s="408"/>
      <c r="WWS49" s="408"/>
      <c r="WWT49" s="408"/>
      <c r="WWU49" s="408"/>
      <c r="WWV49" s="408"/>
      <c r="WWW49" s="408"/>
      <c r="WWX49" s="408"/>
      <c r="WWY49" s="408"/>
      <c r="WWZ49" s="408"/>
      <c r="WXA49" s="408"/>
      <c r="WXB49" s="408"/>
      <c r="WXC49" s="408"/>
      <c r="WXD49" s="408"/>
      <c r="WXE49" s="408"/>
      <c r="WXF49" s="408"/>
      <c r="WXG49" s="408"/>
      <c r="WXH49" s="408"/>
      <c r="WXI49" s="408"/>
      <c r="WXJ49" s="408"/>
      <c r="WXK49" s="408"/>
      <c r="WXL49" s="408"/>
      <c r="WXM49" s="408"/>
      <c r="WXN49" s="408"/>
      <c r="WXO49" s="408"/>
      <c r="WXP49" s="408"/>
      <c r="WXQ49" s="408"/>
      <c r="WXR49" s="408"/>
      <c r="WXS49" s="408"/>
      <c r="WXT49" s="408"/>
      <c r="WXU49" s="408"/>
      <c r="WXV49" s="408"/>
      <c r="WXW49" s="408"/>
      <c r="WXX49" s="408"/>
      <c r="WXY49" s="408"/>
      <c r="WXZ49" s="408"/>
      <c r="WYA49" s="408"/>
      <c r="WYB49" s="408"/>
      <c r="WYC49" s="408"/>
      <c r="WYD49" s="408"/>
      <c r="WYE49" s="408"/>
      <c r="WYF49" s="408"/>
      <c r="WYG49" s="408"/>
      <c r="WYH49" s="408"/>
      <c r="WYI49" s="408"/>
      <c r="WYJ49" s="408"/>
      <c r="WYK49" s="408"/>
      <c r="WYL49" s="408"/>
      <c r="WYM49" s="408"/>
      <c r="WYN49" s="408"/>
      <c r="WYO49" s="408"/>
      <c r="WYP49" s="408"/>
      <c r="WYQ49" s="408"/>
      <c r="WYR49" s="408"/>
      <c r="WYS49" s="408"/>
      <c r="WYT49" s="408"/>
      <c r="WYU49" s="408"/>
      <c r="WYV49" s="408"/>
      <c r="WYW49" s="408"/>
      <c r="WYX49" s="408"/>
      <c r="WYY49" s="408"/>
      <c r="WYZ49" s="408"/>
      <c r="WZA49" s="408"/>
      <c r="WZB49" s="408"/>
      <c r="WZC49" s="408"/>
      <c r="WZD49" s="408"/>
      <c r="WZE49" s="408"/>
      <c r="WZF49" s="408"/>
      <c r="WZG49" s="408"/>
      <c r="WZH49" s="408"/>
      <c r="WZI49" s="408"/>
      <c r="WZJ49" s="408"/>
      <c r="WZK49" s="408"/>
      <c r="WZL49" s="408"/>
      <c r="WZM49" s="408"/>
      <c r="WZN49" s="408"/>
      <c r="WZO49" s="408"/>
      <c r="WZP49" s="408"/>
      <c r="WZQ49" s="408"/>
      <c r="WZR49" s="408"/>
      <c r="WZS49" s="408"/>
      <c r="WZT49" s="408"/>
      <c r="WZU49" s="408"/>
      <c r="WZV49" s="408"/>
      <c r="WZW49" s="408"/>
      <c r="WZX49" s="408"/>
      <c r="WZY49" s="408"/>
      <c r="WZZ49" s="408"/>
      <c r="XAA49" s="408"/>
      <c r="XAB49" s="408"/>
      <c r="XAC49" s="408"/>
      <c r="XAD49" s="408"/>
      <c r="XAE49" s="408"/>
      <c r="XAF49" s="408"/>
      <c r="XAG49" s="408"/>
      <c r="XAH49" s="408"/>
      <c r="XAI49" s="408"/>
      <c r="XAJ49" s="408"/>
      <c r="XAK49" s="408"/>
      <c r="XAL49" s="408"/>
      <c r="XAM49" s="408"/>
      <c r="XAN49" s="408"/>
      <c r="XAO49" s="408"/>
      <c r="XAP49" s="408"/>
      <c r="XAQ49" s="408"/>
      <c r="XAR49" s="408"/>
      <c r="XAS49" s="408"/>
      <c r="XAT49" s="408"/>
      <c r="XAU49" s="408"/>
      <c r="XAV49" s="408"/>
      <c r="XAW49" s="408"/>
      <c r="XAX49" s="408"/>
      <c r="XAY49" s="408"/>
      <c r="XAZ49" s="408"/>
      <c r="XBA49" s="408"/>
      <c r="XBB49" s="408"/>
      <c r="XBC49" s="408"/>
      <c r="XBD49" s="408"/>
      <c r="XBE49" s="408"/>
      <c r="XBF49" s="408"/>
      <c r="XBG49" s="408"/>
      <c r="XBH49" s="408"/>
      <c r="XBI49" s="408"/>
      <c r="XBJ49" s="408"/>
      <c r="XBK49" s="408"/>
      <c r="XBL49" s="408"/>
      <c r="XBM49" s="408"/>
      <c r="XBN49" s="408"/>
      <c r="XBO49" s="408"/>
      <c r="XBP49" s="408"/>
      <c r="XBQ49" s="408"/>
      <c r="XBR49" s="408"/>
      <c r="XBS49" s="408"/>
      <c r="XBT49" s="408"/>
      <c r="XBU49" s="408"/>
      <c r="XBV49" s="408"/>
      <c r="XBW49" s="408"/>
      <c r="XBX49" s="408"/>
      <c r="XBY49" s="408"/>
      <c r="XBZ49" s="408"/>
      <c r="XCA49" s="408"/>
      <c r="XCB49" s="408"/>
      <c r="XCC49" s="408"/>
      <c r="XCD49" s="408"/>
      <c r="XCE49" s="408"/>
      <c r="XCF49" s="408"/>
      <c r="XCG49" s="408"/>
      <c r="XCH49" s="408"/>
      <c r="XCI49" s="408"/>
      <c r="XCJ49" s="408"/>
      <c r="XCK49" s="408"/>
      <c r="XCL49" s="408"/>
      <c r="XCM49" s="408"/>
      <c r="XCN49" s="408"/>
      <c r="XCO49" s="408"/>
      <c r="XCP49" s="408"/>
      <c r="XCQ49" s="408"/>
      <c r="XCR49" s="408"/>
      <c r="XCS49" s="408"/>
      <c r="XCT49" s="408"/>
      <c r="XCU49" s="408"/>
      <c r="XCV49" s="408"/>
      <c r="XCW49" s="408"/>
      <c r="XCX49" s="408"/>
      <c r="XCY49" s="408"/>
      <c r="XCZ49" s="408"/>
      <c r="XDA49" s="408"/>
      <c r="XDB49" s="408"/>
      <c r="XDC49" s="408"/>
      <c r="XDD49" s="408"/>
      <c r="XDE49" s="408"/>
      <c r="XDF49" s="408"/>
      <c r="XDG49" s="408"/>
      <c r="XDH49" s="408"/>
      <c r="XDI49" s="408"/>
      <c r="XDJ49" s="408"/>
      <c r="XDK49" s="408"/>
      <c r="XDL49" s="408"/>
      <c r="XDM49" s="408"/>
      <c r="XDN49" s="408"/>
      <c r="XDO49" s="408"/>
      <c r="XDP49" s="408"/>
      <c r="XDQ49" s="408"/>
      <c r="XDR49" s="408"/>
      <c r="XDS49" s="408"/>
      <c r="XDT49" s="408"/>
      <c r="XDU49" s="408"/>
      <c r="XDV49" s="408"/>
      <c r="XDW49" s="408"/>
      <c r="XDX49" s="408"/>
      <c r="XDY49" s="408"/>
      <c r="XDZ49" s="408"/>
      <c r="XEA49" s="408"/>
      <c r="XEB49" s="408"/>
      <c r="XEC49" s="408"/>
      <c r="XED49" s="408"/>
      <c r="XEE49" s="408"/>
      <c r="XEF49" s="408"/>
      <c r="XEG49" s="408"/>
      <c r="XEH49" s="408"/>
      <c r="XEI49" s="408"/>
      <c r="XEJ49" s="408"/>
      <c r="XEK49" s="408"/>
      <c r="XEL49" s="408"/>
      <c r="XEM49" s="408"/>
      <c r="XEN49" s="408"/>
      <c r="XEO49" s="408"/>
      <c r="XEP49" s="408"/>
      <c r="XEQ49" s="408"/>
      <c r="XER49" s="408"/>
      <c r="XES49" s="408"/>
      <c r="XET49" s="408"/>
      <c r="XEU49" s="408"/>
      <c r="XEV49" s="408"/>
      <c r="XEW49" s="408"/>
      <c r="XEX49" s="408"/>
      <c r="XEY49" s="408"/>
      <c r="XEZ49" s="408"/>
      <c r="XFA49" s="408"/>
      <c r="XFB49" s="408"/>
      <c r="XFC49" s="408"/>
      <c r="XFD49" s="408"/>
    </row>
    <row r="50" spans="1:16384" s="409" customFormat="1" x14ac:dyDescent="0.2">
      <c r="A50" s="408"/>
      <c r="B50" s="480"/>
      <c r="C50" s="480"/>
      <c r="D50" s="480"/>
      <c r="E50" s="480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196"/>
      <c r="Q50" s="196"/>
      <c r="R50" s="408"/>
      <c r="S50" s="408"/>
      <c r="T50" s="408"/>
      <c r="U50" s="408"/>
      <c r="V50" s="408"/>
      <c r="W50" s="408"/>
      <c r="X50" s="410"/>
      <c r="Y50" s="408"/>
      <c r="Z50" s="408"/>
      <c r="AA50" s="408"/>
      <c r="AB50" s="410"/>
      <c r="AC50" s="408"/>
      <c r="AD50" s="196"/>
      <c r="AE50" s="196"/>
      <c r="AF50" s="196"/>
      <c r="AG50" s="196"/>
      <c r="AH50" s="481"/>
      <c r="AI50" s="487"/>
      <c r="AJ50" s="487"/>
      <c r="AK50" s="487"/>
      <c r="AL50" s="487"/>
      <c r="AM50" s="487"/>
      <c r="AN50" s="487"/>
      <c r="AO50" s="487"/>
      <c r="AP50" s="487"/>
      <c r="AQ50" s="487"/>
      <c r="AR50" s="487"/>
      <c r="AS50" s="487"/>
      <c r="AT50" s="408"/>
      <c r="AU50" s="408"/>
      <c r="AV50" s="408"/>
      <c r="AW50" s="408"/>
      <c r="AX50" s="408"/>
      <c r="AY50" s="408"/>
      <c r="AZ50" s="408"/>
      <c r="BA50" s="408"/>
      <c r="BB50" s="408"/>
      <c r="BC50" s="408"/>
      <c r="BD50" s="408"/>
      <c r="BE50" s="408"/>
      <c r="BF50" s="482"/>
      <c r="BG50" s="482"/>
      <c r="BH50" s="482"/>
      <c r="BI50" s="482"/>
      <c r="BJ50" s="196"/>
      <c r="BK50" s="196"/>
      <c r="BL50" s="196"/>
      <c r="BM50" s="196"/>
      <c r="BN50" s="196"/>
      <c r="BO50" s="196"/>
      <c r="BP50" s="196"/>
      <c r="BQ50" s="196"/>
      <c r="BR50" s="196"/>
      <c r="BS50" s="196"/>
      <c r="BT50" s="196"/>
      <c r="BU50" s="196"/>
      <c r="BV50" s="408"/>
      <c r="BW50" s="408"/>
      <c r="BX50" s="408"/>
      <c r="BY50" s="408"/>
      <c r="BZ50" s="408"/>
      <c r="CA50" s="408"/>
      <c r="CB50" s="408"/>
      <c r="CC50" s="408"/>
      <c r="CD50" s="408"/>
      <c r="CE50" s="408"/>
      <c r="CF50" s="408"/>
      <c r="CG50" s="408"/>
      <c r="CH50" s="483"/>
      <c r="CI50" s="483"/>
      <c r="CJ50" s="483"/>
      <c r="CK50" s="483"/>
      <c r="CL50" s="484"/>
      <c r="CM50" s="483"/>
      <c r="CN50" s="483"/>
      <c r="CO50" s="483"/>
      <c r="CP50" s="483"/>
      <c r="CQ50" s="483"/>
      <c r="CR50" s="483"/>
      <c r="CS50" s="483"/>
      <c r="CT50" s="483"/>
      <c r="CU50" s="483"/>
      <c r="CV50" s="483"/>
      <c r="CW50" s="483"/>
      <c r="CX50" s="408"/>
      <c r="CY50" s="408"/>
      <c r="CZ50" s="408"/>
      <c r="DA50" s="408"/>
      <c r="DB50" s="408"/>
      <c r="DC50" s="408"/>
      <c r="DD50" s="408"/>
      <c r="DE50" s="408"/>
      <c r="DF50" s="408"/>
      <c r="DG50" s="408"/>
      <c r="DH50" s="408"/>
      <c r="DI50" s="408"/>
      <c r="DJ50" s="483"/>
      <c r="DK50" s="483"/>
      <c r="DL50" s="483"/>
      <c r="DM50" s="483"/>
      <c r="DN50" s="483"/>
      <c r="DO50" s="483"/>
      <c r="DP50" s="483"/>
      <c r="DQ50" s="483"/>
      <c r="DR50" s="483"/>
      <c r="DS50" s="483"/>
      <c r="DT50" s="483"/>
      <c r="DU50" s="483"/>
      <c r="DV50" s="196"/>
      <c r="DW50" s="196"/>
      <c r="DX50" s="196"/>
      <c r="DY50" s="468"/>
      <c r="EL50" s="456"/>
      <c r="EM50" s="456"/>
      <c r="EN50" s="456"/>
      <c r="EO50" s="456"/>
      <c r="EP50" s="456"/>
      <c r="EQ50" s="456"/>
      <c r="ER50" s="456"/>
      <c r="ES50" s="456"/>
      <c r="FF50" s="456"/>
      <c r="FG50" s="456"/>
      <c r="FH50" s="456"/>
      <c r="FI50" s="456"/>
      <c r="FJ50" s="456"/>
      <c r="FK50" s="456"/>
      <c r="FL50" s="456"/>
      <c r="FM50" s="456"/>
      <c r="FN50" s="456"/>
      <c r="FO50" s="456"/>
      <c r="FP50" s="456"/>
      <c r="FQ50" s="456"/>
      <c r="FR50" s="408"/>
      <c r="FS50" s="408"/>
      <c r="FT50" s="408"/>
      <c r="FU50" s="408"/>
      <c r="FV50" s="408"/>
      <c r="FW50" s="408"/>
      <c r="FX50" s="408"/>
      <c r="FY50" s="408"/>
      <c r="FZ50" s="408"/>
      <c r="GA50" s="408"/>
      <c r="GB50" s="408"/>
      <c r="GC50" s="408"/>
      <c r="GD50" s="456"/>
      <c r="GE50" s="456"/>
      <c r="GF50" s="456"/>
      <c r="GG50" s="456"/>
      <c r="GH50" s="456"/>
      <c r="GI50" s="456"/>
      <c r="GJ50" s="456"/>
      <c r="GK50" s="456"/>
      <c r="GL50" s="456"/>
      <c r="GM50" s="456"/>
      <c r="GN50" s="456"/>
      <c r="GO50" s="456"/>
      <c r="GP50" s="408"/>
      <c r="GQ50" s="408"/>
      <c r="GR50" s="408"/>
      <c r="GS50" s="408"/>
      <c r="GT50" s="408"/>
      <c r="GU50" s="408"/>
      <c r="GV50" s="408"/>
      <c r="GW50" s="408"/>
      <c r="GX50" s="456"/>
      <c r="GY50" s="456"/>
      <c r="GZ50" s="456"/>
      <c r="HA50" s="456"/>
      <c r="HB50" s="456"/>
      <c r="HC50" s="456"/>
      <c r="HD50" s="456"/>
      <c r="HE50" s="456"/>
      <c r="HF50" s="456"/>
      <c r="HG50" s="456"/>
      <c r="HH50" s="456"/>
      <c r="HI50" s="456"/>
      <c r="HJ50" s="408"/>
      <c r="HK50" s="408"/>
      <c r="HL50" s="408"/>
      <c r="HM50" s="408"/>
      <c r="HN50" s="408"/>
      <c r="HO50" s="408"/>
      <c r="HP50" s="408"/>
      <c r="HQ50" s="408"/>
      <c r="HR50" s="408"/>
      <c r="HS50" s="408"/>
      <c r="HT50" s="408"/>
      <c r="HU50" s="408"/>
      <c r="HV50" s="456"/>
      <c r="HW50" s="456"/>
      <c r="HX50" s="456"/>
      <c r="HY50" s="456"/>
      <c r="HZ50" s="456"/>
      <c r="IA50" s="456"/>
      <c r="IB50" s="456"/>
      <c r="IC50" s="456"/>
      <c r="ID50" s="408"/>
      <c r="IE50" s="408"/>
      <c r="IF50" s="408"/>
      <c r="IG50" s="408"/>
      <c r="IH50" s="408"/>
      <c r="II50" s="408"/>
      <c r="IJ50" s="408"/>
      <c r="IK50" s="408"/>
      <c r="IL50" s="408"/>
      <c r="IM50" s="408"/>
      <c r="IN50" s="408"/>
      <c r="IO50" s="408"/>
      <c r="IP50" s="456"/>
      <c r="IQ50" s="456"/>
      <c r="IR50" s="456"/>
      <c r="IS50" s="456"/>
      <c r="IT50" s="456"/>
      <c r="IU50" s="456"/>
      <c r="IV50" s="456"/>
      <c r="IW50" s="456"/>
      <c r="IX50" s="456"/>
      <c r="IY50" s="456"/>
      <c r="IZ50" s="456"/>
      <c r="JA50" s="456"/>
      <c r="JB50" s="408"/>
      <c r="JC50" s="408"/>
      <c r="JD50" s="408"/>
      <c r="JE50" s="408"/>
      <c r="JF50" s="408"/>
      <c r="JG50" s="408"/>
      <c r="JH50" s="408"/>
      <c r="JI50" s="408"/>
      <c r="JJ50" s="408"/>
      <c r="JK50" s="408"/>
      <c r="JL50" s="408"/>
      <c r="JM50" s="408"/>
      <c r="JN50" s="456"/>
      <c r="JO50" s="456"/>
      <c r="JP50" s="456"/>
      <c r="JQ50" s="456"/>
      <c r="JR50" s="456"/>
      <c r="JS50" s="456"/>
      <c r="JT50" s="456"/>
      <c r="JU50" s="456"/>
      <c r="JV50" s="408"/>
      <c r="JW50" s="408"/>
      <c r="JX50" s="408"/>
      <c r="JY50" s="408"/>
      <c r="JZ50" s="408"/>
      <c r="KA50" s="408"/>
      <c r="KB50" s="408"/>
      <c r="KC50" s="408"/>
      <c r="KD50" s="408"/>
      <c r="KE50" s="408"/>
      <c r="KF50" s="408"/>
      <c r="KG50" s="408"/>
      <c r="KH50" s="456"/>
      <c r="KI50" s="456"/>
      <c r="KJ50" s="456"/>
      <c r="KK50" s="456"/>
      <c r="KL50" s="456"/>
      <c r="KM50" s="456"/>
      <c r="KN50" s="456"/>
      <c r="KO50" s="456"/>
      <c r="KP50" s="456"/>
      <c r="KQ50" s="456"/>
      <c r="KR50" s="456"/>
      <c r="KS50" s="456"/>
      <c r="KT50" s="408"/>
      <c r="KU50" s="408"/>
      <c r="KV50" s="408"/>
      <c r="KW50" s="408"/>
      <c r="KX50" s="408"/>
      <c r="KY50" s="408"/>
      <c r="KZ50" s="408"/>
      <c r="LA50" s="408"/>
      <c r="LB50" s="408"/>
      <c r="LC50" s="408"/>
      <c r="LD50" s="408"/>
      <c r="LE50" s="408"/>
      <c r="LF50" s="456"/>
      <c r="LG50" s="456"/>
      <c r="LH50" s="456"/>
      <c r="LI50" s="456"/>
      <c r="LJ50" s="456"/>
      <c r="LK50" s="456"/>
      <c r="LL50" s="456"/>
      <c r="LM50" s="456"/>
      <c r="LN50" s="456"/>
      <c r="LO50" s="456"/>
      <c r="LP50" s="456"/>
      <c r="LQ50" s="456"/>
      <c r="LR50" s="408"/>
      <c r="LS50" s="408"/>
      <c r="LT50" s="408"/>
      <c r="LU50" s="408"/>
      <c r="LV50" s="408"/>
      <c r="LW50" s="408"/>
      <c r="LX50" s="408"/>
      <c r="LY50" s="408"/>
      <c r="LZ50" s="408"/>
      <c r="MA50" s="408"/>
      <c r="MB50" s="408"/>
      <c r="MC50" s="408"/>
      <c r="MD50" s="456"/>
      <c r="ME50" s="456"/>
      <c r="MF50" s="456"/>
      <c r="MG50" s="456"/>
      <c r="MH50" s="456"/>
      <c r="MI50" s="456"/>
      <c r="MJ50" s="456"/>
      <c r="MK50" s="456"/>
      <c r="ML50" s="456"/>
      <c r="MM50" s="456"/>
      <c r="MN50" s="456"/>
      <c r="MO50" s="456"/>
      <c r="MP50" s="408"/>
      <c r="MQ50" s="408"/>
      <c r="MR50" s="408"/>
      <c r="MS50" s="408"/>
      <c r="MT50" s="408"/>
      <c r="MU50" s="408"/>
      <c r="MV50" s="408"/>
      <c r="MW50" s="408"/>
      <c r="MX50" s="408"/>
      <c r="MY50" s="408"/>
      <c r="MZ50" s="408"/>
      <c r="NA50" s="408"/>
      <c r="NB50" s="456"/>
      <c r="NC50" s="456"/>
      <c r="ND50" s="456"/>
      <c r="NE50" s="456"/>
      <c r="NF50" s="456"/>
      <c r="NG50" s="456"/>
      <c r="NH50" s="456"/>
      <c r="NI50" s="456"/>
      <c r="NJ50" s="456"/>
      <c r="NK50" s="456"/>
      <c r="NL50" s="456"/>
      <c r="NM50" s="456"/>
      <c r="NN50" s="408"/>
      <c r="NO50" s="408"/>
      <c r="NP50" s="408"/>
      <c r="NQ50" s="408"/>
      <c r="NR50" s="408"/>
      <c r="NS50" s="408"/>
      <c r="NT50" s="408"/>
      <c r="NU50" s="408"/>
      <c r="NV50" s="408"/>
      <c r="NW50" s="408"/>
      <c r="NX50" s="408"/>
      <c r="NY50" s="408"/>
      <c r="NZ50" s="456"/>
      <c r="OA50" s="456"/>
      <c r="OB50" s="456"/>
      <c r="OC50" s="456"/>
      <c r="OD50" s="456"/>
      <c r="OE50" s="456"/>
      <c r="OF50" s="456"/>
      <c r="OG50" s="456"/>
      <c r="OH50" s="456"/>
      <c r="OI50" s="456"/>
      <c r="OJ50" s="456"/>
      <c r="OK50" s="456"/>
      <c r="OL50" s="408"/>
      <c r="OM50" s="408"/>
      <c r="ON50" s="408"/>
      <c r="OO50" s="408"/>
      <c r="OP50" s="408"/>
      <c r="OQ50" s="408"/>
      <c r="OR50" s="408"/>
      <c r="OS50" s="408"/>
      <c r="OT50" s="408"/>
      <c r="OU50" s="408"/>
      <c r="OV50" s="408"/>
      <c r="OW50" s="408"/>
      <c r="OX50" s="456"/>
      <c r="OY50" s="456"/>
      <c r="OZ50" s="456"/>
      <c r="PA50" s="456"/>
      <c r="PB50" s="456"/>
      <c r="PC50" s="456"/>
      <c r="PD50" s="456"/>
      <c r="PE50" s="456"/>
      <c r="PF50" s="456"/>
      <c r="PG50" s="456"/>
      <c r="PH50" s="456"/>
      <c r="PI50" s="456"/>
      <c r="PJ50" s="408"/>
      <c r="PK50" s="408"/>
      <c r="PL50" s="408"/>
      <c r="PM50" s="408"/>
      <c r="PN50" s="408"/>
      <c r="PO50" s="408"/>
      <c r="PP50" s="408"/>
      <c r="PQ50" s="408"/>
      <c r="PR50" s="408"/>
      <c r="PS50" s="408"/>
      <c r="PT50" s="408"/>
      <c r="PU50" s="408"/>
      <c r="PV50" s="456"/>
      <c r="PW50" s="456"/>
      <c r="PX50" s="456"/>
      <c r="PY50" s="456"/>
      <c r="PZ50" s="456"/>
      <c r="QA50" s="456"/>
      <c r="QB50" s="456"/>
      <c r="QC50" s="456"/>
      <c r="QD50" s="408"/>
      <c r="QE50" s="408"/>
      <c r="QF50" s="408"/>
      <c r="QG50" s="408"/>
      <c r="QH50" s="408"/>
      <c r="QI50" s="408"/>
      <c r="QJ50" s="408"/>
      <c r="QK50" s="408"/>
      <c r="QL50" s="408"/>
      <c r="QM50" s="408"/>
      <c r="QN50" s="408"/>
      <c r="QO50" s="408"/>
      <c r="QP50" s="456"/>
      <c r="QQ50" s="456"/>
      <c r="QR50" s="456"/>
      <c r="QS50" s="456"/>
      <c r="QT50" s="456"/>
      <c r="QU50" s="456"/>
      <c r="QV50" s="456"/>
      <c r="QW50" s="456"/>
      <c r="QX50" s="456"/>
      <c r="QY50" s="456"/>
      <c r="QZ50" s="456"/>
      <c r="RA50" s="456"/>
      <c r="RB50" s="408"/>
      <c r="RC50" s="408"/>
      <c r="RD50" s="408"/>
      <c r="RE50" s="408"/>
      <c r="RF50" s="408"/>
      <c r="RG50" s="408"/>
      <c r="RH50" s="408"/>
      <c r="RI50" s="408"/>
      <c r="RJ50" s="408"/>
      <c r="RK50" s="408"/>
      <c r="RL50" s="408"/>
      <c r="RM50" s="408"/>
      <c r="RN50" s="456"/>
      <c r="RO50" s="456"/>
      <c r="RP50" s="456"/>
      <c r="RQ50" s="456"/>
      <c r="RR50" s="456"/>
      <c r="RS50" s="456"/>
      <c r="RT50" s="456"/>
      <c r="RU50" s="456"/>
      <c r="RV50" s="456"/>
      <c r="RW50" s="456"/>
      <c r="RX50" s="456"/>
      <c r="RY50" s="456"/>
      <c r="RZ50" s="408"/>
      <c r="SA50" s="408"/>
      <c r="SB50" s="408"/>
      <c r="SC50" s="408"/>
      <c r="SD50" s="408"/>
      <c r="SE50" s="408"/>
      <c r="SF50" s="408"/>
      <c r="SG50" s="408"/>
      <c r="SH50" s="408"/>
      <c r="SI50" s="408"/>
      <c r="SJ50" s="408"/>
      <c r="SK50" s="408"/>
      <c r="SL50" s="456"/>
      <c r="SM50" s="456"/>
      <c r="SN50" s="456"/>
      <c r="SO50" s="456"/>
      <c r="SP50" s="456"/>
      <c r="SQ50" s="456"/>
      <c r="SR50" s="456"/>
      <c r="SS50" s="456"/>
      <c r="ST50" s="456"/>
      <c r="SU50" s="456"/>
      <c r="SV50" s="456"/>
      <c r="SW50" s="456"/>
      <c r="SX50" s="408"/>
      <c r="SY50" s="408"/>
      <c r="SZ50" s="408"/>
      <c r="TA50" s="408"/>
      <c r="TB50" s="408"/>
      <c r="TC50" s="408"/>
      <c r="TD50" s="408"/>
      <c r="TE50" s="408"/>
      <c r="TF50" s="408"/>
      <c r="TG50" s="408"/>
      <c r="TH50" s="408"/>
      <c r="TI50" s="408"/>
      <c r="TJ50" s="456"/>
      <c r="TK50" s="456"/>
      <c r="TL50" s="456"/>
      <c r="TM50" s="456"/>
      <c r="TN50" s="456"/>
      <c r="TO50" s="456"/>
      <c r="TP50" s="456"/>
      <c r="TQ50" s="456"/>
      <c r="TR50" s="456"/>
      <c r="TS50" s="456"/>
      <c r="TT50" s="456"/>
      <c r="TU50" s="456"/>
      <c r="TV50" s="408"/>
      <c r="TW50" s="408"/>
      <c r="TX50" s="408"/>
      <c r="TY50" s="408"/>
      <c r="TZ50" s="408"/>
      <c r="UA50" s="408"/>
      <c r="UB50" s="408"/>
      <c r="UC50" s="408"/>
      <c r="UD50" s="408"/>
      <c r="UE50" s="408"/>
      <c r="UF50" s="408"/>
      <c r="UG50" s="408"/>
      <c r="UH50" s="456"/>
      <c r="UI50" s="456"/>
      <c r="UJ50" s="456"/>
      <c r="UK50" s="456"/>
      <c r="UL50" s="456"/>
      <c r="UM50" s="456"/>
      <c r="UN50" s="456"/>
      <c r="UO50" s="456"/>
      <c r="UP50" s="456"/>
      <c r="UQ50" s="456"/>
      <c r="UR50" s="456"/>
      <c r="US50" s="456"/>
      <c r="UT50" s="408"/>
      <c r="UU50" s="408"/>
      <c r="UV50" s="408"/>
      <c r="UW50" s="408"/>
      <c r="UX50" s="408"/>
      <c r="UY50" s="408"/>
      <c r="UZ50" s="408"/>
      <c r="VA50" s="408"/>
      <c r="VB50" s="408"/>
      <c r="VC50" s="408"/>
      <c r="VD50" s="408"/>
      <c r="VE50" s="408"/>
      <c r="VF50" s="456"/>
      <c r="VG50" s="456"/>
      <c r="VH50" s="456"/>
      <c r="VI50" s="456"/>
      <c r="VJ50" s="456"/>
      <c r="VK50" s="456"/>
      <c r="VL50" s="456"/>
      <c r="VM50" s="456"/>
      <c r="VN50" s="456"/>
      <c r="VO50" s="456"/>
      <c r="VP50" s="456"/>
      <c r="VQ50" s="456"/>
      <c r="VR50" s="408"/>
      <c r="VS50" s="408"/>
      <c r="VT50" s="408"/>
      <c r="VU50" s="408"/>
      <c r="VV50" s="408"/>
      <c r="VW50" s="408"/>
      <c r="VX50" s="408"/>
      <c r="VY50" s="408"/>
      <c r="VZ50" s="408"/>
      <c r="WA50" s="408"/>
      <c r="WB50" s="408"/>
      <c r="WC50" s="408"/>
      <c r="WD50" s="456"/>
      <c r="WE50" s="456"/>
      <c r="WF50" s="456"/>
      <c r="WG50" s="456"/>
      <c r="WH50" s="456"/>
      <c r="WI50" s="456"/>
      <c r="WJ50" s="456"/>
      <c r="WK50" s="456"/>
      <c r="WL50" s="456"/>
      <c r="WM50" s="456"/>
      <c r="WN50" s="456"/>
      <c r="WO50" s="456"/>
      <c r="WP50" s="408"/>
      <c r="WQ50" s="408"/>
      <c r="WR50" s="408"/>
      <c r="WS50" s="408"/>
      <c r="WT50" s="408"/>
      <c r="WU50" s="408"/>
      <c r="WV50" s="408"/>
      <c r="WW50" s="408"/>
      <c r="WX50" s="408"/>
      <c r="WY50" s="408"/>
      <c r="WZ50" s="408"/>
      <c r="XA50" s="408"/>
      <c r="XB50" s="456"/>
      <c r="XC50" s="456"/>
      <c r="XD50" s="456"/>
      <c r="XE50" s="456"/>
      <c r="XF50" s="456"/>
      <c r="XG50" s="456"/>
      <c r="XH50" s="456"/>
      <c r="XI50" s="456"/>
      <c r="XJ50" s="456"/>
      <c r="XK50" s="456"/>
      <c r="XL50" s="456"/>
      <c r="XM50" s="456"/>
      <c r="XN50" s="415">
        <v>0</v>
      </c>
      <c r="XO50" s="415">
        <v>0</v>
      </c>
      <c r="XP50" s="415">
        <v>0</v>
      </c>
      <c r="XQ50" s="415">
        <v>0</v>
      </c>
      <c r="XZ50" s="458"/>
      <c r="YA50" s="458"/>
      <c r="YB50" s="458"/>
      <c r="YC50" s="408"/>
      <c r="YD50" s="408"/>
      <c r="YE50" s="408"/>
      <c r="YF50" s="458"/>
      <c r="YG50" s="458"/>
      <c r="YH50" s="458"/>
      <c r="YI50" s="458"/>
      <c r="YJ50" s="408"/>
      <c r="YK50" s="408"/>
      <c r="YL50" s="408"/>
      <c r="YM50" s="458"/>
      <c r="YN50" s="458"/>
      <c r="YO50" s="458"/>
      <c r="YP50" s="458"/>
      <c r="YQ50" s="408"/>
      <c r="YR50" s="458"/>
      <c r="YS50" s="458"/>
      <c r="YT50" s="458"/>
      <c r="YU50" s="458"/>
      <c r="YV50" s="408"/>
      <c r="YW50" s="408"/>
      <c r="YX50" s="408"/>
      <c r="YY50" s="458"/>
      <c r="YZ50" s="458"/>
      <c r="ZA50" s="458"/>
      <c r="ZB50" s="458"/>
      <c r="ZC50" s="408"/>
      <c r="ZD50" s="408"/>
      <c r="ZE50" s="408"/>
      <c r="ZF50" s="458"/>
      <c r="ZG50" s="408"/>
      <c r="ZH50" s="408"/>
      <c r="ZI50" s="408"/>
      <c r="ZJ50" s="458"/>
      <c r="ZK50" s="458"/>
      <c r="ZL50" s="458"/>
      <c r="ZM50" s="458"/>
      <c r="ZN50" s="408"/>
      <c r="ZO50" s="410"/>
      <c r="ZP50" s="410"/>
      <c r="ZQ50" s="458"/>
      <c r="ZR50" s="458"/>
      <c r="ZS50" s="458"/>
      <c r="ZT50" s="458"/>
      <c r="ZX50" s="196"/>
      <c r="ZY50" s="196"/>
      <c r="ZZ50" s="196"/>
      <c r="AAA50" s="196"/>
      <c r="AAB50" s="196"/>
      <c r="AAC50" s="408"/>
      <c r="AAD50" s="408"/>
      <c r="AAE50" s="196"/>
      <c r="AAF50" s="196"/>
      <c r="AAG50" s="196"/>
      <c r="AAH50" s="196"/>
      <c r="AAI50" s="408"/>
      <c r="AAJ50" s="408"/>
      <c r="AAK50" s="408"/>
      <c r="AAQ50" s="408"/>
      <c r="AAR50" s="408"/>
      <c r="AAS50" s="408"/>
      <c r="AAT50" s="408"/>
      <c r="AAU50" s="408"/>
      <c r="AAV50" s="408"/>
      <c r="AAW50" s="408"/>
      <c r="AAX50" s="408"/>
      <c r="AAY50" s="408"/>
      <c r="AAZ50" s="408"/>
      <c r="ABA50" s="408"/>
      <c r="ABB50" s="408"/>
      <c r="ABC50" s="408"/>
      <c r="ABD50" s="408"/>
      <c r="ABE50" s="408"/>
      <c r="ABF50" s="408"/>
      <c r="ABG50" s="408"/>
      <c r="ABH50" s="408"/>
      <c r="ABI50" s="408"/>
      <c r="ABJ50" s="408"/>
      <c r="ABK50" s="408"/>
      <c r="ABL50" s="408"/>
      <c r="ABM50" s="408"/>
      <c r="ABN50" s="408"/>
      <c r="ABO50" s="408"/>
      <c r="ABP50" s="408"/>
      <c r="ABQ50" s="408"/>
      <c r="ABR50" s="408"/>
      <c r="ABS50" s="408"/>
      <c r="ABT50" s="408"/>
      <c r="ABU50" s="408"/>
      <c r="ABV50" s="408"/>
      <c r="ABW50" s="408"/>
      <c r="ABX50" s="408"/>
      <c r="ABY50" s="408"/>
      <c r="ABZ50" s="408"/>
      <c r="ACA50" s="408"/>
      <c r="ACB50" s="408"/>
      <c r="ACC50" s="408"/>
      <c r="ACD50" s="408"/>
      <c r="ACE50" s="408"/>
      <c r="ACF50" s="408"/>
      <c r="ACG50" s="408"/>
      <c r="ACH50" s="408"/>
      <c r="ACI50" s="408"/>
      <c r="ACJ50" s="408"/>
      <c r="ACK50" s="408"/>
      <c r="ACL50" s="408"/>
      <c r="ACM50" s="408"/>
      <c r="ACN50" s="408"/>
      <c r="ACO50" s="408"/>
      <c r="ACP50" s="408"/>
      <c r="ACQ50" s="408"/>
      <c r="ACR50" s="408"/>
      <c r="ACS50" s="408"/>
      <c r="ACT50" s="408"/>
      <c r="ACU50" s="408"/>
      <c r="ACV50" s="408"/>
      <c r="ACW50" s="408"/>
      <c r="ACX50" s="408"/>
      <c r="ACY50" s="408"/>
      <c r="ACZ50" s="408"/>
      <c r="ADA50" s="408"/>
      <c r="ADB50" s="408"/>
      <c r="ADC50" s="408"/>
      <c r="ADD50" s="408"/>
      <c r="ADE50" s="408"/>
      <c r="ADF50" s="408"/>
      <c r="ADG50" s="408"/>
      <c r="ADH50" s="408"/>
      <c r="ADI50" s="408"/>
      <c r="ADJ50" s="408"/>
      <c r="ADK50" s="408"/>
      <c r="ADL50" s="408"/>
      <c r="ADM50" s="408"/>
      <c r="ADN50" s="408"/>
      <c r="ADO50" s="408"/>
      <c r="ADP50" s="408"/>
      <c r="ADQ50" s="408"/>
      <c r="ADR50" s="408"/>
      <c r="ADS50" s="408"/>
      <c r="ADT50" s="408"/>
      <c r="ADU50" s="408"/>
      <c r="ADV50" s="408"/>
      <c r="ADW50" s="408"/>
      <c r="ADX50" s="408"/>
      <c r="ADY50" s="408"/>
      <c r="ADZ50" s="408"/>
      <c r="AEA50" s="408"/>
      <c r="AEB50" s="408"/>
      <c r="AEC50" s="408"/>
      <c r="AED50" s="408"/>
      <c r="AEE50" s="408"/>
      <c r="AEF50" s="408"/>
      <c r="AEG50" s="408"/>
      <c r="AEH50" s="408"/>
      <c r="AEI50" s="408"/>
      <c r="AEJ50" s="408"/>
      <c r="AEK50" s="408"/>
      <c r="AEL50" s="408"/>
      <c r="AEM50" s="408"/>
      <c r="AEN50" s="408"/>
      <c r="AEO50" s="408"/>
      <c r="AEP50" s="408"/>
      <c r="AEQ50" s="408"/>
      <c r="AER50" s="408"/>
      <c r="AES50" s="408"/>
      <c r="AET50" s="408"/>
      <c r="AEU50" s="408"/>
      <c r="AEV50" s="408"/>
      <c r="AEW50" s="408"/>
      <c r="AEX50" s="408"/>
      <c r="AEY50" s="408"/>
      <c r="AEZ50" s="408"/>
      <c r="AFA50" s="408"/>
      <c r="AFB50" s="408"/>
      <c r="AFC50" s="408"/>
      <c r="AFD50" s="408"/>
      <c r="AFE50" s="408"/>
      <c r="AFF50" s="408"/>
      <c r="AFG50" s="408"/>
      <c r="AFH50" s="408"/>
      <c r="AFI50" s="408"/>
      <c r="AFJ50" s="408"/>
      <c r="AFK50" s="408"/>
      <c r="AFL50" s="408"/>
      <c r="AFM50" s="408"/>
      <c r="AFN50" s="408"/>
      <c r="AFO50" s="408"/>
      <c r="AFP50" s="408"/>
      <c r="AFQ50" s="408"/>
      <c r="AFR50" s="408"/>
      <c r="AFS50" s="408"/>
      <c r="AFT50" s="408"/>
      <c r="AFU50" s="408"/>
      <c r="AFV50" s="408"/>
      <c r="AFW50" s="408"/>
      <c r="AFX50" s="408"/>
      <c r="AFY50" s="408"/>
      <c r="AFZ50" s="408"/>
      <c r="AGA50" s="408"/>
      <c r="AGB50" s="408"/>
      <c r="AGC50" s="408"/>
      <c r="AGD50" s="408"/>
      <c r="AGE50" s="408"/>
      <c r="AGF50" s="408"/>
      <c r="AGG50" s="408"/>
      <c r="AGH50" s="408"/>
      <c r="AGI50" s="408"/>
      <c r="AGJ50" s="408"/>
      <c r="AGK50" s="408"/>
      <c r="AGL50" s="408"/>
      <c r="AGM50" s="408"/>
      <c r="AGN50" s="408"/>
      <c r="AGO50" s="408"/>
      <c r="AGP50" s="408"/>
      <c r="AGQ50" s="408"/>
      <c r="AGR50" s="408"/>
      <c r="AGS50" s="408"/>
      <c r="AGT50" s="408"/>
      <c r="AGU50" s="408"/>
      <c r="AGV50" s="408"/>
      <c r="AGW50" s="408"/>
      <c r="AGX50" s="408"/>
      <c r="AGY50" s="408"/>
      <c r="AGZ50" s="408"/>
      <c r="AHA50" s="408"/>
      <c r="AHB50" s="408"/>
      <c r="AHC50" s="408"/>
      <c r="AHD50" s="408"/>
      <c r="AHE50" s="408"/>
      <c r="AHF50" s="408"/>
      <c r="AHG50" s="408"/>
      <c r="AHH50" s="408"/>
      <c r="AHI50" s="408"/>
      <c r="AHJ50" s="408"/>
      <c r="AHK50" s="408"/>
      <c r="AHL50" s="408"/>
      <c r="AHM50" s="408"/>
      <c r="AHN50" s="408"/>
      <c r="AHO50" s="408"/>
      <c r="AHP50" s="408"/>
      <c r="AHQ50" s="408"/>
      <c r="AHR50" s="408"/>
      <c r="AHS50" s="408"/>
      <c r="AHT50" s="408"/>
      <c r="AHU50" s="408"/>
      <c r="AHV50" s="408"/>
      <c r="AHW50" s="408"/>
      <c r="AHX50" s="408"/>
      <c r="AHY50" s="408"/>
      <c r="AHZ50" s="408"/>
      <c r="AIA50" s="408"/>
      <c r="AIB50" s="408"/>
      <c r="AIC50" s="408"/>
      <c r="AID50" s="408"/>
      <c r="AIE50" s="408"/>
      <c r="AIF50" s="408"/>
      <c r="AIG50" s="408"/>
      <c r="AIH50" s="408"/>
      <c r="AII50" s="408"/>
      <c r="AIJ50" s="408"/>
      <c r="AIK50" s="408"/>
      <c r="AIL50" s="408"/>
      <c r="AIM50" s="408"/>
      <c r="AIN50" s="408"/>
      <c r="AIO50" s="408"/>
      <c r="AIP50" s="408"/>
      <c r="AIQ50" s="408"/>
      <c r="AIR50" s="408"/>
      <c r="AIS50" s="408"/>
      <c r="AIT50" s="408"/>
      <c r="AIU50" s="408"/>
      <c r="AIV50" s="408"/>
      <c r="AIW50" s="408"/>
      <c r="AIX50" s="408"/>
      <c r="AIY50" s="408"/>
      <c r="AIZ50" s="408"/>
      <c r="AJA50" s="408"/>
      <c r="AJB50" s="408"/>
      <c r="AJC50" s="408"/>
      <c r="AJD50" s="408"/>
      <c r="AJE50" s="408"/>
      <c r="AJF50" s="408"/>
      <c r="AJG50" s="408"/>
      <c r="AJH50" s="408"/>
      <c r="AJI50" s="408"/>
      <c r="AJJ50" s="408"/>
      <c r="AJK50" s="408"/>
      <c r="AJL50" s="408"/>
      <c r="AJM50" s="408"/>
      <c r="AJN50" s="408"/>
      <c r="AJO50" s="408"/>
      <c r="AJP50" s="408"/>
      <c r="AJQ50" s="408"/>
      <c r="AJR50" s="408"/>
      <c r="AJS50" s="408"/>
      <c r="AJT50" s="408"/>
      <c r="AJU50" s="408"/>
      <c r="AJV50" s="408"/>
      <c r="AJW50" s="408"/>
      <c r="AJX50" s="408"/>
      <c r="AJY50" s="408"/>
      <c r="AJZ50" s="408"/>
      <c r="AKA50" s="408"/>
      <c r="AKB50" s="408"/>
      <c r="AKC50" s="408"/>
      <c r="AKD50" s="408"/>
      <c r="AKE50" s="408"/>
      <c r="AKF50" s="408"/>
      <c r="AKG50" s="408"/>
      <c r="AKH50" s="408"/>
      <c r="AKI50" s="408"/>
      <c r="AKJ50" s="408"/>
      <c r="AKK50" s="408"/>
      <c r="AKL50" s="408"/>
      <c r="AKM50" s="408"/>
      <c r="AKN50" s="408"/>
      <c r="AKO50" s="408"/>
      <c r="AKP50" s="408"/>
      <c r="AKQ50" s="408"/>
      <c r="AKR50" s="408"/>
      <c r="AKS50" s="408"/>
      <c r="AKT50" s="408"/>
      <c r="AKU50" s="408"/>
      <c r="AKV50" s="408"/>
      <c r="AKW50" s="408"/>
      <c r="AKX50" s="408"/>
      <c r="AKY50" s="408"/>
      <c r="AKZ50" s="408"/>
      <c r="ALA50" s="408"/>
      <c r="ALB50" s="408"/>
      <c r="ALC50" s="408"/>
      <c r="ALD50" s="408"/>
      <c r="ALE50" s="408"/>
      <c r="ALF50" s="408"/>
      <c r="ALG50" s="408"/>
      <c r="ALH50" s="408"/>
      <c r="ALI50" s="408"/>
      <c r="ALJ50" s="408"/>
      <c r="ALK50" s="408"/>
      <c r="ALL50" s="408"/>
      <c r="ALM50" s="408"/>
      <c r="ALN50" s="408"/>
      <c r="ALO50" s="408"/>
      <c r="ALP50" s="408"/>
      <c r="ALQ50" s="408"/>
      <c r="ALR50" s="408"/>
      <c r="ALS50" s="408"/>
      <c r="ALT50" s="408"/>
      <c r="ALU50" s="408"/>
      <c r="ALV50" s="408"/>
      <c r="ALW50" s="408"/>
      <c r="ALX50" s="408"/>
      <c r="ALY50" s="408"/>
      <c r="ALZ50" s="408"/>
      <c r="AMA50" s="408"/>
      <c r="AMB50" s="408"/>
      <c r="AMC50" s="408"/>
      <c r="AMD50" s="408"/>
      <c r="AME50" s="408"/>
      <c r="AMF50" s="408"/>
      <c r="AMG50" s="408"/>
      <c r="AMH50" s="408"/>
      <c r="AMI50" s="408"/>
      <c r="AMJ50" s="408"/>
      <c r="AMK50" s="408"/>
      <c r="AML50" s="408"/>
      <c r="AMM50" s="408"/>
      <c r="AMN50" s="408"/>
      <c r="AMO50" s="408"/>
      <c r="AMP50" s="408"/>
      <c r="AMQ50" s="408"/>
      <c r="AMR50" s="408"/>
      <c r="AMS50" s="408"/>
      <c r="AMT50" s="408"/>
      <c r="AMU50" s="408"/>
      <c r="AMV50" s="408"/>
      <c r="AMW50" s="408"/>
      <c r="AMX50" s="408"/>
      <c r="AMY50" s="408"/>
      <c r="AMZ50" s="408"/>
      <c r="ANA50" s="408"/>
      <c r="ANB50" s="408"/>
      <c r="ANC50" s="408"/>
      <c r="AND50" s="408"/>
      <c r="ANE50" s="408"/>
      <c r="ANF50" s="408"/>
      <c r="ANG50" s="408"/>
      <c r="ANH50" s="408"/>
      <c r="ANI50" s="408"/>
      <c r="ANJ50" s="408"/>
      <c r="ANK50" s="408"/>
      <c r="ANL50" s="408"/>
      <c r="ANM50" s="408"/>
      <c r="ANN50" s="408"/>
      <c r="ANO50" s="408"/>
      <c r="ANP50" s="408"/>
      <c r="ANQ50" s="408"/>
      <c r="ANR50" s="408"/>
      <c r="ANS50" s="408"/>
      <c r="ANT50" s="408"/>
      <c r="ANU50" s="408"/>
      <c r="ANV50" s="408"/>
      <c r="ANW50" s="408"/>
      <c r="ANX50" s="408"/>
      <c r="ANY50" s="408"/>
      <c r="ANZ50" s="408"/>
      <c r="AOA50" s="408"/>
      <c r="AOB50" s="408"/>
      <c r="AOC50" s="408"/>
      <c r="AOD50" s="408"/>
      <c r="AOE50" s="408"/>
      <c r="AOF50" s="408"/>
      <c r="AOG50" s="408"/>
      <c r="AOH50" s="408"/>
      <c r="AOI50" s="408"/>
      <c r="AOJ50" s="408"/>
      <c r="AOK50" s="408"/>
      <c r="AOL50" s="408"/>
      <c r="AOM50" s="408"/>
      <c r="AON50" s="408"/>
      <c r="AOO50" s="408"/>
      <c r="AOP50" s="408"/>
      <c r="AOQ50" s="408"/>
      <c r="AOR50" s="408"/>
      <c r="AOS50" s="408"/>
      <c r="AOT50" s="408"/>
      <c r="AOU50" s="408"/>
      <c r="AOV50" s="408"/>
      <c r="AOW50" s="408"/>
      <c r="AOX50" s="408"/>
      <c r="AOY50" s="408"/>
      <c r="AOZ50" s="408"/>
      <c r="APA50" s="408"/>
      <c r="APB50" s="408"/>
      <c r="APC50" s="408"/>
      <c r="APD50" s="408"/>
      <c r="APE50" s="408"/>
      <c r="APF50" s="408"/>
      <c r="APG50" s="408"/>
      <c r="APH50" s="408"/>
      <c r="API50" s="408"/>
      <c r="APJ50" s="408"/>
      <c r="APK50" s="408"/>
      <c r="APL50" s="408"/>
      <c r="APM50" s="408"/>
      <c r="APN50" s="408"/>
      <c r="APO50" s="408"/>
      <c r="APP50" s="408"/>
      <c r="APQ50" s="408"/>
      <c r="APR50" s="408"/>
      <c r="APS50" s="408"/>
      <c r="APT50" s="408"/>
      <c r="APU50" s="408"/>
      <c r="APV50" s="408"/>
      <c r="APW50" s="408"/>
      <c r="APX50" s="408"/>
      <c r="APY50" s="408"/>
      <c r="APZ50" s="408"/>
      <c r="AQA50" s="408"/>
      <c r="AQB50" s="408"/>
      <c r="AQC50" s="408"/>
      <c r="AQD50" s="408"/>
      <c r="AQE50" s="408"/>
      <c r="AQF50" s="408"/>
      <c r="AQG50" s="408"/>
      <c r="AQH50" s="408"/>
      <c r="AQI50" s="408"/>
      <c r="AQJ50" s="408"/>
      <c r="AQK50" s="408"/>
      <c r="AQL50" s="408"/>
      <c r="AQM50" s="408"/>
      <c r="AQN50" s="408"/>
      <c r="AQO50" s="408"/>
      <c r="AQP50" s="408"/>
      <c r="AQQ50" s="408"/>
      <c r="AQR50" s="408"/>
      <c r="AQS50" s="408"/>
      <c r="AQT50" s="408"/>
      <c r="AQU50" s="408"/>
      <c r="AQV50" s="408"/>
      <c r="AQW50" s="408"/>
      <c r="AQX50" s="408"/>
      <c r="AQY50" s="408"/>
      <c r="AQZ50" s="408"/>
      <c r="ARA50" s="408"/>
      <c r="ARB50" s="408"/>
      <c r="ARC50" s="408"/>
      <c r="ARD50" s="408"/>
      <c r="ARE50" s="408"/>
      <c r="ARF50" s="408"/>
      <c r="ARG50" s="408"/>
      <c r="ARH50" s="408"/>
      <c r="ARI50" s="408"/>
      <c r="ARJ50" s="408"/>
      <c r="ARK50" s="408"/>
      <c r="ARL50" s="408"/>
      <c r="ARM50" s="408"/>
      <c r="ARN50" s="408"/>
      <c r="ARO50" s="408"/>
      <c r="ARP50" s="408"/>
      <c r="ARQ50" s="408"/>
      <c r="ARR50" s="408"/>
      <c r="ARS50" s="408"/>
      <c r="ART50" s="408"/>
      <c r="ARU50" s="408"/>
      <c r="ARV50" s="408"/>
      <c r="ARW50" s="408"/>
      <c r="ARX50" s="408"/>
      <c r="ARY50" s="408"/>
      <c r="ARZ50" s="408"/>
      <c r="ASA50" s="408"/>
      <c r="ASB50" s="408"/>
      <c r="ASC50" s="408"/>
      <c r="ASD50" s="408"/>
      <c r="ASE50" s="408"/>
      <c r="ASF50" s="408"/>
      <c r="ASG50" s="408"/>
      <c r="ASH50" s="408"/>
      <c r="ASI50" s="408"/>
      <c r="ASJ50" s="408"/>
      <c r="ASK50" s="408"/>
      <c r="ASL50" s="408"/>
      <c r="ASM50" s="408"/>
      <c r="ASN50" s="408"/>
      <c r="ASO50" s="408"/>
      <c r="ASP50" s="408"/>
      <c r="ASQ50" s="408"/>
      <c r="ASR50" s="408"/>
      <c r="ASS50" s="408"/>
      <c r="AST50" s="408"/>
      <c r="ASU50" s="408"/>
      <c r="ASV50" s="408"/>
      <c r="ASW50" s="408"/>
      <c r="ASX50" s="408"/>
      <c r="ASY50" s="408"/>
      <c r="ASZ50" s="408"/>
      <c r="ATA50" s="408"/>
      <c r="ATB50" s="408"/>
      <c r="ATC50" s="408"/>
      <c r="ATD50" s="408"/>
      <c r="ATE50" s="408"/>
      <c r="ATF50" s="408"/>
      <c r="ATG50" s="408"/>
      <c r="ATH50" s="408"/>
      <c r="ATI50" s="408"/>
      <c r="ATJ50" s="408"/>
      <c r="ATK50" s="408"/>
      <c r="ATL50" s="408"/>
      <c r="ATM50" s="408"/>
      <c r="ATN50" s="408"/>
      <c r="ATO50" s="408"/>
      <c r="ATP50" s="408"/>
      <c r="ATQ50" s="408"/>
      <c r="ATR50" s="408"/>
      <c r="ATS50" s="408"/>
      <c r="ATT50" s="408"/>
      <c r="ATU50" s="408"/>
      <c r="ATV50" s="408"/>
      <c r="ATW50" s="408"/>
      <c r="ATX50" s="408"/>
      <c r="ATY50" s="408"/>
      <c r="ATZ50" s="408"/>
      <c r="AUA50" s="408"/>
      <c r="AUB50" s="408"/>
      <c r="AUC50" s="408"/>
      <c r="AUD50" s="408"/>
      <c r="AUE50" s="408"/>
      <c r="AUF50" s="408"/>
      <c r="AUG50" s="408"/>
      <c r="AUH50" s="408"/>
      <c r="AUI50" s="408"/>
      <c r="AUJ50" s="408"/>
      <c r="AUK50" s="408"/>
      <c r="AUL50" s="408"/>
      <c r="AUM50" s="408"/>
      <c r="AUN50" s="408"/>
      <c r="AUO50" s="408"/>
      <c r="AUP50" s="408"/>
      <c r="AUQ50" s="408"/>
      <c r="AUR50" s="408"/>
      <c r="AUS50" s="408"/>
      <c r="AUT50" s="408"/>
      <c r="AUU50" s="408"/>
      <c r="AUV50" s="408"/>
      <c r="AUW50" s="408"/>
      <c r="AUX50" s="408"/>
      <c r="AUY50" s="408"/>
      <c r="AUZ50" s="408"/>
      <c r="AVA50" s="408"/>
      <c r="AVB50" s="408"/>
      <c r="AVC50" s="408"/>
      <c r="AVD50" s="408"/>
      <c r="AVE50" s="408"/>
      <c r="AVF50" s="408"/>
      <c r="AVG50" s="408"/>
      <c r="AVH50" s="408"/>
      <c r="AVI50" s="408"/>
      <c r="AVJ50" s="408"/>
      <c r="AVK50" s="408"/>
      <c r="AVL50" s="408"/>
      <c r="AVM50" s="408"/>
      <c r="AVN50" s="408"/>
      <c r="AVO50" s="408"/>
      <c r="AVP50" s="408"/>
      <c r="AVQ50" s="408"/>
      <c r="AVR50" s="408"/>
      <c r="AVS50" s="408"/>
      <c r="AVT50" s="408"/>
      <c r="AVU50" s="408"/>
      <c r="AVV50" s="408"/>
      <c r="AVW50" s="408"/>
      <c r="AVX50" s="408"/>
      <c r="AVY50" s="408"/>
      <c r="AVZ50" s="408"/>
      <c r="AWA50" s="408"/>
      <c r="AWB50" s="408"/>
      <c r="AWC50" s="408"/>
      <c r="AWD50" s="408"/>
      <c r="AWE50" s="408"/>
      <c r="AWF50" s="408"/>
      <c r="AWG50" s="408"/>
      <c r="AWH50" s="408"/>
      <c r="AWI50" s="408"/>
      <c r="AWJ50" s="408"/>
      <c r="AWK50" s="408"/>
      <c r="AWL50" s="408"/>
      <c r="AWM50" s="408"/>
      <c r="AWN50" s="408"/>
      <c r="AWO50" s="408"/>
      <c r="AWP50" s="408"/>
      <c r="AWQ50" s="408"/>
      <c r="AWR50" s="408"/>
      <c r="AWS50" s="408"/>
      <c r="AWT50" s="408"/>
      <c r="AWU50" s="408"/>
      <c r="AWV50" s="408"/>
      <c r="AWW50" s="408"/>
      <c r="AWX50" s="408"/>
      <c r="AWY50" s="408"/>
      <c r="AWZ50" s="408"/>
      <c r="AXA50" s="408"/>
      <c r="AXB50" s="408"/>
      <c r="AXC50" s="408"/>
      <c r="AXD50" s="408"/>
      <c r="AXE50" s="408"/>
      <c r="AXF50" s="408"/>
      <c r="AXG50" s="408"/>
      <c r="AXH50" s="408"/>
      <c r="AXI50" s="408"/>
      <c r="AXJ50" s="408"/>
      <c r="AXK50" s="408"/>
      <c r="AXL50" s="408"/>
      <c r="AXM50" s="408"/>
      <c r="AXN50" s="408"/>
      <c r="AXO50" s="408"/>
      <c r="AXP50" s="408"/>
      <c r="AXQ50" s="408"/>
      <c r="AXR50" s="408"/>
      <c r="AXS50" s="408"/>
      <c r="AXT50" s="408"/>
      <c r="AXU50" s="408"/>
      <c r="AXV50" s="408"/>
      <c r="AXW50" s="408"/>
      <c r="AXX50" s="408"/>
      <c r="AXY50" s="408"/>
      <c r="AXZ50" s="408"/>
      <c r="AYA50" s="408"/>
      <c r="AYB50" s="408"/>
      <c r="AYC50" s="408"/>
      <c r="AYD50" s="408"/>
      <c r="AYE50" s="408"/>
      <c r="AYF50" s="408"/>
      <c r="AYG50" s="408"/>
      <c r="AYH50" s="408"/>
      <c r="AYI50" s="408"/>
      <c r="AYJ50" s="408"/>
      <c r="AYK50" s="408"/>
      <c r="AYL50" s="408"/>
      <c r="AYM50" s="408"/>
      <c r="AYN50" s="408"/>
      <c r="AYO50" s="408"/>
      <c r="AYP50" s="408"/>
      <c r="AYQ50" s="408"/>
      <c r="AYR50" s="408"/>
      <c r="AYS50" s="408"/>
      <c r="AYT50" s="408"/>
      <c r="AYU50" s="408"/>
      <c r="AYV50" s="408"/>
      <c r="AYW50" s="408"/>
      <c r="AYX50" s="408"/>
      <c r="AYY50" s="408"/>
      <c r="AYZ50" s="408"/>
      <c r="AZA50" s="408"/>
      <c r="AZB50" s="408"/>
      <c r="AZC50" s="408"/>
      <c r="AZD50" s="408"/>
      <c r="AZE50" s="408"/>
      <c r="AZF50" s="408"/>
      <c r="AZG50" s="408"/>
      <c r="AZH50" s="408"/>
      <c r="AZI50" s="408"/>
      <c r="AZJ50" s="408"/>
      <c r="AZK50" s="408"/>
      <c r="AZL50" s="408"/>
      <c r="AZM50" s="408"/>
      <c r="AZN50" s="408"/>
      <c r="AZO50" s="408"/>
      <c r="AZP50" s="408"/>
      <c r="AZQ50" s="408"/>
      <c r="AZR50" s="408"/>
      <c r="AZS50" s="408"/>
      <c r="AZT50" s="408"/>
      <c r="AZU50" s="408"/>
      <c r="AZV50" s="408"/>
      <c r="AZW50" s="408"/>
      <c r="AZX50" s="408"/>
      <c r="AZY50" s="408"/>
      <c r="AZZ50" s="408"/>
      <c r="BAA50" s="408"/>
      <c r="BAB50" s="408"/>
      <c r="BAC50" s="408"/>
      <c r="BAD50" s="408"/>
      <c r="BAE50" s="408"/>
      <c r="BAF50" s="408"/>
      <c r="BAG50" s="408"/>
      <c r="BAH50" s="408"/>
      <c r="BAI50" s="408"/>
      <c r="BAJ50" s="408"/>
      <c r="BAK50" s="408"/>
      <c r="BAL50" s="408"/>
      <c r="BAM50" s="408"/>
      <c r="BAN50" s="408"/>
      <c r="BAO50" s="408"/>
      <c r="BAP50" s="408"/>
      <c r="BAQ50" s="408"/>
      <c r="BAR50" s="408"/>
      <c r="BAS50" s="408"/>
      <c r="BAT50" s="408"/>
      <c r="BAU50" s="408"/>
      <c r="BAV50" s="408"/>
      <c r="BAW50" s="408"/>
      <c r="BAX50" s="408"/>
      <c r="BAY50" s="408"/>
      <c r="BAZ50" s="408"/>
      <c r="BBA50" s="408"/>
      <c r="BBB50" s="408"/>
      <c r="BBC50" s="408"/>
      <c r="BBD50" s="408"/>
      <c r="BBE50" s="408"/>
      <c r="BBF50" s="408"/>
      <c r="BBG50" s="408"/>
      <c r="BBH50" s="408"/>
      <c r="BBI50" s="408"/>
      <c r="BBJ50" s="408"/>
      <c r="BBK50" s="408"/>
      <c r="BBL50" s="408"/>
      <c r="BBM50" s="408"/>
      <c r="BBN50" s="408"/>
      <c r="BBO50" s="408"/>
      <c r="BBP50" s="408"/>
      <c r="BBQ50" s="408"/>
      <c r="BBR50" s="408"/>
      <c r="BBS50" s="408"/>
      <c r="BBT50" s="408"/>
      <c r="BBU50" s="408"/>
      <c r="BBV50" s="408"/>
      <c r="BBW50" s="408"/>
      <c r="BBX50" s="408"/>
      <c r="BBY50" s="408"/>
      <c r="BBZ50" s="408"/>
      <c r="BCA50" s="408"/>
      <c r="BCB50" s="408"/>
      <c r="BCC50" s="408"/>
      <c r="BCD50" s="408"/>
      <c r="BCE50" s="408"/>
      <c r="BCF50" s="408"/>
      <c r="BCG50" s="408"/>
      <c r="BCH50" s="408"/>
      <c r="BCI50" s="408"/>
      <c r="BCJ50" s="408"/>
      <c r="BCK50" s="408"/>
      <c r="BCL50" s="408"/>
      <c r="BCM50" s="408"/>
      <c r="BCN50" s="408"/>
      <c r="BCO50" s="408"/>
      <c r="BCP50" s="408"/>
      <c r="BCQ50" s="408"/>
      <c r="BCR50" s="408"/>
      <c r="BCS50" s="408"/>
      <c r="BCT50" s="408"/>
      <c r="BCU50" s="408"/>
      <c r="BCV50" s="408"/>
      <c r="BCW50" s="408"/>
      <c r="BCX50" s="408"/>
      <c r="BCY50" s="408"/>
      <c r="BCZ50" s="408"/>
      <c r="BDA50" s="408"/>
      <c r="BDB50" s="408"/>
      <c r="BDC50" s="408"/>
      <c r="BDD50" s="408"/>
      <c r="BDE50" s="408"/>
      <c r="BDF50" s="408"/>
      <c r="BDG50" s="408"/>
      <c r="BDH50" s="408"/>
      <c r="BDI50" s="408"/>
      <c r="BDJ50" s="408"/>
      <c r="BDK50" s="408"/>
      <c r="BDL50" s="408"/>
      <c r="BDM50" s="408"/>
      <c r="BDN50" s="408"/>
      <c r="BDO50" s="408"/>
      <c r="BDP50" s="408"/>
      <c r="BDQ50" s="408"/>
      <c r="BDR50" s="408"/>
      <c r="BDS50" s="408"/>
      <c r="BDT50" s="408"/>
      <c r="BDU50" s="408"/>
      <c r="BDV50" s="408"/>
      <c r="BDW50" s="408"/>
      <c r="BDX50" s="408"/>
      <c r="BDY50" s="408"/>
      <c r="BDZ50" s="408"/>
      <c r="BEA50" s="408"/>
      <c r="BEB50" s="408"/>
      <c r="BEC50" s="408"/>
      <c r="BED50" s="408"/>
      <c r="BEE50" s="408"/>
      <c r="BEF50" s="408"/>
      <c r="BEG50" s="408"/>
      <c r="BEH50" s="408"/>
      <c r="BEI50" s="408"/>
      <c r="BEJ50" s="408"/>
      <c r="BEK50" s="408"/>
      <c r="BEL50" s="408"/>
      <c r="BEM50" s="408"/>
      <c r="BEN50" s="408"/>
      <c r="BEO50" s="408"/>
      <c r="BEP50" s="408"/>
      <c r="BEQ50" s="408"/>
      <c r="BER50" s="408"/>
      <c r="BES50" s="408"/>
      <c r="BET50" s="408"/>
      <c r="BEU50" s="408"/>
      <c r="BEV50" s="408"/>
      <c r="BEW50" s="408"/>
      <c r="BEX50" s="408"/>
      <c r="BEY50" s="408"/>
      <c r="BEZ50" s="408"/>
      <c r="BFA50" s="408"/>
      <c r="BFB50" s="408"/>
      <c r="BFC50" s="408"/>
      <c r="BFD50" s="408"/>
      <c r="BFE50" s="408"/>
      <c r="BFF50" s="408"/>
      <c r="BFG50" s="408"/>
      <c r="BFH50" s="408"/>
      <c r="BFI50" s="408"/>
      <c r="BFJ50" s="408"/>
      <c r="BFK50" s="408"/>
      <c r="BFL50" s="408"/>
      <c r="BFM50" s="408"/>
      <c r="BFN50" s="408"/>
      <c r="BFO50" s="408"/>
      <c r="BFP50" s="408"/>
      <c r="BFQ50" s="408"/>
      <c r="BFR50" s="408"/>
      <c r="BFS50" s="408"/>
      <c r="BFT50" s="408"/>
      <c r="BFU50" s="408"/>
      <c r="BFV50" s="408"/>
      <c r="BFW50" s="408"/>
      <c r="BFX50" s="408"/>
      <c r="BFY50" s="408"/>
      <c r="BFZ50" s="408"/>
      <c r="BGA50" s="408"/>
      <c r="BGB50" s="408"/>
      <c r="BGC50" s="408"/>
      <c r="BGD50" s="408"/>
      <c r="BGE50" s="408"/>
      <c r="BGF50" s="408"/>
      <c r="BGG50" s="408"/>
      <c r="BGH50" s="408"/>
      <c r="BGI50" s="408"/>
      <c r="BGJ50" s="408"/>
      <c r="BGK50" s="408"/>
      <c r="BGL50" s="408"/>
      <c r="BGM50" s="408"/>
      <c r="BGN50" s="408"/>
      <c r="BGO50" s="408"/>
      <c r="BGP50" s="408"/>
      <c r="BGQ50" s="408"/>
      <c r="BGR50" s="408"/>
      <c r="BGS50" s="408"/>
      <c r="BGT50" s="408"/>
      <c r="BGU50" s="408"/>
      <c r="BGV50" s="408"/>
      <c r="BGW50" s="408"/>
      <c r="BGX50" s="408"/>
      <c r="BGY50" s="408"/>
      <c r="BGZ50" s="408"/>
      <c r="BHA50" s="408"/>
      <c r="BHB50" s="408"/>
      <c r="BHC50" s="408"/>
      <c r="BHD50" s="408"/>
      <c r="BHE50" s="408"/>
      <c r="BHF50" s="408"/>
      <c r="BHG50" s="408"/>
      <c r="BHH50" s="408"/>
      <c r="BHI50" s="408"/>
      <c r="BHJ50" s="408"/>
      <c r="BHK50" s="408"/>
      <c r="BHL50" s="408"/>
      <c r="BHM50" s="408"/>
      <c r="BHN50" s="408"/>
      <c r="BHO50" s="408"/>
      <c r="BHP50" s="408"/>
      <c r="BHQ50" s="408"/>
      <c r="BHR50" s="408"/>
      <c r="BHS50" s="408"/>
      <c r="BHT50" s="408"/>
      <c r="BHU50" s="408"/>
      <c r="BHV50" s="408"/>
      <c r="BHW50" s="408"/>
      <c r="BHX50" s="408"/>
      <c r="BHY50" s="408"/>
      <c r="BHZ50" s="408"/>
      <c r="BIA50" s="408"/>
      <c r="BIB50" s="408"/>
      <c r="BIC50" s="408"/>
      <c r="BID50" s="408"/>
      <c r="BIE50" s="408"/>
      <c r="BIF50" s="408"/>
      <c r="BIG50" s="408"/>
      <c r="BIH50" s="408"/>
      <c r="BII50" s="408"/>
      <c r="BIJ50" s="408"/>
      <c r="BIK50" s="408"/>
      <c r="BIL50" s="408"/>
      <c r="BIM50" s="408"/>
      <c r="BIN50" s="408"/>
      <c r="BIO50" s="408"/>
      <c r="BIP50" s="408"/>
      <c r="BIQ50" s="408"/>
      <c r="BIR50" s="408"/>
      <c r="BIS50" s="408"/>
      <c r="BIT50" s="408"/>
      <c r="BIU50" s="408"/>
      <c r="BIV50" s="408"/>
      <c r="BIW50" s="408"/>
      <c r="BIX50" s="408"/>
      <c r="BIY50" s="408"/>
      <c r="BIZ50" s="408"/>
      <c r="BJA50" s="408"/>
      <c r="BJB50" s="408"/>
      <c r="BJC50" s="408"/>
      <c r="BJD50" s="408"/>
      <c r="BJE50" s="408"/>
      <c r="BJF50" s="408"/>
      <c r="BJG50" s="408"/>
      <c r="BJH50" s="408"/>
      <c r="BJI50" s="408"/>
      <c r="BJJ50" s="408"/>
      <c r="BJK50" s="408"/>
      <c r="BJL50" s="408"/>
      <c r="BJM50" s="408"/>
      <c r="BJN50" s="408"/>
      <c r="BJO50" s="408"/>
      <c r="BJP50" s="408"/>
      <c r="BJQ50" s="408"/>
      <c r="BJR50" s="408"/>
      <c r="BJS50" s="408"/>
      <c r="BJT50" s="408"/>
      <c r="BJU50" s="408"/>
      <c r="BJV50" s="408"/>
      <c r="BJW50" s="408"/>
      <c r="BJX50" s="408"/>
      <c r="BJY50" s="408"/>
      <c r="BJZ50" s="408"/>
      <c r="BKA50" s="408"/>
      <c r="BKB50" s="408"/>
      <c r="BKC50" s="408"/>
      <c r="BKD50" s="408"/>
      <c r="BKE50" s="408"/>
      <c r="BKF50" s="408"/>
      <c r="BKG50" s="408"/>
      <c r="BKH50" s="408"/>
      <c r="BKI50" s="408"/>
      <c r="BKJ50" s="408"/>
      <c r="BKK50" s="408"/>
      <c r="BKL50" s="408"/>
      <c r="BKM50" s="408"/>
      <c r="BKN50" s="408"/>
      <c r="BKO50" s="408"/>
      <c r="BKP50" s="408"/>
      <c r="BKQ50" s="408"/>
      <c r="BKR50" s="408"/>
      <c r="BKS50" s="408"/>
      <c r="BKT50" s="408"/>
      <c r="BKU50" s="408"/>
      <c r="BKV50" s="408"/>
      <c r="BKW50" s="408"/>
      <c r="BKX50" s="408"/>
      <c r="BKY50" s="408"/>
      <c r="BKZ50" s="408"/>
      <c r="BLA50" s="408"/>
      <c r="BLB50" s="408"/>
      <c r="BLC50" s="408"/>
      <c r="BLD50" s="408"/>
      <c r="BLE50" s="408"/>
      <c r="BLF50" s="408"/>
      <c r="BLG50" s="408"/>
      <c r="BLH50" s="408"/>
      <c r="BLI50" s="408"/>
      <c r="BLJ50" s="408"/>
      <c r="BLK50" s="408"/>
      <c r="BLL50" s="408"/>
      <c r="BLM50" s="408"/>
      <c r="BLN50" s="408"/>
      <c r="BLO50" s="408"/>
      <c r="BLP50" s="408"/>
      <c r="BLQ50" s="408"/>
      <c r="BLR50" s="408"/>
      <c r="BLS50" s="408"/>
      <c r="BLT50" s="408"/>
      <c r="BLU50" s="408"/>
      <c r="BLV50" s="408"/>
      <c r="BLW50" s="408"/>
      <c r="BLX50" s="408"/>
      <c r="BLY50" s="408"/>
      <c r="BLZ50" s="408"/>
      <c r="BMA50" s="408"/>
      <c r="BMB50" s="408"/>
      <c r="BMC50" s="408"/>
      <c r="BMD50" s="408"/>
      <c r="BME50" s="408"/>
      <c r="BMF50" s="408"/>
      <c r="BMG50" s="408"/>
      <c r="BMH50" s="408"/>
      <c r="BMI50" s="408"/>
      <c r="BMJ50" s="408"/>
      <c r="BMK50" s="408"/>
      <c r="BML50" s="408"/>
      <c r="BMM50" s="408"/>
      <c r="BMN50" s="408"/>
      <c r="BMO50" s="408"/>
      <c r="BMP50" s="408"/>
      <c r="BMQ50" s="408"/>
      <c r="BMR50" s="408"/>
      <c r="BMS50" s="408"/>
      <c r="BMT50" s="408"/>
      <c r="BMU50" s="408"/>
      <c r="BMV50" s="408"/>
      <c r="BMW50" s="408"/>
      <c r="BMX50" s="408"/>
      <c r="BMY50" s="408"/>
      <c r="BMZ50" s="408"/>
      <c r="BNA50" s="408"/>
      <c r="BNB50" s="408"/>
      <c r="BNC50" s="408"/>
      <c r="BND50" s="408"/>
      <c r="BNE50" s="408"/>
      <c r="BNF50" s="408"/>
      <c r="BNG50" s="408"/>
      <c r="BNH50" s="408"/>
      <c r="BNI50" s="408"/>
      <c r="BNJ50" s="408"/>
      <c r="BNK50" s="408"/>
      <c r="BNL50" s="408"/>
      <c r="BNM50" s="408"/>
      <c r="BNN50" s="408"/>
      <c r="BNO50" s="408"/>
      <c r="BNP50" s="408"/>
      <c r="BNQ50" s="408"/>
      <c r="BNR50" s="408"/>
      <c r="BNS50" s="408"/>
      <c r="BNT50" s="408"/>
      <c r="BNU50" s="408"/>
      <c r="BNV50" s="408"/>
      <c r="BNW50" s="408"/>
      <c r="BNX50" s="408"/>
      <c r="BNY50" s="408"/>
      <c r="BNZ50" s="408"/>
      <c r="BOA50" s="408"/>
      <c r="BOB50" s="408"/>
      <c r="BOC50" s="408"/>
      <c r="BOD50" s="408"/>
      <c r="BOE50" s="408"/>
      <c r="BOF50" s="408"/>
      <c r="BOG50" s="408"/>
      <c r="BOH50" s="408"/>
      <c r="BOI50" s="408"/>
      <c r="BOJ50" s="408"/>
      <c r="BOK50" s="408"/>
      <c r="BOL50" s="408"/>
      <c r="BOM50" s="408"/>
      <c r="BON50" s="408"/>
      <c r="BOO50" s="408"/>
      <c r="BOP50" s="408"/>
      <c r="BOQ50" s="408"/>
      <c r="BOR50" s="408"/>
      <c r="BOS50" s="408"/>
      <c r="BOT50" s="408"/>
      <c r="BOU50" s="408"/>
      <c r="BOV50" s="408"/>
      <c r="BOW50" s="408"/>
      <c r="BOX50" s="408"/>
      <c r="BOY50" s="408"/>
      <c r="BOZ50" s="408"/>
      <c r="BPA50" s="408"/>
      <c r="BPB50" s="408"/>
      <c r="BPC50" s="408"/>
      <c r="BPD50" s="408"/>
      <c r="BPE50" s="408"/>
      <c r="BPF50" s="408"/>
      <c r="BPG50" s="408"/>
      <c r="BPH50" s="408"/>
      <c r="BPI50" s="408"/>
      <c r="BPJ50" s="408"/>
      <c r="BPK50" s="408"/>
      <c r="BPL50" s="408"/>
      <c r="BPM50" s="408"/>
      <c r="BPN50" s="408"/>
      <c r="BPO50" s="408"/>
      <c r="BPP50" s="408"/>
      <c r="BPQ50" s="408"/>
      <c r="BPR50" s="408"/>
      <c r="BPS50" s="408"/>
      <c r="BPT50" s="408"/>
      <c r="BPU50" s="408"/>
      <c r="BPV50" s="408"/>
      <c r="BPW50" s="408"/>
      <c r="BPX50" s="408"/>
      <c r="BPY50" s="408"/>
      <c r="BPZ50" s="408"/>
      <c r="BQA50" s="408"/>
      <c r="BQB50" s="408"/>
      <c r="BQC50" s="408"/>
      <c r="BQD50" s="408"/>
      <c r="BQE50" s="408"/>
      <c r="BQF50" s="408"/>
      <c r="BQG50" s="408"/>
      <c r="BQH50" s="408"/>
      <c r="BQI50" s="408"/>
      <c r="BQJ50" s="408"/>
      <c r="BQK50" s="408"/>
      <c r="BQL50" s="408"/>
      <c r="BQM50" s="408"/>
      <c r="BQN50" s="408"/>
      <c r="BQO50" s="408"/>
      <c r="BQP50" s="408"/>
      <c r="BQQ50" s="408"/>
      <c r="BQR50" s="408"/>
      <c r="BQS50" s="408"/>
      <c r="BQT50" s="408"/>
      <c r="BQU50" s="408"/>
      <c r="BQV50" s="408"/>
      <c r="BQW50" s="408"/>
      <c r="BQX50" s="408"/>
      <c r="BQY50" s="408"/>
      <c r="BQZ50" s="408"/>
      <c r="BRA50" s="408"/>
      <c r="BRB50" s="408"/>
      <c r="BRC50" s="408"/>
      <c r="BRD50" s="408"/>
      <c r="BRE50" s="408"/>
      <c r="BRF50" s="408"/>
      <c r="BRG50" s="408"/>
      <c r="BRH50" s="408"/>
      <c r="BRI50" s="408"/>
      <c r="BRJ50" s="408"/>
      <c r="BRK50" s="408"/>
      <c r="BRL50" s="408"/>
      <c r="BRM50" s="408"/>
      <c r="BRN50" s="408"/>
      <c r="BRO50" s="408"/>
      <c r="BRP50" s="408"/>
      <c r="BRQ50" s="408"/>
      <c r="BRR50" s="408"/>
      <c r="BRS50" s="408"/>
      <c r="BRT50" s="408"/>
      <c r="BRU50" s="408"/>
      <c r="BRV50" s="408"/>
      <c r="BRW50" s="408"/>
      <c r="BRX50" s="408"/>
      <c r="BRY50" s="408"/>
      <c r="BRZ50" s="408"/>
      <c r="BSA50" s="408"/>
      <c r="BSB50" s="408"/>
      <c r="BSC50" s="408"/>
      <c r="BSD50" s="408"/>
      <c r="BSE50" s="408"/>
      <c r="BSF50" s="408"/>
      <c r="BSG50" s="408"/>
      <c r="BSH50" s="408"/>
      <c r="BSI50" s="408"/>
      <c r="BSJ50" s="408"/>
      <c r="BSK50" s="408"/>
      <c r="BSL50" s="408"/>
      <c r="BSM50" s="408"/>
      <c r="BSN50" s="408"/>
      <c r="BSO50" s="408"/>
      <c r="BSP50" s="408"/>
      <c r="BSQ50" s="408"/>
      <c r="BSR50" s="408"/>
      <c r="BSS50" s="408"/>
      <c r="BST50" s="408"/>
      <c r="BSU50" s="408"/>
      <c r="BSV50" s="408"/>
      <c r="BSW50" s="408"/>
      <c r="BSX50" s="408"/>
      <c r="BSY50" s="408"/>
      <c r="BSZ50" s="408"/>
      <c r="BTA50" s="408"/>
      <c r="BTB50" s="408"/>
      <c r="BTC50" s="408"/>
      <c r="BTD50" s="408"/>
      <c r="BTE50" s="408"/>
      <c r="BTF50" s="408"/>
      <c r="BTG50" s="408"/>
      <c r="BTH50" s="408"/>
      <c r="BTI50" s="408"/>
      <c r="BTJ50" s="408"/>
      <c r="BTK50" s="408"/>
      <c r="BTL50" s="408"/>
      <c r="BTM50" s="408"/>
      <c r="BTN50" s="408"/>
      <c r="BTO50" s="408"/>
      <c r="BTP50" s="408"/>
      <c r="BTQ50" s="408"/>
      <c r="BTR50" s="408"/>
      <c r="BTS50" s="408"/>
      <c r="BTT50" s="408"/>
      <c r="BTU50" s="408"/>
      <c r="BTV50" s="408"/>
      <c r="BTW50" s="408"/>
      <c r="BTX50" s="408"/>
      <c r="BTY50" s="408"/>
      <c r="BTZ50" s="408"/>
      <c r="BUA50" s="408"/>
      <c r="BUB50" s="408"/>
      <c r="BUC50" s="408"/>
      <c r="BUD50" s="408"/>
      <c r="BUE50" s="408"/>
      <c r="BUF50" s="408"/>
      <c r="BUG50" s="408"/>
      <c r="BUH50" s="408"/>
      <c r="BUI50" s="408"/>
      <c r="BUJ50" s="408"/>
      <c r="BUK50" s="408"/>
      <c r="BUL50" s="408"/>
      <c r="BUM50" s="408"/>
      <c r="BUN50" s="408"/>
      <c r="BUO50" s="408"/>
      <c r="BUP50" s="408"/>
      <c r="BUQ50" s="408"/>
      <c r="BUR50" s="408"/>
      <c r="BUS50" s="408"/>
      <c r="BUT50" s="408"/>
      <c r="BUU50" s="408"/>
      <c r="BUV50" s="408"/>
      <c r="BUW50" s="408"/>
      <c r="BUX50" s="408"/>
      <c r="BUY50" s="408"/>
      <c r="BUZ50" s="408"/>
      <c r="BVA50" s="408"/>
      <c r="BVB50" s="408"/>
      <c r="BVC50" s="408"/>
      <c r="BVD50" s="408"/>
      <c r="BVE50" s="408"/>
      <c r="BVF50" s="408"/>
      <c r="BVG50" s="408"/>
      <c r="BVH50" s="408"/>
      <c r="BVI50" s="408"/>
      <c r="BVJ50" s="408"/>
      <c r="BVK50" s="408"/>
      <c r="BVL50" s="408"/>
      <c r="BVM50" s="408"/>
      <c r="BVN50" s="408"/>
      <c r="BVO50" s="408"/>
      <c r="BVP50" s="408"/>
      <c r="BVQ50" s="408"/>
      <c r="BVR50" s="408"/>
      <c r="BVS50" s="408"/>
      <c r="BVT50" s="408"/>
      <c r="BVU50" s="408"/>
      <c r="BVV50" s="408"/>
      <c r="BVW50" s="408"/>
      <c r="BVX50" s="408"/>
      <c r="BVY50" s="408"/>
      <c r="BVZ50" s="408"/>
      <c r="BWA50" s="408"/>
      <c r="BWB50" s="408"/>
      <c r="BWC50" s="408"/>
      <c r="BWD50" s="408"/>
      <c r="BWE50" s="408"/>
      <c r="BWF50" s="408"/>
      <c r="BWG50" s="408"/>
      <c r="BWH50" s="408"/>
      <c r="BWI50" s="408"/>
      <c r="BWJ50" s="408"/>
      <c r="BWK50" s="408"/>
      <c r="BWL50" s="408"/>
      <c r="BWM50" s="408"/>
      <c r="BWN50" s="408"/>
      <c r="BWO50" s="408"/>
      <c r="BWP50" s="408"/>
      <c r="BWQ50" s="408"/>
      <c r="BWR50" s="408"/>
      <c r="BWS50" s="408"/>
      <c r="BWT50" s="408"/>
      <c r="BWU50" s="408"/>
      <c r="BWV50" s="408"/>
      <c r="BWW50" s="408"/>
      <c r="BWX50" s="408"/>
      <c r="BWY50" s="408"/>
      <c r="BWZ50" s="408"/>
      <c r="BXA50" s="408"/>
      <c r="BXB50" s="408"/>
      <c r="BXC50" s="408"/>
      <c r="BXD50" s="408"/>
      <c r="BXE50" s="408"/>
      <c r="BXF50" s="408"/>
      <c r="BXG50" s="408"/>
      <c r="BXH50" s="408"/>
      <c r="BXI50" s="408"/>
      <c r="BXJ50" s="408"/>
      <c r="BXK50" s="408"/>
      <c r="BXL50" s="408"/>
      <c r="BXM50" s="408"/>
      <c r="BXN50" s="408"/>
      <c r="BXO50" s="408"/>
      <c r="BXP50" s="408"/>
      <c r="BXQ50" s="408"/>
      <c r="BXR50" s="408"/>
      <c r="BXS50" s="408"/>
      <c r="BXT50" s="408"/>
      <c r="BXU50" s="408"/>
      <c r="BXV50" s="408"/>
      <c r="BXW50" s="408"/>
      <c r="BXX50" s="408"/>
      <c r="BXY50" s="408"/>
      <c r="BXZ50" s="408"/>
      <c r="BYA50" s="408"/>
      <c r="BYB50" s="408"/>
      <c r="BYC50" s="408"/>
      <c r="BYD50" s="408"/>
      <c r="BYE50" s="408"/>
      <c r="BYF50" s="408"/>
      <c r="BYG50" s="408"/>
      <c r="BYH50" s="408"/>
      <c r="BYI50" s="408"/>
      <c r="BYJ50" s="408"/>
      <c r="BYK50" s="408"/>
      <c r="BYL50" s="408"/>
      <c r="BYM50" s="408"/>
      <c r="BYN50" s="408"/>
      <c r="BYO50" s="408"/>
      <c r="BYP50" s="408"/>
      <c r="BYQ50" s="408"/>
      <c r="BYR50" s="408"/>
      <c r="BYS50" s="408"/>
      <c r="BYT50" s="408"/>
      <c r="BYU50" s="408"/>
      <c r="BYV50" s="408"/>
      <c r="BYW50" s="408"/>
      <c r="BYX50" s="408"/>
      <c r="BYY50" s="408"/>
      <c r="BYZ50" s="408"/>
      <c r="BZA50" s="408"/>
      <c r="BZB50" s="408"/>
      <c r="BZC50" s="408"/>
      <c r="BZD50" s="408"/>
      <c r="BZE50" s="408"/>
      <c r="BZF50" s="408"/>
      <c r="BZG50" s="408"/>
      <c r="BZH50" s="408"/>
      <c r="BZI50" s="408"/>
      <c r="BZJ50" s="408"/>
      <c r="BZK50" s="408"/>
      <c r="BZL50" s="408"/>
      <c r="BZM50" s="408"/>
      <c r="BZN50" s="408"/>
      <c r="BZO50" s="408"/>
      <c r="BZP50" s="408"/>
      <c r="BZQ50" s="408"/>
      <c r="BZR50" s="408"/>
      <c r="BZS50" s="408"/>
      <c r="BZT50" s="408"/>
      <c r="BZU50" s="408"/>
      <c r="BZV50" s="408"/>
      <c r="BZW50" s="408"/>
      <c r="BZX50" s="408"/>
      <c r="BZY50" s="408"/>
      <c r="BZZ50" s="408"/>
      <c r="CAA50" s="408"/>
      <c r="CAB50" s="408"/>
      <c r="CAC50" s="408"/>
      <c r="CAD50" s="408"/>
      <c r="CAE50" s="408"/>
      <c r="CAF50" s="408"/>
      <c r="CAG50" s="408"/>
      <c r="CAH50" s="408"/>
      <c r="CAI50" s="408"/>
      <c r="CAJ50" s="408"/>
      <c r="CAK50" s="408"/>
      <c r="CAL50" s="408"/>
      <c r="CAM50" s="408"/>
      <c r="CAN50" s="408"/>
      <c r="CAO50" s="408"/>
      <c r="CAP50" s="408"/>
      <c r="CAQ50" s="408"/>
      <c r="CAR50" s="408"/>
      <c r="CAS50" s="408"/>
      <c r="CAT50" s="408"/>
      <c r="CAU50" s="408"/>
      <c r="CAV50" s="408"/>
      <c r="CAW50" s="408"/>
      <c r="CAX50" s="408"/>
      <c r="CAY50" s="408"/>
      <c r="CAZ50" s="408"/>
      <c r="CBA50" s="408"/>
      <c r="CBB50" s="408"/>
      <c r="CBC50" s="408"/>
      <c r="CBD50" s="408"/>
      <c r="CBE50" s="408"/>
      <c r="CBF50" s="408"/>
      <c r="CBG50" s="408"/>
      <c r="CBH50" s="408"/>
      <c r="CBI50" s="408"/>
      <c r="CBJ50" s="408"/>
      <c r="CBK50" s="408"/>
      <c r="CBL50" s="408"/>
      <c r="CBM50" s="408"/>
      <c r="CBN50" s="408"/>
      <c r="CBO50" s="408"/>
      <c r="CBP50" s="408"/>
      <c r="CBQ50" s="408"/>
      <c r="CBR50" s="408"/>
      <c r="CBS50" s="408"/>
      <c r="CBT50" s="408"/>
      <c r="CBU50" s="408"/>
      <c r="CBV50" s="408"/>
      <c r="CBW50" s="408"/>
      <c r="CBX50" s="408"/>
      <c r="CBY50" s="408"/>
      <c r="CBZ50" s="408"/>
      <c r="CCA50" s="408"/>
      <c r="CCB50" s="408"/>
      <c r="CCC50" s="408"/>
      <c r="CCD50" s="408"/>
      <c r="CCE50" s="408"/>
      <c r="CCF50" s="408"/>
      <c r="CCG50" s="408"/>
      <c r="CCH50" s="408"/>
      <c r="CCI50" s="408"/>
      <c r="CCJ50" s="408"/>
      <c r="CCK50" s="408"/>
      <c r="CCL50" s="408"/>
      <c r="CCM50" s="408"/>
      <c r="CCN50" s="408"/>
      <c r="CCO50" s="408"/>
      <c r="CCP50" s="408"/>
      <c r="CCQ50" s="408"/>
      <c r="CCR50" s="408"/>
      <c r="CCS50" s="408"/>
      <c r="CCT50" s="408"/>
      <c r="CCU50" s="408"/>
      <c r="CCV50" s="408"/>
      <c r="CCW50" s="408"/>
      <c r="CCX50" s="408"/>
      <c r="CCY50" s="408"/>
      <c r="CCZ50" s="408"/>
      <c r="CDA50" s="408"/>
      <c r="CDB50" s="408"/>
      <c r="CDC50" s="408"/>
      <c r="CDD50" s="408"/>
      <c r="CDE50" s="408"/>
      <c r="CDF50" s="408"/>
      <c r="CDG50" s="408"/>
      <c r="CDH50" s="408"/>
      <c r="CDI50" s="408"/>
      <c r="CDJ50" s="408"/>
      <c r="CDK50" s="408"/>
      <c r="CDL50" s="408"/>
      <c r="CDM50" s="408"/>
      <c r="CDN50" s="408"/>
      <c r="CDO50" s="408"/>
      <c r="CDP50" s="408"/>
      <c r="CDQ50" s="408"/>
      <c r="CDR50" s="408"/>
      <c r="CDS50" s="408"/>
      <c r="CDT50" s="408"/>
      <c r="CDU50" s="408"/>
      <c r="CDV50" s="408"/>
      <c r="CDW50" s="408"/>
      <c r="CDX50" s="408"/>
      <c r="CDY50" s="408"/>
      <c r="CDZ50" s="408"/>
      <c r="CEA50" s="408"/>
      <c r="CEB50" s="408"/>
      <c r="CEC50" s="408"/>
      <c r="CED50" s="408"/>
      <c r="CEE50" s="408"/>
      <c r="CEF50" s="408"/>
      <c r="CEG50" s="408"/>
      <c r="CEH50" s="408"/>
      <c r="CEI50" s="408"/>
      <c r="CEJ50" s="408"/>
      <c r="CEK50" s="408"/>
      <c r="CEL50" s="408"/>
      <c r="CEM50" s="408"/>
      <c r="CEN50" s="408"/>
      <c r="CEO50" s="408"/>
      <c r="CEP50" s="408"/>
      <c r="CEQ50" s="408"/>
      <c r="CER50" s="408"/>
      <c r="CES50" s="408"/>
      <c r="CET50" s="408"/>
      <c r="CEU50" s="408"/>
      <c r="CEV50" s="408"/>
      <c r="CEW50" s="408"/>
      <c r="CEX50" s="408"/>
      <c r="CEY50" s="408"/>
      <c r="CEZ50" s="408"/>
      <c r="CFA50" s="408"/>
      <c r="CFB50" s="408"/>
      <c r="CFC50" s="408"/>
      <c r="CFD50" s="408"/>
      <c r="CFE50" s="408"/>
      <c r="CFF50" s="408"/>
      <c r="CFG50" s="408"/>
      <c r="CFH50" s="408"/>
      <c r="CFI50" s="408"/>
      <c r="CFJ50" s="408"/>
      <c r="CFK50" s="408"/>
      <c r="CFL50" s="408"/>
      <c r="CFM50" s="408"/>
      <c r="CFN50" s="408"/>
      <c r="CFO50" s="408"/>
      <c r="CFP50" s="408"/>
      <c r="CFQ50" s="408"/>
      <c r="CFR50" s="408"/>
      <c r="CFS50" s="408"/>
      <c r="CFT50" s="408"/>
      <c r="CFU50" s="408"/>
      <c r="CFV50" s="408"/>
      <c r="CFW50" s="408"/>
      <c r="CFX50" s="408"/>
      <c r="CFY50" s="408"/>
      <c r="CFZ50" s="408"/>
      <c r="CGA50" s="408"/>
      <c r="CGB50" s="408"/>
      <c r="CGC50" s="408"/>
      <c r="CGD50" s="408"/>
      <c r="CGE50" s="408"/>
      <c r="CGF50" s="408"/>
      <c r="CGG50" s="408"/>
      <c r="CGH50" s="408"/>
      <c r="CGI50" s="408"/>
      <c r="CGJ50" s="408"/>
      <c r="CGK50" s="408"/>
      <c r="CGL50" s="408"/>
      <c r="CGM50" s="408"/>
      <c r="CGN50" s="408"/>
      <c r="CGO50" s="408"/>
      <c r="CGP50" s="408"/>
      <c r="CGQ50" s="408"/>
      <c r="CGR50" s="408"/>
      <c r="CGS50" s="408"/>
      <c r="CGT50" s="408"/>
      <c r="CGU50" s="408"/>
      <c r="CGV50" s="408"/>
      <c r="CGW50" s="408"/>
      <c r="CGX50" s="408"/>
      <c r="CGY50" s="408"/>
      <c r="CGZ50" s="408"/>
      <c r="CHA50" s="408"/>
      <c r="CHB50" s="408"/>
      <c r="CHC50" s="408"/>
      <c r="CHD50" s="408"/>
      <c r="CHE50" s="408"/>
      <c r="CHF50" s="408"/>
      <c r="CHG50" s="408"/>
      <c r="CHH50" s="408"/>
      <c r="CHI50" s="408"/>
      <c r="CHJ50" s="408"/>
      <c r="CHK50" s="408"/>
      <c r="CHL50" s="408"/>
      <c r="CHM50" s="408"/>
      <c r="CHN50" s="408"/>
      <c r="CHO50" s="408"/>
      <c r="CHP50" s="408"/>
      <c r="CHQ50" s="408"/>
      <c r="CHR50" s="408"/>
      <c r="CHS50" s="408"/>
      <c r="CHT50" s="408"/>
      <c r="CHU50" s="408"/>
      <c r="CHV50" s="408"/>
      <c r="CHW50" s="408"/>
      <c r="CHX50" s="408"/>
      <c r="CHY50" s="408"/>
      <c r="CHZ50" s="408"/>
      <c r="CIA50" s="408"/>
      <c r="CIB50" s="408"/>
      <c r="CIC50" s="408"/>
      <c r="CID50" s="408"/>
      <c r="CIE50" s="408"/>
      <c r="CIF50" s="408"/>
      <c r="CIG50" s="408"/>
      <c r="CIH50" s="408"/>
      <c r="CII50" s="408"/>
      <c r="CIJ50" s="408"/>
      <c r="CIK50" s="408"/>
      <c r="CIL50" s="408"/>
      <c r="CIM50" s="408"/>
      <c r="CIN50" s="408"/>
      <c r="CIO50" s="408"/>
      <c r="CIP50" s="408"/>
      <c r="CIQ50" s="408"/>
      <c r="CIR50" s="408"/>
      <c r="CIS50" s="408"/>
      <c r="CIT50" s="408"/>
      <c r="CIU50" s="408"/>
      <c r="CIV50" s="408"/>
      <c r="CIW50" s="408"/>
      <c r="CIX50" s="408"/>
      <c r="CIY50" s="408"/>
      <c r="CIZ50" s="408"/>
      <c r="CJA50" s="408"/>
      <c r="CJB50" s="408"/>
      <c r="CJC50" s="408"/>
      <c r="CJD50" s="408"/>
      <c r="CJE50" s="408"/>
      <c r="CJF50" s="408"/>
      <c r="CJG50" s="408"/>
      <c r="CJH50" s="408"/>
      <c r="CJI50" s="408"/>
      <c r="CJJ50" s="408"/>
      <c r="CJK50" s="408"/>
      <c r="CJL50" s="408"/>
      <c r="CJM50" s="408"/>
      <c r="CJN50" s="408"/>
      <c r="CJO50" s="408"/>
      <c r="CJP50" s="408"/>
      <c r="CJQ50" s="408"/>
      <c r="CJR50" s="408"/>
      <c r="CJS50" s="408"/>
      <c r="CJT50" s="408"/>
      <c r="CJU50" s="408"/>
      <c r="CJV50" s="408"/>
      <c r="CJW50" s="408"/>
      <c r="CJX50" s="408"/>
      <c r="CJY50" s="408"/>
      <c r="CJZ50" s="408"/>
      <c r="CKA50" s="408"/>
      <c r="CKB50" s="408"/>
      <c r="CKC50" s="408"/>
      <c r="CKD50" s="408"/>
      <c r="CKE50" s="408"/>
      <c r="CKF50" s="408"/>
      <c r="CKG50" s="408"/>
      <c r="CKH50" s="408"/>
      <c r="CKI50" s="408"/>
      <c r="CKJ50" s="408"/>
      <c r="CKK50" s="408"/>
      <c r="CKL50" s="408"/>
      <c r="CKM50" s="408"/>
      <c r="CKN50" s="408"/>
      <c r="CKO50" s="408"/>
      <c r="CKP50" s="408"/>
      <c r="CKQ50" s="408"/>
      <c r="CKR50" s="408"/>
      <c r="CKS50" s="408"/>
      <c r="CKT50" s="408"/>
      <c r="CKU50" s="408"/>
      <c r="CKV50" s="408"/>
      <c r="CKW50" s="408"/>
      <c r="CKX50" s="408"/>
      <c r="CKY50" s="408"/>
      <c r="CKZ50" s="408"/>
      <c r="CLA50" s="408"/>
      <c r="CLB50" s="408"/>
      <c r="CLC50" s="408"/>
      <c r="CLD50" s="408"/>
      <c r="CLE50" s="408"/>
      <c r="CLF50" s="408"/>
      <c r="CLG50" s="408"/>
      <c r="CLH50" s="408"/>
      <c r="CLI50" s="408"/>
      <c r="CLJ50" s="408"/>
      <c r="CLK50" s="408"/>
      <c r="CLL50" s="408"/>
      <c r="CLM50" s="408"/>
      <c r="CLN50" s="408"/>
      <c r="CLO50" s="408"/>
      <c r="CLP50" s="408"/>
      <c r="CLQ50" s="408"/>
      <c r="CLR50" s="408"/>
      <c r="CLS50" s="408"/>
      <c r="CLT50" s="408"/>
      <c r="CLU50" s="408"/>
      <c r="CLV50" s="408"/>
      <c r="CLW50" s="408"/>
      <c r="CLX50" s="408"/>
      <c r="CLY50" s="408"/>
      <c r="CLZ50" s="408"/>
      <c r="CMA50" s="408"/>
      <c r="CMB50" s="408"/>
      <c r="CMC50" s="408"/>
      <c r="CMD50" s="408"/>
      <c r="CME50" s="408"/>
      <c r="CMF50" s="408"/>
      <c r="CMG50" s="408"/>
      <c r="CMH50" s="408"/>
      <c r="CMI50" s="408"/>
      <c r="CMJ50" s="408"/>
      <c r="CMK50" s="408"/>
      <c r="CML50" s="408"/>
      <c r="CMM50" s="408"/>
      <c r="CMN50" s="408"/>
      <c r="CMO50" s="408"/>
      <c r="CMP50" s="408"/>
      <c r="CMQ50" s="408"/>
      <c r="CMR50" s="408"/>
      <c r="CMS50" s="408"/>
      <c r="CMT50" s="408"/>
      <c r="CMU50" s="408"/>
      <c r="CMV50" s="408"/>
      <c r="CMW50" s="408"/>
      <c r="CMX50" s="408"/>
      <c r="CMY50" s="408"/>
      <c r="CMZ50" s="408"/>
      <c r="CNA50" s="408"/>
      <c r="CNB50" s="408"/>
      <c r="CNC50" s="408"/>
      <c r="CND50" s="408"/>
      <c r="CNE50" s="408"/>
      <c r="CNF50" s="408"/>
      <c r="CNG50" s="408"/>
      <c r="CNH50" s="408"/>
      <c r="CNI50" s="408"/>
      <c r="CNJ50" s="408"/>
      <c r="CNK50" s="408"/>
      <c r="CNL50" s="408"/>
      <c r="CNM50" s="408"/>
      <c r="CNN50" s="408"/>
      <c r="CNO50" s="408"/>
      <c r="CNP50" s="408"/>
      <c r="CNQ50" s="408"/>
      <c r="CNR50" s="408"/>
      <c r="CNS50" s="408"/>
      <c r="CNT50" s="408"/>
      <c r="CNU50" s="408"/>
      <c r="CNV50" s="408"/>
      <c r="CNW50" s="408"/>
      <c r="CNX50" s="408"/>
      <c r="CNY50" s="408"/>
      <c r="CNZ50" s="408"/>
      <c r="COA50" s="408"/>
      <c r="COB50" s="408"/>
      <c r="COC50" s="408"/>
      <c r="COD50" s="408"/>
      <c r="COE50" s="408"/>
      <c r="COF50" s="408"/>
      <c r="COG50" s="408"/>
      <c r="COH50" s="408"/>
      <c r="COI50" s="408"/>
      <c r="COJ50" s="408"/>
      <c r="COK50" s="408"/>
      <c r="COL50" s="408"/>
      <c r="COM50" s="408"/>
      <c r="CON50" s="408"/>
      <c r="COO50" s="408"/>
      <c r="COP50" s="408"/>
      <c r="COQ50" s="408"/>
      <c r="COR50" s="408"/>
      <c r="COS50" s="408"/>
      <c r="COT50" s="408"/>
      <c r="COU50" s="408"/>
      <c r="COV50" s="408"/>
      <c r="COW50" s="408"/>
      <c r="COX50" s="408"/>
      <c r="COY50" s="408"/>
      <c r="COZ50" s="408"/>
      <c r="CPA50" s="408"/>
      <c r="CPB50" s="408"/>
      <c r="CPC50" s="408"/>
      <c r="CPD50" s="408"/>
      <c r="CPE50" s="408"/>
      <c r="CPF50" s="408"/>
      <c r="CPG50" s="408"/>
      <c r="CPH50" s="408"/>
      <c r="CPI50" s="408"/>
      <c r="CPJ50" s="408"/>
      <c r="CPK50" s="408"/>
      <c r="CPL50" s="408"/>
      <c r="CPM50" s="408"/>
      <c r="CPN50" s="408"/>
      <c r="CPO50" s="408"/>
      <c r="CPP50" s="408"/>
      <c r="CPQ50" s="408"/>
      <c r="CPR50" s="408"/>
      <c r="CPS50" s="408"/>
      <c r="CPT50" s="408"/>
      <c r="CPU50" s="408"/>
      <c r="CPV50" s="408"/>
      <c r="CPW50" s="408"/>
      <c r="CPX50" s="408"/>
      <c r="CPY50" s="408"/>
      <c r="CPZ50" s="408"/>
      <c r="CQA50" s="408"/>
      <c r="CQB50" s="408"/>
      <c r="CQC50" s="408"/>
      <c r="CQD50" s="408"/>
      <c r="CQE50" s="408"/>
      <c r="CQF50" s="408"/>
      <c r="CQG50" s="408"/>
      <c r="CQH50" s="408"/>
      <c r="CQI50" s="408"/>
      <c r="CQJ50" s="408"/>
      <c r="CQK50" s="408"/>
      <c r="CQL50" s="408"/>
      <c r="CQM50" s="408"/>
      <c r="CQN50" s="408"/>
      <c r="CQO50" s="408"/>
      <c r="CQP50" s="408"/>
      <c r="CQQ50" s="408"/>
      <c r="CQR50" s="408"/>
      <c r="CQS50" s="408"/>
      <c r="CQT50" s="408"/>
      <c r="CQU50" s="408"/>
      <c r="CQV50" s="408"/>
      <c r="CQW50" s="408"/>
      <c r="CQX50" s="408"/>
      <c r="CQY50" s="408"/>
      <c r="CQZ50" s="408"/>
      <c r="CRA50" s="408"/>
      <c r="CRB50" s="408"/>
      <c r="CRC50" s="408"/>
      <c r="CRD50" s="408"/>
      <c r="CRE50" s="408"/>
      <c r="CRF50" s="408"/>
      <c r="CRG50" s="408"/>
      <c r="CRH50" s="408"/>
      <c r="CRI50" s="408"/>
      <c r="CRJ50" s="408"/>
      <c r="CRK50" s="408"/>
      <c r="CRL50" s="408"/>
      <c r="CRM50" s="408"/>
      <c r="CRN50" s="408"/>
      <c r="CRO50" s="408"/>
      <c r="CRP50" s="408"/>
      <c r="CRQ50" s="408"/>
      <c r="CRR50" s="408"/>
      <c r="CRS50" s="408"/>
      <c r="CRT50" s="408"/>
      <c r="CRU50" s="408"/>
      <c r="CRV50" s="408"/>
      <c r="CRW50" s="408"/>
      <c r="CRX50" s="408"/>
      <c r="CRY50" s="408"/>
      <c r="CRZ50" s="408"/>
      <c r="CSA50" s="408"/>
      <c r="CSB50" s="408"/>
      <c r="CSC50" s="408"/>
      <c r="CSD50" s="408"/>
      <c r="CSE50" s="408"/>
      <c r="CSF50" s="408"/>
      <c r="CSG50" s="408"/>
      <c r="CSH50" s="408"/>
      <c r="CSI50" s="408"/>
      <c r="CSJ50" s="408"/>
      <c r="CSK50" s="408"/>
      <c r="CSL50" s="408"/>
      <c r="CSM50" s="408"/>
      <c r="CSN50" s="408"/>
      <c r="CSO50" s="408"/>
      <c r="CSP50" s="408"/>
      <c r="CSQ50" s="408"/>
      <c r="CSR50" s="408"/>
      <c r="CSS50" s="408"/>
      <c r="CST50" s="408"/>
      <c r="CSU50" s="408"/>
      <c r="CSV50" s="408"/>
      <c r="CSW50" s="408"/>
      <c r="CSX50" s="408"/>
      <c r="CSY50" s="408"/>
      <c r="CSZ50" s="408"/>
      <c r="CTA50" s="408"/>
      <c r="CTB50" s="408"/>
      <c r="CTC50" s="408"/>
      <c r="CTD50" s="408"/>
      <c r="CTE50" s="408"/>
      <c r="CTF50" s="408"/>
      <c r="CTG50" s="408"/>
      <c r="CTH50" s="408"/>
      <c r="CTI50" s="408"/>
      <c r="CTJ50" s="408"/>
      <c r="CTK50" s="408"/>
      <c r="CTL50" s="408"/>
      <c r="CTM50" s="408"/>
      <c r="CTN50" s="408"/>
      <c r="CTO50" s="408"/>
      <c r="CTP50" s="408"/>
      <c r="CTQ50" s="408"/>
      <c r="CTR50" s="408"/>
      <c r="CTS50" s="408"/>
      <c r="CTT50" s="408"/>
      <c r="CTU50" s="408"/>
      <c r="CTV50" s="408"/>
      <c r="CTW50" s="408"/>
      <c r="CTX50" s="408"/>
      <c r="CTY50" s="408"/>
      <c r="CTZ50" s="408"/>
      <c r="CUA50" s="408"/>
      <c r="CUB50" s="408"/>
      <c r="CUC50" s="408"/>
      <c r="CUD50" s="408"/>
      <c r="CUE50" s="408"/>
      <c r="CUF50" s="408"/>
      <c r="CUG50" s="408"/>
      <c r="CUH50" s="408"/>
      <c r="CUI50" s="408"/>
      <c r="CUJ50" s="408"/>
      <c r="CUK50" s="408"/>
      <c r="CUL50" s="408"/>
      <c r="CUM50" s="408"/>
      <c r="CUN50" s="408"/>
      <c r="CUO50" s="408"/>
      <c r="CUP50" s="408"/>
      <c r="CUQ50" s="408"/>
      <c r="CUR50" s="408"/>
      <c r="CUS50" s="408"/>
      <c r="CUT50" s="408"/>
      <c r="CUU50" s="408"/>
      <c r="CUV50" s="408"/>
      <c r="CUW50" s="408"/>
      <c r="CUX50" s="408"/>
      <c r="CUY50" s="408"/>
      <c r="CUZ50" s="408"/>
      <c r="CVA50" s="408"/>
      <c r="CVB50" s="408"/>
      <c r="CVC50" s="408"/>
      <c r="CVD50" s="408"/>
      <c r="CVE50" s="408"/>
      <c r="CVF50" s="408"/>
      <c r="CVG50" s="408"/>
      <c r="CVH50" s="408"/>
      <c r="CVI50" s="408"/>
      <c r="CVJ50" s="408"/>
      <c r="CVK50" s="408"/>
      <c r="CVL50" s="408"/>
      <c r="CVM50" s="408"/>
      <c r="CVN50" s="408"/>
      <c r="CVO50" s="408"/>
      <c r="CVP50" s="408"/>
      <c r="CVQ50" s="408"/>
      <c r="CVR50" s="408"/>
      <c r="CVS50" s="408"/>
      <c r="CVT50" s="408"/>
      <c r="CVU50" s="408"/>
      <c r="CVV50" s="408"/>
      <c r="CVW50" s="408"/>
      <c r="CVX50" s="408"/>
      <c r="CVY50" s="408"/>
      <c r="CVZ50" s="408"/>
      <c r="CWA50" s="408"/>
      <c r="CWB50" s="408"/>
      <c r="CWC50" s="408"/>
      <c r="CWD50" s="408"/>
      <c r="CWE50" s="408"/>
      <c r="CWF50" s="408"/>
      <c r="CWG50" s="408"/>
      <c r="CWH50" s="408"/>
      <c r="CWI50" s="408"/>
      <c r="CWJ50" s="408"/>
      <c r="CWK50" s="408"/>
      <c r="CWL50" s="408"/>
      <c r="CWM50" s="408"/>
      <c r="CWN50" s="408"/>
      <c r="CWO50" s="408"/>
      <c r="CWP50" s="408"/>
      <c r="CWQ50" s="408"/>
      <c r="CWR50" s="408"/>
      <c r="CWS50" s="408"/>
      <c r="CWT50" s="408"/>
      <c r="CWU50" s="408"/>
      <c r="CWV50" s="408"/>
      <c r="CWW50" s="408"/>
      <c r="CWX50" s="408"/>
      <c r="CWY50" s="408"/>
      <c r="CWZ50" s="408"/>
      <c r="CXA50" s="408"/>
      <c r="CXB50" s="408"/>
      <c r="CXC50" s="408"/>
      <c r="CXD50" s="408"/>
      <c r="CXE50" s="408"/>
      <c r="CXF50" s="408"/>
      <c r="CXG50" s="408"/>
      <c r="CXH50" s="408"/>
      <c r="CXI50" s="408"/>
      <c r="CXJ50" s="408"/>
      <c r="CXK50" s="408"/>
      <c r="CXL50" s="408"/>
      <c r="CXM50" s="408"/>
      <c r="CXN50" s="408"/>
      <c r="CXO50" s="408"/>
      <c r="CXP50" s="408"/>
      <c r="CXQ50" s="408"/>
      <c r="CXR50" s="408"/>
      <c r="CXS50" s="408"/>
      <c r="CXT50" s="408"/>
      <c r="CXU50" s="408"/>
      <c r="CXV50" s="408"/>
      <c r="CXW50" s="408"/>
      <c r="CXX50" s="408"/>
      <c r="CXY50" s="408"/>
      <c r="CXZ50" s="408"/>
      <c r="CYA50" s="408"/>
      <c r="CYB50" s="408"/>
      <c r="CYC50" s="408"/>
      <c r="CYD50" s="408"/>
      <c r="CYE50" s="408"/>
      <c r="CYF50" s="408"/>
      <c r="CYG50" s="408"/>
      <c r="CYH50" s="408"/>
      <c r="CYI50" s="408"/>
      <c r="CYJ50" s="408"/>
      <c r="CYK50" s="408"/>
      <c r="CYL50" s="408"/>
      <c r="CYM50" s="408"/>
      <c r="CYN50" s="408"/>
      <c r="CYO50" s="408"/>
      <c r="CYP50" s="408"/>
      <c r="CYQ50" s="408"/>
      <c r="CYR50" s="408"/>
      <c r="CYS50" s="408"/>
      <c r="CYT50" s="408"/>
      <c r="CYU50" s="408"/>
      <c r="CYV50" s="408"/>
      <c r="CYW50" s="408"/>
      <c r="CYX50" s="408"/>
      <c r="CYY50" s="408"/>
      <c r="CYZ50" s="408"/>
      <c r="CZA50" s="408"/>
      <c r="CZB50" s="408"/>
      <c r="CZC50" s="408"/>
      <c r="CZD50" s="408"/>
      <c r="CZE50" s="408"/>
      <c r="CZF50" s="408"/>
      <c r="CZG50" s="408"/>
      <c r="CZH50" s="408"/>
      <c r="CZI50" s="408"/>
      <c r="CZJ50" s="408"/>
      <c r="CZK50" s="408"/>
      <c r="CZL50" s="408"/>
      <c r="CZM50" s="408"/>
      <c r="CZN50" s="408"/>
      <c r="CZO50" s="408"/>
      <c r="CZP50" s="408"/>
      <c r="CZQ50" s="408"/>
      <c r="CZR50" s="408"/>
      <c r="CZS50" s="408"/>
      <c r="CZT50" s="408"/>
      <c r="CZU50" s="408"/>
      <c r="CZV50" s="408"/>
      <c r="CZW50" s="408"/>
      <c r="CZX50" s="408"/>
      <c r="CZY50" s="408"/>
      <c r="CZZ50" s="408"/>
      <c r="DAA50" s="408"/>
      <c r="DAB50" s="408"/>
      <c r="DAC50" s="408"/>
      <c r="DAD50" s="408"/>
      <c r="DAE50" s="408"/>
      <c r="DAF50" s="408"/>
      <c r="DAG50" s="408"/>
      <c r="DAH50" s="408"/>
      <c r="DAI50" s="408"/>
      <c r="DAJ50" s="408"/>
      <c r="DAK50" s="408"/>
      <c r="DAL50" s="408"/>
      <c r="DAM50" s="408"/>
      <c r="DAN50" s="408"/>
      <c r="DAO50" s="408"/>
      <c r="DAP50" s="408"/>
      <c r="DAQ50" s="408"/>
      <c r="DAR50" s="408"/>
      <c r="DAS50" s="408"/>
      <c r="DAT50" s="408"/>
      <c r="DAU50" s="408"/>
      <c r="DAV50" s="408"/>
      <c r="DAW50" s="408"/>
      <c r="DAX50" s="408"/>
      <c r="DAY50" s="408"/>
      <c r="DAZ50" s="408"/>
      <c r="DBA50" s="408"/>
      <c r="DBB50" s="408"/>
      <c r="DBC50" s="408"/>
      <c r="DBD50" s="408"/>
      <c r="DBE50" s="408"/>
      <c r="DBF50" s="408"/>
      <c r="DBG50" s="408"/>
      <c r="DBH50" s="408"/>
      <c r="DBI50" s="408"/>
      <c r="DBJ50" s="408"/>
      <c r="DBK50" s="408"/>
      <c r="DBL50" s="408"/>
      <c r="DBM50" s="408"/>
      <c r="DBN50" s="408"/>
      <c r="DBO50" s="408"/>
      <c r="DBP50" s="408"/>
      <c r="DBQ50" s="408"/>
      <c r="DBR50" s="408"/>
      <c r="DBS50" s="408"/>
      <c r="DBT50" s="408"/>
      <c r="DBU50" s="408"/>
      <c r="DBV50" s="408"/>
      <c r="DBW50" s="408"/>
      <c r="DBX50" s="408"/>
      <c r="DBY50" s="408"/>
      <c r="DBZ50" s="408"/>
      <c r="DCA50" s="408"/>
      <c r="DCB50" s="408"/>
      <c r="DCC50" s="408"/>
      <c r="DCD50" s="408"/>
      <c r="DCE50" s="408"/>
      <c r="DCF50" s="408"/>
      <c r="DCG50" s="408"/>
      <c r="DCH50" s="408"/>
      <c r="DCI50" s="408"/>
      <c r="DCJ50" s="408"/>
      <c r="DCK50" s="408"/>
      <c r="DCL50" s="408"/>
      <c r="DCM50" s="408"/>
      <c r="DCN50" s="408"/>
      <c r="DCO50" s="408"/>
      <c r="DCP50" s="408"/>
      <c r="DCQ50" s="408"/>
      <c r="DCR50" s="408"/>
      <c r="DCS50" s="408"/>
      <c r="DCT50" s="408"/>
      <c r="DCU50" s="408"/>
      <c r="DCV50" s="408"/>
      <c r="DCW50" s="408"/>
      <c r="DCX50" s="408"/>
      <c r="DCY50" s="408"/>
      <c r="DCZ50" s="408"/>
      <c r="DDA50" s="408"/>
      <c r="DDB50" s="408"/>
      <c r="DDC50" s="408"/>
      <c r="DDD50" s="408"/>
      <c r="DDE50" s="408"/>
      <c r="DDF50" s="408"/>
      <c r="DDG50" s="408"/>
      <c r="DDH50" s="408"/>
      <c r="DDI50" s="408"/>
      <c r="DDJ50" s="408"/>
      <c r="DDK50" s="408"/>
      <c r="DDL50" s="408"/>
      <c r="DDM50" s="408"/>
      <c r="DDN50" s="408"/>
      <c r="DDO50" s="408"/>
      <c r="DDP50" s="408"/>
      <c r="DDQ50" s="408"/>
      <c r="DDR50" s="408"/>
      <c r="DDS50" s="408"/>
      <c r="DDT50" s="408"/>
      <c r="DDU50" s="408"/>
      <c r="DDV50" s="408"/>
      <c r="DDW50" s="408"/>
      <c r="DDX50" s="408"/>
      <c r="DDY50" s="408"/>
      <c r="DDZ50" s="408"/>
      <c r="DEA50" s="408"/>
      <c r="DEB50" s="408"/>
      <c r="DEC50" s="408"/>
      <c r="DED50" s="408"/>
      <c r="DEE50" s="408"/>
      <c r="DEF50" s="408"/>
      <c r="DEG50" s="408"/>
      <c r="DEH50" s="408"/>
      <c r="DEI50" s="408"/>
      <c r="DEJ50" s="408"/>
      <c r="DEK50" s="408"/>
      <c r="DEL50" s="408"/>
      <c r="DEM50" s="408"/>
      <c r="DEN50" s="408"/>
      <c r="DEO50" s="408"/>
      <c r="DEP50" s="408"/>
      <c r="DEQ50" s="408"/>
      <c r="DER50" s="408"/>
      <c r="DES50" s="408"/>
      <c r="DET50" s="408"/>
      <c r="DEU50" s="408"/>
      <c r="DEV50" s="408"/>
      <c r="DEW50" s="408"/>
      <c r="DEX50" s="408"/>
      <c r="DEY50" s="408"/>
      <c r="DEZ50" s="408"/>
      <c r="DFA50" s="408"/>
      <c r="DFB50" s="408"/>
      <c r="DFC50" s="408"/>
      <c r="DFD50" s="408"/>
      <c r="DFE50" s="408"/>
      <c r="DFF50" s="408"/>
      <c r="DFG50" s="408"/>
      <c r="DFH50" s="408"/>
      <c r="DFI50" s="408"/>
      <c r="DFJ50" s="408"/>
      <c r="DFK50" s="408"/>
      <c r="DFL50" s="408"/>
      <c r="DFM50" s="408"/>
      <c r="DFN50" s="408"/>
      <c r="DFO50" s="408"/>
      <c r="DFP50" s="408"/>
      <c r="DFQ50" s="408"/>
      <c r="DFR50" s="408"/>
      <c r="DFS50" s="408"/>
      <c r="DFT50" s="408"/>
      <c r="DFU50" s="408"/>
      <c r="DFV50" s="408"/>
      <c r="DFW50" s="408"/>
      <c r="DFX50" s="408"/>
      <c r="DFY50" s="408"/>
      <c r="DFZ50" s="408"/>
      <c r="DGA50" s="408"/>
      <c r="DGB50" s="408"/>
      <c r="DGC50" s="408"/>
      <c r="DGD50" s="408"/>
      <c r="DGE50" s="408"/>
      <c r="DGF50" s="408"/>
      <c r="DGG50" s="408"/>
      <c r="DGH50" s="408"/>
      <c r="DGI50" s="408"/>
      <c r="DGJ50" s="408"/>
      <c r="DGK50" s="408"/>
      <c r="DGL50" s="408"/>
      <c r="DGM50" s="408"/>
      <c r="DGN50" s="408"/>
      <c r="DGO50" s="408"/>
      <c r="DGP50" s="408"/>
      <c r="DGQ50" s="408"/>
      <c r="DGR50" s="408"/>
      <c r="DGS50" s="408"/>
      <c r="DGT50" s="408"/>
      <c r="DGU50" s="408"/>
      <c r="DGV50" s="408"/>
      <c r="DGW50" s="408"/>
      <c r="DGX50" s="408"/>
      <c r="DGY50" s="408"/>
      <c r="DGZ50" s="408"/>
      <c r="DHA50" s="408"/>
      <c r="DHB50" s="408"/>
      <c r="DHC50" s="408"/>
      <c r="DHD50" s="408"/>
      <c r="DHE50" s="408"/>
      <c r="DHF50" s="408"/>
      <c r="DHG50" s="408"/>
      <c r="DHH50" s="408"/>
      <c r="DHI50" s="408"/>
      <c r="DHJ50" s="408"/>
      <c r="DHK50" s="408"/>
      <c r="DHL50" s="408"/>
      <c r="DHM50" s="408"/>
      <c r="DHN50" s="408"/>
      <c r="DHO50" s="408"/>
      <c r="DHP50" s="408"/>
      <c r="DHQ50" s="408"/>
      <c r="DHR50" s="408"/>
      <c r="DHS50" s="408"/>
      <c r="DHT50" s="408"/>
      <c r="DHU50" s="408"/>
      <c r="DHV50" s="408"/>
      <c r="DHW50" s="408"/>
      <c r="DHX50" s="408"/>
      <c r="DHY50" s="408"/>
      <c r="DHZ50" s="408"/>
      <c r="DIA50" s="408"/>
      <c r="DIB50" s="408"/>
      <c r="DIC50" s="408"/>
      <c r="DID50" s="408"/>
      <c r="DIE50" s="408"/>
      <c r="DIF50" s="408"/>
      <c r="DIG50" s="408"/>
      <c r="DIH50" s="408"/>
      <c r="DII50" s="408"/>
      <c r="DIJ50" s="408"/>
      <c r="DIK50" s="408"/>
      <c r="DIL50" s="408"/>
      <c r="DIM50" s="408"/>
      <c r="DIN50" s="408"/>
      <c r="DIO50" s="408"/>
      <c r="DIP50" s="408"/>
      <c r="DIQ50" s="408"/>
      <c r="DIR50" s="408"/>
      <c r="DIS50" s="408"/>
      <c r="DIT50" s="408"/>
      <c r="DIU50" s="408"/>
      <c r="DIV50" s="408"/>
      <c r="DIW50" s="408"/>
      <c r="DIX50" s="408"/>
      <c r="DIY50" s="408"/>
      <c r="DIZ50" s="408"/>
      <c r="DJA50" s="408"/>
      <c r="DJB50" s="408"/>
      <c r="DJC50" s="408"/>
      <c r="DJD50" s="408"/>
      <c r="DJE50" s="408"/>
      <c r="DJF50" s="408"/>
      <c r="DJG50" s="408"/>
      <c r="DJH50" s="408"/>
      <c r="DJI50" s="408"/>
      <c r="DJJ50" s="408"/>
      <c r="DJK50" s="408"/>
      <c r="DJL50" s="408"/>
      <c r="DJM50" s="408"/>
      <c r="DJN50" s="408"/>
      <c r="DJO50" s="408"/>
      <c r="DJP50" s="408"/>
      <c r="DJQ50" s="408"/>
      <c r="DJR50" s="408"/>
      <c r="DJS50" s="408"/>
      <c r="DJT50" s="408"/>
      <c r="DJU50" s="408"/>
      <c r="DJV50" s="408"/>
      <c r="DJW50" s="408"/>
      <c r="DJX50" s="408"/>
      <c r="DJY50" s="408"/>
      <c r="DJZ50" s="408"/>
      <c r="DKA50" s="408"/>
      <c r="DKB50" s="408"/>
      <c r="DKC50" s="408"/>
      <c r="DKD50" s="408"/>
      <c r="DKE50" s="408"/>
      <c r="DKF50" s="408"/>
      <c r="DKG50" s="408"/>
      <c r="DKH50" s="408"/>
      <c r="DKI50" s="408"/>
      <c r="DKJ50" s="408"/>
      <c r="DKK50" s="408"/>
      <c r="DKL50" s="408"/>
      <c r="DKM50" s="408"/>
      <c r="DKN50" s="408"/>
      <c r="DKO50" s="408"/>
      <c r="DKP50" s="408"/>
      <c r="DKQ50" s="408"/>
      <c r="DKR50" s="408"/>
      <c r="DKS50" s="408"/>
      <c r="DKT50" s="408"/>
      <c r="DKU50" s="408"/>
      <c r="DKV50" s="408"/>
      <c r="DKW50" s="408"/>
      <c r="DKX50" s="408"/>
      <c r="DKY50" s="408"/>
      <c r="DKZ50" s="408"/>
      <c r="DLA50" s="408"/>
      <c r="DLB50" s="408"/>
      <c r="DLC50" s="408"/>
      <c r="DLD50" s="408"/>
      <c r="DLE50" s="408"/>
      <c r="DLF50" s="408"/>
      <c r="DLG50" s="408"/>
      <c r="DLH50" s="408"/>
      <c r="DLI50" s="408"/>
      <c r="DLJ50" s="408"/>
      <c r="DLK50" s="408"/>
      <c r="DLL50" s="408"/>
      <c r="DLM50" s="408"/>
      <c r="DLN50" s="408"/>
      <c r="DLO50" s="408"/>
      <c r="DLP50" s="408"/>
      <c r="DLQ50" s="408"/>
      <c r="DLR50" s="408"/>
      <c r="DLS50" s="408"/>
      <c r="DLT50" s="408"/>
      <c r="DLU50" s="408"/>
      <c r="DLV50" s="408"/>
      <c r="DLW50" s="408"/>
      <c r="DLX50" s="408"/>
      <c r="DLY50" s="408"/>
      <c r="DLZ50" s="408"/>
      <c r="DMA50" s="408"/>
      <c r="DMB50" s="408"/>
      <c r="DMC50" s="408"/>
      <c r="DMD50" s="408"/>
      <c r="DME50" s="408"/>
      <c r="DMF50" s="408"/>
      <c r="DMG50" s="408"/>
      <c r="DMH50" s="408"/>
      <c r="DMI50" s="408"/>
      <c r="DMJ50" s="408"/>
      <c r="DMK50" s="408"/>
      <c r="DML50" s="408"/>
      <c r="DMM50" s="408"/>
      <c r="DMN50" s="408"/>
      <c r="DMO50" s="408"/>
      <c r="DMP50" s="408"/>
      <c r="DMQ50" s="408"/>
      <c r="DMR50" s="408"/>
      <c r="DMS50" s="408"/>
      <c r="DMT50" s="408"/>
      <c r="DMU50" s="408"/>
      <c r="DMV50" s="408"/>
      <c r="DMW50" s="408"/>
      <c r="DMX50" s="408"/>
      <c r="DMY50" s="408"/>
      <c r="DMZ50" s="408"/>
      <c r="DNA50" s="408"/>
      <c r="DNB50" s="408"/>
      <c r="DNC50" s="408"/>
      <c r="DND50" s="408"/>
      <c r="DNE50" s="408"/>
      <c r="DNF50" s="408"/>
      <c r="DNG50" s="408"/>
      <c r="DNH50" s="408"/>
      <c r="DNI50" s="408"/>
      <c r="DNJ50" s="408"/>
      <c r="DNK50" s="408"/>
      <c r="DNL50" s="408"/>
      <c r="DNM50" s="408"/>
      <c r="DNN50" s="408"/>
      <c r="DNO50" s="408"/>
      <c r="DNP50" s="408"/>
      <c r="DNQ50" s="408"/>
      <c r="DNR50" s="408"/>
      <c r="DNS50" s="408"/>
      <c r="DNT50" s="408"/>
      <c r="DNU50" s="408"/>
      <c r="DNV50" s="408"/>
      <c r="DNW50" s="408"/>
      <c r="DNX50" s="408"/>
      <c r="DNY50" s="408"/>
      <c r="DNZ50" s="408"/>
      <c r="DOA50" s="408"/>
      <c r="DOB50" s="408"/>
      <c r="DOC50" s="408"/>
      <c r="DOD50" s="408"/>
      <c r="DOE50" s="408"/>
      <c r="DOF50" s="408"/>
      <c r="DOG50" s="408"/>
      <c r="DOH50" s="408"/>
      <c r="DOI50" s="408"/>
      <c r="DOJ50" s="408"/>
      <c r="DOK50" s="408"/>
      <c r="DOL50" s="408"/>
      <c r="DOM50" s="408"/>
      <c r="DON50" s="408"/>
      <c r="DOO50" s="408"/>
      <c r="DOP50" s="408"/>
      <c r="DOQ50" s="408"/>
      <c r="DOR50" s="408"/>
      <c r="DOS50" s="408"/>
      <c r="DOT50" s="408"/>
      <c r="DOU50" s="408"/>
      <c r="DOV50" s="408"/>
      <c r="DOW50" s="408"/>
      <c r="DOX50" s="408"/>
      <c r="DOY50" s="408"/>
      <c r="DOZ50" s="408"/>
      <c r="DPA50" s="408"/>
      <c r="DPB50" s="408"/>
      <c r="DPC50" s="408"/>
      <c r="DPD50" s="408"/>
      <c r="DPE50" s="408"/>
      <c r="DPF50" s="408"/>
      <c r="DPG50" s="408"/>
      <c r="DPH50" s="408"/>
      <c r="DPI50" s="408"/>
      <c r="DPJ50" s="408"/>
      <c r="DPK50" s="408"/>
      <c r="DPL50" s="408"/>
      <c r="DPM50" s="408"/>
      <c r="DPN50" s="408"/>
      <c r="DPO50" s="408"/>
      <c r="DPP50" s="408"/>
      <c r="DPQ50" s="408"/>
      <c r="DPR50" s="408"/>
      <c r="DPS50" s="408"/>
      <c r="DPT50" s="408"/>
      <c r="DPU50" s="408"/>
      <c r="DPV50" s="408"/>
      <c r="DPW50" s="408"/>
      <c r="DPX50" s="408"/>
      <c r="DPY50" s="408"/>
      <c r="DPZ50" s="408"/>
      <c r="DQA50" s="408"/>
      <c r="DQB50" s="408"/>
      <c r="DQC50" s="408"/>
      <c r="DQD50" s="408"/>
      <c r="DQE50" s="408"/>
      <c r="DQF50" s="408"/>
      <c r="DQG50" s="408"/>
      <c r="DQH50" s="408"/>
      <c r="DQI50" s="408"/>
      <c r="DQJ50" s="408"/>
      <c r="DQK50" s="408"/>
      <c r="DQL50" s="408"/>
      <c r="DQM50" s="408"/>
      <c r="DQN50" s="408"/>
      <c r="DQO50" s="408"/>
      <c r="DQP50" s="408"/>
      <c r="DQQ50" s="408"/>
      <c r="DQR50" s="408"/>
      <c r="DQS50" s="408"/>
      <c r="DQT50" s="408"/>
      <c r="DQU50" s="408"/>
      <c r="DQV50" s="408"/>
      <c r="DQW50" s="408"/>
      <c r="DQX50" s="408"/>
      <c r="DQY50" s="408"/>
      <c r="DQZ50" s="408"/>
      <c r="DRA50" s="408"/>
      <c r="DRB50" s="408"/>
      <c r="DRC50" s="408"/>
      <c r="DRD50" s="408"/>
      <c r="DRE50" s="408"/>
      <c r="DRF50" s="408"/>
      <c r="DRG50" s="408"/>
      <c r="DRH50" s="408"/>
      <c r="DRI50" s="408"/>
      <c r="DRJ50" s="408"/>
      <c r="DRK50" s="408"/>
      <c r="DRL50" s="408"/>
      <c r="DRM50" s="408"/>
      <c r="DRN50" s="408"/>
      <c r="DRO50" s="408"/>
      <c r="DRP50" s="408"/>
      <c r="DRQ50" s="408"/>
      <c r="DRR50" s="408"/>
      <c r="DRS50" s="408"/>
      <c r="DRT50" s="408"/>
      <c r="DRU50" s="408"/>
      <c r="DRV50" s="408"/>
      <c r="DRW50" s="408"/>
      <c r="DRX50" s="408"/>
      <c r="DRY50" s="408"/>
      <c r="DRZ50" s="408"/>
      <c r="DSA50" s="408"/>
      <c r="DSB50" s="408"/>
      <c r="DSC50" s="408"/>
      <c r="DSD50" s="408"/>
      <c r="DSE50" s="408"/>
      <c r="DSF50" s="408"/>
      <c r="DSG50" s="408"/>
      <c r="DSH50" s="408"/>
      <c r="DSI50" s="408"/>
      <c r="DSJ50" s="408"/>
      <c r="DSK50" s="408"/>
      <c r="DSL50" s="408"/>
      <c r="DSM50" s="408"/>
      <c r="DSN50" s="408"/>
      <c r="DSO50" s="408"/>
      <c r="DSP50" s="408"/>
      <c r="DSQ50" s="408"/>
      <c r="DSR50" s="408"/>
      <c r="DSS50" s="408"/>
      <c r="DST50" s="408"/>
      <c r="DSU50" s="408"/>
      <c r="DSV50" s="408"/>
      <c r="DSW50" s="408"/>
      <c r="DSX50" s="408"/>
      <c r="DSY50" s="408"/>
      <c r="DSZ50" s="408"/>
      <c r="DTA50" s="408"/>
      <c r="DTB50" s="408"/>
      <c r="DTC50" s="408"/>
      <c r="DTD50" s="408"/>
      <c r="DTE50" s="408"/>
      <c r="DTF50" s="408"/>
      <c r="DTG50" s="408"/>
      <c r="DTH50" s="408"/>
      <c r="DTI50" s="408"/>
      <c r="DTJ50" s="408"/>
      <c r="DTK50" s="408"/>
      <c r="DTL50" s="408"/>
      <c r="DTM50" s="408"/>
      <c r="DTN50" s="408"/>
      <c r="DTO50" s="408"/>
      <c r="DTP50" s="408"/>
      <c r="DTQ50" s="408"/>
      <c r="DTR50" s="408"/>
      <c r="DTS50" s="408"/>
      <c r="DTT50" s="408"/>
      <c r="DTU50" s="408"/>
      <c r="DTV50" s="408"/>
      <c r="DTW50" s="408"/>
      <c r="DTX50" s="408"/>
      <c r="DTY50" s="408"/>
      <c r="DTZ50" s="408"/>
      <c r="DUA50" s="408"/>
      <c r="DUB50" s="408"/>
      <c r="DUC50" s="408"/>
      <c r="DUD50" s="408"/>
      <c r="DUE50" s="408"/>
      <c r="DUF50" s="408"/>
      <c r="DUG50" s="408"/>
      <c r="DUH50" s="408"/>
      <c r="DUI50" s="408"/>
      <c r="DUJ50" s="408"/>
      <c r="DUK50" s="408"/>
      <c r="DUL50" s="408"/>
      <c r="DUM50" s="408"/>
      <c r="DUN50" s="408"/>
      <c r="DUO50" s="408"/>
      <c r="DUP50" s="408"/>
      <c r="DUQ50" s="408"/>
      <c r="DUR50" s="408"/>
      <c r="DUS50" s="408"/>
      <c r="DUT50" s="408"/>
      <c r="DUU50" s="408"/>
      <c r="DUV50" s="408"/>
      <c r="DUW50" s="408"/>
      <c r="DUX50" s="408"/>
      <c r="DUY50" s="408"/>
      <c r="DUZ50" s="408"/>
      <c r="DVA50" s="408"/>
      <c r="DVB50" s="408"/>
      <c r="DVC50" s="408"/>
      <c r="DVD50" s="408"/>
      <c r="DVE50" s="408"/>
      <c r="DVF50" s="408"/>
      <c r="DVG50" s="408"/>
      <c r="DVH50" s="408"/>
      <c r="DVI50" s="408"/>
      <c r="DVJ50" s="408"/>
      <c r="DVK50" s="408"/>
      <c r="DVL50" s="408"/>
      <c r="DVM50" s="408"/>
      <c r="DVN50" s="408"/>
      <c r="DVO50" s="408"/>
      <c r="DVP50" s="408"/>
      <c r="DVQ50" s="408"/>
      <c r="DVR50" s="408"/>
      <c r="DVS50" s="408"/>
      <c r="DVT50" s="408"/>
      <c r="DVU50" s="408"/>
      <c r="DVV50" s="408"/>
      <c r="DVW50" s="408"/>
      <c r="DVX50" s="408"/>
      <c r="DVY50" s="408"/>
      <c r="DVZ50" s="408"/>
      <c r="DWA50" s="408"/>
      <c r="DWB50" s="408"/>
      <c r="DWC50" s="408"/>
      <c r="DWD50" s="408"/>
      <c r="DWE50" s="408"/>
      <c r="DWF50" s="408"/>
      <c r="DWG50" s="408"/>
      <c r="DWH50" s="408"/>
      <c r="DWI50" s="408"/>
      <c r="DWJ50" s="408"/>
      <c r="DWK50" s="408"/>
      <c r="DWL50" s="408"/>
      <c r="DWM50" s="408"/>
      <c r="DWN50" s="408"/>
      <c r="DWO50" s="408"/>
      <c r="DWP50" s="408"/>
      <c r="DWQ50" s="408"/>
      <c r="DWR50" s="408"/>
      <c r="DWS50" s="408"/>
      <c r="DWT50" s="408"/>
      <c r="DWU50" s="408"/>
      <c r="DWV50" s="408"/>
      <c r="DWW50" s="408"/>
      <c r="DWX50" s="408"/>
      <c r="DWY50" s="408"/>
      <c r="DWZ50" s="408"/>
      <c r="DXA50" s="408"/>
      <c r="DXB50" s="408"/>
      <c r="DXC50" s="408"/>
      <c r="DXD50" s="408"/>
      <c r="DXE50" s="408"/>
      <c r="DXF50" s="408"/>
      <c r="DXG50" s="408"/>
      <c r="DXH50" s="408"/>
      <c r="DXI50" s="408"/>
      <c r="DXJ50" s="408"/>
      <c r="DXK50" s="408"/>
      <c r="DXL50" s="408"/>
      <c r="DXM50" s="408"/>
      <c r="DXN50" s="408"/>
      <c r="DXO50" s="408"/>
      <c r="DXP50" s="408"/>
      <c r="DXQ50" s="408"/>
      <c r="DXR50" s="408"/>
      <c r="DXS50" s="408"/>
      <c r="DXT50" s="408"/>
      <c r="DXU50" s="408"/>
      <c r="DXV50" s="408"/>
      <c r="DXW50" s="408"/>
      <c r="DXX50" s="408"/>
      <c r="DXY50" s="408"/>
      <c r="DXZ50" s="408"/>
      <c r="DYA50" s="408"/>
      <c r="DYB50" s="408"/>
      <c r="DYC50" s="408"/>
      <c r="DYD50" s="408"/>
      <c r="DYE50" s="408"/>
      <c r="DYF50" s="408"/>
      <c r="DYG50" s="408"/>
      <c r="DYH50" s="408"/>
      <c r="DYI50" s="408"/>
      <c r="DYJ50" s="408"/>
      <c r="DYK50" s="408"/>
      <c r="DYL50" s="408"/>
      <c r="DYM50" s="408"/>
      <c r="DYN50" s="408"/>
      <c r="DYO50" s="408"/>
      <c r="DYP50" s="408"/>
      <c r="DYQ50" s="408"/>
      <c r="DYR50" s="408"/>
      <c r="DYS50" s="408"/>
      <c r="DYT50" s="408"/>
      <c r="DYU50" s="408"/>
      <c r="DYV50" s="408"/>
      <c r="DYW50" s="408"/>
      <c r="DYX50" s="408"/>
      <c r="DYY50" s="408"/>
      <c r="DYZ50" s="408"/>
      <c r="DZA50" s="408"/>
      <c r="DZB50" s="408"/>
      <c r="DZC50" s="408"/>
      <c r="DZD50" s="408"/>
      <c r="DZE50" s="408"/>
      <c r="DZF50" s="408"/>
      <c r="DZG50" s="408"/>
      <c r="DZH50" s="408"/>
      <c r="DZI50" s="408"/>
      <c r="DZJ50" s="408"/>
      <c r="DZK50" s="408"/>
      <c r="DZL50" s="408"/>
      <c r="DZM50" s="408"/>
      <c r="DZN50" s="408"/>
      <c r="DZO50" s="408"/>
      <c r="DZP50" s="408"/>
      <c r="DZQ50" s="408"/>
      <c r="DZR50" s="408"/>
      <c r="DZS50" s="408"/>
      <c r="DZT50" s="408"/>
      <c r="DZU50" s="408"/>
      <c r="DZV50" s="408"/>
      <c r="DZW50" s="408"/>
      <c r="DZX50" s="408"/>
      <c r="DZY50" s="408"/>
      <c r="DZZ50" s="408"/>
      <c r="EAA50" s="408"/>
      <c r="EAB50" s="408"/>
      <c r="EAC50" s="408"/>
      <c r="EAD50" s="408"/>
      <c r="EAE50" s="408"/>
      <c r="EAF50" s="408"/>
      <c r="EAG50" s="408"/>
      <c r="EAH50" s="408"/>
      <c r="EAI50" s="408"/>
      <c r="EAJ50" s="408"/>
      <c r="EAK50" s="408"/>
      <c r="EAL50" s="408"/>
      <c r="EAM50" s="408"/>
      <c r="EAN50" s="408"/>
      <c r="EAO50" s="408"/>
      <c r="EAP50" s="408"/>
      <c r="EAQ50" s="408"/>
      <c r="EAR50" s="408"/>
      <c r="EAS50" s="408"/>
      <c r="EAT50" s="408"/>
      <c r="EAU50" s="408"/>
      <c r="EAV50" s="408"/>
      <c r="EAW50" s="408"/>
      <c r="EAX50" s="408"/>
      <c r="EAY50" s="408"/>
      <c r="EAZ50" s="408"/>
      <c r="EBA50" s="408"/>
      <c r="EBB50" s="408"/>
      <c r="EBC50" s="408"/>
      <c r="EBD50" s="408"/>
      <c r="EBE50" s="408"/>
      <c r="EBF50" s="408"/>
      <c r="EBG50" s="408"/>
      <c r="EBH50" s="408"/>
      <c r="EBI50" s="408"/>
      <c r="EBJ50" s="408"/>
      <c r="EBK50" s="408"/>
      <c r="EBL50" s="408"/>
      <c r="EBM50" s="408"/>
      <c r="EBN50" s="408"/>
      <c r="EBO50" s="408"/>
      <c r="EBP50" s="408"/>
      <c r="EBQ50" s="408"/>
      <c r="EBR50" s="408"/>
      <c r="EBS50" s="408"/>
      <c r="EBT50" s="408"/>
      <c r="EBU50" s="408"/>
      <c r="EBV50" s="408"/>
      <c r="EBW50" s="408"/>
      <c r="EBX50" s="408"/>
      <c r="EBY50" s="408"/>
      <c r="EBZ50" s="408"/>
      <c r="ECA50" s="408"/>
      <c r="ECB50" s="408"/>
      <c r="ECC50" s="408"/>
      <c r="ECD50" s="408"/>
      <c r="ECE50" s="408"/>
      <c r="ECF50" s="408"/>
      <c r="ECG50" s="408"/>
      <c r="ECH50" s="408"/>
      <c r="ECI50" s="408"/>
      <c r="ECJ50" s="408"/>
      <c r="ECK50" s="408"/>
      <c r="ECL50" s="408"/>
      <c r="ECM50" s="408"/>
      <c r="ECN50" s="408"/>
      <c r="ECO50" s="408"/>
      <c r="ECP50" s="408"/>
      <c r="ECQ50" s="408"/>
      <c r="ECR50" s="408"/>
      <c r="ECS50" s="408"/>
      <c r="ECT50" s="408"/>
      <c r="ECU50" s="408"/>
      <c r="ECV50" s="408"/>
      <c r="ECW50" s="408"/>
      <c r="ECX50" s="408"/>
      <c r="ECY50" s="408"/>
      <c r="ECZ50" s="408"/>
      <c r="EDA50" s="408"/>
      <c r="EDB50" s="408"/>
      <c r="EDC50" s="408"/>
      <c r="EDD50" s="408"/>
      <c r="EDE50" s="408"/>
      <c r="EDF50" s="408"/>
      <c r="EDG50" s="408"/>
      <c r="EDH50" s="408"/>
      <c r="EDI50" s="408"/>
      <c r="EDJ50" s="408"/>
      <c r="EDK50" s="408"/>
      <c r="EDL50" s="408"/>
      <c r="EDM50" s="408"/>
      <c r="EDN50" s="408"/>
      <c r="EDO50" s="408"/>
      <c r="EDP50" s="408"/>
      <c r="EDQ50" s="408"/>
      <c r="EDR50" s="408"/>
      <c r="EDS50" s="408"/>
      <c r="EDT50" s="408"/>
      <c r="EDU50" s="408"/>
      <c r="EDV50" s="408"/>
      <c r="EDW50" s="408"/>
      <c r="EDX50" s="408"/>
      <c r="EDY50" s="408"/>
      <c r="EDZ50" s="408"/>
      <c r="EEA50" s="408"/>
      <c r="EEB50" s="408"/>
      <c r="EEC50" s="408"/>
      <c r="EED50" s="408"/>
      <c r="EEE50" s="408"/>
      <c r="EEF50" s="408"/>
      <c r="EEG50" s="408"/>
      <c r="EEH50" s="408"/>
      <c r="EEI50" s="408"/>
      <c r="EEJ50" s="408"/>
      <c r="EEK50" s="408"/>
      <c r="EEL50" s="408"/>
      <c r="EEM50" s="408"/>
      <c r="EEN50" s="408"/>
      <c r="EEO50" s="408"/>
      <c r="EEP50" s="408"/>
      <c r="EEQ50" s="408"/>
      <c r="EER50" s="408"/>
      <c r="EES50" s="408"/>
      <c r="EET50" s="408"/>
      <c r="EEU50" s="408"/>
      <c r="EEV50" s="408"/>
      <c r="EEW50" s="408"/>
      <c r="EEX50" s="408"/>
      <c r="EEY50" s="408"/>
      <c r="EEZ50" s="408"/>
      <c r="EFA50" s="408"/>
      <c r="EFB50" s="408"/>
      <c r="EFC50" s="408"/>
      <c r="EFD50" s="408"/>
      <c r="EFE50" s="408"/>
      <c r="EFF50" s="408"/>
      <c r="EFG50" s="408"/>
      <c r="EFH50" s="408"/>
      <c r="EFI50" s="408"/>
      <c r="EFJ50" s="408"/>
      <c r="EFK50" s="408"/>
      <c r="EFL50" s="408"/>
      <c r="EFM50" s="408"/>
      <c r="EFN50" s="408"/>
      <c r="EFO50" s="408"/>
      <c r="EFP50" s="408"/>
      <c r="EFQ50" s="408"/>
      <c r="EFR50" s="408"/>
      <c r="EFS50" s="408"/>
      <c r="EFT50" s="408"/>
      <c r="EFU50" s="408"/>
      <c r="EFV50" s="408"/>
      <c r="EFW50" s="408"/>
      <c r="EFX50" s="408"/>
      <c r="EFY50" s="408"/>
      <c r="EFZ50" s="408"/>
      <c r="EGA50" s="408"/>
      <c r="EGB50" s="408"/>
      <c r="EGC50" s="408"/>
      <c r="EGD50" s="408"/>
      <c r="EGE50" s="408"/>
      <c r="EGF50" s="408"/>
      <c r="EGG50" s="408"/>
      <c r="EGH50" s="408"/>
      <c r="EGI50" s="408"/>
      <c r="EGJ50" s="408"/>
      <c r="EGK50" s="408"/>
      <c r="EGL50" s="408"/>
      <c r="EGM50" s="408"/>
      <c r="EGN50" s="408"/>
      <c r="EGO50" s="408"/>
      <c r="EGP50" s="408"/>
      <c r="EGQ50" s="408"/>
      <c r="EGR50" s="408"/>
      <c r="EGS50" s="408"/>
      <c r="EGT50" s="408"/>
      <c r="EGU50" s="408"/>
      <c r="EGV50" s="408"/>
      <c r="EGW50" s="408"/>
      <c r="EGX50" s="408"/>
      <c r="EGY50" s="408"/>
      <c r="EGZ50" s="408"/>
      <c r="EHA50" s="408"/>
      <c r="EHB50" s="408"/>
      <c r="EHC50" s="408"/>
      <c r="EHD50" s="408"/>
      <c r="EHE50" s="408"/>
      <c r="EHF50" s="408"/>
      <c r="EHG50" s="408"/>
      <c r="EHH50" s="408"/>
      <c r="EHI50" s="408"/>
      <c r="EHJ50" s="408"/>
      <c r="EHK50" s="408"/>
      <c r="EHL50" s="408"/>
      <c r="EHM50" s="408"/>
      <c r="EHN50" s="408"/>
      <c r="EHO50" s="408"/>
      <c r="EHP50" s="408"/>
      <c r="EHQ50" s="408"/>
      <c r="EHR50" s="408"/>
      <c r="EHS50" s="408"/>
      <c r="EHT50" s="408"/>
      <c r="EHU50" s="408"/>
      <c r="EHV50" s="408"/>
      <c r="EHW50" s="408"/>
      <c r="EHX50" s="408"/>
      <c r="EHY50" s="408"/>
      <c r="EHZ50" s="408"/>
      <c r="EIA50" s="408"/>
      <c r="EIB50" s="408"/>
      <c r="EIC50" s="408"/>
      <c r="EID50" s="408"/>
      <c r="EIE50" s="408"/>
      <c r="EIF50" s="408"/>
      <c r="EIG50" s="408"/>
      <c r="EIH50" s="408"/>
      <c r="EII50" s="408"/>
      <c r="EIJ50" s="408"/>
      <c r="EIK50" s="408"/>
      <c r="EIL50" s="408"/>
      <c r="EIM50" s="408"/>
      <c r="EIN50" s="408"/>
      <c r="EIO50" s="408"/>
      <c r="EIP50" s="408"/>
      <c r="EIQ50" s="408"/>
      <c r="EIR50" s="408"/>
      <c r="EIS50" s="408"/>
      <c r="EIT50" s="408"/>
      <c r="EIU50" s="408"/>
      <c r="EIV50" s="408"/>
      <c r="EIW50" s="408"/>
      <c r="EIX50" s="408"/>
      <c r="EIY50" s="408"/>
      <c r="EIZ50" s="408"/>
      <c r="EJA50" s="408"/>
      <c r="EJB50" s="408"/>
      <c r="EJC50" s="408"/>
      <c r="EJD50" s="408"/>
      <c r="EJE50" s="408"/>
      <c r="EJF50" s="408"/>
      <c r="EJG50" s="408"/>
      <c r="EJH50" s="408"/>
      <c r="EJI50" s="408"/>
      <c r="EJJ50" s="408"/>
      <c r="EJK50" s="408"/>
      <c r="EJL50" s="408"/>
      <c r="EJM50" s="408"/>
      <c r="EJN50" s="408"/>
      <c r="EJO50" s="408"/>
      <c r="EJP50" s="408"/>
      <c r="EJQ50" s="408"/>
      <c r="EJR50" s="408"/>
      <c r="EJS50" s="408"/>
      <c r="EJT50" s="408"/>
      <c r="EJU50" s="408"/>
      <c r="EJV50" s="408"/>
      <c r="EJW50" s="408"/>
      <c r="EJX50" s="408"/>
      <c r="EJY50" s="408"/>
      <c r="EJZ50" s="408"/>
      <c r="EKA50" s="408"/>
      <c r="EKB50" s="408"/>
      <c r="EKC50" s="408"/>
      <c r="EKD50" s="408"/>
      <c r="EKE50" s="408"/>
      <c r="EKF50" s="408"/>
      <c r="EKG50" s="408"/>
      <c r="EKH50" s="408"/>
      <c r="EKI50" s="408"/>
      <c r="EKJ50" s="408"/>
      <c r="EKK50" s="408"/>
      <c r="EKL50" s="408"/>
      <c r="EKM50" s="408"/>
      <c r="EKN50" s="408"/>
      <c r="EKO50" s="408"/>
      <c r="EKP50" s="408"/>
      <c r="EKQ50" s="408"/>
      <c r="EKR50" s="408"/>
      <c r="EKS50" s="408"/>
      <c r="EKT50" s="408"/>
      <c r="EKU50" s="408"/>
      <c r="EKV50" s="408"/>
      <c r="EKW50" s="408"/>
      <c r="EKX50" s="408"/>
      <c r="EKY50" s="408"/>
      <c r="EKZ50" s="408"/>
      <c r="ELA50" s="408"/>
      <c r="ELB50" s="408"/>
      <c r="ELC50" s="408"/>
      <c r="ELD50" s="408"/>
      <c r="ELE50" s="408"/>
      <c r="ELF50" s="408"/>
      <c r="ELG50" s="408"/>
      <c r="ELH50" s="408"/>
      <c r="ELI50" s="408"/>
      <c r="ELJ50" s="408"/>
      <c r="ELK50" s="408"/>
      <c r="ELL50" s="408"/>
      <c r="ELM50" s="408"/>
      <c r="ELN50" s="408"/>
      <c r="ELO50" s="408"/>
      <c r="ELP50" s="408"/>
      <c r="ELQ50" s="408"/>
      <c r="ELR50" s="408"/>
      <c r="ELS50" s="408"/>
      <c r="ELT50" s="408"/>
      <c r="ELU50" s="408"/>
      <c r="ELV50" s="408"/>
      <c r="ELW50" s="408"/>
      <c r="ELX50" s="408"/>
      <c r="ELY50" s="408"/>
      <c r="ELZ50" s="408"/>
      <c r="EMA50" s="408"/>
      <c r="EMB50" s="408"/>
      <c r="EMC50" s="408"/>
      <c r="EMD50" s="408"/>
      <c r="EME50" s="408"/>
      <c r="EMF50" s="408"/>
      <c r="EMG50" s="408"/>
      <c r="EMH50" s="408"/>
      <c r="EMI50" s="408"/>
      <c r="EMJ50" s="408"/>
      <c r="EMK50" s="408"/>
      <c r="EML50" s="408"/>
      <c r="EMM50" s="408"/>
      <c r="EMN50" s="408"/>
      <c r="EMO50" s="408"/>
      <c r="EMP50" s="408"/>
      <c r="EMQ50" s="408"/>
      <c r="EMR50" s="408"/>
      <c r="EMS50" s="408"/>
      <c r="EMT50" s="408"/>
      <c r="EMU50" s="408"/>
      <c r="EMV50" s="408"/>
      <c r="EMW50" s="408"/>
      <c r="EMX50" s="408"/>
      <c r="EMY50" s="408"/>
      <c r="EMZ50" s="408"/>
      <c r="ENA50" s="408"/>
      <c r="ENB50" s="408"/>
      <c r="ENC50" s="408"/>
      <c r="END50" s="408"/>
      <c r="ENE50" s="408"/>
      <c r="ENF50" s="408"/>
      <c r="ENG50" s="408"/>
      <c r="ENH50" s="408"/>
      <c r="ENI50" s="408"/>
      <c r="ENJ50" s="408"/>
      <c r="ENK50" s="408"/>
      <c r="ENL50" s="408"/>
      <c r="ENM50" s="408"/>
      <c r="ENN50" s="408"/>
      <c r="ENO50" s="408"/>
      <c r="ENP50" s="408"/>
      <c r="ENQ50" s="408"/>
      <c r="ENR50" s="408"/>
      <c r="ENS50" s="408"/>
      <c r="ENT50" s="408"/>
      <c r="ENU50" s="408"/>
      <c r="ENV50" s="408"/>
      <c r="ENW50" s="408"/>
      <c r="ENX50" s="408"/>
      <c r="ENY50" s="408"/>
      <c r="ENZ50" s="408"/>
      <c r="EOA50" s="408"/>
      <c r="EOB50" s="408"/>
      <c r="EOC50" s="408"/>
      <c r="EOD50" s="408"/>
      <c r="EOE50" s="408"/>
      <c r="EOF50" s="408"/>
      <c r="EOG50" s="408"/>
      <c r="EOH50" s="408"/>
      <c r="EOI50" s="408"/>
      <c r="EOJ50" s="408"/>
      <c r="EOK50" s="408"/>
      <c r="EOL50" s="408"/>
      <c r="EOM50" s="408"/>
      <c r="EON50" s="408"/>
      <c r="EOO50" s="408"/>
      <c r="EOP50" s="408"/>
      <c r="EOQ50" s="408"/>
      <c r="EOR50" s="408"/>
      <c r="EOS50" s="408"/>
      <c r="EOT50" s="408"/>
      <c r="EOU50" s="408"/>
      <c r="EOV50" s="408"/>
      <c r="EOW50" s="408"/>
      <c r="EOX50" s="408"/>
      <c r="EOY50" s="408"/>
      <c r="EOZ50" s="408"/>
      <c r="EPA50" s="408"/>
      <c r="EPB50" s="408"/>
      <c r="EPC50" s="408"/>
      <c r="EPD50" s="408"/>
      <c r="EPE50" s="408"/>
      <c r="EPF50" s="408"/>
      <c r="EPG50" s="408"/>
      <c r="EPH50" s="408"/>
      <c r="EPI50" s="408"/>
      <c r="EPJ50" s="408"/>
      <c r="EPK50" s="408"/>
      <c r="EPL50" s="408"/>
      <c r="EPM50" s="408"/>
      <c r="EPN50" s="408"/>
      <c r="EPO50" s="408"/>
      <c r="EPP50" s="408"/>
      <c r="EPQ50" s="408"/>
      <c r="EPR50" s="408"/>
      <c r="EPS50" s="408"/>
      <c r="EPT50" s="408"/>
      <c r="EPU50" s="408"/>
      <c r="EPV50" s="408"/>
      <c r="EPW50" s="408"/>
      <c r="EPX50" s="408"/>
      <c r="EPY50" s="408"/>
      <c r="EPZ50" s="408"/>
      <c r="EQA50" s="408"/>
      <c r="EQB50" s="408"/>
      <c r="EQC50" s="408"/>
      <c r="EQD50" s="408"/>
      <c r="EQE50" s="408"/>
      <c r="EQF50" s="408"/>
      <c r="EQG50" s="408"/>
      <c r="EQH50" s="408"/>
      <c r="EQI50" s="408"/>
      <c r="EQJ50" s="408"/>
      <c r="EQK50" s="408"/>
      <c r="EQL50" s="408"/>
      <c r="EQM50" s="408"/>
      <c r="EQN50" s="408"/>
      <c r="EQO50" s="408"/>
      <c r="EQP50" s="408"/>
      <c r="EQQ50" s="408"/>
      <c r="EQR50" s="408"/>
      <c r="EQS50" s="408"/>
      <c r="EQT50" s="408"/>
      <c r="EQU50" s="408"/>
      <c r="EQV50" s="408"/>
      <c r="EQW50" s="408"/>
      <c r="EQX50" s="408"/>
      <c r="EQY50" s="408"/>
      <c r="EQZ50" s="408"/>
      <c r="ERA50" s="408"/>
      <c r="ERB50" s="408"/>
      <c r="ERC50" s="408"/>
      <c r="ERD50" s="408"/>
      <c r="ERE50" s="408"/>
      <c r="ERF50" s="408"/>
      <c r="ERG50" s="408"/>
      <c r="ERH50" s="408"/>
      <c r="ERI50" s="408"/>
      <c r="ERJ50" s="408"/>
      <c r="ERK50" s="408"/>
      <c r="ERL50" s="408"/>
      <c r="ERM50" s="408"/>
      <c r="ERN50" s="408"/>
      <c r="ERO50" s="408"/>
      <c r="ERP50" s="408"/>
      <c r="ERQ50" s="408"/>
      <c r="ERR50" s="408"/>
      <c r="ERS50" s="408"/>
      <c r="ERT50" s="408"/>
      <c r="ERU50" s="408"/>
      <c r="ERV50" s="408"/>
      <c r="ERW50" s="408"/>
      <c r="ERX50" s="408"/>
      <c r="ERY50" s="408"/>
      <c r="ERZ50" s="408"/>
      <c r="ESA50" s="408"/>
      <c r="ESB50" s="408"/>
      <c r="ESC50" s="408"/>
      <c r="ESD50" s="408"/>
      <c r="ESE50" s="408"/>
      <c r="ESF50" s="408"/>
      <c r="ESG50" s="408"/>
      <c r="ESH50" s="408"/>
      <c r="ESI50" s="408"/>
      <c r="ESJ50" s="408"/>
      <c r="ESK50" s="408"/>
      <c r="ESL50" s="408"/>
      <c r="ESM50" s="408"/>
      <c r="ESN50" s="408"/>
      <c r="ESO50" s="408"/>
      <c r="ESP50" s="408"/>
      <c r="ESQ50" s="408"/>
      <c r="ESR50" s="408"/>
      <c r="ESS50" s="408"/>
      <c r="EST50" s="408"/>
      <c r="ESU50" s="408"/>
      <c r="ESV50" s="408"/>
      <c r="ESW50" s="408"/>
      <c r="ESX50" s="408"/>
      <c r="ESY50" s="408"/>
      <c r="ESZ50" s="408"/>
      <c r="ETA50" s="408"/>
      <c r="ETB50" s="408"/>
      <c r="ETC50" s="408"/>
      <c r="ETD50" s="408"/>
      <c r="ETE50" s="408"/>
      <c r="ETF50" s="408"/>
      <c r="ETG50" s="408"/>
      <c r="ETH50" s="408"/>
      <c r="ETI50" s="408"/>
      <c r="ETJ50" s="408"/>
      <c r="ETK50" s="408"/>
      <c r="ETL50" s="408"/>
      <c r="ETM50" s="408"/>
      <c r="ETN50" s="408"/>
      <c r="ETO50" s="408"/>
      <c r="ETP50" s="408"/>
      <c r="ETQ50" s="408"/>
      <c r="ETR50" s="408"/>
      <c r="ETS50" s="408"/>
      <c r="ETT50" s="408"/>
      <c r="ETU50" s="408"/>
      <c r="ETV50" s="408"/>
      <c r="ETW50" s="408"/>
      <c r="ETX50" s="408"/>
      <c r="ETY50" s="408"/>
      <c r="ETZ50" s="408"/>
      <c r="EUA50" s="408"/>
      <c r="EUB50" s="408"/>
      <c r="EUC50" s="408"/>
      <c r="EUD50" s="408"/>
      <c r="EUE50" s="408"/>
      <c r="EUF50" s="408"/>
      <c r="EUG50" s="408"/>
      <c r="EUH50" s="408"/>
      <c r="EUI50" s="408"/>
      <c r="EUJ50" s="408"/>
      <c r="EUK50" s="408"/>
      <c r="EUL50" s="408"/>
      <c r="EUM50" s="408"/>
      <c r="EUN50" s="408"/>
      <c r="EUO50" s="408"/>
      <c r="EUP50" s="408"/>
      <c r="EUQ50" s="408"/>
      <c r="EUR50" s="408"/>
      <c r="EUS50" s="408"/>
      <c r="EUT50" s="408"/>
      <c r="EUU50" s="408"/>
      <c r="EUV50" s="408"/>
      <c r="EUW50" s="408"/>
      <c r="EUX50" s="408"/>
      <c r="EUY50" s="408"/>
      <c r="EUZ50" s="408"/>
      <c r="EVA50" s="408"/>
      <c r="EVB50" s="408"/>
      <c r="EVC50" s="408"/>
      <c r="EVD50" s="408"/>
      <c r="EVE50" s="408"/>
      <c r="EVF50" s="408"/>
      <c r="EVG50" s="408"/>
      <c r="EVH50" s="408"/>
      <c r="EVI50" s="408"/>
      <c r="EVJ50" s="408"/>
      <c r="EVK50" s="408"/>
      <c r="EVL50" s="408"/>
      <c r="EVM50" s="408"/>
      <c r="EVN50" s="408"/>
      <c r="EVO50" s="408"/>
      <c r="EVP50" s="408"/>
      <c r="EVQ50" s="408"/>
      <c r="EVR50" s="408"/>
      <c r="EVS50" s="408"/>
      <c r="EVT50" s="408"/>
      <c r="EVU50" s="408"/>
      <c r="EVV50" s="408"/>
      <c r="EVW50" s="408"/>
      <c r="EVX50" s="408"/>
      <c r="EVY50" s="408"/>
      <c r="EVZ50" s="408"/>
      <c r="EWA50" s="408"/>
      <c r="EWB50" s="408"/>
      <c r="EWC50" s="408"/>
      <c r="EWD50" s="408"/>
      <c r="EWE50" s="408"/>
      <c r="EWF50" s="408"/>
      <c r="EWG50" s="408"/>
      <c r="EWH50" s="408"/>
      <c r="EWI50" s="408"/>
      <c r="EWJ50" s="408"/>
      <c r="EWK50" s="408"/>
      <c r="EWL50" s="408"/>
      <c r="EWM50" s="408"/>
      <c r="EWN50" s="408"/>
      <c r="EWO50" s="408"/>
      <c r="EWP50" s="408"/>
      <c r="EWQ50" s="408"/>
      <c r="EWR50" s="408"/>
      <c r="EWS50" s="408"/>
      <c r="EWT50" s="408"/>
      <c r="EWU50" s="408"/>
      <c r="EWV50" s="408"/>
      <c r="EWW50" s="408"/>
      <c r="EWX50" s="408"/>
      <c r="EWY50" s="408"/>
      <c r="EWZ50" s="408"/>
      <c r="EXA50" s="408"/>
      <c r="EXB50" s="408"/>
      <c r="EXC50" s="408"/>
      <c r="EXD50" s="408"/>
      <c r="EXE50" s="408"/>
      <c r="EXF50" s="408"/>
      <c r="EXG50" s="408"/>
      <c r="EXH50" s="408"/>
      <c r="EXI50" s="408"/>
      <c r="EXJ50" s="408"/>
      <c r="EXK50" s="408"/>
      <c r="EXL50" s="408"/>
      <c r="EXM50" s="408"/>
      <c r="EXN50" s="408"/>
      <c r="EXO50" s="408"/>
      <c r="EXP50" s="408"/>
      <c r="EXQ50" s="408"/>
      <c r="EXR50" s="408"/>
      <c r="EXS50" s="408"/>
      <c r="EXT50" s="408"/>
      <c r="EXU50" s="408"/>
      <c r="EXV50" s="408"/>
      <c r="EXW50" s="408"/>
      <c r="EXX50" s="408"/>
      <c r="EXY50" s="408"/>
      <c r="EXZ50" s="408"/>
      <c r="EYA50" s="408"/>
      <c r="EYB50" s="408"/>
      <c r="EYC50" s="408"/>
      <c r="EYD50" s="408"/>
      <c r="EYE50" s="408"/>
      <c r="EYF50" s="408"/>
      <c r="EYG50" s="408"/>
      <c r="EYH50" s="408"/>
      <c r="EYI50" s="408"/>
      <c r="EYJ50" s="408"/>
      <c r="EYK50" s="408"/>
      <c r="EYL50" s="408"/>
      <c r="EYM50" s="408"/>
      <c r="EYN50" s="408"/>
      <c r="EYO50" s="408"/>
      <c r="EYP50" s="408"/>
      <c r="EYQ50" s="408"/>
      <c r="EYR50" s="408"/>
      <c r="EYS50" s="408"/>
      <c r="EYT50" s="408"/>
      <c r="EYU50" s="408"/>
      <c r="EYV50" s="408"/>
      <c r="EYW50" s="408"/>
      <c r="EYX50" s="408"/>
      <c r="EYY50" s="408"/>
      <c r="EYZ50" s="408"/>
      <c r="EZA50" s="408"/>
      <c r="EZB50" s="408"/>
      <c r="EZC50" s="408"/>
      <c r="EZD50" s="408"/>
      <c r="EZE50" s="408"/>
      <c r="EZF50" s="408"/>
      <c r="EZG50" s="408"/>
      <c r="EZH50" s="408"/>
      <c r="EZI50" s="408"/>
      <c r="EZJ50" s="408"/>
      <c r="EZK50" s="408"/>
      <c r="EZL50" s="408"/>
      <c r="EZM50" s="408"/>
      <c r="EZN50" s="408"/>
      <c r="EZO50" s="408"/>
      <c r="EZP50" s="408"/>
      <c r="EZQ50" s="408"/>
      <c r="EZR50" s="408"/>
      <c r="EZS50" s="408"/>
      <c r="EZT50" s="408"/>
      <c r="EZU50" s="408"/>
      <c r="EZV50" s="408"/>
      <c r="EZW50" s="408"/>
      <c r="EZX50" s="408"/>
      <c r="EZY50" s="408"/>
      <c r="EZZ50" s="408"/>
      <c r="FAA50" s="408"/>
      <c r="FAB50" s="408"/>
      <c r="FAC50" s="408"/>
      <c r="FAD50" s="408"/>
      <c r="FAE50" s="408"/>
      <c r="FAF50" s="408"/>
      <c r="FAG50" s="408"/>
      <c r="FAH50" s="408"/>
      <c r="FAI50" s="408"/>
      <c r="FAJ50" s="408"/>
      <c r="FAK50" s="408"/>
      <c r="FAL50" s="408"/>
      <c r="FAM50" s="408"/>
      <c r="FAN50" s="408"/>
      <c r="FAO50" s="408"/>
      <c r="FAP50" s="408"/>
      <c r="FAQ50" s="408"/>
      <c r="FAR50" s="408"/>
      <c r="FAS50" s="408"/>
      <c r="FAT50" s="408"/>
      <c r="FAU50" s="408"/>
      <c r="FAV50" s="408"/>
      <c r="FAW50" s="408"/>
      <c r="FAX50" s="408"/>
      <c r="FAY50" s="408"/>
      <c r="FAZ50" s="408"/>
      <c r="FBA50" s="408"/>
      <c r="FBB50" s="408"/>
      <c r="FBC50" s="408"/>
      <c r="FBD50" s="408"/>
      <c r="FBE50" s="408"/>
      <c r="FBF50" s="408"/>
      <c r="FBG50" s="408"/>
      <c r="FBH50" s="408"/>
      <c r="FBI50" s="408"/>
      <c r="FBJ50" s="408"/>
      <c r="FBK50" s="408"/>
      <c r="FBL50" s="408"/>
      <c r="FBM50" s="408"/>
      <c r="FBN50" s="408"/>
      <c r="FBO50" s="408"/>
      <c r="FBP50" s="408"/>
      <c r="FBQ50" s="408"/>
      <c r="FBR50" s="408"/>
      <c r="FBS50" s="408"/>
      <c r="FBT50" s="408"/>
      <c r="FBU50" s="408"/>
      <c r="FBV50" s="408"/>
      <c r="FBW50" s="408"/>
      <c r="FBX50" s="408"/>
      <c r="FBY50" s="408"/>
      <c r="FBZ50" s="408"/>
      <c r="FCA50" s="408"/>
      <c r="FCB50" s="408"/>
      <c r="FCC50" s="408"/>
      <c r="FCD50" s="408"/>
      <c r="FCE50" s="408"/>
      <c r="FCF50" s="408"/>
      <c r="FCG50" s="408"/>
      <c r="FCH50" s="408"/>
      <c r="FCI50" s="408"/>
      <c r="FCJ50" s="408"/>
      <c r="FCK50" s="408"/>
      <c r="FCL50" s="408"/>
      <c r="FCM50" s="408"/>
      <c r="FCN50" s="408"/>
      <c r="FCO50" s="408"/>
      <c r="FCP50" s="408"/>
      <c r="FCQ50" s="408"/>
      <c r="FCR50" s="408"/>
      <c r="FCS50" s="408"/>
      <c r="FCT50" s="408"/>
      <c r="FCU50" s="408"/>
      <c r="FCV50" s="408"/>
      <c r="FCW50" s="408"/>
      <c r="FCX50" s="408"/>
      <c r="FCY50" s="408"/>
      <c r="FCZ50" s="408"/>
      <c r="FDA50" s="408"/>
      <c r="FDB50" s="408"/>
      <c r="FDC50" s="408"/>
      <c r="FDD50" s="408"/>
      <c r="FDE50" s="408"/>
      <c r="FDF50" s="408"/>
      <c r="FDG50" s="408"/>
      <c r="FDH50" s="408"/>
      <c r="FDI50" s="408"/>
      <c r="FDJ50" s="408"/>
      <c r="FDK50" s="408"/>
      <c r="FDL50" s="408"/>
      <c r="FDM50" s="408"/>
      <c r="FDN50" s="408"/>
      <c r="FDO50" s="408"/>
      <c r="FDP50" s="408"/>
      <c r="FDQ50" s="408"/>
      <c r="FDR50" s="408"/>
      <c r="FDS50" s="408"/>
      <c r="FDT50" s="408"/>
      <c r="FDU50" s="408"/>
      <c r="FDV50" s="408"/>
      <c r="FDW50" s="408"/>
      <c r="FDX50" s="408"/>
      <c r="FDY50" s="408"/>
      <c r="FDZ50" s="408"/>
      <c r="FEA50" s="408"/>
      <c r="FEB50" s="408"/>
      <c r="FEC50" s="408"/>
      <c r="FED50" s="408"/>
      <c r="FEE50" s="408"/>
      <c r="FEF50" s="408"/>
      <c r="FEG50" s="408"/>
      <c r="FEH50" s="408"/>
      <c r="FEI50" s="408"/>
      <c r="FEJ50" s="408"/>
      <c r="FEK50" s="408"/>
      <c r="FEL50" s="408"/>
      <c r="FEM50" s="408"/>
      <c r="FEN50" s="408"/>
      <c r="FEO50" s="408"/>
      <c r="FEP50" s="408"/>
      <c r="FEQ50" s="408"/>
      <c r="FER50" s="408"/>
      <c r="FES50" s="408"/>
      <c r="FET50" s="408"/>
      <c r="FEU50" s="408"/>
      <c r="FEV50" s="408"/>
      <c r="FEW50" s="408"/>
      <c r="FEX50" s="408"/>
      <c r="FEY50" s="408"/>
      <c r="FEZ50" s="408"/>
      <c r="FFA50" s="408"/>
      <c r="FFB50" s="408"/>
      <c r="FFC50" s="408"/>
      <c r="FFD50" s="408"/>
      <c r="FFE50" s="408"/>
      <c r="FFF50" s="408"/>
      <c r="FFG50" s="408"/>
      <c r="FFH50" s="408"/>
      <c r="FFI50" s="408"/>
      <c r="FFJ50" s="408"/>
      <c r="FFK50" s="408"/>
      <c r="FFL50" s="408"/>
      <c r="FFM50" s="408"/>
      <c r="FFN50" s="408"/>
      <c r="FFO50" s="408"/>
      <c r="FFP50" s="408"/>
      <c r="FFQ50" s="408"/>
      <c r="FFR50" s="408"/>
      <c r="FFS50" s="408"/>
      <c r="FFT50" s="408"/>
      <c r="FFU50" s="408"/>
      <c r="FFV50" s="408"/>
      <c r="FFW50" s="408"/>
      <c r="FFX50" s="408"/>
      <c r="FFY50" s="408"/>
      <c r="FFZ50" s="408"/>
      <c r="FGA50" s="408"/>
      <c r="FGB50" s="408"/>
      <c r="FGC50" s="408"/>
      <c r="FGD50" s="408"/>
      <c r="FGE50" s="408"/>
      <c r="FGF50" s="408"/>
      <c r="FGG50" s="408"/>
      <c r="FGH50" s="408"/>
      <c r="FGI50" s="408"/>
      <c r="FGJ50" s="408"/>
      <c r="FGK50" s="408"/>
      <c r="FGL50" s="408"/>
      <c r="FGM50" s="408"/>
      <c r="FGN50" s="408"/>
      <c r="FGO50" s="408"/>
      <c r="FGP50" s="408"/>
      <c r="FGQ50" s="408"/>
      <c r="FGR50" s="408"/>
      <c r="FGS50" s="408"/>
      <c r="FGT50" s="408"/>
      <c r="FGU50" s="408"/>
      <c r="FGV50" s="408"/>
      <c r="FGW50" s="408"/>
      <c r="FGX50" s="408"/>
      <c r="FGY50" s="408"/>
      <c r="FGZ50" s="408"/>
      <c r="FHA50" s="408"/>
      <c r="FHB50" s="408"/>
      <c r="FHC50" s="408"/>
      <c r="FHD50" s="408"/>
      <c r="FHE50" s="408"/>
      <c r="FHF50" s="408"/>
      <c r="FHG50" s="408"/>
      <c r="FHH50" s="408"/>
      <c r="FHI50" s="408"/>
      <c r="FHJ50" s="408"/>
      <c r="FHK50" s="408"/>
      <c r="FHL50" s="408"/>
      <c r="FHM50" s="408"/>
      <c r="FHN50" s="408"/>
      <c r="FHO50" s="408"/>
      <c r="FHP50" s="408"/>
      <c r="FHQ50" s="408"/>
      <c r="FHR50" s="408"/>
      <c r="FHS50" s="408"/>
      <c r="FHT50" s="408"/>
      <c r="FHU50" s="408"/>
      <c r="FHV50" s="408"/>
      <c r="FHW50" s="408"/>
      <c r="FHX50" s="408"/>
      <c r="FHY50" s="408"/>
      <c r="FHZ50" s="408"/>
      <c r="FIA50" s="408"/>
      <c r="FIB50" s="408"/>
      <c r="FIC50" s="408"/>
      <c r="FID50" s="408"/>
      <c r="FIE50" s="408"/>
      <c r="FIF50" s="408"/>
      <c r="FIG50" s="408"/>
      <c r="FIH50" s="408"/>
      <c r="FII50" s="408"/>
      <c r="FIJ50" s="408"/>
      <c r="FIK50" s="408"/>
      <c r="FIL50" s="408"/>
      <c r="FIM50" s="408"/>
      <c r="FIN50" s="408"/>
      <c r="FIO50" s="408"/>
      <c r="FIP50" s="408"/>
      <c r="FIQ50" s="408"/>
      <c r="FIR50" s="408"/>
      <c r="FIS50" s="408"/>
      <c r="FIT50" s="408"/>
      <c r="FIU50" s="408"/>
      <c r="FIV50" s="408"/>
      <c r="FIW50" s="408"/>
      <c r="FIX50" s="408"/>
      <c r="FIY50" s="408"/>
      <c r="FIZ50" s="408"/>
      <c r="FJA50" s="408"/>
      <c r="FJB50" s="408"/>
      <c r="FJC50" s="408"/>
      <c r="FJD50" s="408"/>
      <c r="FJE50" s="408"/>
      <c r="FJF50" s="408"/>
      <c r="FJG50" s="408"/>
      <c r="FJH50" s="408"/>
      <c r="FJI50" s="408"/>
      <c r="FJJ50" s="408"/>
      <c r="FJK50" s="408"/>
      <c r="FJL50" s="408"/>
      <c r="FJM50" s="408"/>
      <c r="FJN50" s="408"/>
      <c r="FJO50" s="408"/>
      <c r="FJP50" s="408"/>
      <c r="FJQ50" s="408"/>
      <c r="FJR50" s="408"/>
      <c r="FJS50" s="408"/>
      <c r="FJT50" s="408"/>
      <c r="FJU50" s="408"/>
      <c r="FJV50" s="408"/>
      <c r="FJW50" s="408"/>
      <c r="FJX50" s="408"/>
      <c r="FJY50" s="408"/>
      <c r="FJZ50" s="408"/>
      <c r="FKA50" s="408"/>
      <c r="FKB50" s="408"/>
      <c r="FKC50" s="408"/>
      <c r="FKD50" s="408"/>
      <c r="FKE50" s="408"/>
      <c r="FKF50" s="408"/>
      <c r="FKG50" s="408"/>
      <c r="FKH50" s="408"/>
      <c r="FKI50" s="408"/>
      <c r="FKJ50" s="408"/>
      <c r="FKK50" s="408"/>
      <c r="FKL50" s="408"/>
      <c r="FKM50" s="408"/>
      <c r="FKN50" s="408"/>
      <c r="FKO50" s="408"/>
      <c r="FKP50" s="408"/>
      <c r="FKQ50" s="408"/>
      <c r="FKR50" s="408"/>
      <c r="FKS50" s="408"/>
      <c r="FKT50" s="408"/>
      <c r="FKU50" s="408"/>
      <c r="FKV50" s="408"/>
      <c r="FKW50" s="408"/>
      <c r="FKX50" s="408"/>
      <c r="FKY50" s="408"/>
      <c r="FKZ50" s="408"/>
      <c r="FLA50" s="408"/>
      <c r="FLB50" s="408"/>
      <c r="FLC50" s="408"/>
      <c r="FLD50" s="408"/>
      <c r="FLE50" s="408"/>
      <c r="FLF50" s="408"/>
      <c r="FLG50" s="408"/>
      <c r="FLH50" s="408"/>
      <c r="FLI50" s="408"/>
      <c r="FLJ50" s="408"/>
      <c r="FLK50" s="408"/>
      <c r="FLL50" s="408"/>
      <c r="FLM50" s="408"/>
      <c r="FLN50" s="408"/>
      <c r="FLO50" s="408"/>
      <c r="FLP50" s="408"/>
      <c r="FLQ50" s="408"/>
      <c r="FLR50" s="408"/>
      <c r="FLS50" s="408"/>
      <c r="FLT50" s="408"/>
      <c r="FLU50" s="408"/>
      <c r="FLV50" s="408"/>
      <c r="FLW50" s="408"/>
      <c r="FLX50" s="408"/>
      <c r="FLY50" s="408"/>
      <c r="FLZ50" s="408"/>
      <c r="FMA50" s="408"/>
      <c r="FMB50" s="408"/>
      <c r="FMC50" s="408"/>
      <c r="FMD50" s="408"/>
      <c r="FME50" s="408"/>
      <c r="FMF50" s="408"/>
      <c r="FMG50" s="408"/>
      <c r="FMH50" s="408"/>
      <c r="FMI50" s="408"/>
      <c r="FMJ50" s="408"/>
      <c r="FMK50" s="408"/>
      <c r="FML50" s="408"/>
      <c r="FMM50" s="408"/>
      <c r="FMN50" s="408"/>
      <c r="FMO50" s="408"/>
      <c r="FMP50" s="408"/>
      <c r="FMQ50" s="408"/>
      <c r="FMR50" s="408"/>
      <c r="FMS50" s="408"/>
      <c r="FMT50" s="408"/>
      <c r="FMU50" s="408"/>
      <c r="FMV50" s="408"/>
      <c r="FMW50" s="408"/>
      <c r="FMX50" s="408"/>
      <c r="FMY50" s="408"/>
      <c r="FMZ50" s="408"/>
      <c r="FNA50" s="408"/>
      <c r="FNB50" s="408"/>
      <c r="FNC50" s="408"/>
      <c r="FND50" s="408"/>
      <c r="FNE50" s="408"/>
      <c r="FNF50" s="408"/>
      <c r="FNG50" s="408"/>
      <c r="FNH50" s="408"/>
      <c r="FNI50" s="408"/>
      <c r="FNJ50" s="408"/>
      <c r="FNK50" s="408"/>
      <c r="FNL50" s="408"/>
      <c r="FNM50" s="408"/>
      <c r="FNN50" s="408"/>
      <c r="FNO50" s="408"/>
      <c r="FNP50" s="408"/>
      <c r="FNQ50" s="408"/>
      <c r="FNR50" s="408"/>
      <c r="FNS50" s="408"/>
      <c r="FNT50" s="408"/>
      <c r="FNU50" s="408"/>
      <c r="FNV50" s="408"/>
      <c r="FNW50" s="408"/>
      <c r="FNX50" s="408"/>
      <c r="FNY50" s="408"/>
      <c r="FNZ50" s="408"/>
      <c r="FOA50" s="408"/>
      <c r="FOB50" s="408"/>
      <c r="FOC50" s="408"/>
      <c r="FOD50" s="408"/>
      <c r="FOE50" s="408"/>
      <c r="FOF50" s="408"/>
      <c r="FOG50" s="408"/>
      <c r="FOH50" s="408"/>
      <c r="FOI50" s="408"/>
      <c r="FOJ50" s="408"/>
      <c r="FOK50" s="408"/>
      <c r="FOL50" s="408"/>
      <c r="FOM50" s="408"/>
      <c r="FON50" s="408"/>
      <c r="FOO50" s="408"/>
      <c r="FOP50" s="408"/>
      <c r="FOQ50" s="408"/>
      <c r="FOR50" s="408"/>
      <c r="FOS50" s="408"/>
      <c r="FOT50" s="408"/>
      <c r="FOU50" s="408"/>
      <c r="FOV50" s="408"/>
      <c r="FOW50" s="408"/>
      <c r="FOX50" s="408"/>
      <c r="FOY50" s="408"/>
      <c r="FOZ50" s="408"/>
      <c r="FPA50" s="408"/>
      <c r="FPB50" s="408"/>
      <c r="FPC50" s="408"/>
      <c r="FPD50" s="408"/>
      <c r="FPE50" s="408"/>
      <c r="FPF50" s="408"/>
      <c r="FPG50" s="408"/>
      <c r="FPH50" s="408"/>
      <c r="FPI50" s="408"/>
      <c r="FPJ50" s="408"/>
      <c r="FPK50" s="408"/>
      <c r="FPL50" s="408"/>
      <c r="FPM50" s="408"/>
      <c r="FPN50" s="408"/>
      <c r="FPO50" s="408"/>
      <c r="FPP50" s="408"/>
      <c r="FPQ50" s="408"/>
      <c r="FPR50" s="408"/>
      <c r="FPS50" s="408"/>
      <c r="FPT50" s="408"/>
      <c r="FPU50" s="408"/>
      <c r="FPV50" s="408"/>
      <c r="FPW50" s="408"/>
      <c r="FPX50" s="408"/>
      <c r="FPY50" s="408"/>
      <c r="FPZ50" s="408"/>
      <c r="FQA50" s="408"/>
      <c r="FQB50" s="408"/>
      <c r="FQC50" s="408"/>
      <c r="FQD50" s="408"/>
      <c r="FQE50" s="408"/>
      <c r="FQF50" s="408"/>
      <c r="FQG50" s="408"/>
      <c r="FQH50" s="408"/>
      <c r="FQI50" s="408"/>
      <c r="FQJ50" s="408"/>
      <c r="FQK50" s="408"/>
      <c r="FQL50" s="408"/>
      <c r="FQM50" s="408"/>
      <c r="FQN50" s="408"/>
      <c r="FQO50" s="408"/>
      <c r="FQP50" s="408"/>
      <c r="FQQ50" s="408"/>
      <c r="FQR50" s="408"/>
      <c r="FQS50" s="408"/>
      <c r="FQT50" s="408"/>
      <c r="FQU50" s="408"/>
      <c r="FQV50" s="408"/>
      <c r="FQW50" s="408"/>
      <c r="FQX50" s="408"/>
      <c r="FQY50" s="408"/>
      <c r="FQZ50" s="408"/>
      <c r="FRA50" s="408"/>
      <c r="FRB50" s="408"/>
      <c r="FRC50" s="408"/>
      <c r="FRD50" s="408"/>
      <c r="FRE50" s="408"/>
      <c r="FRF50" s="408"/>
      <c r="FRG50" s="408"/>
      <c r="FRH50" s="408"/>
      <c r="FRI50" s="408"/>
      <c r="FRJ50" s="408"/>
      <c r="FRK50" s="408"/>
      <c r="FRL50" s="408"/>
      <c r="FRM50" s="408"/>
      <c r="FRN50" s="408"/>
      <c r="FRO50" s="408"/>
      <c r="FRP50" s="408"/>
      <c r="FRQ50" s="408"/>
      <c r="FRR50" s="408"/>
      <c r="FRS50" s="408"/>
      <c r="FRT50" s="408"/>
      <c r="FRU50" s="408"/>
      <c r="FRV50" s="408"/>
      <c r="FRW50" s="408"/>
      <c r="FRX50" s="408"/>
      <c r="FRY50" s="408"/>
      <c r="FRZ50" s="408"/>
      <c r="FSA50" s="408"/>
      <c r="FSB50" s="408"/>
      <c r="FSC50" s="408"/>
      <c r="FSD50" s="408"/>
      <c r="FSE50" s="408"/>
      <c r="FSF50" s="408"/>
      <c r="FSG50" s="408"/>
      <c r="FSH50" s="408"/>
      <c r="FSI50" s="408"/>
      <c r="FSJ50" s="408"/>
      <c r="FSK50" s="408"/>
      <c r="FSL50" s="408"/>
      <c r="FSM50" s="408"/>
      <c r="FSN50" s="408"/>
      <c r="FSO50" s="408"/>
      <c r="FSP50" s="408"/>
      <c r="FSQ50" s="408"/>
      <c r="FSR50" s="408"/>
      <c r="FSS50" s="408"/>
      <c r="FST50" s="408"/>
      <c r="FSU50" s="408"/>
      <c r="FSV50" s="408"/>
      <c r="FSW50" s="408"/>
      <c r="FSX50" s="408"/>
      <c r="FSY50" s="408"/>
      <c r="FSZ50" s="408"/>
      <c r="FTA50" s="408"/>
      <c r="FTB50" s="408"/>
      <c r="FTC50" s="408"/>
      <c r="FTD50" s="408"/>
      <c r="FTE50" s="408"/>
      <c r="FTF50" s="408"/>
      <c r="FTG50" s="408"/>
      <c r="FTH50" s="408"/>
      <c r="FTI50" s="408"/>
      <c r="FTJ50" s="408"/>
      <c r="FTK50" s="408"/>
      <c r="FTL50" s="408"/>
      <c r="FTM50" s="408"/>
      <c r="FTN50" s="408"/>
      <c r="FTO50" s="408"/>
      <c r="FTP50" s="408"/>
      <c r="FTQ50" s="408"/>
      <c r="FTR50" s="408"/>
      <c r="FTS50" s="408"/>
      <c r="FTT50" s="408"/>
      <c r="FTU50" s="408"/>
      <c r="FTV50" s="408"/>
      <c r="FTW50" s="408"/>
      <c r="FTX50" s="408"/>
      <c r="FTY50" s="408"/>
      <c r="FTZ50" s="408"/>
      <c r="FUA50" s="408"/>
      <c r="FUB50" s="408"/>
      <c r="FUC50" s="408"/>
      <c r="FUD50" s="408"/>
      <c r="FUE50" s="408"/>
      <c r="FUF50" s="408"/>
      <c r="FUG50" s="408"/>
      <c r="FUH50" s="408"/>
      <c r="FUI50" s="408"/>
      <c r="FUJ50" s="408"/>
      <c r="FUK50" s="408"/>
      <c r="FUL50" s="408"/>
      <c r="FUM50" s="408"/>
      <c r="FUN50" s="408"/>
      <c r="FUO50" s="408"/>
      <c r="FUP50" s="408"/>
      <c r="FUQ50" s="408"/>
      <c r="FUR50" s="408"/>
      <c r="FUS50" s="408"/>
      <c r="FUT50" s="408"/>
      <c r="FUU50" s="408"/>
      <c r="FUV50" s="408"/>
      <c r="FUW50" s="408"/>
      <c r="FUX50" s="408"/>
      <c r="FUY50" s="408"/>
      <c r="FUZ50" s="408"/>
      <c r="FVA50" s="408"/>
      <c r="FVB50" s="408"/>
      <c r="FVC50" s="408"/>
      <c r="FVD50" s="408"/>
      <c r="FVE50" s="408"/>
      <c r="FVF50" s="408"/>
      <c r="FVG50" s="408"/>
      <c r="FVH50" s="408"/>
      <c r="FVI50" s="408"/>
      <c r="FVJ50" s="408"/>
      <c r="FVK50" s="408"/>
      <c r="FVL50" s="408"/>
      <c r="FVM50" s="408"/>
      <c r="FVN50" s="408"/>
      <c r="FVO50" s="408"/>
      <c r="FVP50" s="408"/>
      <c r="FVQ50" s="408"/>
      <c r="FVR50" s="408"/>
      <c r="FVS50" s="408"/>
      <c r="FVT50" s="408"/>
      <c r="FVU50" s="408"/>
      <c r="FVV50" s="408"/>
      <c r="FVW50" s="408"/>
      <c r="FVX50" s="408"/>
      <c r="FVY50" s="408"/>
      <c r="FVZ50" s="408"/>
      <c r="FWA50" s="408"/>
      <c r="FWB50" s="408"/>
      <c r="FWC50" s="408"/>
      <c r="FWD50" s="408"/>
      <c r="FWE50" s="408"/>
      <c r="FWF50" s="408"/>
      <c r="FWG50" s="408"/>
      <c r="FWH50" s="408"/>
      <c r="FWI50" s="408"/>
      <c r="FWJ50" s="408"/>
      <c r="FWK50" s="408"/>
      <c r="FWL50" s="408"/>
      <c r="FWM50" s="408"/>
      <c r="FWN50" s="408"/>
      <c r="FWO50" s="408"/>
      <c r="FWP50" s="408"/>
      <c r="FWQ50" s="408"/>
      <c r="FWR50" s="408"/>
      <c r="FWS50" s="408"/>
      <c r="FWT50" s="408"/>
      <c r="FWU50" s="408"/>
      <c r="FWV50" s="408"/>
      <c r="FWW50" s="408"/>
      <c r="FWX50" s="408"/>
      <c r="FWY50" s="408"/>
      <c r="FWZ50" s="408"/>
      <c r="FXA50" s="408"/>
      <c r="FXB50" s="408"/>
      <c r="FXC50" s="408"/>
      <c r="FXD50" s="408"/>
      <c r="FXE50" s="408"/>
      <c r="FXF50" s="408"/>
      <c r="FXG50" s="408"/>
      <c r="FXH50" s="408"/>
      <c r="FXI50" s="408"/>
      <c r="FXJ50" s="408"/>
      <c r="FXK50" s="408"/>
      <c r="FXL50" s="408"/>
      <c r="FXM50" s="408"/>
      <c r="FXN50" s="408"/>
      <c r="FXO50" s="408"/>
      <c r="FXP50" s="408"/>
      <c r="FXQ50" s="408"/>
      <c r="FXR50" s="408"/>
      <c r="FXS50" s="408"/>
      <c r="FXT50" s="408"/>
      <c r="FXU50" s="408"/>
      <c r="FXV50" s="408"/>
      <c r="FXW50" s="408"/>
      <c r="FXX50" s="408"/>
      <c r="FXY50" s="408"/>
      <c r="FXZ50" s="408"/>
      <c r="FYA50" s="408"/>
      <c r="FYB50" s="408"/>
      <c r="FYC50" s="408"/>
      <c r="FYD50" s="408"/>
      <c r="FYE50" s="408"/>
      <c r="FYF50" s="408"/>
      <c r="FYG50" s="408"/>
      <c r="FYH50" s="408"/>
      <c r="FYI50" s="408"/>
      <c r="FYJ50" s="408"/>
      <c r="FYK50" s="408"/>
      <c r="FYL50" s="408"/>
      <c r="FYM50" s="408"/>
      <c r="FYN50" s="408"/>
      <c r="FYO50" s="408"/>
      <c r="FYP50" s="408"/>
      <c r="FYQ50" s="408"/>
      <c r="FYR50" s="408"/>
      <c r="FYS50" s="408"/>
      <c r="FYT50" s="408"/>
      <c r="FYU50" s="408"/>
      <c r="FYV50" s="408"/>
      <c r="FYW50" s="408"/>
      <c r="FYX50" s="408"/>
      <c r="FYY50" s="408"/>
      <c r="FYZ50" s="408"/>
      <c r="FZA50" s="408"/>
      <c r="FZB50" s="408"/>
      <c r="FZC50" s="408"/>
      <c r="FZD50" s="408"/>
      <c r="FZE50" s="408"/>
      <c r="FZF50" s="408"/>
      <c r="FZG50" s="408"/>
      <c r="FZH50" s="408"/>
      <c r="FZI50" s="408"/>
      <c r="FZJ50" s="408"/>
      <c r="FZK50" s="408"/>
      <c r="FZL50" s="408"/>
      <c r="FZM50" s="408"/>
      <c r="FZN50" s="408"/>
      <c r="FZO50" s="408"/>
      <c r="FZP50" s="408"/>
      <c r="FZQ50" s="408"/>
      <c r="FZR50" s="408"/>
      <c r="FZS50" s="408"/>
      <c r="FZT50" s="408"/>
      <c r="FZU50" s="408"/>
      <c r="FZV50" s="408"/>
      <c r="FZW50" s="408"/>
      <c r="FZX50" s="408"/>
      <c r="FZY50" s="408"/>
      <c r="FZZ50" s="408"/>
      <c r="GAA50" s="408"/>
      <c r="GAB50" s="408"/>
      <c r="GAC50" s="408"/>
      <c r="GAD50" s="408"/>
      <c r="GAE50" s="408"/>
      <c r="GAF50" s="408"/>
      <c r="GAG50" s="408"/>
      <c r="GAH50" s="408"/>
      <c r="GAI50" s="408"/>
      <c r="GAJ50" s="408"/>
      <c r="GAK50" s="408"/>
      <c r="GAL50" s="408"/>
      <c r="GAM50" s="408"/>
      <c r="GAN50" s="408"/>
      <c r="GAO50" s="408"/>
      <c r="GAP50" s="408"/>
      <c r="GAQ50" s="408"/>
      <c r="GAR50" s="408"/>
      <c r="GAS50" s="408"/>
      <c r="GAT50" s="408"/>
      <c r="GAU50" s="408"/>
      <c r="GAV50" s="408"/>
      <c r="GAW50" s="408"/>
      <c r="GAX50" s="408"/>
      <c r="GAY50" s="408"/>
      <c r="GAZ50" s="408"/>
      <c r="GBA50" s="408"/>
      <c r="GBB50" s="408"/>
      <c r="GBC50" s="408"/>
      <c r="GBD50" s="408"/>
      <c r="GBE50" s="408"/>
      <c r="GBF50" s="408"/>
      <c r="GBG50" s="408"/>
      <c r="GBH50" s="408"/>
      <c r="GBI50" s="408"/>
      <c r="GBJ50" s="408"/>
      <c r="GBK50" s="408"/>
      <c r="GBL50" s="408"/>
      <c r="GBM50" s="408"/>
      <c r="GBN50" s="408"/>
      <c r="GBO50" s="408"/>
      <c r="GBP50" s="408"/>
      <c r="GBQ50" s="408"/>
      <c r="GBR50" s="408"/>
      <c r="GBS50" s="408"/>
      <c r="GBT50" s="408"/>
      <c r="GBU50" s="408"/>
      <c r="GBV50" s="408"/>
      <c r="GBW50" s="408"/>
      <c r="GBX50" s="408"/>
      <c r="GBY50" s="408"/>
      <c r="GBZ50" s="408"/>
      <c r="GCA50" s="408"/>
      <c r="GCB50" s="408"/>
      <c r="GCC50" s="408"/>
      <c r="GCD50" s="408"/>
      <c r="GCE50" s="408"/>
      <c r="GCF50" s="408"/>
      <c r="GCG50" s="408"/>
      <c r="GCH50" s="408"/>
      <c r="GCI50" s="408"/>
      <c r="GCJ50" s="408"/>
      <c r="GCK50" s="408"/>
      <c r="GCL50" s="408"/>
      <c r="GCM50" s="408"/>
      <c r="GCN50" s="408"/>
      <c r="GCO50" s="408"/>
      <c r="GCP50" s="408"/>
      <c r="GCQ50" s="408"/>
      <c r="GCR50" s="408"/>
      <c r="GCS50" s="408"/>
      <c r="GCT50" s="408"/>
      <c r="GCU50" s="408"/>
      <c r="GCV50" s="408"/>
      <c r="GCW50" s="408"/>
      <c r="GCX50" s="408"/>
      <c r="GCY50" s="408"/>
      <c r="GCZ50" s="408"/>
      <c r="GDA50" s="408"/>
      <c r="GDB50" s="408"/>
      <c r="GDC50" s="408"/>
      <c r="GDD50" s="408"/>
      <c r="GDE50" s="408"/>
      <c r="GDF50" s="408"/>
      <c r="GDG50" s="408"/>
      <c r="GDH50" s="408"/>
      <c r="GDI50" s="408"/>
      <c r="GDJ50" s="408"/>
      <c r="GDK50" s="408"/>
      <c r="GDL50" s="408"/>
      <c r="GDM50" s="408"/>
      <c r="GDN50" s="408"/>
      <c r="GDO50" s="408"/>
      <c r="GDP50" s="408"/>
      <c r="GDQ50" s="408"/>
      <c r="GDR50" s="408"/>
      <c r="GDS50" s="408"/>
      <c r="GDT50" s="408"/>
      <c r="GDU50" s="408"/>
      <c r="GDV50" s="408"/>
      <c r="GDW50" s="408"/>
      <c r="GDX50" s="408"/>
      <c r="GDY50" s="408"/>
      <c r="GDZ50" s="408"/>
      <c r="GEA50" s="408"/>
      <c r="GEB50" s="408"/>
      <c r="GEC50" s="408"/>
      <c r="GED50" s="408"/>
      <c r="GEE50" s="408"/>
      <c r="GEF50" s="408"/>
      <c r="GEG50" s="408"/>
      <c r="GEH50" s="408"/>
      <c r="GEI50" s="408"/>
      <c r="GEJ50" s="408"/>
      <c r="GEK50" s="408"/>
      <c r="GEL50" s="408"/>
      <c r="GEM50" s="408"/>
      <c r="GEN50" s="408"/>
      <c r="GEO50" s="408"/>
      <c r="GEP50" s="408"/>
      <c r="GEQ50" s="408"/>
      <c r="GER50" s="408"/>
      <c r="GES50" s="408"/>
      <c r="GET50" s="408"/>
      <c r="GEU50" s="408"/>
      <c r="GEV50" s="408"/>
      <c r="GEW50" s="408"/>
      <c r="GEX50" s="408"/>
      <c r="GEY50" s="408"/>
      <c r="GEZ50" s="408"/>
      <c r="GFA50" s="408"/>
      <c r="GFB50" s="408"/>
      <c r="GFC50" s="408"/>
      <c r="GFD50" s="408"/>
      <c r="GFE50" s="408"/>
      <c r="GFF50" s="408"/>
      <c r="GFG50" s="408"/>
      <c r="GFH50" s="408"/>
      <c r="GFI50" s="408"/>
      <c r="GFJ50" s="408"/>
      <c r="GFK50" s="408"/>
      <c r="GFL50" s="408"/>
      <c r="GFM50" s="408"/>
      <c r="GFN50" s="408"/>
      <c r="GFO50" s="408"/>
      <c r="GFP50" s="408"/>
      <c r="GFQ50" s="408"/>
      <c r="GFR50" s="408"/>
      <c r="GFS50" s="408"/>
      <c r="GFT50" s="408"/>
      <c r="GFU50" s="408"/>
      <c r="GFV50" s="408"/>
      <c r="GFW50" s="408"/>
      <c r="GFX50" s="408"/>
      <c r="GFY50" s="408"/>
      <c r="GFZ50" s="408"/>
      <c r="GGA50" s="408"/>
      <c r="GGB50" s="408"/>
      <c r="GGC50" s="408"/>
      <c r="GGD50" s="408"/>
      <c r="GGE50" s="408"/>
      <c r="GGF50" s="408"/>
      <c r="GGG50" s="408"/>
      <c r="GGH50" s="408"/>
      <c r="GGI50" s="408"/>
      <c r="GGJ50" s="408"/>
      <c r="GGK50" s="408"/>
      <c r="GGL50" s="408"/>
      <c r="GGM50" s="408"/>
      <c r="GGN50" s="408"/>
      <c r="GGO50" s="408"/>
      <c r="GGP50" s="408"/>
      <c r="GGQ50" s="408"/>
      <c r="GGR50" s="408"/>
      <c r="GGS50" s="408"/>
      <c r="GGT50" s="408"/>
      <c r="GGU50" s="408"/>
      <c r="GGV50" s="408"/>
      <c r="GGW50" s="408"/>
      <c r="GGX50" s="408"/>
      <c r="GGY50" s="408"/>
      <c r="GGZ50" s="408"/>
      <c r="GHA50" s="408"/>
      <c r="GHB50" s="408"/>
      <c r="GHC50" s="408"/>
      <c r="GHD50" s="408"/>
      <c r="GHE50" s="408"/>
      <c r="GHF50" s="408"/>
      <c r="GHG50" s="408"/>
      <c r="GHH50" s="408"/>
      <c r="GHI50" s="408"/>
      <c r="GHJ50" s="408"/>
      <c r="GHK50" s="408"/>
      <c r="GHL50" s="408"/>
      <c r="GHM50" s="408"/>
      <c r="GHN50" s="408"/>
      <c r="GHO50" s="408"/>
      <c r="GHP50" s="408"/>
      <c r="GHQ50" s="408"/>
      <c r="GHR50" s="408"/>
      <c r="GHS50" s="408"/>
      <c r="GHT50" s="408"/>
      <c r="GHU50" s="408"/>
      <c r="GHV50" s="408"/>
      <c r="GHW50" s="408"/>
      <c r="GHX50" s="408"/>
      <c r="GHY50" s="408"/>
      <c r="GHZ50" s="408"/>
      <c r="GIA50" s="408"/>
      <c r="GIB50" s="408"/>
      <c r="GIC50" s="408"/>
      <c r="GID50" s="408"/>
      <c r="GIE50" s="408"/>
      <c r="GIF50" s="408"/>
      <c r="GIG50" s="408"/>
      <c r="GIH50" s="408"/>
      <c r="GII50" s="408"/>
      <c r="GIJ50" s="408"/>
      <c r="GIK50" s="408"/>
      <c r="GIL50" s="408"/>
      <c r="GIM50" s="408"/>
      <c r="GIN50" s="408"/>
      <c r="GIO50" s="408"/>
      <c r="GIP50" s="408"/>
      <c r="GIQ50" s="408"/>
      <c r="GIR50" s="408"/>
      <c r="GIS50" s="408"/>
      <c r="GIT50" s="408"/>
      <c r="GIU50" s="408"/>
      <c r="GIV50" s="408"/>
      <c r="GIW50" s="408"/>
      <c r="GIX50" s="408"/>
      <c r="GIY50" s="408"/>
      <c r="GIZ50" s="408"/>
      <c r="GJA50" s="408"/>
      <c r="GJB50" s="408"/>
      <c r="GJC50" s="408"/>
      <c r="GJD50" s="408"/>
      <c r="GJE50" s="408"/>
      <c r="GJF50" s="408"/>
      <c r="GJG50" s="408"/>
      <c r="GJH50" s="408"/>
      <c r="GJI50" s="408"/>
      <c r="GJJ50" s="408"/>
      <c r="GJK50" s="408"/>
      <c r="GJL50" s="408"/>
      <c r="GJM50" s="408"/>
      <c r="GJN50" s="408"/>
      <c r="GJO50" s="408"/>
      <c r="GJP50" s="408"/>
      <c r="GJQ50" s="408"/>
      <c r="GJR50" s="408"/>
      <c r="GJS50" s="408"/>
      <c r="GJT50" s="408"/>
      <c r="GJU50" s="408"/>
      <c r="GJV50" s="408"/>
      <c r="GJW50" s="408"/>
      <c r="GJX50" s="408"/>
      <c r="GJY50" s="408"/>
      <c r="GJZ50" s="408"/>
      <c r="GKA50" s="408"/>
      <c r="GKB50" s="408"/>
      <c r="GKC50" s="408"/>
      <c r="GKD50" s="408"/>
      <c r="GKE50" s="408"/>
      <c r="GKF50" s="408"/>
      <c r="GKG50" s="408"/>
      <c r="GKH50" s="408"/>
      <c r="GKI50" s="408"/>
      <c r="GKJ50" s="408"/>
      <c r="GKK50" s="408"/>
      <c r="GKL50" s="408"/>
      <c r="GKM50" s="408"/>
      <c r="GKN50" s="408"/>
      <c r="GKO50" s="408"/>
      <c r="GKP50" s="408"/>
      <c r="GKQ50" s="408"/>
      <c r="GKR50" s="408"/>
      <c r="GKS50" s="408"/>
      <c r="GKT50" s="408"/>
      <c r="GKU50" s="408"/>
      <c r="GKV50" s="408"/>
      <c r="GKW50" s="408"/>
      <c r="GKX50" s="408"/>
      <c r="GKY50" s="408"/>
      <c r="GKZ50" s="408"/>
      <c r="GLA50" s="408"/>
      <c r="GLB50" s="408"/>
      <c r="GLC50" s="408"/>
      <c r="GLD50" s="408"/>
      <c r="GLE50" s="408"/>
      <c r="GLF50" s="408"/>
      <c r="GLG50" s="408"/>
      <c r="GLH50" s="408"/>
      <c r="GLI50" s="408"/>
      <c r="GLJ50" s="408"/>
      <c r="GLK50" s="408"/>
      <c r="GLL50" s="408"/>
      <c r="GLM50" s="408"/>
      <c r="GLN50" s="408"/>
      <c r="GLO50" s="408"/>
      <c r="GLP50" s="408"/>
      <c r="GLQ50" s="408"/>
      <c r="GLR50" s="408"/>
      <c r="GLS50" s="408"/>
      <c r="GLT50" s="408"/>
      <c r="GLU50" s="408"/>
      <c r="GLV50" s="408"/>
      <c r="GLW50" s="408"/>
      <c r="GLX50" s="408"/>
      <c r="GLY50" s="408"/>
      <c r="GLZ50" s="408"/>
      <c r="GMA50" s="408"/>
      <c r="GMB50" s="408"/>
      <c r="GMC50" s="408"/>
      <c r="GMD50" s="408"/>
      <c r="GME50" s="408"/>
      <c r="GMF50" s="408"/>
      <c r="GMG50" s="408"/>
      <c r="GMH50" s="408"/>
      <c r="GMI50" s="408"/>
      <c r="GMJ50" s="408"/>
      <c r="GMK50" s="408"/>
      <c r="GML50" s="408"/>
      <c r="GMM50" s="408"/>
      <c r="GMN50" s="408"/>
      <c r="GMO50" s="408"/>
      <c r="GMP50" s="408"/>
      <c r="GMQ50" s="408"/>
      <c r="GMR50" s="408"/>
      <c r="GMS50" s="408"/>
      <c r="GMT50" s="408"/>
      <c r="GMU50" s="408"/>
      <c r="GMV50" s="408"/>
      <c r="GMW50" s="408"/>
      <c r="GMX50" s="408"/>
      <c r="GMY50" s="408"/>
      <c r="GMZ50" s="408"/>
      <c r="GNA50" s="408"/>
      <c r="GNB50" s="408"/>
      <c r="GNC50" s="408"/>
      <c r="GND50" s="408"/>
      <c r="GNE50" s="408"/>
      <c r="GNF50" s="408"/>
      <c r="GNG50" s="408"/>
      <c r="GNH50" s="408"/>
      <c r="GNI50" s="408"/>
      <c r="GNJ50" s="408"/>
      <c r="GNK50" s="408"/>
      <c r="GNL50" s="408"/>
      <c r="GNM50" s="408"/>
      <c r="GNN50" s="408"/>
      <c r="GNO50" s="408"/>
      <c r="GNP50" s="408"/>
      <c r="GNQ50" s="408"/>
      <c r="GNR50" s="408"/>
      <c r="GNS50" s="408"/>
      <c r="GNT50" s="408"/>
      <c r="GNU50" s="408"/>
      <c r="GNV50" s="408"/>
      <c r="GNW50" s="408"/>
      <c r="GNX50" s="408"/>
      <c r="GNY50" s="408"/>
      <c r="GNZ50" s="408"/>
      <c r="GOA50" s="408"/>
      <c r="GOB50" s="408"/>
      <c r="GOC50" s="408"/>
      <c r="GOD50" s="408"/>
      <c r="GOE50" s="408"/>
      <c r="GOF50" s="408"/>
      <c r="GOG50" s="408"/>
      <c r="GOH50" s="408"/>
      <c r="GOI50" s="408"/>
      <c r="GOJ50" s="408"/>
      <c r="GOK50" s="408"/>
      <c r="GOL50" s="408"/>
      <c r="GOM50" s="408"/>
      <c r="GON50" s="408"/>
      <c r="GOO50" s="408"/>
      <c r="GOP50" s="408"/>
      <c r="GOQ50" s="408"/>
      <c r="GOR50" s="408"/>
      <c r="GOS50" s="408"/>
      <c r="GOT50" s="408"/>
      <c r="GOU50" s="408"/>
      <c r="GOV50" s="408"/>
      <c r="GOW50" s="408"/>
      <c r="GOX50" s="408"/>
      <c r="GOY50" s="408"/>
      <c r="GOZ50" s="408"/>
      <c r="GPA50" s="408"/>
      <c r="GPB50" s="408"/>
      <c r="GPC50" s="408"/>
      <c r="GPD50" s="408"/>
      <c r="GPE50" s="408"/>
      <c r="GPF50" s="408"/>
      <c r="GPG50" s="408"/>
      <c r="GPH50" s="408"/>
      <c r="GPI50" s="408"/>
      <c r="GPJ50" s="408"/>
      <c r="GPK50" s="408"/>
      <c r="GPL50" s="408"/>
      <c r="GPM50" s="408"/>
      <c r="GPN50" s="408"/>
      <c r="GPO50" s="408"/>
      <c r="GPP50" s="408"/>
      <c r="GPQ50" s="408"/>
      <c r="GPR50" s="408"/>
      <c r="GPS50" s="408"/>
      <c r="GPT50" s="408"/>
      <c r="GPU50" s="408"/>
      <c r="GPV50" s="408"/>
      <c r="GPW50" s="408"/>
      <c r="GPX50" s="408"/>
      <c r="GPY50" s="408"/>
      <c r="GPZ50" s="408"/>
      <c r="GQA50" s="408"/>
      <c r="GQB50" s="408"/>
      <c r="GQC50" s="408"/>
      <c r="GQD50" s="408"/>
      <c r="GQE50" s="408"/>
      <c r="GQF50" s="408"/>
      <c r="GQG50" s="408"/>
      <c r="GQH50" s="408"/>
      <c r="GQI50" s="408"/>
      <c r="GQJ50" s="408"/>
      <c r="GQK50" s="408"/>
      <c r="GQL50" s="408"/>
      <c r="GQM50" s="408"/>
      <c r="GQN50" s="408"/>
      <c r="GQO50" s="408"/>
      <c r="GQP50" s="408"/>
      <c r="GQQ50" s="408"/>
      <c r="GQR50" s="408"/>
      <c r="GQS50" s="408"/>
      <c r="GQT50" s="408"/>
      <c r="GQU50" s="408"/>
      <c r="GQV50" s="408"/>
      <c r="GQW50" s="408"/>
      <c r="GQX50" s="408"/>
      <c r="GQY50" s="408"/>
      <c r="GQZ50" s="408"/>
      <c r="GRA50" s="408"/>
      <c r="GRB50" s="408"/>
      <c r="GRC50" s="408"/>
      <c r="GRD50" s="408"/>
      <c r="GRE50" s="408"/>
      <c r="GRF50" s="408"/>
      <c r="GRG50" s="408"/>
      <c r="GRH50" s="408"/>
      <c r="GRI50" s="408"/>
      <c r="GRJ50" s="408"/>
      <c r="GRK50" s="408"/>
      <c r="GRL50" s="408"/>
      <c r="GRM50" s="408"/>
      <c r="GRN50" s="408"/>
      <c r="GRO50" s="408"/>
      <c r="GRP50" s="408"/>
      <c r="GRQ50" s="408"/>
      <c r="GRR50" s="408"/>
      <c r="GRS50" s="408"/>
      <c r="GRT50" s="408"/>
      <c r="GRU50" s="408"/>
      <c r="GRV50" s="408"/>
      <c r="GRW50" s="408"/>
      <c r="GRX50" s="408"/>
      <c r="GRY50" s="408"/>
      <c r="GRZ50" s="408"/>
      <c r="GSA50" s="408"/>
      <c r="GSB50" s="408"/>
      <c r="GSC50" s="408"/>
      <c r="GSD50" s="408"/>
      <c r="GSE50" s="408"/>
      <c r="GSF50" s="408"/>
      <c r="GSG50" s="408"/>
      <c r="GSH50" s="408"/>
      <c r="GSI50" s="408"/>
      <c r="GSJ50" s="408"/>
      <c r="GSK50" s="408"/>
      <c r="GSL50" s="408"/>
      <c r="GSM50" s="408"/>
      <c r="GSN50" s="408"/>
      <c r="GSO50" s="408"/>
      <c r="GSP50" s="408"/>
      <c r="GSQ50" s="408"/>
      <c r="GSR50" s="408"/>
      <c r="GSS50" s="408"/>
      <c r="GST50" s="408"/>
      <c r="GSU50" s="408"/>
      <c r="GSV50" s="408"/>
      <c r="GSW50" s="408"/>
      <c r="GSX50" s="408"/>
      <c r="GSY50" s="408"/>
      <c r="GSZ50" s="408"/>
      <c r="GTA50" s="408"/>
      <c r="GTB50" s="408"/>
      <c r="GTC50" s="408"/>
      <c r="GTD50" s="408"/>
      <c r="GTE50" s="408"/>
      <c r="GTF50" s="408"/>
      <c r="GTG50" s="408"/>
      <c r="GTH50" s="408"/>
      <c r="GTI50" s="408"/>
      <c r="GTJ50" s="408"/>
      <c r="GTK50" s="408"/>
      <c r="GTL50" s="408"/>
      <c r="GTM50" s="408"/>
      <c r="GTN50" s="408"/>
      <c r="GTO50" s="408"/>
      <c r="GTP50" s="408"/>
      <c r="GTQ50" s="408"/>
      <c r="GTR50" s="408"/>
      <c r="GTS50" s="408"/>
      <c r="GTT50" s="408"/>
      <c r="GTU50" s="408"/>
      <c r="GTV50" s="408"/>
      <c r="GTW50" s="408"/>
      <c r="GTX50" s="408"/>
      <c r="GTY50" s="408"/>
      <c r="GTZ50" s="408"/>
      <c r="GUA50" s="408"/>
      <c r="GUB50" s="408"/>
      <c r="GUC50" s="408"/>
      <c r="GUD50" s="408"/>
      <c r="GUE50" s="408"/>
      <c r="GUF50" s="408"/>
      <c r="GUG50" s="408"/>
      <c r="GUH50" s="408"/>
      <c r="GUI50" s="408"/>
      <c r="GUJ50" s="408"/>
      <c r="GUK50" s="408"/>
      <c r="GUL50" s="408"/>
      <c r="GUM50" s="408"/>
      <c r="GUN50" s="408"/>
      <c r="GUO50" s="408"/>
      <c r="GUP50" s="408"/>
      <c r="GUQ50" s="408"/>
      <c r="GUR50" s="408"/>
      <c r="GUS50" s="408"/>
      <c r="GUT50" s="408"/>
      <c r="GUU50" s="408"/>
      <c r="GUV50" s="408"/>
      <c r="GUW50" s="408"/>
      <c r="GUX50" s="408"/>
      <c r="GUY50" s="408"/>
      <c r="GUZ50" s="408"/>
      <c r="GVA50" s="408"/>
      <c r="GVB50" s="408"/>
      <c r="GVC50" s="408"/>
      <c r="GVD50" s="408"/>
      <c r="GVE50" s="408"/>
      <c r="GVF50" s="408"/>
      <c r="GVG50" s="408"/>
      <c r="GVH50" s="408"/>
      <c r="GVI50" s="408"/>
      <c r="GVJ50" s="408"/>
      <c r="GVK50" s="408"/>
      <c r="GVL50" s="408"/>
      <c r="GVM50" s="408"/>
      <c r="GVN50" s="408"/>
      <c r="GVO50" s="408"/>
      <c r="GVP50" s="408"/>
      <c r="GVQ50" s="408"/>
      <c r="GVR50" s="408"/>
      <c r="GVS50" s="408"/>
      <c r="GVT50" s="408"/>
      <c r="GVU50" s="408"/>
      <c r="GVV50" s="408"/>
      <c r="GVW50" s="408"/>
      <c r="GVX50" s="408"/>
      <c r="GVY50" s="408"/>
      <c r="GVZ50" s="408"/>
      <c r="GWA50" s="408"/>
      <c r="GWB50" s="408"/>
      <c r="GWC50" s="408"/>
      <c r="GWD50" s="408"/>
      <c r="GWE50" s="408"/>
      <c r="GWF50" s="408"/>
      <c r="GWG50" s="408"/>
      <c r="GWH50" s="408"/>
      <c r="GWI50" s="408"/>
      <c r="GWJ50" s="408"/>
      <c r="GWK50" s="408"/>
      <c r="GWL50" s="408"/>
      <c r="GWM50" s="408"/>
      <c r="GWN50" s="408"/>
      <c r="GWO50" s="408"/>
      <c r="GWP50" s="408"/>
      <c r="GWQ50" s="408"/>
      <c r="GWR50" s="408"/>
      <c r="GWS50" s="408"/>
      <c r="GWT50" s="408"/>
      <c r="GWU50" s="408"/>
      <c r="GWV50" s="408"/>
      <c r="GWW50" s="408"/>
      <c r="GWX50" s="408"/>
      <c r="GWY50" s="408"/>
      <c r="GWZ50" s="408"/>
      <c r="GXA50" s="408"/>
      <c r="GXB50" s="408"/>
      <c r="GXC50" s="408"/>
      <c r="GXD50" s="408"/>
      <c r="GXE50" s="408"/>
      <c r="GXF50" s="408"/>
      <c r="GXG50" s="408"/>
      <c r="GXH50" s="408"/>
      <c r="GXI50" s="408"/>
      <c r="GXJ50" s="408"/>
      <c r="GXK50" s="408"/>
      <c r="GXL50" s="408"/>
      <c r="GXM50" s="408"/>
      <c r="GXN50" s="408"/>
      <c r="GXO50" s="408"/>
      <c r="GXP50" s="408"/>
      <c r="GXQ50" s="408"/>
      <c r="GXR50" s="408"/>
      <c r="GXS50" s="408"/>
      <c r="GXT50" s="408"/>
      <c r="GXU50" s="408"/>
      <c r="GXV50" s="408"/>
      <c r="GXW50" s="408"/>
      <c r="GXX50" s="408"/>
      <c r="GXY50" s="408"/>
      <c r="GXZ50" s="408"/>
      <c r="GYA50" s="408"/>
      <c r="GYB50" s="408"/>
      <c r="GYC50" s="408"/>
      <c r="GYD50" s="408"/>
      <c r="GYE50" s="408"/>
      <c r="GYF50" s="408"/>
      <c r="GYG50" s="408"/>
      <c r="GYH50" s="408"/>
      <c r="GYI50" s="408"/>
      <c r="GYJ50" s="408"/>
      <c r="GYK50" s="408"/>
      <c r="GYL50" s="408"/>
      <c r="GYM50" s="408"/>
      <c r="GYN50" s="408"/>
      <c r="GYO50" s="408"/>
      <c r="GYP50" s="408"/>
      <c r="GYQ50" s="408"/>
      <c r="GYR50" s="408"/>
      <c r="GYS50" s="408"/>
      <c r="GYT50" s="408"/>
      <c r="GYU50" s="408"/>
      <c r="GYV50" s="408"/>
      <c r="GYW50" s="408"/>
      <c r="GYX50" s="408"/>
      <c r="GYY50" s="408"/>
      <c r="GYZ50" s="408"/>
      <c r="GZA50" s="408"/>
      <c r="GZB50" s="408"/>
      <c r="GZC50" s="408"/>
      <c r="GZD50" s="408"/>
      <c r="GZE50" s="408"/>
      <c r="GZF50" s="408"/>
      <c r="GZG50" s="408"/>
      <c r="GZH50" s="408"/>
      <c r="GZI50" s="408"/>
      <c r="GZJ50" s="408"/>
      <c r="GZK50" s="408"/>
      <c r="GZL50" s="408"/>
      <c r="GZM50" s="408"/>
      <c r="GZN50" s="408"/>
      <c r="GZO50" s="408"/>
      <c r="GZP50" s="408"/>
      <c r="GZQ50" s="408"/>
      <c r="GZR50" s="408"/>
      <c r="GZS50" s="408"/>
      <c r="GZT50" s="408"/>
      <c r="GZU50" s="408"/>
      <c r="GZV50" s="408"/>
      <c r="GZW50" s="408"/>
      <c r="GZX50" s="408"/>
      <c r="GZY50" s="408"/>
      <c r="GZZ50" s="408"/>
      <c r="HAA50" s="408"/>
      <c r="HAB50" s="408"/>
      <c r="HAC50" s="408"/>
      <c r="HAD50" s="408"/>
      <c r="HAE50" s="408"/>
      <c r="HAF50" s="408"/>
      <c r="HAG50" s="408"/>
      <c r="HAH50" s="408"/>
      <c r="HAI50" s="408"/>
      <c r="HAJ50" s="408"/>
      <c r="HAK50" s="408"/>
      <c r="HAL50" s="408"/>
      <c r="HAM50" s="408"/>
      <c r="HAN50" s="408"/>
      <c r="HAO50" s="408"/>
      <c r="HAP50" s="408"/>
      <c r="HAQ50" s="408"/>
      <c r="HAR50" s="408"/>
      <c r="HAS50" s="408"/>
      <c r="HAT50" s="408"/>
      <c r="HAU50" s="408"/>
      <c r="HAV50" s="408"/>
      <c r="HAW50" s="408"/>
      <c r="HAX50" s="408"/>
      <c r="HAY50" s="408"/>
      <c r="HAZ50" s="408"/>
      <c r="HBA50" s="408"/>
      <c r="HBB50" s="408"/>
      <c r="HBC50" s="408"/>
      <c r="HBD50" s="408"/>
      <c r="HBE50" s="408"/>
      <c r="HBF50" s="408"/>
      <c r="HBG50" s="408"/>
      <c r="HBH50" s="408"/>
      <c r="HBI50" s="408"/>
      <c r="HBJ50" s="408"/>
      <c r="HBK50" s="408"/>
      <c r="HBL50" s="408"/>
      <c r="HBM50" s="408"/>
      <c r="HBN50" s="408"/>
      <c r="HBO50" s="408"/>
      <c r="HBP50" s="408"/>
      <c r="HBQ50" s="408"/>
      <c r="HBR50" s="408"/>
      <c r="HBS50" s="408"/>
      <c r="HBT50" s="408"/>
      <c r="HBU50" s="408"/>
      <c r="HBV50" s="408"/>
      <c r="HBW50" s="408"/>
      <c r="HBX50" s="408"/>
      <c r="HBY50" s="408"/>
      <c r="HBZ50" s="408"/>
      <c r="HCA50" s="408"/>
      <c r="HCB50" s="408"/>
      <c r="HCC50" s="408"/>
      <c r="HCD50" s="408"/>
      <c r="HCE50" s="408"/>
      <c r="HCF50" s="408"/>
      <c r="HCG50" s="408"/>
      <c r="HCH50" s="408"/>
      <c r="HCI50" s="408"/>
      <c r="HCJ50" s="408"/>
      <c r="HCK50" s="408"/>
      <c r="HCL50" s="408"/>
      <c r="HCM50" s="408"/>
      <c r="HCN50" s="408"/>
      <c r="HCO50" s="408"/>
      <c r="HCP50" s="408"/>
      <c r="HCQ50" s="408"/>
      <c r="HCR50" s="408"/>
      <c r="HCS50" s="408"/>
      <c r="HCT50" s="408"/>
      <c r="HCU50" s="408"/>
      <c r="HCV50" s="408"/>
      <c r="HCW50" s="408"/>
      <c r="HCX50" s="408"/>
      <c r="HCY50" s="408"/>
      <c r="HCZ50" s="408"/>
      <c r="HDA50" s="408"/>
      <c r="HDB50" s="408"/>
      <c r="HDC50" s="408"/>
      <c r="HDD50" s="408"/>
      <c r="HDE50" s="408"/>
      <c r="HDF50" s="408"/>
      <c r="HDG50" s="408"/>
      <c r="HDH50" s="408"/>
      <c r="HDI50" s="408"/>
      <c r="HDJ50" s="408"/>
      <c r="HDK50" s="408"/>
      <c r="HDL50" s="408"/>
      <c r="HDM50" s="408"/>
      <c r="HDN50" s="408"/>
      <c r="HDO50" s="408"/>
      <c r="HDP50" s="408"/>
      <c r="HDQ50" s="408"/>
      <c r="HDR50" s="408"/>
      <c r="HDS50" s="408"/>
      <c r="HDT50" s="408"/>
      <c r="HDU50" s="408"/>
      <c r="HDV50" s="408"/>
      <c r="HDW50" s="408"/>
      <c r="HDX50" s="408"/>
      <c r="HDY50" s="408"/>
      <c r="HDZ50" s="408"/>
      <c r="HEA50" s="408"/>
      <c r="HEB50" s="408"/>
      <c r="HEC50" s="408"/>
      <c r="HED50" s="408"/>
      <c r="HEE50" s="408"/>
      <c r="HEF50" s="408"/>
      <c r="HEG50" s="408"/>
      <c r="HEH50" s="408"/>
      <c r="HEI50" s="408"/>
      <c r="HEJ50" s="408"/>
      <c r="HEK50" s="408"/>
      <c r="HEL50" s="408"/>
      <c r="HEM50" s="408"/>
      <c r="HEN50" s="408"/>
      <c r="HEO50" s="408"/>
      <c r="HEP50" s="408"/>
      <c r="HEQ50" s="408"/>
      <c r="HER50" s="408"/>
      <c r="HES50" s="408"/>
      <c r="HET50" s="408"/>
      <c r="HEU50" s="408"/>
      <c r="HEV50" s="408"/>
      <c r="HEW50" s="408"/>
      <c r="HEX50" s="408"/>
      <c r="HEY50" s="408"/>
      <c r="HEZ50" s="408"/>
      <c r="HFA50" s="408"/>
      <c r="HFB50" s="408"/>
      <c r="HFC50" s="408"/>
      <c r="HFD50" s="408"/>
      <c r="HFE50" s="408"/>
      <c r="HFF50" s="408"/>
      <c r="HFG50" s="408"/>
      <c r="HFH50" s="408"/>
      <c r="HFI50" s="408"/>
      <c r="HFJ50" s="408"/>
      <c r="HFK50" s="408"/>
      <c r="HFL50" s="408"/>
      <c r="HFM50" s="408"/>
      <c r="HFN50" s="408"/>
      <c r="HFO50" s="408"/>
      <c r="HFP50" s="408"/>
      <c r="HFQ50" s="408"/>
      <c r="HFR50" s="408"/>
      <c r="HFS50" s="408"/>
      <c r="HFT50" s="408"/>
      <c r="HFU50" s="408"/>
      <c r="HFV50" s="408"/>
      <c r="HFW50" s="408"/>
      <c r="HFX50" s="408"/>
      <c r="HFY50" s="408"/>
      <c r="HFZ50" s="408"/>
      <c r="HGA50" s="408"/>
      <c r="HGB50" s="408"/>
      <c r="HGC50" s="408"/>
      <c r="HGD50" s="408"/>
      <c r="HGE50" s="408"/>
      <c r="HGF50" s="408"/>
      <c r="HGG50" s="408"/>
      <c r="HGH50" s="408"/>
      <c r="HGI50" s="408"/>
      <c r="HGJ50" s="408"/>
      <c r="HGK50" s="408"/>
      <c r="HGL50" s="408"/>
      <c r="HGM50" s="408"/>
      <c r="HGN50" s="408"/>
      <c r="HGO50" s="408"/>
      <c r="HGP50" s="408"/>
      <c r="HGQ50" s="408"/>
      <c r="HGR50" s="408"/>
      <c r="HGS50" s="408"/>
      <c r="HGT50" s="408"/>
      <c r="HGU50" s="408"/>
      <c r="HGV50" s="408"/>
      <c r="HGW50" s="408"/>
      <c r="HGX50" s="408"/>
      <c r="HGY50" s="408"/>
      <c r="HGZ50" s="408"/>
      <c r="HHA50" s="408"/>
      <c r="HHB50" s="408"/>
      <c r="HHC50" s="408"/>
      <c r="HHD50" s="408"/>
      <c r="HHE50" s="408"/>
      <c r="HHF50" s="408"/>
      <c r="HHG50" s="408"/>
      <c r="HHH50" s="408"/>
      <c r="HHI50" s="408"/>
      <c r="HHJ50" s="408"/>
      <c r="HHK50" s="408"/>
      <c r="HHL50" s="408"/>
      <c r="HHM50" s="408"/>
      <c r="HHN50" s="408"/>
      <c r="HHO50" s="408"/>
      <c r="HHP50" s="408"/>
      <c r="HHQ50" s="408"/>
      <c r="HHR50" s="408"/>
      <c r="HHS50" s="408"/>
      <c r="HHT50" s="408"/>
      <c r="HHU50" s="408"/>
      <c r="HHV50" s="408"/>
      <c r="HHW50" s="408"/>
      <c r="HHX50" s="408"/>
      <c r="HHY50" s="408"/>
      <c r="HHZ50" s="408"/>
      <c r="HIA50" s="408"/>
      <c r="HIB50" s="408"/>
      <c r="HIC50" s="408"/>
      <c r="HID50" s="408"/>
      <c r="HIE50" s="408"/>
      <c r="HIF50" s="408"/>
      <c r="HIG50" s="408"/>
      <c r="HIH50" s="408"/>
      <c r="HII50" s="408"/>
      <c r="HIJ50" s="408"/>
      <c r="HIK50" s="408"/>
      <c r="HIL50" s="408"/>
      <c r="HIM50" s="408"/>
      <c r="HIN50" s="408"/>
      <c r="HIO50" s="408"/>
      <c r="HIP50" s="408"/>
      <c r="HIQ50" s="408"/>
      <c r="HIR50" s="408"/>
      <c r="HIS50" s="408"/>
      <c r="HIT50" s="408"/>
      <c r="HIU50" s="408"/>
      <c r="HIV50" s="408"/>
      <c r="HIW50" s="408"/>
      <c r="HIX50" s="408"/>
      <c r="HIY50" s="408"/>
      <c r="HIZ50" s="408"/>
      <c r="HJA50" s="408"/>
      <c r="HJB50" s="408"/>
      <c r="HJC50" s="408"/>
      <c r="HJD50" s="408"/>
      <c r="HJE50" s="408"/>
      <c r="HJF50" s="408"/>
      <c r="HJG50" s="408"/>
      <c r="HJH50" s="408"/>
      <c r="HJI50" s="408"/>
      <c r="HJJ50" s="408"/>
      <c r="HJK50" s="408"/>
      <c r="HJL50" s="408"/>
      <c r="HJM50" s="408"/>
      <c r="HJN50" s="408"/>
      <c r="HJO50" s="408"/>
      <c r="HJP50" s="408"/>
      <c r="HJQ50" s="408"/>
      <c r="HJR50" s="408"/>
      <c r="HJS50" s="408"/>
      <c r="HJT50" s="408"/>
      <c r="HJU50" s="408"/>
      <c r="HJV50" s="408"/>
      <c r="HJW50" s="408"/>
      <c r="HJX50" s="408"/>
      <c r="HJY50" s="408"/>
      <c r="HJZ50" s="408"/>
      <c r="HKA50" s="408"/>
      <c r="HKB50" s="408"/>
      <c r="HKC50" s="408"/>
      <c r="HKD50" s="408"/>
      <c r="HKE50" s="408"/>
      <c r="HKF50" s="408"/>
      <c r="HKG50" s="408"/>
      <c r="HKH50" s="408"/>
      <c r="HKI50" s="408"/>
      <c r="HKJ50" s="408"/>
      <c r="HKK50" s="408"/>
      <c r="HKL50" s="408"/>
      <c r="HKM50" s="408"/>
      <c r="HKN50" s="408"/>
      <c r="HKO50" s="408"/>
      <c r="HKP50" s="408"/>
      <c r="HKQ50" s="408"/>
      <c r="HKR50" s="408"/>
      <c r="HKS50" s="408"/>
      <c r="HKT50" s="408"/>
      <c r="HKU50" s="408"/>
      <c r="HKV50" s="408"/>
      <c r="HKW50" s="408"/>
      <c r="HKX50" s="408"/>
      <c r="HKY50" s="408"/>
      <c r="HKZ50" s="408"/>
      <c r="HLA50" s="408"/>
      <c r="HLB50" s="408"/>
      <c r="HLC50" s="408"/>
      <c r="HLD50" s="408"/>
      <c r="HLE50" s="408"/>
      <c r="HLF50" s="408"/>
      <c r="HLG50" s="408"/>
      <c r="HLH50" s="408"/>
      <c r="HLI50" s="408"/>
      <c r="HLJ50" s="408"/>
      <c r="HLK50" s="408"/>
      <c r="HLL50" s="408"/>
      <c r="HLM50" s="408"/>
      <c r="HLN50" s="408"/>
      <c r="HLO50" s="408"/>
      <c r="HLP50" s="408"/>
      <c r="HLQ50" s="408"/>
      <c r="HLR50" s="408"/>
      <c r="HLS50" s="408"/>
      <c r="HLT50" s="408"/>
      <c r="HLU50" s="408"/>
      <c r="HLV50" s="408"/>
      <c r="HLW50" s="408"/>
      <c r="HLX50" s="408"/>
      <c r="HLY50" s="408"/>
      <c r="HLZ50" s="408"/>
      <c r="HMA50" s="408"/>
      <c r="HMB50" s="408"/>
      <c r="HMC50" s="408"/>
      <c r="HMD50" s="408"/>
      <c r="HME50" s="408"/>
      <c r="HMF50" s="408"/>
      <c r="HMG50" s="408"/>
      <c r="HMH50" s="408"/>
      <c r="HMI50" s="408"/>
      <c r="HMJ50" s="408"/>
      <c r="HMK50" s="408"/>
      <c r="HML50" s="408"/>
      <c r="HMM50" s="408"/>
      <c r="HMN50" s="408"/>
      <c r="HMO50" s="408"/>
      <c r="HMP50" s="408"/>
      <c r="HMQ50" s="408"/>
      <c r="HMR50" s="408"/>
      <c r="HMS50" s="408"/>
      <c r="HMT50" s="408"/>
      <c r="HMU50" s="408"/>
      <c r="HMV50" s="408"/>
      <c r="HMW50" s="408"/>
      <c r="HMX50" s="408"/>
      <c r="HMY50" s="408"/>
      <c r="HMZ50" s="408"/>
      <c r="HNA50" s="408"/>
      <c r="HNB50" s="408"/>
      <c r="HNC50" s="408"/>
      <c r="HND50" s="408"/>
      <c r="HNE50" s="408"/>
      <c r="HNF50" s="408"/>
      <c r="HNG50" s="408"/>
      <c r="HNH50" s="408"/>
      <c r="HNI50" s="408"/>
      <c r="HNJ50" s="408"/>
      <c r="HNK50" s="408"/>
      <c r="HNL50" s="408"/>
      <c r="HNM50" s="408"/>
      <c r="HNN50" s="408"/>
      <c r="HNO50" s="408"/>
      <c r="HNP50" s="408"/>
      <c r="HNQ50" s="408"/>
      <c r="HNR50" s="408"/>
      <c r="HNS50" s="408"/>
      <c r="HNT50" s="408"/>
      <c r="HNU50" s="408"/>
      <c r="HNV50" s="408"/>
      <c r="HNW50" s="408"/>
      <c r="HNX50" s="408"/>
      <c r="HNY50" s="408"/>
      <c r="HNZ50" s="408"/>
      <c r="HOA50" s="408"/>
      <c r="HOB50" s="408"/>
      <c r="HOC50" s="408"/>
      <c r="HOD50" s="408"/>
      <c r="HOE50" s="408"/>
      <c r="HOF50" s="408"/>
      <c r="HOG50" s="408"/>
      <c r="HOH50" s="408"/>
      <c r="HOI50" s="408"/>
      <c r="HOJ50" s="408"/>
      <c r="HOK50" s="408"/>
      <c r="HOL50" s="408"/>
      <c r="HOM50" s="408"/>
      <c r="HON50" s="408"/>
      <c r="HOO50" s="408"/>
      <c r="HOP50" s="408"/>
      <c r="HOQ50" s="408"/>
      <c r="HOR50" s="408"/>
      <c r="HOS50" s="408"/>
      <c r="HOT50" s="408"/>
      <c r="HOU50" s="408"/>
      <c r="HOV50" s="408"/>
      <c r="HOW50" s="408"/>
      <c r="HOX50" s="408"/>
      <c r="HOY50" s="408"/>
      <c r="HOZ50" s="408"/>
      <c r="HPA50" s="408"/>
      <c r="HPB50" s="408"/>
      <c r="HPC50" s="408"/>
      <c r="HPD50" s="408"/>
      <c r="HPE50" s="408"/>
      <c r="HPF50" s="408"/>
      <c r="HPG50" s="408"/>
      <c r="HPH50" s="408"/>
      <c r="HPI50" s="408"/>
      <c r="HPJ50" s="408"/>
      <c r="HPK50" s="408"/>
      <c r="HPL50" s="408"/>
      <c r="HPM50" s="408"/>
      <c r="HPN50" s="408"/>
      <c r="HPO50" s="408"/>
      <c r="HPP50" s="408"/>
      <c r="HPQ50" s="408"/>
      <c r="HPR50" s="408"/>
      <c r="HPS50" s="408"/>
      <c r="HPT50" s="408"/>
      <c r="HPU50" s="408"/>
      <c r="HPV50" s="408"/>
      <c r="HPW50" s="408"/>
      <c r="HPX50" s="408"/>
      <c r="HPY50" s="408"/>
      <c r="HPZ50" s="408"/>
      <c r="HQA50" s="408"/>
      <c r="HQB50" s="408"/>
      <c r="HQC50" s="408"/>
      <c r="HQD50" s="408"/>
      <c r="HQE50" s="408"/>
      <c r="HQF50" s="408"/>
      <c r="HQG50" s="408"/>
      <c r="HQH50" s="408"/>
      <c r="HQI50" s="408"/>
      <c r="HQJ50" s="408"/>
      <c r="HQK50" s="408"/>
      <c r="HQL50" s="408"/>
      <c r="HQM50" s="408"/>
      <c r="HQN50" s="408"/>
      <c r="HQO50" s="408"/>
      <c r="HQP50" s="408"/>
      <c r="HQQ50" s="408"/>
      <c r="HQR50" s="408"/>
      <c r="HQS50" s="408"/>
      <c r="HQT50" s="408"/>
      <c r="HQU50" s="408"/>
      <c r="HQV50" s="408"/>
      <c r="HQW50" s="408"/>
      <c r="HQX50" s="408"/>
      <c r="HQY50" s="408"/>
      <c r="HQZ50" s="408"/>
      <c r="HRA50" s="408"/>
      <c r="HRB50" s="408"/>
      <c r="HRC50" s="408"/>
      <c r="HRD50" s="408"/>
      <c r="HRE50" s="408"/>
      <c r="HRF50" s="408"/>
      <c r="HRG50" s="408"/>
      <c r="HRH50" s="408"/>
      <c r="HRI50" s="408"/>
      <c r="HRJ50" s="408"/>
      <c r="HRK50" s="408"/>
      <c r="HRL50" s="408"/>
      <c r="HRM50" s="408"/>
      <c r="HRN50" s="408"/>
      <c r="HRO50" s="408"/>
      <c r="HRP50" s="408"/>
      <c r="HRQ50" s="408"/>
      <c r="HRR50" s="408"/>
      <c r="HRS50" s="408"/>
      <c r="HRT50" s="408"/>
      <c r="HRU50" s="408"/>
      <c r="HRV50" s="408"/>
      <c r="HRW50" s="408"/>
      <c r="HRX50" s="408"/>
      <c r="HRY50" s="408"/>
      <c r="HRZ50" s="408"/>
      <c r="HSA50" s="408"/>
      <c r="HSB50" s="408"/>
      <c r="HSC50" s="408"/>
      <c r="HSD50" s="408"/>
      <c r="HSE50" s="408"/>
      <c r="HSF50" s="408"/>
      <c r="HSG50" s="408"/>
      <c r="HSH50" s="408"/>
      <c r="HSI50" s="408"/>
      <c r="HSJ50" s="408"/>
      <c r="HSK50" s="408"/>
      <c r="HSL50" s="408"/>
      <c r="HSM50" s="408"/>
      <c r="HSN50" s="408"/>
      <c r="HSO50" s="408"/>
      <c r="HSP50" s="408"/>
      <c r="HSQ50" s="408"/>
      <c r="HSR50" s="408"/>
      <c r="HSS50" s="408"/>
      <c r="HST50" s="408"/>
      <c r="HSU50" s="408"/>
      <c r="HSV50" s="408"/>
      <c r="HSW50" s="408"/>
      <c r="HSX50" s="408"/>
      <c r="HSY50" s="408"/>
      <c r="HSZ50" s="408"/>
      <c r="HTA50" s="408"/>
      <c r="HTB50" s="408"/>
      <c r="HTC50" s="408"/>
      <c r="HTD50" s="408"/>
      <c r="HTE50" s="408"/>
      <c r="HTF50" s="408"/>
      <c r="HTG50" s="408"/>
      <c r="HTH50" s="408"/>
      <c r="HTI50" s="408"/>
      <c r="HTJ50" s="408"/>
      <c r="HTK50" s="408"/>
      <c r="HTL50" s="408"/>
      <c r="HTM50" s="408"/>
      <c r="HTN50" s="408"/>
      <c r="HTO50" s="408"/>
      <c r="HTP50" s="408"/>
      <c r="HTQ50" s="408"/>
      <c r="HTR50" s="408"/>
      <c r="HTS50" s="408"/>
      <c r="HTT50" s="408"/>
      <c r="HTU50" s="408"/>
      <c r="HTV50" s="408"/>
      <c r="HTW50" s="408"/>
      <c r="HTX50" s="408"/>
      <c r="HTY50" s="408"/>
      <c r="HTZ50" s="408"/>
      <c r="HUA50" s="408"/>
      <c r="HUB50" s="408"/>
      <c r="HUC50" s="408"/>
      <c r="HUD50" s="408"/>
      <c r="HUE50" s="408"/>
      <c r="HUF50" s="408"/>
      <c r="HUG50" s="408"/>
      <c r="HUH50" s="408"/>
      <c r="HUI50" s="408"/>
      <c r="HUJ50" s="408"/>
      <c r="HUK50" s="408"/>
      <c r="HUL50" s="408"/>
      <c r="HUM50" s="408"/>
      <c r="HUN50" s="408"/>
      <c r="HUO50" s="408"/>
      <c r="HUP50" s="408"/>
      <c r="HUQ50" s="408"/>
      <c r="HUR50" s="408"/>
      <c r="HUS50" s="408"/>
      <c r="HUT50" s="408"/>
      <c r="HUU50" s="408"/>
      <c r="HUV50" s="408"/>
      <c r="HUW50" s="408"/>
      <c r="HUX50" s="408"/>
      <c r="HUY50" s="408"/>
      <c r="HUZ50" s="408"/>
      <c r="HVA50" s="408"/>
      <c r="HVB50" s="408"/>
      <c r="HVC50" s="408"/>
      <c r="HVD50" s="408"/>
      <c r="HVE50" s="408"/>
      <c r="HVF50" s="408"/>
      <c r="HVG50" s="408"/>
      <c r="HVH50" s="408"/>
      <c r="HVI50" s="408"/>
      <c r="HVJ50" s="408"/>
      <c r="HVK50" s="408"/>
      <c r="HVL50" s="408"/>
      <c r="HVM50" s="408"/>
      <c r="HVN50" s="408"/>
      <c r="HVO50" s="408"/>
      <c r="HVP50" s="408"/>
      <c r="HVQ50" s="408"/>
      <c r="HVR50" s="408"/>
      <c r="HVS50" s="408"/>
      <c r="HVT50" s="408"/>
      <c r="HVU50" s="408"/>
      <c r="HVV50" s="408"/>
      <c r="HVW50" s="408"/>
      <c r="HVX50" s="408"/>
      <c r="HVY50" s="408"/>
      <c r="HVZ50" s="408"/>
      <c r="HWA50" s="408"/>
      <c r="HWB50" s="408"/>
      <c r="HWC50" s="408"/>
      <c r="HWD50" s="408"/>
      <c r="HWE50" s="408"/>
      <c r="HWF50" s="408"/>
      <c r="HWG50" s="408"/>
      <c r="HWH50" s="408"/>
      <c r="HWI50" s="408"/>
      <c r="HWJ50" s="408"/>
      <c r="HWK50" s="408"/>
      <c r="HWL50" s="408"/>
      <c r="HWM50" s="408"/>
      <c r="HWN50" s="408"/>
      <c r="HWO50" s="408"/>
      <c r="HWP50" s="408"/>
      <c r="HWQ50" s="408"/>
      <c r="HWR50" s="408"/>
      <c r="HWS50" s="408"/>
      <c r="HWT50" s="408"/>
      <c r="HWU50" s="408"/>
      <c r="HWV50" s="408"/>
      <c r="HWW50" s="408"/>
      <c r="HWX50" s="408"/>
      <c r="HWY50" s="408"/>
      <c r="HWZ50" s="408"/>
      <c r="HXA50" s="408"/>
      <c r="HXB50" s="408"/>
      <c r="HXC50" s="408"/>
      <c r="HXD50" s="408"/>
      <c r="HXE50" s="408"/>
      <c r="HXF50" s="408"/>
      <c r="HXG50" s="408"/>
      <c r="HXH50" s="408"/>
      <c r="HXI50" s="408"/>
      <c r="HXJ50" s="408"/>
      <c r="HXK50" s="408"/>
      <c r="HXL50" s="408"/>
      <c r="HXM50" s="408"/>
      <c r="HXN50" s="408"/>
      <c r="HXO50" s="408"/>
      <c r="HXP50" s="408"/>
      <c r="HXQ50" s="408"/>
      <c r="HXR50" s="408"/>
      <c r="HXS50" s="408"/>
      <c r="HXT50" s="408"/>
      <c r="HXU50" s="408"/>
      <c r="HXV50" s="408"/>
      <c r="HXW50" s="408"/>
      <c r="HXX50" s="408"/>
      <c r="HXY50" s="408"/>
      <c r="HXZ50" s="408"/>
      <c r="HYA50" s="408"/>
      <c r="HYB50" s="408"/>
      <c r="HYC50" s="408"/>
      <c r="HYD50" s="408"/>
      <c r="HYE50" s="408"/>
      <c r="HYF50" s="408"/>
      <c r="HYG50" s="408"/>
      <c r="HYH50" s="408"/>
      <c r="HYI50" s="408"/>
      <c r="HYJ50" s="408"/>
      <c r="HYK50" s="408"/>
      <c r="HYL50" s="408"/>
      <c r="HYM50" s="408"/>
      <c r="HYN50" s="408"/>
      <c r="HYO50" s="408"/>
      <c r="HYP50" s="408"/>
      <c r="HYQ50" s="408"/>
      <c r="HYR50" s="408"/>
      <c r="HYS50" s="408"/>
      <c r="HYT50" s="408"/>
      <c r="HYU50" s="408"/>
      <c r="HYV50" s="408"/>
      <c r="HYW50" s="408"/>
      <c r="HYX50" s="408"/>
      <c r="HYY50" s="408"/>
      <c r="HYZ50" s="408"/>
      <c r="HZA50" s="408"/>
      <c r="HZB50" s="408"/>
      <c r="HZC50" s="408"/>
      <c r="HZD50" s="408"/>
      <c r="HZE50" s="408"/>
      <c r="HZF50" s="408"/>
      <c r="HZG50" s="408"/>
      <c r="HZH50" s="408"/>
      <c r="HZI50" s="408"/>
      <c r="HZJ50" s="408"/>
      <c r="HZK50" s="408"/>
      <c r="HZL50" s="408"/>
      <c r="HZM50" s="408"/>
      <c r="HZN50" s="408"/>
      <c r="HZO50" s="408"/>
      <c r="HZP50" s="408"/>
      <c r="HZQ50" s="408"/>
      <c r="HZR50" s="408"/>
      <c r="HZS50" s="408"/>
      <c r="HZT50" s="408"/>
      <c r="HZU50" s="408"/>
      <c r="HZV50" s="408"/>
      <c r="HZW50" s="408"/>
      <c r="HZX50" s="408"/>
      <c r="HZY50" s="408"/>
      <c r="HZZ50" s="408"/>
      <c r="IAA50" s="408"/>
      <c r="IAB50" s="408"/>
      <c r="IAC50" s="408"/>
      <c r="IAD50" s="408"/>
      <c r="IAE50" s="408"/>
      <c r="IAF50" s="408"/>
      <c r="IAG50" s="408"/>
      <c r="IAH50" s="408"/>
      <c r="IAI50" s="408"/>
      <c r="IAJ50" s="408"/>
      <c r="IAK50" s="408"/>
      <c r="IAL50" s="408"/>
      <c r="IAM50" s="408"/>
      <c r="IAN50" s="408"/>
      <c r="IAO50" s="408"/>
      <c r="IAP50" s="408"/>
      <c r="IAQ50" s="408"/>
      <c r="IAR50" s="408"/>
      <c r="IAS50" s="408"/>
      <c r="IAT50" s="408"/>
      <c r="IAU50" s="408"/>
      <c r="IAV50" s="408"/>
      <c r="IAW50" s="408"/>
      <c r="IAX50" s="408"/>
      <c r="IAY50" s="408"/>
      <c r="IAZ50" s="408"/>
      <c r="IBA50" s="408"/>
      <c r="IBB50" s="408"/>
      <c r="IBC50" s="408"/>
      <c r="IBD50" s="408"/>
      <c r="IBE50" s="408"/>
      <c r="IBF50" s="408"/>
      <c r="IBG50" s="408"/>
      <c r="IBH50" s="408"/>
      <c r="IBI50" s="408"/>
      <c r="IBJ50" s="408"/>
      <c r="IBK50" s="408"/>
      <c r="IBL50" s="408"/>
      <c r="IBM50" s="408"/>
      <c r="IBN50" s="408"/>
      <c r="IBO50" s="408"/>
      <c r="IBP50" s="408"/>
      <c r="IBQ50" s="408"/>
      <c r="IBR50" s="408"/>
      <c r="IBS50" s="408"/>
      <c r="IBT50" s="408"/>
      <c r="IBU50" s="408"/>
      <c r="IBV50" s="408"/>
      <c r="IBW50" s="408"/>
      <c r="IBX50" s="408"/>
      <c r="IBY50" s="408"/>
      <c r="IBZ50" s="408"/>
      <c r="ICA50" s="408"/>
      <c r="ICB50" s="408"/>
      <c r="ICC50" s="408"/>
      <c r="ICD50" s="408"/>
      <c r="ICE50" s="408"/>
      <c r="ICF50" s="408"/>
      <c r="ICG50" s="408"/>
      <c r="ICH50" s="408"/>
      <c r="ICI50" s="408"/>
      <c r="ICJ50" s="408"/>
      <c r="ICK50" s="408"/>
      <c r="ICL50" s="408"/>
      <c r="ICM50" s="408"/>
      <c r="ICN50" s="408"/>
      <c r="ICO50" s="408"/>
      <c r="ICP50" s="408"/>
      <c r="ICQ50" s="408"/>
      <c r="ICR50" s="408"/>
      <c r="ICS50" s="408"/>
      <c r="ICT50" s="408"/>
      <c r="ICU50" s="408"/>
      <c r="ICV50" s="408"/>
      <c r="ICW50" s="408"/>
      <c r="ICX50" s="408"/>
      <c r="ICY50" s="408"/>
      <c r="ICZ50" s="408"/>
      <c r="IDA50" s="408"/>
      <c r="IDB50" s="408"/>
      <c r="IDC50" s="408"/>
      <c r="IDD50" s="408"/>
      <c r="IDE50" s="408"/>
      <c r="IDF50" s="408"/>
      <c r="IDG50" s="408"/>
      <c r="IDH50" s="408"/>
      <c r="IDI50" s="408"/>
      <c r="IDJ50" s="408"/>
      <c r="IDK50" s="408"/>
      <c r="IDL50" s="408"/>
      <c r="IDM50" s="408"/>
      <c r="IDN50" s="408"/>
      <c r="IDO50" s="408"/>
      <c r="IDP50" s="408"/>
      <c r="IDQ50" s="408"/>
      <c r="IDR50" s="408"/>
      <c r="IDS50" s="408"/>
      <c r="IDT50" s="408"/>
      <c r="IDU50" s="408"/>
      <c r="IDV50" s="408"/>
      <c r="IDW50" s="408"/>
      <c r="IDX50" s="408"/>
      <c r="IDY50" s="408"/>
      <c r="IDZ50" s="408"/>
      <c r="IEA50" s="408"/>
      <c r="IEB50" s="408"/>
      <c r="IEC50" s="408"/>
      <c r="IED50" s="408"/>
      <c r="IEE50" s="408"/>
      <c r="IEF50" s="408"/>
      <c r="IEG50" s="408"/>
      <c r="IEH50" s="408"/>
      <c r="IEI50" s="408"/>
      <c r="IEJ50" s="408"/>
      <c r="IEK50" s="408"/>
      <c r="IEL50" s="408"/>
      <c r="IEM50" s="408"/>
      <c r="IEN50" s="408"/>
      <c r="IEO50" s="408"/>
      <c r="IEP50" s="408"/>
      <c r="IEQ50" s="408"/>
      <c r="IER50" s="408"/>
      <c r="IES50" s="408"/>
      <c r="IET50" s="408"/>
      <c r="IEU50" s="408"/>
      <c r="IEV50" s="408"/>
      <c r="IEW50" s="408"/>
      <c r="IEX50" s="408"/>
      <c r="IEY50" s="408"/>
      <c r="IEZ50" s="408"/>
      <c r="IFA50" s="408"/>
      <c r="IFB50" s="408"/>
      <c r="IFC50" s="408"/>
      <c r="IFD50" s="408"/>
      <c r="IFE50" s="408"/>
      <c r="IFF50" s="408"/>
      <c r="IFG50" s="408"/>
      <c r="IFH50" s="408"/>
      <c r="IFI50" s="408"/>
      <c r="IFJ50" s="408"/>
      <c r="IFK50" s="408"/>
      <c r="IFL50" s="408"/>
      <c r="IFM50" s="408"/>
      <c r="IFN50" s="408"/>
      <c r="IFO50" s="408"/>
      <c r="IFP50" s="408"/>
      <c r="IFQ50" s="408"/>
      <c r="IFR50" s="408"/>
      <c r="IFS50" s="408"/>
      <c r="IFT50" s="408"/>
      <c r="IFU50" s="408"/>
      <c r="IFV50" s="408"/>
      <c r="IFW50" s="408"/>
      <c r="IFX50" s="408"/>
      <c r="IFY50" s="408"/>
      <c r="IFZ50" s="408"/>
      <c r="IGA50" s="408"/>
      <c r="IGB50" s="408"/>
      <c r="IGC50" s="408"/>
      <c r="IGD50" s="408"/>
      <c r="IGE50" s="408"/>
      <c r="IGF50" s="408"/>
      <c r="IGG50" s="408"/>
      <c r="IGH50" s="408"/>
      <c r="IGI50" s="408"/>
      <c r="IGJ50" s="408"/>
      <c r="IGK50" s="408"/>
      <c r="IGL50" s="408"/>
      <c r="IGM50" s="408"/>
      <c r="IGN50" s="408"/>
      <c r="IGO50" s="408"/>
      <c r="IGP50" s="408"/>
      <c r="IGQ50" s="408"/>
      <c r="IGR50" s="408"/>
      <c r="IGS50" s="408"/>
      <c r="IGT50" s="408"/>
      <c r="IGU50" s="408"/>
      <c r="IGV50" s="408"/>
      <c r="IGW50" s="408"/>
      <c r="IGX50" s="408"/>
      <c r="IGY50" s="408"/>
      <c r="IGZ50" s="408"/>
      <c r="IHA50" s="408"/>
      <c r="IHB50" s="408"/>
      <c r="IHC50" s="408"/>
      <c r="IHD50" s="408"/>
      <c r="IHE50" s="408"/>
      <c r="IHF50" s="408"/>
      <c r="IHG50" s="408"/>
      <c r="IHH50" s="408"/>
      <c r="IHI50" s="408"/>
      <c r="IHJ50" s="408"/>
      <c r="IHK50" s="408"/>
      <c r="IHL50" s="408"/>
      <c r="IHM50" s="408"/>
      <c r="IHN50" s="408"/>
      <c r="IHO50" s="408"/>
      <c r="IHP50" s="408"/>
      <c r="IHQ50" s="408"/>
      <c r="IHR50" s="408"/>
      <c r="IHS50" s="408"/>
      <c r="IHT50" s="408"/>
      <c r="IHU50" s="408"/>
      <c r="IHV50" s="408"/>
      <c r="IHW50" s="408"/>
      <c r="IHX50" s="408"/>
      <c r="IHY50" s="408"/>
      <c r="IHZ50" s="408"/>
      <c r="IIA50" s="408"/>
      <c r="IIB50" s="408"/>
      <c r="IIC50" s="408"/>
      <c r="IID50" s="408"/>
      <c r="IIE50" s="408"/>
      <c r="IIF50" s="408"/>
      <c r="IIG50" s="408"/>
      <c r="IIH50" s="408"/>
      <c r="III50" s="408"/>
      <c r="IIJ50" s="408"/>
      <c r="IIK50" s="408"/>
      <c r="IIL50" s="408"/>
      <c r="IIM50" s="408"/>
      <c r="IIN50" s="408"/>
      <c r="IIO50" s="408"/>
      <c r="IIP50" s="408"/>
      <c r="IIQ50" s="408"/>
      <c r="IIR50" s="408"/>
      <c r="IIS50" s="408"/>
      <c r="IIT50" s="408"/>
      <c r="IIU50" s="408"/>
      <c r="IIV50" s="408"/>
      <c r="IIW50" s="408"/>
      <c r="IIX50" s="408"/>
      <c r="IIY50" s="408"/>
      <c r="IIZ50" s="408"/>
      <c r="IJA50" s="408"/>
      <c r="IJB50" s="408"/>
      <c r="IJC50" s="408"/>
      <c r="IJD50" s="408"/>
      <c r="IJE50" s="408"/>
      <c r="IJF50" s="408"/>
      <c r="IJG50" s="408"/>
      <c r="IJH50" s="408"/>
      <c r="IJI50" s="408"/>
      <c r="IJJ50" s="408"/>
      <c r="IJK50" s="408"/>
      <c r="IJL50" s="408"/>
      <c r="IJM50" s="408"/>
      <c r="IJN50" s="408"/>
      <c r="IJO50" s="408"/>
      <c r="IJP50" s="408"/>
      <c r="IJQ50" s="408"/>
      <c r="IJR50" s="408"/>
      <c r="IJS50" s="408"/>
      <c r="IJT50" s="408"/>
      <c r="IJU50" s="408"/>
      <c r="IJV50" s="408"/>
      <c r="IJW50" s="408"/>
      <c r="IJX50" s="408"/>
      <c r="IJY50" s="408"/>
      <c r="IJZ50" s="408"/>
      <c r="IKA50" s="408"/>
      <c r="IKB50" s="408"/>
      <c r="IKC50" s="408"/>
      <c r="IKD50" s="408"/>
      <c r="IKE50" s="408"/>
      <c r="IKF50" s="408"/>
      <c r="IKG50" s="408"/>
      <c r="IKH50" s="408"/>
      <c r="IKI50" s="408"/>
      <c r="IKJ50" s="408"/>
      <c r="IKK50" s="408"/>
      <c r="IKL50" s="408"/>
      <c r="IKM50" s="408"/>
      <c r="IKN50" s="408"/>
      <c r="IKO50" s="408"/>
      <c r="IKP50" s="408"/>
      <c r="IKQ50" s="408"/>
      <c r="IKR50" s="408"/>
      <c r="IKS50" s="408"/>
      <c r="IKT50" s="408"/>
      <c r="IKU50" s="408"/>
      <c r="IKV50" s="408"/>
      <c r="IKW50" s="408"/>
      <c r="IKX50" s="408"/>
      <c r="IKY50" s="408"/>
      <c r="IKZ50" s="408"/>
      <c r="ILA50" s="408"/>
      <c r="ILB50" s="408"/>
      <c r="ILC50" s="408"/>
      <c r="ILD50" s="408"/>
      <c r="ILE50" s="408"/>
      <c r="ILF50" s="408"/>
      <c r="ILG50" s="408"/>
      <c r="ILH50" s="408"/>
      <c r="ILI50" s="408"/>
      <c r="ILJ50" s="408"/>
      <c r="ILK50" s="408"/>
      <c r="ILL50" s="408"/>
      <c r="ILM50" s="408"/>
      <c r="ILN50" s="408"/>
      <c r="ILO50" s="408"/>
      <c r="ILP50" s="408"/>
      <c r="ILQ50" s="408"/>
      <c r="ILR50" s="408"/>
      <c r="ILS50" s="408"/>
      <c r="ILT50" s="408"/>
      <c r="ILU50" s="408"/>
      <c r="ILV50" s="408"/>
      <c r="ILW50" s="408"/>
      <c r="ILX50" s="408"/>
      <c r="ILY50" s="408"/>
      <c r="ILZ50" s="408"/>
      <c r="IMA50" s="408"/>
      <c r="IMB50" s="408"/>
      <c r="IMC50" s="408"/>
      <c r="IMD50" s="408"/>
      <c r="IME50" s="408"/>
      <c r="IMF50" s="408"/>
      <c r="IMG50" s="408"/>
      <c r="IMH50" s="408"/>
      <c r="IMI50" s="408"/>
      <c r="IMJ50" s="408"/>
      <c r="IMK50" s="408"/>
      <c r="IML50" s="408"/>
      <c r="IMM50" s="408"/>
      <c r="IMN50" s="408"/>
      <c r="IMO50" s="408"/>
      <c r="IMP50" s="408"/>
      <c r="IMQ50" s="408"/>
      <c r="IMR50" s="408"/>
      <c r="IMS50" s="408"/>
      <c r="IMT50" s="408"/>
      <c r="IMU50" s="408"/>
      <c r="IMV50" s="408"/>
      <c r="IMW50" s="408"/>
      <c r="IMX50" s="408"/>
      <c r="IMY50" s="408"/>
      <c r="IMZ50" s="408"/>
      <c r="INA50" s="408"/>
      <c r="INB50" s="408"/>
      <c r="INC50" s="408"/>
      <c r="IND50" s="408"/>
      <c r="INE50" s="408"/>
      <c r="INF50" s="408"/>
      <c r="ING50" s="408"/>
      <c r="INH50" s="408"/>
      <c r="INI50" s="408"/>
      <c r="INJ50" s="408"/>
      <c r="INK50" s="408"/>
      <c r="INL50" s="408"/>
      <c r="INM50" s="408"/>
      <c r="INN50" s="408"/>
      <c r="INO50" s="408"/>
      <c r="INP50" s="408"/>
      <c r="INQ50" s="408"/>
      <c r="INR50" s="408"/>
      <c r="INS50" s="408"/>
      <c r="INT50" s="408"/>
      <c r="INU50" s="408"/>
      <c r="INV50" s="408"/>
      <c r="INW50" s="408"/>
      <c r="INX50" s="408"/>
      <c r="INY50" s="408"/>
      <c r="INZ50" s="408"/>
      <c r="IOA50" s="408"/>
      <c r="IOB50" s="408"/>
      <c r="IOC50" s="408"/>
      <c r="IOD50" s="408"/>
      <c r="IOE50" s="408"/>
      <c r="IOF50" s="408"/>
      <c r="IOG50" s="408"/>
      <c r="IOH50" s="408"/>
      <c r="IOI50" s="408"/>
      <c r="IOJ50" s="408"/>
      <c r="IOK50" s="408"/>
      <c r="IOL50" s="408"/>
      <c r="IOM50" s="408"/>
      <c r="ION50" s="408"/>
      <c r="IOO50" s="408"/>
      <c r="IOP50" s="408"/>
      <c r="IOQ50" s="408"/>
      <c r="IOR50" s="408"/>
      <c r="IOS50" s="408"/>
      <c r="IOT50" s="408"/>
      <c r="IOU50" s="408"/>
      <c r="IOV50" s="408"/>
      <c r="IOW50" s="408"/>
      <c r="IOX50" s="408"/>
      <c r="IOY50" s="408"/>
      <c r="IOZ50" s="408"/>
      <c r="IPA50" s="408"/>
      <c r="IPB50" s="408"/>
      <c r="IPC50" s="408"/>
      <c r="IPD50" s="408"/>
      <c r="IPE50" s="408"/>
      <c r="IPF50" s="408"/>
      <c r="IPG50" s="408"/>
      <c r="IPH50" s="408"/>
      <c r="IPI50" s="408"/>
      <c r="IPJ50" s="408"/>
      <c r="IPK50" s="408"/>
      <c r="IPL50" s="408"/>
      <c r="IPM50" s="408"/>
      <c r="IPN50" s="408"/>
      <c r="IPO50" s="408"/>
      <c r="IPP50" s="408"/>
      <c r="IPQ50" s="408"/>
      <c r="IPR50" s="408"/>
      <c r="IPS50" s="408"/>
      <c r="IPT50" s="408"/>
      <c r="IPU50" s="408"/>
      <c r="IPV50" s="408"/>
      <c r="IPW50" s="408"/>
      <c r="IPX50" s="408"/>
      <c r="IPY50" s="408"/>
      <c r="IPZ50" s="408"/>
      <c r="IQA50" s="408"/>
      <c r="IQB50" s="408"/>
      <c r="IQC50" s="408"/>
      <c r="IQD50" s="408"/>
      <c r="IQE50" s="408"/>
      <c r="IQF50" s="408"/>
      <c r="IQG50" s="408"/>
      <c r="IQH50" s="408"/>
      <c r="IQI50" s="408"/>
      <c r="IQJ50" s="408"/>
      <c r="IQK50" s="408"/>
      <c r="IQL50" s="408"/>
      <c r="IQM50" s="408"/>
      <c r="IQN50" s="408"/>
      <c r="IQO50" s="408"/>
      <c r="IQP50" s="408"/>
      <c r="IQQ50" s="408"/>
      <c r="IQR50" s="408"/>
      <c r="IQS50" s="408"/>
      <c r="IQT50" s="408"/>
      <c r="IQU50" s="408"/>
      <c r="IQV50" s="408"/>
      <c r="IQW50" s="408"/>
      <c r="IQX50" s="408"/>
      <c r="IQY50" s="408"/>
      <c r="IQZ50" s="408"/>
      <c r="IRA50" s="408"/>
      <c r="IRB50" s="408"/>
      <c r="IRC50" s="408"/>
      <c r="IRD50" s="408"/>
      <c r="IRE50" s="408"/>
      <c r="IRF50" s="408"/>
      <c r="IRG50" s="408"/>
      <c r="IRH50" s="408"/>
      <c r="IRI50" s="408"/>
      <c r="IRJ50" s="408"/>
      <c r="IRK50" s="408"/>
      <c r="IRL50" s="408"/>
      <c r="IRM50" s="408"/>
      <c r="IRN50" s="408"/>
      <c r="IRO50" s="408"/>
      <c r="IRP50" s="408"/>
      <c r="IRQ50" s="408"/>
      <c r="IRR50" s="408"/>
      <c r="IRS50" s="408"/>
      <c r="IRT50" s="408"/>
      <c r="IRU50" s="408"/>
      <c r="IRV50" s="408"/>
      <c r="IRW50" s="408"/>
      <c r="IRX50" s="408"/>
      <c r="IRY50" s="408"/>
      <c r="IRZ50" s="408"/>
      <c r="ISA50" s="408"/>
      <c r="ISB50" s="408"/>
      <c r="ISC50" s="408"/>
      <c r="ISD50" s="408"/>
      <c r="ISE50" s="408"/>
      <c r="ISF50" s="408"/>
      <c r="ISG50" s="408"/>
      <c r="ISH50" s="408"/>
      <c r="ISI50" s="408"/>
      <c r="ISJ50" s="408"/>
      <c r="ISK50" s="408"/>
      <c r="ISL50" s="408"/>
      <c r="ISM50" s="408"/>
      <c r="ISN50" s="408"/>
      <c r="ISO50" s="408"/>
      <c r="ISP50" s="408"/>
      <c r="ISQ50" s="408"/>
      <c r="ISR50" s="408"/>
      <c r="ISS50" s="408"/>
      <c r="IST50" s="408"/>
      <c r="ISU50" s="408"/>
      <c r="ISV50" s="408"/>
      <c r="ISW50" s="408"/>
      <c r="ISX50" s="408"/>
      <c r="ISY50" s="408"/>
      <c r="ISZ50" s="408"/>
      <c r="ITA50" s="408"/>
      <c r="ITB50" s="408"/>
      <c r="ITC50" s="408"/>
      <c r="ITD50" s="408"/>
      <c r="ITE50" s="408"/>
      <c r="ITF50" s="408"/>
      <c r="ITG50" s="408"/>
      <c r="ITH50" s="408"/>
      <c r="ITI50" s="408"/>
      <c r="ITJ50" s="408"/>
      <c r="ITK50" s="408"/>
      <c r="ITL50" s="408"/>
      <c r="ITM50" s="408"/>
      <c r="ITN50" s="408"/>
      <c r="ITO50" s="408"/>
      <c r="ITP50" s="408"/>
      <c r="ITQ50" s="408"/>
      <c r="ITR50" s="408"/>
      <c r="ITS50" s="408"/>
      <c r="ITT50" s="408"/>
      <c r="ITU50" s="408"/>
      <c r="ITV50" s="408"/>
      <c r="ITW50" s="408"/>
      <c r="ITX50" s="408"/>
      <c r="ITY50" s="408"/>
      <c r="ITZ50" s="408"/>
      <c r="IUA50" s="408"/>
      <c r="IUB50" s="408"/>
      <c r="IUC50" s="408"/>
      <c r="IUD50" s="408"/>
      <c r="IUE50" s="408"/>
      <c r="IUF50" s="408"/>
      <c r="IUG50" s="408"/>
      <c r="IUH50" s="408"/>
      <c r="IUI50" s="408"/>
      <c r="IUJ50" s="408"/>
      <c r="IUK50" s="408"/>
      <c r="IUL50" s="408"/>
      <c r="IUM50" s="408"/>
      <c r="IUN50" s="408"/>
      <c r="IUO50" s="408"/>
      <c r="IUP50" s="408"/>
      <c r="IUQ50" s="408"/>
      <c r="IUR50" s="408"/>
      <c r="IUS50" s="408"/>
      <c r="IUT50" s="408"/>
      <c r="IUU50" s="408"/>
      <c r="IUV50" s="408"/>
      <c r="IUW50" s="408"/>
      <c r="IUX50" s="408"/>
      <c r="IUY50" s="408"/>
      <c r="IUZ50" s="408"/>
      <c r="IVA50" s="408"/>
      <c r="IVB50" s="408"/>
      <c r="IVC50" s="408"/>
      <c r="IVD50" s="408"/>
      <c r="IVE50" s="408"/>
      <c r="IVF50" s="408"/>
      <c r="IVG50" s="408"/>
      <c r="IVH50" s="408"/>
      <c r="IVI50" s="408"/>
      <c r="IVJ50" s="408"/>
      <c r="IVK50" s="408"/>
      <c r="IVL50" s="408"/>
      <c r="IVM50" s="408"/>
      <c r="IVN50" s="408"/>
      <c r="IVO50" s="408"/>
      <c r="IVP50" s="408"/>
      <c r="IVQ50" s="408"/>
      <c r="IVR50" s="408"/>
      <c r="IVS50" s="408"/>
      <c r="IVT50" s="408"/>
      <c r="IVU50" s="408"/>
      <c r="IVV50" s="408"/>
      <c r="IVW50" s="408"/>
      <c r="IVX50" s="408"/>
      <c r="IVY50" s="408"/>
      <c r="IVZ50" s="408"/>
      <c r="IWA50" s="408"/>
      <c r="IWB50" s="408"/>
      <c r="IWC50" s="408"/>
      <c r="IWD50" s="408"/>
      <c r="IWE50" s="408"/>
      <c r="IWF50" s="408"/>
      <c r="IWG50" s="408"/>
      <c r="IWH50" s="408"/>
      <c r="IWI50" s="408"/>
      <c r="IWJ50" s="408"/>
      <c r="IWK50" s="408"/>
      <c r="IWL50" s="408"/>
      <c r="IWM50" s="408"/>
      <c r="IWN50" s="408"/>
      <c r="IWO50" s="408"/>
      <c r="IWP50" s="408"/>
      <c r="IWQ50" s="408"/>
      <c r="IWR50" s="408"/>
      <c r="IWS50" s="408"/>
      <c r="IWT50" s="408"/>
      <c r="IWU50" s="408"/>
      <c r="IWV50" s="408"/>
      <c r="IWW50" s="408"/>
      <c r="IWX50" s="408"/>
      <c r="IWY50" s="408"/>
      <c r="IWZ50" s="408"/>
      <c r="IXA50" s="408"/>
      <c r="IXB50" s="408"/>
      <c r="IXC50" s="408"/>
      <c r="IXD50" s="408"/>
      <c r="IXE50" s="408"/>
      <c r="IXF50" s="408"/>
      <c r="IXG50" s="408"/>
      <c r="IXH50" s="408"/>
      <c r="IXI50" s="408"/>
      <c r="IXJ50" s="408"/>
      <c r="IXK50" s="408"/>
      <c r="IXL50" s="408"/>
      <c r="IXM50" s="408"/>
      <c r="IXN50" s="408"/>
      <c r="IXO50" s="408"/>
      <c r="IXP50" s="408"/>
      <c r="IXQ50" s="408"/>
      <c r="IXR50" s="408"/>
      <c r="IXS50" s="408"/>
      <c r="IXT50" s="408"/>
      <c r="IXU50" s="408"/>
      <c r="IXV50" s="408"/>
      <c r="IXW50" s="408"/>
      <c r="IXX50" s="408"/>
      <c r="IXY50" s="408"/>
      <c r="IXZ50" s="408"/>
      <c r="IYA50" s="408"/>
      <c r="IYB50" s="408"/>
      <c r="IYC50" s="408"/>
      <c r="IYD50" s="408"/>
      <c r="IYE50" s="408"/>
      <c r="IYF50" s="408"/>
      <c r="IYG50" s="408"/>
      <c r="IYH50" s="408"/>
      <c r="IYI50" s="408"/>
      <c r="IYJ50" s="408"/>
      <c r="IYK50" s="408"/>
      <c r="IYL50" s="408"/>
      <c r="IYM50" s="408"/>
      <c r="IYN50" s="408"/>
      <c r="IYO50" s="408"/>
      <c r="IYP50" s="408"/>
      <c r="IYQ50" s="408"/>
      <c r="IYR50" s="408"/>
      <c r="IYS50" s="408"/>
      <c r="IYT50" s="408"/>
      <c r="IYU50" s="408"/>
      <c r="IYV50" s="408"/>
      <c r="IYW50" s="408"/>
      <c r="IYX50" s="408"/>
      <c r="IYY50" s="408"/>
      <c r="IYZ50" s="408"/>
      <c r="IZA50" s="408"/>
      <c r="IZB50" s="408"/>
      <c r="IZC50" s="408"/>
      <c r="IZD50" s="408"/>
      <c r="IZE50" s="408"/>
      <c r="IZF50" s="408"/>
      <c r="IZG50" s="408"/>
      <c r="IZH50" s="408"/>
      <c r="IZI50" s="408"/>
      <c r="IZJ50" s="408"/>
      <c r="IZK50" s="408"/>
      <c r="IZL50" s="408"/>
      <c r="IZM50" s="408"/>
      <c r="IZN50" s="408"/>
      <c r="IZO50" s="408"/>
      <c r="IZP50" s="408"/>
      <c r="IZQ50" s="408"/>
      <c r="IZR50" s="408"/>
      <c r="IZS50" s="408"/>
      <c r="IZT50" s="408"/>
      <c r="IZU50" s="408"/>
      <c r="IZV50" s="408"/>
      <c r="IZW50" s="408"/>
      <c r="IZX50" s="408"/>
      <c r="IZY50" s="408"/>
      <c r="IZZ50" s="408"/>
      <c r="JAA50" s="408"/>
      <c r="JAB50" s="408"/>
      <c r="JAC50" s="408"/>
      <c r="JAD50" s="408"/>
      <c r="JAE50" s="408"/>
      <c r="JAF50" s="408"/>
      <c r="JAG50" s="408"/>
      <c r="JAH50" s="408"/>
      <c r="JAI50" s="408"/>
      <c r="JAJ50" s="408"/>
      <c r="JAK50" s="408"/>
      <c r="JAL50" s="408"/>
      <c r="JAM50" s="408"/>
      <c r="JAN50" s="408"/>
      <c r="JAO50" s="408"/>
      <c r="JAP50" s="408"/>
      <c r="JAQ50" s="408"/>
      <c r="JAR50" s="408"/>
      <c r="JAS50" s="408"/>
      <c r="JAT50" s="408"/>
      <c r="JAU50" s="408"/>
      <c r="JAV50" s="408"/>
      <c r="JAW50" s="408"/>
      <c r="JAX50" s="408"/>
      <c r="JAY50" s="408"/>
      <c r="JAZ50" s="408"/>
      <c r="JBA50" s="408"/>
      <c r="JBB50" s="408"/>
      <c r="JBC50" s="408"/>
      <c r="JBD50" s="408"/>
      <c r="JBE50" s="408"/>
      <c r="JBF50" s="408"/>
      <c r="JBG50" s="408"/>
      <c r="JBH50" s="408"/>
      <c r="JBI50" s="408"/>
      <c r="JBJ50" s="408"/>
      <c r="JBK50" s="408"/>
      <c r="JBL50" s="408"/>
      <c r="JBM50" s="408"/>
      <c r="JBN50" s="408"/>
      <c r="JBO50" s="408"/>
      <c r="JBP50" s="408"/>
      <c r="JBQ50" s="408"/>
      <c r="JBR50" s="408"/>
      <c r="JBS50" s="408"/>
      <c r="JBT50" s="408"/>
      <c r="JBU50" s="408"/>
      <c r="JBV50" s="408"/>
      <c r="JBW50" s="408"/>
      <c r="JBX50" s="408"/>
      <c r="JBY50" s="408"/>
      <c r="JBZ50" s="408"/>
      <c r="JCA50" s="408"/>
      <c r="JCB50" s="408"/>
      <c r="JCC50" s="408"/>
      <c r="JCD50" s="408"/>
      <c r="JCE50" s="408"/>
      <c r="JCF50" s="408"/>
      <c r="JCG50" s="408"/>
      <c r="JCH50" s="408"/>
      <c r="JCI50" s="408"/>
      <c r="JCJ50" s="408"/>
      <c r="JCK50" s="408"/>
      <c r="JCL50" s="408"/>
      <c r="JCM50" s="408"/>
      <c r="JCN50" s="408"/>
      <c r="JCO50" s="408"/>
      <c r="JCP50" s="408"/>
      <c r="JCQ50" s="408"/>
      <c r="JCR50" s="408"/>
      <c r="JCS50" s="408"/>
      <c r="JCT50" s="408"/>
      <c r="JCU50" s="408"/>
      <c r="JCV50" s="408"/>
      <c r="JCW50" s="408"/>
      <c r="JCX50" s="408"/>
      <c r="JCY50" s="408"/>
      <c r="JCZ50" s="408"/>
      <c r="JDA50" s="408"/>
      <c r="JDB50" s="408"/>
      <c r="JDC50" s="408"/>
      <c r="JDD50" s="408"/>
      <c r="JDE50" s="408"/>
      <c r="JDF50" s="408"/>
      <c r="JDG50" s="408"/>
      <c r="JDH50" s="408"/>
      <c r="JDI50" s="408"/>
      <c r="JDJ50" s="408"/>
      <c r="JDK50" s="408"/>
      <c r="JDL50" s="408"/>
      <c r="JDM50" s="408"/>
      <c r="JDN50" s="408"/>
      <c r="JDO50" s="408"/>
      <c r="JDP50" s="408"/>
      <c r="JDQ50" s="408"/>
      <c r="JDR50" s="408"/>
      <c r="JDS50" s="408"/>
      <c r="JDT50" s="408"/>
      <c r="JDU50" s="408"/>
      <c r="JDV50" s="408"/>
      <c r="JDW50" s="408"/>
      <c r="JDX50" s="408"/>
      <c r="JDY50" s="408"/>
      <c r="JDZ50" s="408"/>
      <c r="JEA50" s="408"/>
      <c r="JEB50" s="408"/>
      <c r="JEC50" s="408"/>
      <c r="JED50" s="408"/>
      <c r="JEE50" s="408"/>
      <c r="JEF50" s="408"/>
      <c r="JEG50" s="408"/>
      <c r="JEH50" s="408"/>
      <c r="JEI50" s="408"/>
      <c r="JEJ50" s="408"/>
      <c r="JEK50" s="408"/>
      <c r="JEL50" s="408"/>
      <c r="JEM50" s="408"/>
      <c r="JEN50" s="408"/>
      <c r="JEO50" s="408"/>
      <c r="JEP50" s="408"/>
      <c r="JEQ50" s="408"/>
      <c r="JER50" s="408"/>
      <c r="JES50" s="408"/>
      <c r="JET50" s="408"/>
      <c r="JEU50" s="408"/>
      <c r="JEV50" s="408"/>
      <c r="JEW50" s="408"/>
      <c r="JEX50" s="408"/>
      <c r="JEY50" s="408"/>
      <c r="JEZ50" s="408"/>
      <c r="JFA50" s="408"/>
      <c r="JFB50" s="408"/>
      <c r="JFC50" s="408"/>
      <c r="JFD50" s="408"/>
      <c r="JFE50" s="408"/>
      <c r="JFF50" s="408"/>
      <c r="JFG50" s="408"/>
      <c r="JFH50" s="408"/>
      <c r="JFI50" s="408"/>
      <c r="JFJ50" s="408"/>
      <c r="JFK50" s="408"/>
      <c r="JFL50" s="408"/>
      <c r="JFM50" s="408"/>
      <c r="JFN50" s="408"/>
      <c r="JFO50" s="408"/>
      <c r="JFP50" s="408"/>
      <c r="JFQ50" s="408"/>
      <c r="JFR50" s="408"/>
      <c r="JFS50" s="408"/>
      <c r="JFT50" s="408"/>
      <c r="JFU50" s="408"/>
      <c r="JFV50" s="408"/>
      <c r="JFW50" s="408"/>
      <c r="JFX50" s="408"/>
      <c r="JFY50" s="408"/>
      <c r="JFZ50" s="408"/>
      <c r="JGA50" s="408"/>
      <c r="JGB50" s="408"/>
      <c r="JGC50" s="408"/>
      <c r="JGD50" s="408"/>
      <c r="JGE50" s="408"/>
      <c r="JGF50" s="408"/>
      <c r="JGG50" s="408"/>
      <c r="JGH50" s="408"/>
      <c r="JGI50" s="408"/>
      <c r="JGJ50" s="408"/>
      <c r="JGK50" s="408"/>
      <c r="JGL50" s="408"/>
      <c r="JGM50" s="408"/>
      <c r="JGN50" s="408"/>
      <c r="JGO50" s="408"/>
      <c r="JGP50" s="408"/>
      <c r="JGQ50" s="408"/>
      <c r="JGR50" s="408"/>
      <c r="JGS50" s="408"/>
      <c r="JGT50" s="408"/>
      <c r="JGU50" s="408"/>
      <c r="JGV50" s="408"/>
      <c r="JGW50" s="408"/>
      <c r="JGX50" s="408"/>
      <c r="JGY50" s="408"/>
      <c r="JGZ50" s="408"/>
      <c r="JHA50" s="408"/>
      <c r="JHB50" s="408"/>
      <c r="JHC50" s="408"/>
      <c r="JHD50" s="408"/>
      <c r="JHE50" s="408"/>
      <c r="JHF50" s="408"/>
      <c r="JHG50" s="408"/>
      <c r="JHH50" s="408"/>
      <c r="JHI50" s="408"/>
      <c r="JHJ50" s="408"/>
      <c r="JHK50" s="408"/>
      <c r="JHL50" s="408"/>
      <c r="JHM50" s="408"/>
      <c r="JHN50" s="408"/>
      <c r="JHO50" s="408"/>
      <c r="JHP50" s="408"/>
      <c r="JHQ50" s="408"/>
      <c r="JHR50" s="408"/>
      <c r="JHS50" s="408"/>
      <c r="JHT50" s="408"/>
      <c r="JHU50" s="408"/>
      <c r="JHV50" s="408"/>
      <c r="JHW50" s="408"/>
      <c r="JHX50" s="408"/>
      <c r="JHY50" s="408"/>
      <c r="JHZ50" s="408"/>
      <c r="JIA50" s="408"/>
      <c r="JIB50" s="408"/>
      <c r="JIC50" s="408"/>
      <c r="JID50" s="408"/>
      <c r="JIE50" s="408"/>
      <c r="JIF50" s="408"/>
      <c r="JIG50" s="408"/>
      <c r="JIH50" s="408"/>
      <c r="JII50" s="408"/>
      <c r="JIJ50" s="408"/>
      <c r="JIK50" s="408"/>
      <c r="JIL50" s="408"/>
      <c r="JIM50" s="408"/>
      <c r="JIN50" s="408"/>
      <c r="JIO50" s="408"/>
      <c r="JIP50" s="408"/>
      <c r="JIQ50" s="408"/>
      <c r="JIR50" s="408"/>
      <c r="JIS50" s="408"/>
      <c r="JIT50" s="408"/>
      <c r="JIU50" s="408"/>
      <c r="JIV50" s="408"/>
      <c r="JIW50" s="408"/>
      <c r="JIX50" s="408"/>
      <c r="JIY50" s="408"/>
      <c r="JIZ50" s="408"/>
      <c r="JJA50" s="408"/>
      <c r="JJB50" s="408"/>
      <c r="JJC50" s="408"/>
      <c r="JJD50" s="408"/>
      <c r="JJE50" s="408"/>
      <c r="JJF50" s="408"/>
      <c r="JJG50" s="408"/>
      <c r="JJH50" s="408"/>
      <c r="JJI50" s="408"/>
      <c r="JJJ50" s="408"/>
      <c r="JJK50" s="408"/>
      <c r="JJL50" s="408"/>
      <c r="JJM50" s="408"/>
      <c r="JJN50" s="408"/>
      <c r="JJO50" s="408"/>
      <c r="JJP50" s="408"/>
      <c r="JJQ50" s="408"/>
      <c r="JJR50" s="408"/>
      <c r="JJS50" s="408"/>
      <c r="JJT50" s="408"/>
      <c r="JJU50" s="408"/>
      <c r="JJV50" s="408"/>
      <c r="JJW50" s="408"/>
      <c r="JJX50" s="408"/>
      <c r="JJY50" s="408"/>
      <c r="JJZ50" s="408"/>
      <c r="JKA50" s="408"/>
      <c r="JKB50" s="408"/>
      <c r="JKC50" s="408"/>
      <c r="JKD50" s="408"/>
      <c r="JKE50" s="408"/>
      <c r="JKF50" s="408"/>
      <c r="JKG50" s="408"/>
      <c r="JKH50" s="408"/>
      <c r="JKI50" s="408"/>
      <c r="JKJ50" s="408"/>
      <c r="JKK50" s="408"/>
      <c r="JKL50" s="408"/>
      <c r="JKM50" s="408"/>
      <c r="JKN50" s="408"/>
      <c r="JKO50" s="408"/>
      <c r="JKP50" s="408"/>
      <c r="JKQ50" s="408"/>
      <c r="JKR50" s="408"/>
      <c r="JKS50" s="408"/>
      <c r="JKT50" s="408"/>
      <c r="JKU50" s="408"/>
      <c r="JKV50" s="408"/>
      <c r="JKW50" s="408"/>
      <c r="JKX50" s="408"/>
      <c r="JKY50" s="408"/>
      <c r="JKZ50" s="408"/>
      <c r="JLA50" s="408"/>
      <c r="JLB50" s="408"/>
      <c r="JLC50" s="408"/>
      <c r="JLD50" s="408"/>
      <c r="JLE50" s="408"/>
      <c r="JLF50" s="408"/>
      <c r="JLG50" s="408"/>
      <c r="JLH50" s="408"/>
      <c r="JLI50" s="408"/>
      <c r="JLJ50" s="408"/>
      <c r="JLK50" s="408"/>
      <c r="JLL50" s="408"/>
      <c r="JLM50" s="408"/>
      <c r="JLN50" s="408"/>
      <c r="JLO50" s="408"/>
      <c r="JLP50" s="408"/>
      <c r="JLQ50" s="408"/>
      <c r="JLR50" s="408"/>
      <c r="JLS50" s="408"/>
      <c r="JLT50" s="408"/>
      <c r="JLU50" s="408"/>
      <c r="JLV50" s="408"/>
      <c r="JLW50" s="408"/>
      <c r="JLX50" s="408"/>
      <c r="JLY50" s="408"/>
      <c r="JLZ50" s="408"/>
      <c r="JMA50" s="408"/>
      <c r="JMB50" s="408"/>
      <c r="JMC50" s="408"/>
      <c r="JMD50" s="408"/>
      <c r="JME50" s="408"/>
      <c r="JMF50" s="408"/>
      <c r="JMG50" s="408"/>
      <c r="JMH50" s="408"/>
      <c r="JMI50" s="408"/>
      <c r="JMJ50" s="408"/>
      <c r="JMK50" s="408"/>
      <c r="JML50" s="408"/>
      <c r="JMM50" s="408"/>
      <c r="JMN50" s="408"/>
      <c r="JMO50" s="408"/>
      <c r="JMP50" s="408"/>
      <c r="JMQ50" s="408"/>
      <c r="JMR50" s="408"/>
      <c r="JMS50" s="408"/>
      <c r="JMT50" s="408"/>
      <c r="JMU50" s="408"/>
      <c r="JMV50" s="408"/>
      <c r="JMW50" s="408"/>
      <c r="JMX50" s="408"/>
      <c r="JMY50" s="408"/>
      <c r="JMZ50" s="408"/>
      <c r="JNA50" s="408"/>
      <c r="JNB50" s="408"/>
      <c r="JNC50" s="408"/>
      <c r="JND50" s="408"/>
      <c r="JNE50" s="408"/>
      <c r="JNF50" s="408"/>
      <c r="JNG50" s="408"/>
      <c r="JNH50" s="408"/>
      <c r="JNI50" s="408"/>
      <c r="JNJ50" s="408"/>
      <c r="JNK50" s="408"/>
      <c r="JNL50" s="408"/>
      <c r="JNM50" s="408"/>
      <c r="JNN50" s="408"/>
      <c r="JNO50" s="408"/>
      <c r="JNP50" s="408"/>
      <c r="JNQ50" s="408"/>
      <c r="JNR50" s="408"/>
      <c r="JNS50" s="408"/>
      <c r="JNT50" s="408"/>
      <c r="JNU50" s="408"/>
      <c r="JNV50" s="408"/>
      <c r="JNW50" s="408"/>
      <c r="JNX50" s="408"/>
      <c r="JNY50" s="408"/>
      <c r="JNZ50" s="408"/>
      <c r="JOA50" s="408"/>
      <c r="JOB50" s="408"/>
      <c r="JOC50" s="408"/>
      <c r="JOD50" s="408"/>
      <c r="JOE50" s="408"/>
      <c r="JOF50" s="408"/>
      <c r="JOG50" s="408"/>
      <c r="JOH50" s="408"/>
      <c r="JOI50" s="408"/>
      <c r="JOJ50" s="408"/>
      <c r="JOK50" s="408"/>
      <c r="JOL50" s="408"/>
      <c r="JOM50" s="408"/>
      <c r="JON50" s="408"/>
      <c r="JOO50" s="408"/>
      <c r="JOP50" s="408"/>
      <c r="JOQ50" s="408"/>
      <c r="JOR50" s="408"/>
      <c r="JOS50" s="408"/>
      <c r="JOT50" s="408"/>
      <c r="JOU50" s="408"/>
      <c r="JOV50" s="408"/>
      <c r="JOW50" s="408"/>
      <c r="JOX50" s="408"/>
      <c r="JOY50" s="408"/>
      <c r="JOZ50" s="408"/>
      <c r="JPA50" s="408"/>
      <c r="JPB50" s="408"/>
      <c r="JPC50" s="408"/>
      <c r="JPD50" s="408"/>
      <c r="JPE50" s="408"/>
      <c r="JPF50" s="408"/>
      <c r="JPG50" s="408"/>
      <c r="JPH50" s="408"/>
      <c r="JPI50" s="408"/>
      <c r="JPJ50" s="408"/>
      <c r="JPK50" s="408"/>
      <c r="JPL50" s="408"/>
      <c r="JPM50" s="408"/>
      <c r="JPN50" s="408"/>
      <c r="JPO50" s="408"/>
      <c r="JPP50" s="408"/>
      <c r="JPQ50" s="408"/>
      <c r="JPR50" s="408"/>
      <c r="JPS50" s="408"/>
      <c r="JPT50" s="408"/>
      <c r="JPU50" s="408"/>
      <c r="JPV50" s="408"/>
      <c r="JPW50" s="408"/>
      <c r="JPX50" s="408"/>
      <c r="JPY50" s="408"/>
      <c r="JPZ50" s="408"/>
      <c r="JQA50" s="408"/>
      <c r="JQB50" s="408"/>
      <c r="JQC50" s="408"/>
      <c r="JQD50" s="408"/>
      <c r="JQE50" s="408"/>
      <c r="JQF50" s="408"/>
      <c r="JQG50" s="408"/>
      <c r="JQH50" s="408"/>
      <c r="JQI50" s="408"/>
      <c r="JQJ50" s="408"/>
      <c r="JQK50" s="408"/>
      <c r="JQL50" s="408"/>
      <c r="JQM50" s="408"/>
      <c r="JQN50" s="408"/>
      <c r="JQO50" s="408"/>
      <c r="JQP50" s="408"/>
      <c r="JQQ50" s="408"/>
      <c r="JQR50" s="408"/>
      <c r="JQS50" s="408"/>
      <c r="JQT50" s="408"/>
      <c r="JQU50" s="408"/>
      <c r="JQV50" s="408"/>
      <c r="JQW50" s="408"/>
      <c r="JQX50" s="408"/>
      <c r="JQY50" s="408"/>
      <c r="JQZ50" s="408"/>
      <c r="JRA50" s="408"/>
      <c r="JRB50" s="408"/>
      <c r="JRC50" s="408"/>
      <c r="JRD50" s="408"/>
      <c r="JRE50" s="408"/>
      <c r="JRF50" s="408"/>
      <c r="JRG50" s="408"/>
      <c r="JRH50" s="408"/>
      <c r="JRI50" s="408"/>
      <c r="JRJ50" s="408"/>
      <c r="JRK50" s="408"/>
      <c r="JRL50" s="408"/>
      <c r="JRM50" s="408"/>
      <c r="JRN50" s="408"/>
      <c r="JRO50" s="408"/>
      <c r="JRP50" s="408"/>
      <c r="JRQ50" s="408"/>
      <c r="JRR50" s="408"/>
      <c r="JRS50" s="408"/>
      <c r="JRT50" s="408"/>
      <c r="JRU50" s="408"/>
      <c r="JRV50" s="408"/>
      <c r="JRW50" s="408"/>
      <c r="JRX50" s="408"/>
      <c r="JRY50" s="408"/>
      <c r="JRZ50" s="408"/>
      <c r="JSA50" s="408"/>
      <c r="JSB50" s="408"/>
      <c r="JSC50" s="408"/>
      <c r="JSD50" s="408"/>
      <c r="JSE50" s="408"/>
      <c r="JSF50" s="408"/>
      <c r="JSG50" s="408"/>
      <c r="JSH50" s="408"/>
      <c r="JSI50" s="408"/>
      <c r="JSJ50" s="408"/>
      <c r="JSK50" s="408"/>
      <c r="JSL50" s="408"/>
      <c r="JSM50" s="408"/>
      <c r="JSN50" s="408"/>
      <c r="JSO50" s="408"/>
      <c r="JSP50" s="408"/>
      <c r="JSQ50" s="408"/>
      <c r="JSR50" s="408"/>
      <c r="JSS50" s="408"/>
      <c r="JST50" s="408"/>
      <c r="JSU50" s="408"/>
      <c r="JSV50" s="408"/>
      <c r="JSW50" s="408"/>
      <c r="JSX50" s="408"/>
      <c r="JSY50" s="408"/>
      <c r="JSZ50" s="408"/>
      <c r="JTA50" s="408"/>
      <c r="JTB50" s="408"/>
      <c r="JTC50" s="408"/>
      <c r="JTD50" s="408"/>
      <c r="JTE50" s="408"/>
      <c r="JTF50" s="408"/>
      <c r="JTG50" s="408"/>
      <c r="JTH50" s="408"/>
      <c r="JTI50" s="408"/>
      <c r="JTJ50" s="408"/>
      <c r="JTK50" s="408"/>
      <c r="JTL50" s="408"/>
      <c r="JTM50" s="408"/>
      <c r="JTN50" s="408"/>
      <c r="JTO50" s="408"/>
      <c r="JTP50" s="408"/>
      <c r="JTQ50" s="408"/>
      <c r="JTR50" s="408"/>
      <c r="JTS50" s="408"/>
      <c r="JTT50" s="408"/>
      <c r="JTU50" s="408"/>
      <c r="JTV50" s="408"/>
      <c r="JTW50" s="408"/>
      <c r="JTX50" s="408"/>
      <c r="JTY50" s="408"/>
      <c r="JTZ50" s="408"/>
      <c r="JUA50" s="408"/>
      <c r="JUB50" s="408"/>
      <c r="JUC50" s="408"/>
      <c r="JUD50" s="408"/>
      <c r="JUE50" s="408"/>
      <c r="JUF50" s="408"/>
      <c r="JUG50" s="408"/>
      <c r="JUH50" s="408"/>
      <c r="JUI50" s="408"/>
      <c r="JUJ50" s="408"/>
      <c r="JUK50" s="408"/>
      <c r="JUL50" s="408"/>
      <c r="JUM50" s="408"/>
      <c r="JUN50" s="408"/>
      <c r="JUO50" s="408"/>
      <c r="JUP50" s="408"/>
      <c r="JUQ50" s="408"/>
      <c r="JUR50" s="408"/>
      <c r="JUS50" s="408"/>
      <c r="JUT50" s="408"/>
      <c r="JUU50" s="408"/>
      <c r="JUV50" s="408"/>
      <c r="JUW50" s="408"/>
      <c r="JUX50" s="408"/>
      <c r="JUY50" s="408"/>
      <c r="JUZ50" s="408"/>
      <c r="JVA50" s="408"/>
      <c r="JVB50" s="408"/>
      <c r="JVC50" s="408"/>
      <c r="JVD50" s="408"/>
      <c r="JVE50" s="408"/>
      <c r="JVF50" s="408"/>
      <c r="JVG50" s="408"/>
      <c r="JVH50" s="408"/>
      <c r="JVI50" s="408"/>
      <c r="JVJ50" s="408"/>
      <c r="JVK50" s="408"/>
      <c r="JVL50" s="408"/>
      <c r="JVM50" s="408"/>
      <c r="JVN50" s="408"/>
      <c r="JVO50" s="408"/>
      <c r="JVP50" s="408"/>
      <c r="JVQ50" s="408"/>
      <c r="JVR50" s="408"/>
      <c r="JVS50" s="408"/>
      <c r="JVT50" s="408"/>
      <c r="JVU50" s="408"/>
      <c r="JVV50" s="408"/>
      <c r="JVW50" s="408"/>
      <c r="JVX50" s="408"/>
      <c r="JVY50" s="408"/>
      <c r="JVZ50" s="408"/>
      <c r="JWA50" s="408"/>
      <c r="JWB50" s="408"/>
      <c r="JWC50" s="408"/>
      <c r="JWD50" s="408"/>
      <c r="JWE50" s="408"/>
      <c r="JWF50" s="408"/>
      <c r="JWG50" s="408"/>
      <c r="JWH50" s="408"/>
      <c r="JWI50" s="408"/>
      <c r="JWJ50" s="408"/>
      <c r="JWK50" s="408"/>
      <c r="JWL50" s="408"/>
      <c r="JWM50" s="408"/>
      <c r="JWN50" s="408"/>
      <c r="JWO50" s="408"/>
      <c r="JWP50" s="408"/>
      <c r="JWQ50" s="408"/>
      <c r="JWR50" s="408"/>
      <c r="JWS50" s="408"/>
      <c r="JWT50" s="408"/>
      <c r="JWU50" s="408"/>
      <c r="JWV50" s="408"/>
      <c r="JWW50" s="408"/>
      <c r="JWX50" s="408"/>
      <c r="JWY50" s="408"/>
      <c r="JWZ50" s="408"/>
      <c r="JXA50" s="408"/>
      <c r="JXB50" s="408"/>
      <c r="JXC50" s="408"/>
      <c r="JXD50" s="408"/>
      <c r="JXE50" s="408"/>
      <c r="JXF50" s="408"/>
      <c r="JXG50" s="408"/>
      <c r="JXH50" s="408"/>
      <c r="JXI50" s="408"/>
      <c r="JXJ50" s="408"/>
      <c r="JXK50" s="408"/>
      <c r="JXL50" s="408"/>
      <c r="JXM50" s="408"/>
      <c r="JXN50" s="408"/>
      <c r="JXO50" s="408"/>
      <c r="JXP50" s="408"/>
      <c r="JXQ50" s="408"/>
      <c r="JXR50" s="408"/>
      <c r="JXS50" s="408"/>
      <c r="JXT50" s="408"/>
      <c r="JXU50" s="408"/>
      <c r="JXV50" s="408"/>
      <c r="JXW50" s="408"/>
      <c r="JXX50" s="408"/>
      <c r="JXY50" s="408"/>
      <c r="JXZ50" s="408"/>
      <c r="JYA50" s="408"/>
      <c r="JYB50" s="408"/>
      <c r="JYC50" s="408"/>
      <c r="JYD50" s="408"/>
      <c r="JYE50" s="408"/>
      <c r="JYF50" s="408"/>
      <c r="JYG50" s="408"/>
      <c r="JYH50" s="408"/>
      <c r="JYI50" s="408"/>
      <c r="JYJ50" s="408"/>
      <c r="JYK50" s="408"/>
      <c r="JYL50" s="408"/>
      <c r="JYM50" s="408"/>
      <c r="JYN50" s="408"/>
      <c r="JYO50" s="408"/>
      <c r="JYP50" s="408"/>
      <c r="JYQ50" s="408"/>
      <c r="JYR50" s="408"/>
      <c r="JYS50" s="408"/>
      <c r="JYT50" s="408"/>
      <c r="JYU50" s="408"/>
      <c r="JYV50" s="408"/>
      <c r="JYW50" s="408"/>
      <c r="JYX50" s="408"/>
      <c r="JYY50" s="408"/>
      <c r="JYZ50" s="408"/>
      <c r="JZA50" s="408"/>
      <c r="JZB50" s="408"/>
      <c r="JZC50" s="408"/>
      <c r="JZD50" s="408"/>
      <c r="JZE50" s="408"/>
      <c r="JZF50" s="408"/>
      <c r="JZG50" s="408"/>
      <c r="JZH50" s="408"/>
      <c r="JZI50" s="408"/>
      <c r="JZJ50" s="408"/>
      <c r="JZK50" s="408"/>
      <c r="JZL50" s="408"/>
      <c r="JZM50" s="408"/>
      <c r="JZN50" s="408"/>
      <c r="JZO50" s="408"/>
      <c r="JZP50" s="408"/>
      <c r="JZQ50" s="408"/>
      <c r="JZR50" s="408"/>
      <c r="JZS50" s="408"/>
      <c r="JZT50" s="408"/>
      <c r="JZU50" s="408"/>
      <c r="JZV50" s="408"/>
      <c r="JZW50" s="408"/>
      <c r="JZX50" s="408"/>
      <c r="JZY50" s="408"/>
      <c r="JZZ50" s="408"/>
      <c r="KAA50" s="408"/>
      <c r="KAB50" s="408"/>
      <c r="KAC50" s="408"/>
      <c r="KAD50" s="408"/>
      <c r="KAE50" s="408"/>
      <c r="KAF50" s="408"/>
      <c r="KAG50" s="408"/>
      <c r="KAH50" s="408"/>
      <c r="KAI50" s="408"/>
      <c r="KAJ50" s="408"/>
      <c r="KAK50" s="408"/>
      <c r="KAL50" s="408"/>
      <c r="KAM50" s="408"/>
      <c r="KAN50" s="408"/>
      <c r="KAO50" s="408"/>
      <c r="KAP50" s="408"/>
      <c r="KAQ50" s="408"/>
      <c r="KAR50" s="408"/>
      <c r="KAS50" s="408"/>
      <c r="KAT50" s="408"/>
      <c r="KAU50" s="408"/>
      <c r="KAV50" s="408"/>
      <c r="KAW50" s="408"/>
      <c r="KAX50" s="408"/>
      <c r="KAY50" s="408"/>
      <c r="KAZ50" s="408"/>
      <c r="KBA50" s="408"/>
      <c r="KBB50" s="408"/>
      <c r="KBC50" s="408"/>
      <c r="KBD50" s="408"/>
      <c r="KBE50" s="408"/>
      <c r="KBF50" s="408"/>
      <c r="KBG50" s="408"/>
      <c r="KBH50" s="408"/>
      <c r="KBI50" s="408"/>
      <c r="KBJ50" s="408"/>
      <c r="KBK50" s="408"/>
      <c r="KBL50" s="408"/>
      <c r="KBM50" s="408"/>
      <c r="KBN50" s="408"/>
      <c r="KBO50" s="408"/>
      <c r="KBP50" s="408"/>
      <c r="KBQ50" s="408"/>
      <c r="KBR50" s="408"/>
      <c r="KBS50" s="408"/>
      <c r="KBT50" s="408"/>
      <c r="KBU50" s="408"/>
      <c r="KBV50" s="408"/>
      <c r="KBW50" s="408"/>
      <c r="KBX50" s="408"/>
      <c r="KBY50" s="408"/>
      <c r="KBZ50" s="408"/>
      <c r="KCA50" s="408"/>
      <c r="KCB50" s="408"/>
      <c r="KCC50" s="408"/>
      <c r="KCD50" s="408"/>
      <c r="KCE50" s="408"/>
      <c r="KCF50" s="408"/>
      <c r="KCG50" s="408"/>
      <c r="KCH50" s="408"/>
      <c r="KCI50" s="408"/>
      <c r="KCJ50" s="408"/>
      <c r="KCK50" s="408"/>
      <c r="KCL50" s="408"/>
      <c r="KCM50" s="408"/>
      <c r="KCN50" s="408"/>
      <c r="KCO50" s="408"/>
      <c r="KCP50" s="408"/>
      <c r="KCQ50" s="408"/>
      <c r="KCR50" s="408"/>
      <c r="KCS50" s="408"/>
      <c r="KCT50" s="408"/>
      <c r="KCU50" s="408"/>
      <c r="KCV50" s="408"/>
      <c r="KCW50" s="408"/>
      <c r="KCX50" s="408"/>
      <c r="KCY50" s="408"/>
      <c r="KCZ50" s="408"/>
      <c r="KDA50" s="408"/>
      <c r="KDB50" s="408"/>
      <c r="KDC50" s="408"/>
      <c r="KDD50" s="408"/>
      <c r="KDE50" s="408"/>
      <c r="KDF50" s="408"/>
      <c r="KDG50" s="408"/>
      <c r="KDH50" s="408"/>
      <c r="KDI50" s="408"/>
      <c r="KDJ50" s="408"/>
      <c r="KDK50" s="408"/>
      <c r="KDL50" s="408"/>
      <c r="KDM50" s="408"/>
      <c r="KDN50" s="408"/>
      <c r="KDO50" s="408"/>
      <c r="KDP50" s="408"/>
      <c r="KDQ50" s="408"/>
      <c r="KDR50" s="408"/>
      <c r="KDS50" s="408"/>
      <c r="KDT50" s="408"/>
      <c r="KDU50" s="408"/>
      <c r="KDV50" s="408"/>
      <c r="KDW50" s="408"/>
      <c r="KDX50" s="408"/>
      <c r="KDY50" s="408"/>
      <c r="KDZ50" s="408"/>
      <c r="KEA50" s="408"/>
      <c r="KEB50" s="408"/>
      <c r="KEC50" s="408"/>
      <c r="KED50" s="408"/>
      <c r="KEE50" s="408"/>
      <c r="KEF50" s="408"/>
      <c r="KEG50" s="408"/>
      <c r="KEH50" s="408"/>
      <c r="KEI50" s="408"/>
      <c r="KEJ50" s="408"/>
      <c r="KEK50" s="408"/>
      <c r="KEL50" s="408"/>
      <c r="KEM50" s="408"/>
      <c r="KEN50" s="408"/>
      <c r="KEO50" s="408"/>
      <c r="KEP50" s="408"/>
      <c r="KEQ50" s="408"/>
      <c r="KER50" s="408"/>
      <c r="KES50" s="408"/>
      <c r="KET50" s="408"/>
      <c r="KEU50" s="408"/>
      <c r="KEV50" s="408"/>
      <c r="KEW50" s="408"/>
      <c r="KEX50" s="408"/>
      <c r="KEY50" s="408"/>
      <c r="KEZ50" s="408"/>
      <c r="KFA50" s="408"/>
      <c r="KFB50" s="408"/>
      <c r="KFC50" s="408"/>
      <c r="KFD50" s="408"/>
      <c r="KFE50" s="408"/>
      <c r="KFF50" s="408"/>
      <c r="KFG50" s="408"/>
      <c r="KFH50" s="408"/>
      <c r="KFI50" s="408"/>
      <c r="KFJ50" s="408"/>
      <c r="KFK50" s="408"/>
      <c r="KFL50" s="408"/>
      <c r="KFM50" s="408"/>
      <c r="KFN50" s="408"/>
      <c r="KFO50" s="408"/>
      <c r="KFP50" s="408"/>
      <c r="KFQ50" s="408"/>
      <c r="KFR50" s="408"/>
      <c r="KFS50" s="408"/>
      <c r="KFT50" s="408"/>
      <c r="KFU50" s="408"/>
      <c r="KFV50" s="408"/>
      <c r="KFW50" s="408"/>
      <c r="KFX50" s="408"/>
      <c r="KFY50" s="408"/>
      <c r="KFZ50" s="408"/>
      <c r="KGA50" s="408"/>
      <c r="KGB50" s="408"/>
      <c r="KGC50" s="408"/>
      <c r="KGD50" s="408"/>
      <c r="KGE50" s="408"/>
      <c r="KGF50" s="408"/>
      <c r="KGG50" s="408"/>
      <c r="KGH50" s="408"/>
      <c r="KGI50" s="408"/>
      <c r="KGJ50" s="408"/>
      <c r="KGK50" s="408"/>
      <c r="KGL50" s="408"/>
      <c r="KGM50" s="408"/>
      <c r="KGN50" s="408"/>
      <c r="KGO50" s="408"/>
      <c r="KGP50" s="408"/>
      <c r="KGQ50" s="408"/>
      <c r="KGR50" s="408"/>
      <c r="KGS50" s="408"/>
      <c r="KGT50" s="408"/>
      <c r="KGU50" s="408"/>
      <c r="KGV50" s="408"/>
      <c r="KGW50" s="408"/>
      <c r="KGX50" s="408"/>
      <c r="KGY50" s="408"/>
      <c r="KGZ50" s="408"/>
      <c r="KHA50" s="408"/>
      <c r="KHB50" s="408"/>
      <c r="KHC50" s="408"/>
      <c r="KHD50" s="408"/>
      <c r="KHE50" s="408"/>
      <c r="KHF50" s="408"/>
      <c r="KHG50" s="408"/>
      <c r="KHH50" s="408"/>
      <c r="KHI50" s="408"/>
      <c r="KHJ50" s="408"/>
      <c r="KHK50" s="408"/>
      <c r="KHL50" s="408"/>
      <c r="KHM50" s="408"/>
      <c r="KHN50" s="408"/>
      <c r="KHO50" s="408"/>
      <c r="KHP50" s="408"/>
      <c r="KHQ50" s="408"/>
      <c r="KHR50" s="408"/>
      <c r="KHS50" s="408"/>
      <c r="KHT50" s="408"/>
      <c r="KHU50" s="408"/>
      <c r="KHV50" s="408"/>
      <c r="KHW50" s="408"/>
      <c r="KHX50" s="408"/>
      <c r="KHY50" s="408"/>
      <c r="KHZ50" s="408"/>
      <c r="KIA50" s="408"/>
      <c r="KIB50" s="408"/>
      <c r="KIC50" s="408"/>
      <c r="KID50" s="408"/>
      <c r="KIE50" s="408"/>
      <c r="KIF50" s="408"/>
      <c r="KIG50" s="408"/>
      <c r="KIH50" s="408"/>
      <c r="KII50" s="408"/>
      <c r="KIJ50" s="408"/>
      <c r="KIK50" s="408"/>
      <c r="KIL50" s="408"/>
      <c r="KIM50" s="408"/>
      <c r="KIN50" s="408"/>
      <c r="KIO50" s="408"/>
      <c r="KIP50" s="408"/>
      <c r="KIQ50" s="408"/>
      <c r="KIR50" s="408"/>
      <c r="KIS50" s="408"/>
      <c r="KIT50" s="408"/>
      <c r="KIU50" s="408"/>
      <c r="KIV50" s="408"/>
      <c r="KIW50" s="408"/>
      <c r="KIX50" s="408"/>
      <c r="KIY50" s="408"/>
      <c r="KIZ50" s="408"/>
      <c r="KJA50" s="408"/>
      <c r="KJB50" s="408"/>
      <c r="KJC50" s="408"/>
      <c r="KJD50" s="408"/>
      <c r="KJE50" s="408"/>
      <c r="KJF50" s="408"/>
      <c r="KJG50" s="408"/>
      <c r="KJH50" s="408"/>
      <c r="KJI50" s="408"/>
      <c r="KJJ50" s="408"/>
      <c r="KJK50" s="408"/>
      <c r="KJL50" s="408"/>
      <c r="KJM50" s="408"/>
      <c r="KJN50" s="408"/>
      <c r="KJO50" s="408"/>
      <c r="KJP50" s="408"/>
      <c r="KJQ50" s="408"/>
      <c r="KJR50" s="408"/>
      <c r="KJS50" s="408"/>
      <c r="KJT50" s="408"/>
      <c r="KJU50" s="408"/>
      <c r="KJV50" s="408"/>
      <c r="KJW50" s="408"/>
      <c r="KJX50" s="408"/>
      <c r="KJY50" s="408"/>
      <c r="KJZ50" s="408"/>
      <c r="KKA50" s="408"/>
      <c r="KKB50" s="408"/>
      <c r="KKC50" s="408"/>
      <c r="KKD50" s="408"/>
      <c r="KKE50" s="408"/>
      <c r="KKF50" s="408"/>
      <c r="KKG50" s="408"/>
      <c r="KKH50" s="408"/>
      <c r="KKI50" s="408"/>
      <c r="KKJ50" s="408"/>
      <c r="KKK50" s="408"/>
      <c r="KKL50" s="408"/>
      <c r="KKM50" s="408"/>
      <c r="KKN50" s="408"/>
      <c r="KKO50" s="408"/>
      <c r="KKP50" s="408"/>
      <c r="KKQ50" s="408"/>
      <c r="KKR50" s="408"/>
      <c r="KKS50" s="408"/>
      <c r="KKT50" s="408"/>
      <c r="KKU50" s="408"/>
      <c r="KKV50" s="408"/>
      <c r="KKW50" s="408"/>
      <c r="KKX50" s="408"/>
      <c r="KKY50" s="408"/>
      <c r="KKZ50" s="408"/>
      <c r="KLA50" s="408"/>
      <c r="KLB50" s="408"/>
      <c r="KLC50" s="408"/>
      <c r="KLD50" s="408"/>
      <c r="KLE50" s="408"/>
      <c r="KLF50" s="408"/>
      <c r="KLG50" s="408"/>
      <c r="KLH50" s="408"/>
      <c r="KLI50" s="408"/>
      <c r="KLJ50" s="408"/>
      <c r="KLK50" s="408"/>
      <c r="KLL50" s="408"/>
      <c r="KLM50" s="408"/>
      <c r="KLN50" s="408"/>
      <c r="KLO50" s="408"/>
      <c r="KLP50" s="408"/>
      <c r="KLQ50" s="408"/>
      <c r="KLR50" s="408"/>
      <c r="KLS50" s="408"/>
      <c r="KLT50" s="408"/>
      <c r="KLU50" s="408"/>
      <c r="KLV50" s="408"/>
      <c r="KLW50" s="408"/>
      <c r="KLX50" s="408"/>
      <c r="KLY50" s="408"/>
      <c r="KLZ50" s="408"/>
      <c r="KMA50" s="408"/>
      <c r="KMB50" s="408"/>
      <c r="KMC50" s="408"/>
      <c r="KMD50" s="408"/>
      <c r="KME50" s="408"/>
      <c r="KMF50" s="408"/>
      <c r="KMG50" s="408"/>
      <c r="KMH50" s="408"/>
      <c r="KMI50" s="408"/>
      <c r="KMJ50" s="408"/>
      <c r="KMK50" s="408"/>
      <c r="KML50" s="408"/>
      <c r="KMM50" s="408"/>
      <c r="KMN50" s="408"/>
      <c r="KMO50" s="408"/>
      <c r="KMP50" s="408"/>
      <c r="KMQ50" s="408"/>
      <c r="KMR50" s="408"/>
      <c r="KMS50" s="408"/>
      <c r="KMT50" s="408"/>
      <c r="KMU50" s="408"/>
      <c r="KMV50" s="408"/>
      <c r="KMW50" s="408"/>
      <c r="KMX50" s="408"/>
      <c r="KMY50" s="408"/>
      <c r="KMZ50" s="408"/>
      <c r="KNA50" s="408"/>
      <c r="KNB50" s="408"/>
      <c r="KNC50" s="408"/>
      <c r="KND50" s="408"/>
      <c r="KNE50" s="408"/>
      <c r="KNF50" s="408"/>
      <c r="KNG50" s="408"/>
      <c r="KNH50" s="408"/>
      <c r="KNI50" s="408"/>
      <c r="KNJ50" s="408"/>
      <c r="KNK50" s="408"/>
      <c r="KNL50" s="408"/>
      <c r="KNM50" s="408"/>
      <c r="KNN50" s="408"/>
      <c r="KNO50" s="408"/>
      <c r="KNP50" s="408"/>
      <c r="KNQ50" s="408"/>
      <c r="KNR50" s="408"/>
      <c r="KNS50" s="408"/>
      <c r="KNT50" s="408"/>
      <c r="KNU50" s="408"/>
      <c r="KNV50" s="408"/>
      <c r="KNW50" s="408"/>
      <c r="KNX50" s="408"/>
      <c r="KNY50" s="408"/>
      <c r="KNZ50" s="408"/>
      <c r="KOA50" s="408"/>
      <c r="KOB50" s="408"/>
      <c r="KOC50" s="408"/>
      <c r="KOD50" s="408"/>
      <c r="KOE50" s="408"/>
      <c r="KOF50" s="408"/>
      <c r="KOG50" s="408"/>
      <c r="KOH50" s="408"/>
      <c r="KOI50" s="408"/>
      <c r="KOJ50" s="408"/>
      <c r="KOK50" s="408"/>
      <c r="KOL50" s="408"/>
      <c r="KOM50" s="408"/>
      <c r="KON50" s="408"/>
      <c r="KOO50" s="408"/>
      <c r="KOP50" s="408"/>
      <c r="KOQ50" s="408"/>
      <c r="KOR50" s="408"/>
      <c r="KOS50" s="408"/>
      <c r="KOT50" s="408"/>
      <c r="KOU50" s="408"/>
      <c r="KOV50" s="408"/>
      <c r="KOW50" s="408"/>
      <c r="KOX50" s="408"/>
      <c r="KOY50" s="408"/>
      <c r="KOZ50" s="408"/>
      <c r="KPA50" s="408"/>
      <c r="KPB50" s="408"/>
      <c r="KPC50" s="408"/>
      <c r="KPD50" s="408"/>
      <c r="KPE50" s="408"/>
      <c r="KPF50" s="408"/>
      <c r="KPG50" s="408"/>
      <c r="KPH50" s="408"/>
      <c r="KPI50" s="408"/>
      <c r="KPJ50" s="408"/>
      <c r="KPK50" s="408"/>
      <c r="KPL50" s="408"/>
      <c r="KPM50" s="408"/>
      <c r="KPN50" s="408"/>
      <c r="KPO50" s="408"/>
      <c r="KPP50" s="408"/>
      <c r="KPQ50" s="408"/>
      <c r="KPR50" s="408"/>
      <c r="KPS50" s="408"/>
      <c r="KPT50" s="408"/>
      <c r="KPU50" s="408"/>
      <c r="KPV50" s="408"/>
      <c r="KPW50" s="408"/>
      <c r="KPX50" s="408"/>
      <c r="KPY50" s="408"/>
      <c r="KPZ50" s="408"/>
      <c r="KQA50" s="408"/>
      <c r="KQB50" s="408"/>
      <c r="KQC50" s="408"/>
      <c r="KQD50" s="408"/>
      <c r="KQE50" s="408"/>
      <c r="KQF50" s="408"/>
      <c r="KQG50" s="408"/>
      <c r="KQH50" s="408"/>
      <c r="KQI50" s="408"/>
      <c r="KQJ50" s="408"/>
      <c r="KQK50" s="408"/>
      <c r="KQL50" s="408"/>
      <c r="KQM50" s="408"/>
      <c r="KQN50" s="408"/>
      <c r="KQO50" s="408"/>
      <c r="KQP50" s="408"/>
      <c r="KQQ50" s="408"/>
      <c r="KQR50" s="408"/>
      <c r="KQS50" s="408"/>
      <c r="KQT50" s="408"/>
      <c r="KQU50" s="408"/>
      <c r="KQV50" s="408"/>
      <c r="KQW50" s="408"/>
      <c r="KQX50" s="408"/>
      <c r="KQY50" s="408"/>
      <c r="KQZ50" s="408"/>
      <c r="KRA50" s="408"/>
      <c r="KRB50" s="408"/>
      <c r="KRC50" s="408"/>
      <c r="KRD50" s="408"/>
      <c r="KRE50" s="408"/>
      <c r="KRF50" s="408"/>
      <c r="KRG50" s="408"/>
      <c r="KRH50" s="408"/>
      <c r="KRI50" s="408"/>
      <c r="KRJ50" s="408"/>
      <c r="KRK50" s="408"/>
      <c r="KRL50" s="408"/>
      <c r="KRM50" s="408"/>
      <c r="KRN50" s="408"/>
      <c r="KRO50" s="408"/>
      <c r="KRP50" s="408"/>
      <c r="KRQ50" s="408"/>
      <c r="KRR50" s="408"/>
      <c r="KRS50" s="408"/>
      <c r="KRT50" s="408"/>
      <c r="KRU50" s="408"/>
      <c r="KRV50" s="408"/>
      <c r="KRW50" s="408"/>
      <c r="KRX50" s="408"/>
      <c r="KRY50" s="408"/>
      <c r="KRZ50" s="408"/>
      <c r="KSA50" s="408"/>
      <c r="KSB50" s="408"/>
      <c r="KSC50" s="408"/>
      <c r="KSD50" s="408"/>
      <c r="KSE50" s="408"/>
      <c r="KSF50" s="408"/>
      <c r="KSG50" s="408"/>
      <c r="KSH50" s="408"/>
      <c r="KSI50" s="408"/>
      <c r="KSJ50" s="408"/>
      <c r="KSK50" s="408"/>
      <c r="KSL50" s="408"/>
      <c r="KSM50" s="408"/>
      <c r="KSN50" s="408"/>
      <c r="KSO50" s="408"/>
      <c r="KSP50" s="408"/>
      <c r="KSQ50" s="408"/>
      <c r="KSR50" s="408"/>
      <c r="KSS50" s="408"/>
      <c r="KST50" s="408"/>
      <c r="KSU50" s="408"/>
      <c r="KSV50" s="408"/>
      <c r="KSW50" s="408"/>
      <c r="KSX50" s="408"/>
      <c r="KSY50" s="408"/>
      <c r="KSZ50" s="408"/>
      <c r="KTA50" s="408"/>
      <c r="KTB50" s="408"/>
      <c r="KTC50" s="408"/>
      <c r="KTD50" s="408"/>
      <c r="KTE50" s="408"/>
      <c r="KTF50" s="408"/>
      <c r="KTG50" s="408"/>
      <c r="KTH50" s="408"/>
      <c r="KTI50" s="408"/>
      <c r="KTJ50" s="408"/>
      <c r="KTK50" s="408"/>
      <c r="KTL50" s="408"/>
      <c r="KTM50" s="408"/>
      <c r="KTN50" s="408"/>
      <c r="KTO50" s="408"/>
      <c r="KTP50" s="408"/>
      <c r="KTQ50" s="408"/>
      <c r="KTR50" s="408"/>
      <c r="KTS50" s="408"/>
      <c r="KTT50" s="408"/>
      <c r="KTU50" s="408"/>
      <c r="KTV50" s="408"/>
      <c r="KTW50" s="408"/>
      <c r="KTX50" s="408"/>
      <c r="KTY50" s="408"/>
      <c r="KTZ50" s="408"/>
      <c r="KUA50" s="408"/>
      <c r="KUB50" s="408"/>
      <c r="KUC50" s="408"/>
      <c r="KUD50" s="408"/>
      <c r="KUE50" s="408"/>
      <c r="KUF50" s="408"/>
      <c r="KUG50" s="408"/>
      <c r="KUH50" s="408"/>
      <c r="KUI50" s="408"/>
      <c r="KUJ50" s="408"/>
      <c r="KUK50" s="408"/>
      <c r="KUL50" s="408"/>
      <c r="KUM50" s="408"/>
      <c r="KUN50" s="408"/>
      <c r="KUO50" s="408"/>
      <c r="KUP50" s="408"/>
      <c r="KUQ50" s="408"/>
      <c r="KUR50" s="408"/>
      <c r="KUS50" s="408"/>
      <c r="KUT50" s="408"/>
      <c r="KUU50" s="408"/>
      <c r="KUV50" s="408"/>
      <c r="KUW50" s="408"/>
      <c r="KUX50" s="408"/>
      <c r="KUY50" s="408"/>
      <c r="KUZ50" s="408"/>
      <c r="KVA50" s="408"/>
      <c r="KVB50" s="408"/>
      <c r="KVC50" s="408"/>
      <c r="KVD50" s="408"/>
      <c r="KVE50" s="408"/>
      <c r="KVF50" s="408"/>
      <c r="KVG50" s="408"/>
      <c r="KVH50" s="408"/>
      <c r="KVI50" s="408"/>
      <c r="KVJ50" s="408"/>
      <c r="KVK50" s="408"/>
      <c r="KVL50" s="408"/>
      <c r="KVM50" s="408"/>
      <c r="KVN50" s="408"/>
      <c r="KVO50" s="408"/>
      <c r="KVP50" s="408"/>
      <c r="KVQ50" s="408"/>
      <c r="KVR50" s="408"/>
      <c r="KVS50" s="408"/>
      <c r="KVT50" s="408"/>
      <c r="KVU50" s="408"/>
      <c r="KVV50" s="408"/>
      <c r="KVW50" s="408"/>
      <c r="KVX50" s="408"/>
      <c r="KVY50" s="408"/>
      <c r="KVZ50" s="408"/>
      <c r="KWA50" s="408"/>
      <c r="KWB50" s="408"/>
      <c r="KWC50" s="408"/>
      <c r="KWD50" s="408"/>
      <c r="KWE50" s="408"/>
      <c r="KWF50" s="408"/>
      <c r="KWG50" s="408"/>
      <c r="KWH50" s="408"/>
      <c r="KWI50" s="408"/>
      <c r="KWJ50" s="408"/>
      <c r="KWK50" s="408"/>
      <c r="KWL50" s="408"/>
      <c r="KWM50" s="408"/>
      <c r="KWN50" s="408"/>
      <c r="KWO50" s="408"/>
      <c r="KWP50" s="408"/>
      <c r="KWQ50" s="408"/>
      <c r="KWR50" s="408"/>
      <c r="KWS50" s="408"/>
      <c r="KWT50" s="408"/>
      <c r="KWU50" s="408"/>
      <c r="KWV50" s="408"/>
      <c r="KWW50" s="408"/>
      <c r="KWX50" s="408"/>
      <c r="KWY50" s="408"/>
      <c r="KWZ50" s="408"/>
      <c r="KXA50" s="408"/>
      <c r="KXB50" s="408"/>
      <c r="KXC50" s="408"/>
      <c r="KXD50" s="408"/>
      <c r="KXE50" s="408"/>
      <c r="KXF50" s="408"/>
      <c r="KXG50" s="408"/>
      <c r="KXH50" s="408"/>
      <c r="KXI50" s="408"/>
      <c r="KXJ50" s="408"/>
      <c r="KXK50" s="408"/>
      <c r="KXL50" s="408"/>
      <c r="KXM50" s="408"/>
      <c r="KXN50" s="408"/>
      <c r="KXO50" s="408"/>
      <c r="KXP50" s="408"/>
      <c r="KXQ50" s="408"/>
      <c r="KXR50" s="408"/>
      <c r="KXS50" s="408"/>
      <c r="KXT50" s="408"/>
      <c r="KXU50" s="408"/>
      <c r="KXV50" s="408"/>
      <c r="KXW50" s="408"/>
      <c r="KXX50" s="408"/>
      <c r="KXY50" s="408"/>
      <c r="KXZ50" s="408"/>
      <c r="KYA50" s="408"/>
      <c r="KYB50" s="408"/>
      <c r="KYC50" s="408"/>
      <c r="KYD50" s="408"/>
      <c r="KYE50" s="408"/>
      <c r="KYF50" s="408"/>
      <c r="KYG50" s="408"/>
      <c r="KYH50" s="408"/>
      <c r="KYI50" s="408"/>
      <c r="KYJ50" s="408"/>
      <c r="KYK50" s="408"/>
      <c r="KYL50" s="408"/>
      <c r="KYM50" s="408"/>
      <c r="KYN50" s="408"/>
      <c r="KYO50" s="408"/>
      <c r="KYP50" s="408"/>
      <c r="KYQ50" s="408"/>
      <c r="KYR50" s="408"/>
      <c r="KYS50" s="408"/>
      <c r="KYT50" s="408"/>
      <c r="KYU50" s="408"/>
      <c r="KYV50" s="408"/>
      <c r="KYW50" s="408"/>
      <c r="KYX50" s="408"/>
      <c r="KYY50" s="408"/>
      <c r="KYZ50" s="408"/>
      <c r="KZA50" s="408"/>
      <c r="KZB50" s="408"/>
      <c r="KZC50" s="408"/>
      <c r="KZD50" s="408"/>
      <c r="KZE50" s="408"/>
      <c r="KZF50" s="408"/>
      <c r="KZG50" s="408"/>
      <c r="KZH50" s="408"/>
      <c r="KZI50" s="408"/>
      <c r="KZJ50" s="408"/>
      <c r="KZK50" s="408"/>
      <c r="KZL50" s="408"/>
      <c r="KZM50" s="408"/>
      <c r="KZN50" s="408"/>
      <c r="KZO50" s="408"/>
      <c r="KZP50" s="408"/>
      <c r="KZQ50" s="408"/>
      <c r="KZR50" s="408"/>
      <c r="KZS50" s="408"/>
      <c r="KZT50" s="408"/>
      <c r="KZU50" s="408"/>
      <c r="KZV50" s="408"/>
      <c r="KZW50" s="408"/>
      <c r="KZX50" s="408"/>
      <c r="KZY50" s="408"/>
      <c r="KZZ50" s="408"/>
      <c r="LAA50" s="408"/>
      <c r="LAB50" s="408"/>
      <c r="LAC50" s="408"/>
      <c r="LAD50" s="408"/>
      <c r="LAE50" s="408"/>
      <c r="LAF50" s="408"/>
      <c r="LAG50" s="408"/>
      <c r="LAH50" s="408"/>
      <c r="LAI50" s="408"/>
      <c r="LAJ50" s="408"/>
      <c r="LAK50" s="408"/>
      <c r="LAL50" s="408"/>
      <c r="LAM50" s="408"/>
      <c r="LAN50" s="408"/>
      <c r="LAO50" s="408"/>
      <c r="LAP50" s="408"/>
      <c r="LAQ50" s="408"/>
      <c r="LAR50" s="408"/>
      <c r="LAS50" s="408"/>
      <c r="LAT50" s="408"/>
      <c r="LAU50" s="408"/>
      <c r="LAV50" s="408"/>
      <c r="LAW50" s="408"/>
      <c r="LAX50" s="408"/>
      <c r="LAY50" s="408"/>
      <c r="LAZ50" s="408"/>
      <c r="LBA50" s="408"/>
      <c r="LBB50" s="408"/>
      <c r="LBC50" s="408"/>
      <c r="LBD50" s="408"/>
      <c r="LBE50" s="408"/>
      <c r="LBF50" s="408"/>
      <c r="LBG50" s="408"/>
      <c r="LBH50" s="408"/>
      <c r="LBI50" s="408"/>
      <c r="LBJ50" s="408"/>
      <c r="LBK50" s="408"/>
      <c r="LBL50" s="408"/>
      <c r="LBM50" s="408"/>
      <c r="LBN50" s="408"/>
      <c r="LBO50" s="408"/>
      <c r="LBP50" s="408"/>
      <c r="LBQ50" s="408"/>
      <c r="LBR50" s="408"/>
      <c r="LBS50" s="408"/>
      <c r="LBT50" s="408"/>
      <c r="LBU50" s="408"/>
      <c r="LBV50" s="408"/>
      <c r="LBW50" s="408"/>
      <c r="LBX50" s="408"/>
      <c r="LBY50" s="408"/>
      <c r="LBZ50" s="408"/>
      <c r="LCA50" s="408"/>
      <c r="LCB50" s="408"/>
      <c r="LCC50" s="408"/>
      <c r="LCD50" s="408"/>
      <c r="LCE50" s="408"/>
      <c r="LCF50" s="408"/>
      <c r="LCG50" s="408"/>
      <c r="LCH50" s="408"/>
      <c r="LCI50" s="408"/>
      <c r="LCJ50" s="408"/>
      <c r="LCK50" s="408"/>
      <c r="LCL50" s="408"/>
      <c r="LCM50" s="408"/>
      <c r="LCN50" s="408"/>
      <c r="LCO50" s="408"/>
      <c r="LCP50" s="408"/>
      <c r="LCQ50" s="408"/>
      <c r="LCR50" s="408"/>
      <c r="LCS50" s="408"/>
      <c r="LCT50" s="408"/>
      <c r="LCU50" s="408"/>
      <c r="LCV50" s="408"/>
      <c r="LCW50" s="408"/>
      <c r="LCX50" s="408"/>
      <c r="LCY50" s="408"/>
      <c r="LCZ50" s="408"/>
      <c r="LDA50" s="408"/>
      <c r="LDB50" s="408"/>
      <c r="LDC50" s="408"/>
      <c r="LDD50" s="408"/>
      <c r="LDE50" s="408"/>
      <c r="LDF50" s="408"/>
      <c r="LDG50" s="408"/>
      <c r="LDH50" s="408"/>
      <c r="LDI50" s="408"/>
      <c r="LDJ50" s="408"/>
      <c r="LDK50" s="408"/>
      <c r="LDL50" s="408"/>
      <c r="LDM50" s="408"/>
      <c r="LDN50" s="408"/>
      <c r="LDO50" s="408"/>
      <c r="LDP50" s="408"/>
      <c r="LDQ50" s="408"/>
      <c r="LDR50" s="408"/>
      <c r="LDS50" s="408"/>
      <c r="LDT50" s="408"/>
      <c r="LDU50" s="408"/>
      <c r="LDV50" s="408"/>
      <c r="LDW50" s="408"/>
      <c r="LDX50" s="408"/>
      <c r="LDY50" s="408"/>
      <c r="LDZ50" s="408"/>
      <c r="LEA50" s="408"/>
      <c r="LEB50" s="408"/>
      <c r="LEC50" s="408"/>
      <c r="LED50" s="408"/>
      <c r="LEE50" s="408"/>
      <c r="LEF50" s="408"/>
      <c r="LEG50" s="408"/>
      <c r="LEH50" s="408"/>
      <c r="LEI50" s="408"/>
      <c r="LEJ50" s="408"/>
      <c r="LEK50" s="408"/>
      <c r="LEL50" s="408"/>
      <c r="LEM50" s="408"/>
      <c r="LEN50" s="408"/>
      <c r="LEO50" s="408"/>
      <c r="LEP50" s="408"/>
      <c r="LEQ50" s="408"/>
      <c r="LER50" s="408"/>
      <c r="LES50" s="408"/>
      <c r="LET50" s="408"/>
      <c r="LEU50" s="408"/>
      <c r="LEV50" s="408"/>
      <c r="LEW50" s="408"/>
      <c r="LEX50" s="408"/>
      <c r="LEY50" s="408"/>
      <c r="LEZ50" s="408"/>
      <c r="LFA50" s="408"/>
      <c r="LFB50" s="408"/>
      <c r="LFC50" s="408"/>
      <c r="LFD50" s="408"/>
      <c r="LFE50" s="408"/>
      <c r="LFF50" s="408"/>
      <c r="LFG50" s="408"/>
      <c r="LFH50" s="408"/>
      <c r="LFI50" s="408"/>
      <c r="LFJ50" s="408"/>
      <c r="LFK50" s="408"/>
      <c r="LFL50" s="408"/>
      <c r="LFM50" s="408"/>
      <c r="LFN50" s="408"/>
      <c r="LFO50" s="408"/>
      <c r="LFP50" s="408"/>
      <c r="LFQ50" s="408"/>
      <c r="LFR50" s="408"/>
      <c r="LFS50" s="408"/>
      <c r="LFT50" s="408"/>
      <c r="LFU50" s="408"/>
      <c r="LFV50" s="408"/>
      <c r="LFW50" s="408"/>
      <c r="LFX50" s="408"/>
      <c r="LFY50" s="408"/>
      <c r="LFZ50" s="408"/>
      <c r="LGA50" s="408"/>
      <c r="LGB50" s="408"/>
      <c r="LGC50" s="408"/>
      <c r="LGD50" s="408"/>
      <c r="LGE50" s="408"/>
      <c r="LGF50" s="408"/>
      <c r="LGG50" s="408"/>
      <c r="LGH50" s="408"/>
      <c r="LGI50" s="408"/>
      <c r="LGJ50" s="408"/>
      <c r="LGK50" s="408"/>
      <c r="LGL50" s="408"/>
      <c r="LGM50" s="408"/>
      <c r="LGN50" s="408"/>
      <c r="LGO50" s="408"/>
      <c r="LGP50" s="408"/>
      <c r="LGQ50" s="408"/>
      <c r="LGR50" s="408"/>
      <c r="LGS50" s="408"/>
      <c r="LGT50" s="408"/>
      <c r="LGU50" s="408"/>
      <c r="LGV50" s="408"/>
      <c r="LGW50" s="408"/>
      <c r="LGX50" s="408"/>
      <c r="LGY50" s="408"/>
      <c r="LGZ50" s="408"/>
      <c r="LHA50" s="408"/>
      <c r="LHB50" s="408"/>
      <c r="LHC50" s="408"/>
      <c r="LHD50" s="408"/>
      <c r="LHE50" s="408"/>
      <c r="LHF50" s="408"/>
      <c r="LHG50" s="408"/>
      <c r="LHH50" s="408"/>
      <c r="LHI50" s="408"/>
      <c r="LHJ50" s="408"/>
      <c r="LHK50" s="408"/>
      <c r="LHL50" s="408"/>
      <c r="LHM50" s="408"/>
      <c r="LHN50" s="408"/>
      <c r="LHO50" s="408"/>
      <c r="LHP50" s="408"/>
      <c r="LHQ50" s="408"/>
      <c r="LHR50" s="408"/>
      <c r="LHS50" s="408"/>
      <c r="LHT50" s="408"/>
      <c r="LHU50" s="408"/>
      <c r="LHV50" s="408"/>
      <c r="LHW50" s="408"/>
      <c r="LHX50" s="408"/>
      <c r="LHY50" s="408"/>
      <c r="LHZ50" s="408"/>
      <c r="LIA50" s="408"/>
      <c r="LIB50" s="408"/>
      <c r="LIC50" s="408"/>
      <c r="LID50" s="408"/>
      <c r="LIE50" s="408"/>
      <c r="LIF50" s="408"/>
      <c r="LIG50" s="408"/>
      <c r="LIH50" s="408"/>
      <c r="LII50" s="408"/>
      <c r="LIJ50" s="408"/>
      <c r="LIK50" s="408"/>
      <c r="LIL50" s="408"/>
      <c r="LIM50" s="408"/>
      <c r="LIN50" s="408"/>
      <c r="LIO50" s="408"/>
      <c r="LIP50" s="408"/>
      <c r="LIQ50" s="408"/>
      <c r="LIR50" s="408"/>
      <c r="LIS50" s="408"/>
      <c r="LIT50" s="408"/>
      <c r="LIU50" s="408"/>
      <c r="LIV50" s="408"/>
      <c r="LIW50" s="408"/>
      <c r="LIX50" s="408"/>
      <c r="LIY50" s="408"/>
      <c r="LIZ50" s="408"/>
      <c r="LJA50" s="408"/>
      <c r="LJB50" s="408"/>
      <c r="LJC50" s="408"/>
      <c r="LJD50" s="408"/>
      <c r="LJE50" s="408"/>
      <c r="LJF50" s="408"/>
      <c r="LJG50" s="408"/>
      <c r="LJH50" s="408"/>
      <c r="LJI50" s="408"/>
      <c r="LJJ50" s="408"/>
      <c r="LJK50" s="408"/>
      <c r="LJL50" s="408"/>
      <c r="LJM50" s="408"/>
      <c r="LJN50" s="408"/>
      <c r="LJO50" s="408"/>
      <c r="LJP50" s="408"/>
      <c r="LJQ50" s="408"/>
      <c r="LJR50" s="408"/>
      <c r="LJS50" s="408"/>
      <c r="LJT50" s="408"/>
      <c r="LJU50" s="408"/>
      <c r="LJV50" s="408"/>
      <c r="LJW50" s="408"/>
      <c r="LJX50" s="408"/>
      <c r="LJY50" s="408"/>
      <c r="LJZ50" s="408"/>
      <c r="LKA50" s="408"/>
      <c r="LKB50" s="408"/>
      <c r="LKC50" s="408"/>
      <c r="LKD50" s="408"/>
      <c r="LKE50" s="408"/>
      <c r="LKF50" s="408"/>
      <c r="LKG50" s="408"/>
      <c r="LKH50" s="408"/>
      <c r="LKI50" s="408"/>
      <c r="LKJ50" s="408"/>
      <c r="LKK50" s="408"/>
      <c r="LKL50" s="408"/>
      <c r="LKM50" s="408"/>
      <c r="LKN50" s="408"/>
      <c r="LKO50" s="408"/>
      <c r="LKP50" s="408"/>
      <c r="LKQ50" s="408"/>
      <c r="LKR50" s="408"/>
      <c r="LKS50" s="408"/>
      <c r="LKT50" s="408"/>
      <c r="LKU50" s="408"/>
      <c r="LKV50" s="408"/>
      <c r="LKW50" s="408"/>
      <c r="LKX50" s="408"/>
      <c r="LKY50" s="408"/>
      <c r="LKZ50" s="408"/>
      <c r="LLA50" s="408"/>
      <c r="LLB50" s="408"/>
      <c r="LLC50" s="408"/>
      <c r="LLD50" s="408"/>
      <c r="LLE50" s="408"/>
      <c r="LLF50" s="408"/>
      <c r="LLG50" s="408"/>
      <c r="LLH50" s="408"/>
      <c r="LLI50" s="408"/>
      <c r="LLJ50" s="408"/>
      <c r="LLK50" s="408"/>
      <c r="LLL50" s="408"/>
      <c r="LLM50" s="408"/>
      <c r="LLN50" s="408"/>
      <c r="LLO50" s="408"/>
      <c r="LLP50" s="408"/>
      <c r="LLQ50" s="408"/>
      <c r="LLR50" s="408"/>
      <c r="LLS50" s="408"/>
      <c r="LLT50" s="408"/>
      <c r="LLU50" s="408"/>
      <c r="LLV50" s="408"/>
      <c r="LLW50" s="408"/>
      <c r="LLX50" s="408"/>
      <c r="LLY50" s="408"/>
      <c r="LLZ50" s="408"/>
      <c r="LMA50" s="408"/>
      <c r="LMB50" s="408"/>
      <c r="LMC50" s="408"/>
      <c r="LMD50" s="408"/>
      <c r="LME50" s="408"/>
      <c r="LMF50" s="408"/>
      <c r="LMG50" s="408"/>
      <c r="LMH50" s="408"/>
      <c r="LMI50" s="408"/>
      <c r="LMJ50" s="408"/>
      <c r="LMK50" s="408"/>
      <c r="LML50" s="408"/>
      <c r="LMM50" s="408"/>
      <c r="LMN50" s="408"/>
      <c r="LMO50" s="408"/>
      <c r="LMP50" s="408"/>
      <c r="LMQ50" s="408"/>
      <c r="LMR50" s="408"/>
      <c r="LMS50" s="408"/>
      <c r="LMT50" s="408"/>
      <c r="LMU50" s="408"/>
      <c r="LMV50" s="408"/>
      <c r="LMW50" s="408"/>
      <c r="LMX50" s="408"/>
      <c r="LMY50" s="408"/>
      <c r="LMZ50" s="408"/>
      <c r="LNA50" s="408"/>
      <c r="LNB50" s="408"/>
      <c r="LNC50" s="408"/>
      <c r="LND50" s="408"/>
      <c r="LNE50" s="408"/>
      <c r="LNF50" s="408"/>
      <c r="LNG50" s="408"/>
      <c r="LNH50" s="408"/>
      <c r="LNI50" s="408"/>
      <c r="LNJ50" s="408"/>
      <c r="LNK50" s="408"/>
      <c r="LNL50" s="408"/>
      <c r="LNM50" s="408"/>
      <c r="LNN50" s="408"/>
      <c r="LNO50" s="408"/>
      <c r="LNP50" s="408"/>
      <c r="LNQ50" s="408"/>
      <c r="LNR50" s="408"/>
      <c r="LNS50" s="408"/>
      <c r="LNT50" s="408"/>
      <c r="LNU50" s="408"/>
      <c r="LNV50" s="408"/>
      <c r="LNW50" s="408"/>
      <c r="LNX50" s="408"/>
      <c r="LNY50" s="408"/>
      <c r="LNZ50" s="408"/>
      <c r="LOA50" s="408"/>
      <c r="LOB50" s="408"/>
      <c r="LOC50" s="408"/>
      <c r="LOD50" s="408"/>
      <c r="LOE50" s="408"/>
      <c r="LOF50" s="408"/>
      <c r="LOG50" s="408"/>
      <c r="LOH50" s="408"/>
      <c r="LOI50" s="408"/>
      <c r="LOJ50" s="408"/>
      <c r="LOK50" s="408"/>
      <c r="LOL50" s="408"/>
      <c r="LOM50" s="408"/>
      <c r="LON50" s="408"/>
      <c r="LOO50" s="408"/>
      <c r="LOP50" s="408"/>
      <c r="LOQ50" s="408"/>
      <c r="LOR50" s="408"/>
      <c r="LOS50" s="408"/>
      <c r="LOT50" s="408"/>
      <c r="LOU50" s="408"/>
      <c r="LOV50" s="408"/>
      <c r="LOW50" s="408"/>
      <c r="LOX50" s="408"/>
      <c r="LOY50" s="408"/>
      <c r="LOZ50" s="408"/>
      <c r="LPA50" s="408"/>
      <c r="LPB50" s="408"/>
      <c r="LPC50" s="408"/>
      <c r="LPD50" s="408"/>
      <c r="LPE50" s="408"/>
      <c r="LPF50" s="408"/>
      <c r="LPG50" s="408"/>
      <c r="LPH50" s="408"/>
      <c r="LPI50" s="408"/>
      <c r="LPJ50" s="408"/>
      <c r="LPK50" s="408"/>
      <c r="LPL50" s="408"/>
      <c r="LPM50" s="408"/>
      <c r="LPN50" s="408"/>
      <c r="LPO50" s="408"/>
      <c r="LPP50" s="408"/>
      <c r="LPQ50" s="408"/>
      <c r="LPR50" s="408"/>
      <c r="LPS50" s="408"/>
      <c r="LPT50" s="408"/>
      <c r="LPU50" s="408"/>
      <c r="LPV50" s="408"/>
      <c r="LPW50" s="408"/>
      <c r="LPX50" s="408"/>
      <c r="LPY50" s="408"/>
      <c r="LPZ50" s="408"/>
      <c r="LQA50" s="408"/>
      <c r="LQB50" s="408"/>
      <c r="LQC50" s="408"/>
      <c r="LQD50" s="408"/>
      <c r="LQE50" s="408"/>
      <c r="LQF50" s="408"/>
      <c r="LQG50" s="408"/>
      <c r="LQH50" s="408"/>
      <c r="LQI50" s="408"/>
      <c r="LQJ50" s="408"/>
      <c r="LQK50" s="408"/>
      <c r="LQL50" s="408"/>
      <c r="LQM50" s="408"/>
      <c r="LQN50" s="408"/>
      <c r="LQO50" s="408"/>
      <c r="LQP50" s="408"/>
      <c r="LQQ50" s="408"/>
      <c r="LQR50" s="408"/>
      <c r="LQS50" s="408"/>
      <c r="LQT50" s="408"/>
      <c r="LQU50" s="408"/>
      <c r="LQV50" s="408"/>
      <c r="LQW50" s="408"/>
      <c r="LQX50" s="408"/>
      <c r="LQY50" s="408"/>
      <c r="LQZ50" s="408"/>
      <c r="LRA50" s="408"/>
      <c r="LRB50" s="408"/>
      <c r="LRC50" s="408"/>
      <c r="LRD50" s="408"/>
      <c r="LRE50" s="408"/>
      <c r="LRF50" s="408"/>
      <c r="LRG50" s="408"/>
      <c r="LRH50" s="408"/>
      <c r="LRI50" s="408"/>
      <c r="LRJ50" s="408"/>
      <c r="LRK50" s="408"/>
      <c r="LRL50" s="408"/>
      <c r="LRM50" s="408"/>
      <c r="LRN50" s="408"/>
      <c r="LRO50" s="408"/>
      <c r="LRP50" s="408"/>
      <c r="LRQ50" s="408"/>
      <c r="LRR50" s="408"/>
      <c r="LRS50" s="408"/>
      <c r="LRT50" s="408"/>
      <c r="LRU50" s="408"/>
      <c r="LRV50" s="408"/>
      <c r="LRW50" s="408"/>
      <c r="LRX50" s="408"/>
      <c r="LRY50" s="408"/>
      <c r="LRZ50" s="408"/>
      <c r="LSA50" s="408"/>
      <c r="LSB50" s="408"/>
      <c r="LSC50" s="408"/>
      <c r="LSD50" s="408"/>
      <c r="LSE50" s="408"/>
      <c r="LSF50" s="408"/>
      <c r="LSG50" s="408"/>
      <c r="LSH50" s="408"/>
      <c r="LSI50" s="408"/>
      <c r="LSJ50" s="408"/>
      <c r="LSK50" s="408"/>
      <c r="LSL50" s="408"/>
      <c r="LSM50" s="408"/>
      <c r="LSN50" s="408"/>
      <c r="LSO50" s="408"/>
      <c r="LSP50" s="408"/>
      <c r="LSQ50" s="408"/>
      <c r="LSR50" s="408"/>
      <c r="LSS50" s="408"/>
      <c r="LST50" s="408"/>
      <c r="LSU50" s="408"/>
      <c r="LSV50" s="408"/>
      <c r="LSW50" s="408"/>
      <c r="LSX50" s="408"/>
      <c r="LSY50" s="408"/>
      <c r="LSZ50" s="408"/>
      <c r="LTA50" s="408"/>
      <c r="LTB50" s="408"/>
      <c r="LTC50" s="408"/>
      <c r="LTD50" s="408"/>
      <c r="LTE50" s="408"/>
      <c r="LTF50" s="408"/>
      <c r="LTG50" s="408"/>
      <c r="LTH50" s="408"/>
      <c r="LTI50" s="408"/>
      <c r="LTJ50" s="408"/>
      <c r="LTK50" s="408"/>
      <c r="LTL50" s="408"/>
      <c r="LTM50" s="408"/>
      <c r="LTN50" s="408"/>
      <c r="LTO50" s="408"/>
      <c r="LTP50" s="408"/>
      <c r="LTQ50" s="408"/>
      <c r="LTR50" s="408"/>
      <c r="LTS50" s="408"/>
      <c r="LTT50" s="408"/>
      <c r="LTU50" s="408"/>
      <c r="LTV50" s="408"/>
      <c r="LTW50" s="408"/>
      <c r="LTX50" s="408"/>
      <c r="LTY50" s="408"/>
      <c r="LTZ50" s="408"/>
      <c r="LUA50" s="408"/>
      <c r="LUB50" s="408"/>
      <c r="LUC50" s="408"/>
      <c r="LUD50" s="408"/>
      <c r="LUE50" s="408"/>
      <c r="LUF50" s="408"/>
      <c r="LUG50" s="408"/>
      <c r="LUH50" s="408"/>
      <c r="LUI50" s="408"/>
      <c r="LUJ50" s="408"/>
      <c r="LUK50" s="408"/>
      <c r="LUL50" s="408"/>
      <c r="LUM50" s="408"/>
      <c r="LUN50" s="408"/>
      <c r="LUO50" s="408"/>
      <c r="LUP50" s="408"/>
      <c r="LUQ50" s="408"/>
      <c r="LUR50" s="408"/>
      <c r="LUS50" s="408"/>
      <c r="LUT50" s="408"/>
      <c r="LUU50" s="408"/>
      <c r="LUV50" s="408"/>
      <c r="LUW50" s="408"/>
      <c r="LUX50" s="408"/>
      <c r="LUY50" s="408"/>
      <c r="LUZ50" s="408"/>
      <c r="LVA50" s="408"/>
      <c r="LVB50" s="408"/>
      <c r="LVC50" s="408"/>
      <c r="LVD50" s="408"/>
      <c r="LVE50" s="408"/>
      <c r="LVF50" s="408"/>
      <c r="LVG50" s="408"/>
      <c r="LVH50" s="408"/>
      <c r="LVI50" s="408"/>
      <c r="LVJ50" s="408"/>
      <c r="LVK50" s="408"/>
      <c r="LVL50" s="408"/>
      <c r="LVM50" s="408"/>
      <c r="LVN50" s="408"/>
      <c r="LVO50" s="408"/>
      <c r="LVP50" s="408"/>
      <c r="LVQ50" s="408"/>
      <c r="LVR50" s="408"/>
      <c r="LVS50" s="408"/>
      <c r="LVT50" s="408"/>
      <c r="LVU50" s="408"/>
      <c r="LVV50" s="408"/>
      <c r="LVW50" s="408"/>
      <c r="LVX50" s="408"/>
      <c r="LVY50" s="408"/>
      <c r="LVZ50" s="408"/>
      <c r="LWA50" s="408"/>
      <c r="LWB50" s="408"/>
      <c r="LWC50" s="408"/>
      <c r="LWD50" s="408"/>
      <c r="LWE50" s="408"/>
      <c r="LWF50" s="408"/>
      <c r="LWG50" s="408"/>
      <c r="LWH50" s="408"/>
      <c r="LWI50" s="408"/>
      <c r="LWJ50" s="408"/>
      <c r="LWK50" s="408"/>
      <c r="LWL50" s="408"/>
      <c r="LWM50" s="408"/>
      <c r="LWN50" s="408"/>
      <c r="LWO50" s="408"/>
      <c r="LWP50" s="408"/>
      <c r="LWQ50" s="408"/>
      <c r="LWR50" s="408"/>
      <c r="LWS50" s="408"/>
      <c r="LWT50" s="408"/>
      <c r="LWU50" s="408"/>
      <c r="LWV50" s="408"/>
      <c r="LWW50" s="408"/>
      <c r="LWX50" s="408"/>
      <c r="LWY50" s="408"/>
      <c r="LWZ50" s="408"/>
      <c r="LXA50" s="408"/>
      <c r="LXB50" s="408"/>
      <c r="LXC50" s="408"/>
      <c r="LXD50" s="408"/>
      <c r="LXE50" s="408"/>
      <c r="LXF50" s="408"/>
      <c r="LXG50" s="408"/>
      <c r="LXH50" s="408"/>
      <c r="LXI50" s="408"/>
      <c r="LXJ50" s="408"/>
      <c r="LXK50" s="408"/>
      <c r="LXL50" s="408"/>
      <c r="LXM50" s="408"/>
      <c r="LXN50" s="408"/>
      <c r="LXO50" s="408"/>
      <c r="LXP50" s="408"/>
      <c r="LXQ50" s="408"/>
      <c r="LXR50" s="408"/>
      <c r="LXS50" s="408"/>
      <c r="LXT50" s="408"/>
      <c r="LXU50" s="408"/>
      <c r="LXV50" s="408"/>
      <c r="LXW50" s="408"/>
      <c r="LXX50" s="408"/>
      <c r="LXY50" s="408"/>
      <c r="LXZ50" s="408"/>
      <c r="LYA50" s="408"/>
      <c r="LYB50" s="408"/>
      <c r="LYC50" s="408"/>
      <c r="LYD50" s="408"/>
      <c r="LYE50" s="408"/>
      <c r="LYF50" s="408"/>
      <c r="LYG50" s="408"/>
      <c r="LYH50" s="408"/>
      <c r="LYI50" s="408"/>
      <c r="LYJ50" s="408"/>
      <c r="LYK50" s="408"/>
      <c r="LYL50" s="408"/>
      <c r="LYM50" s="408"/>
      <c r="LYN50" s="408"/>
      <c r="LYO50" s="408"/>
      <c r="LYP50" s="408"/>
      <c r="LYQ50" s="408"/>
      <c r="LYR50" s="408"/>
      <c r="LYS50" s="408"/>
      <c r="LYT50" s="408"/>
      <c r="LYU50" s="408"/>
      <c r="LYV50" s="408"/>
      <c r="LYW50" s="408"/>
      <c r="LYX50" s="408"/>
      <c r="LYY50" s="408"/>
      <c r="LYZ50" s="408"/>
      <c r="LZA50" s="408"/>
      <c r="LZB50" s="408"/>
      <c r="LZC50" s="408"/>
      <c r="LZD50" s="408"/>
      <c r="LZE50" s="408"/>
      <c r="LZF50" s="408"/>
      <c r="LZG50" s="408"/>
      <c r="LZH50" s="408"/>
      <c r="LZI50" s="408"/>
      <c r="LZJ50" s="408"/>
      <c r="LZK50" s="408"/>
      <c r="LZL50" s="408"/>
      <c r="LZM50" s="408"/>
      <c r="LZN50" s="408"/>
      <c r="LZO50" s="408"/>
      <c r="LZP50" s="408"/>
      <c r="LZQ50" s="408"/>
      <c r="LZR50" s="408"/>
      <c r="LZS50" s="408"/>
      <c r="LZT50" s="408"/>
      <c r="LZU50" s="408"/>
      <c r="LZV50" s="408"/>
      <c r="LZW50" s="408"/>
      <c r="LZX50" s="408"/>
      <c r="LZY50" s="408"/>
      <c r="LZZ50" s="408"/>
      <c r="MAA50" s="408"/>
      <c r="MAB50" s="408"/>
      <c r="MAC50" s="408"/>
      <c r="MAD50" s="408"/>
      <c r="MAE50" s="408"/>
      <c r="MAF50" s="408"/>
      <c r="MAG50" s="408"/>
      <c r="MAH50" s="408"/>
      <c r="MAI50" s="408"/>
      <c r="MAJ50" s="408"/>
      <c r="MAK50" s="408"/>
      <c r="MAL50" s="408"/>
      <c r="MAM50" s="408"/>
      <c r="MAN50" s="408"/>
      <c r="MAO50" s="408"/>
      <c r="MAP50" s="408"/>
      <c r="MAQ50" s="408"/>
      <c r="MAR50" s="408"/>
      <c r="MAS50" s="408"/>
      <c r="MAT50" s="408"/>
      <c r="MAU50" s="408"/>
      <c r="MAV50" s="408"/>
      <c r="MAW50" s="408"/>
      <c r="MAX50" s="408"/>
      <c r="MAY50" s="408"/>
      <c r="MAZ50" s="408"/>
      <c r="MBA50" s="408"/>
      <c r="MBB50" s="408"/>
      <c r="MBC50" s="408"/>
      <c r="MBD50" s="408"/>
      <c r="MBE50" s="408"/>
      <c r="MBF50" s="408"/>
      <c r="MBG50" s="408"/>
      <c r="MBH50" s="408"/>
      <c r="MBI50" s="408"/>
      <c r="MBJ50" s="408"/>
      <c r="MBK50" s="408"/>
      <c r="MBL50" s="408"/>
      <c r="MBM50" s="408"/>
      <c r="MBN50" s="408"/>
      <c r="MBO50" s="408"/>
      <c r="MBP50" s="408"/>
      <c r="MBQ50" s="408"/>
      <c r="MBR50" s="408"/>
      <c r="MBS50" s="408"/>
      <c r="MBT50" s="408"/>
      <c r="MBU50" s="408"/>
      <c r="MBV50" s="408"/>
      <c r="MBW50" s="408"/>
      <c r="MBX50" s="408"/>
      <c r="MBY50" s="408"/>
      <c r="MBZ50" s="408"/>
      <c r="MCA50" s="408"/>
      <c r="MCB50" s="408"/>
      <c r="MCC50" s="408"/>
      <c r="MCD50" s="408"/>
      <c r="MCE50" s="408"/>
      <c r="MCF50" s="408"/>
      <c r="MCG50" s="408"/>
      <c r="MCH50" s="408"/>
      <c r="MCI50" s="408"/>
      <c r="MCJ50" s="408"/>
      <c r="MCK50" s="408"/>
      <c r="MCL50" s="408"/>
      <c r="MCM50" s="408"/>
      <c r="MCN50" s="408"/>
      <c r="MCO50" s="408"/>
      <c r="MCP50" s="408"/>
      <c r="MCQ50" s="408"/>
      <c r="MCR50" s="408"/>
      <c r="MCS50" s="408"/>
      <c r="MCT50" s="408"/>
      <c r="MCU50" s="408"/>
      <c r="MCV50" s="408"/>
      <c r="MCW50" s="408"/>
      <c r="MCX50" s="408"/>
      <c r="MCY50" s="408"/>
      <c r="MCZ50" s="408"/>
      <c r="MDA50" s="408"/>
      <c r="MDB50" s="408"/>
      <c r="MDC50" s="408"/>
      <c r="MDD50" s="408"/>
      <c r="MDE50" s="408"/>
      <c r="MDF50" s="408"/>
      <c r="MDG50" s="408"/>
      <c r="MDH50" s="408"/>
      <c r="MDI50" s="408"/>
      <c r="MDJ50" s="408"/>
      <c r="MDK50" s="408"/>
      <c r="MDL50" s="408"/>
      <c r="MDM50" s="408"/>
      <c r="MDN50" s="408"/>
      <c r="MDO50" s="408"/>
      <c r="MDP50" s="408"/>
      <c r="MDQ50" s="408"/>
      <c r="MDR50" s="408"/>
      <c r="MDS50" s="408"/>
      <c r="MDT50" s="408"/>
      <c r="MDU50" s="408"/>
      <c r="MDV50" s="408"/>
      <c r="MDW50" s="408"/>
      <c r="MDX50" s="408"/>
      <c r="MDY50" s="408"/>
      <c r="MDZ50" s="408"/>
      <c r="MEA50" s="408"/>
      <c r="MEB50" s="408"/>
      <c r="MEC50" s="408"/>
      <c r="MED50" s="408"/>
      <c r="MEE50" s="408"/>
      <c r="MEF50" s="408"/>
      <c r="MEG50" s="408"/>
      <c r="MEH50" s="408"/>
      <c r="MEI50" s="408"/>
      <c r="MEJ50" s="408"/>
      <c r="MEK50" s="408"/>
      <c r="MEL50" s="408"/>
      <c r="MEM50" s="408"/>
      <c r="MEN50" s="408"/>
      <c r="MEO50" s="408"/>
      <c r="MEP50" s="408"/>
      <c r="MEQ50" s="408"/>
      <c r="MER50" s="408"/>
      <c r="MES50" s="408"/>
      <c r="MET50" s="408"/>
      <c r="MEU50" s="408"/>
      <c r="MEV50" s="408"/>
      <c r="MEW50" s="408"/>
      <c r="MEX50" s="408"/>
      <c r="MEY50" s="408"/>
      <c r="MEZ50" s="408"/>
      <c r="MFA50" s="408"/>
      <c r="MFB50" s="408"/>
      <c r="MFC50" s="408"/>
      <c r="MFD50" s="408"/>
      <c r="MFE50" s="408"/>
      <c r="MFF50" s="408"/>
      <c r="MFG50" s="408"/>
      <c r="MFH50" s="408"/>
      <c r="MFI50" s="408"/>
      <c r="MFJ50" s="408"/>
      <c r="MFK50" s="408"/>
      <c r="MFL50" s="408"/>
      <c r="MFM50" s="408"/>
      <c r="MFN50" s="408"/>
      <c r="MFO50" s="408"/>
      <c r="MFP50" s="408"/>
      <c r="MFQ50" s="408"/>
      <c r="MFR50" s="408"/>
      <c r="MFS50" s="408"/>
      <c r="MFT50" s="408"/>
      <c r="MFU50" s="408"/>
      <c r="MFV50" s="408"/>
      <c r="MFW50" s="408"/>
      <c r="MFX50" s="408"/>
      <c r="MFY50" s="408"/>
      <c r="MFZ50" s="408"/>
      <c r="MGA50" s="408"/>
      <c r="MGB50" s="408"/>
      <c r="MGC50" s="408"/>
      <c r="MGD50" s="408"/>
      <c r="MGE50" s="408"/>
      <c r="MGF50" s="408"/>
      <c r="MGG50" s="408"/>
      <c r="MGH50" s="408"/>
      <c r="MGI50" s="408"/>
      <c r="MGJ50" s="408"/>
      <c r="MGK50" s="408"/>
      <c r="MGL50" s="408"/>
      <c r="MGM50" s="408"/>
      <c r="MGN50" s="408"/>
      <c r="MGO50" s="408"/>
      <c r="MGP50" s="408"/>
      <c r="MGQ50" s="408"/>
      <c r="MGR50" s="408"/>
      <c r="MGS50" s="408"/>
      <c r="MGT50" s="408"/>
      <c r="MGU50" s="408"/>
      <c r="MGV50" s="408"/>
      <c r="MGW50" s="408"/>
      <c r="MGX50" s="408"/>
      <c r="MGY50" s="408"/>
      <c r="MGZ50" s="408"/>
      <c r="MHA50" s="408"/>
      <c r="MHB50" s="408"/>
      <c r="MHC50" s="408"/>
      <c r="MHD50" s="408"/>
      <c r="MHE50" s="408"/>
      <c r="MHF50" s="408"/>
      <c r="MHG50" s="408"/>
      <c r="MHH50" s="408"/>
      <c r="MHI50" s="408"/>
      <c r="MHJ50" s="408"/>
      <c r="MHK50" s="408"/>
      <c r="MHL50" s="408"/>
      <c r="MHM50" s="408"/>
      <c r="MHN50" s="408"/>
      <c r="MHO50" s="408"/>
      <c r="MHP50" s="408"/>
      <c r="MHQ50" s="408"/>
      <c r="MHR50" s="408"/>
      <c r="MHS50" s="408"/>
      <c r="MHT50" s="408"/>
      <c r="MHU50" s="408"/>
      <c r="MHV50" s="408"/>
      <c r="MHW50" s="408"/>
      <c r="MHX50" s="408"/>
      <c r="MHY50" s="408"/>
      <c r="MHZ50" s="408"/>
      <c r="MIA50" s="408"/>
      <c r="MIB50" s="408"/>
      <c r="MIC50" s="408"/>
      <c r="MID50" s="408"/>
      <c r="MIE50" s="408"/>
      <c r="MIF50" s="408"/>
      <c r="MIG50" s="408"/>
      <c r="MIH50" s="408"/>
      <c r="MII50" s="408"/>
      <c r="MIJ50" s="408"/>
      <c r="MIK50" s="408"/>
      <c r="MIL50" s="408"/>
      <c r="MIM50" s="408"/>
      <c r="MIN50" s="408"/>
      <c r="MIO50" s="408"/>
      <c r="MIP50" s="408"/>
      <c r="MIQ50" s="408"/>
      <c r="MIR50" s="408"/>
      <c r="MIS50" s="408"/>
      <c r="MIT50" s="408"/>
      <c r="MIU50" s="408"/>
      <c r="MIV50" s="408"/>
      <c r="MIW50" s="408"/>
      <c r="MIX50" s="408"/>
      <c r="MIY50" s="408"/>
      <c r="MIZ50" s="408"/>
      <c r="MJA50" s="408"/>
      <c r="MJB50" s="408"/>
      <c r="MJC50" s="408"/>
      <c r="MJD50" s="408"/>
      <c r="MJE50" s="408"/>
      <c r="MJF50" s="408"/>
      <c r="MJG50" s="408"/>
      <c r="MJH50" s="408"/>
      <c r="MJI50" s="408"/>
      <c r="MJJ50" s="408"/>
      <c r="MJK50" s="408"/>
      <c r="MJL50" s="408"/>
      <c r="MJM50" s="408"/>
      <c r="MJN50" s="408"/>
      <c r="MJO50" s="408"/>
      <c r="MJP50" s="408"/>
      <c r="MJQ50" s="408"/>
      <c r="MJR50" s="408"/>
      <c r="MJS50" s="408"/>
      <c r="MJT50" s="408"/>
      <c r="MJU50" s="408"/>
      <c r="MJV50" s="408"/>
      <c r="MJW50" s="408"/>
      <c r="MJX50" s="408"/>
      <c r="MJY50" s="408"/>
      <c r="MJZ50" s="408"/>
      <c r="MKA50" s="408"/>
      <c r="MKB50" s="408"/>
      <c r="MKC50" s="408"/>
      <c r="MKD50" s="408"/>
      <c r="MKE50" s="408"/>
      <c r="MKF50" s="408"/>
      <c r="MKG50" s="408"/>
      <c r="MKH50" s="408"/>
      <c r="MKI50" s="408"/>
      <c r="MKJ50" s="408"/>
      <c r="MKK50" s="408"/>
      <c r="MKL50" s="408"/>
      <c r="MKM50" s="408"/>
      <c r="MKN50" s="408"/>
      <c r="MKO50" s="408"/>
      <c r="MKP50" s="408"/>
      <c r="MKQ50" s="408"/>
      <c r="MKR50" s="408"/>
      <c r="MKS50" s="408"/>
      <c r="MKT50" s="408"/>
      <c r="MKU50" s="408"/>
      <c r="MKV50" s="408"/>
      <c r="MKW50" s="408"/>
      <c r="MKX50" s="408"/>
      <c r="MKY50" s="408"/>
      <c r="MKZ50" s="408"/>
      <c r="MLA50" s="408"/>
      <c r="MLB50" s="408"/>
      <c r="MLC50" s="408"/>
      <c r="MLD50" s="408"/>
      <c r="MLE50" s="408"/>
      <c r="MLF50" s="408"/>
      <c r="MLG50" s="408"/>
      <c r="MLH50" s="408"/>
      <c r="MLI50" s="408"/>
      <c r="MLJ50" s="408"/>
      <c r="MLK50" s="408"/>
      <c r="MLL50" s="408"/>
      <c r="MLM50" s="408"/>
      <c r="MLN50" s="408"/>
      <c r="MLO50" s="408"/>
      <c r="MLP50" s="408"/>
      <c r="MLQ50" s="408"/>
      <c r="MLR50" s="408"/>
      <c r="MLS50" s="408"/>
      <c r="MLT50" s="408"/>
      <c r="MLU50" s="408"/>
      <c r="MLV50" s="408"/>
      <c r="MLW50" s="408"/>
      <c r="MLX50" s="408"/>
      <c r="MLY50" s="408"/>
      <c r="MLZ50" s="408"/>
      <c r="MMA50" s="408"/>
      <c r="MMB50" s="408"/>
      <c r="MMC50" s="408"/>
      <c r="MMD50" s="408"/>
      <c r="MME50" s="408"/>
      <c r="MMF50" s="408"/>
      <c r="MMG50" s="408"/>
      <c r="MMH50" s="408"/>
      <c r="MMI50" s="408"/>
      <c r="MMJ50" s="408"/>
      <c r="MMK50" s="408"/>
      <c r="MML50" s="408"/>
      <c r="MMM50" s="408"/>
      <c r="MMN50" s="408"/>
      <c r="MMO50" s="408"/>
      <c r="MMP50" s="408"/>
      <c r="MMQ50" s="408"/>
      <c r="MMR50" s="408"/>
      <c r="MMS50" s="408"/>
      <c r="MMT50" s="408"/>
      <c r="MMU50" s="408"/>
      <c r="MMV50" s="408"/>
      <c r="MMW50" s="408"/>
      <c r="MMX50" s="408"/>
      <c r="MMY50" s="408"/>
      <c r="MMZ50" s="408"/>
      <c r="MNA50" s="408"/>
      <c r="MNB50" s="408"/>
      <c r="MNC50" s="408"/>
      <c r="MND50" s="408"/>
      <c r="MNE50" s="408"/>
      <c r="MNF50" s="408"/>
      <c r="MNG50" s="408"/>
      <c r="MNH50" s="408"/>
      <c r="MNI50" s="408"/>
      <c r="MNJ50" s="408"/>
      <c r="MNK50" s="408"/>
      <c r="MNL50" s="408"/>
      <c r="MNM50" s="408"/>
      <c r="MNN50" s="408"/>
      <c r="MNO50" s="408"/>
      <c r="MNP50" s="408"/>
      <c r="MNQ50" s="408"/>
      <c r="MNR50" s="408"/>
      <c r="MNS50" s="408"/>
      <c r="MNT50" s="408"/>
      <c r="MNU50" s="408"/>
      <c r="MNV50" s="408"/>
      <c r="MNW50" s="408"/>
      <c r="MNX50" s="408"/>
      <c r="MNY50" s="408"/>
      <c r="MNZ50" s="408"/>
      <c r="MOA50" s="408"/>
      <c r="MOB50" s="408"/>
      <c r="MOC50" s="408"/>
      <c r="MOD50" s="408"/>
      <c r="MOE50" s="408"/>
      <c r="MOF50" s="408"/>
      <c r="MOG50" s="408"/>
      <c r="MOH50" s="408"/>
      <c r="MOI50" s="408"/>
      <c r="MOJ50" s="408"/>
      <c r="MOK50" s="408"/>
      <c r="MOL50" s="408"/>
      <c r="MOM50" s="408"/>
      <c r="MON50" s="408"/>
      <c r="MOO50" s="408"/>
      <c r="MOP50" s="408"/>
      <c r="MOQ50" s="408"/>
      <c r="MOR50" s="408"/>
      <c r="MOS50" s="408"/>
      <c r="MOT50" s="408"/>
      <c r="MOU50" s="408"/>
      <c r="MOV50" s="408"/>
      <c r="MOW50" s="408"/>
      <c r="MOX50" s="408"/>
      <c r="MOY50" s="408"/>
      <c r="MOZ50" s="408"/>
      <c r="MPA50" s="408"/>
      <c r="MPB50" s="408"/>
      <c r="MPC50" s="408"/>
      <c r="MPD50" s="408"/>
      <c r="MPE50" s="408"/>
      <c r="MPF50" s="408"/>
      <c r="MPG50" s="408"/>
      <c r="MPH50" s="408"/>
      <c r="MPI50" s="408"/>
      <c r="MPJ50" s="408"/>
      <c r="MPK50" s="408"/>
      <c r="MPL50" s="408"/>
      <c r="MPM50" s="408"/>
      <c r="MPN50" s="408"/>
      <c r="MPO50" s="408"/>
      <c r="MPP50" s="408"/>
      <c r="MPQ50" s="408"/>
      <c r="MPR50" s="408"/>
      <c r="MPS50" s="408"/>
      <c r="MPT50" s="408"/>
      <c r="MPU50" s="408"/>
      <c r="MPV50" s="408"/>
      <c r="MPW50" s="408"/>
      <c r="MPX50" s="408"/>
      <c r="MPY50" s="408"/>
      <c r="MPZ50" s="408"/>
      <c r="MQA50" s="408"/>
      <c r="MQB50" s="408"/>
      <c r="MQC50" s="408"/>
      <c r="MQD50" s="408"/>
      <c r="MQE50" s="408"/>
      <c r="MQF50" s="408"/>
      <c r="MQG50" s="408"/>
      <c r="MQH50" s="408"/>
      <c r="MQI50" s="408"/>
      <c r="MQJ50" s="408"/>
      <c r="MQK50" s="408"/>
      <c r="MQL50" s="408"/>
      <c r="MQM50" s="408"/>
      <c r="MQN50" s="408"/>
      <c r="MQO50" s="408"/>
      <c r="MQP50" s="408"/>
      <c r="MQQ50" s="408"/>
      <c r="MQR50" s="408"/>
      <c r="MQS50" s="408"/>
      <c r="MQT50" s="408"/>
      <c r="MQU50" s="408"/>
      <c r="MQV50" s="408"/>
      <c r="MQW50" s="408"/>
      <c r="MQX50" s="408"/>
      <c r="MQY50" s="408"/>
      <c r="MQZ50" s="408"/>
      <c r="MRA50" s="408"/>
      <c r="MRB50" s="408"/>
      <c r="MRC50" s="408"/>
      <c r="MRD50" s="408"/>
      <c r="MRE50" s="408"/>
      <c r="MRF50" s="408"/>
      <c r="MRG50" s="408"/>
      <c r="MRH50" s="408"/>
      <c r="MRI50" s="408"/>
      <c r="MRJ50" s="408"/>
      <c r="MRK50" s="408"/>
      <c r="MRL50" s="408"/>
      <c r="MRM50" s="408"/>
      <c r="MRN50" s="408"/>
      <c r="MRO50" s="408"/>
      <c r="MRP50" s="408"/>
      <c r="MRQ50" s="408"/>
      <c r="MRR50" s="408"/>
      <c r="MRS50" s="408"/>
      <c r="MRT50" s="408"/>
      <c r="MRU50" s="408"/>
      <c r="MRV50" s="408"/>
      <c r="MRW50" s="408"/>
      <c r="MRX50" s="408"/>
      <c r="MRY50" s="408"/>
      <c r="MRZ50" s="408"/>
      <c r="MSA50" s="408"/>
      <c r="MSB50" s="408"/>
      <c r="MSC50" s="408"/>
      <c r="MSD50" s="408"/>
      <c r="MSE50" s="408"/>
      <c r="MSF50" s="408"/>
      <c r="MSG50" s="408"/>
      <c r="MSH50" s="408"/>
      <c r="MSI50" s="408"/>
      <c r="MSJ50" s="408"/>
      <c r="MSK50" s="408"/>
      <c r="MSL50" s="408"/>
      <c r="MSM50" s="408"/>
      <c r="MSN50" s="408"/>
      <c r="MSO50" s="408"/>
      <c r="MSP50" s="408"/>
      <c r="MSQ50" s="408"/>
      <c r="MSR50" s="408"/>
      <c r="MSS50" s="408"/>
      <c r="MST50" s="408"/>
      <c r="MSU50" s="408"/>
      <c r="MSV50" s="408"/>
      <c r="MSW50" s="408"/>
      <c r="MSX50" s="408"/>
      <c r="MSY50" s="408"/>
      <c r="MSZ50" s="408"/>
      <c r="MTA50" s="408"/>
      <c r="MTB50" s="408"/>
      <c r="MTC50" s="408"/>
      <c r="MTD50" s="408"/>
      <c r="MTE50" s="408"/>
      <c r="MTF50" s="408"/>
      <c r="MTG50" s="408"/>
      <c r="MTH50" s="408"/>
      <c r="MTI50" s="408"/>
      <c r="MTJ50" s="408"/>
      <c r="MTK50" s="408"/>
      <c r="MTL50" s="408"/>
      <c r="MTM50" s="408"/>
      <c r="MTN50" s="408"/>
      <c r="MTO50" s="408"/>
      <c r="MTP50" s="408"/>
      <c r="MTQ50" s="408"/>
      <c r="MTR50" s="408"/>
      <c r="MTS50" s="408"/>
      <c r="MTT50" s="408"/>
      <c r="MTU50" s="408"/>
      <c r="MTV50" s="408"/>
      <c r="MTW50" s="408"/>
      <c r="MTX50" s="408"/>
      <c r="MTY50" s="408"/>
      <c r="MTZ50" s="408"/>
      <c r="MUA50" s="408"/>
      <c r="MUB50" s="408"/>
      <c r="MUC50" s="408"/>
      <c r="MUD50" s="408"/>
      <c r="MUE50" s="408"/>
      <c r="MUF50" s="408"/>
      <c r="MUG50" s="408"/>
      <c r="MUH50" s="408"/>
      <c r="MUI50" s="408"/>
      <c r="MUJ50" s="408"/>
      <c r="MUK50" s="408"/>
      <c r="MUL50" s="408"/>
      <c r="MUM50" s="408"/>
      <c r="MUN50" s="408"/>
      <c r="MUO50" s="408"/>
      <c r="MUP50" s="408"/>
      <c r="MUQ50" s="408"/>
      <c r="MUR50" s="408"/>
      <c r="MUS50" s="408"/>
      <c r="MUT50" s="408"/>
      <c r="MUU50" s="408"/>
      <c r="MUV50" s="408"/>
      <c r="MUW50" s="408"/>
      <c r="MUX50" s="408"/>
      <c r="MUY50" s="408"/>
      <c r="MUZ50" s="408"/>
      <c r="MVA50" s="408"/>
      <c r="MVB50" s="408"/>
      <c r="MVC50" s="408"/>
      <c r="MVD50" s="408"/>
      <c r="MVE50" s="408"/>
      <c r="MVF50" s="408"/>
      <c r="MVG50" s="408"/>
      <c r="MVH50" s="408"/>
      <c r="MVI50" s="408"/>
      <c r="MVJ50" s="408"/>
      <c r="MVK50" s="408"/>
      <c r="MVL50" s="408"/>
      <c r="MVM50" s="408"/>
      <c r="MVN50" s="408"/>
      <c r="MVO50" s="408"/>
      <c r="MVP50" s="408"/>
      <c r="MVQ50" s="408"/>
      <c r="MVR50" s="408"/>
      <c r="MVS50" s="408"/>
      <c r="MVT50" s="408"/>
      <c r="MVU50" s="408"/>
      <c r="MVV50" s="408"/>
      <c r="MVW50" s="408"/>
      <c r="MVX50" s="408"/>
      <c r="MVY50" s="408"/>
      <c r="MVZ50" s="408"/>
      <c r="MWA50" s="408"/>
      <c r="MWB50" s="408"/>
      <c r="MWC50" s="408"/>
      <c r="MWD50" s="408"/>
      <c r="MWE50" s="408"/>
      <c r="MWF50" s="408"/>
      <c r="MWG50" s="408"/>
      <c r="MWH50" s="408"/>
      <c r="MWI50" s="408"/>
      <c r="MWJ50" s="408"/>
      <c r="MWK50" s="408"/>
      <c r="MWL50" s="408"/>
      <c r="MWM50" s="408"/>
      <c r="MWN50" s="408"/>
      <c r="MWO50" s="408"/>
      <c r="MWP50" s="408"/>
      <c r="MWQ50" s="408"/>
      <c r="MWR50" s="408"/>
      <c r="MWS50" s="408"/>
      <c r="MWT50" s="408"/>
      <c r="MWU50" s="408"/>
      <c r="MWV50" s="408"/>
      <c r="MWW50" s="408"/>
      <c r="MWX50" s="408"/>
      <c r="MWY50" s="408"/>
      <c r="MWZ50" s="408"/>
      <c r="MXA50" s="408"/>
      <c r="MXB50" s="408"/>
      <c r="MXC50" s="408"/>
      <c r="MXD50" s="408"/>
      <c r="MXE50" s="408"/>
      <c r="MXF50" s="408"/>
      <c r="MXG50" s="408"/>
      <c r="MXH50" s="408"/>
      <c r="MXI50" s="408"/>
      <c r="MXJ50" s="408"/>
      <c r="MXK50" s="408"/>
      <c r="MXL50" s="408"/>
      <c r="MXM50" s="408"/>
      <c r="MXN50" s="408"/>
      <c r="MXO50" s="408"/>
      <c r="MXP50" s="408"/>
      <c r="MXQ50" s="408"/>
      <c r="MXR50" s="408"/>
      <c r="MXS50" s="408"/>
      <c r="MXT50" s="408"/>
      <c r="MXU50" s="408"/>
      <c r="MXV50" s="408"/>
      <c r="MXW50" s="408"/>
      <c r="MXX50" s="408"/>
      <c r="MXY50" s="408"/>
      <c r="MXZ50" s="408"/>
      <c r="MYA50" s="408"/>
      <c r="MYB50" s="408"/>
      <c r="MYC50" s="408"/>
      <c r="MYD50" s="408"/>
      <c r="MYE50" s="408"/>
      <c r="MYF50" s="408"/>
      <c r="MYG50" s="408"/>
      <c r="MYH50" s="408"/>
      <c r="MYI50" s="408"/>
      <c r="MYJ50" s="408"/>
      <c r="MYK50" s="408"/>
      <c r="MYL50" s="408"/>
      <c r="MYM50" s="408"/>
      <c r="MYN50" s="408"/>
      <c r="MYO50" s="408"/>
      <c r="MYP50" s="408"/>
      <c r="MYQ50" s="408"/>
      <c r="MYR50" s="408"/>
      <c r="MYS50" s="408"/>
      <c r="MYT50" s="408"/>
      <c r="MYU50" s="408"/>
      <c r="MYV50" s="408"/>
      <c r="MYW50" s="408"/>
      <c r="MYX50" s="408"/>
      <c r="MYY50" s="408"/>
      <c r="MYZ50" s="408"/>
      <c r="MZA50" s="408"/>
      <c r="MZB50" s="408"/>
      <c r="MZC50" s="408"/>
      <c r="MZD50" s="408"/>
      <c r="MZE50" s="408"/>
      <c r="MZF50" s="408"/>
      <c r="MZG50" s="408"/>
      <c r="MZH50" s="408"/>
      <c r="MZI50" s="408"/>
      <c r="MZJ50" s="408"/>
      <c r="MZK50" s="408"/>
      <c r="MZL50" s="408"/>
      <c r="MZM50" s="408"/>
      <c r="MZN50" s="408"/>
      <c r="MZO50" s="408"/>
      <c r="MZP50" s="408"/>
      <c r="MZQ50" s="408"/>
      <c r="MZR50" s="408"/>
      <c r="MZS50" s="408"/>
      <c r="MZT50" s="408"/>
      <c r="MZU50" s="408"/>
      <c r="MZV50" s="408"/>
      <c r="MZW50" s="408"/>
      <c r="MZX50" s="408"/>
      <c r="MZY50" s="408"/>
      <c r="MZZ50" s="408"/>
      <c r="NAA50" s="408"/>
      <c r="NAB50" s="408"/>
      <c r="NAC50" s="408"/>
      <c r="NAD50" s="408"/>
      <c r="NAE50" s="408"/>
      <c r="NAF50" s="408"/>
      <c r="NAG50" s="408"/>
      <c r="NAH50" s="408"/>
      <c r="NAI50" s="408"/>
      <c r="NAJ50" s="408"/>
      <c r="NAK50" s="408"/>
      <c r="NAL50" s="408"/>
      <c r="NAM50" s="408"/>
      <c r="NAN50" s="408"/>
      <c r="NAO50" s="408"/>
      <c r="NAP50" s="408"/>
      <c r="NAQ50" s="408"/>
      <c r="NAR50" s="408"/>
      <c r="NAS50" s="408"/>
      <c r="NAT50" s="408"/>
      <c r="NAU50" s="408"/>
      <c r="NAV50" s="408"/>
      <c r="NAW50" s="408"/>
      <c r="NAX50" s="408"/>
      <c r="NAY50" s="408"/>
      <c r="NAZ50" s="408"/>
      <c r="NBA50" s="408"/>
      <c r="NBB50" s="408"/>
      <c r="NBC50" s="408"/>
      <c r="NBD50" s="408"/>
      <c r="NBE50" s="408"/>
      <c r="NBF50" s="408"/>
      <c r="NBG50" s="408"/>
      <c r="NBH50" s="408"/>
      <c r="NBI50" s="408"/>
      <c r="NBJ50" s="408"/>
      <c r="NBK50" s="408"/>
      <c r="NBL50" s="408"/>
      <c r="NBM50" s="408"/>
      <c r="NBN50" s="408"/>
      <c r="NBO50" s="408"/>
      <c r="NBP50" s="408"/>
      <c r="NBQ50" s="408"/>
      <c r="NBR50" s="408"/>
      <c r="NBS50" s="408"/>
      <c r="NBT50" s="408"/>
      <c r="NBU50" s="408"/>
      <c r="NBV50" s="408"/>
      <c r="NBW50" s="408"/>
      <c r="NBX50" s="408"/>
      <c r="NBY50" s="408"/>
      <c r="NBZ50" s="408"/>
      <c r="NCA50" s="408"/>
      <c r="NCB50" s="408"/>
      <c r="NCC50" s="408"/>
      <c r="NCD50" s="408"/>
      <c r="NCE50" s="408"/>
      <c r="NCF50" s="408"/>
      <c r="NCG50" s="408"/>
      <c r="NCH50" s="408"/>
      <c r="NCI50" s="408"/>
      <c r="NCJ50" s="408"/>
      <c r="NCK50" s="408"/>
      <c r="NCL50" s="408"/>
      <c r="NCM50" s="408"/>
      <c r="NCN50" s="408"/>
      <c r="NCO50" s="408"/>
      <c r="NCP50" s="408"/>
      <c r="NCQ50" s="408"/>
      <c r="NCR50" s="408"/>
      <c r="NCS50" s="408"/>
      <c r="NCT50" s="408"/>
      <c r="NCU50" s="408"/>
      <c r="NCV50" s="408"/>
      <c r="NCW50" s="408"/>
      <c r="NCX50" s="408"/>
      <c r="NCY50" s="408"/>
      <c r="NCZ50" s="408"/>
      <c r="NDA50" s="408"/>
      <c r="NDB50" s="408"/>
      <c r="NDC50" s="408"/>
      <c r="NDD50" s="408"/>
      <c r="NDE50" s="408"/>
      <c r="NDF50" s="408"/>
      <c r="NDG50" s="408"/>
      <c r="NDH50" s="408"/>
      <c r="NDI50" s="408"/>
      <c r="NDJ50" s="408"/>
      <c r="NDK50" s="408"/>
      <c r="NDL50" s="408"/>
      <c r="NDM50" s="408"/>
      <c r="NDN50" s="408"/>
      <c r="NDO50" s="408"/>
      <c r="NDP50" s="408"/>
      <c r="NDQ50" s="408"/>
      <c r="NDR50" s="408"/>
      <c r="NDS50" s="408"/>
      <c r="NDT50" s="408"/>
      <c r="NDU50" s="408"/>
      <c r="NDV50" s="408"/>
      <c r="NDW50" s="408"/>
      <c r="NDX50" s="408"/>
      <c r="NDY50" s="408"/>
      <c r="NDZ50" s="408"/>
      <c r="NEA50" s="408"/>
      <c r="NEB50" s="408"/>
      <c r="NEC50" s="408"/>
      <c r="NED50" s="408"/>
      <c r="NEE50" s="408"/>
      <c r="NEF50" s="408"/>
      <c r="NEG50" s="408"/>
      <c r="NEH50" s="408"/>
      <c r="NEI50" s="408"/>
      <c r="NEJ50" s="408"/>
      <c r="NEK50" s="408"/>
      <c r="NEL50" s="408"/>
      <c r="NEM50" s="408"/>
      <c r="NEN50" s="408"/>
      <c r="NEO50" s="408"/>
      <c r="NEP50" s="408"/>
      <c r="NEQ50" s="408"/>
      <c r="NER50" s="408"/>
      <c r="NES50" s="408"/>
      <c r="NET50" s="408"/>
      <c r="NEU50" s="408"/>
      <c r="NEV50" s="408"/>
      <c r="NEW50" s="408"/>
      <c r="NEX50" s="408"/>
      <c r="NEY50" s="408"/>
      <c r="NEZ50" s="408"/>
      <c r="NFA50" s="408"/>
      <c r="NFB50" s="408"/>
      <c r="NFC50" s="408"/>
      <c r="NFD50" s="408"/>
      <c r="NFE50" s="408"/>
      <c r="NFF50" s="408"/>
      <c r="NFG50" s="408"/>
      <c r="NFH50" s="408"/>
      <c r="NFI50" s="408"/>
      <c r="NFJ50" s="408"/>
      <c r="NFK50" s="408"/>
      <c r="NFL50" s="408"/>
      <c r="NFM50" s="408"/>
      <c r="NFN50" s="408"/>
      <c r="NFO50" s="408"/>
      <c r="NFP50" s="408"/>
      <c r="NFQ50" s="408"/>
      <c r="NFR50" s="408"/>
      <c r="NFS50" s="408"/>
      <c r="NFT50" s="408"/>
      <c r="NFU50" s="408"/>
      <c r="NFV50" s="408"/>
      <c r="NFW50" s="408"/>
      <c r="NFX50" s="408"/>
      <c r="NFY50" s="408"/>
      <c r="NFZ50" s="408"/>
      <c r="NGA50" s="408"/>
      <c r="NGB50" s="408"/>
      <c r="NGC50" s="408"/>
      <c r="NGD50" s="408"/>
      <c r="NGE50" s="408"/>
      <c r="NGF50" s="408"/>
      <c r="NGG50" s="408"/>
      <c r="NGH50" s="408"/>
      <c r="NGI50" s="408"/>
      <c r="NGJ50" s="408"/>
      <c r="NGK50" s="408"/>
      <c r="NGL50" s="408"/>
      <c r="NGM50" s="408"/>
      <c r="NGN50" s="408"/>
      <c r="NGO50" s="408"/>
      <c r="NGP50" s="408"/>
      <c r="NGQ50" s="408"/>
      <c r="NGR50" s="408"/>
      <c r="NGS50" s="408"/>
      <c r="NGT50" s="408"/>
      <c r="NGU50" s="408"/>
      <c r="NGV50" s="408"/>
      <c r="NGW50" s="408"/>
      <c r="NGX50" s="408"/>
      <c r="NGY50" s="408"/>
      <c r="NGZ50" s="408"/>
      <c r="NHA50" s="408"/>
      <c r="NHB50" s="408"/>
      <c r="NHC50" s="408"/>
      <c r="NHD50" s="408"/>
      <c r="NHE50" s="408"/>
      <c r="NHF50" s="408"/>
      <c r="NHG50" s="408"/>
      <c r="NHH50" s="408"/>
      <c r="NHI50" s="408"/>
      <c r="NHJ50" s="408"/>
      <c r="NHK50" s="408"/>
      <c r="NHL50" s="408"/>
      <c r="NHM50" s="408"/>
      <c r="NHN50" s="408"/>
      <c r="NHO50" s="408"/>
      <c r="NHP50" s="408"/>
      <c r="NHQ50" s="408"/>
      <c r="NHR50" s="408"/>
      <c r="NHS50" s="408"/>
      <c r="NHT50" s="408"/>
      <c r="NHU50" s="408"/>
      <c r="NHV50" s="408"/>
      <c r="NHW50" s="408"/>
      <c r="NHX50" s="408"/>
      <c r="NHY50" s="408"/>
      <c r="NHZ50" s="408"/>
      <c r="NIA50" s="408"/>
      <c r="NIB50" s="408"/>
      <c r="NIC50" s="408"/>
      <c r="NID50" s="408"/>
      <c r="NIE50" s="408"/>
      <c r="NIF50" s="408"/>
      <c r="NIG50" s="408"/>
      <c r="NIH50" s="408"/>
      <c r="NII50" s="408"/>
      <c r="NIJ50" s="408"/>
      <c r="NIK50" s="408"/>
      <c r="NIL50" s="408"/>
      <c r="NIM50" s="408"/>
      <c r="NIN50" s="408"/>
      <c r="NIO50" s="408"/>
      <c r="NIP50" s="408"/>
      <c r="NIQ50" s="408"/>
      <c r="NIR50" s="408"/>
      <c r="NIS50" s="408"/>
      <c r="NIT50" s="408"/>
      <c r="NIU50" s="408"/>
      <c r="NIV50" s="408"/>
      <c r="NIW50" s="408"/>
      <c r="NIX50" s="408"/>
      <c r="NIY50" s="408"/>
      <c r="NIZ50" s="408"/>
      <c r="NJA50" s="408"/>
      <c r="NJB50" s="408"/>
      <c r="NJC50" s="408"/>
      <c r="NJD50" s="408"/>
      <c r="NJE50" s="408"/>
      <c r="NJF50" s="408"/>
      <c r="NJG50" s="408"/>
      <c r="NJH50" s="408"/>
      <c r="NJI50" s="408"/>
      <c r="NJJ50" s="408"/>
      <c r="NJK50" s="408"/>
      <c r="NJL50" s="408"/>
      <c r="NJM50" s="408"/>
      <c r="NJN50" s="408"/>
      <c r="NJO50" s="408"/>
      <c r="NJP50" s="408"/>
      <c r="NJQ50" s="408"/>
      <c r="NJR50" s="408"/>
      <c r="NJS50" s="408"/>
      <c r="NJT50" s="408"/>
      <c r="NJU50" s="408"/>
      <c r="NJV50" s="408"/>
      <c r="NJW50" s="408"/>
      <c r="NJX50" s="408"/>
      <c r="NJY50" s="408"/>
      <c r="NJZ50" s="408"/>
      <c r="NKA50" s="408"/>
      <c r="NKB50" s="408"/>
      <c r="NKC50" s="408"/>
      <c r="NKD50" s="408"/>
      <c r="NKE50" s="408"/>
      <c r="NKF50" s="408"/>
      <c r="NKG50" s="408"/>
      <c r="NKH50" s="408"/>
      <c r="NKI50" s="408"/>
      <c r="NKJ50" s="408"/>
      <c r="NKK50" s="408"/>
      <c r="NKL50" s="408"/>
      <c r="NKM50" s="408"/>
      <c r="NKN50" s="408"/>
      <c r="NKO50" s="408"/>
      <c r="NKP50" s="408"/>
      <c r="NKQ50" s="408"/>
      <c r="NKR50" s="408"/>
      <c r="NKS50" s="408"/>
      <c r="NKT50" s="408"/>
      <c r="NKU50" s="408"/>
      <c r="NKV50" s="408"/>
      <c r="NKW50" s="408"/>
      <c r="NKX50" s="408"/>
      <c r="NKY50" s="408"/>
      <c r="NKZ50" s="408"/>
      <c r="NLA50" s="408"/>
      <c r="NLB50" s="408"/>
      <c r="NLC50" s="408"/>
      <c r="NLD50" s="408"/>
      <c r="NLE50" s="408"/>
      <c r="NLF50" s="408"/>
      <c r="NLG50" s="408"/>
      <c r="NLH50" s="408"/>
      <c r="NLI50" s="408"/>
      <c r="NLJ50" s="408"/>
      <c r="NLK50" s="408"/>
      <c r="NLL50" s="408"/>
      <c r="NLM50" s="408"/>
      <c r="NLN50" s="408"/>
      <c r="NLO50" s="408"/>
      <c r="NLP50" s="408"/>
      <c r="NLQ50" s="408"/>
      <c r="NLR50" s="408"/>
      <c r="NLS50" s="408"/>
      <c r="NLT50" s="408"/>
      <c r="NLU50" s="408"/>
      <c r="NLV50" s="408"/>
      <c r="NLW50" s="408"/>
      <c r="NLX50" s="408"/>
      <c r="NLY50" s="408"/>
      <c r="NLZ50" s="408"/>
      <c r="NMA50" s="408"/>
      <c r="NMB50" s="408"/>
      <c r="NMC50" s="408"/>
      <c r="NMD50" s="408"/>
      <c r="NME50" s="408"/>
      <c r="NMF50" s="408"/>
      <c r="NMG50" s="408"/>
      <c r="NMH50" s="408"/>
      <c r="NMI50" s="408"/>
      <c r="NMJ50" s="408"/>
      <c r="NMK50" s="408"/>
      <c r="NML50" s="408"/>
      <c r="NMM50" s="408"/>
      <c r="NMN50" s="408"/>
      <c r="NMO50" s="408"/>
      <c r="NMP50" s="408"/>
      <c r="NMQ50" s="408"/>
      <c r="NMR50" s="408"/>
      <c r="NMS50" s="408"/>
      <c r="NMT50" s="408"/>
      <c r="NMU50" s="408"/>
      <c r="NMV50" s="408"/>
      <c r="NMW50" s="408"/>
      <c r="NMX50" s="408"/>
      <c r="NMY50" s="408"/>
      <c r="NMZ50" s="408"/>
      <c r="NNA50" s="408"/>
      <c r="NNB50" s="408"/>
      <c r="NNC50" s="408"/>
      <c r="NND50" s="408"/>
      <c r="NNE50" s="408"/>
      <c r="NNF50" s="408"/>
      <c r="NNG50" s="408"/>
      <c r="NNH50" s="408"/>
      <c r="NNI50" s="408"/>
      <c r="NNJ50" s="408"/>
      <c r="NNK50" s="408"/>
      <c r="NNL50" s="408"/>
      <c r="NNM50" s="408"/>
      <c r="NNN50" s="408"/>
      <c r="NNO50" s="408"/>
      <c r="NNP50" s="408"/>
      <c r="NNQ50" s="408"/>
      <c r="NNR50" s="408"/>
      <c r="NNS50" s="408"/>
      <c r="NNT50" s="408"/>
      <c r="NNU50" s="408"/>
      <c r="NNV50" s="408"/>
      <c r="NNW50" s="408"/>
      <c r="NNX50" s="408"/>
      <c r="NNY50" s="408"/>
      <c r="NNZ50" s="408"/>
      <c r="NOA50" s="408"/>
      <c r="NOB50" s="408"/>
      <c r="NOC50" s="408"/>
      <c r="NOD50" s="408"/>
      <c r="NOE50" s="408"/>
      <c r="NOF50" s="408"/>
      <c r="NOG50" s="408"/>
      <c r="NOH50" s="408"/>
      <c r="NOI50" s="408"/>
      <c r="NOJ50" s="408"/>
      <c r="NOK50" s="408"/>
      <c r="NOL50" s="408"/>
      <c r="NOM50" s="408"/>
      <c r="NON50" s="408"/>
      <c r="NOO50" s="408"/>
      <c r="NOP50" s="408"/>
      <c r="NOQ50" s="408"/>
      <c r="NOR50" s="408"/>
      <c r="NOS50" s="408"/>
      <c r="NOT50" s="408"/>
      <c r="NOU50" s="408"/>
      <c r="NOV50" s="408"/>
      <c r="NOW50" s="408"/>
      <c r="NOX50" s="408"/>
      <c r="NOY50" s="408"/>
      <c r="NOZ50" s="408"/>
      <c r="NPA50" s="408"/>
      <c r="NPB50" s="408"/>
      <c r="NPC50" s="408"/>
      <c r="NPD50" s="408"/>
      <c r="NPE50" s="408"/>
      <c r="NPF50" s="408"/>
      <c r="NPG50" s="408"/>
      <c r="NPH50" s="408"/>
      <c r="NPI50" s="408"/>
      <c r="NPJ50" s="408"/>
      <c r="NPK50" s="408"/>
      <c r="NPL50" s="408"/>
      <c r="NPM50" s="408"/>
      <c r="NPN50" s="408"/>
      <c r="NPO50" s="408"/>
      <c r="NPP50" s="408"/>
      <c r="NPQ50" s="408"/>
      <c r="NPR50" s="408"/>
      <c r="NPS50" s="408"/>
      <c r="NPT50" s="408"/>
      <c r="NPU50" s="408"/>
      <c r="NPV50" s="408"/>
      <c r="NPW50" s="408"/>
      <c r="NPX50" s="408"/>
      <c r="NPY50" s="408"/>
      <c r="NPZ50" s="408"/>
      <c r="NQA50" s="408"/>
      <c r="NQB50" s="408"/>
      <c r="NQC50" s="408"/>
      <c r="NQD50" s="408"/>
      <c r="NQE50" s="408"/>
      <c r="NQF50" s="408"/>
      <c r="NQG50" s="408"/>
      <c r="NQH50" s="408"/>
      <c r="NQI50" s="408"/>
      <c r="NQJ50" s="408"/>
      <c r="NQK50" s="408"/>
      <c r="NQL50" s="408"/>
      <c r="NQM50" s="408"/>
      <c r="NQN50" s="408"/>
      <c r="NQO50" s="408"/>
      <c r="NQP50" s="408"/>
      <c r="NQQ50" s="408"/>
      <c r="NQR50" s="408"/>
      <c r="NQS50" s="408"/>
      <c r="NQT50" s="408"/>
      <c r="NQU50" s="408"/>
      <c r="NQV50" s="408"/>
      <c r="NQW50" s="408"/>
      <c r="NQX50" s="408"/>
      <c r="NQY50" s="408"/>
      <c r="NQZ50" s="408"/>
      <c r="NRA50" s="408"/>
      <c r="NRB50" s="408"/>
      <c r="NRC50" s="408"/>
      <c r="NRD50" s="408"/>
      <c r="NRE50" s="408"/>
      <c r="NRF50" s="408"/>
      <c r="NRG50" s="408"/>
      <c r="NRH50" s="408"/>
      <c r="NRI50" s="408"/>
      <c r="NRJ50" s="408"/>
      <c r="NRK50" s="408"/>
      <c r="NRL50" s="408"/>
      <c r="NRM50" s="408"/>
      <c r="NRN50" s="408"/>
      <c r="NRO50" s="408"/>
      <c r="NRP50" s="408"/>
      <c r="NRQ50" s="408"/>
      <c r="NRR50" s="408"/>
      <c r="NRS50" s="408"/>
      <c r="NRT50" s="408"/>
      <c r="NRU50" s="408"/>
      <c r="NRV50" s="408"/>
      <c r="NRW50" s="408"/>
      <c r="NRX50" s="408"/>
      <c r="NRY50" s="408"/>
      <c r="NRZ50" s="408"/>
      <c r="NSA50" s="408"/>
      <c r="NSB50" s="408"/>
      <c r="NSC50" s="408"/>
      <c r="NSD50" s="408"/>
      <c r="NSE50" s="408"/>
      <c r="NSF50" s="408"/>
      <c r="NSG50" s="408"/>
      <c r="NSH50" s="408"/>
      <c r="NSI50" s="408"/>
      <c r="NSJ50" s="408"/>
      <c r="NSK50" s="408"/>
      <c r="NSL50" s="408"/>
      <c r="NSM50" s="408"/>
      <c r="NSN50" s="408"/>
      <c r="NSO50" s="408"/>
      <c r="NSP50" s="408"/>
      <c r="NSQ50" s="408"/>
      <c r="NSR50" s="408"/>
      <c r="NSS50" s="408"/>
      <c r="NST50" s="408"/>
      <c r="NSU50" s="408"/>
      <c r="NSV50" s="408"/>
      <c r="NSW50" s="408"/>
      <c r="NSX50" s="408"/>
      <c r="NSY50" s="408"/>
      <c r="NSZ50" s="408"/>
      <c r="NTA50" s="408"/>
      <c r="NTB50" s="408"/>
      <c r="NTC50" s="408"/>
      <c r="NTD50" s="408"/>
      <c r="NTE50" s="408"/>
      <c r="NTF50" s="408"/>
      <c r="NTG50" s="408"/>
      <c r="NTH50" s="408"/>
      <c r="NTI50" s="408"/>
      <c r="NTJ50" s="408"/>
      <c r="NTK50" s="408"/>
      <c r="NTL50" s="408"/>
      <c r="NTM50" s="408"/>
      <c r="NTN50" s="408"/>
      <c r="NTO50" s="408"/>
      <c r="NTP50" s="408"/>
      <c r="NTQ50" s="408"/>
      <c r="NTR50" s="408"/>
      <c r="NTS50" s="408"/>
      <c r="NTT50" s="408"/>
      <c r="NTU50" s="408"/>
      <c r="NTV50" s="408"/>
      <c r="NTW50" s="408"/>
      <c r="NTX50" s="408"/>
      <c r="NTY50" s="408"/>
      <c r="NTZ50" s="408"/>
      <c r="NUA50" s="408"/>
      <c r="NUB50" s="408"/>
      <c r="NUC50" s="408"/>
      <c r="NUD50" s="408"/>
      <c r="NUE50" s="408"/>
      <c r="NUF50" s="408"/>
      <c r="NUG50" s="408"/>
      <c r="NUH50" s="408"/>
      <c r="NUI50" s="408"/>
      <c r="NUJ50" s="408"/>
      <c r="NUK50" s="408"/>
      <c r="NUL50" s="408"/>
      <c r="NUM50" s="408"/>
      <c r="NUN50" s="408"/>
      <c r="NUO50" s="408"/>
      <c r="NUP50" s="408"/>
      <c r="NUQ50" s="408"/>
      <c r="NUR50" s="408"/>
      <c r="NUS50" s="408"/>
      <c r="NUT50" s="408"/>
      <c r="NUU50" s="408"/>
      <c r="NUV50" s="408"/>
      <c r="NUW50" s="408"/>
      <c r="NUX50" s="408"/>
      <c r="NUY50" s="408"/>
      <c r="NUZ50" s="408"/>
      <c r="NVA50" s="408"/>
      <c r="NVB50" s="408"/>
      <c r="NVC50" s="408"/>
      <c r="NVD50" s="408"/>
      <c r="NVE50" s="408"/>
      <c r="NVF50" s="408"/>
      <c r="NVG50" s="408"/>
      <c r="NVH50" s="408"/>
      <c r="NVI50" s="408"/>
      <c r="NVJ50" s="408"/>
      <c r="NVK50" s="408"/>
      <c r="NVL50" s="408"/>
      <c r="NVM50" s="408"/>
      <c r="NVN50" s="408"/>
      <c r="NVO50" s="408"/>
      <c r="NVP50" s="408"/>
      <c r="NVQ50" s="408"/>
      <c r="NVR50" s="408"/>
      <c r="NVS50" s="408"/>
      <c r="NVT50" s="408"/>
      <c r="NVU50" s="408"/>
      <c r="NVV50" s="408"/>
      <c r="NVW50" s="408"/>
      <c r="NVX50" s="408"/>
      <c r="NVY50" s="408"/>
      <c r="NVZ50" s="408"/>
      <c r="NWA50" s="408"/>
      <c r="NWB50" s="408"/>
      <c r="NWC50" s="408"/>
      <c r="NWD50" s="408"/>
      <c r="NWE50" s="408"/>
      <c r="NWF50" s="408"/>
      <c r="NWG50" s="408"/>
      <c r="NWH50" s="408"/>
      <c r="NWI50" s="408"/>
      <c r="NWJ50" s="408"/>
      <c r="NWK50" s="408"/>
      <c r="NWL50" s="408"/>
      <c r="NWM50" s="408"/>
      <c r="NWN50" s="408"/>
      <c r="NWO50" s="408"/>
      <c r="NWP50" s="408"/>
      <c r="NWQ50" s="408"/>
      <c r="NWR50" s="408"/>
      <c r="NWS50" s="408"/>
      <c r="NWT50" s="408"/>
      <c r="NWU50" s="408"/>
      <c r="NWV50" s="408"/>
      <c r="NWW50" s="408"/>
      <c r="NWX50" s="408"/>
      <c r="NWY50" s="408"/>
      <c r="NWZ50" s="408"/>
      <c r="NXA50" s="408"/>
      <c r="NXB50" s="408"/>
      <c r="NXC50" s="408"/>
      <c r="NXD50" s="408"/>
      <c r="NXE50" s="408"/>
      <c r="NXF50" s="408"/>
      <c r="NXG50" s="408"/>
      <c r="NXH50" s="408"/>
      <c r="NXI50" s="408"/>
      <c r="NXJ50" s="408"/>
      <c r="NXK50" s="408"/>
      <c r="NXL50" s="408"/>
      <c r="NXM50" s="408"/>
      <c r="NXN50" s="408"/>
      <c r="NXO50" s="408"/>
      <c r="NXP50" s="408"/>
      <c r="NXQ50" s="408"/>
      <c r="NXR50" s="408"/>
      <c r="NXS50" s="408"/>
      <c r="NXT50" s="408"/>
      <c r="NXU50" s="408"/>
      <c r="NXV50" s="408"/>
      <c r="NXW50" s="408"/>
      <c r="NXX50" s="408"/>
      <c r="NXY50" s="408"/>
      <c r="NXZ50" s="408"/>
      <c r="NYA50" s="408"/>
      <c r="NYB50" s="408"/>
      <c r="NYC50" s="408"/>
      <c r="NYD50" s="408"/>
      <c r="NYE50" s="408"/>
      <c r="NYF50" s="408"/>
      <c r="NYG50" s="408"/>
      <c r="NYH50" s="408"/>
      <c r="NYI50" s="408"/>
      <c r="NYJ50" s="408"/>
      <c r="NYK50" s="408"/>
      <c r="NYL50" s="408"/>
      <c r="NYM50" s="408"/>
      <c r="NYN50" s="408"/>
      <c r="NYO50" s="408"/>
      <c r="NYP50" s="408"/>
      <c r="NYQ50" s="408"/>
      <c r="NYR50" s="408"/>
      <c r="NYS50" s="408"/>
      <c r="NYT50" s="408"/>
      <c r="NYU50" s="408"/>
      <c r="NYV50" s="408"/>
      <c r="NYW50" s="408"/>
      <c r="NYX50" s="408"/>
      <c r="NYY50" s="408"/>
      <c r="NYZ50" s="408"/>
      <c r="NZA50" s="408"/>
      <c r="NZB50" s="408"/>
      <c r="NZC50" s="408"/>
      <c r="NZD50" s="408"/>
      <c r="NZE50" s="408"/>
      <c r="NZF50" s="408"/>
      <c r="NZG50" s="408"/>
      <c r="NZH50" s="408"/>
      <c r="NZI50" s="408"/>
      <c r="NZJ50" s="408"/>
      <c r="NZK50" s="408"/>
      <c r="NZL50" s="408"/>
      <c r="NZM50" s="408"/>
      <c r="NZN50" s="408"/>
      <c r="NZO50" s="408"/>
      <c r="NZP50" s="408"/>
      <c r="NZQ50" s="408"/>
      <c r="NZR50" s="408"/>
      <c r="NZS50" s="408"/>
      <c r="NZT50" s="408"/>
      <c r="NZU50" s="408"/>
      <c r="NZV50" s="408"/>
      <c r="NZW50" s="408"/>
      <c r="NZX50" s="408"/>
      <c r="NZY50" s="408"/>
      <c r="NZZ50" s="408"/>
      <c r="OAA50" s="408"/>
      <c r="OAB50" s="408"/>
      <c r="OAC50" s="408"/>
      <c r="OAD50" s="408"/>
      <c r="OAE50" s="408"/>
      <c r="OAF50" s="408"/>
      <c r="OAG50" s="408"/>
      <c r="OAH50" s="408"/>
      <c r="OAI50" s="408"/>
      <c r="OAJ50" s="408"/>
      <c r="OAK50" s="408"/>
      <c r="OAL50" s="408"/>
      <c r="OAM50" s="408"/>
      <c r="OAN50" s="408"/>
      <c r="OAO50" s="408"/>
      <c r="OAP50" s="408"/>
      <c r="OAQ50" s="408"/>
      <c r="OAR50" s="408"/>
      <c r="OAS50" s="408"/>
      <c r="OAT50" s="408"/>
      <c r="OAU50" s="408"/>
      <c r="OAV50" s="408"/>
      <c r="OAW50" s="408"/>
      <c r="OAX50" s="408"/>
      <c r="OAY50" s="408"/>
      <c r="OAZ50" s="408"/>
      <c r="OBA50" s="408"/>
      <c r="OBB50" s="408"/>
      <c r="OBC50" s="408"/>
      <c r="OBD50" s="408"/>
      <c r="OBE50" s="408"/>
      <c r="OBF50" s="408"/>
      <c r="OBG50" s="408"/>
      <c r="OBH50" s="408"/>
      <c r="OBI50" s="408"/>
      <c r="OBJ50" s="408"/>
      <c r="OBK50" s="408"/>
      <c r="OBL50" s="408"/>
      <c r="OBM50" s="408"/>
      <c r="OBN50" s="408"/>
      <c r="OBO50" s="408"/>
      <c r="OBP50" s="408"/>
      <c r="OBQ50" s="408"/>
      <c r="OBR50" s="408"/>
      <c r="OBS50" s="408"/>
      <c r="OBT50" s="408"/>
      <c r="OBU50" s="408"/>
      <c r="OBV50" s="408"/>
      <c r="OBW50" s="408"/>
      <c r="OBX50" s="408"/>
      <c r="OBY50" s="408"/>
      <c r="OBZ50" s="408"/>
      <c r="OCA50" s="408"/>
      <c r="OCB50" s="408"/>
      <c r="OCC50" s="408"/>
      <c r="OCD50" s="408"/>
      <c r="OCE50" s="408"/>
      <c r="OCF50" s="408"/>
      <c r="OCG50" s="408"/>
      <c r="OCH50" s="408"/>
      <c r="OCI50" s="408"/>
      <c r="OCJ50" s="408"/>
      <c r="OCK50" s="408"/>
      <c r="OCL50" s="408"/>
      <c r="OCM50" s="408"/>
      <c r="OCN50" s="408"/>
      <c r="OCO50" s="408"/>
      <c r="OCP50" s="408"/>
      <c r="OCQ50" s="408"/>
      <c r="OCR50" s="408"/>
      <c r="OCS50" s="408"/>
      <c r="OCT50" s="408"/>
      <c r="OCU50" s="408"/>
      <c r="OCV50" s="408"/>
      <c r="OCW50" s="408"/>
      <c r="OCX50" s="408"/>
      <c r="OCY50" s="408"/>
      <c r="OCZ50" s="408"/>
      <c r="ODA50" s="408"/>
      <c r="ODB50" s="408"/>
      <c r="ODC50" s="408"/>
      <c r="ODD50" s="408"/>
      <c r="ODE50" s="408"/>
      <c r="ODF50" s="408"/>
      <c r="ODG50" s="408"/>
      <c r="ODH50" s="408"/>
      <c r="ODI50" s="408"/>
      <c r="ODJ50" s="408"/>
      <c r="ODK50" s="408"/>
      <c r="ODL50" s="408"/>
      <c r="ODM50" s="408"/>
      <c r="ODN50" s="408"/>
      <c r="ODO50" s="408"/>
      <c r="ODP50" s="408"/>
      <c r="ODQ50" s="408"/>
      <c r="ODR50" s="408"/>
      <c r="ODS50" s="408"/>
      <c r="ODT50" s="408"/>
      <c r="ODU50" s="408"/>
      <c r="ODV50" s="408"/>
      <c r="ODW50" s="408"/>
      <c r="ODX50" s="408"/>
      <c r="ODY50" s="408"/>
      <c r="ODZ50" s="408"/>
      <c r="OEA50" s="408"/>
      <c r="OEB50" s="408"/>
      <c r="OEC50" s="408"/>
      <c r="OED50" s="408"/>
      <c r="OEE50" s="408"/>
      <c r="OEF50" s="408"/>
      <c r="OEG50" s="408"/>
      <c r="OEH50" s="408"/>
      <c r="OEI50" s="408"/>
      <c r="OEJ50" s="408"/>
      <c r="OEK50" s="408"/>
      <c r="OEL50" s="408"/>
      <c r="OEM50" s="408"/>
      <c r="OEN50" s="408"/>
      <c r="OEO50" s="408"/>
      <c r="OEP50" s="408"/>
      <c r="OEQ50" s="408"/>
      <c r="OER50" s="408"/>
      <c r="OES50" s="408"/>
      <c r="OET50" s="408"/>
      <c r="OEU50" s="408"/>
      <c r="OEV50" s="408"/>
      <c r="OEW50" s="408"/>
      <c r="OEX50" s="408"/>
      <c r="OEY50" s="408"/>
      <c r="OEZ50" s="408"/>
      <c r="OFA50" s="408"/>
      <c r="OFB50" s="408"/>
      <c r="OFC50" s="408"/>
      <c r="OFD50" s="408"/>
      <c r="OFE50" s="408"/>
      <c r="OFF50" s="408"/>
      <c r="OFG50" s="408"/>
      <c r="OFH50" s="408"/>
      <c r="OFI50" s="408"/>
      <c r="OFJ50" s="408"/>
      <c r="OFK50" s="408"/>
      <c r="OFL50" s="408"/>
      <c r="OFM50" s="408"/>
      <c r="OFN50" s="408"/>
      <c r="OFO50" s="408"/>
      <c r="OFP50" s="408"/>
      <c r="OFQ50" s="408"/>
      <c r="OFR50" s="408"/>
      <c r="OFS50" s="408"/>
      <c r="OFT50" s="408"/>
      <c r="OFU50" s="408"/>
      <c r="OFV50" s="408"/>
      <c r="OFW50" s="408"/>
      <c r="OFX50" s="408"/>
      <c r="OFY50" s="408"/>
      <c r="OFZ50" s="408"/>
      <c r="OGA50" s="408"/>
      <c r="OGB50" s="408"/>
      <c r="OGC50" s="408"/>
      <c r="OGD50" s="408"/>
      <c r="OGE50" s="408"/>
      <c r="OGF50" s="408"/>
      <c r="OGG50" s="408"/>
      <c r="OGH50" s="408"/>
      <c r="OGI50" s="408"/>
      <c r="OGJ50" s="408"/>
      <c r="OGK50" s="408"/>
      <c r="OGL50" s="408"/>
      <c r="OGM50" s="408"/>
      <c r="OGN50" s="408"/>
      <c r="OGO50" s="408"/>
      <c r="OGP50" s="408"/>
      <c r="OGQ50" s="408"/>
      <c r="OGR50" s="408"/>
      <c r="OGS50" s="408"/>
      <c r="OGT50" s="408"/>
      <c r="OGU50" s="408"/>
      <c r="OGV50" s="408"/>
      <c r="OGW50" s="408"/>
      <c r="OGX50" s="408"/>
      <c r="OGY50" s="408"/>
      <c r="OGZ50" s="408"/>
      <c r="OHA50" s="408"/>
      <c r="OHB50" s="408"/>
      <c r="OHC50" s="408"/>
      <c r="OHD50" s="408"/>
      <c r="OHE50" s="408"/>
      <c r="OHF50" s="408"/>
      <c r="OHG50" s="408"/>
      <c r="OHH50" s="408"/>
      <c r="OHI50" s="408"/>
      <c r="OHJ50" s="408"/>
      <c r="OHK50" s="408"/>
      <c r="OHL50" s="408"/>
      <c r="OHM50" s="408"/>
      <c r="OHN50" s="408"/>
      <c r="OHO50" s="408"/>
      <c r="OHP50" s="408"/>
      <c r="OHQ50" s="408"/>
      <c r="OHR50" s="408"/>
      <c r="OHS50" s="408"/>
      <c r="OHT50" s="408"/>
      <c r="OHU50" s="408"/>
      <c r="OHV50" s="408"/>
      <c r="OHW50" s="408"/>
      <c r="OHX50" s="408"/>
      <c r="OHY50" s="408"/>
      <c r="OHZ50" s="408"/>
      <c r="OIA50" s="408"/>
      <c r="OIB50" s="408"/>
      <c r="OIC50" s="408"/>
      <c r="OID50" s="408"/>
      <c r="OIE50" s="408"/>
      <c r="OIF50" s="408"/>
      <c r="OIG50" s="408"/>
      <c r="OIH50" s="408"/>
      <c r="OII50" s="408"/>
      <c r="OIJ50" s="408"/>
      <c r="OIK50" s="408"/>
      <c r="OIL50" s="408"/>
      <c r="OIM50" s="408"/>
      <c r="OIN50" s="408"/>
      <c r="OIO50" s="408"/>
      <c r="OIP50" s="408"/>
      <c r="OIQ50" s="408"/>
      <c r="OIR50" s="408"/>
      <c r="OIS50" s="408"/>
      <c r="OIT50" s="408"/>
      <c r="OIU50" s="408"/>
      <c r="OIV50" s="408"/>
      <c r="OIW50" s="408"/>
      <c r="OIX50" s="408"/>
      <c r="OIY50" s="408"/>
      <c r="OIZ50" s="408"/>
      <c r="OJA50" s="408"/>
      <c r="OJB50" s="408"/>
      <c r="OJC50" s="408"/>
      <c r="OJD50" s="408"/>
      <c r="OJE50" s="408"/>
      <c r="OJF50" s="408"/>
      <c r="OJG50" s="408"/>
      <c r="OJH50" s="408"/>
      <c r="OJI50" s="408"/>
      <c r="OJJ50" s="408"/>
      <c r="OJK50" s="408"/>
      <c r="OJL50" s="408"/>
      <c r="OJM50" s="408"/>
      <c r="OJN50" s="408"/>
      <c r="OJO50" s="408"/>
      <c r="OJP50" s="408"/>
      <c r="OJQ50" s="408"/>
      <c r="OJR50" s="408"/>
      <c r="OJS50" s="408"/>
      <c r="OJT50" s="408"/>
      <c r="OJU50" s="408"/>
      <c r="OJV50" s="408"/>
      <c r="OJW50" s="408"/>
      <c r="OJX50" s="408"/>
      <c r="OJY50" s="408"/>
      <c r="OJZ50" s="408"/>
      <c r="OKA50" s="408"/>
      <c r="OKB50" s="408"/>
      <c r="OKC50" s="408"/>
      <c r="OKD50" s="408"/>
      <c r="OKE50" s="408"/>
      <c r="OKF50" s="408"/>
      <c r="OKG50" s="408"/>
      <c r="OKH50" s="408"/>
      <c r="OKI50" s="408"/>
      <c r="OKJ50" s="408"/>
      <c r="OKK50" s="408"/>
      <c r="OKL50" s="408"/>
      <c r="OKM50" s="408"/>
      <c r="OKN50" s="408"/>
      <c r="OKO50" s="408"/>
      <c r="OKP50" s="408"/>
      <c r="OKQ50" s="408"/>
      <c r="OKR50" s="408"/>
      <c r="OKS50" s="408"/>
      <c r="OKT50" s="408"/>
      <c r="OKU50" s="408"/>
      <c r="OKV50" s="408"/>
      <c r="OKW50" s="408"/>
      <c r="OKX50" s="408"/>
      <c r="OKY50" s="408"/>
      <c r="OKZ50" s="408"/>
      <c r="OLA50" s="408"/>
      <c r="OLB50" s="408"/>
      <c r="OLC50" s="408"/>
      <c r="OLD50" s="408"/>
      <c r="OLE50" s="408"/>
      <c r="OLF50" s="408"/>
      <c r="OLG50" s="408"/>
      <c r="OLH50" s="408"/>
      <c r="OLI50" s="408"/>
      <c r="OLJ50" s="408"/>
      <c r="OLK50" s="408"/>
      <c r="OLL50" s="408"/>
      <c r="OLM50" s="408"/>
      <c r="OLN50" s="408"/>
      <c r="OLO50" s="408"/>
      <c r="OLP50" s="408"/>
      <c r="OLQ50" s="408"/>
      <c r="OLR50" s="408"/>
      <c r="OLS50" s="408"/>
      <c r="OLT50" s="408"/>
      <c r="OLU50" s="408"/>
      <c r="OLV50" s="408"/>
      <c r="OLW50" s="408"/>
      <c r="OLX50" s="408"/>
      <c r="OLY50" s="408"/>
      <c r="OLZ50" s="408"/>
      <c r="OMA50" s="408"/>
      <c r="OMB50" s="408"/>
      <c r="OMC50" s="408"/>
      <c r="OMD50" s="408"/>
      <c r="OME50" s="408"/>
      <c r="OMF50" s="408"/>
      <c r="OMG50" s="408"/>
      <c r="OMH50" s="408"/>
      <c r="OMI50" s="408"/>
      <c r="OMJ50" s="408"/>
      <c r="OMK50" s="408"/>
      <c r="OML50" s="408"/>
      <c r="OMM50" s="408"/>
      <c r="OMN50" s="408"/>
      <c r="OMO50" s="408"/>
      <c r="OMP50" s="408"/>
      <c r="OMQ50" s="408"/>
      <c r="OMR50" s="408"/>
      <c r="OMS50" s="408"/>
      <c r="OMT50" s="408"/>
      <c r="OMU50" s="408"/>
      <c r="OMV50" s="408"/>
      <c r="OMW50" s="408"/>
      <c r="OMX50" s="408"/>
      <c r="OMY50" s="408"/>
      <c r="OMZ50" s="408"/>
      <c r="ONA50" s="408"/>
      <c r="ONB50" s="408"/>
      <c r="ONC50" s="408"/>
      <c r="OND50" s="408"/>
      <c r="ONE50" s="408"/>
      <c r="ONF50" s="408"/>
      <c r="ONG50" s="408"/>
      <c r="ONH50" s="408"/>
      <c r="ONI50" s="408"/>
      <c r="ONJ50" s="408"/>
      <c r="ONK50" s="408"/>
      <c r="ONL50" s="408"/>
      <c r="ONM50" s="408"/>
      <c r="ONN50" s="408"/>
      <c r="ONO50" s="408"/>
      <c r="ONP50" s="408"/>
      <c r="ONQ50" s="408"/>
      <c r="ONR50" s="408"/>
      <c r="ONS50" s="408"/>
      <c r="ONT50" s="408"/>
      <c r="ONU50" s="408"/>
      <c r="ONV50" s="408"/>
      <c r="ONW50" s="408"/>
      <c r="ONX50" s="408"/>
      <c r="ONY50" s="408"/>
      <c r="ONZ50" s="408"/>
      <c r="OOA50" s="408"/>
      <c r="OOB50" s="408"/>
      <c r="OOC50" s="408"/>
      <c r="OOD50" s="408"/>
      <c r="OOE50" s="408"/>
      <c r="OOF50" s="408"/>
      <c r="OOG50" s="408"/>
      <c r="OOH50" s="408"/>
      <c r="OOI50" s="408"/>
      <c r="OOJ50" s="408"/>
      <c r="OOK50" s="408"/>
      <c r="OOL50" s="408"/>
      <c r="OOM50" s="408"/>
      <c r="OON50" s="408"/>
      <c r="OOO50" s="408"/>
      <c r="OOP50" s="408"/>
      <c r="OOQ50" s="408"/>
      <c r="OOR50" s="408"/>
      <c r="OOS50" s="408"/>
      <c r="OOT50" s="408"/>
      <c r="OOU50" s="408"/>
      <c r="OOV50" s="408"/>
      <c r="OOW50" s="408"/>
      <c r="OOX50" s="408"/>
      <c r="OOY50" s="408"/>
      <c r="OOZ50" s="408"/>
      <c r="OPA50" s="408"/>
      <c r="OPB50" s="408"/>
      <c r="OPC50" s="408"/>
      <c r="OPD50" s="408"/>
      <c r="OPE50" s="408"/>
      <c r="OPF50" s="408"/>
      <c r="OPG50" s="408"/>
      <c r="OPH50" s="408"/>
      <c r="OPI50" s="408"/>
      <c r="OPJ50" s="408"/>
      <c r="OPK50" s="408"/>
      <c r="OPL50" s="408"/>
      <c r="OPM50" s="408"/>
      <c r="OPN50" s="408"/>
      <c r="OPO50" s="408"/>
      <c r="OPP50" s="408"/>
      <c r="OPQ50" s="408"/>
      <c r="OPR50" s="408"/>
      <c r="OPS50" s="408"/>
      <c r="OPT50" s="408"/>
      <c r="OPU50" s="408"/>
      <c r="OPV50" s="408"/>
      <c r="OPW50" s="408"/>
      <c r="OPX50" s="408"/>
      <c r="OPY50" s="408"/>
      <c r="OPZ50" s="408"/>
      <c r="OQA50" s="408"/>
      <c r="OQB50" s="408"/>
      <c r="OQC50" s="408"/>
      <c r="OQD50" s="408"/>
      <c r="OQE50" s="408"/>
      <c r="OQF50" s="408"/>
      <c r="OQG50" s="408"/>
      <c r="OQH50" s="408"/>
      <c r="OQI50" s="408"/>
      <c r="OQJ50" s="408"/>
      <c r="OQK50" s="408"/>
      <c r="OQL50" s="408"/>
      <c r="OQM50" s="408"/>
      <c r="OQN50" s="408"/>
      <c r="OQO50" s="408"/>
      <c r="OQP50" s="408"/>
      <c r="OQQ50" s="408"/>
      <c r="OQR50" s="408"/>
      <c r="OQS50" s="408"/>
      <c r="OQT50" s="408"/>
      <c r="OQU50" s="408"/>
      <c r="OQV50" s="408"/>
      <c r="OQW50" s="408"/>
      <c r="OQX50" s="408"/>
      <c r="OQY50" s="408"/>
      <c r="OQZ50" s="408"/>
      <c r="ORA50" s="408"/>
      <c r="ORB50" s="408"/>
      <c r="ORC50" s="408"/>
      <c r="ORD50" s="408"/>
      <c r="ORE50" s="408"/>
      <c r="ORF50" s="408"/>
      <c r="ORG50" s="408"/>
      <c r="ORH50" s="408"/>
      <c r="ORI50" s="408"/>
      <c r="ORJ50" s="408"/>
      <c r="ORK50" s="408"/>
      <c r="ORL50" s="408"/>
      <c r="ORM50" s="408"/>
      <c r="ORN50" s="408"/>
      <c r="ORO50" s="408"/>
      <c r="ORP50" s="408"/>
      <c r="ORQ50" s="408"/>
      <c r="ORR50" s="408"/>
      <c r="ORS50" s="408"/>
      <c r="ORT50" s="408"/>
      <c r="ORU50" s="408"/>
      <c r="ORV50" s="408"/>
      <c r="ORW50" s="408"/>
      <c r="ORX50" s="408"/>
      <c r="ORY50" s="408"/>
      <c r="ORZ50" s="408"/>
      <c r="OSA50" s="408"/>
      <c r="OSB50" s="408"/>
      <c r="OSC50" s="408"/>
      <c r="OSD50" s="408"/>
      <c r="OSE50" s="408"/>
      <c r="OSF50" s="408"/>
      <c r="OSG50" s="408"/>
      <c r="OSH50" s="408"/>
      <c r="OSI50" s="408"/>
      <c r="OSJ50" s="408"/>
      <c r="OSK50" s="408"/>
      <c r="OSL50" s="408"/>
      <c r="OSM50" s="408"/>
      <c r="OSN50" s="408"/>
      <c r="OSO50" s="408"/>
      <c r="OSP50" s="408"/>
      <c r="OSQ50" s="408"/>
      <c r="OSR50" s="408"/>
      <c r="OSS50" s="408"/>
      <c r="OST50" s="408"/>
      <c r="OSU50" s="408"/>
      <c r="OSV50" s="408"/>
      <c r="OSW50" s="408"/>
      <c r="OSX50" s="408"/>
      <c r="OSY50" s="408"/>
      <c r="OSZ50" s="408"/>
      <c r="OTA50" s="408"/>
      <c r="OTB50" s="408"/>
      <c r="OTC50" s="408"/>
      <c r="OTD50" s="408"/>
      <c r="OTE50" s="408"/>
      <c r="OTF50" s="408"/>
      <c r="OTG50" s="408"/>
      <c r="OTH50" s="408"/>
      <c r="OTI50" s="408"/>
      <c r="OTJ50" s="408"/>
      <c r="OTK50" s="408"/>
      <c r="OTL50" s="408"/>
      <c r="OTM50" s="408"/>
      <c r="OTN50" s="408"/>
      <c r="OTO50" s="408"/>
      <c r="OTP50" s="408"/>
      <c r="OTQ50" s="408"/>
      <c r="OTR50" s="408"/>
      <c r="OTS50" s="408"/>
      <c r="OTT50" s="408"/>
      <c r="OTU50" s="408"/>
      <c r="OTV50" s="408"/>
      <c r="OTW50" s="408"/>
      <c r="OTX50" s="408"/>
      <c r="OTY50" s="408"/>
      <c r="OTZ50" s="408"/>
      <c r="OUA50" s="408"/>
      <c r="OUB50" s="408"/>
      <c r="OUC50" s="408"/>
      <c r="OUD50" s="408"/>
      <c r="OUE50" s="408"/>
      <c r="OUF50" s="408"/>
      <c r="OUG50" s="408"/>
      <c r="OUH50" s="408"/>
      <c r="OUI50" s="408"/>
      <c r="OUJ50" s="408"/>
      <c r="OUK50" s="408"/>
      <c r="OUL50" s="408"/>
      <c r="OUM50" s="408"/>
      <c r="OUN50" s="408"/>
      <c r="OUO50" s="408"/>
      <c r="OUP50" s="408"/>
      <c r="OUQ50" s="408"/>
      <c r="OUR50" s="408"/>
      <c r="OUS50" s="408"/>
      <c r="OUT50" s="408"/>
      <c r="OUU50" s="408"/>
      <c r="OUV50" s="408"/>
      <c r="OUW50" s="408"/>
      <c r="OUX50" s="408"/>
      <c r="OUY50" s="408"/>
      <c r="OUZ50" s="408"/>
      <c r="OVA50" s="408"/>
      <c r="OVB50" s="408"/>
      <c r="OVC50" s="408"/>
      <c r="OVD50" s="408"/>
      <c r="OVE50" s="408"/>
      <c r="OVF50" s="408"/>
      <c r="OVG50" s="408"/>
      <c r="OVH50" s="408"/>
      <c r="OVI50" s="408"/>
      <c r="OVJ50" s="408"/>
      <c r="OVK50" s="408"/>
      <c r="OVL50" s="408"/>
      <c r="OVM50" s="408"/>
      <c r="OVN50" s="408"/>
      <c r="OVO50" s="408"/>
      <c r="OVP50" s="408"/>
      <c r="OVQ50" s="408"/>
      <c r="OVR50" s="408"/>
      <c r="OVS50" s="408"/>
      <c r="OVT50" s="408"/>
      <c r="OVU50" s="408"/>
      <c r="OVV50" s="408"/>
      <c r="OVW50" s="408"/>
      <c r="OVX50" s="408"/>
      <c r="OVY50" s="408"/>
      <c r="OVZ50" s="408"/>
      <c r="OWA50" s="408"/>
      <c r="OWB50" s="408"/>
      <c r="OWC50" s="408"/>
      <c r="OWD50" s="408"/>
      <c r="OWE50" s="408"/>
      <c r="OWF50" s="408"/>
      <c r="OWG50" s="408"/>
      <c r="OWH50" s="408"/>
      <c r="OWI50" s="408"/>
      <c r="OWJ50" s="408"/>
      <c r="OWK50" s="408"/>
      <c r="OWL50" s="408"/>
      <c r="OWM50" s="408"/>
      <c r="OWN50" s="408"/>
      <c r="OWO50" s="408"/>
      <c r="OWP50" s="408"/>
      <c r="OWQ50" s="408"/>
      <c r="OWR50" s="408"/>
      <c r="OWS50" s="408"/>
      <c r="OWT50" s="408"/>
      <c r="OWU50" s="408"/>
      <c r="OWV50" s="408"/>
      <c r="OWW50" s="408"/>
      <c r="OWX50" s="408"/>
      <c r="OWY50" s="408"/>
      <c r="OWZ50" s="408"/>
      <c r="OXA50" s="408"/>
      <c r="OXB50" s="408"/>
      <c r="OXC50" s="408"/>
      <c r="OXD50" s="408"/>
      <c r="OXE50" s="408"/>
      <c r="OXF50" s="408"/>
      <c r="OXG50" s="408"/>
      <c r="OXH50" s="408"/>
      <c r="OXI50" s="408"/>
      <c r="OXJ50" s="408"/>
      <c r="OXK50" s="408"/>
      <c r="OXL50" s="408"/>
      <c r="OXM50" s="408"/>
      <c r="OXN50" s="408"/>
      <c r="OXO50" s="408"/>
      <c r="OXP50" s="408"/>
      <c r="OXQ50" s="408"/>
      <c r="OXR50" s="408"/>
      <c r="OXS50" s="408"/>
      <c r="OXT50" s="408"/>
      <c r="OXU50" s="408"/>
      <c r="OXV50" s="408"/>
      <c r="OXW50" s="408"/>
      <c r="OXX50" s="408"/>
      <c r="OXY50" s="408"/>
      <c r="OXZ50" s="408"/>
      <c r="OYA50" s="408"/>
      <c r="OYB50" s="408"/>
      <c r="OYC50" s="408"/>
      <c r="OYD50" s="408"/>
      <c r="OYE50" s="408"/>
      <c r="OYF50" s="408"/>
      <c r="OYG50" s="408"/>
      <c r="OYH50" s="408"/>
      <c r="OYI50" s="408"/>
      <c r="OYJ50" s="408"/>
      <c r="OYK50" s="408"/>
      <c r="OYL50" s="408"/>
      <c r="OYM50" s="408"/>
      <c r="OYN50" s="408"/>
      <c r="OYO50" s="408"/>
      <c r="OYP50" s="408"/>
      <c r="OYQ50" s="408"/>
      <c r="OYR50" s="408"/>
      <c r="OYS50" s="408"/>
      <c r="OYT50" s="408"/>
      <c r="OYU50" s="408"/>
      <c r="OYV50" s="408"/>
      <c r="OYW50" s="408"/>
      <c r="OYX50" s="408"/>
      <c r="OYY50" s="408"/>
      <c r="OYZ50" s="408"/>
      <c r="OZA50" s="408"/>
      <c r="OZB50" s="408"/>
      <c r="OZC50" s="408"/>
      <c r="OZD50" s="408"/>
      <c r="OZE50" s="408"/>
      <c r="OZF50" s="408"/>
      <c r="OZG50" s="408"/>
      <c r="OZH50" s="408"/>
      <c r="OZI50" s="408"/>
      <c r="OZJ50" s="408"/>
      <c r="OZK50" s="408"/>
      <c r="OZL50" s="408"/>
      <c r="OZM50" s="408"/>
      <c r="OZN50" s="408"/>
      <c r="OZO50" s="408"/>
      <c r="OZP50" s="408"/>
      <c r="OZQ50" s="408"/>
      <c r="OZR50" s="408"/>
      <c r="OZS50" s="408"/>
      <c r="OZT50" s="408"/>
      <c r="OZU50" s="408"/>
      <c r="OZV50" s="408"/>
      <c r="OZW50" s="408"/>
      <c r="OZX50" s="408"/>
      <c r="OZY50" s="408"/>
      <c r="OZZ50" s="408"/>
      <c r="PAA50" s="408"/>
      <c r="PAB50" s="408"/>
      <c r="PAC50" s="408"/>
      <c r="PAD50" s="408"/>
      <c r="PAE50" s="408"/>
      <c r="PAF50" s="408"/>
      <c r="PAG50" s="408"/>
      <c r="PAH50" s="408"/>
      <c r="PAI50" s="408"/>
      <c r="PAJ50" s="408"/>
      <c r="PAK50" s="408"/>
      <c r="PAL50" s="408"/>
      <c r="PAM50" s="408"/>
      <c r="PAN50" s="408"/>
      <c r="PAO50" s="408"/>
      <c r="PAP50" s="408"/>
      <c r="PAQ50" s="408"/>
      <c r="PAR50" s="408"/>
      <c r="PAS50" s="408"/>
      <c r="PAT50" s="408"/>
      <c r="PAU50" s="408"/>
      <c r="PAV50" s="408"/>
      <c r="PAW50" s="408"/>
      <c r="PAX50" s="408"/>
      <c r="PAY50" s="408"/>
      <c r="PAZ50" s="408"/>
      <c r="PBA50" s="408"/>
      <c r="PBB50" s="408"/>
      <c r="PBC50" s="408"/>
      <c r="PBD50" s="408"/>
      <c r="PBE50" s="408"/>
      <c r="PBF50" s="408"/>
      <c r="PBG50" s="408"/>
      <c r="PBH50" s="408"/>
      <c r="PBI50" s="408"/>
      <c r="PBJ50" s="408"/>
      <c r="PBK50" s="408"/>
      <c r="PBL50" s="408"/>
      <c r="PBM50" s="408"/>
      <c r="PBN50" s="408"/>
      <c r="PBO50" s="408"/>
      <c r="PBP50" s="408"/>
      <c r="PBQ50" s="408"/>
      <c r="PBR50" s="408"/>
      <c r="PBS50" s="408"/>
      <c r="PBT50" s="408"/>
      <c r="PBU50" s="408"/>
      <c r="PBV50" s="408"/>
      <c r="PBW50" s="408"/>
      <c r="PBX50" s="408"/>
      <c r="PBY50" s="408"/>
      <c r="PBZ50" s="408"/>
      <c r="PCA50" s="408"/>
      <c r="PCB50" s="408"/>
      <c r="PCC50" s="408"/>
      <c r="PCD50" s="408"/>
      <c r="PCE50" s="408"/>
      <c r="PCF50" s="408"/>
      <c r="PCG50" s="408"/>
      <c r="PCH50" s="408"/>
      <c r="PCI50" s="408"/>
      <c r="PCJ50" s="408"/>
      <c r="PCK50" s="408"/>
      <c r="PCL50" s="408"/>
      <c r="PCM50" s="408"/>
      <c r="PCN50" s="408"/>
      <c r="PCO50" s="408"/>
      <c r="PCP50" s="408"/>
      <c r="PCQ50" s="408"/>
      <c r="PCR50" s="408"/>
      <c r="PCS50" s="408"/>
      <c r="PCT50" s="408"/>
      <c r="PCU50" s="408"/>
      <c r="PCV50" s="408"/>
      <c r="PCW50" s="408"/>
      <c r="PCX50" s="408"/>
      <c r="PCY50" s="408"/>
      <c r="PCZ50" s="408"/>
      <c r="PDA50" s="408"/>
      <c r="PDB50" s="408"/>
      <c r="PDC50" s="408"/>
      <c r="PDD50" s="408"/>
      <c r="PDE50" s="408"/>
      <c r="PDF50" s="408"/>
      <c r="PDG50" s="408"/>
      <c r="PDH50" s="408"/>
      <c r="PDI50" s="408"/>
      <c r="PDJ50" s="408"/>
      <c r="PDK50" s="408"/>
      <c r="PDL50" s="408"/>
      <c r="PDM50" s="408"/>
      <c r="PDN50" s="408"/>
      <c r="PDO50" s="408"/>
      <c r="PDP50" s="408"/>
      <c r="PDQ50" s="408"/>
      <c r="PDR50" s="408"/>
      <c r="PDS50" s="408"/>
      <c r="PDT50" s="408"/>
      <c r="PDU50" s="408"/>
      <c r="PDV50" s="408"/>
      <c r="PDW50" s="408"/>
      <c r="PDX50" s="408"/>
      <c r="PDY50" s="408"/>
      <c r="PDZ50" s="408"/>
      <c r="PEA50" s="408"/>
      <c r="PEB50" s="408"/>
      <c r="PEC50" s="408"/>
      <c r="PED50" s="408"/>
      <c r="PEE50" s="408"/>
      <c r="PEF50" s="408"/>
      <c r="PEG50" s="408"/>
      <c r="PEH50" s="408"/>
      <c r="PEI50" s="408"/>
      <c r="PEJ50" s="408"/>
      <c r="PEK50" s="408"/>
      <c r="PEL50" s="408"/>
      <c r="PEM50" s="408"/>
      <c r="PEN50" s="408"/>
      <c r="PEO50" s="408"/>
      <c r="PEP50" s="408"/>
      <c r="PEQ50" s="408"/>
      <c r="PER50" s="408"/>
      <c r="PES50" s="408"/>
      <c r="PET50" s="408"/>
      <c r="PEU50" s="408"/>
      <c r="PEV50" s="408"/>
      <c r="PEW50" s="408"/>
      <c r="PEX50" s="408"/>
      <c r="PEY50" s="408"/>
      <c r="PEZ50" s="408"/>
      <c r="PFA50" s="408"/>
      <c r="PFB50" s="408"/>
      <c r="PFC50" s="408"/>
      <c r="PFD50" s="408"/>
      <c r="PFE50" s="408"/>
      <c r="PFF50" s="408"/>
      <c r="PFG50" s="408"/>
      <c r="PFH50" s="408"/>
      <c r="PFI50" s="408"/>
      <c r="PFJ50" s="408"/>
      <c r="PFK50" s="408"/>
      <c r="PFL50" s="408"/>
      <c r="PFM50" s="408"/>
      <c r="PFN50" s="408"/>
      <c r="PFO50" s="408"/>
      <c r="PFP50" s="408"/>
      <c r="PFQ50" s="408"/>
      <c r="PFR50" s="408"/>
      <c r="PFS50" s="408"/>
      <c r="PFT50" s="408"/>
      <c r="PFU50" s="408"/>
      <c r="PFV50" s="408"/>
      <c r="PFW50" s="408"/>
      <c r="PFX50" s="408"/>
      <c r="PFY50" s="408"/>
      <c r="PFZ50" s="408"/>
      <c r="PGA50" s="408"/>
      <c r="PGB50" s="408"/>
      <c r="PGC50" s="408"/>
      <c r="PGD50" s="408"/>
      <c r="PGE50" s="408"/>
      <c r="PGF50" s="408"/>
      <c r="PGG50" s="408"/>
      <c r="PGH50" s="408"/>
      <c r="PGI50" s="408"/>
      <c r="PGJ50" s="408"/>
      <c r="PGK50" s="408"/>
      <c r="PGL50" s="408"/>
      <c r="PGM50" s="408"/>
      <c r="PGN50" s="408"/>
      <c r="PGO50" s="408"/>
      <c r="PGP50" s="408"/>
      <c r="PGQ50" s="408"/>
      <c r="PGR50" s="408"/>
      <c r="PGS50" s="408"/>
      <c r="PGT50" s="408"/>
      <c r="PGU50" s="408"/>
      <c r="PGV50" s="408"/>
      <c r="PGW50" s="408"/>
      <c r="PGX50" s="408"/>
      <c r="PGY50" s="408"/>
      <c r="PGZ50" s="408"/>
      <c r="PHA50" s="408"/>
      <c r="PHB50" s="408"/>
      <c r="PHC50" s="408"/>
      <c r="PHD50" s="408"/>
      <c r="PHE50" s="408"/>
      <c r="PHF50" s="408"/>
      <c r="PHG50" s="408"/>
      <c r="PHH50" s="408"/>
      <c r="PHI50" s="408"/>
      <c r="PHJ50" s="408"/>
      <c r="PHK50" s="408"/>
      <c r="PHL50" s="408"/>
      <c r="PHM50" s="408"/>
      <c r="PHN50" s="408"/>
      <c r="PHO50" s="408"/>
      <c r="PHP50" s="408"/>
      <c r="PHQ50" s="408"/>
      <c r="PHR50" s="408"/>
      <c r="PHS50" s="408"/>
      <c r="PHT50" s="408"/>
      <c r="PHU50" s="408"/>
      <c r="PHV50" s="408"/>
      <c r="PHW50" s="408"/>
      <c r="PHX50" s="408"/>
      <c r="PHY50" s="408"/>
      <c r="PHZ50" s="408"/>
      <c r="PIA50" s="408"/>
      <c r="PIB50" s="408"/>
      <c r="PIC50" s="408"/>
      <c r="PID50" s="408"/>
      <c r="PIE50" s="408"/>
      <c r="PIF50" s="408"/>
      <c r="PIG50" s="408"/>
      <c r="PIH50" s="408"/>
      <c r="PII50" s="408"/>
      <c r="PIJ50" s="408"/>
      <c r="PIK50" s="408"/>
      <c r="PIL50" s="408"/>
      <c r="PIM50" s="408"/>
      <c r="PIN50" s="408"/>
      <c r="PIO50" s="408"/>
      <c r="PIP50" s="408"/>
      <c r="PIQ50" s="408"/>
      <c r="PIR50" s="408"/>
      <c r="PIS50" s="408"/>
      <c r="PIT50" s="408"/>
      <c r="PIU50" s="408"/>
      <c r="PIV50" s="408"/>
      <c r="PIW50" s="408"/>
      <c r="PIX50" s="408"/>
      <c r="PIY50" s="408"/>
      <c r="PIZ50" s="408"/>
      <c r="PJA50" s="408"/>
      <c r="PJB50" s="408"/>
      <c r="PJC50" s="408"/>
      <c r="PJD50" s="408"/>
      <c r="PJE50" s="408"/>
      <c r="PJF50" s="408"/>
      <c r="PJG50" s="408"/>
      <c r="PJH50" s="408"/>
      <c r="PJI50" s="408"/>
      <c r="PJJ50" s="408"/>
      <c r="PJK50" s="408"/>
      <c r="PJL50" s="408"/>
      <c r="PJM50" s="408"/>
      <c r="PJN50" s="408"/>
      <c r="PJO50" s="408"/>
      <c r="PJP50" s="408"/>
      <c r="PJQ50" s="408"/>
      <c r="PJR50" s="408"/>
      <c r="PJS50" s="408"/>
      <c r="PJT50" s="408"/>
      <c r="PJU50" s="408"/>
      <c r="PJV50" s="408"/>
      <c r="PJW50" s="408"/>
      <c r="PJX50" s="408"/>
      <c r="PJY50" s="408"/>
      <c r="PJZ50" s="408"/>
      <c r="PKA50" s="408"/>
      <c r="PKB50" s="408"/>
      <c r="PKC50" s="408"/>
      <c r="PKD50" s="408"/>
      <c r="PKE50" s="408"/>
      <c r="PKF50" s="408"/>
      <c r="PKG50" s="408"/>
      <c r="PKH50" s="408"/>
      <c r="PKI50" s="408"/>
      <c r="PKJ50" s="408"/>
      <c r="PKK50" s="408"/>
      <c r="PKL50" s="408"/>
      <c r="PKM50" s="408"/>
      <c r="PKN50" s="408"/>
      <c r="PKO50" s="408"/>
      <c r="PKP50" s="408"/>
      <c r="PKQ50" s="408"/>
      <c r="PKR50" s="408"/>
      <c r="PKS50" s="408"/>
      <c r="PKT50" s="408"/>
      <c r="PKU50" s="408"/>
      <c r="PKV50" s="408"/>
      <c r="PKW50" s="408"/>
      <c r="PKX50" s="408"/>
      <c r="PKY50" s="408"/>
      <c r="PKZ50" s="408"/>
      <c r="PLA50" s="408"/>
      <c r="PLB50" s="408"/>
      <c r="PLC50" s="408"/>
      <c r="PLD50" s="408"/>
      <c r="PLE50" s="408"/>
      <c r="PLF50" s="408"/>
      <c r="PLG50" s="408"/>
      <c r="PLH50" s="408"/>
      <c r="PLI50" s="408"/>
      <c r="PLJ50" s="408"/>
      <c r="PLK50" s="408"/>
      <c r="PLL50" s="408"/>
      <c r="PLM50" s="408"/>
      <c r="PLN50" s="408"/>
      <c r="PLO50" s="408"/>
      <c r="PLP50" s="408"/>
      <c r="PLQ50" s="408"/>
      <c r="PLR50" s="408"/>
      <c r="PLS50" s="408"/>
      <c r="PLT50" s="408"/>
      <c r="PLU50" s="408"/>
      <c r="PLV50" s="408"/>
      <c r="PLW50" s="408"/>
      <c r="PLX50" s="408"/>
      <c r="PLY50" s="408"/>
      <c r="PLZ50" s="408"/>
      <c r="PMA50" s="408"/>
      <c r="PMB50" s="408"/>
      <c r="PMC50" s="408"/>
      <c r="PMD50" s="408"/>
      <c r="PME50" s="408"/>
      <c r="PMF50" s="408"/>
      <c r="PMG50" s="408"/>
      <c r="PMH50" s="408"/>
      <c r="PMI50" s="408"/>
      <c r="PMJ50" s="408"/>
      <c r="PMK50" s="408"/>
      <c r="PML50" s="408"/>
      <c r="PMM50" s="408"/>
      <c r="PMN50" s="408"/>
      <c r="PMO50" s="408"/>
      <c r="PMP50" s="408"/>
      <c r="PMQ50" s="408"/>
      <c r="PMR50" s="408"/>
      <c r="PMS50" s="408"/>
      <c r="PMT50" s="408"/>
      <c r="PMU50" s="408"/>
      <c r="PMV50" s="408"/>
      <c r="PMW50" s="408"/>
      <c r="PMX50" s="408"/>
      <c r="PMY50" s="408"/>
      <c r="PMZ50" s="408"/>
      <c r="PNA50" s="408"/>
      <c r="PNB50" s="408"/>
      <c r="PNC50" s="408"/>
      <c r="PND50" s="408"/>
      <c r="PNE50" s="408"/>
      <c r="PNF50" s="408"/>
      <c r="PNG50" s="408"/>
      <c r="PNH50" s="408"/>
      <c r="PNI50" s="408"/>
      <c r="PNJ50" s="408"/>
      <c r="PNK50" s="408"/>
      <c r="PNL50" s="408"/>
      <c r="PNM50" s="408"/>
      <c r="PNN50" s="408"/>
      <c r="PNO50" s="408"/>
      <c r="PNP50" s="408"/>
      <c r="PNQ50" s="408"/>
      <c r="PNR50" s="408"/>
      <c r="PNS50" s="408"/>
      <c r="PNT50" s="408"/>
      <c r="PNU50" s="408"/>
      <c r="PNV50" s="408"/>
      <c r="PNW50" s="408"/>
      <c r="PNX50" s="408"/>
      <c r="PNY50" s="408"/>
      <c r="PNZ50" s="408"/>
      <c r="POA50" s="408"/>
      <c r="POB50" s="408"/>
      <c r="POC50" s="408"/>
      <c r="POD50" s="408"/>
      <c r="POE50" s="408"/>
      <c r="POF50" s="408"/>
      <c r="POG50" s="408"/>
      <c r="POH50" s="408"/>
      <c r="POI50" s="408"/>
      <c r="POJ50" s="408"/>
      <c r="POK50" s="408"/>
      <c r="POL50" s="408"/>
      <c r="POM50" s="408"/>
      <c r="PON50" s="408"/>
      <c r="POO50" s="408"/>
      <c r="POP50" s="408"/>
      <c r="POQ50" s="408"/>
      <c r="POR50" s="408"/>
      <c r="POS50" s="408"/>
      <c r="POT50" s="408"/>
      <c r="POU50" s="408"/>
      <c r="POV50" s="408"/>
      <c r="POW50" s="408"/>
      <c r="POX50" s="408"/>
      <c r="POY50" s="408"/>
      <c r="POZ50" s="408"/>
      <c r="PPA50" s="408"/>
      <c r="PPB50" s="408"/>
      <c r="PPC50" s="408"/>
      <c r="PPD50" s="408"/>
      <c r="PPE50" s="408"/>
      <c r="PPF50" s="408"/>
      <c r="PPG50" s="408"/>
      <c r="PPH50" s="408"/>
      <c r="PPI50" s="408"/>
      <c r="PPJ50" s="408"/>
      <c r="PPK50" s="408"/>
      <c r="PPL50" s="408"/>
      <c r="PPM50" s="408"/>
      <c r="PPN50" s="408"/>
      <c r="PPO50" s="408"/>
      <c r="PPP50" s="408"/>
      <c r="PPQ50" s="408"/>
      <c r="PPR50" s="408"/>
      <c r="PPS50" s="408"/>
      <c r="PPT50" s="408"/>
      <c r="PPU50" s="408"/>
      <c r="PPV50" s="408"/>
      <c r="PPW50" s="408"/>
      <c r="PPX50" s="408"/>
      <c r="PPY50" s="408"/>
      <c r="PPZ50" s="408"/>
      <c r="PQA50" s="408"/>
      <c r="PQB50" s="408"/>
      <c r="PQC50" s="408"/>
      <c r="PQD50" s="408"/>
      <c r="PQE50" s="408"/>
      <c r="PQF50" s="408"/>
      <c r="PQG50" s="408"/>
      <c r="PQH50" s="408"/>
      <c r="PQI50" s="408"/>
      <c r="PQJ50" s="408"/>
      <c r="PQK50" s="408"/>
      <c r="PQL50" s="408"/>
      <c r="PQM50" s="408"/>
      <c r="PQN50" s="408"/>
      <c r="PQO50" s="408"/>
      <c r="PQP50" s="408"/>
      <c r="PQQ50" s="408"/>
      <c r="PQR50" s="408"/>
      <c r="PQS50" s="408"/>
      <c r="PQT50" s="408"/>
      <c r="PQU50" s="408"/>
      <c r="PQV50" s="408"/>
      <c r="PQW50" s="408"/>
      <c r="PQX50" s="408"/>
      <c r="PQY50" s="408"/>
      <c r="PQZ50" s="408"/>
      <c r="PRA50" s="408"/>
      <c r="PRB50" s="408"/>
      <c r="PRC50" s="408"/>
      <c r="PRD50" s="408"/>
      <c r="PRE50" s="408"/>
      <c r="PRF50" s="408"/>
      <c r="PRG50" s="408"/>
      <c r="PRH50" s="408"/>
      <c r="PRI50" s="408"/>
      <c r="PRJ50" s="408"/>
      <c r="PRK50" s="408"/>
      <c r="PRL50" s="408"/>
      <c r="PRM50" s="408"/>
      <c r="PRN50" s="408"/>
      <c r="PRO50" s="408"/>
      <c r="PRP50" s="408"/>
      <c r="PRQ50" s="408"/>
      <c r="PRR50" s="408"/>
      <c r="PRS50" s="408"/>
      <c r="PRT50" s="408"/>
      <c r="PRU50" s="408"/>
      <c r="PRV50" s="408"/>
      <c r="PRW50" s="408"/>
      <c r="PRX50" s="408"/>
      <c r="PRY50" s="408"/>
      <c r="PRZ50" s="408"/>
      <c r="PSA50" s="408"/>
      <c r="PSB50" s="408"/>
      <c r="PSC50" s="408"/>
      <c r="PSD50" s="408"/>
      <c r="PSE50" s="408"/>
      <c r="PSF50" s="408"/>
      <c r="PSG50" s="408"/>
      <c r="PSH50" s="408"/>
      <c r="PSI50" s="408"/>
      <c r="PSJ50" s="408"/>
      <c r="PSK50" s="408"/>
      <c r="PSL50" s="408"/>
      <c r="PSM50" s="408"/>
      <c r="PSN50" s="408"/>
      <c r="PSO50" s="408"/>
      <c r="PSP50" s="408"/>
      <c r="PSQ50" s="408"/>
      <c r="PSR50" s="408"/>
      <c r="PSS50" s="408"/>
      <c r="PST50" s="408"/>
      <c r="PSU50" s="408"/>
      <c r="PSV50" s="408"/>
      <c r="PSW50" s="408"/>
      <c r="PSX50" s="408"/>
      <c r="PSY50" s="408"/>
      <c r="PSZ50" s="408"/>
      <c r="PTA50" s="408"/>
      <c r="PTB50" s="408"/>
      <c r="PTC50" s="408"/>
      <c r="PTD50" s="408"/>
      <c r="PTE50" s="408"/>
      <c r="PTF50" s="408"/>
      <c r="PTG50" s="408"/>
      <c r="PTH50" s="408"/>
      <c r="PTI50" s="408"/>
      <c r="PTJ50" s="408"/>
      <c r="PTK50" s="408"/>
      <c r="PTL50" s="408"/>
      <c r="PTM50" s="408"/>
      <c r="PTN50" s="408"/>
      <c r="PTO50" s="408"/>
      <c r="PTP50" s="408"/>
      <c r="PTQ50" s="408"/>
      <c r="PTR50" s="408"/>
      <c r="PTS50" s="408"/>
      <c r="PTT50" s="408"/>
      <c r="PTU50" s="408"/>
      <c r="PTV50" s="408"/>
      <c r="PTW50" s="408"/>
      <c r="PTX50" s="408"/>
      <c r="PTY50" s="408"/>
      <c r="PTZ50" s="408"/>
      <c r="PUA50" s="408"/>
      <c r="PUB50" s="408"/>
      <c r="PUC50" s="408"/>
      <c r="PUD50" s="408"/>
      <c r="PUE50" s="408"/>
      <c r="PUF50" s="408"/>
      <c r="PUG50" s="408"/>
      <c r="PUH50" s="408"/>
      <c r="PUI50" s="408"/>
      <c r="PUJ50" s="408"/>
      <c r="PUK50" s="408"/>
      <c r="PUL50" s="408"/>
      <c r="PUM50" s="408"/>
      <c r="PUN50" s="408"/>
      <c r="PUO50" s="408"/>
      <c r="PUP50" s="408"/>
      <c r="PUQ50" s="408"/>
      <c r="PUR50" s="408"/>
      <c r="PUS50" s="408"/>
      <c r="PUT50" s="408"/>
      <c r="PUU50" s="408"/>
      <c r="PUV50" s="408"/>
      <c r="PUW50" s="408"/>
      <c r="PUX50" s="408"/>
      <c r="PUY50" s="408"/>
      <c r="PUZ50" s="408"/>
      <c r="PVA50" s="408"/>
      <c r="PVB50" s="408"/>
      <c r="PVC50" s="408"/>
      <c r="PVD50" s="408"/>
      <c r="PVE50" s="408"/>
      <c r="PVF50" s="408"/>
      <c r="PVG50" s="408"/>
      <c r="PVH50" s="408"/>
      <c r="PVI50" s="408"/>
      <c r="PVJ50" s="408"/>
      <c r="PVK50" s="408"/>
      <c r="PVL50" s="408"/>
      <c r="PVM50" s="408"/>
      <c r="PVN50" s="408"/>
      <c r="PVO50" s="408"/>
      <c r="PVP50" s="408"/>
      <c r="PVQ50" s="408"/>
      <c r="PVR50" s="408"/>
      <c r="PVS50" s="408"/>
      <c r="PVT50" s="408"/>
      <c r="PVU50" s="408"/>
      <c r="PVV50" s="408"/>
      <c r="PVW50" s="408"/>
      <c r="PVX50" s="408"/>
      <c r="PVY50" s="408"/>
      <c r="PVZ50" s="408"/>
      <c r="PWA50" s="408"/>
      <c r="PWB50" s="408"/>
      <c r="PWC50" s="408"/>
      <c r="PWD50" s="408"/>
      <c r="PWE50" s="408"/>
      <c r="PWF50" s="408"/>
      <c r="PWG50" s="408"/>
      <c r="PWH50" s="408"/>
      <c r="PWI50" s="408"/>
      <c r="PWJ50" s="408"/>
      <c r="PWK50" s="408"/>
      <c r="PWL50" s="408"/>
      <c r="PWM50" s="408"/>
      <c r="PWN50" s="408"/>
      <c r="PWO50" s="408"/>
      <c r="PWP50" s="408"/>
      <c r="PWQ50" s="408"/>
      <c r="PWR50" s="408"/>
      <c r="PWS50" s="408"/>
      <c r="PWT50" s="408"/>
      <c r="PWU50" s="408"/>
      <c r="PWV50" s="408"/>
      <c r="PWW50" s="408"/>
      <c r="PWX50" s="408"/>
      <c r="PWY50" s="408"/>
      <c r="PWZ50" s="408"/>
      <c r="PXA50" s="408"/>
      <c r="PXB50" s="408"/>
      <c r="PXC50" s="408"/>
      <c r="PXD50" s="408"/>
      <c r="PXE50" s="408"/>
      <c r="PXF50" s="408"/>
      <c r="PXG50" s="408"/>
      <c r="PXH50" s="408"/>
      <c r="PXI50" s="408"/>
      <c r="PXJ50" s="408"/>
      <c r="PXK50" s="408"/>
      <c r="PXL50" s="408"/>
      <c r="PXM50" s="408"/>
      <c r="PXN50" s="408"/>
      <c r="PXO50" s="408"/>
      <c r="PXP50" s="408"/>
      <c r="PXQ50" s="408"/>
      <c r="PXR50" s="408"/>
      <c r="PXS50" s="408"/>
      <c r="PXT50" s="408"/>
      <c r="PXU50" s="408"/>
      <c r="PXV50" s="408"/>
      <c r="PXW50" s="408"/>
      <c r="PXX50" s="408"/>
      <c r="PXY50" s="408"/>
      <c r="PXZ50" s="408"/>
      <c r="PYA50" s="408"/>
      <c r="PYB50" s="408"/>
      <c r="PYC50" s="408"/>
      <c r="PYD50" s="408"/>
      <c r="PYE50" s="408"/>
      <c r="PYF50" s="408"/>
      <c r="PYG50" s="408"/>
      <c r="PYH50" s="408"/>
      <c r="PYI50" s="408"/>
      <c r="PYJ50" s="408"/>
      <c r="PYK50" s="408"/>
      <c r="PYL50" s="408"/>
      <c r="PYM50" s="408"/>
      <c r="PYN50" s="408"/>
      <c r="PYO50" s="408"/>
      <c r="PYP50" s="408"/>
      <c r="PYQ50" s="408"/>
      <c r="PYR50" s="408"/>
      <c r="PYS50" s="408"/>
      <c r="PYT50" s="408"/>
      <c r="PYU50" s="408"/>
      <c r="PYV50" s="408"/>
      <c r="PYW50" s="408"/>
      <c r="PYX50" s="408"/>
      <c r="PYY50" s="408"/>
      <c r="PYZ50" s="408"/>
      <c r="PZA50" s="408"/>
      <c r="PZB50" s="408"/>
      <c r="PZC50" s="408"/>
      <c r="PZD50" s="408"/>
      <c r="PZE50" s="408"/>
      <c r="PZF50" s="408"/>
      <c r="PZG50" s="408"/>
      <c r="PZH50" s="408"/>
      <c r="PZI50" s="408"/>
      <c r="PZJ50" s="408"/>
      <c r="PZK50" s="408"/>
      <c r="PZL50" s="408"/>
      <c r="PZM50" s="408"/>
      <c r="PZN50" s="408"/>
      <c r="PZO50" s="408"/>
      <c r="PZP50" s="408"/>
      <c r="PZQ50" s="408"/>
      <c r="PZR50" s="408"/>
      <c r="PZS50" s="408"/>
      <c r="PZT50" s="408"/>
      <c r="PZU50" s="408"/>
      <c r="PZV50" s="408"/>
      <c r="PZW50" s="408"/>
      <c r="PZX50" s="408"/>
      <c r="PZY50" s="408"/>
      <c r="PZZ50" s="408"/>
      <c r="QAA50" s="408"/>
      <c r="QAB50" s="408"/>
      <c r="QAC50" s="408"/>
      <c r="QAD50" s="408"/>
      <c r="QAE50" s="408"/>
      <c r="QAF50" s="408"/>
      <c r="QAG50" s="408"/>
      <c r="QAH50" s="408"/>
      <c r="QAI50" s="408"/>
      <c r="QAJ50" s="408"/>
      <c r="QAK50" s="408"/>
      <c r="QAL50" s="408"/>
      <c r="QAM50" s="408"/>
      <c r="QAN50" s="408"/>
      <c r="QAO50" s="408"/>
      <c r="QAP50" s="408"/>
      <c r="QAQ50" s="408"/>
      <c r="QAR50" s="408"/>
      <c r="QAS50" s="408"/>
      <c r="QAT50" s="408"/>
      <c r="QAU50" s="408"/>
      <c r="QAV50" s="408"/>
      <c r="QAW50" s="408"/>
      <c r="QAX50" s="408"/>
      <c r="QAY50" s="408"/>
      <c r="QAZ50" s="408"/>
      <c r="QBA50" s="408"/>
      <c r="QBB50" s="408"/>
      <c r="QBC50" s="408"/>
      <c r="QBD50" s="408"/>
      <c r="QBE50" s="408"/>
      <c r="QBF50" s="408"/>
      <c r="QBG50" s="408"/>
      <c r="QBH50" s="408"/>
      <c r="QBI50" s="408"/>
      <c r="QBJ50" s="408"/>
      <c r="QBK50" s="408"/>
      <c r="QBL50" s="408"/>
      <c r="QBM50" s="408"/>
      <c r="QBN50" s="408"/>
      <c r="QBO50" s="408"/>
      <c r="QBP50" s="408"/>
      <c r="QBQ50" s="408"/>
      <c r="QBR50" s="408"/>
      <c r="QBS50" s="408"/>
      <c r="QBT50" s="408"/>
      <c r="QBU50" s="408"/>
      <c r="QBV50" s="408"/>
      <c r="QBW50" s="408"/>
      <c r="QBX50" s="408"/>
      <c r="QBY50" s="408"/>
      <c r="QBZ50" s="408"/>
      <c r="QCA50" s="408"/>
      <c r="QCB50" s="408"/>
      <c r="QCC50" s="408"/>
      <c r="QCD50" s="408"/>
      <c r="QCE50" s="408"/>
      <c r="QCF50" s="408"/>
      <c r="QCG50" s="408"/>
      <c r="QCH50" s="408"/>
      <c r="QCI50" s="408"/>
      <c r="QCJ50" s="408"/>
      <c r="QCK50" s="408"/>
      <c r="QCL50" s="408"/>
      <c r="QCM50" s="408"/>
      <c r="QCN50" s="408"/>
      <c r="QCO50" s="408"/>
      <c r="QCP50" s="408"/>
      <c r="QCQ50" s="408"/>
      <c r="QCR50" s="408"/>
      <c r="QCS50" s="408"/>
      <c r="QCT50" s="408"/>
      <c r="QCU50" s="408"/>
      <c r="QCV50" s="408"/>
      <c r="QCW50" s="408"/>
      <c r="QCX50" s="408"/>
      <c r="QCY50" s="408"/>
      <c r="QCZ50" s="408"/>
      <c r="QDA50" s="408"/>
      <c r="QDB50" s="408"/>
      <c r="QDC50" s="408"/>
      <c r="QDD50" s="408"/>
      <c r="QDE50" s="408"/>
      <c r="QDF50" s="408"/>
      <c r="QDG50" s="408"/>
      <c r="QDH50" s="408"/>
      <c r="QDI50" s="408"/>
      <c r="QDJ50" s="408"/>
      <c r="QDK50" s="408"/>
      <c r="QDL50" s="408"/>
      <c r="QDM50" s="408"/>
      <c r="QDN50" s="408"/>
      <c r="QDO50" s="408"/>
      <c r="QDP50" s="408"/>
      <c r="QDQ50" s="408"/>
      <c r="QDR50" s="408"/>
      <c r="QDS50" s="408"/>
      <c r="QDT50" s="408"/>
      <c r="QDU50" s="408"/>
      <c r="QDV50" s="408"/>
      <c r="QDW50" s="408"/>
      <c r="QDX50" s="408"/>
      <c r="QDY50" s="408"/>
      <c r="QDZ50" s="408"/>
      <c r="QEA50" s="408"/>
      <c r="QEB50" s="408"/>
      <c r="QEC50" s="408"/>
      <c r="QED50" s="408"/>
      <c r="QEE50" s="408"/>
      <c r="QEF50" s="408"/>
      <c r="QEG50" s="408"/>
      <c r="QEH50" s="408"/>
      <c r="QEI50" s="408"/>
      <c r="QEJ50" s="408"/>
      <c r="QEK50" s="408"/>
      <c r="QEL50" s="408"/>
      <c r="QEM50" s="408"/>
      <c r="QEN50" s="408"/>
      <c r="QEO50" s="408"/>
      <c r="QEP50" s="408"/>
      <c r="QEQ50" s="408"/>
      <c r="QER50" s="408"/>
      <c r="QES50" s="408"/>
      <c r="QET50" s="408"/>
      <c r="QEU50" s="408"/>
      <c r="QEV50" s="408"/>
      <c r="QEW50" s="408"/>
      <c r="QEX50" s="408"/>
      <c r="QEY50" s="408"/>
      <c r="QEZ50" s="408"/>
      <c r="QFA50" s="408"/>
      <c r="QFB50" s="408"/>
      <c r="QFC50" s="408"/>
      <c r="QFD50" s="408"/>
      <c r="QFE50" s="408"/>
      <c r="QFF50" s="408"/>
      <c r="QFG50" s="408"/>
      <c r="QFH50" s="408"/>
      <c r="QFI50" s="408"/>
      <c r="QFJ50" s="408"/>
      <c r="QFK50" s="408"/>
      <c r="QFL50" s="408"/>
      <c r="QFM50" s="408"/>
      <c r="QFN50" s="408"/>
      <c r="QFO50" s="408"/>
      <c r="QFP50" s="408"/>
      <c r="QFQ50" s="408"/>
      <c r="QFR50" s="408"/>
      <c r="QFS50" s="408"/>
      <c r="QFT50" s="408"/>
      <c r="QFU50" s="408"/>
      <c r="QFV50" s="408"/>
      <c r="QFW50" s="408"/>
      <c r="QFX50" s="408"/>
      <c r="QFY50" s="408"/>
      <c r="QFZ50" s="408"/>
      <c r="QGA50" s="408"/>
      <c r="QGB50" s="408"/>
      <c r="QGC50" s="408"/>
      <c r="QGD50" s="408"/>
      <c r="QGE50" s="408"/>
      <c r="QGF50" s="408"/>
      <c r="QGG50" s="408"/>
      <c r="QGH50" s="408"/>
      <c r="QGI50" s="408"/>
      <c r="QGJ50" s="408"/>
      <c r="QGK50" s="408"/>
      <c r="QGL50" s="408"/>
      <c r="QGM50" s="408"/>
      <c r="QGN50" s="408"/>
      <c r="QGO50" s="408"/>
      <c r="QGP50" s="408"/>
      <c r="QGQ50" s="408"/>
      <c r="QGR50" s="408"/>
      <c r="QGS50" s="408"/>
      <c r="QGT50" s="408"/>
      <c r="QGU50" s="408"/>
      <c r="QGV50" s="408"/>
      <c r="QGW50" s="408"/>
      <c r="QGX50" s="408"/>
      <c r="QGY50" s="408"/>
      <c r="QGZ50" s="408"/>
      <c r="QHA50" s="408"/>
      <c r="QHB50" s="408"/>
      <c r="QHC50" s="408"/>
      <c r="QHD50" s="408"/>
      <c r="QHE50" s="408"/>
      <c r="QHF50" s="408"/>
      <c r="QHG50" s="408"/>
      <c r="QHH50" s="408"/>
      <c r="QHI50" s="408"/>
      <c r="QHJ50" s="408"/>
      <c r="QHK50" s="408"/>
      <c r="QHL50" s="408"/>
      <c r="QHM50" s="408"/>
      <c r="QHN50" s="408"/>
      <c r="QHO50" s="408"/>
      <c r="QHP50" s="408"/>
      <c r="QHQ50" s="408"/>
      <c r="QHR50" s="408"/>
      <c r="QHS50" s="408"/>
      <c r="QHT50" s="408"/>
      <c r="QHU50" s="408"/>
      <c r="QHV50" s="408"/>
      <c r="QHW50" s="408"/>
      <c r="QHX50" s="408"/>
      <c r="QHY50" s="408"/>
      <c r="QHZ50" s="408"/>
      <c r="QIA50" s="408"/>
      <c r="QIB50" s="408"/>
      <c r="QIC50" s="408"/>
      <c r="QID50" s="408"/>
      <c r="QIE50" s="408"/>
      <c r="QIF50" s="408"/>
      <c r="QIG50" s="408"/>
      <c r="QIH50" s="408"/>
      <c r="QII50" s="408"/>
      <c r="QIJ50" s="408"/>
      <c r="QIK50" s="408"/>
      <c r="QIL50" s="408"/>
      <c r="QIM50" s="408"/>
      <c r="QIN50" s="408"/>
      <c r="QIO50" s="408"/>
      <c r="QIP50" s="408"/>
      <c r="QIQ50" s="408"/>
      <c r="QIR50" s="408"/>
      <c r="QIS50" s="408"/>
      <c r="QIT50" s="408"/>
      <c r="QIU50" s="408"/>
      <c r="QIV50" s="408"/>
      <c r="QIW50" s="408"/>
      <c r="QIX50" s="408"/>
      <c r="QIY50" s="408"/>
      <c r="QIZ50" s="408"/>
      <c r="QJA50" s="408"/>
      <c r="QJB50" s="408"/>
      <c r="QJC50" s="408"/>
      <c r="QJD50" s="408"/>
      <c r="QJE50" s="408"/>
      <c r="QJF50" s="408"/>
      <c r="QJG50" s="408"/>
      <c r="QJH50" s="408"/>
      <c r="QJI50" s="408"/>
      <c r="QJJ50" s="408"/>
      <c r="QJK50" s="408"/>
      <c r="QJL50" s="408"/>
      <c r="QJM50" s="408"/>
      <c r="QJN50" s="408"/>
      <c r="QJO50" s="408"/>
      <c r="QJP50" s="408"/>
      <c r="QJQ50" s="408"/>
      <c r="QJR50" s="408"/>
      <c r="QJS50" s="408"/>
      <c r="QJT50" s="408"/>
      <c r="QJU50" s="408"/>
      <c r="QJV50" s="408"/>
      <c r="QJW50" s="408"/>
      <c r="QJX50" s="408"/>
      <c r="QJY50" s="408"/>
      <c r="QJZ50" s="408"/>
      <c r="QKA50" s="408"/>
      <c r="QKB50" s="408"/>
      <c r="QKC50" s="408"/>
      <c r="QKD50" s="408"/>
      <c r="QKE50" s="408"/>
      <c r="QKF50" s="408"/>
      <c r="QKG50" s="408"/>
      <c r="QKH50" s="408"/>
      <c r="QKI50" s="408"/>
      <c r="QKJ50" s="408"/>
      <c r="QKK50" s="408"/>
      <c r="QKL50" s="408"/>
      <c r="QKM50" s="408"/>
      <c r="QKN50" s="408"/>
      <c r="QKO50" s="408"/>
      <c r="QKP50" s="408"/>
      <c r="QKQ50" s="408"/>
      <c r="QKR50" s="408"/>
      <c r="QKS50" s="408"/>
      <c r="QKT50" s="408"/>
      <c r="QKU50" s="408"/>
      <c r="QKV50" s="408"/>
      <c r="QKW50" s="408"/>
      <c r="QKX50" s="408"/>
      <c r="QKY50" s="408"/>
      <c r="QKZ50" s="408"/>
      <c r="QLA50" s="408"/>
      <c r="QLB50" s="408"/>
      <c r="QLC50" s="408"/>
      <c r="QLD50" s="408"/>
      <c r="QLE50" s="408"/>
      <c r="QLF50" s="408"/>
      <c r="QLG50" s="408"/>
      <c r="QLH50" s="408"/>
      <c r="QLI50" s="408"/>
      <c r="QLJ50" s="408"/>
      <c r="QLK50" s="408"/>
      <c r="QLL50" s="408"/>
      <c r="QLM50" s="408"/>
      <c r="QLN50" s="408"/>
      <c r="QLO50" s="408"/>
      <c r="QLP50" s="408"/>
      <c r="QLQ50" s="408"/>
      <c r="QLR50" s="408"/>
      <c r="QLS50" s="408"/>
      <c r="QLT50" s="408"/>
      <c r="QLU50" s="408"/>
      <c r="QLV50" s="408"/>
      <c r="QLW50" s="408"/>
      <c r="QLX50" s="408"/>
      <c r="QLY50" s="408"/>
      <c r="QLZ50" s="408"/>
      <c r="QMA50" s="408"/>
      <c r="QMB50" s="408"/>
      <c r="QMC50" s="408"/>
      <c r="QMD50" s="408"/>
      <c r="QME50" s="408"/>
      <c r="QMF50" s="408"/>
      <c r="QMG50" s="408"/>
      <c r="QMH50" s="408"/>
      <c r="QMI50" s="408"/>
      <c r="QMJ50" s="408"/>
      <c r="QMK50" s="408"/>
      <c r="QML50" s="408"/>
      <c r="QMM50" s="408"/>
      <c r="QMN50" s="408"/>
      <c r="QMO50" s="408"/>
      <c r="QMP50" s="408"/>
      <c r="QMQ50" s="408"/>
      <c r="QMR50" s="408"/>
      <c r="QMS50" s="408"/>
      <c r="QMT50" s="408"/>
      <c r="QMU50" s="408"/>
      <c r="QMV50" s="408"/>
      <c r="QMW50" s="408"/>
      <c r="QMX50" s="408"/>
      <c r="QMY50" s="408"/>
      <c r="QMZ50" s="408"/>
      <c r="QNA50" s="408"/>
      <c r="QNB50" s="408"/>
      <c r="QNC50" s="408"/>
      <c r="QND50" s="408"/>
      <c r="QNE50" s="408"/>
      <c r="QNF50" s="408"/>
      <c r="QNG50" s="408"/>
      <c r="QNH50" s="408"/>
      <c r="QNI50" s="408"/>
      <c r="QNJ50" s="408"/>
      <c r="QNK50" s="408"/>
      <c r="QNL50" s="408"/>
      <c r="QNM50" s="408"/>
      <c r="QNN50" s="408"/>
      <c r="QNO50" s="408"/>
      <c r="QNP50" s="408"/>
      <c r="QNQ50" s="408"/>
      <c r="QNR50" s="408"/>
      <c r="QNS50" s="408"/>
      <c r="QNT50" s="408"/>
      <c r="QNU50" s="408"/>
      <c r="QNV50" s="408"/>
      <c r="QNW50" s="408"/>
      <c r="QNX50" s="408"/>
      <c r="QNY50" s="408"/>
      <c r="QNZ50" s="408"/>
      <c r="QOA50" s="408"/>
      <c r="QOB50" s="408"/>
      <c r="QOC50" s="408"/>
      <c r="QOD50" s="408"/>
      <c r="QOE50" s="408"/>
      <c r="QOF50" s="408"/>
      <c r="QOG50" s="408"/>
      <c r="QOH50" s="408"/>
      <c r="QOI50" s="408"/>
      <c r="QOJ50" s="408"/>
      <c r="QOK50" s="408"/>
      <c r="QOL50" s="408"/>
      <c r="QOM50" s="408"/>
      <c r="QON50" s="408"/>
      <c r="QOO50" s="408"/>
      <c r="QOP50" s="408"/>
      <c r="QOQ50" s="408"/>
      <c r="QOR50" s="408"/>
      <c r="QOS50" s="408"/>
      <c r="QOT50" s="408"/>
      <c r="QOU50" s="408"/>
      <c r="QOV50" s="408"/>
      <c r="QOW50" s="408"/>
      <c r="QOX50" s="408"/>
      <c r="QOY50" s="408"/>
      <c r="QOZ50" s="408"/>
      <c r="QPA50" s="408"/>
      <c r="QPB50" s="408"/>
      <c r="QPC50" s="408"/>
      <c r="QPD50" s="408"/>
      <c r="QPE50" s="408"/>
      <c r="QPF50" s="408"/>
      <c r="QPG50" s="408"/>
      <c r="QPH50" s="408"/>
      <c r="QPI50" s="408"/>
      <c r="QPJ50" s="408"/>
      <c r="QPK50" s="408"/>
      <c r="QPL50" s="408"/>
      <c r="QPM50" s="408"/>
      <c r="QPN50" s="408"/>
      <c r="QPO50" s="408"/>
      <c r="QPP50" s="408"/>
      <c r="QPQ50" s="408"/>
      <c r="QPR50" s="408"/>
      <c r="QPS50" s="408"/>
      <c r="QPT50" s="408"/>
      <c r="QPU50" s="408"/>
      <c r="QPV50" s="408"/>
      <c r="QPW50" s="408"/>
      <c r="QPX50" s="408"/>
      <c r="QPY50" s="408"/>
      <c r="QPZ50" s="408"/>
      <c r="QQA50" s="408"/>
      <c r="QQB50" s="408"/>
      <c r="QQC50" s="408"/>
      <c r="QQD50" s="408"/>
      <c r="QQE50" s="408"/>
      <c r="QQF50" s="408"/>
      <c r="QQG50" s="408"/>
      <c r="QQH50" s="408"/>
      <c r="QQI50" s="408"/>
      <c r="QQJ50" s="408"/>
      <c r="QQK50" s="408"/>
      <c r="QQL50" s="408"/>
      <c r="QQM50" s="408"/>
      <c r="QQN50" s="408"/>
      <c r="QQO50" s="408"/>
      <c r="QQP50" s="408"/>
      <c r="QQQ50" s="408"/>
      <c r="QQR50" s="408"/>
      <c r="QQS50" s="408"/>
      <c r="QQT50" s="408"/>
      <c r="QQU50" s="408"/>
      <c r="QQV50" s="408"/>
      <c r="QQW50" s="408"/>
      <c r="QQX50" s="408"/>
      <c r="QQY50" s="408"/>
      <c r="QQZ50" s="408"/>
      <c r="QRA50" s="408"/>
      <c r="QRB50" s="408"/>
      <c r="QRC50" s="408"/>
      <c r="QRD50" s="408"/>
      <c r="QRE50" s="408"/>
      <c r="QRF50" s="408"/>
      <c r="QRG50" s="408"/>
      <c r="QRH50" s="408"/>
      <c r="QRI50" s="408"/>
      <c r="QRJ50" s="408"/>
      <c r="QRK50" s="408"/>
      <c r="QRL50" s="408"/>
      <c r="QRM50" s="408"/>
      <c r="QRN50" s="408"/>
      <c r="QRO50" s="408"/>
      <c r="QRP50" s="408"/>
      <c r="QRQ50" s="408"/>
      <c r="QRR50" s="408"/>
      <c r="QRS50" s="408"/>
      <c r="QRT50" s="408"/>
      <c r="QRU50" s="408"/>
      <c r="QRV50" s="408"/>
      <c r="QRW50" s="408"/>
      <c r="QRX50" s="408"/>
      <c r="QRY50" s="408"/>
      <c r="QRZ50" s="408"/>
      <c r="QSA50" s="408"/>
      <c r="QSB50" s="408"/>
      <c r="QSC50" s="408"/>
      <c r="QSD50" s="408"/>
      <c r="QSE50" s="408"/>
      <c r="QSF50" s="408"/>
      <c r="QSG50" s="408"/>
      <c r="QSH50" s="408"/>
      <c r="QSI50" s="408"/>
      <c r="QSJ50" s="408"/>
      <c r="QSK50" s="408"/>
      <c r="QSL50" s="408"/>
      <c r="QSM50" s="408"/>
      <c r="QSN50" s="408"/>
      <c r="QSO50" s="408"/>
      <c r="QSP50" s="408"/>
      <c r="QSQ50" s="408"/>
      <c r="QSR50" s="408"/>
      <c r="QSS50" s="408"/>
      <c r="QST50" s="408"/>
      <c r="QSU50" s="408"/>
      <c r="QSV50" s="408"/>
      <c r="QSW50" s="408"/>
      <c r="QSX50" s="408"/>
      <c r="QSY50" s="408"/>
      <c r="QSZ50" s="408"/>
      <c r="QTA50" s="408"/>
      <c r="QTB50" s="408"/>
      <c r="QTC50" s="408"/>
      <c r="QTD50" s="408"/>
      <c r="QTE50" s="408"/>
      <c r="QTF50" s="408"/>
      <c r="QTG50" s="408"/>
      <c r="QTH50" s="408"/>
      <c r="QTI50" s="408"/>
      <c r="QTJ50" s="408"/>
      <c r="QTK50" s="408"/>
      <c r="QTL50" s="408"/>
      <c r="QTM50" s="408"/>
      <c r="QTN50" s="408"/>
      <c r="QTO50" s="408"/>
      <c r="QTP50" s="408"/>
      <c r="QTQ50" s="408"/>
      <c r="QTR50" s="408"/>
      <c r="QTS50" s="408"/>
      <c r="QTT50" s="408"/>
      <c r="QTU50" s="408"/>
      <c r="QTV50" s="408"/>
      <c r="QTW50" s="408"/>
      <c r="QTX50" s="408"/>
      <c r="QTY50" s="408"/>
      <c r="QTZ50" s="408"/>
      <c r="QUA50" s="408"/>
      <c r="QUB50" s="408"/>
      <c r="QUC50" s="408"/>
      <c r="QUD50" s="408"/>
      <c r="QUE50" s="408"/>
      <c r="QUF50" s="408"/>
      <c r="QUG50" s="408"/>
      <c r="QUH50" s="408"/>
      <c r="QUI50" s="408"/>
      <c r="QUJ50" s="408"/>
      <c r="QUK50" s="408"/>
      <c r="QUL50" s="408"/>
      <c r="QUM50" s="408"/>
      <c r="QUN50" s="408"/>
      <c r="QUO50" s="408"/>
      <c r="QUP50" s="408"/>
      <c r="QUQ50" s="408"/>
      <c r="QUR50" s="408"/>
      <c r="QUS50" s="408"/>
      <c r="QUT50" s="408"/>
      <c r="QUU50" s="408"/>
      <c r="QUV50" s="408"/>
      <c r="QUW50" s="408"/>
      <c r="QUX50" s="408"/>
      <c r="QUY50" s="408"/>
      <c r="QUZ50" s="408"/>
      <c r="QVA50" s="408"/>
      <c r="QVB50" s="408"/>
      <c r="QVC50" s="408"/>
      <c r="QVD50" s="408"/>
      <c r="QVE50" s="408"/>
      <c r="QVF50" s="408"/>
      <c r="QVG50" s="408"/>
      <c r="QVH50" s="408"/>
      <c r="QVI50" s="408"/>
      <c r="QVJ50" s="408"/>
      <c r="QVK50" s="408"/>
      <c r="QVL50" s="408"/>
      <c r="QVM50" s="408"/>
      <c r="QVN50" s="408"/>
      <c r="QVO50" s="408"/>
      <c r="QVP50" s="408"/>
      <c r="QVQ50" s="408"/>
      <c r="QVR50" s="408"/>
      <c r="QVS50" s="408"/>
      <c r="QVT50" s="408"/>
      <c r="QVU50" s="408"/>
      <c r="QVV50" s="408"/>
      <c r="QVW50" s="408"/>
      <c r="QVX50" s="408"/>
      <c r="QVY50" s="408"/>
      <c r="QVZ50" s="408"/>
      <c r="QWA50" s="408"/>
      <c r="QWB50" s="408"/>
      <c r="QWC50" s="408"/>
      <c r="QWD50" s="408"/>
      <c r="QWE50" s="408"/>
      <c r="QWF50" s="408"/>
      <c r="QWG50" s="408"/>
      <c r="QWH50" s="408"/>
      <c r="QWI50" s="408"/>
      <c r="QWJ50" s="408"/>
      <c r="QWK50" s="408"/>
      <c r="QWL50" s="408"/>
      <c r="QWM50" s="408"/>
      <c r="QWN50" s="408"/>
      <c r="QWO50" s="408"/>
      <c r="QWP50" s="408"/>
      <c r="QWQ50" s="408"/>
      <c r="QWR50" s="408"/>
      <c r="QWS50" s="408"/>
      <c r="QWT50" s="408"/>
      <c r="QWU50" s="408"/>
      <c r="QWV50" s="408"/>
      <c r="QWW50" s="408"/>
      <c r="QWX50" s="408"/>
      <c r="QWY50" s="408"/>
      <c r="QWZ50" s="408"/>
      <c r="QXA50" s="408"/>
      <c r="QXB50" s="408"/>
      <c r="QXC50" s="408"/>
      <c r="QXD50" s="408"/>
      <c r="QXE50" s="408"/>
      <c r="QXF50" s="408"/>
      <c r="QXG50" s="408"/>
      <c r="QXH50" s="408"/>
      <c r="QXI50" s="408"/>
      <c r="QXJ50" s="408"/>
      <c r="QXK50" s="408"/>
      <c r="QXL50" s="408"/>
      <c r="QXM50" s="408"/>
      <c r="QXN50" s="408"/>
      <c r="QXO50" s="408"/>
      <c r="QXP50" s="408"/>
      <c r="QXQ50" s="408"/>
      <c r="QXR50" s="408"/>
      <c r="QXS50" s="408"/>
      <c r="QXT50" s="408"/>
      <c r="QXU50" s="408"/>
      <c r="QXV50" s="408"/>
      <c r="QXW50" s="408"/>
      <c r="QXX50" s="408"/>
      <c r="QXY50" s="408"/>
      <c r="QXZ50" s="408"/>
      <c r="QYA50" s="408"/>
      <c r="QYB50" s="408"/>
      <c r="QYC50" s="408"/>
      <c r="QYD50" s="408"/>
      <c r="QYE50" s="408"/>
      <c r="QYF50" s="408"/>
      <c r="QYG50" s="408"/>
      <c r="QYH50" s="408"/>
      <c r="QYI50" s="408"/>
      <c r="QYJ50" s="408"/>
      <c r="QYK50" s="408"/>
      <c r="QYL50" s="408"/>
      <c r="QYM50" s="408"/>
      <c r="QYN50" s="408"/>
      <c r="QYO50" s="408"/>
      <c r="QYP50" s="408"/>
      <c r="QYQ50" s="408"/>
      <c r="QYR50" s="408"/>
      <c r="QYS50" s="408"/>
      <c r="QYT50" s="408"/>
      <c r="QYU50" s="408"/>
      <c r="QYV50" s="408"/>
      <c r="QYW50" s="408"/>
      <c r="QYX50" s="408"/>
      <c r="QYY50" s="408"/>
      <c r="QYZ50" s="408"/>
      <c r="QZA50" s="408"/>
      <c r="QZB50" s="408"/>
      <c r="QZC50" s="408"/>
      <c r="QZD50" s="408"/>
      <c r="QZE50" s="408"/>
      <c r="QZF50" s="408"/>
      <c r="QZG50" s="408"/>
      <c r="QZH50" s="408"/>
      <c r="QZI50" s="408"/>
      <c r="QZJ50" s="408"/>
      <c r="QZK50" s="408"/>
      <c r="QZL50" s="408"/>
      <c r="QZM50" s="408"/>
      <c r="QZN50" s="408"/>
      <c r="QZO50" s="408"/>
      <c r="QZP50" s="408"/>
      <c r="QZQ50" s="408"/>
      <c r="QZR50" s="408"/>
      <c r="QZS50" s="408"/>
      <c r="QZT50" s="408"/>
      <c r="QZU50" s="408"/>
      <c r="QZV50" s="408"/>
      <c r="QZW50" s="408"/>
      <c r="QZX50" s="408"/>
      <c r="QZY50" s="408"/>
      <c r="QZZ50" s="408"/>
      <c r="RAA50" s="408"/>
      <c r="RAB50" s="408"/>
      <c r="RAC50" s="408"/>
      <c r="RAD50" s="408"/>
      <c r="RAE50" s="408"/>
      <c r="RAF50" s="408"/>
      <c r="RAG50" s="408"/>
      <c r="RAH50" s="408"/>
      <c r="RAI50" s="408"/>
      <c r="RAJ50" s="408"/>
      <c r="RAK50" s="408"/>
      <c r="RAL50" s="408"/>
      <c r="RAM50" s="408"/>
      <c r="RAN50" s="408"/>
      <c r="RAO50" s="408"/>
      <c r="RAP50" s="408"/>
      <c r="RAQ50" s="408"/>
      <c r="RAR50" s="408"/>
      <c r="RAS50" s="408"/>
      <c r="RAT50" s="408"/>
      <c r="RAU50" s="408"/>
      <c r="RAV50" s="408"/>
      <c r="RAW50" s="408"/>
      <c r="RAX50" s="408"/>
      <c r="RAY50" s="408"/>
      <c r="RAZ50" s="408"/>
      <c r="RBA50" s="408"/>
      <c r="RBB50" s="408"/>
      <c r="RBC50" s="408"/>
      <c r="RBD50" s="408"/>
      <c r="RBE50" s="408"/>
      <c r="RBF50" s="408"/>
      <c r="RBG50" s="408"/>
      <c r="RBH50" s="408"/>
      <c r="RBI50" s="408"/>
      <c r="RBJ50" s="408"/>
      <c r="RBK50" s="408"/>
      <c r="RBL50" s="408"/>
      <c r="RBM50" s="408"/>
      <c r="RBN50" s="408"/>
      <c r="RBO50" s="408"/>
      <c r="RBP50" s="408"/>
      <c r="RBQ50" s="408"/>
      <c r="RBR50" s="408"/>
      <c r="RBS50" s="408"/>
      <c r="RBT50" s="408"/>
      <c r="RBU50" s="408"/>
      <c r="RBV50" s="408"/>
      <c r="RBW50" s="408"/>
      <c r="RBX50" s="408"/>
      <c r="RBY50" s="408"/>
      <c r="RBZ50" s="408"/>
      <c r="RCA50" s="408"/>
      <c r="RCB50" s="408"/>
      <c r="RCC50" s="408"/>
      <c r="RCD50" s="408"/>
      <c r="RCE50" s="408"/>
      <c r="RCF50" s="408"/>
      <c r="RCG50" s="408"/>
      <c r="RCH50" s="408"/>
      <c r="RCI50" s="408"/>
      <c r="RCJ50" s="408"/>
      <c r="RCK50" s="408"/>
      <c r="RCL50" s="408"/>
      <c r="RCM50" s="408"/>
      <c r="RCN50" s="408"/>
      <c r="RCO50" s="408"/>
      <c r="RCP50" s="408"/>
      <c r="RCQ50" s="408"/>
      <c r="RCR50" s="408"/>
      <c r="RCS50" s="408"/>
      <c r="RCT50" s="408"/>
      <c r="RCU50" s="408"/>
      <c r="RCV50" s="408"/>
      <c r="RCW50" s="408"/>
      <c r="RCX50" s="408"/>
      <c r="RCY50" s="408"/>
      <c r="RCZ50" s="408"/>
      <c r="RDA50" s="408"/>
      <c r="RDB50" s="408"/>
      <c r="RDC50" s="408"/>
      <c r="RDD50" s="408"/>
      <c r="RDE50" s="408"/>
      <c r="RDF50" s="408"/>
      <c r="RDG50" s="408"/>
      <c r="RDH50" s="408"/>
      <c r="RDI50" s="408"/>
      <c r="RDJ50" s="408"/>
      <c r="RDK50" s="408"/>
      <c r="RDL50" s="408"/>
      <c r="RDM50" s="408"/>
      <c r="RDN50" s="408"/>
      <c r="RDO50" s="408"/>
      <c r="RDP50" s="408"/>
      <c r="RDQ50" s="408"/>
      <c r="RDR50" s="408"/>
      <c r="RDS50" s="408"/>
      <c r="RDT50" s="408"/>
      <c r="RDU50" s="408"/>
      <c r="RDV50" s="408"/>
      <c r="RDW50" s="408"/>
      <c r="RDX50" s="408"/>
      <c r="RDY50" s="408"/>
      <c r="RDZ50" s="408"/>
      <c r="REA50" s="408"/>
      <c r="REB50" s="408"/>
      <c r="REC50" s="408"/>
      <c r="RED50" s="408"/>
      <c r="REE50" s="408"/>
      <c r="REF50" s="408"/>
      <c r="REG50" s="408"/>
      <c r="REH50" s="408"/>
      <c r="REI50" s="408"/>
      <c r="REJ50" s="408"/>
      <c r="REK50" s="408"/>
      <c r="REL50" s="408"/>
      <c r="REM50" s="408"/>
      <c r="REN50" s="408"/>
      <c r="REO50" s="408"/>
      <c r="REP50" s="408"/>
      <c r="REQ50" s="408"/>
      <c r="RER50" s="408"/>
      <c r="RES50" s="408"/>
      <c r="RET50" s="408"/>
      <c r="REU50" s="408"/>
      <c r="REV50" s="408"/>
      <c r="REW50" s="408"/>
      <c r="REX50" s="408"/>
      <c r="REY50" s="408"/>
      <c r="REZ50" s="408"/>
      <c r="RFA50" s="408"/>
      <c r="RFB50" s="408"/>
      <c r="RFC50" s="408"/>
      <c r="RFD50" s="408"/>
      <c r="RFE50" s="408"/>
      <c r="RFF50" s="408"/>
      <c r="RFG50" s="408"/>
      <c r="RFH50" s="408"/>
      <c r="RFI50" s="408"/>
      <c r="RFJ50" s="408"/>
      <c r="RFK50" s="408"/>
      <c r="RFL50" s="408"/>
      <c r="RFM50" s="408"/>
      <c r="RFN50" s="408"/>
      <c r="RFO50" s="408"/>
      <c r="RFP50" s="408"/>
      <c r="RFQ50" s="408"/>
      <c r="RFR50" s="408"/>
      <c r="RFS50" s="408"/>
      <c r="RFT50" s="408"/>
      <c r="RFU50" s="408"/>
      <c r="RFV50" s="408"/>
      <c r="RFW50" s="408"/>
      <c r="RFX50" s="408"/>
      <c r="RFY50" s="408"/>
      <c r="RFZ50" s="408"/>
      <c r="RGA50" s="408"/>
      <c r="RGB50" s="408"/>
      <c r="RGC50" s="408"/>
      <c r="RGD50" s="408"/>
      <c r="RGE50" s="408"/>
      <c r="RGF50" s="408"/>
      <c r="RGG50" s="408"/>
      <c r="RGH50" s="408"/>
      <c r="RGI50" s="408"/>
      <c r="RGJ50" s="408"/>
      <c r="RGK50" s="408"/>
      <c r="RGL50" s="408"/>
      <c r="RGM50" s="408"/>
      <c r="RGN50" s="408"/>
      <c r="RGO50" s="408"/>
      <c r="RGP50" s="408"/>
      <c r="RGQ50" s="408"/>
      <c r="RGR50" s="408"/>
      <c r="RGS50" s="408"/>
      <c r="RGT50" s="408"/>
      <c r="RGU50" s="408"/>
      <c r="RGV50" s="408"/>
      <c r="RGW50" s="408"/>
      <c r="RGX50" s="408"/>
      <c r="RGY50" s="408"/>
      <c r="RGZ50" s="408"/>
      <c r="RHA50" s="408"/>
      <c r="RHB50" s="408"/>
      <c r="RHC50" s="408"/>
      <c r="RHD50" s="408"/>
      <c r="RHE50" s="408"/>
      <c r="RHF50" s="408"/>
      <c r="RHG50" s="408"/>
      <c r="RHH50" s="408"/>
      <c r="RHI50" s="408"/>
      <c r="RHJ50" s="408"/>
      <c r="RHK50" s="408"/>
      <c r="RHL50" s="408"/>
      <c r="RHM50" s="408"/>
      <c r="RHN50" s="408"/>
      <c r="RHO50" s="408"/>
      <c r="RHP50" s="408"/>
      <c r="RHQ50" s="408"/>
      <c r="RHR50" s="408"/>
      <c r="RHS50" s="408"/>
      <c r="RHT50" s="408"/>
      <c r="RHU50" s="408"/>
      <c r="RHV50" s="408"/>
      <c r="RHW50" s="408"/>
      <c r="RHX50" s="408"/>
      <c r="RHY50" s="408"/>
      <c r="RHZ50" s="408"/>
      <c r="RIA50" s="408"/>
      <c r="RIB50" s="408"/>
      <c r="RIC50" s="408"/>
      <c r="RID50" s="408"/>
      <c r="RIE50" s="408"/>
      <c r="RIF50" s="408"/>
      <c r="RIG50" s="408"/>
      <c r="RIH50" s="408"/>
      <c r="RII50" s="408"/>
      <c r="RIJ50" s="408"/>
      <c r="RIK50" s="408"/>
      <c r="RIL50" s="408"/>
      <c r="RIM50" s="408"/>
      <c r="RIN50" s="408"/>
      <c r="RIO50" s="408"/>
      <c r="RIP50" s="408"/>
      <c r="RIQ50" s="408"/>
      <c r="RIR50" s="408"/>
      <c r="RIS50" s="408"/>
      <c r="RIT50" s="408"/>
      <c r="RIU50" s="408"/>
      <c r="RIV50" s="408"/>
      <c r="RIW50" s="408"/>
      <c r="RIX50" s="408"/>
      <c r="RIY50" s="408"/>
      <c r="RIZ50" s="408"/>
      <c r="RJA50" s="408"/>
      <c r="RJB50" s="408"/>
      <c r="RJC50" s="408"/>
      <c r="RJD50" s="408"/>
      <c r="RJE50" s="408"/>
      <c r="RJF50" s="408"/>
      <c r="RJG50" s="408"/>
      <c r="RJH50" s="408"/>
      <c r="RJI50" s="408"/>
      <c r="RJJ50" s="408"/>
      <c r="RJK50" s="408"/>
      <c r="RJL50" s="408"/>
      <c r="RJM50" s="408"/>
      <c r="RJN50" s="408"/>
      <c r="RJO50" s="408"/>
      <c r="RJP50" s="408"/>
      <c r="RJQ50" s="408"/>
      <c r="RJR50" s="408"/>
      <c r="RJS50" s="408"/>
      <c r="RJT50" s="408"/>
      <c r="RJU50" s="408"/>
      <c r="RJV50" s="408"/>
      <c r="RJW50" s="408"/>
      <c r="RJX50" s="408"/>
      <c r="RJY50" s="408"/>
      <c r="RJZ50" s="408"/>
      <c r="RKA50" s="408"/>
      <c r="RKB50" s="408"/>
      <c r="RKC50" s="408"/>
      <c r="RKD50" s="408"/>
      <c r="RKE50" s="408"/>
      <c r="RKF50" s="408"/>
      <c r="RKG50" s="408"/>
      <c r="RKH50" s="408"/>
      <c r="RKI50" s="408"/>
      <c r="RKJ50" s="408"/>
      <c r="RKK50" s="408"/>
      <c r="RKL50" s="408"/>
      <c r="RKM50" s="408"/>
      <c r="RKN50" s="408"/>
      <c r="RKO50" s="408"/>
      <c r="RKP50" s="408"/>
      <c r="RKQ50" s="408"/>
      <c r="RKR50" s="408"/>
      <c r="RKS50" s="408"/>
      <c r="RKT50" s="408"/>
      <c r="RKU50" s="408"/>
      <c r="RKV50" s="408"/>
      <c r="RKW50" s="408"/>
      <c r="RKX50" s="408"/>
      <c r="RKY50" s="408"/>
      <c r="RKZ50" s="408"/>
      <c r="RLA50" s="408"/>
      <c r="RLB50" s="408"/>
      <c r="RLC50" s="408"/>
      <c r="RLD50" s="408"/>
      <c r="RLE50" s="408"/>
      <c r="RLF50" s="408"/>
      <c r="RLG50" s="408"/>
      <c r="RLH50" s="408"/>
      <c r="RLI50" s="408"/>
      <c r="RLJ50" s="408"/>
      <c r="RLK50" s="408"/>
      <c r="RLL50" s="408"/>
      <c r="RLM50" s="408"/>
      <c r="RLN50" s="408"/>
      <c r="RLO50" s="408"/>
      <c r="RLP50" s="408"/>
      <c r="RLQ50" s="408"/>
      <c r="RLR50" s="408"/>
      <c r="RLS50" s="408"/>
      <c r="RLT50" s="408"/>
      <c r="RLU50" s="408"/>
      <c r="RLV50" s="408"/>
      <c r="RLW50" s="408"/>
      <c r="RLX50" s="408"/>
      <c r="RLY50" s="408"/>
      <c r="RLZ50" s="408"/>
      <c r="RMA50" s="408"/>
      <c r="RMB50" s="408"/>
      <c r="RMC50" s="408"/>
      <c r="RMD50" s="408"/>
      <c r="RME50" s="408"/>
      <c r="RMF50" s="408"/>
      <c r="RMG50" s="408"/>
      <c r="RMH50" s="408"/>
      <c r="RMI50" s="408"/>
      <c r="RMJ50" s="408"/>
      <c r="RMK50" s="408"/>
      <c r="RML50" s="408"/>
      <c r="RMM50" s="408"/>
      <c r="RMN50" s="408"/>
      <c r="RMO50" s="408"/>
      <c r="RMP50" s="408"/>
      <c r="RMQ50" s="408"/>
      <c r="RMR50" s="408"/>
      <c r="RMS50" s="408"/>
      <c r="RMT50" s="408"/>
      <c r="RMU50" s="408"/>
      <c r="RMV50" s="408"/>
      <c r="RMW50" s="408"/>
      <c r="RMX50" s="408"/>
      <c r="RMY50" s="408"/>
      <c r="RMZ50" s="408"/>
      <c r="RNA50" s="408"/>
      <c r="RNB50" s="408"/>
      <c r="RNC50" s="408"/>
      <c r="RND50" s="408"/>
      <c r="RNE50" s="408"/>
      <c r="RNF50" s="408"/>
      <c r="RNG50" s="408"/>
      <c r="RNH50" s="408"/>
      <c r="RNI50" s="408"/>
      <c r="RNJ50" s="408"/>
      <c r="RNK50" s="408"/>
      <c r="RNL50" s="408"/>
      <c r="RNM50" s="408"/>
      <c r="RNN50" s="408"/>
      <c r="RNO50" s="408"/>
      <c r="RNP50" s="408"/>
      <c r="RNQ50" s="408"/>
      <c r="RNR50" s="408"/>
      <c r="RNS50" s="408"/>
      <c r="RNT50" s="408"/>
      <c r="RNU50" s="408"/>
      <c r="RNV50" s="408"/>
      <c r="RNW50" s="408"/>
      <c r="RNX50" s="408"/>
      <c r="RNY50" s="408"/>
      <c r="RNZ50" s="408"/>
      <c r="ROA50" s="408"/>
      <c r="ROB50" s="408"/>
      <c r="ROC50" s="408"/>
      <c r="ROD50" s="408"/>
      <c r="ROE50" s="408"/>
      <c r="ROF50" s="408"/>
      <c r="ROG50" s="408"/>
      <c r="ROH50" s="408"/>
      <c r="ROI50" s="408"/>
      <c r="ROJ50" s="408"/>
      <c r="ROK50" s="408"/>
      <c r="ROL50" s="408"/>
      <c r="ROM50" s="408"/>
      <c r="RON50" s="408"/>
      <c r="ROO50" s="408"/>
      <c r="ROP50" s="408"/>
      <c r="ROQ50" s="408"/>
      <c r="ROR50" s="408"/>
      <c r="ROS50" s="408"/>
      <c r="ROT50" s="408"/>
      <c r="ROU50" s="408"/>
      <c r="ROV50" s="408"/>
      <c r="ROW50" s="408"/>
      <c r="ROX50" s="408"/>
      <c r="ROY50" s="408"/>
      <c r="ROZ50" s="408"/>
      <c r="RPA50" s="408"/>
      <c r="RPB50" s="408"/>
      <c r="RPC50" s="408"/>
      <c r="RPD50" s="408"/>
      <c r="RPE50" s="408"/>
      <c r="RPF50" s="408"/>
      <c r="RPG50" s="408"/>
      <c r="RPH50" s="408"/>
      <c r="RPI50" s="408"/>
      <c r="RPJ50" s="408"/>
      <c r="RPK50" s="408"/>
      <c r="RPL50" s="408"/>
      <c r="RPM50" s="408"/>
      <c r="RPN50" s="408"/>
      <c r="RPO50" s="408"/>
      <c r="RPP50" s="408"/>
      <c r="RPQ50" s="408"/>
      <c r="RPR50" s="408"/>
      <c r="RPS50" s="408"/>
      <c r="RPT50" s="408"/>
      <c r="RPU50" s="408"/>
      <c r="RPV50" s="408"/>
      <c r="RPW50" s="408"/>
      <c r="RPX50" s="408"/>
      <c r="RPY50" s="408"/>
      <c r="RPZ50" s="408"/>
      <c r="RQA50" s="408"/>
      <c r="RQB50" s="408"/>
      <c r="RQC50" s="408"/>
      <c r="RQD50" s="408"/>
      <c r="RQE50" s="408"/>
      <c r="RQF50" s="408"/>
      <c r="RQG50" s="408"/>
      <c r="RQH50" s="408"/>
      <c r="RQI50" s="408"/>
      <c r="RQJ50" s="408"/>
      <c r="RQK50" s="408"/>
      <c r="RQL50" s="408"/>
      <c r="RQM50" s="408"/>
      <c r="RQN50" s="408"/>
      <c r="RQO50" s="408"/>
      <c r="RQP50" s="408"/>
      <c r="RQQ50" s="408"/>
      <c r="RQR50" s="408"/>
      <c r="RQS50" s="408"/>
      <c r="RQT50" s="408"/>
      <c r="RQU50" s="408"/>
      <c r="RQV50" s="408"/>
      <c r="RQW50" s="408"/>
      <c r="RQX50" s="408"/>
      <c r="RQY50" s="408"/>
      <c r="RQZ50" s="408"/>
      <c r="RRA50" s="408"/>
      <c r="RRB50" s="408"/>
      <c r="RRC50" s="408"/>
      <c r="RRD50" s="408"/>
      <c r="RRE50" s="408"/>
      <c r="RRF50" s="408"/>
      <c r="RRG50" s="408"/>
      <c r="RRH50" s="408"/>
      <c r="RRI50" s="408"/>
      <c r="RRJ50" s="408"/>
      <c r="RRK50" s="408"/>
      <c r="RRL50" s="408"/>
      <c r="RRM50" s="408"/>
      <c r="RRN50" s="408"/>
      <c r="RRO50" s="408"/>
      <c r="RRP50" s="408"/>
      <c r="RRQ50" s="408"/>
      <c r="RRR50" s="408"/>
      <c r="RRS50" s="408"/>
      <c r="RRT50" s="408"/>
      <c r="RRU50" s="408"/>
      <c r="RRV50" s="408"/>
      <c r="RRW50" s="408"/>
      <c r="RRX50" s="408"/>
      <c r="RRY50" s="408"/>
      <c r="RRZ50" s="408"/>
      <c r="RSA50" s="408"/>
      <c r="RSB50" s="408"/>
      <c r="RSC50" s="408"/>
      <c r="RSD50" s="408"/>
      <c r="RSE50" s="408"/>
      <c r="RSF50" s="408"/>
      <c r="RSG50" s="408"/>
      <c r="RSH50" s="408"/>
      <c r="RSI50" s="408"/>
      <c r="RSJ50" s="408"/>
      <c r="RSK50" s="408"/>
      <c r="RSL50" s="408"/>
      <c r="RSM50" s="408"/>
      <c r="RSN50" s="408"/>
      <c r="RSO50" s="408"/>
      <c r="RSP50" s="408"/>
      <c r="RSQ50" s="408"/>
      <c r="RSR50" s="408"/>
      <c r="RSS50" s="408"/>
      <c r="RST50" s="408"/>
      <c r="RSU50" s="408"/>
      <c r="RSV50" s="408"/>
      <c r="RSW50" s="408"/>
      <c r="RSX50" s="408"/>
      <c r="RSY50" s="408"/>
      <c r="RSZ50" s="408"/>
      <c r="RTA50" s="408"/>
      <c r="RTB50" s="408"/>
      <c r="RTC50" s="408"/>
      <c r="RTD50" s="408"/>
      <c r="RTE50" s="408"/>
      <c r="RTF50" s="408"/>
      <c r="RTG50" s="408"/>
      <c r="RTH50" s="408"/>
      <c r="RTI50" s="408"/>
      <c r="RTJ50" s="408"/>
      <c r="RTK50" s="408"/>
      <c r="RTL50" s="408"/>
      <c r="RTM50" s="408"/>
      <c r="RTN50" s="408"/>
      <c r="RTO50" s="408"/>
      <c r="RTP50" s="408"/>
      <c r="RTQ50" s="408"/>
      <c r="RTR50" s="408"/>
      <c r="RTS50" s="408"/>
      <c r="RTT50" s="408"/>
      <c r="RTU50" s="408"/>
      <c r="RTV50" s="408"/>
      <c r="RTW50" s="408"/>
      <c r="RTX50" s="408"/>
      <c r="RTY50" s="408"/>
      <c r="RTZ50" s="408"/>
      <c r="RUA50" s="408"/>
      <c r="RUB50" s="408"/>
      <c r="RUC50" s="408"/>
      <c r="RUD50" s="408"/>
      <c r="RUE50" s="408"/>
      <c r="RUF50" s="408"/>
      <c r="RUG50" s="408"/>
      <c r="RUH50" s="408"/>
      <c r="RUI50" s="408"/>
      <c r="RUJ50" s="408"/>
      <c r="RUK50" s="408"/>
      <c r="RUL50" s="408"/>
      <c r="RUM50" s="408"/>
      <c r="RUN50" s="408"/>
      <c r="RUO50" s="408"/>
      <c r="RUP50" s="408"/>
      <c r="RUQ50" s="408"/>
      <c r="RUR50" s="408"/>
      <c r="RUS50" s="408"/>
      <c r="RUT50" s="408"/>
      <c r="RUU50" s="408"/>
      <c r="RUV50" s="408"/>
      <c r="RUW50" s="408"/>
      <c r="RUX50" s="408"/>
      <c r="RUY50" s="408"/>
      <c r="RUZ50" s="408"/>
      <c r="RVA50" s="408"/>
      <c r="RVB50" s="408"/>
      <c r="RVC50" s="408"/>
      <c r="RVD50" s="408"/>
      <c r="RVE50" s="408"/>
      <c r="RVF50" s="408"/>
      <c r="RVG50" s="408"/>
      <c r="RVH50" s="408"/>
      <c r="RVI50" s="408"/>
      <c r="RVJ50" s="408"/>
      <c r="RVK50" s="408"/>
      <c r="RVL50" s="408"/>
      <c r="RVM50" s="408"/>
      <c r="RVN50" s="408"/>
      <c r="RVO50" s="408"/>
      <c r="RVP50" s="408"/>
      <c r="RVQ50" s="408"/>
      <c r="RVR50" s="408"/>
      <c r="RVS50" s="408"/>
      <c r="RVT50" s="408"/>
      <c r="RVU50" s="408"/>
      <c r="RVV50" s="408"/>
      <c r="RVW50" s="408"/>
      <c r="RVX50" s="408"/>
      <c r="RVY50" s="408"/>
      <c r="RVZ50" s="408"/>
      <c r="RWA50" s="408"/>
      <c r="RWB50" s="408"/>
      <c r="RWC50" s="408"/>
      <c r="RWD50" s="408"/>
      <c r="RWE50" s="408"/>
      <c r="RWF50" s="408"/>
      <c r="RWG50" s="408"/>
      <c r="RWH50" s="408"/>
      <c r="RWI50" s="408"/>
      <c r="RWJ50" s="408"/>
      <c r="RWK50" s="408"/>
      <c r="RWL50" s="408"/>
      <c r="RWM50" s="408"/>
      <c r="RWN50" s="408"/>
      <c r="RWO50" s="408"/>
      <c r="RWP50" s="408"/>
      <c r="RWQ50" s="408"/>
      <c r="RWR50" s="408"/>
      <c r="RWS50" s="408"/>
      <c r="RWT50" s="408"/>
      <c r="RWU50" s="408"/>
      <c r="RWV50" s="408"/>
      <c r="RWW50" s="408"/>
      <c r="RWX50" s="408"/>
      <c r="RWY50" s="408"/>
      <c r="RWZ50" s="408"/>
      <c r="RXA50" s="408"/>
      <c r="RXB50" s="408"/>
      <c r="RXC50" s="408"/>
      <c r="RXD50" s="408"/>
      <c r="RXE50" s="408"/>
      <c r="RXF50" s="408"/>
      <c r="RXG50" s="408"/>
      <c r="RXH50" s="408"/>
      <c r="RXI50" s="408"/>
      <c r="RXJ50" s="408"/>
      <c r="RXK50" s="408"/>
      <c r="RXL50" s="408"/>
      <c r="RXM50" s="408"/>
      <c r="RXN50" s="408"/>
      <c r="RXO50" s="408"/>
      <c r="RXP50" s="408"/>
      <c r="RXQ50" s="408"/>
      <c r="RXR50" s="408"/>
      <c r="RXS50" s="408"/>
      <c r="RXT50" s="408"/>
      <c r="RXU50" s="408"/>
      <c r="RXV50" s="408"/>
      <c r="RXW50" s="408"/>
      <c r="RXX50" s="408"/>
      <c r="RXY50" s="408"/>
      <c r="RXZ50" s="408"/>
      <c r="RYA50" s="408"/>
      <c r="RYB50" s="408"/>
      <c r="RYC50" s="408"/>
      <c r="RYD50" s="408"/>
      <c r="RYE50" s="408"/>
      <c r="RYF50" s="408"/>
      <c r="RYG50" s="408"/>
      <c r="RYH50" s="408"/>
      <c r="RYI50" s="408"/>
      <c r="RYJ50" s="408"/>
      <c r="RYK50" s="408"/>
      <c r="RYL50" s="408"/>
      <c r="RYM50" s="408"/>
      <c r="RYN50" s="408"/>
      <c r="RYO50" s="408"/>
      <c r="RYP50" s="408"/>
      <c r="RYQ50" s="408"/>
      <c r="RYR50" s="408"/>
      <c r="RYS50" s="408"/>
      <c r="RYT50" s="408"/>
      <c r="RYU50" s="408"/>
      <c r="RYV50" s="408"/>
      <c r="RYW50" s="408"/>
      <c r="RYX50" s="408"/>
      <c r="RYY50" s="408"/>
      <c r="RYZ50" s="408"/>
      <c r="RZA50" s="408"/>
      <c r="RZB50" s="408"/>
      <c r="RZC50" s="408"/>
      <c r="RZD50" s="408"/>
      <c r="RZE50" s="408"/>
      <c r="RZF50" s="408"/>
      <c r="RZG50" s="408"/>
      <c r="RZH50" s="408"/>
      <c r="RZI50" s="408"/>
      <c r="RZJ50" s="408"/>
      <c r="RZK50" s="408"/>
      <c r="RZL50" s="408"/>
      <c r="RZM50" s="408"/>
      <c r="RZN50" s="408"/>
      <c r="RZO50" s="408"/>
      <c r="RZP50" s="408"/>
      <c r="RZQ50" s="408"/>
      <c r="RZR50" s="408"/>
      <c r="RZS50" s="408"/>
      <c r="RZT50" s="408"/>
      <c r="RZU50" s="408"/>
      <c r="RZV50" s="408"/>
      <c r="RZW50" s="408"/>
      <c r="RZX50" s="408"/>
      <c r="RZY50" s="408"/>
      <c r="RZZ50" s="408"/>
      <c r="SAA50" s="408"/>
      <c r="SAB50" s="408"/>
      <c r="SAC50" s="408"/>
      <c r="SAD50" s="408"/>
      <c r="SAE50" s="408"/>
      <c r="SAF50" s="408"/>
      <c r="SAG50" s="408"/>
      <c r="SAH50" s="408"/>
      <c r="SAI50" s="408"/>
      <c r="SAJ50" s="408"/>
      <c r="SAK50" s="408"/>
      <c r="SAL50" s="408"/>
      <c r="SAM50" s="408"/>
      <c r="SAN50" s="408"/>
      <c r="SAO50" s="408"/>
      <c r="SAP50" s="408"/>
      <c r="SAQ50" s="408"/>
      <c r="SAR50" s="408"/>
      <c r="SAS50" s="408"/>
      <c r="SAT50" s="408"/>
      <c r="SAU50" s="408"/>
      <c r="SAV50" s="408"/>
      <c r="SAW50" s="408"/>
      <c r="SAX50" s="408"/>
      <c r="SAY50" s="408"/>
      <c r="SAZ50" s="408"/>
      <c r="SBA50" s="408"/>
      <c r="SBB50" s="408"/>
      <c r="SBC50" s="408"/>
      <c r="SBD50" s="408"/>
      <c r="SBE50" s="408"/>
      <c r="SBF50" s="408"/>
      <c r="SBG50" s="408"/>
      <c r="SBH50" s="408"/>
      <c r="SBI50" s="408"/>
      <c r="SBJ50" s="408"/>
      <c r="SBK50" s="408"/>
      <c r="SBL50" s="408"/>
      <c r="SBM50" s="408"/>
      <c r="SBN50" s="408"/>
      <c r="SBO50" s="408"/>
      <c r="SBP50" s="408"/>
      <c r="SBQ50" s="408"/>
      <c r="SBR50" s="408"/>
      <c r="SBS50" s="408"/>
      <c r="SBT50" s="408"/>
      <c r="SBU50" s="408"/>
      <c r="SBV50" s="408"/>
      <c r="SBW50" s="408"/>
      <c r="SBX50" s="408"/>
      <c r="SBY50" s="408"/>
      <c r="SBZ50" s="408"/>
      <c r="SCA50" s="408"/>
      <c r="SCB50" s="408"/>
      <c r="SCC50" s="408"/>
      <c r="SCD50" s="408"/>
      <c r="SCE50" s="408"/>
      <c r="SCF50" s="408"/>
      <c r="SCG50" s="408"/>
      <c r="SCH50" s="408"/>
      <c r="SCI50" s="408"/>
      <c r="SCJ50" s="408"/>
      <c r="SCK50" s="408"/>
      <c r="SCL50" s="408"/>
      <c r="SCM50" s="408"/>
      <c r="SCN50" s="408"/>
      <c r="SCO50" s="408"/>
      <c r="SCP50" s="408"/>
      <c r="SCQ50" s="408"/>
      <c r="SCR50" s="408"/>
      <c r="SCS50" s="408"/>
      <c r="SCT50" s="408"/>
      <c r="SCU50" s="408"/>
      <c r="SCV50" s="408"/>
      <c r="SCW50" s="408"/>
      <c r="SCX50" s="408"/>
      <c r="SCY50" s="408"/>
      <c r="SCZ50" s="408"/>
      <c r="SDA50" s="408"/>
      <c r="SDB50" s="408"/>
      <c r="SDC50" s="408"/>
      <c r="SDD50" s="408"/>
      <c r="SDE50" s="408"/>
      <c r="SDF50" s="408"/>
      <c r="SDG50" s="408"/>
      <c r="SDH50" s="408"/>
      <c r="SDI50" s="408"/>
      <c r="SDJ50" s="408"/>
      <c r="SDK50" s="408"/>
      <c r="SDL50" s="408"/>
      <c r="SDM50" s="408"/>
      <c r="SDN50" s="408"/>
      <c r="SDO50" s="408"/>
      <c r="SDP50" s="408"/>
      <c r="SDQ50" s="408"/>
      <c r="SDR50" s="408"/>
      <c r="SDS50" s="408"/>
      <c r="SDT50" s="408"/>
      <c r="SDU50" s="408"/>
      <c r="SDV50" s="408"/>
      <c r="SDW50" s="408"/>
      <c r="SDX50" s="408"/>
      <c r="SDY50" s="408"/>
      <c r="SDZ50" s="408"/>
      <c r="SEA50" s="408"/>
      <c r="SEB50" s="408"/>
      <c r="SEC50" s="408"/>
      <c r="SED50" s="408"/>
      <c r="SEE50" s="408"/>
      <c r="SEF50" s="408"/>
      <c r="SEG50" s="408"/>
      <c r="SEH50" s="408"/>
      <c r="SEI50" s="408"/>
      <c r="SEJ50" s="408"/>
      <c r="SEK50" s="408"/>
      <c r="SEL50" s="408"/>
      <c r="SEM50" s="408"/>
      <c r="SEN50" s="408"/>
      <c r="SEO50" s="408"/>
      <c r="SEP50" s="408"/>
      <c r="SEQ50" s="408"/>
      <c r="SER50" s="408"/>
      <c r="SES50" s="408"/>
      <c r="SET50" s="408"/>
      <c r="SEU50" s="408"/>
      <c r="SEV50" s="408"/>
      <c r="SEW50" s="408"/>
      <c r="SEX50" s="408"/>
      <c r="SEY50" s="408"/>
      <c r="SEZ50" s="408"/>
      <c r="SFA50" s="408"/>
      <c r="SFB50" s="408"/>
      <c r="SFC50" s="408"/>
      <c r="SFD50" s="408"/>
      <c r="SFE50" s="408"/>
      <c r="SFF50" s="408"/>
      <c r="SFG50" s="408"/>
      <c r="SFH50" s="408"/>
      <c r="SFI50" s="408"/>
      <c r="SFJ50" s="408"/>
      <c r="SFK50" s="408"/>
      <c r="SFL50" s="408"/>
      <c r="SFM50" s="408"/>
      <c r="SFN50" s="408"/>
      <c r="SFO50" s="408"/>
      <c r="SFP50" s="408"/>
      <c r="SFQ50" s="408"/>
      <c r="SFR50" s="408"/>
      <c r="SFS50" s="408"/>
      <c r="SFT50" s="408"/>
      <c r="SFU50" s="408"/>
      <c r="SFV50" s="408"/>
      <c r="SFW50" s="408"/>
      <c r="SFX50" s="408"/>
      <c r="SFY50" s="408"/>
      <c r="SFZ50" s="408"/>
      <c r="SGA50" s="408"/>
      <c r="SGB50" s="408"/>
      <c r="SGC50" s="408"/>
      <c r="SGD50" s="408"/>
      <c r="SGE50" s="408"/>
      <c r="SGF50" s="408"/>
      <c r="SGG50" s="408"/>
      <c r="SGH50" s="408"/>
      <c r="SGI50" s="408"/>
      <c r="SGJ50" s="408"/>
      <c r="SGK50" s="408"/>
      <c r="SGL50" s="408"/>
      <c r="SGM50" s="408"/>
      <c r="SGN50" s="408"/>
      <c r="SGO50" s="408"/>
      <c r="SGP50" s="408"/>
      <c r="SGQ50" s="408"/>
      <c r="SGR50" s="408"/>
      <c r="SGS50" s="408"/>
      <c r="SGT50" s="408"/>
      <c r="SGU50" s="408"/>
      <c r="SGV50" s="408"/>
      <c r="SGW50" s="408"/>
      <c r="SGX50" s="408"/>
      <c r="SGY50" s="408"/>
      <c r="SGZ50" s="408"/>
      <c r="SHA50" s="408"/>
      <c r="SHB50" s="408"/>
      <c r="SHC50" s="408"/>
      <c r="SHD50" s="408"/>
      <c r="SHE50" s="408"/>
      <c r="SHF50" s="408"/>
      <c r="SHG50" s="408"/>
      <c r="SHH50" s="408"/>
      <c r="SHI50" s="408"/>
      <c r="SHJ50" s="408"/>
      <c r="SHK50" s="408"/>
      <c r="SHL50" s="408"/>
      <c r="SHM50" s="408"/>
      <c r="SHN50" s="408"/>
      <c r="SHO50" s="408"/>
      <c r="SHP50" s="408"/>
      <c r="SHQ50" s="408"/>
      <c r="SHR50" s="408"/>
      <c r="SHS50" s="408"/>
      <c r="SHT50" s="408"/>
      <c r="SHU50" s="408"/>
      <c r="SHV50" s="408"/>
      <c r="SHW50" s="408"/>
      <c r="SHX50" s="408"/>
      <c r="SHY50" s="408"/>
      <c r="SHZ50" s="408"/>
      <c r="SIA50" s="408"/>
      <c r="SIB50" s="408"/>
      <c r="SIC50" s="408"/>
      <c r="SID50" s="408"/>
      <c r="SIE50" s="408"/>
      <c r="SIF50" s="408"/>
      <c r="SIG50" s="408"/>
      <c r="SIH50" s="408"/>
      <c r="SII50" s="408"/>
      <c r="SIJ50" s="408"/>
      <c r="SIK50" s="408"/>
      <c r="SIL50" s="408"/>
      <c r="SIM50" s="408"/>
      <c r="SIN50" s="408"/>
      <c r="SIO50" s="408"/>
      <c r="SIP50" s="408"/>
      <c r="SIQ50" s="408"/>
      <c r="SIR50" s="408"/>
      <c r="SIS50" s="408"/>
      <c r="SIT50" s="408"/>
      <c r="SIU50" s="408"/>
      <c r="SIV50" s="408"/>
      <c r="SIW50" s="408"/>
      <c r="SIX50" s="408"/>
      <c r="SIY50" s="408"/>
      <c r="SIZ50" s="408"/>
      <c r="SJA50" s="408"/>
      <c r="SJB50" s="408"/>
      <c r="SJC50" s="408"/>
      <c r="SJD50" s="408"/>
      <c r="SJE50" s="408"/>
      <c r="SJF50" s="408"/>
      <c r="SJG50" s="408"/>
      <c r="SJH50" s="408"/>
      <c r="SJI50" s="408"/>
      <c r="SJJ50" s="408"/>
      <c r="SJK50" s="408"/>
      <c r="SJL50" s="408"/>
      <c r="SJM50" s="408"/>
      <c r="SJN50" s="408"/>
      <c r="SJO50" s="408"/>
      <c r="SJP50" s="408"/>
      <c r="SJQ50" s="408"/>
      <c r="SJR50" s="408"/>
      <c r="SJS50" s="408"/>
      <c r="SJT50" s="408"/>
      <c r="SJU50" s="408"/>
      <c r="SJV50" s="408"/>
      <c r="SJW50" s="408"/>
      <c r="SJX50" s="408"/>
      <c r="SJY50" s="408"/>
      <c r="SJZ50" s="408"/>
      <c r="SKA50" s="408"/>
      <c r="SKB50" s="408"/>
      <c r="SKC50" s="408"/>
      <c r="SKD50" s="408"/>
      <c r="SKE50" s="408"/>
      <c r="SKF50" s="408"/>
      <c r="SKG50" s="408"/>
      <c r="SKH50" s="408"/>
      <c r="SKI50" s="408"/>
      <c r="SKJ50" s="408"/>
      <c r="SKK50" s="408"/>
      <c r="SKL50" s="408"/>
      <c r="SKM50" s="408"/>
      <c r="SKN50" s="408"/>
      <c r="SKO50" s="408"/>
      <c r="SKP50" s="408"/>
      <c r="SKQ50" s="408"/>
      <c r="SKR50" s="408"/>
      <c r="SKS50" s="408"/>
      <c r="SKT50" s="408"/>
      <c r="SKU50" s="408"/>
      <c r="SKV50" s="408"/>
      <c r="SKW50" s="408"/>
      <c r="SKX50" s="408"/>
      <c r="SKY50" s="408"/>
      <c r="SKZ50" s="408"/>
      <c r="SLA50" s="408"/>
      <c r="SLB50" s="408"/>
      <c r="SLC50" s="408"/>
      <c r="SLD50" s="408"/>
      <c r="SLE50" s="408"/>
      <c r="SLF50" s="408"/>
      <c r="SLG50" s="408"/>
      <c r="SLH50" s="408"/>
      <c r="SLI50" s="408"/>
      <c r="SLJ50" s="408"/>
      <c r="SLK50" s="408"/>
      <c r="SLL50" s="408"/>
      <c r="SLM50" s="408"/>
      <c r="SLN50" s="408"/>
      <c r="SLO50" s="408"/>
      <c r="SLP50" s="408"/>
      <c r="SLQ50" s="408"/>
      <c r="SLR50" s="408"/>
      <c r="SLS50" s="408"/>
      <c r="SLT50" s="408"/>
      <c r="SLU50" s="408"/>
      <c r="SLV50" s="408"/>
      <c r="SLW50" s="408"/>
      <c r="SLX50" s="408"/>
      <c r="SLY50" s="408"/>
      <c r="SLZ50" s="408"/>
      <c r="SMA50" s="408"/>
      <c r="SMB50" s="408"/>
      <c r="SMC50" s="408"/>
      <c r="SMD50" s="408"/>
      <c r="SME50" s="408"/>
      <c r="SMF50" s="408"/>
      <c r="SMG50" s="408"/>
      <c r="SMH50" s="408"/>
      <c r="SMI50" s="408"/>
      <c r="SMJ50" s="408"/>
      <c r="SMK50" s="408"/>
      <c r="SML50" s="408"/>
      <c r="SMM50" s="408"/>
      <c r="SMN50" s="408"/>
      <c r="SMO50" s="408"/>
      <c r="SMP50" s="408"/>
      <c r="SMQ50" s="408"/>
      <c r="SMR50" s="408"/>
      <c r="SMS50" s="408"/>
      <c r="SMT50" s="408"/>
      <c r="SMU50" s="408"/>
      <c r="SMV50" s="408"/>
      <c r="SMW50" s="408"/>
      <c r="SMX50" s="408"/>
      <c r="SMY50" s="408"/>
      <c r="SMZ50" s="408"/>
      <c r="SNA50" s="408"/>
      <c r="SNB50" s="408"/>
      <c r="SNC50" s="408"/>
      <c r="SND50" s="408"/>
      <c r="SNE50" s="408"/>
      <c r="SNF50" s="408"/>
      <c r="SNG50" s="408"/>
      <c r="SNH50" s="408"/>
      <c r="SNI50" s="408"/>
      <c r="SNJ50" s="408"/>
      <c r="SNK50" s="408"/>
      <c r="SNL50" s="408"/>
      <c r="SNM50" s="408"/>
      <c r="SNN50" s="408"/>
      <c r="SNO50" s="408"/>
      <c r="SNP50" s="408"/>
      <c r="SNQ50" s="408"/>
      <c r="SNR50" s="408"/>
      <c r="SNS50" s="408"/>
      <c r="SNT50" s="408"/>
      <c r="SNU50" s="408"/>
      <c r="SNV50" s="408"/>
      <c r="SNW50" s="408"/>
      <c r="SNX50" s="408"/>
      <c r="SNY50" s="408"/>
      <c r="SNZ50" s="408"/>
      <c r="SOA50" s="408"/>
      <c r="SOB50" s="408"/>
      <c r="SOC50" s="408"/>
      <c r="SOD50" s="408"/>
      <c r="SOE50" s="408"/>
      <c r="SOF50" s="408"/>
      <c r="SOG50" s="408"/>
      <c r="SOH50" s="408"/>
      <c r="SOI50" s="408"/>
      <c r="SOJ50" s="408"/>
      <c r="SOK50" s="408"/>
      <c r="SOL50" s="408"/>
      <c r="SOM50" s="408"/>
      <c r="SON50" s="408"/>
      <c r="SOO50" s="408"/>
      <c r="SOP50" s="408"/>
      <c r="SOQ50" s="408"/>
      <c r="SOR50" s="408"/>
      <c r="SOS50" s="408"/>
      <c r="SOT50" s="408"/>
      <c r="SOU50" s="408"/>
      <c r="SOV50" s="408"/>
      <c r="SOW50" s="408"/>
      <c r="SOX50" s="408"/>
      <c r="SOY50" s="408"/>
      <c r="SOZ50" s="408"/>
      <c r="SPA50" s="408"/>
      <c r="SPB50" s="408"/>
      <c r="SPC50" s="408"/>
      <c r="SPD50" s="408"/>
      <c r="SPE50" s="408"/>
      <c r="SPF50" s="408"/>
      <c r="SPG50" s="408"/>
      <c r="SPH50" s="408"/>
      <c r="SPI50" s="408"/>
      <c r="SPJ50" s="408"/>
      <c r="SPK50" s="408"/>
      <c r="SPL50" s="408"/>
      <c r="SPM50" s="408"/>
      <c r="SPN50" s="408"/>
      <c r="SPO50" s="408"/>
      <c r="SPP50" s="408"/>
      <c r="SPQ50" s="408"/>
      <c r="SPR50" s="408"/>
      <c r="SPS50" s="408"/>
      <c r="SPT50" s="408"/>
      <c r="SPU50" s="408"/>
      <c r="SPV50" s="408"/>
      <c r="SPW50" s="408"/>
      <c r="SPX50" s="408"/>
      <c r="SPY50" s="408"/>
      <c r="SPZ50" s="408"/>
      <c r="SQA50" s="408"/>
      <c r="SQB50" s="408"/>
      <c r="SQC50" s="408"/>
      <c r="SQD50" s="408"/>
      <c r="SQE50" s="408"/>
      <c r="SQF50" s="408"/>
      <c r="SQG50" s="408"/>
      <c r="SQH50" s="408"/>
      <c r="SQI50" s="408"/>
      <c r="SQJ50" s="408"/>
      <c r="SQK50" s="408"/>
      <c r="SQL50" s="408"/>
      <c r="SQM50" s="408"/>
      <c r="SQN50" s="408"/>
      <c r="SQO50" s="408"/>
      <c r="SQP50" s="408"/>
      <c r="SQQ50" s="408"/>
      <c r="SQR50" s="408"/>
      <c r="SQS50" s="408"/>
      <c r="SQT50" s="408"/>
      <c r="SQU50" s="408"/>
      <c r="SQV50" s="408"/>
      <c r="SQW50" s="408"/>
      <c r="SQX50" s="408"/>
      <c r="SQY50" s="408"/>
      <c r="SQZ50" s="408"/>
      <c r="SRA50" s="408"/>
      <c r="SRB50" s="408"/>
      <c r="SRC50" s="408"/>
      <c r="SRD50" s="408"/>
      <c r="SRE50" s="408"/>
      <c r="SRF50" s="408"/>
      <c r="SRG50" s="408"/>
      <c r="SRH50" s="408"/>
      <c r="SRI50" s="408"/>
      <c r="SRJ50" s="408"/>
      <c r="SRK50" s="408"/>
      <c r="SRL50" s="408"/>
      <c r="SRM50" s="408"/>
      <c r="SRN50" s="408"/>
      <c r="SRO50" s="408"/>
      <c r="SRP50" s="408"/>
      <c r="SRQ50" s="408"/>
      <c r="SRR50" s="408"/>
      <c r="SRS50" s="408"/>
      <c r="SRT50" s="408"/>
      <c r="SRU50" s="408"/>
      <c r="SRV50" s="408"/>
      <c r="SRW50" s="408"/>
      <c r="SRX50" s="408"/>
      <c r="SRY50" s="408"/>
      <c r="SRZ50" s="408"/>
      <c r="SSA50" s="408"/>
      <c r="SSB50" s="408"/>
      <c r="SSC50" s="408"/>
      <c r="SSD50" s="408"/>
      <c r="SSE50" s="408"/>
      <c r="SSF50" s="408"/>
      <c r="SSG50" s="408"/>
      <c r="SSH50" s="408"/>
      <c r="SSI50" s="408"/>
      <c r="SSJ50" s="408"/>
      <c r="SSK50" s="408"/>
      <c r="SSL50" s="408"/>
      <c r="SSM50" s="408"/>
      <c r="SSN50" s="408"/>
      <c r="SSO50" s="408"/>
      <c r="SSP50" s="408"/>
      <c r="SSQ50" s="408"/>
      <c r="SSR50" s="408"/>
      <c r="SSS50" s="408"/>
      <c r="SST50" s="408"/>
      <c r="SSU50" s="408"/>
      <c r="SSV50" s="408"/>
      <c r="SSW50" s="408"/>
      <c r="SSX50" s="408"/>
      <c r="SSY50" s="408"/>
      <c r="SSZ50" s="408"/>
      <c r="STA50" s="408"/>
      <c r="STB50" s="408"/>
      <c r="STC50" s="408"/>
      <c r="STD50" s="408"/>
      <c r="STE50" s="408"/>
      <c r="STF50" s="408"/>
      <c r="STG50" s="408"/>
      <c r="STH50" s="408"/>
      <c r="STI50" s="408"/>
      <c r="STJ50" s="408"/>
      <c r="STK50" s="408"/>
      <c r="STL50" s="408"/>
      <c r="STM50" s="408"/>
      <c r="STN50" s="408"/>
      <c r="STO50" s="408"/>
      <c r="STP50" s="408"/>
      <c r="STQ50" s="408"/>
      <c r="STR50" s="408"/>
      <c r="STS50" s="408"/>
      <c r="STT50" s="408"/>
      <c r="STU50" s="408"/>
      <c r="STV50" s="408"/>
      <c r="STW50" s="408"/>
      <c r="STX50" s="408"/>
      <c r="STY50" s="408"/>
      <c r="STZ50" s="408"/>
      <c r="SUA50" s="408"/>
      <c r="SUB50" s="408"/>
      <c r="SUC50" s="408"/>
      <c r="SUD50" s="408"/>
      <c r="SUE50" s="408"/>
      <c r="SUF50" s="408"/>
      <c r="SUG50" s="408"/>
      <c r="SUH50" s="408"/>
      <c r="SUI50" s="408"/>
      <c r="SUJ50" s="408"/>
      <c r="SUK50" s="408"/>
      <c r="SUL50" s="408"/>
      <c r="SUM50" s="408"/>
      <c r="SUN50" s="408"/>
      <c r="SUO50" s="408"/>
      <c r="SUP50" s="408"/>
      <c r="SUQ50" s="408"/>
      <c r="SUR50" s="408"/>
      <c r="SUS50" s="408"/>
      <c r="SUT50" s="408"/>
      <c r="SUU50" s="408"/>
      <c r="SUV50" s="408"/>
      <c r="SUW50" s="408"/>
      <c r="SUX50" s="408"/>
      <c r="SUY50" s="408"/>
      <c r="SUZ50" s="408"/>
      <c r="SVA50" s="408"/>
      <c r="SVB50" s="408"/>
      <c r="SVC50" s="408"/>
      <c r="SVD50" s="408"/>
      <c r="SVE50" s="408"/>
      <c r="SVF50" s="408"/>
      <c r="SVG50" s="408"/>
      <c r="SVH50" s="408"/>
      <c r="SVI50" s="408"/>
      <c r="SVJ50" s="408"/>
      <c r="SVK50" s="408"/>
      <c r="SVL50" s="408"/>
      <c r="SVM50" s="408"/>
      <c r="SVN50" s="408"/>
      <c r="SVO50" s="408"/>
      <c r="SVP50" s="408"/>
      <c r="SVQ50" s="408"/>
      <c r="SVR50" s="408"/>
      <c r="SVS50" s="408"/>
      <c r="SVT50" s="408"/>
      <c r="SVU50" s="408"/>
      <c r="SVV50" s="408"/>
      <c r="SVW50" s="408"/>
      <c r="SVX50" s="408"/>
      <c r="SVY50" s="408"/>
      <c r="SVZ50" s="408"/>
      <c r="SWA50" s="408"/>
      <c r="SWB50" s="408"/>
      <c r="SWC50" s="408"/>
      <c r="SWD50" s="408"/>
      <c r="SWE50" s="408"/>
      <c r="SWF50" s="408"/>
      <c r="SWG50" s="408"/>
      <c r="SWH50" s="408"/>
      <c r="SWI50" s="408"/>
      <c r="SWJ50" s="408"/>
      <c r="SWK50" s="408"/>
      <c r="SWL50" s="408"/>
      <c r="SWM50" s="408"/>
      <c r="SWN50" s="408"/>
      <c r="SWO50" s="408"/>
      <c r="SWP50" s="408"/>
      <c r="SWQ50" s="408"/>
      <c r="SWR50" s="408"/>
      <c r="SWS50" s="408"/>
      <c r="SWT50" s="408"/>
      <c r="SWU50" s="408"/>
      <c r="SWV50" s="408"/>
      <c r="SWW50" s="408"/>
      <c r="SWX50" s="408"/>
      <c r="SWY50" s="408"/>
      <c r="SWZ50" s="408"/>
      <c r="SXA50" s="408"/>
      <c r="SXB50" s="408"/>
      <c r="SXC50" s="408"/>
      <c r="SXD50" s="408"/>
      <c r="SXE50" s="408"/>
      <c r="SXF50" s="408"/>
      <c r="SXG50" s="408"/>
      <c r="SXH50" s="408"/>
      <c r="SXI50" s="408"/>
      <c r="SXJ50" s="408"/>
      <c r="SXK50" s="408"/>
      <c r="SXL50" s="408"/>
      <c r="SXM50" s="408"/>
      <c r="SXN50" s="408"/>
      <c r="SXO50" s="408"/>
      <c r="SXP50" s="408"/>
      <c r="SXQ50" s="408"/>
      <c r="SXR50" s="408"/>
      <c r="SXS50" s="408"/>
      <c r="SXT50" s="408"/>
      <c r="SXU50" s="408"/>
      <c r="SXV50" s="408"/>
      <c r="SXW50" s="408"/>
      <c r="SXX50" s="408"/>
      <c r="SXY50" s="408"/>
      <c r="SXZ50" s="408"/>
      <c r="SYA50" s="408"/>
      <c r="SYB50" s="408"/>
      <c r="SYC50" s="408"/>
      <c r="SYD50" s="408"/>
      <c r="SYE50" s="408"/>
      <c r="SYF50" s="408"/>
      <c r="SYG50" s="408"/>
      <c r="SYH50" s="408"/>
      <c r="SYI50" s="408"/>
      <c r="SYJ50" s="408"/>
      <c r="SYK50" s="408"/>
      <c r="SYL50" s="408"/>
      <c r="SYM50" s="408"/>
      <c r="SYN50" s="408"/>
      <c r="SYO50" s="408"/>
      <c r="SYP50" s="408"/>
      <c r="SYQ50" s="408"/>
      <c r="SYR50" s="408"/>
      <c r="SYS50" s="408"/>
      <c r="SYT50" s="408"/>
      <c r="SYU50" s="408"/>
      <c r="SYV50" s="408"/>
      <c r="SYW50" s="408"/>
      <c r="SYX50" s="408"/>
      <c r="SYY50" s="408"/>
      <c r="SYZ50" s="408"/>
      <c r="SZA50" s="408"/>
      <c r="SZB50" s="408"/>
      <c r="SZC50" s="408"/>
      <c r="SZD50" s="408"/>
      <c r="SZE50" s="408"/>
      <c r="SZF50" s="408"/>
      <c r="SZG50" s="408"/>
      <c r="SZH50" s="408"/>
      <c r="SZI50" s="408"/>
      <c r="SZJ50" s="408"/>
      <c r="SZK50" s="408"/>
      <c r="SZL50" s="408"/>
      <c r="SZM50" s="408"/>
      <c r="SZN50" s="408"/>
      <c r="SZO50" s="408"/>
      <c r="SZP50" s="408"/>
      <c r="SZQ50" s="408"/>
      <c r="SZR50" s="408"/>
      <c r="SZS50" s="408"/>
      <c r="SZT50" s="408"/>
      <c r="SZU50" s="408"/>
      <c r="SZV50" s="408"/>
      <c r="SZW50" s="408"/>
      <c r="SZX50" s="408"/>
      <c r="SZY50" s="408"/>
      <c r="SZZ50" s="408"/>
      <c r="TAA50" s="408"/>
      <c r="TAB50" s="408"/>
      <c r="TAC50" s="408"/>
      <c r="TAD50" s="408"/>
      <c r="TAE50" s="408"/>
      <c r="TAF50" s="408"/>
      <c r="TAG50" s="408"/>
      <c r="TAH50" s="408"/>
      <c r="TAI50" s="408"/>
      <c r="TAJ50" s="408"/>
      <c r="TAK50" s="408"/>
      <c r="TAL50" s="408"/>
      <c r="TAM50" s="408"/>
      <c r="TAN50" s="408"/>
      <c r="TAO50" s="408"/>
      <c r="TAP50" s="408"/>
      <c r="TAQ50" s="408"/>
      <c r="TAR50" s="408"/>
      <c r="TAS50" s="408"/>
      <c r="TAT50" s="408"/>
      <c r="TAU50" s="408"/>
      <c r="TAV50" s="408"/>
      <c r="TAW50" s="408"/>
      <c r="TAX50" s="408"/>
      <c r="TAY50" s="408"/>
      <c r="TAZ50" s="408"/>
      <c r="TBA50" s="408"/>
      <c r="TBB50" s="408"/>
      <c r="TBC50" s="408"/>
      <c r="TBD50" s="408"/>
      <c r="TBE50" s="408"/>
      <c r="TBF50" s="408"/>
      <c r="TBG50" s="408"/>
      <c r="TBH50" s="408"/>
      <c r="TBI50" s="408"/>
      <c r="TBJ50" s="408"/>
      <c r="TBK50" s="408"/>
      <c r="TBL50" s="408"/>
      <c r="TBM50" s="408"/>
      <c r="TBN50" s="408"/>
      <c r="TBO50" s="408"/>
      <c r="TBP50" s="408"/>
      <c r="TBQ50" s="408"/>
      <c r="TBR50" s="408"/>
      <c r="TBS50" s="408"/>
      <c r="TBT50" s="408"/>
      <c r="TBU50" s="408"/>
      <c r="TBV50" s="408"/>
      <c r="TBW50" s="408"/>
      <c r="TBX50" s="408"/>
      <c r="TBY50" s="408"/>
      <c r="TBZ50" s="408"/>
      <c r="TCA50" s="408"/>
      <c r="TCB50" s="408"/>
      <c r="TCC50" s="408"/>
      <c r="TCD50" s="408"/>
      <c r="TCE50" s="408"/>
      <c r="TCF50" s="408"/>
      <c r="TCG50" s="408"/>
      <c r="TCH50" s="408"/>
      <c r="TCI50" s="408"/>
      <c r="TCJ50" s="408"/>
      <c r="TCK50" s="408"/>
      <c r="TCL50" s="408"/>
      <c r="TCM50" s="408"/>
      <c r="TCN50" s="408"/>
      <c r="TCO50" s="408"/>
      <c r="TCP50" s="408"/>
      <c r="TCQ50" s="408"/>
      <c r="TCR50" s="408"/>
      <c r="TCS50" s="408"/>
      <c r="TCT50" s="408"/>
      <c r="TCU50" s="408"/>
      <c r="TCV50" s="408"/>
      <c r="TCW50" s="408"/>
      <c r="TCX50" s="408"/>
      <c r="TCY50" s="408"/>
      <c r="TCZ50" s="408"/>
      <c r="TDA50" s="408"/>
      <c r="TDB50" s="408"/>
      <c r="TDC50" s="408"/>
      <c r="TDD50" s="408"/>
      <c r="TDE50" s="408"/>
      <c r="TDF50" s="408"/>
      <c r="TDG50" s="408"/>
      <c r="TDH50" s="408"/>
      <c r="TDI50" s="408"/>
      <c r="TDJ50" s="408"/>
      <c r="TDK50" s="408"/>
      <c r="TDL50" s="408"/>
      <c r="TDM50" s="408"/>
      <c r="TDN50" s="408"/>
      <c r="TDO50" s="408"/>
      <c r="TDP50" s="408"/>
      <c r="TDQ50" s="408"/>
      <c r="TDR50" s="408"/>
      <c r="TDS50" s="408"/>
      <c r="TDT50" s="408"/>
      <c r="TDU50" s="408"/>
      <c r="TDV50" s="408"/>
      <c r="TDW50" s="408"/>
      <c r="TDX50" s="408"/>
      <c r="TDY50" s="408"/>
      <c r="TDZ50" s="408"/>
      <c r="TEA50" s="408"/>
      <c r="TEB50" s="408"/>
      <c r="TEC50" s="408"/>
      <c r="TED50" s="408"/>
      <c r="TEE50" s="408"/>
      <c r="TEF50" s="408"/>
      <c r="TEG50" s="408"/>
      <c r="TEH50" s="408"/>
      <c r="TEI50" s="408"/>
      <c r="TEJ50" s="408"/>
      <c r="TEK50" s="408"/>
      <c r="TEL50" s="408"/>
      <c r="TEM50" s="408"/>
      <c r="TEN50" s="408"/>
      <c r="TEO50" s="408"/>
      <c r="TEP50" s="408"/>
      <c r="TEQ50" s="408"/>
      <c r="TER50" s="408"/>
      <c r="TES50" s="408"/>
      <c r="TET50" s="408"/>
      <c r="TEU50" s="408"/>
      <c r="TEV50" s="408"/>
      <c r="TEW50" s="408"/>
      <c r="TEX50" s="408"/>
      <c r="TEY50" s="408"/>
      <c r="TEZ50" s="408"/>
      <c r="TFA50" s="408"/>
      <c r="TFB50" s="408"/>
      <c r="TFC50" s="408"/>
      <c r="TFD50" s="408"/>
      <c r="TFE50" s="408"/>
      <c r="TFF50" s="408"/>
      <c r="TFG50" s="408"/>
      <c r="TFH50" s="408"/>
      <c r="TFI50" s="408"/>
      <c r="TFJ50" s="408"/>
      <c r="TFK50" s="408"/>
      <c r="TFL50" s="408"/>
      <c r="TFM50" s="408"/>
      <c r="TFN50" s="408"/>
      <c r="TFO50" s="408"/>
      <c r="TFP50" s="408"/>
      <c r="TFQ50" s="408"/>
      <c r="TFR50" s="408"/>
      <c r="TFS50" s="408"/>
      <c r="TFT50" s="408"/>
      <c r="TFU50" s="408"/>
      <c r="TFV50" s="408"/>
      <c r="TFW50" s="408"/>
      <c r="TFX50" s="408"/>
      <c r="TFY50" s="408"/>
      <c r="TFZ50" s="408"/>
      <c r="TGA50" s="408"/>
      <c r="TGB50" s="408"/>
      <c r="TGC50" s="408"/>
      <c r="TGD50" s="408"/>
      <c r="TGE50" s="408"/>
      <c r="TGF50" s="408"/>
      <c r="TGG50" s="408"/>
      <c r="TGH50" s="408"/>
      <c r="TGI50" s="408"/>
      <c r="TGJ50" s="408"/>
      <c r="TGK50" s="408"/>
      <c r="TGL50" s="408"/>
      <c r="TGM50" s="408"/>
      <c r="TGN50" s="408"/>
      <c r="TGO50" s="408"/>
      <c r="TGP50" s="408"/>
      <c r="TGQ50" s="408"/>
      <c r="TGR50" s="408"/>
      <c r="TGS50" s="408"/>
      <c r="TGT50" s="408"/>
      <c r="TGU50" s="408"/>
      <c r="TGV50" s="408"/>
      <c r="TGW50" s="408"/>
      <c r="TGX50" s="408"/>
      <c r="TGY50" s="408"/>
      <c r="TGZ50" s="408"/>
      <c r="THA50" s="408"/>
      <c r="THB50" s="408"/>
      <c r="THC50" s="408"/>
      <c r="THD50" s="408"/>
      <c r="THE50" s="408"/>
      <c r="THF50" s="408"/>
      <c r="THG50" s="408"/>
      <c r="THH50" s="408"/>
      <c r="THI50" s="408"/>
      <c r="THJ50" s="408"/>
      <c r="THK50" s="408"/>
      <c r="THL50" s="408"/>
      <c r="THM50" s="408"/>
      <c r="THN50" s="408"/>
      <c r="THO50" s="408"/>
      <c r="THP50" s="408"/>
      <c r="THQ50" s="408"/>
      <c r="THR50" s="408"/>
      <c r="THS50" s="408"/>
      <c r="THT50" s="408"/>
      <c r="THU50" s="408"/>
      <c r="THV50" s="408"/>
      <c r="THW50" s="408"/>
      <c r="THX50" s="408"/>
      <c r="THY50" s="408"/>
      <c r="THZ50" s="408"/>
      <c r="TIA50" s="408"/>
      <c r="TIB50" s="408"/>
      <c r="TIC50" s="408"/>
      <c r="TID50" s="408"/>
      <c r="TIE50" s="408"/>
      <c r="TIF50" s="408"/>
      <c r="TIG50" s="408"/>
      <c r="TIH50" s="408"/>
      <c r="TII50" s="408"/>
      <c r="TIJ50" s="408"/>
      <c r="TIK50" s="408"/>
      <c r="TIL50" s="408"/>
      <c r="TIM50" s="408"/>
      <c r="TIN50" s="408"/>
      <c r="TIO50" s="408"/>
      <c r="TIP50" s="408"/>
      <c r="TIQ50" s="408"/>
      <c r="TIR50" s="408"/>
      <c r="TIS50" s="408"/>
      <c r="TIT50" s="408"/>
      <c r="TIU50" s="408"/>
      <c r="TIV50" s="408"/>
      <c r="TIW50" s="408"/>
      <c r="TIX50" s="408"/>
      <c r="TIY50" s="408"/>
      <c r="TIZ50" s="408"/>
      <c r="TJA50" s="408"/>
      <c r="TJB50" s="408"/>
      <c r="TJC50" s="408"/>
      <c r="TJD50" s="408"/>
      <c r="TJE50" s="408"/>
      <c r="TJF50" s="408"/>
      <c r="TJG50" s="408"/>
      <c r="TJH50" s="408"/>
      <c r="TJI50" s="408"/>
      <c r="TJJ50" s="408"/>
      <c r="TJK50" s="408"/>
      <c r="TJL50" s="408"/>
      <c r="TJM50" s="408"/>
      <c r="TJN50" s="408"/>
      <c r="TJO50" s="408"/>
      <c r="TJP50" s="408"/>
      <c r="TJQ50" s="408"/>
      <c r="TJR50" s="408"/>
      <c r="TJS50" s="408"/>
      <c r="TJT50" s="408"/>
      <c r="TJU50" s="408"/>
      <c r="TJV50" s="408"/>
      <c r="TJW50" s="408"/>
      <c r="TJX50" s="408"/>
      <c r="TJY50" s="408"/>
      <c r="TJZ50" s="408"/>
      <c r="TKA50" s="408"/>
      <c r="TKB50" s="408"/>
      <c r="TKC50" s="408"/>
      <c r="TKD50" s="408"/>
      <c r="TKE50" s="408"/>
      <c r="TKF50" s="408"/>
      <c r="TKG50" s="408"/>
      <c r="TKH50" s="408"/>
      <c r="TKI50" s="408"/>
      <c r="TKJ50" s="408"/>
      <c r="TKK50" s="408"/>
      <c r="TKL50" s="408"/>
      <c r="TKM50" s="408"/>
      <c r="TKN50" s="408"/>
      <c r="TKO50" s="408"/>
      <c r="TKP50" s="408"/>
      <c r="TKQ50" s="408"/>
      <c r="TKR50" s="408"/>
      <c r="TKS50" s="408"/>
      <c r="TKT50" s="408"/>
      <c r="TKU50" s="408"/>
      <c r="TKV50" s="408"/>
      <c r="TKW50" s="408"/>
      <c r="TKX50" s="408"/>
      <c r="TKY50" s="408"/>
      <c r="TKZ50" s="408"/>
      <c r="TLA50" s="408"/>
      <c r="TLB50" s="408"/>
      <c r="TLC50" s="408"/>
      <c r="TLD50" s="408"/>
      <c r="TLE50" s="408"/>
      <c r="TLF50" s="408"/>
      <c r="TLG50" s="408"/>
      <c r="TLH50" s="408"/>
      <c r="TLI50" s="408"/>
      <c r="TLJ50" s="408"/>
      <c r="TLK50" s="408"/>
      <c r="TLL50" s="408"/>
      <c r="TLM50" s="408"/>
      <c r="TLN50" s="408"/>
      <c r="TLO50" s="408"/>
      <c r="TLP50" s="408"/>
      <c r="TLQ50" s="408"/>
      <c r="TLR50" s="408"/>
      <c r="TLS50" s="408"/>
      <c r="TLT50" s="408"/>
      <c r="TLU50" s="408"/>
      <c r="TLV50" s="408"/>
      <c r="TLW50" s="408"/>
      <c r="TLX50" s="408"/>
      <c r="TLY50" s="408"/>
      <c r="TLZ50" s="408"/>
      <c r="TMA50" s="408"/>
      <c r="TMB50" s="408"/>
      <c r="TMC50" s="408"/>
      <c r="TMD50" s="408"/>
      <c r="TME50" s="408"/>
      <c r="TMF50" s="408"/>
      <c r="TMG50" s="408"/>
      <c r="TMH50" s="408"/>
      <c r="TMI50" s="408"/>
      <c r="TMJ50" s="408"/>
      <c r="TMK50" s="408"/>
      <c r="TML50" s="408"/>
      <c r="TMM50" s="408"/>
      <c r="TMN50" s="408"/>
      <c r="TMO50" s="408"/>
      <c r="TMP50" s="408"/>
      <c r="TMQ50" s="408"/>
      <c r="TMR50" s="408"/>
      <c r="TMS50" s="408"/>
      <c r="TMT50" s="408"/>
      <c r="TMU50" s="408"/>
      <c r="TMV50" s="408"/>
      <c r="TMW50" s="408"/>
      <c r="TMX50" s="408"/>
      <c r="TMY50" s="408"/>
      <c r="TMZ50" s="408"/>
      <c r="TNA50" s="408"/>
      <c r="TNB50" s="408"/>
      <c r="TNC50" s="408"/>
      <c r="TND50" s="408"/>
      <c r="TNE50" s="408"/>
      <c r="TNF50" s="408"/>
      <c r="TNG50" s="408"/>
      <c r="TNH50" s="408"/>
      <c r="TNI50" s="408"/>
      <c r="TNJ50" s="408"/>
      <c r="TNK50" s="408"/>
      <c r="TNL50" s="408"/>
      <c r="TNM50" s="408"/>
      <c r="TNN50" s="408"/>
      <c r="TNO50" s="408"/>
      <c r="TNP50" s="408"/>
      <c r="TNQ50" s="408"/>
      <c r="TNR50" s="408"/>
      <c r="TNS50" s="408"/>
      <c r="TNT50" s="408"/>
      <c r="TNU50" s="408"/>
      <c r="TNV50" s="408"/>
      <c r="TNW50" s="408"/>
      <c r="TNX50" s="408"/>
      <c r="TNY50" s="408"/>
      <c r="TNZ50" s="408"/>
      <c r="TOA50" s="408"/>
      <c r="TOB50" s="408"/>
      <c r="TOC50" s="408"/>
      <c r="TOD50" s="408"/>
      <c r="TOE50" s="408"/>
      <c r="TOF50" s="408"/>
      <c r="TOG50" s="408"/>
      <c r="TOH50" s="408"/>
      <c r="TOI50" s="408"/>
      <c r="TOJ50" s="408"/>
      <c r="TOK50" s="408"/>
      <c r="TOL50" s="408"/>
      <c r="TOM50" s="408"/>
      <c r="TON50" s="408"/>
      <c r="TOO50" s="408"/>
      <c r="TOP50" s="408"/>
      <c r="TOQ50" s="408"/>
      <c r="TOR50" s="408"/>
      <c r="TOS50" s="408"/>
      <c r="TOT50" s="408"/>
      <c r="TOU50" s="408"/>
      <c r="TOV50" s="408"/>
      <c r="TOW50" s="408"/>
      <c r="TOX50" s="408"/>
      <c r="TOY50" s="408"/>
      <c r="TOZ50" s="408"/>
      <c r="TPA50" s="408"/>
      <c r="TPB50" s="408"/>
      <c r="TPC50" s="408"/>
      <c r="TPD50" s="408"/>
      <c r="TPE50" s="408"/>
      <c r="TPF50" s="408"/>
      <c r="TPG50" s="408"/>
      <c r="TPH50" s="408"/>
      <c r="TPI50" s="408"/>
      <c r="TPJ50" s="408"/>
      <c r="TPK50" s="408"/>
      <c r="TPL50" s="408"/>
      <c r="TPM50" s="408"/>
      <c r="TPN50" s="408"/>
      <c r="TPO50" s="408"/>
      <c r="TPP50" s="408"/>
      <c r="TPQ50" s="408"/>
      <c r="TPR50" s="408"/>
      <c r="TPS50" s="408"/>
      <c r="TPT50" s="408"/>
      <c r="TPU50" s="408"/>
      <c r="TPV50" s="408"/>
      <c r="TPW50" s="408"/>
      <c r="TPX50" s="408"/>
      <c r="TPY50" s="408"/>
      <c r="TPZ50" s="408"/>
      <c r="TQA50" s="408"/>
      <c r="TQB50" s="408"/>
      <c r="TQC50" s="408"/>
      <c r="TQD50" s="408"/>
      <c r="TQE50" s="408"/>
      <c r="TQF50" s="408"/>
      <c r="TQG50" s="408"/>
      <c r="TQH50" s="408"/>
      <c r="TQI50" s="408"/>
      <c r="TQJ50" s="408"/>
      <c r="TQK50" s="408"/>
      <c r="TQL50" s="408"/>
      <c r="TQM50" s="408"/>
      <c r="TQN50" s="408"/>
      <c r="TQO50" s="408"/>
      <c r="TQP50" s="408"/>
      <c r="TQQ50" s="408"/>
      <c r="TQR50" s="408"/>
      <c r="TQS50" s="408"/>
      <c r="TQT50" s="408"/>
      <c r="TQU50" s="408"/>
      <c r="TQV50" s="408"/>
      <c r="TQW50" s="408"/>
      <c r="TQX50" s="408"/>
      <c r="TQY50" s="408"/>
      <c r="TQZ50" s="408"/>
      <c r="TRA50" s="408"/>
      <c r="TRB50" s="408"/>
      <c r="TRC50" s="408"/>
      <c r="TRD50" s="408"/>
      <c r="TRE50" s="408"/>
      <c r="TRF50" s="408"/>
      <c r="TRG50" s="408"/>
      <c r="TRH50" s="408"/>
      <c r="TRI50" s="408"/>
      <c r="TRJ50" s="408"/>
      <c r="TRK50" s="408"/>
      <c r="TRL50" s="408"/>
      <c r="TRM50" s="408"/>
      <c r="TRN50" s="408"/>
      <c r="TRO50" s="408"/>
      <c r="TRP50" s="408"/>
      <c r="TRQ50" s="408"/>
      <c r="TRR50" s="408"/>
      <c r="TRS50" s="408"/>
      <c r="TRT50" s="408"/>
      <c r="TRU50" s="408"/>
      <c r="TRV50" s="408"/>
      <c r="TRW50" s="408"/>
      <c r="TRX50" s="408"/>
      <c r="TRY50" s="408"/>
      <c r="TRZ50" s="408"/>
      <c r="TSA50" s="408"/>
      <c r="TSB50" s="408"/>
      <c r="TSC50" s="408"/>
      <c r="TSD50" s="408"/>
      <c r="TSE50" s="408"/>
      <c r="TSF50" s="408"/>
      <c r="TSG50" s="408"/>
      <c r="TSH50" s="408"/>
      <c r="TSI50" s="408"/>
      <c r="TSJ50" s="408"/>
      <c r="TSK50" s="408"/>
      <c r="TSL50" s="408"/>
      <c r="TSM50" s="408"/>
      <c r="TSN50" s="408"/>
      <c r="TSO50" s="408"/>
      <c r="TSP50" s="408"/>
      <c r="TSQ50" s="408"/>
      <c r="TSR50" s="408"/>
      <c r="TSS50" s="408"/>
      <c r="TST50" s="408"/>
      <c r="TSU50" s="408"/>
      <c r="TSV50" s="408"/>
      <c r="TSW50" s="408"/>
      <c r="TSX50" s="408"/>
      <c r="TSY50" s="408"/>
      <c r="TSZ50" s="408"/>
      <c r="TTA50" s="408"/>
      <c r="TTB50" s="408"/>
      <c r="TTC50" s="408"/>
      <c r="TTD50" s="408"/>
      <c r="TTE50" s="408"/>
      <c r="TTF50" s="408"/>
      <c r="TTG50" s="408"/>
      <c r="TTH50" s="408"/>
      <c r="TTI50" s="408"/>
      <c r="TTJ50" s="408"/>
      <c r="TTK50" s="408"/>
      <c r="TTL50" s="408"/>
      <c r="TTM50" s="408"/>
      <c r="TTN50" s="408"/>
      <c r="TTO50" s="408"/>
      <c r="TTP50" s="408"/>
      <c r="TTQ50" s="408"/>
      <c r="TTR50" s="408"/>
      <c r="TTS50" s="408"/>
      <c r="TTT50" s="408"/>
      <c r="TTU50" s="408"/>
      <c r="TTV50" s="408"/>
      <c r="TTW50" s="408"/>
      <c r="TTX50" s="408"/>
      <c r="TTY50" s="408"/>
      <c r="TTZ50" s="408"/>
      <c r="TUA50" s="408"/>
      <c r="TUB50" s="408"/>
      <c r="TUC50" s="408"/>
      <c r="TUD50" s="408"/>
      <c r="TUE50" s="408"/>
      <c r="TUF50" s="408"/>
      <c r="TUG50" s="408"/>
      <c r="TUH50" s="408"/>
      <c r="TUI50" s="408"/>
      <c r="TUJ50" s="408"/>
      <c r="TUK50" s="408"/>
      <c r="TUL50" s="408"/>
      <c r="TUM50" s="408"/>
      <c r="TUN50" s="408"/>
      <c r="TUO50" s="408"/>
      <c r="TUP50" s="408"/>
      <c r="TUQ50" s="408"/>
      <c r="TUR50" s="408"/>
      <c r="TUS50" s="408"/>
      <c r="TUT50" s="408"/>
      <c r="TUU50" s="408"/>
      <c r="TUV50" s="408"/>
      <c r="TUW50" s="408"/>
      <c r="TUX50" s="408"/>
      <c r="TUY50" s="408"/>
      <c r="TUZ50" s="408"/>
      <c r="TVA50" s="408"/>
      <c r="TVB50" s="408"/>
      <c r="TVC50" s="408"/>
      <c r="TVD50" s="408"/>
      <c r="TVE50" s="408"/>
      <c r="TVF50" s="408"/>
      <c r="TVG50" s="408"/>
      <c r="TVH50" s="408"/>
      <c r="TVI50" s="408"/>
      <c r="TVJ50" s="408"/>
      <c r="TVK50" s="408"/>
      <c r="TVL50" s="408"/>
      <c r="TVM50" s="408"/>
      <c r="TVN50" s="408"/>
      <c r="TVO50" s="408"/>
      <c r="TVP50" s="408"/>
      <c r="TVQ50" s="408"/>
      <c r="TVR50" s="408"/>
      <c r="TVS50" s="408"/>
      <c r="TVT50" s="408"/>
      <c r="TVU50" s="408"/>
      <c r="TVV50" s="408"/>
      <c r="TVW50" s="408"/>
      <c r="TVX50" s="408"/>
      <c r="TVY50" s="408"/>
      <c r="TVZ50" s="408"/>
      <c r="TWA50" s="408"/>
      <c r="TWB50" s="408"/>
      <c r="TWC50" s="408"/>
      <c r="TWD50" s="408"/>
      <c r="TWE50" s="408"/>
      <c r="TWF50" s="408"/>
      <c r="TWG50" s="408"/>
      <c r="TWH50" s="408"/>
      <c r="TWI50" s="408"/>
      <c r="TWJ50" s="408"/>
      <c r="TWK50" s="408"/>
      <c r="TWL50" s="408"/>
      <c r="TWM50" s="408"/>
      <c r="TWN50" s="408"/>
      <c r="TWO50" s="408"/>
      <c r="TWP50" s="408"/>
      <c r="TWQ50" s="408"/>
      <c r="TWR50" s="408"/>
      <c r="TWS50" s="408"/>
      <c r="TWT50" s="408"/>
      <c r="TWU50" s="408"/>
      <c r="TWV50" s="408"/>
      <c r="TWW50" s="408"/>
      <c r="TWX50" s="408"/>
      <c r="TWY50" s="408"/>
      <c r="TWZ50" s="408"/>
      <c r="TXA50" s="408"/>
      <c r="TXB50" s="408"/>
      <c r="TXC50" s="408"/>
      <c r="TXD50" s="408"/>
      <c r="TXE50" s="408"/>
      <c r="TXF50" s="408"/>
      <c r="TXG50" s="408"/>
      <c r="TXH50" s="408"/>
      <c r="TXI50" s="408"/>
      <c r="TXJ50" s="408"/>
      <c r="TXK50" s="408"/>
      <c r="TXL50" s="408"/>
      <c r="TXM50" s="408"/>
      <c r="TXN50" s="408"/>
      <c r="TXO50" s="408"/>
      <c r="TXP50" s="408"/>
      <c r="TXQ50" s="408"/>
      <c r="TXR50" s="408"/>
      <c r="TXS50" s="408"/>
      <c r="TXT50" s="408"/>
      <c r="TXU50" s="408"/>
      <c r="TXV50" s="408"/>
      <c r="TXW50" s="408"/>
      <c r="TXX50" s="408"/>
      <c r="TXY50" s="408"/>
      <c r="TXZ50" s="408"/>
      <c r="TYA50" s="408"/>
      <c r="TYB50" s="408"/>
      <c r="TYC50" s="408"/>
      <c r="TYD50" s="408"/>
      <c r="TYE50" s="408"/>
      <c r="TYF50" s="408"/>
      <c r="TYG50" s="408"/>
      <c r="TYH50" s="408"/>
      <c r="TYI50" s="408"/>
      <c r="TYJ50" s="408"/>
      <c r="TYK50" s="408"/>
      <c r="TYL50" s="408"/>
      <c r="TYM50" s="408"/>
      <c r="TYN50" s="408"/>
      <c r="TYO50" s="408"/>
      <c r="TYP50" s="408"/>
      <c r="TYQ50" s="408"/>
      <c r="TYR50" s="408"/>
      <c r="TYS50" s="408"/>
      <c r="TYT50" s="408"/>
      <c r="TYU50" s="408"/>
      <c r="TYV50" s="408"/>
      <c r="TYW50" s="408"/>
      <c r="TYX50" s="408"/>
      <c r="TYY50" s="408"/>
      <c r="TYZ50" s="408"/>
      <c r="TZA50" s="408"/>
      <c r="TZB50" s="408"/>
      <c r="TZC50" s="408"/>
      <c r="TZD50" s="408"/>
      <c r="TZE50" s="408"/>
      <c r="TZF50" s="408"/>
      <c r="TZG50" s="408"/>
      <c r="TZH50" s="408"/>
      <c r="TZI50" s="408"/>
      <c r="TZJ50" s="408"/>
      <c r="TZK50" s="408"/>
      <c r="TZL50" s="408"/>
      <c r="TZM50" s="408"/>
      <c r="TZN50" s="408"/>
      <c r="TZO50" s="408"/>
      <c r="TZP50" s="408"/>
      <c r="TZQ50" s="408"/>
      <c r="TZR50" s="408"/>
      <c r="TZS50" s="408"/>
      <c r="TZT50" s="408"/>
      <c r="TZU50" s="408"/>
      <c r="TZV50" s="408"/>
      <c r="TZW50" s="408"/>
      <c r="TZX50" s="408"/>
      <c r="TZY50" s="408"/>
      <c r="TZZ50" s="408"/>
      <c r="UAA50" s="408"/>
      <c r="UAB50" s="408"/>
      <c r="UAC50" s="408"/>
      <c r="UAD50" s="408"/>
      <c r="UAE50" s="408"/>
      <c r="UAF50" s="408"/>
      <c r="UAG50" s="408"/>
      <c r="UAH50" s="408"/>
      <c r="UAI50" s="408"/>
      <c r="UAJ50" s="408"/>
      <c r="UAK50" s="408"/>
      <c r="UAL50" s="408"/>
      <c r="UAM50" s="408"/>
      <c r="UAN50" s="408"/>
      <c r="UAO50" s="408"/>
      <c r="UAP50" s="408"/>
      <c r="UAQ50" s="408"/>
      <c r="UAR50" s="408"/>
      <c r="UAS50" s="408"/>
      <c r="UAT50" s="408"/>
      <c r="UAU50" s="408"/>
      <c r="UAV50" s="408"/>
      <c r="UAW50" s="408"/>
      <c r="UAX50" s="408"/>
      <c r="UAY50" s="408"/>
      <c r="UAZ50" s="408"/>
      <c r="UBA50" s="408"/>
      <c r="UBB50" s="408"/>
      <c r="UBC50" s="408"/>
      <c r="UBD50" s="408"/>
      <c r="UBE50" s="408"/>
      <c r="UBF50" s="408"/>
      <c r="UBG50" s="408"/>
      <c r="UBH50" s="408"/>
      <c r="UBI50" s="408"/>
      <c r="UBJ50" s="408"/>
      <c r="UBK50" s="408"/>
      <c r="UBL50" s="408"/>
      <c r="UBM50" s="408"/>
      <c r="UBN50" s="408"/>
      <c r="UBO50" s="408"/>
      <c r="UBP50" s="408"/>
      <c r="UBQ50" s="408"/>
      <c r="UBR50" s="408"/>
      <c r="UBS50" s="408"/>
      <c r="UBT50" s="408"/>
      <c r="UBU50" s="408"/>
      <c r="UBV50" s="408"/>
      <c r="UBW50" s="408"/>
      <c r="UBX50" s="408"/>
      <c r="UBY50" s="408"/>
      <c r="UBZ50" s="408"/>
      <c r="UCA50" s="408"/>
      <c r="UCB50" s="408"/>
      <c r="UCC50" s="408"/>
      <c r="UCD50" s="408"/>
      <c r="UCE50" s="408"/>
      <c r="UCF50" s="408"/>
      <c r="UCG50" s="408"/>
      <c r="UCH50" s="408"/>
      <c r="UCI50" s="408"/>
      <c r="UCJ50" s="408"/>
      <c r="UCK50" s="408"/>
      <c r="UCL50" s="408"/>
      <c r="UCM50" s="408"/>
      <c r="UCN50" s="408"/>
      <c r="UCO50" s="408"/>
      <c r="UCP50" s="408"/>
      <c r="UCQ50" s="408"/>
      <c r="UCR50" s="408"/>
      <c r="UCS50" s="408"/>
      <c r="UCT50" s="408"/>
      <c r="UCU50" s="408"/>
      <c r="UCV50" s="408"/>
      <c r="UCW50" s="408"/>
      <c r="UCX50" s="408"/>
      <c r="UCY50" s="408"/>
      <c r="UCZ50" s="408"/>
      <c r="UDA50" s="408"/>
      <c r="UDB50" s="408"/>
      <c r="UDC50" s="408"/>
      <c r="UDD50" s="408"/>
      <c r="UDE50" s="408"/>
      <c r="UDF50" s="408"/>
      <c r="UDG50" s="408"/>
      <c r="UDH50" s="408"/>
      <c r="UDI50" s="408"/>
      <c r="UDJ50" s="408"/>
      <c r="UDK50" s="408"/>
      <c r="UDL50" s="408"/>
      <c r="UDM50" s="408"/>
      <c r="UDN50" s="408"/>
      <c r="UDO50" s="408"/>
      <c r="UDP50" s="408"/>
      <c r="UDQ50" s="408"/>
      <c r="UDR50" s="408"/>
      <c r="UDS50" s="408"/>
      <c r="UDT50" s="408"/>
      <c r="UDU50" s="408"/>
      <c r="UDV50" s="408"/>
      <c r="UDW50" s="408"/>
      <c r="UDX50" s="408"/>
      <c r="UDY50" s="408"/>
      <c r="UDZ50" s="408"/>
      <c r="UEA50" s="408"/>
      <c r="UEB50" s="408"/>
      <c r="UEC50" s="408"/>
      <c r="UED50" s="408"/>
      <c r="UEE50" s="408"/>
      <c r="UEF50" s="408"/>
      <c r="UEG50" s="408"/>
      <c r="UEH50" s="408"/>
      <c r="UEI50" s="408"/>
      <c r="UEJ50" s="408"/>
      <c r="UEK50" s="408"/>
      <c r="UEL50" s="408"/>
      <c r="UEM50" s="408"/>
      <c r="UEN50" s="408"/>
      <c r="UEO50" s="408"/>
      <c r="UEP50" s="408"/>
      <c r="UEQ50" s="408"/>
      <c r="UER50" s="408"/>
      <c r="UES50" s="408"/>
      <c r="UET50" s="408"/>
      <c r="UEU50" s="408"/>
      <c r="UEV50" s="408"/>
      <c r="UEW50" s="408"/>
      <c r="UEX50" s="408"/>
      <c r="UEY50" s="408"/>
      <c r="UEZ50" s="408"/>
      <c r="UFA50" s="408"/>
      <c r="UFB50" s="408"/>
      <c r="UFC50" s="408"/>
      <c r="UFD50" s="408"/>
      <c r="UFE50" s="408"/>
      <c r="UFF50" s="408"/>
      <c r="UFG50" s="408"/>
      <c r="UFH50" s="408"/>
      <c r="UFI50" s="408"/>
      <c r="UFJ50" s="408"/>
      <c r="UFK50" s="408"/>
      <c r="UFL50" s="408"/>
      <c r="UFM50" s="408"/>
      <c r="UFN50" s="408"/>
      <c r="UFO50" s="408"/>
      <c r="UFP50" s="408"/>
      <c r="UFQ50" s="408"/>
      <c r="UFR50" s="408"/>
      <c r="UFS50" s="408"/>
      <c r="UFT50" s="408"/>
      <c r="UFU50" s="408"/>
      <c r="UFV50" s="408"/>
      <c r="UFW50" s="408"/>
      <c r="UFX50" s="408"/>
      <c r="UFY50" s="408"/>
      <c r="UFZ50" s="408"/>
      <c r="UGA50" s="408"/>
      <c r="UGB50" s="408"/>
      <c r="UGC50" s="408"/>
      <c r="UGD50" s="408"/>
      <c r="UGE50" s="408"/>
      <c r="UGF50" s="408"/>
      <c r="UGG50" s="408"/>
      <c r="UGH50" s="408"/>
      <c r="UGI50" s="408"/>
      <c r="UGJ50" s="408"/>
      <c r="UGK50" s="408"/>
      <c r="UGL50" s="408"/>
      <c r="UGM50" s="408"/>
      <c r="UGN50" s="408"/>
      <c r="UGO50" s="408"/>
      <c r="UGP50" s="408"/>
      <c r="UGQ50" s="408"/>
      <c r="UGR50" s="408"/>
      <c r="UGS50" s="408"/>
      <c r="UGT50" s="408"/>
      <c r="UGU50" s="408"/>
      <c r="UGV50" s="408"/>
      <c r="UGW50" s="408"/>
      <c r="UGX50" s="408"/>
      <c r="UGY50" s="408"/>
      <c r="UGZ50" s="408"/>
      <c r="UHA50" s="408"/>
      <c r="UHB50" s="408"/>
      <c r="UHC50" s="408"/>
      <c r="UHD50" s="408"/>
      <c r="UHE50" s="408"/>
      <c r="UHF50" s="408"/>
      <c r="UHG50" s="408"/>
      <c r="UHH50" s="408"/>
      <c r="UHI50" s="408"/>
      <c r="UHJ50" s="408"/>
      <c r="UHK50" s="408"/>
      <c r="UHL50" s="408"/>
      <c r="UHM50" s="408"/>
      <c r="UHN50" s="408"/>
      <c r="UHO50" s="408"/>
      <c r="UHP50" s="408"/>
      <c r="UHQ50" s="408"/>
      <c r="UHR50" s="408"/>
      <c r="UHS50" s="408"/>
      <c r="UHT50" s="408"/>
      <c r="UHU50" s="408"/>
      <c r="UHV50" s="408"/>
      <c r="UHW50" s="408"/>
      <c r="UHX50" s="408"/>
      <c r="UHY50" s="408"/>
      <c r="UHZ50" s="408"/>
      <c r="UIA50" s="408"/>
      <c r="UIB50" s="408"/>
      <c r="UIC50" s="408"/>
      <c r="UID50" s="408"/>
      <c r="UIE50" s="408"/>
      <c r="UIF50" s="408"/>
      <c r="UIG50" s="408"/>
      <c r="UIH50" s="408"/>
      <c r="UII50" s="408"/>
      <c r="UIJ50" s="408"/>
      <c r="UIK50" s="408"/>
      <c r="UIL50" s="408"/>
      <c r="UIM50" s="408"/>
      <c r="UIN50" s="408"/>
      <c r="UIO50" s="408"/>
      <c r="UIP50" s="408"/>
      <c r="UIQ50" s="408"/>
      <c r="UIR50" s="408"/>
      <c r="UIS50" s="408"/>
      <c r="UIT50" s="408"/>
      <c r="UIU50" s="408"/>
      <c r="UIV50" s="408"/>
      <c r="UIW50" s="408"/>
      <c r="UIX50" s="408"/>
      <c r="UIY50" s="408"/>
      <c r="UIZ50" s="408"/>
      <c r="UJA50" s="408"/>
      <c r="UJB50" s="408"/>
      <c r="UJC50" s="408"/>
      <c r="UJD50" s="408"/>
      <c r="UJE50" s="408"/>
      <c r="UJF50" s="408"/>
      <c r="UJG50" s="408"/>
      <c r="UJH50" s="408"/>
      <c r="UJI50" s="408"/>
      <c r="UJJ50" s="408"/>
      <c r="UJK50" s="408"/>
      <c r="UJL50" s="408"/>
      <c r="UJM50" s="408"/>
      <c r="UJN50" s="408"/>
      <c r="UJO50" s="408"/>
      <c r="UJP50" s="408"/>
      <c r="UJQ50" s="408"/>
      <c r="UJR50" s="408"/>
      <c r="UJS50" s="408"/>
      <c r="UJT50" s="408"/>
      <c r="UJU50" s="408"/>
      <c r="UJV50" s="408"/>
      <c r="UJW50" s="408"/>
      <c r="UJX50" s="408"/>
      <c r="UJY50" s="408"/>
      <c r="UJZ50" s="408"/>
      <c r="UKA50" s="408"/>
      <c r="UKB50" s="408"/>
      <c r="UKC50" s="408"/>
      <c r="UKD50" s="408"/>
      <c r="UKE50" s="408"/>
      <c r="UKF50" s="408"/>
      <c r="UKG50" s="408"/>
      <c r="UKH50" s="408"/>
      <c r="UKI50" s="408"/>
      <c r="UKJ50" s="408"/>
      <c r="UKK50" s="408"/>
      <c r="UKL50" s="408"/>
      <c r="UKM50" s="408"/>
      <c r="UKN50" s="408"/>
      <c r="UKO50" s="408"/>
      <c r="UKP50" s="408"/>
      <c r="UKQ50" s="408"/>
      <c r="UKR50" s="408"/>
      <c r="UKS50" s="408"/>
      <c r="UKT50" s="408"/>
      <c r="UKU50" s="408"/>
      <c r="UKV50" s="408"/>
      <c r="UKW50" s="408"/>
      <c r="UKX50" s="408"/>
      <c r="UKY50" s="408"/>
      <c r="UKZ50" s="408"/>
      <c r="ULA50" s="408"/>
      <c r="ULB50" s="408"/>
      <c r="ULC50" s="408"/>
      <c r="ULD50" s="408"/>
      <c r="ULE50" s="408"/>
      <c r="ULF50" s="408"/>
      <c r="ULG50" s="408"/>
      <c r="ULH50" s="408"/>
      <c r="ULI50" s="408"/>
      <c r="ULJ50" s="408"/>
      <c r="ULK50" s="408"/>
      <c r="ULL50" s="408"/>
      <c r="ULM50" s="408"/>
      <c r="ULN50" s="408"/>
      <c r="ULO50" s="408"/>
      <c r="ULP50" s="408"/>
      <c r="ULQ50" s="408"/>
      <c r="ULR50" s="408"/>
      <c r="ULS50" s="408"/>
      <c r="ULT50" s="408"/>
      <c r="ULU50" s="408"/>
      <c r="ULV50" s="408"/>
      <c r="ULW50" s="408"/>
      <c r="ULX50" s="408"/>
      <c r="ULY50" s="408"/>
      <c r="ULZ50" s="408"/>
      <c r="UMA50" s="408"/>
      <c r="UMB50" s="408"/>
      <c r="UMC50" s="408"/>
      <c r="UMD50" s="408"/>
      <c r="UME50" s="408"/>
      <c r="UMF50" s="408"/>
      <c r="UMG50" s="408"/>
      <c r="UMH50" s="408"/>
      <c r="UMI50" s="408"/>
      <c r="UMJ50" s="408"/>
      <c r="UMK50" s="408"/>
      <c r="UML50" s="408"/>
      <c r="UMM50" s="408"/>
      <c r="UMN50" s="408"/>
      <c r="UMO50" s="408"/>
      <c r="UMP50" s="408"/>
      <c r="UMQ50" s="408"/>
      <c r="UMR50" s="408"/>
      <c r="UMS50" s="408"/>
      <c r="UMT50" s="408"/>
      <c r="UMU50" s="408"/>
      <c r="UMV50" s="408"/>
      <c r="UMW50" s="408"/>
      <c r="UMX50" s="408"/>
      <c r="UMY50" s="408"/>
      <c r="UMZ50" s="408"/>
      <c r="UNA50" s="408"/>
      <c r="UNB50" s="408"/>
      <c r="UNC50" s="408"/>
      <c r="UND50" s="408"/>
      <c r="UNE50" s="408"/>
      <c r="UNF50" s="408"/>
      <c r="UNG50" s="408"/>
      <c r="UNH50" s="408"/>
      <c r="UNI50" s="408"/>
      <c r="UNJ50" s="408"/>
      <c r="UNK50" s="408"/>
      <c r="UNL50" s="408"/>
      <c r="UNM50" s="408"/>
      <c r="UNN50" s="408"/>
      <c r="UNO50" s="408"/>
      <c r="UNP50" s="408"/>
      <c r="UNQ50" s="408"/>
      <c r="UNR50" s="408"/>
      <c r="UNS50" s="408"/>
      <c r="UNT50" s="408"/>
      <c r="UNU50" s="408"/>
      <c r="UNV50" s="408"/>
      <c r="UNW50" s="408"/>
      <c r="UNX50" s="408"/>
      <c r="UNY50" s="408"/>
      <c r="UNZ50" s="408"/>
      <c r="UOA50" s="408"/>
      <c r="UOB50" s="408"/>
      <c r="UOC50" s="408"/>
      <c r="UOD50" s="408"/>
      <c r="UOE50" s="408"/>
      <c r="UOF50" s="408"/>
      <c r="UOG50" s="408"/>
      <c r="UOH50" s="408"/>
      <c r="UOI50" s="408"/>
      <c r="UOJ50" s="408"/>
      <c r="UOK50" s="408"/>
      <c r="UOL50" s="408"/>
      <c r="UOM50" s="408"/>
      <c r="UON50" s="408"/>
      <c r="UOO50" s="408"/>
      <c r="UOP50" s="408"/>
      <c r="UOQ50" s="408"/>
      <c r="UOR50" s="408"/>
      <c r="UOS50" s="408"/>
      <c r="UOT50" s="408"/>
      <c r="UOU50" s="408"/>
      <c r="UOV50" s="408"/>
      <c r="UOW50" s="408"/>
      <c r="UOX50" s="408"/>
      <c r="UOY50" s="408"/>
      <c r="UOZ50" s="408"/>
      <c r="UPA50" s="408"/>
      <c r="UPB50" s="408"/>
      <c r="UPC50" s="408"/>
      <c r="UPD50" s="408"/>
      <c r="UPE50" s="408"/>
      <c r="UPF50" s="408"/>
      <c r="UPG50" s="408"/>
      <c r="UPH50" s="408"/>
      <c r="UPI50" s="408"/>
      <c r="UPJ50" s="408"/>
      <c r="UPK50" s="408"/>
      <c r="UPL50" s="408"/>
      <c r="UPM50" s="408"/>
      <c r="UPN50" s="408"/>
      <c r="UPO50" s="408"/>
      <c r="UPP50" s="408"/>
      <c r="UPQ50" s="408"/>
      <c r="UPR50" s="408"/>
      <c r="UPS50" s="408"/>
      <c r="UPT50" s="408"/>
      <c r="UPU50" s="408"/>
      <c r="UPV50" s="408"/>
      <c r="UPW50" s="408"/>
      <c r="UPX50" s="408"/>
      <c r="UPY50" s="408"/>
      <c r="UPZ50" s="408"/>
      <c r="UQA50" s="408"/>
      <c r="UQB50" s="408"/>
      <c r="UQC50" s="408"/>
      <c r="UQD50" s="408"/>
      <c r="UQE50" s="408"/>
      <c r="UQF50" s="408"/>
      <c r="UQG50" s="408"/>
      <c r="UQH50" s="408"/>
      <c r="UQI50" s="408"/>
      <c r="UQJ50" s="408"/>
      <c r="UQK50" s="408"/>
      <c r="UQL50" s="408"/>
      <c r="UQM50" s="408"/>
      <c r="UQN50" s="408"/>
      <c r="UQO50" s="408"/>
      <c r="UQP50" s="408"/>
      <c r="UQQ50" s="408"/>
      <c r="UQR50" s="408"/>
      <c r="UQS50" s="408"/>
      <c r="UQT50" s="408"/>
      <c r="UQU50" s="408"/>
      <c r="UQV50" s="408"/>
      <c r="UQW50" s="408"/>
      <c r="UQX50" s="408"/>
      <c r="UQY50" s="408"/>
      <c r="UQZ50" s="408"/>
      <c r="URA50" s="408"/>
      <c r="URB50" s="408"/>
      <c r="URC50" s="408"/>
      <c r="URD50" s="408"/>
      <c r="URE50" s="408"/>
      <c r="URF50" s="408"/>
      <c r="URG50" s="408"/>
      <c r="URH50" s="408"/>
      <c r="URI50" s="408"/>
      <c r="URJ50" s="408"/>
      <c r="URK50" s="408"/>
      <c r="URL50" s="408"/>
      <c r="URM50" s="408"/>
      <c r="URN50" s="408"/>
      <c r="URO50" s="408"/>
      <c r="URP50" s="408"/>
      <c r="URQ50" s="408"/>
      <c r="URR50" s="408"/>
      <c r="URS50" s="408"/>
      <c r="URT50" s="408"/>
      <c r="URU50" s="408"/>
      <c r="URV50" s="408"/>
      <c r="URW50" s="408"/>
      <c r="URX50" s="408"/>
      <c r="URY50" s="408"/>
      <c r="URZ50" s="408"/>
      <c r="USA50" s="408"/>
      <c r="USB50" s="408"/>
      <c r="USC50" s="408"/>
      <c r="USD50" s="408"/>
      <c r="USE50" s="408"/>
      <c r="USF50" s="408"/>
      <c r="USG50" s="408"/>
      <c r="USH50" s="408"/>
      <c r="USI50" s="408"/>
      <c r="USJ50" s="408"/>
      <c r="USK50" s="408"/>
      <c r="USL50" s="408"/>
      <c r="USM50" s="408"/>
      <c r="USN50" s="408"/>
      <c r="USO50" s="408"/>
      <c r="USP50" s="408"/>
      <c r="USQ50" s="408"/>
      <c r="USR50" s="408"/>
      <c r="USS50" s="408"/>
      <c r="UST50" s="408"/>
      <c r="USU50" s="408"/>
      <c r="USV50" s="408"/>
      <c r="USW50" s="408"/>
      <c r="USX50" s="408"/>
      <c r="USY50" s="408"/>
      <c r="USZ50" s="408"/>
      <c r="UTA50" s="408"/>
      <c r="UTB50" s="408"/>
      <c r="UTC50" s="408"/>
      <c r="UTD50" s="408"/>
      <c r="UTE50" s="408"/>
      <c r="UTF50" s="408"/>
      <c r="UTG50" s="408"/>
      <c r="UTH50" s="408"/>
      <c r="UTI50" s="408"/>
      <c r="UTJ50" s="408"/>
      <c r="UTK50" s="408"/>
      <c r="UTL50" s="408"/>
      <c r="UTM50" s="408"/>
      <c r="UTN50" s="408"/>
      <c r="UTO50" s="408"/>
      <c r="UTP50" s="408"/>
      <c r="UTQ50" s="408"/>
      <c r="UTR50" s="408"/>
      <c r="UTS50" s="408"/>
      <c r="UTT50" s="408"/>
      <c r="UTU50" s="408"/>
      <c r="UTV50" s="408"/>
      <c r="UTW50" s="408"/>
      <c r="UTX50" s="408"/>
      <c r="UTY50" s="408"/>
      <c r="UTZ50" s="408"/>
      <c r="UUA50" s="408"/>
      <c r="UUB50" s="408"/>
      <c r="UUC50" s="408"/>
      <c r="UUD50" s="408"/>
      <c r="UUE50" s="408"/>
      <c r="UUF50" s="408"/>
      <c r="UUG50" s="408"/>
      <c r="UUH50" s="408"/>
      <c r="UUI50" s="408"/>
      <c r="UUJ50" s="408"/>
      <c r="UUK50" s="408"/>
      <c r="UUL50" s="408"/>
      <c r="UUM50" s="408"/>
      <c r="UUN50" s="408"/>
      <c r="UUO50" s="408"/>
      <c r="UUP50" s="408"/>
      <c r="UUQ50" s="408"/>
      <c r="UUR50" s="408"/>
      <c r="UUS50" s="408"/>
      <c r="UUT50" s="408"/>
      <c r="UUU50" s="408"/>
      <c r="UUV50" s="408"/>
      <c r="UUW50" s="408"/>
      <c r="UUX50" s="408"/>
      <c r="UUY50" s="408"/>
      <c r="UUZ50" s="408"/>
      <c r="UVA50" s="408"/>
      <c r="UVB50" s="408"/>
      <c r="UVC50" s="408"/>
      <c r="UVD50" s="408"/>
      <c r="UVE50" s="408"/>
      <c r="UVF50" s="408"/>
      <c r="UVG50" s="408"/>
      <c r="UVH50" s="408"/>
      <c r="UVI50" s="408"/>
      <c r="UVJ50" s="408"/>
      <c r="UVK50" s="408"/>
      <c r="UVL50" s="408"/>
      <c r="UVM50" s="408"/>
      <c r="UVN50" s="408"/>
      <c r="UVO50" s="408"/>
      <c r="UVP50" s="408"/>
      <c r="UVQ50" s="408"/>
      <c r="UVR50" s="408"/>
      <c r="UVS50" s="408"/>
      <c r="UVT50" s="408"/>
      <c r="UVU50" s="408"/>
      <c r="UVV50" s="408"/>
      <c r="UVW50" s="408"/>
      <c r="UVX50" s="408"/>
      <c r="UVY50" s="408"/>
      <c r="UVZ50" s="408"/>
      <c r="UWA50" s="408"/>
      <c r="UWB50" s="408"/>
      <c r="UWC50" s="408"/>
      <c r="UWD50" s="408"/>
      <c r="UWE50" s="408"/>
      <c r="UWF50" s="408"/>
      <c r="UWG50" s="408"/>
      <c r="UWH50" s="408"/>
      <c r="UWI50" s="408"/>
      <c r="UWJ50" s="408"/>
      <c r="UWK50" s="408"/>
      <c r="UWL50" s="408"/>
      <c r="UWM50" s="408"/>
      <c r="UWN50" s="408"/>
      <c r="UWO50" s="408"/>
      <c r="UWP50" s="408"/>
      <c r="UWQ50" s="408"/>
      <c r="UWR50" s="408"/>
      <c r="UWS50" s="408"/>
      <c r="UWT50" s="408"/>
      <c r="UWU50" s="408"/>
      <c r="UWV50" s="408"/>
      <c r="UWW50" s="408"/>
      <c r="UWX50" s="408"/>
      <c r="UWY50" s="408"/>
      <c r="UWZ50" s="408"/>
      <c r="UXA50" s="408"/>
      <c r="UXB50" s="408"/>
      <c r="UXC50" s="408"/>
      <c r="UXD50" s="408"/>
      <c r="UXE50" s="408"/>
      <c r="UXF50" s="408"/>
      <c r="UXG50" s="408"/>
      <c r="UXH50" s="408"/>
      <c r="UXI50" s="408"/>
      <c r="UXJ50" s="408"/>
      <c r="UXK50" s="408"/>
      <c r="UXL50" s="408"/>
      <c r="UXM50" s="408"/>
      <c r="UXN50" s="408"/>
      <c r="UXO50" s="408"/>
      <c r="UXP50" s="408"/>
      <c r="UXQ50" s="408"/>
      <c r="UXR50" s="408"/>
      <c r="UXS50" s="408"/>
      <c r="UXT50" s="408"/>
      <c r="UXU50" s="408"/>
      <c r="UXV50" s="408"/>
      <c r="UXW50" s="408"/>
      <c r="UXX50" s="408"/>
      <c r="UXY50" s="408"/>
      <c r="UXZ50" s="408"/>
      <c r="UYA50" s="408"/>
      <c r="UYB50" s="408"/>
      <c r="UYC50" s="408"/>
      <c r="UYD50" s="408"/>
      <c r="UYE50" s="408"/>
      <c r="UYF50" s="408"/>
      <c r="UYG50" s="408"/>
      <c r="UYH50" s="408"/>
      <c r="UYI50" s="408"/>
      <c r="UYJ50" s="408"/>
      <c r="UYK50" s="408"/>
      <c r="UYL50" s="408"/>
      <c r="UYM50" s="408"/>
      <c r="UYN50" s="408"/>
      <c r="UYO50" s="408"/>
      <c r="UYP50" s="408"/>
      <c r="UYQ50" s="408"/>
      <c r="UYR50" s="408"/>
      <c r="UYS50" s="408"/>
      <c r="UYT50" s="408"/>
      <c r="UYU50" s="408"/>
      <c r="UYV50" s="408"/>
      <c r="UYW50" s="408"/>
      <c r="UYX50" s="408"/>
      <c r="UYY50" s="408"/>
      <c r="UYZ50" s="408"/>
      <c r="UZA50" s="408"/>
      <c r="UZB50" s="408"/>
      <c r="UZC50" s="408"/>
      <c r="UZD50" s="408"/>
      <c r="UZE50" s="408"/>
      <c r="UZF50" s="408"/>
      <c r="UZG50" s="408"/>
      <c r="UZH50" s="408"/>
      <c r="UZI50" s="408"/>
      <c r="UZJ50" s="408"/>
      <c r="UZK50" s="408"/>
      <c r="UZL50" s="408"/>
      <c r="UZM50" s="408"/>
      <c r="UZN50" s="408"/>
      <c r="UZO50" s="408"/>
      <c r="UZP50" s="408"/>
      <c r="UZQ50" s="408"/>
      <c r="UZR50" s="408"/>
      <c r="UZS50" s="408"/>
      <c r="UZT50" s="408"/>
      <c r="UZU50" s="408"/>
      <c r="UZV50" s="408"/>
      <c r="UZW50" s="408"/>
      <c r="UZX50" s="408"/>
      <c r="UZY50" s="408"/>
      <c r="UZZ50" s="408"/>
      <c r="VAA50" s="408"/>
      <c r="VAB50" s="408"/>
      <c r="VAC50" s="408"/>
      <c r="VAD50" s="408"/>
      <c r="VAE50" s="408"/>
      <c r="VAF50" s="408"/>
      <c r="VAG50" s="408"/>
      <c r="VAH50" s="408"/>
      <c r="VAI50" s="408"/>
      <c r="VAJ50" s="408"/>
      <c r="VAK50" s="408"/>
      <c r="VAL50" s="408"/>
      <c r="VAM50" s="408"/>
      <c r="VAN50" s="408"/>
      <c r="VAO50" s="408"/>
      <c r="VAP50" s="408"/>
      <c r="VAQ50" s="408"/>
      <c r="VAR50" s="408"/>
      <c r="VAS50" s="408"/>
      <c r="VAT50" s="408"/>
      <c r="VAU50" s="408"/>
      <c r="VAV50" s="408"/>
      <c r="VAW50" s="408"/>
      <c r="VAX50" s="408"/>
      <c r="VAY50" s="408"/>
      <c r="VAZ50" s="408"/>
      <c r="VBA50" s="408"/>
      <c r="VBB50" s="408"/>
      <c r="VBC50" s="408"/>
      <c r="VBD50" s="408"/>
      <c r="VBE50" s="408"/>
      <c r="VBF50" s="408"/>
      <c r="VBG50" s="408"/>
      <c r="VBH50" s="408"/>
      <c r="VBI50" s="408"/>
      <c r="VBJ50" s="408"/>
      <c r="VBK50" s="408"/>
      <c r="VBL50" s="408"/>
      <c r="VBM50" s="408"/>
      <c r="VBN50" s="408"/>
      <c r="VBO50" s="408"/>
      <c r="VBP50" s="408"/>
      <c r="VBQ50" s="408"/>
      <c r="VBR50" s="408"/>
      <c r="VBS50" s="408"/>
      <c r="VBT50" s="408"/>
      <c r="VBU50" s="408"/>
      <c r="VBV50" s="408"/>
      <c r="VBW50" s="408"/>
      <c r="VBX50" s="408"/>
      <c r="VBY50" s="408"/>
      <c r="VBZ50" s="408"/>
      <c r="VCA50" s="408"/>
      <c r="VCB50" s="408"/>
      <c r="VCC50" s="408"/>
      <c r="VCD50" s="408"/>
      <c r="VCE50" s="408"/>
      <c r="VCF50" s="408"/>
      <c r="VCG50" s="408"/>
      <c r="VCH50" s="408"/>
      <c r="VCI50" s="408"/>
      <c r="VCJ50" s="408"/>
      <c r="VCK50" s="408"/>
      <c r="VCL50" s="408"/>
      <c r="VCM50" s="408"/>
      <c r="VCN50" s="408"/>
      <c r="VCO50" s="408"/>
      <c r="VCP50" s="408"/>
      <c r="VCQ50" s="408"/>
      <c r="VCR50" s="408"/>
      <c r="VCS50" s="408"/>
      <c r="VCT50" s="408"/>
      <c r="VCU50" s="408"/>
      <c r="VCV50" s="408"/>
      <c r="VCW50" s="408"/>
      <c r="VCX50" s="408"/>
      <c r="VCY50" s="408"/>
      <c r="VCZ50" s="408"/>
      <c r="VDA50" s="408"/>
      <c r="VDB50" s="408"/>
      <c r="VDC50" s="408"/>
      <c r="VDD50" s="408"/>
      <c r="VDE50" s="408"/>
      <c r="VDF50" s="408"/>
      <c r="VDG50" s="408"/>
      <c r="VDH50" s="408"/>
      <c r="VDI50" s="408"/>
      <c r="VDJ50" s="408"/>
      <c r="VDK50" s="408"/>
      <c r="VDL50" s="408"/>
      <c r="VDM50" s="408"/>
      <c r="VDN50" s="408"/>
      <c r="VDO50" s="408"/>
      <c r="VDP50" s="408"/>
      <c r="VDQ50" s="408"/>
      <c r="VDR50" s="408"/>
      <c r="VDS50" s="408"/>
      <c r="VDT50" s="408"/>
      <c r="VDU50" s="408"/>
      <c r="VDV50" s="408"/>
      <c r="VDW50" s="408"/>
      <c r="VDX50" s="408"/>
      <c r="VDY50" s="408"/>
      <c r="VDZ50" s="408"/>
      <c r="VEA50" s="408"/>
      <c r="VEB50" s="408"/>
      <c r="VEC50" s="408"/>
      <c r="VED50" s="408"/>
      <c r="VEE50" s="408"/>
      <c r="VEF50" s="408"/>
      <c r="VEG50" s="408"/>
      <c r="VEH50" s="408"/>
      <c r="VEI50" s="408"/>
      <c r="VEJ50" s="408"/>
      <c r="VEK50" s="408"/>
      <c r="VEL50" s="408"/>
      <c r="VEM50" s="408"/>
      <c r="VEN50" s="408"/>
      <c r="VEO50" s="408"/>
      <c r="VEP50" s="408"/>
      <c r="VEQ50" s="408"/>
      <c r="VER50" s="408"/>
      <c r="VES50" s="408"/>
      <c r="VET50" s="408"/>
      <c r="VEU50" s="408"/>
      <c r="VEV50" s="408"/>
      <c r="VEW50" s="408"/>
      <c r="VEX50" s="408"/>
      <c r="VEY50" s="408"/>
      <c r="VEZ50" s="408"/>
      <c r="VFA50" s="408"/>
      <c r="VFB50" s="408"/>
      <c r="VFC50" s="408"/>
      <c r="VFD50" s="408"/>
      <c r="VFE50" s="408"/>
      <c r="VFF50" s="408"/>
      <c r="VFG50" s="408"/>
      <c r="VFH50" s="408"/>
      <c r="VFI50" s="408"/>
      <c r="VFJ50" s="408"/>
      <c r="VFK50" s="408"/>
      <c r="VFL50" s="408"/>
      <c r="VFM50" s="408"/>
      <c r="VFN50" s="408"/>
      <c r="VFO50" s="408"/>
      <c r="VFP50" s="408"/>
      <c r="VFQ50" s="408"/>
      <c r="VFR50" s="408"/>
      <c r="VFS50" s="408"/>
      <c r="VFT50" s="408"/>
      <c r="VFU50" s="408"/>
      <c r="VFV50" s="408"/>
      <c r="VFW50" s="408"/>
      <c r="VFX50" s="408"/>
      <c r="VFY50" s="408"/>
      <c r="VFZ50" s="408"/>
      <c r="VGA50" s="408"/>
      <c r="VGB50" s="408"/>
      <c r="VGC50" s="408"/>
      <c r="VGD50" s="408"/>
      <c r="VGE50" s="408"/>
      <c r="VGF50" s="408"/>
      <c r="VGG50" s="408"/>
      <c r="VGH50" s="408"/>
      <c r="VGI50" s="408"/>
      <c r="VGJ50" s="408"/>
      <c r="VGK50" s="408"/>
      <c r="VGL50" s="408"/>
      <c r="VGM50" s="408"/>
      <c r="VGN50" s="408"/>
      <c r="VGO50" s="408"/>
      <c r="VGP50" s="408"/>
      <c r="VGQ50" s="408"/>
      <c r="VGR50" s="408"/>
      <c r="VGS50" s="408"/>
      <c r="VGT50" s="408"/>
      <c r="VGU50" s="408"/>
      <c r="VGV50" s="408"/>
      <c r="VGW50" s="408"/>
      <c r="VGX50" s="408"/>
      <c r="VGY50" s="408"/>
      <c r="VGZ50" s="408"/>
      <c r="VHA50" s="408"/>
      <c r="VHB50" s="408"/>
      <c r="VHC50" s="408"/>
      <c r="VHD50" s="408"/>
      <c r="VHE50" s="408"/>
      <c r="VHF50" s="408"/>
      <c r="VHG50" s="408"/>
      <c r="VHH50" s="408"/>
      <c r="VHI50" s="408"/>
      <c r="VHJ50" s="408"/>
      <c r="VHK50" s="408"/>
      <c r="VHL50" s="408"/>
      <c r="VHM50" s="408"/>
      <c r="VHN50" s="408"/>
      <c r="VHO50" s="408"/>
      <c r="VHP50" s="408"/>
      <c r="VHQ50" s="408"/>
      <c r="VHR50" s="408"/>
      <c r="VHS50" s="408"/>
      <c r="VHT50" s="408"/>
      <c r="VHU50" s="408"/>
      <c r="VHV50" s="408"/>
      <c r="VHW50" s="408"/>
      <c r="VHX50" s="408"/>
      <c r="VHY50" s="408"/>
      <c r="VHZ50" s="408"/>
      <c r="VIA50" s="408"/>
      <c r="VIB50" s="408"/>
      <c r="VIC50" s="408"/>
      <c r="VID50" s="408"/>
      <c r="VIE50" s="408"/>
      <c r="VIF50" s="408"/>
      <c r="VIG50" s="408"/>
      <c r="VIH50" s="408"/>
      <c r="VII50" s="408"/>
      <c r="VIJ50" s="408"/>
      <c r="VIK50" s="408"/>
      <c r="VIL50" s="408"/>
      <c r="VIM50" s="408"/>
      <c r="VIN50" s="408"/>
      <c r="VIO50" s="408"/>
      <c r="VIP50" s="408"/>
      <c r="VIQ50" s="408"/>
      <c r="VIR50" s="408"/>
      <c r="VIS50" s="408"/>
      <c r="VIT50" s="408"/>
      <c r="VIU50" s="408"/>
      <c r="VIV50" s="408"/>
      <c r="VIW50" s="408"/>
      <c r="VIX50" s="408"/>
      <c r="VIY50" s="408"/>
      <c r="VIZ50" s="408"/>
      <c r="VJA50" s="408"/>
      <c r="VJB50" s="408"/>
      <c r="VJC50" s="408"/>
      <c r="VJD50" s="408"/>
      <c r="VJE50" s="408"/>
      <c r="VJF50" s="408"/>
      <c r="VJG50" s="408"/>
      <c r="VJH50" s="408"/>
      <c r="VJI50" s="408"/>
      <c r="VJJ50" s="408"/>
      <c r="VJK50" s="408"/>
      <c r="VJL50" s="408"/>
      <c r="VJM50" s="408"/>
      <c r="VJN50" s="408"/>
      <c r="VJO50" s="408"/>
      <c r="VJP50" s="408"/>
      <c r="VJQ50" s="408"/>
      <c r="VJR50" s="408"/>
      <c r="VJS50" s="408"/>
      <c r="VJT50" s="408"/>
      <c r="VJU50" s="408"/>
      <c r="VJV50" s="408"/>
      <c r="VJW50" s="408"/>
      <c r="VJX50" s="408"/>
      <c r="VJY50" s="408"/>
      <c r="VJZ50" s="408"/>
      <c r="VKA50" s="408"/>
      <c r="VKB50" s="408"/>
      <c r="VKC50" s="408"/>
      <c r="VKD50" s="408"/>
      <c r="VKE50" s="408"/>
      <c r="VKF50" s="408"/>
      <c r="VKG50" s="408"/>
      <c r="VKH50" s="408"/>
      <c r="VKI50" s="408"/>
      <c r="VKJ50" s="408"/>
      <c r="VKK50" s="408"/>
      <c r="VKL50" s="408"/>
      <c r="VKM50" s="408"/>
      <c r="VKN50" s="408"/>
      <c r="VKO50" s="408"/>
      <c r="VKP50" s="408"/>
      <c r="VKQ50" s="408"/>
      <c r="VKR50" s="408"/>
      <c r="VKS50" s="408"/>
      <c r="VKT50" s="408"/>
      <c r="VKU50" s="408"/>
      <c r="VKV50" s="408"/>
      <c r="VKW50" s="408"/>
      <c r="VKX50" s="408"/>
      <c r="VKY50" s="408"/>
      <c r="VKZ50" s="408"/>
      <c r="VLA50" s="408"/>
      <c r="VLB50" s="408"/>
      <c r="VLC50" s="408"/>
      <c r="VLD50" s="408"/>
      <c r="VLE50" s="408"/>
      <c r="VLF50" s="408"/>
      <c r="VLG50" s="408"/>
      <c r="VLH50" s="408"/>
      <c r="VLI50" s="408"/>
      <c r="VLJ50" s="408"/>
      <c r="VLK50" s="408"/>
      <c r="VLL50" s="408"/>
      <c r="VLM50" s="408"/>
      <c r="VLN50" s="408"/>
      <c r="VLO50" s="408"/>
      <c r="VLP50" s="408"/>
      <c r="VLQ50" s="408"/>
      <c r="VLR50" s="408"/>
      <c r="VLS50" s="408"/>
      <c r="VLT50" s="408"/>
      <c r="VLU50" s="408"/>
      <c r="VLV50" s="408"/>
      <c r="VLW50" s="408"/>
      <c r="VLX50" s="408"/>
      <c r="VLY50" s="408"/>
      <c r="VLZ50" s="408"/>
      <c r="VMA50" s="408"/>
      <c r="VMB50" s="408"/>
      <c r="VMC50" s="408"/>
      <c r="VMD50" s="408"/>
      <c r="VME50" s="408"/>
      <c r="VMF50" s="408"/>
      <c r="VMG50" s="408"/>
      <c r="VMH50" s="408"/>
      <c r="VMI50" s="408"/>
      <c r="VMJ50" s="408"/>
      <c r="VMK50" s="408"/>
      <c r="VML50" s="408"/>
      <c r="VMM50" s="408"/>
      <c r="VMN50" s="408"/>
      <c r="VMO50" s="408"/>
      <c r="VMP50" s="408"/>
      <c r="VMQ50" s="408"/>
      <c r="VMR50" s="408"/>
      <c r="VMS50" s="408"/>
      <c r="VMT50" s="408"/>
      <c r="VMU50" s="408"/>
      <c r="VMV50" s="408"/>
      <c r="VMW50" s="408"/>
      <c r="VMX50" s="408"/>
      <c r="VMY50" s="408"/>
      <c r="VMZ50" s="408"/>
      <c r="VNA50" s="408"/>
      <c r="VNB50" s="408"/>
      <c r="VNC50" s="408"/>
      <c r="VND50" s="408"/>
      <c r="VNE50" s="408"/>
      <c r="VNF50" s="408"/>
      <c r="VNG50" s="408"/>
      <c r="VNH50" s="408"/>
      <c r="VNI50" s="408"/>
      <c r="VNJ50" s="408"/>
      <c r="VNK50" s="408"/>
      <c r="VNL50" s="408"/>
      <c r="VNM50" s="408"/>
      <c r="VNN50" s="408"/>
      <c r="VNO50" s="408"/>
      <c r="VNP50" s="408"/>
      <c r="VNQ50" s="408"/>
      <c r="VNR50" s="408"/>
      <c r="VNS50" s="408"/>
      <c r="VNT50" s="408"/>
      <c r="VNU50" s="408"/>
      <c r="VNV50" s="408"/>
      <c r="VNW50" s="408"/>
      <c r="VNX50" s="408"/>
      <c r="VNY50" s="408"/>
      <c r="VNZ50" s="408"/>
      <c r="VOA50" s="408"/>
      <c r="VOB50" s="408"/>
      <c r="VOC50" s="408"/>
      <c r="VOD50" s="408"/>
      <c r="VOE50" s="408"/>
      <c r="VOF50" s="408"/>
      <c r="VOG50" s="408"/>
      <c r="VOH50" s="408"/>
      <c r="VOI50" s="408"/>
      <c r="VOJ50" s="408"/>
      <c r="VOK50" s="408"/>
      <c r="VOL50" s="408"/>
      <c r="VOM50" s="408"/>
      <c r="VON50" s="408"/>
      <c r="VOO50" s="408"/>
      <c r="VOP50" s="408"/>
      <c r="VOQ50" s="408"/>
      <c r="VOR50" s="408"/>
      <c r="VOS50" s="408"/>
      <c r="VOT50" s="408"/>
      <c r="VOU50" s="408"/>
      <c r="VOV50" s="408"/>
      <c r="VOW50" s="408"/>
      <c r="VOX50" s="408"/>
      <c r="VOY50" s="408"/>
      <c r="VOZ50" s="408"/>
      <c r="VPA50" s="408"/>
      <c r="VPB50" s="408"/>
      <c r="VPC50" s="408"/>
      <c r="VPD50" s="408"/>
      <c r="VPE50" s="408"/>
      <c r="VPF50" s="408"/>
      <c r="VPG50" s="408"/>
      <c r="VPH50" s="408"/>
      <c r="VPI50" s="408"/>
      <c r="VPJ50" s="408"/>
      <c r="VPK50" s="408"/>
      <c r="VPL50" s="408"/>
      <c r="VPM50" s="408"/>
      <c r="VPN50" s="408"/>
      <c r="VPO50" s="408"/>
      <c r="VPP50" s="408"/>
      <c r="VPQ50" s="408"/>
      <c r="VPR50" s="408"/>
      <c r="VPS50" s="408"/>
      <c r="VPT50" s="408"/>
      <c r="VPU50" s="408"/>
      <c r="VPV50" s="408"/>
      <c r="VPW50" s="408"/>
      <c r="VPX50" s="408"/>
      <c r="VPY50" s="408"/>
      <c r="VPZ50" s="408"/>
      <c r="VQA50" s="408"/>
      <c r="VQB50" s="408"/>
      <c r="VQC50" s="408"/>
      <c r="VQD50" s="408"/>
      <c r="VQE50" s="408"/>
      <c r="VQF50" s="408"/>
      <c r="VQG50" s="408"/>
      <c r="VQH50" s="408"/>
      <c r="VQI50" s="408"/>
      <c r="VQJ50" s="408"/>
      <c r="VQK50" s="408"/>
      <c r="VQL50" s="408"/>
      <c r="VQM50" s="408"/>
      <c r="VQN50" s="408"/>
      <c r="VQO50" s="408"/>
      <c r="VQP50" s="408"/>
      <c r="VQQ50" s="408"/>
      <c r="VQR50" s="408"/>
      <c r="VQS50" s="408"/>
      <c r="VQT50" s="408"/>
      <c r="VQU50" s="408"/>
      <c r="VQV50" s="408"/>
      <c r="VQW50" s="408"/>
      <c r="VQX50" s="408"/>
      <c r="VQY50" s="408"/>
      <c r="VQZ50" s="408"/>
      <c r="VRA50" s="408"/>
      <c r="VRB50" s="408"/>
      <c r="VRC50" s="408"/>
      <c r="VRD50" s="408"/>
      <c r="VRE50" s="408"/>
      <c r="VRF50" s="408"/>
      <c r="VRG50" s="408"/>
      <c r="VRH50" s="408"/>
      <c r="VRI50" s="408"/>
      <c r="VRJ50" s="408"/>
      <c r="VRK50" s="408"/>
      <c r="VRL50" s="408"/>
      <c r="VRM50" s="408"/>
      <c r="VRN50" s="408"/>
      <c r="VRO50" s="408"/>
      <c r="VRP50" s="408"/>
      <c r="VRQ50" s="408"/>
      <c r="VRR50" s="408"/>
      <c r="VRS50" s="408"/>
      <c r="VRT50" s="408"/>
      <c r="VRU50" s="408"/>
      <c r="VRV50" s="408"/>
      <c r="VRW50" s="408"/>
      <c r="VRX50" s="408"/>
      <c r="VRY50" s="408"/>
      <c r="VRZ50" s="408"/>
      <c r="VSA50" s="408"/>
      <c r="VSB50" s="408"/>
      <c r="VSC50" s="408"/>
      <c r="VSD50" s="408"/>
      <c r="VSE50" s="408"/>
      <c r="VSF50" s="408"/>
      <c r="VSG50" s="408"/>
      <c r="VSH50" s="408"/>
      <c r="VSI50" s="408"/>
      <c r="VSJ50" s="408"/>
      <c r="VSK50" s="408"/>
      <c r="VSL50" s="408"/>
      <c r="VSM50" s="408"/>
      <c r="VSN50" s="408"/>
      <c r="VSO50" s="408"/>
      <c r="VSP50" s="408"/>
      <c r="VSQ50" s="408"/>
      <c r="VSR50" s="408"/>
      <c r="VSS50" s="408"/>
      <c r="VST50" s="408"/>
      <c r="VSU50" s="408"/>
      <c r="VSV50" s="408"/>
      <c r="VSW50" s="408"/>
      <c r="VSX50" s="408"/>
      <c r="VSY50" s="408"/>
      <c r="VSZ50" s="408"/>
      <c r="VTA50" s="408"/>
      <c r="VTB50" s="408"/>
      <c r="VTC50" s="408"/>
      <c r="VTD50" s="408"/>
      <c r="VTE50" s="408"/>
      <c r="VTF50" s="408"/>
      <c r="VTG50" s="408"/>
      <c r="VTH50" s="408"/>
      <c r="VTI50" s="408"/>
      <c r="VTJ50" s="408"/>
      <c r="VTK50" s="408"/>
      <c r="VTL50" s="408"/>
      <c r="VTM50" s="408"/>
      <c r="VTN50" s="408"/>
      <c r="VTO50" s="408"/>
      <c r="VTP50" s="408"/>
      <c r="VTQ50" s="408"/>
      <c r="VTR50" s="408"/>
      <c r="VTS50" s="408"/>
      <c r="VTT50" s="408"/>
      <c r="VTU50" s="408"/>
      <c r="VTV50" s="408"/>
      <c r="VTW50" s="408"/>
      <c r="VTX50" s="408"/>
      <c r="VTY50" s="408"/>
      <c r="VTZ50" s="408"/>
      <c r="VUA50" s="408"/>
      <c r="VUB50" s="408"/>
      <c r="VUC50" s="408"/>
      <c r="VUD50" s="408"/>
      <c r="VUE50" s="408"/>
      <c r="VUF50" s="408"/>
      <c r="VUG50" s="408"/>
      <c r="VUH50" s="408"/>
      <c r="VUI50" s="408"/>
      <c r="VUJ50" s="408"/>
      <c r="VUK50" s="408"/>
      <c r="VUL50" s="408"/>
      <c r="VUM50" s="408"/>
      <c r="VUN50" s="408"/>
      <c r="VUO50" s="408"/>
      <c r="VUP50" s="408"/>
      <c r="VUQ50" s="408"/>
      <c r="VUR50" s="408"/>
      <c r="VUS50" s="408"/>
      <c r="VUT50" s="408"/>
      <c r="VUU50" s="408"/>
      <c r="VUV50" s="408"/>
      <c r="VUW50" s="408"/>
      <c r="VUX50" s="408"/>
      <c r="VUY50" s="408"/>
      <c r="VUZ50" s="408"/>
      <c r="VVA50" s="408"/>
      <c r="VVB50" s="408"/>
      <c r="VVC50" s="408"/>
      <c r="VVD50" s="408"/>
      <c r="VVE50" s="408"/>
      <c r="VVF50" s="408"/>
      <c r="VVG50" s="408"/>
      <c r="VVH50" s="408"/>
      <c r="VVI50" s="408"/>
      <c r="VVJ50" s="408"/>
      <c r="VVK50" s="408"/>
      <c r="VVL50" s="408"/>
      <c r="VVM50" s="408"/>
      <c r="VVN50" s="408"/>
      <c r="VVO50" s="408"/>
      <c r="VVP50" s="408"/>
      <c r="VVQ50" s="408"/>
      <c r="VVR50" s="408"/>
      <c r="VVS50" s="408"/>
      <c r="VVT50" s="408"/>
      <c r="VVU50" s="408"/>
      <c r="VVV50" s="408"/>
      <c r="VVW50" s="408"/>
      <c r="VVX50" s="408"/>
      <c r="VVY50" s="408"/>
      <c r="VVZ50" s="408"/>
      <c r="VWA50" s="408"/>
      <c r="VWB50" s="408"/>
      <c r="VWC50" s="408"/>
      <c r="VWD50" s="408"/>
      <c r="VWE50" s="408"/>
      <c r="VWF50" s="408"/>
      <c r="VWG50" s="408"/>
      <c r="VWH50" s="408"/>
      <c r="VWI50" s="408"/>
      <c r="VWJ50" s="408"/>
      <c r="VWK50" s="408"/>
      <c r="VWL50" s="408"/>
      <c r="VWM50" s="408"/>
      <c r="VWN50" s="408"/>
      <c r="VWO50" s="408"/>
      <c r="VWP50" s="408"/>
      <c r="VWQ50" s="408"/>
      <c r="VWR50" s="408"/>
      <c r="VWS50" s="408"/>
      <c r="VWT50" s="408"/>
      <c r="VWU50" s="408"/>
      <c r="VWV50" s="408"/>
      <c r="VWW50" s="408"/>
      <c r="VWX50" s="408"/>
      <c r="VWY50" s="408"/>
      <c r="VWZ50" s="408"/>
      <c r="VXA50" s="408"/>
      <c r="VXB50" s="408"/>
      <c r="VXC50" s="408"/>
      <c r="VXD50" s="408"/>
      <c r="VXE50" s="408"/>
      <c r="VXF50" s="408"/>
      <c r="VXG50" s="408"/>
      <c r="VXH50" s="408"/>
      <c r="VXI50" s="408"/>
      <c r="VXJ50" s="408"/>
      <c r="VXK50" s="408"/>
      <c r="VXL50" s="408"/>
      <c r="VXM50" s="408"/>
      <c r="VXN50" s="408"/>
      <c r="VXO50" s="408"/>
      <c r="VXP50" s="408"/>
      <c r="VXQ50" s="408"/>
      <c r="VXR50" s="408"/>
      <c r="VXS50" s="408"/>
      <c r="VXT50" s="408"/>
      <c r="VXU50" s="408"/>
      <c r="VXV50" s="408"/>
      <c r="VXW50" s="408"/>
      <c r="VXX50" s="408"/>
      <c r="VXY50" s="408"/>
      <c r="VXZ50" s="408"/>
      <c r="VYA50" s="408"/>
      <c r="VYB50" s="408"/>
      <c r="VYC50" s="408"/>
      <c r="VYD50" s="408"/>
      <c r="VYE50" s="408"/>
      <c r="VYF50" s="408"/>
      <c r="VYG50" s="408"/>
      <c r="VYH50" s="408"/>
      <c r="VYI50" s="408"/>
      <c r="VYJ50" s="408"/>
      <c r="VYK50" s="408"/>
      <c r="VYL50" s="408"/>
      <c r="VYM50" s="408"/>
      <c r="VYN50" s="408"/>
      <c r="VYO50" s="408"/>
      <c r="VYP50" s="408"/>
      <c r="VYQ50" s="408"/>
      <c r="VYR50" s="408"/>
      <c r="VYS50" s="408"/>
      <c r="VYT50" s="408"/>
      <c r="VYU50" s="408"/>
      <c r="VYV50" s="408"/>
      <c r="VYW50" s="408"/>
      <c r="VYX50" s="408"/>
      <c r="VYY50" s="408"/>
      <c r="VYZ50" s="408"/>
      <c r="VZA50" s="408"/>
      <c r="VZB50" s="408"/>
      <c r="VZC50" s="408"/>
      <c r="VZD50" s="408"/>
      <c r="VZE50" s="408"/>
      <c r="VZF50" s="408"/>
      <c r="VZG50" s="408"/>
      <c r="VZH50" s="408"/>
      <c r="VZI50" s="408"/>
      <c r="VZJ50" s="408"/>
      <c r="VZK50" s="408"/>
      <c r="VZL50" s="408"/>
      <c r="VZM50" s="408"/>
      <c r="VZN50" s="408"/>
      <c r="VZO50" s="408"/>
      <c r="VZP50" s="408"/>
      <c r="VZQ50" s="408"/>
      <c r="VZR50" s="408"/>
      <c r="VZS50" s="408"/>
      <c r="VZT50" s="408"/>
      <c r="VZU50" s="408"/>
      <c r="VZV50" s="408"/>
      <c r="VZW50" s="408"/>
      <c r="VZX50" s="408"/>
      <c r="VZY50" s="408"/>
      <c r="VZZ50" s="408"/>
      <c r="WAA50" s="408"/>
      <c r="WAB50" s="408"/>
      <c r="WAC50" s="408"/>
      <c r="WAD50" s="408"/>
      <c r="WAE50" s="408"/>
      <c r="WAF50" s="408"/>
      <c r="WAG50" s="408"/>
      <c r="WAH50" s="408"/>
      <c r="WAI50" s="408"/>
      <c r="WAJ50" s="408"/>
      <c r="WAK50" s="408"/>
      <c r="WAL50" s="408"/>
      <c r="WAM50" s="408"/>
      <c r="WAN50" s="408"/>
      <c r="WAO50" s="408"/>
      <c r="WAP50" s="408"/>
      <c r="WAQ50" s="408"/>
      <c r="WAR50" s="408"/>
      <c r="WAS50" s="408"/>
      <c r="WAT50" s="408"/>
      <c r="WAU50" s="408"/>
      <c r="WAV50" s="408"/>
      <c r="WAW50" s="408"/>
      <c r="WAX50" s="408"/>
      <c r="WAY50" s="408"/>
      <c r="WAZ50" s="408"/>
      <c r="WBA50" s="408"/>
      <c r="WBB50" s="408"/>
      <c r="WBC50" s="408"/>
      <c r="WBD50" s="408"/>
      <c r="WBE50" s="408"/>
      <c r="WBF50" s="408"/>
      <c r="WBG50" s="408"/>
      <c r="WBH50" s="408"/>
      <c r="WBI50" s="408"/>
      <c r="WBJ50" s="408"/>
      <c r="WBK50" s="408"/>
      <c r="WBL50" s="408"/>
      <c r="WBM50" s="408"/>
      <c r="WBN50" s="408"/>
      <c r="WBO50" s="408"/>
      <c r="WBP50" s="408"/>
      <c r="WBQ50" s="408"/>
      <c r="WBR50" s="408"/>
      <c r="WBS50" s="408"/>
      <c r="WBT50" s="408"/>
      <c r="WBU50" s="408"/>
      <c r="WBV50" s="408"/>
      <c r="WBW50" s="408"/>
      <c r="WBX50" s="408"/>
      <c r="WBY50" s="408"/>
      <c r="WBZ50" s="408"/>
      <c r="WCA50" s="408"/>
      <c r="WCB50" s="408"/>
      <c r="WCC50" s="408"/>
      <c r="WCD50" s="408"/>
      <c r="WCE50" s="408"/>
      <c r="WCF50" s="408"/>
      <c r="WCG50" s="408"/>
      <c r="WCH50" s="408"/>
      <c r="WCI50" s="408"/>
      <c r="WCJ50" s="408"/>
      <c r="WCK50" s="408"/>
      <c r="WCL50" s="408"/>
      <c r="WCM50" s="408"/>
      <c r="WCN50" s="408"/>
      <c r="WCO50" s="408"/>
      <c r="WCP50" s="408"/>
      <c r="WCQ50" s="408"/>
      <c r="WCR50" s="408"/>
      <c r="WCS50" s="408"/>
      <c r="WCT50" s="408"/>
      <c r="WCU50" s="408"/>
      <c r="WCV50" s="408"/>
      <c r="WCW50" s="408"/>
      <c r="WCX50" s="408"/>
      <c r="WCY50" s="408"/>
      <c r="WCZ50" s="408"/>
      <c r="WDA50" s="408"/>
      <c r="WDB50" s="408"/>
      <c r="WDC50" s="408"/>
      <c r="WDD50" s="408"/>
      <c r="WDE50" s="408"/>
      <c r="WDF50" s="408"/>
      <c r="WDG50" s="408"/>
      <c r="WDH50" s="408"/>
      <c r="WDI50" s="408"/>
      <c r="WDJ50" s="408"/>
      <c r="WDK50" s="408"/>
      <c r="WDL50" s="408"/>
      <c r="WDM50" s="408"/>
      <c r="WDN50" s="408"/>
      <c r="WDO50" s="408"/>
      <c r="WDP50" s="408"/>
      <c r="WDQ50" s="408"/>
      <c r="WDR50" s="408"/>
      <c r="WDS50" s="408"/>
      <c r="WDT50" s="408"/>
      <c r="WDU50" s="408"/>
      <c r="WDV50" s="408"/>
      <c r="WDW50" s="408"/>
      <c r="WDX50" s="408"/>
      <c r="WDY50" s="408"/>
      <c r="WDZ50" s="408"/>
      <c r="WEA50" s="408"/>
      <c r="WEB50" s="408"/>
      <c r="WEC50" s="408"/>
      <c r="WED50" s="408"/>
      <c r="WEE50" s="408"/>
      <c r="WEF50" s="408"/>
      <c r="WEG50" s="408"/>
      <c r="WEH50" s="408"/>
      <c r="WEI50" s="408"/>
      <c r="WEJ50" s="408"/>
      <c r="WEK50" s="408"/>
      <c r="WEL50" s="408"/>
      <c r="WEM50" s="408"/>
      <c r="WEN50" s="408"/>
      <c r="WEO50" s="408"/>
      <c r="WEP50" s="408"/>
      <c r="WEQ50" s="408"/>
      <c r="WER50" s="408"/>
      <c r="WES50" s="408"/>
      <c r="WET50" s="408"/>
      <c r="WEU50" s="408"/>
      <c r="WEV50" s="408"/>
      <c r="WEW50" s="408"/>
      <c r="WEX50" s="408"/>
      <c r="WEY50" s="408"/>
      <c r="WEZ50" s="408"/>
      <c r="WFA50" s="408"/>
      <c r="WFB50" s="408"/>
      <c r="WFC50" s="408"/>
      <c r="WFD50" s="408"/>
      <c r="WFE50" s="408"/>
      <c r="WFF50" s="408"/>
      <c r="WFG50" s="408"/>
      <c r="WFH50" s="408"/>
      <c r="WFI50" s="408"/>
      <c r="WFJ50" s="408"/>
      <c r="WFK50" s="408"/>
      <c r="WFL50" s="408"/>
      <c r="WFM50" s="408"/>
      <c r="WFN50" s="408"/>
      <c r="WFO50" s="408"/>
      <c r="WFP50" s="408"/>
      <c r="WFQ50" s="408"/>
      <c r="WFR50" s="408"/>
      <c r="WFS50" s="408"/>
      <c r="WFT50" s="408"/>
      <c r="WFU50" s="408"/>
      <c r="WFV50" s="408"/>
      <c r="WFW50" s="408"/>
      <c r="WFX50" s="408"/>
      <c r="WFY50" s="408"/>
      <c r="WFZ50" s="408"/>
      <c r="WGA50" s="408"/>
      <c r="WGB50" s="408"/>
      <c r="WGC50" s="408"/>
      <c r="WGD50" s="408"/>
      <c r="WGE50" s="408"/>
      <c r="WGF50" s="408"/>
      <c r="WGG50" s="408"/>
      <c r="WGH50" s="408"/>
      <c r="WGI50" s="408"/>
      <c r="WGJ50" s="408"/>
      <c r="WGK50" s="408"/>
      <c r="WGL50" s="408"/>
      <c r="WGM50" s="408"/>
      <c r="WGN50" s="408"/>
      <c r="WGO50" s="408"/>
      <c r="WGP50" s="408"/>
      <c r="WGQ50" s="408"/>
      <c r="WGR50" s="408"/>
      <c r="WGS50" s="408"/>
      <c r="WGT50" s="408"/>
      <c r="WGU50" s="408"/>
      <c r="WGV50" s="408"/>
      <c r="WGW50" s="408"/>
      <c r="WGX50" s="408"/>
      <c r="WGY50" s="408"/>
      <c r="WGZ50" s="408"/>
      <c r="WHA50" s="408"/>
      <c r="WHB50" s="408"/>
      <c r="WHC50" s="408"/>
      <c r="WHD50" s="408"/>
      <c r="WHE50" s="408"/>
      <c r="WHF50" s="408"/>
      <c r="WHG50" s="408"/>
      <c r="WHH50" s="408"/>
      <c r="WHI50" s="408"/>
      <c r="WHJ50" s="408"/>
      <c r="WHK50" s="408"/>
      <c r="WHL50" s="408"/>
      <c r="WHM50" s="408"/>
      <c r="WHN50" s="408"/>
      <c r="WHO50" s="408"/>
      <c r="WHP50" s="408"/>
      <c r="WHQ50" s="408"/>
      <c r="WHR50" s="408"/>
      <c r="WHS50" s="408"/>
      <c r="WHT50" s="408"/>
      <c r="WHU50" s="408"/>
      <c r="WHV50" s="408"/>
      <c r="WHW50" s="408"/>
      <c r="WHX50" s="408"/>
      <c r="WHY50" s="408"/>
      <c r="WHZ50" s="408"/>
      <c r="WIA50" s="408"/>
      <c r="WIB50" s="408"/>
      <c r="WIC50" s="408"/>
      <c r="WID50" s="408"/>
      <c r="WIE50" s="408"/>
      <c r="WIF50" s="408"/>
      <c r="WIG50" s="408"/>
      <c r="WIH50" s="408"/>
      <c r="WII50" s="408"/>
      <c r="WIJ50" s="408"/>
      <c r="WIK50" s="408"/>
      <c r="WIL50" s="408"/>
      <c r="WIM50" s="408"/>
      <c r="WIN50" s="408"/>
      <c r="WIO50" s="408"/>
      <c r="WIP50" s="408"/>
      <c r="WIQ50" s="408"/>
      <c r="WIR50" s="408"/>
      <c r="WIS50" s="408"/>
      <c r="WIT50" s="408"/>
      <c r="WIU50" s="408"/>
      <c r="WIV50" s="408"/>
      <c r="WIW50" s="408"/>
      <c r="WIX50" s="408"/>
      <c r="WIY50" s="408"/>
      <c r="WIZ50" s="408"/>
      <c r="WJA50" s="408"/>
      <c r="WJB50" s="408"/>
      <c r="WJC50" s="408"/>
      <c r="WJD50" s="408"/>
      <c r="WJE50" s="408"/>
      <c r="WJF50" s="408"/>
      <c r="WJG50" s="408"/>
      <c r="WJH50" s="408"/>
      <c r="WJI50" s="408"/>
      <c r="WJJ50" s="408"/>
      <c r="WJK50" s="408"/>
      <c r="WJL50" s="408"/>
      <c r="WJM50" s="408"/>
      <c r="WJN50" s="408"/>
      <c r="WJO50" s="408"/>
      <c r="WJP50" s="408"/>
      <c r="WJQ50" s="408"/>
      <c r="WJR50" s="408"/>
      <c r="WJS50" s="408"/>
      <c r="WJT50" s="408"/>
      <c r="WJU50" s="408"/>
      <c r="WJV50" s="408"/>
      <c r="WJW50" s="408"/>
      <c r="WJX50" s="408"/>
      <c r="WJY50" s="408"/>
      <c r="WJZ50" s="408"/>
      <c r="WKA50" s="408"/>
      <c r="WKB50" s="408"/>
      <c r="WKC50" s="408"/>
      <c r="WKD50" s="408"/>
      <c r="WKE50" s="408"/>
      <c r="WKF50" s="408"/>
      <c r="WKG50" s="408"/>
      <c r="WKH50" s="408"/>
      <c r="WKI50" s="408"/>
      <c r="WKJ50" s="408"/>
      <c r="WKK50" s="408"/>
      <c r="WKL50" s="408"/>
      <c r="WKM50" s="408"/>
      <c r="WKN50" s="408"/>
      <c r="WKO50" s="408"/>
      <c r="WKP50" s="408"/>
      <c r="WKQ50" s="408"/>
      <c r="WKR50" s="408"/>
      <c r="WKS50" s="408"/>
      <c r="WKT50" s="408"/>
      <c r="WKU50" s="408"/>
      <c r="WKV50" s="408"/>
      <c r="WKW50" s="408"/>
      <c r="WKX50" s="408"/>
      <c r="WKY50" s="408"/>
      <c r="WKZ50" s="408"/>
      <c r="WLA50" s="408"/>
      <c r="WLB50" s="408"/>
      <c r="WLC50" s="408"/>
      <c r="WLD50" s="408"/>
      <c r="WLE50" s="408"/>
      <c r="WLF50" s="408"/>
      <c r="WLG50" s="408"/>
      <c r="WLH50" s="408"/>
      <c r="WLI50" s="408"/>
      <c r="WLJ50" s="408"/>
      <c r="WLK50" s="408"/>
      <c r="WLL50" s="408"/>
      <c r="WLM50" s="408"/>
      <c r="WLN50" s="408"/>
      <c r="WLO50" s="408"/>
      <c r="WLP50" s="408"/>
      <c r="WLQ50" s="408"/>
      <c r="WLR50" s="408"/>
      <c r="WLS50" s="408"/>
      <c r="WLT50" s="408"/>
      <c r="WLU50" s="408"/>
      <c r="WLV50" s="408"/>
      <c r="WLW50" s="408"/>
      <c r="WLX50" s="408"/>
      <c r="WLY50" s="408"/>
      <c r="WLZ50" s="408"/>
      <c r="WMA50" s="408"/>
      <c r="WMB50" s="408"/>
      <c r="WMC50" s="408"/>
      <c r="WMD50" s="408"/>
      <c r="WME50" s="408"/>
      <c r="WMF50" s="408"/>
      <c r="WMG50" s="408"/>
      <c r="WMH50" s="408"/>
      <c r="WMI50" s="408"/>
      <c r="WMJ50" s="408"/>
      <c r="WMK50" s="408"/>
      <c r="WML50" s="408"/>
      <c r="WMM50" s="408"/>
      <c r="WMN50" s="408"/>
      <c r="WMO50" s="408"/>
      <c r="WMP50" s="408"/>
      <c r="WMQ50" s="408"/>
      <c r="WMR50" s="408"/>
      <c r="WMS50" s="408"/>
      <c r="WMT50" s="408"/>
      <c r="WMU50" s="408"/>
      <c r="WMV50" s="408"/>
      <c r="WMW50" s="408"/>
      <c r="WMX50" s="408"/>
      <c r="WMY50" s="408"/>
      <c r="WMZ50" s="408"/>
      <c r="WNA50" s="408"/>
      <c r="WNB50" s="408"/>
      <c r="WNC50" s="408"/>
      <c r="WND50" s="408"/>
      <c r="WNE50" s="408"/>
      <c r="WNF50" s="408"/>
      <c r="WNG50" s="408"/>
      <c r="WNH50" s="408"/>
      <c r="WNI50" s="408"/>
      <c r="WNJ50" s="408"/>
      <c r="WNK50" s="408"/>
      <c r="WNL50" s="408"/>
      <c r="WNM50" s="408"/>
      <c r="WNN50" s="408"/>
      <c r="WNO50" s="408"/>
      <c r="WNP50" s="408"/>
      <c r="WNQ50" s="408"/>
      <c r="WNR50" s="408"/>
      <c r="WNS50" s="408"/>
      <c r="WNT50" s="408"/>
      <c r="WNU50" s="408"/>
      <c r="WNV50" s="408"/>
      <c r="WNW50" s="408"/>
      <c r="WNX50" s="408"/>
      <c r="WNY50" s="408"/>
      <c r="WNZ50" s="408"/>
      <c r="WOA50" s="408"/>
      <c r="WOB50" s="408"/>
      <c r="WOC50" s="408"/>
      <c r="WOD50" s="408"/>
      <c r="WOE50" s="408"/>
      <c r="WOF50" s="408"/>
      <c r="WOG50" s="408"/>
      <c r="WOH50" s="408"/>
      <c r="WOI50" s="408"/>
      <c r="WOJ50" s="408"/>
      <c r="WOK50" s="408"/>
      <c r="WOL50" s="408"/>
      <c r="WOM50" s="408"/>
      <c r="WON50" s="408"/>
      <c r="WOO50" s="408"/>
      <c r="WOP50" s="408"/>
      <c r="WOQ50" s="408"/>
      <c r="WOR50" s="408"/>
      <c r="WOS50" s="408"/>
      <c r="WOT50" s="408"/>
      <c r="WOU50" s="408"/>
      <c r="WOV50" s="408"/>
      <c r="WOW50" s="408"/>
      <c r="WOX50" s="408"/>
      <c r="WOY50" s="408"/>
      <c r="WOZ50" s="408"/>
      <c r="WPA50" s="408"/>
      <c r="WPB50" s="408"/>
      <c r="WPC50" s="408"/>
      <c r="WPD50" s="408"/>
      <c r="WPE50" s="408"/>
      <c r="WPF50" s="408"/>
      <c r="WPG50" s="408"/>
      <c r="WPH50" s="408"/>
      <c r="WPI50" s="408"/>
      <c r="WPJ50" s="408"/>
      <c r="WPK50" s="408"/>
      <c r="WPL50" s="408"/>
      <c r="WPM50" s="408"/>
      <c r="WPN50" s="408"/>
      <c r="WPO50" s="408"/>
      <c r="WPP50" s="408"/>
      <c r="WPQ50" s="408"/>
      <c r="WPR50" s="408"/>
      <c r="WPS50" s="408"/>
      <c r="WPT50" s="408"/>
      <c r="WPU50" s="408"/>
      <c r="WPV50" s="408"/>
      <c r="WPW50" s="408"/>
      <c r="WPX50" s="408"/>
      <c r="WPY50" s="408"/>
      <c r="WPZ50" s="408"/>
      <c r="WQA50" s="408"/>
      <c r="WQB50" s="408"/>
      <c r="WQC50" s="408"/>
      <c r="WQD50" s="408"/>
      <c r="WQE50" s="408"/>
      <c r="WQF50" s="408"/>
      <c r="WQG50" s="408"/>
      <c r="WQH50" s="408"/>
      <c r="WQI50" s="408"/>
      <c r="WQJ50" s="408"/>
      <c r="WQK50" s="408"/>
      <c r="WQL50" s="408"/>
      <c r="WQM50" s="408"/>
      <c r="WQN50" s="408"/>
      <c r="WQO50" s="408"/>
      <c r="WQP50" s="408"/>
      <c r="WQQ50" s="408"/>
      <c r="WQR50" s="408"/>
      <c r="WQS50" s="408"/>
      <c r="WQT50" s="408"/>
      <c r="WQU50" s="408"/>
      <c r="WQV50" s="408"/>
      <c r="WQW50" s="408"/>
      <c r="WQX50" s="408"/>
      <c r="WQY50" s="408"/>
      <c r="WQZ50" s="408"/>
      <c r="WRA50" s="408"/>
      <c r="WRB50" s="408"/>
      <c r="WRC50" s="408"/>
      <c r="WRD50" s="408"/>
      <c r="WRE50" s="408"/>
      <c r="WRF50" s="408"/>
      <c r="WRG50" s="408"/>
      <c r="WRH50" s="408"/>
      <c r="WRI50" s="408"/>
      <c r="WRJ50" s="408"/>
      <c r="WRK50" s="408"/>
      <c r="WRL50" s="408"/>
      <c r="WRM50" s="408"/>
      <c r="WRN50" s="408"/>
      <c r="WRO50" s="408"/>
      <c r="WRP50" s="408"/>
      <c r="WRQ50" s="408"/>
      <c r="WRR50" s="408"/>
      <c r="WRS50" s="408"/>
      <c r="WRT50" s="408"/>
      <c r="WRU50" s="408"/>
      <c r="WRV50" s="408"/>
      <c r="WRW50" s="408"/>
      <c r="WRX50" s="408"/>
      <c r="WRY50" s="408"/>
      <c r="WRZ50" s="408"/>
      <c r="WSA50" s="408"/>
      <c r="WSB50" s="408"/>
      <c r="WSC50" s="408"/>
      <c r="WSD50" s="408"/>
      <c r="WSE50" s="408"/>
      <c r="WSF50" s="408"/>
      <c r="WSG50" s="408"/>
      <c r="WSH50" s="408"/>
      <c r="WSI50" s="408"/>
      <c r="WSJ50" s="408"/>
      <c r="WSK50" s="408"/>
      <c r="WSL50" s="408"/>
      <c r="WSM50" s="408"/>
      <c r="WSN50" s="408"/>
      <c r="WSO50" s="408"/>
      <c r="WSP50" s="408"/>
      <c r="WSQ50" s="408"/>
      <c r="WSR50" s="408"/>
      <c r="WSS50" s="408"/>
      <c r="WST50" s="408"/>
      <c r="WSU50" s="408"/>
      <c r="WSV50" s="408"/>
      <c r="WSW50" s="408"/>
      <c r="WSX50" s="408"/>
      <c r="WSY50" s="408"/>
      <c r="WSZ50" s="408"/>
      <c r="WTA50" s="408"/>
      <c r="WTB50" s="408"/>
      <c r="WTC50" s="408"/>
      <c r="WTD50" s="408"/>
      <c r="WTE50" s="408"/>
      <c r="WTF50" s="408"/>
      <c r="WTG50" s="408"/>
      <c r="WTH50" s="408"/>
      <c r="WTI50" s="408"/>
      <c r="WTJ50" s="408"/>
      <c r="WTK50" s="408"/>
      <c r="WTL50" s="408"/>
      <c r="WTM50" s="408"/>
      <c r="WTN50" s="408"/>
      <c r="WTO50" s="408"/>
      <c r="WTP50" s="408"/>
      <c r="WTQ50" s="408"/>
      <c r="WTR50" s="408"/>
      <c r="WTS50" s="408"/>
      <c r="WTT50" s="408"/>
      <c r="WTU50" s="408"/>
      <c r="WTV50" s="408"/>
      <c r="WTW50" s="408"/>
      <c r="WTX50" s="408"/>
      <c r="WTY50" s="408"/>
      <c r="WTZ50" s="408"/>
      <c r="WUA50" s="408"/>
      <c r="WUB50" s="408"/>
      <c r="WUC50" s="408"/>
      <c r="WUD50" s="408"/>
      <c r="WUE50" s="408"/>
      <c r="WUF50" s="408"/>
      <c r="WUG50" s="408"/>
      <c r="WUH50" s="408"/>
      <c r="WUI50" s="408"/>
      <c r="WUJ50" s="408"/>
      <c r="WUK50" s="408"/>
      <c r="WUL50" s="408"/>
      <c r="WUM50" s="408"/>
      <c r="WUN50" s="408"/>
      <c r="WUO50" s="408"/>
      <c r="WUP50" s="408"/>
      <c r="WUQ50" s="408"/>
      <c r="WUR50" s="408"/>
      <c r="WUS50" s="408"/>
      <c r="WUT50" s="408"/>
      <c r="WUU50" s="408"/>
      <c r="WUV50" s="408"/>
      <c r="WUW50" s="408"/>
      <c r="WUX50" s="408"/>
      <c r="WUY50" s="408"/>
      <c r="WUZ50" s="408"/>
      <c r="WVA50" s="408"/>
      <c r="WVB50" s="408"/>
      <c r="WVC50" s="408"/>
      <c r="WVD50" s="408"/>
      <c r="WVE50" s="408"/>
      <c r="WVF50" s="408"/>
      <c r="WVG50" s="408"/>
      <c r="WVH50" s="408"/>
      <c r="WVI50" s="408"/>
      <c r="WVJ50" s="408"/>
      <c r="WVK50" s="408"/>
      <c r="WVL50" s="408"/>
      <c r="WVM50" s="408"/>
      <c r="WVN50" s="408"/>
      <c r="WVO50" s="408"/>
      <c r="WVP50" s="408"/>
      <c r="WVQ50" s="408"/>
      <c r="WVR50" s="408"/>
      <c r="WVS50" s="408"/>
      <c r="WVT50" s="408"/>
      <c r="WVU50" s="408"/>
      <c r="WVV50" s="408"/>
      <c r="WVW50" s="408"/>
      <c r="WVX50" s="408"/>
      <c r="WVY50" s="408"/>
      <c r="WVZ50" s="408"/>
      <c r="WWA50" s="408"/>
      <c r="WWB50" s="408"/>
      <c r="WWC50" s="408"/>
      <c r="WWD50" s="408"/>
      <c r="WWE50" s="408"/>
      <c r="WWF50" s="408"/>
      <c r="WWG50" s="408"/>
      <c r="WWH50" s="408"/>
      <c r="WWI50" s="408"/>
      <c r="WWJ50" s="408"/>
      <c r="WWK50" s="408"/>
      <c r="WWL50" s="408"/>
      <c r="WWM50" s="408"/>
      <c r="WWN50" s="408"/>
      <c r="WWO50" s="408"/>
      <c r="WWP50" s="408"/>
      <c r="WWQ50" s="408"/>
      <c r="WWR50" s="408"/>
      <c r="WWS50" s="408"/>
      <c r="WWT50" s="408"/>
      <c r="WWU50" s="408"/>
      <c r="WWV50" s="408"/>
      <c r="WWW50" s="408"/>
      <c r="WWX50" s="408"/>
      <c r="WWY50" s="408"/>
      <c r="WWZ50" s="408"/>
      <c r="WXA50" s="408"/>
      <c r="WXB50" s="408"/>
      <c r="WXC50" s="408"/>
      <c r="WXD50" s="408"/>
      <c r="WXE50" s="408"/>
      <c r="WXF50" s="408"/>
      <c r="WXG50" s="408"/>
      <c r="WXH50" s="408"/>
      <c r="WXI50" s="408"/>
      <c r="WXJ50" s="408"/>
      <c r="WXK50" s="408"/>
      <c r="WXL50" s="408"/>
      <c r="WXM50" s="408"/>
      <c r="WXN50" s="408"/>
      <c r="WXO50" s="408"/>
      <c r="WXP50" s="408"/>
      <c r="WXQ50" s="408"/>
      <c r="WXR50" s="408"/>
      <c r="WXS50" s="408"/>
      <c r="WXT50" s="408"/>
      <c r="WXU50" s="408"/>
      <c r="WXV50" s="408"/>
      <c r="WXW50" s="408"/>
      <c r="WXX50" s="408"/>
      <c r="WXY50" s="408"/>
      <c r="WXZ50" s="408"/>
      <c r="WYA50" s="408"/>
      <c r="WYB50" s="408"/>
      <c r="WYC50" s="408"/>
      <c r="WYD50" s="408"/>
      <c r="WYE50" s="408"/>
      <c r="WYF50" s="408"/>
      <c r="WYG50" s="408"/>
      <c r="WYH50" s="408"/>
      <c r="WYI50" s="408"/>
      <c r="WYJ50" s="408"/>
      <c r="WYK50" s="408"/>
      <c r="WYL50" s="408"/>
      <c r="WYM50" s="408"/>
      <c r="WYN50" s="408"/>
      <c r="WYO50" s="408"/>
      <c r="WYP50" s="408"/>
      <c r="WYQ50" s="408"/>
      <c r="WYR50" s="408"/>
      <c r="WYS50" s="408"/>
      <c r="WYT50" s="408"/>
      <c r="WYU50" s="408"/>
      <c r="WYV50" s="408"/>
      <c r="WYW50" s="408"/>
      <c r="WYX50" s="408"/>
      <c r="WYY50" s="408"/>
      <c r="WYZ50" s="408"/>
      <c r="WZA50" s="408"/>
      <c r="WZB50" s="408"/>
      <c r="WZC50" s="408"/>
      <c r="WZD50" s="408"/>
      <c r="WZE50" s="408"/>
      <c r="WZF50" s="408"/>
      <c r="WZG50" s="408"/>
      <c r="WZH50" s="408"/>
      <c r="WZI50" s="408"/>
      <c r="WZJ50" s="408"/>
      <c r="WZK50" s="408"/>
      <c r="WZL50" s="408"/>
      <c r="WZM50" s="408"/>
      <c r="WZN50" s="408"/>
      <c r="WZO50" s="408"/>
      <c r="WZP50" s="408"/>
      <c r="WZQ50" s="408"/>
      <c r="WZR50" s="408"/>
      <c r="WZS50" s="408"/>
      <c r="WZT50" s="408"/>
      <c r="WZU50" s="408"/>
      <c r="WZV50" s="408"/>
      <c r="WZW50" s="408"/>
      <c r="WZX50" s="408"/>
      <c r="WZY50" s="408"/>
      <c r="WZZ50" s="408"/>
      <c r="XAA50" s="408"/>
      <c r="XAB50" s="408"/>
      <c r="XAC50" s="408"/>
      <c r="XAD50" s="408"/>
      <c r="XAE50" s="408"/>
      <c r="XAF50" s="408"/>
      <c r="XAG50" s="408"/>
      <c r="XAH50" s="408"/>
      <c r="XAI50" s="408"/>
      <c r="XAJ50" s="408"/>
      <c r="XAK50" s="408"/>
      <c r="XAL50" s="408"/>
      <c r="XAM50" s="408"/>
      <c r="XAN50" s="408"/>
      <c r="XAO50" s="408"/>
      <c r="XAP50" s="408"/>
      <c r="XAQ50" s="408"/>
      <c r="XAR50" s="408"/>
      <c r="XAS50" s="408"/>
      <c r="XAT50" s="408"/>
      <c r="XAU50" s="408"/>
      <c r="XAV50" s="408"/>
      <c r="XAW50" s="408"/>
      <c r="XAX50" s="408"/>
      <c r="XAY50" s="408"/>
      <c r="XAZ50" s="408"/>
      <c r="XBA50" s="408"/>
      <c r="XBB50" s="408"/>
      <c r="XBC50" s="408"/>
      <c r="XBD50" s="408"/>
      <c r="XBE50" s="408"/>
      <c r="XBF50" s="408"/>
      <c r="XBG50" s="408"/>
      <c r="XBH50" s="408"/>
      <c r="XBI50" s="408"/>
      <c r="XBJ50" s="408"/>
      <c r="XBK50" s="408"/>
      <c r="XBL50" s="408"/>
      <c r="XBM50" s="408"/>
      <c r="XBN50" s="408"/>
      <c r="XBO50" s="408"/>
      <c r="XBP50" s="408"/>
      <c r="XBQ50" s="408"/>
      <c r="XBR50" s="408"/>
      <c r="XBS50" s="408"/>
      <c r="XBT50" s="408"/>
      <c r="XBU50" s="408"/>
      <c r="XBV50" s="408"/>
      <c r="XBW50" s="408"/>
      <c r="XBX50" s="408"/>
      <c r="XBY50" s="408"/>
      <c r="XBZ50" s="408"/>
      <c r="XCA50" s="408"/>
      <c r="XCB50" s="408"/>
      <c r="XCC50" s="408"/>
      <c r="XCD50" s="408"/>
      <c r="XCE50" s="408"/>
      <c r="XCF50" s="408"/>
      <c r="XCG50" s="408"/>
      <c r="XCH50" s="408"/>
      <c r="XCI50" s="408"/>
      <c r="XCJ50" s="408"/>
      <c r="XCK50" s="408"/>
      <c r="XCL50" s="408"/>
      <c r="XCM50" s="408"/>
      <c r="XCN50" s="408"/>
      <c r="XCO50" s="408"/>
      <c r="XCP50" s="408"/>
      <c r="XCQ50" s="408"/>
      <c r="XCR50" s="408"/>
      <c r="XCS50" s="408"/>
      <c r="XCT50" s="408"/>
      <c r="XCU50" s="408"/>
      <c r="XCV50" s="408"/>
      <c r="XCW50" s="408"/>
      <c r="XCX50" s="408"/>
      <c r="XCY50" s="408"/>
      <c r="XCZ50" s="408"/>
      <c r="XDA50" s="408"/>
      <c r="XDB50" s="408"/>
      <c r="XDC50" s="408"/>
      <c r="XDD50" s="408"/>
      <c r="XDE50" s="408"/>
      <c r="XDF50" s="408"/>
      <c r="XDG50" s="408"/>
      <c r="XDH50" s="408"/>
      <c r="XDI50" s="408"/>
      <c r="XDJ50" s="408"/>
      <c r="XDK50" s="408"/>
      <c r="XDL50" s="408"/>
      <c r="XDM50" s="408"/>
      <c r="XDN50" s="408"/>
      <c r="XDO50" s="408"/>
      <c r="XDP50" s="408"/>
      <c r="XDQ50" s="408"/>
      <c r="XDR50" s="408"/>
      <c r="XDS50" s="408"/>
      <c r="XDT50" s="408"/>
      <c r="XDU50" s="408"/>
      <c r="XDV50" s="408"/>
      <c r="XDW50" s="408"/>
      <c r="XDX50" s="408"/>
      <c r="XDY50" s="408"/>
      <c r="XDZ50" s="408"/>
      <c r="XEA50" s="408"/>
      <c r="XEB50" s="408"/>
      <c r="XEC50" s="408"/>
      <c r="XED50" s="408"/>
      <c r="XEE50" s="408"/>
      <c r="XEF50" s="408"/>
      <c r="XEG50" s="408"/>
      <c r="XEH50" s="408"/>
      <c r="XEI50" s="408"/>
      <c r="XEJ50" s="408"/>
      <c r="XEK50" s="408"/>
      <c r="XEL50" s="408"/>
      <c r="XEM50" s="408"/>
      <c r="XEN50" s="408"/>
      <c r="XEO50" s="408"/>
      <c r="XEP50" s="408"/>
      <c r="XEQ50" s="408"/>
      <c r="XER50" s="408"/>
      <c r="XES50" s="408"/>
      <c r="XET50" s="408"/>
      <c r="XEU50" s="408"/>
      <c r="XEV50" s="408"/>
      <c r="XEW50" s="408"/>
      <c r="XEX50" s="408"/>
      <c r="XEY50" s="408"/>
      <c r="XEZ50" s="408"/>
      <c r="XFA50" s="408"/>
      <c r="XFB50" s="408"/>
      <c r="XFC50" s="408"/>
      <c r="XFD50" s="408"/>
    </row>
    <row r="51" spans="1:16384" x14ac:dyDescent="0.2">
      <c r="AI51" s="487"/>
      <c r="AJ51" s="487"/>
      <c r="AK51" s="487"/>
      <c r="AL51" s="487"/>
      <c r="AM51" s="487"/>
      <c r="AN51" s="487"/>
      <c r="AO51" s="487"/>
      <c r="AP51" s="487"/>
      <c r="AQ51" s="487"/>
      <c r="AR51" s="487"/>
      <c r="AS51" s="487"/>
      <c r="AAB51" s="196"/>
    </row>
    <row r="52" spans="1:16384" x14ac:dyDescent="0.2">
      <c r="AI52" s="487"/>
      <c r="AJ52" s="487"/>
      <c r="AK52" s="448"/>
      <c r="AL52" s="448"/>
      <c r="AM52" s="448"/>
      <c r="AN52" s="448"/>
      <c r="AO52" s="448"/>
      <c r="AP52" s="448"/>
      <c r="AQ52" s="448"/>
      <c r="AR52" s="448"/>
      <c r="AS52" s="448"/>
      <c r="AAB52" s="196"/>
    </row>
    <row r="53" spans="1:16384" x14ac:dyDescent="0.2">
      <c r="AI53" s="487"/>
      <c r="AJ53" s="487"/>
      <c r="AK53" s="487"/>
      <c r="AL53" s="487"/>
      <c r="AM53" s="487"/>
      <c r="AN53" s="487"/>
      <c r="AO53" s="487"/>
      <c r="AP53" s="487"/>
      <c r="AQ53" s="487"/>
      <c r="AR53" s="487"/>
      <c r="AS53" s="487"/>
      <c r="AAB53" s="196"/>
    </row>
    <row r="54" spans="1:16384" x14ac:dyDescent="0.2">
      <c r="AI54" s="487"/>
      <c r="AJ54" s="487"/>
      <c r="AK54" s="487"/>
      <c r="AL54" s="487"/>
      <c r="AM54" s="487"/>
      <c r="AN54" s="487"/>
      <c r="AO54" s="487"/>
      <c r="AP54" s="487"/>
      <c r="AQ54" s="487"/>
      <c r="AR54" s="487"/>
      <c r="AS54" s="487"/>
      <c r="AAB54" s="196"/>
    </row>
    <row r="55" spans="1:16384" x14ac:dyDescent="0.2">
      <c r="AI55" s="487"/>
      <c r="AJ55" s="487"/>
      <c r="AK55" s="487"/>
      <c r="AL55" s="487"/>
      <c r="AM55" s="487"/>
      <c r="AN55" s="487"/>
      <c r="AO55" s="487"/>
      <c r="AP55" s="487"/>
      <c r="AQ55" s="487"/>
      <c r="AR55" s="487"/>
      <c r="AS55" s="487"/>
      <c r="AAB55" s="196"/>
    </row>
    <row r="56" spans="1:16384" x14ac:dyDescent="0.2">
      <c r="AI56" s="476"/>
      <c r="AJ56" s="476"/>
      <c r="AK56" s="476"/>
      <c r="AL56" s="476"/>
      <c r="AM56" s="476"/>
      <c r="AN56" s="476"/>
      <c r="AO56" s="476"/>
      <c r="AP56" s="476"/>
      <c r="AQ56" s="476"/>
      <c r="AR56" s="476"/>
      <c r="AS56" s="476"/>
    </row>
    <row r="57" spans="1:16384" x14ac:dyDescent="0.2">
      <c r="AI57" s="488"/>
      <c r="AJ57" s="488"/>
      <c r="AK57" s="488"/>
      <c r="AL57" s="488"/>
      <c r="AM57" s="488"/>
      <c r="AN57" s="488"/>
      <c r="AO57" s="488"/>
      <c r="AP57" s="488"/>
      <c r="AQ57" s="488"/>
      <c r="AR57" s="488"/>
      <c r="AS57" s="488"/>
    </row>
    <row r="58" spans="1:16384" x14ac:dyDescent="0.2">
      <c r="AI58" s="446"/>
      <c r="AJ58" s="446"/>
      <c r="AK58" s="446"/>
      <c r="AL58" s="446"/>
      <c r="AM58" s="446"/>
      <c r="AN58" s="446"/>
      <c r="AO58" s="446"/>
      <c r="AP58" s="446"/>
      <c r="AQ58" s="446"/>
      <c r="AR58" s="446"/>
      <c r="AS58" s="446"/>
    </row>
    <row r="59" spans="1:16384" x14ac:dyDescent="0.2">
      <c r="AI59" s="446"/>
      <c r="AJ59" s="446"/>
      <c r="AK59" s="446"/>
      <c r="AL59" s="446"/>
      <c r="AM59" s="446"/>
      <c r="AN59" s="446"/>
      <c r="AO59" s="446"/>
      <c r="AP59" s="446"/>
      <c r="AQ59" s="446"/>
      <c r="AR59" s="446"/>
      <c r="AS59" s="446"/>
    </row>
    <row r="60" spans="1:16384" x14ac:dyDescent="0.2">
      <c r="AI60" s="489"/>
      <c r="AJ60" s="489"/>
      <c r="AK60" s="489"/>
      <c r="AL60" s="489"/>
      <c r="AM60" s="489"/>
      <c r="AN60" s="489"/>
      <c r="AO60" s="489"/>
      <c r="AP60" s="489"/>
      <c r="AQ60" s="489"/>
      <c r="AR60" s="489"/>
      <c r="AS60" s="489"/>
    </row>
    <row r="61" spans="1:16384" x14ac:dyDescent="0.2">
      <c r="AI61" s="446"/>
      <c r="AJ61" s="446"/>
      <c r="AK61" s="446"/>
      <c r="AL61" s="446"/>
      <c r="AM61" s="446"/>
      <c r="AN61" s="446"/>
      <c r="AO61" s="446"/>
      <c r="AP61" s="446"/>
      <c r="AQ61" s="446"/>
      <c r="AR61" s="446"/>
      <c r="AS61" s="446"/>
    </row>
    <row r="62" spans="1:16384" x14ac:dyDescent="0.2">
      <c r="AI62" s="446"/>
      <c r="AJ62" s="446"/>
      <c r="AK62" s="446"/>
      <c r="AL62" s="446"/>
      <c r="AM62" s="446"/>
      <c r="AN62" s="446"/>
      <c r="AO62" s="446"/>
      <c r="AP62" s="446"/>
      <c r="AQ62" s="446"/>
      <c r="AR62" s="446"/>
      <c r="AS62" s="446"/>
    </row>
    <row r="63" spans="1:16384" x14ac:dyDescent="0.2">
      <c r="AI63" s="447"/>
      <c r="AJ63" s="447"/>
      <c r="AK63" s="447"/>
      <c r="AL63" s="447"/>
      <c r="AM63" s="447"/>
      <c r="AN63" s="447"/>
      <c r="AO63" s="447"/>
      <c r="AP63" s="447"/>
      <c r="AQ63" s="447"/>
      <c r="AR63" s="447"/>
      <c r="AS63" s="447"/>
    </row>
    <row r="64" spans="1:16384" x14ac:dyDescent="0.2">
      <c r="AI64" s="447"/>
      <c r="AJ64" s="447"/>
      <c r="AK64" s="447"/>
      <c r="AL64" s="447"/>
      <c r="AM64" s="447"/>
      <c r="AN64" s="447"/>
      <c r="AO64" s="447"/>
      <c r="AP64" s="447"/>
      <c r="AQ64" s="447"/>
      <c r="AR64" s="447"/>
      <c r="AS64" s="447"/>
    </row>
    <row r="65" spans="35:45" x14ac:dyDescent="0.2">
      <c r="AI65" s="447"/>
      <c r="AJ65" s="447"/>
      <c r="AK65" s="447"/>
      <c r="AL65" s="447"/>
      <c r="AM65" s="447"/>
      <c r="AN65" s="447"/>
      <c r="AO65" s="447"/>
      <c r="AP65" s="447"/>
      <c r="AQ65" s="447"/>
      <c r="AR65" s="447"/>
      <c r="AS65" s="447"/>
    </row>
  </sheetData>
  <mergeCells count="205">
    <mergeCell ref="DJ4:DM4"/>
    <mergeCell ref="DN4:DQ4"/>
    <mergeCell ref="DR4:DU4"/>
    <mergeCell ref="DV4:DY4"/>
    <mergeCell ref="GD4:GG4"/>
    <mergeCell ref="GH4:GK4"/>
    <mergeCell ref="GL4:GO4"/>
    <mergeCell ref="EL4:EO4"/>
    <mergeCell ref="EP4:ES4"/>
    <mergeCell ref="FF4:FI4"/>
    <mergeCell ref="XN4:XQ4"/>
    <mergeCell ref="XV4:XY4"/>
    <mergeCell ref="XB4:XE4"/>
    <mergeCell ref="XF4:XI4"/>
    <mergeCell ref="XJ4:XM4"/>
    <mergeCell ref="JB4:JE4"/>
    <mergeCell ref="JJ4:JM4"/>
    <mergeCell ref="JV4:JY4"/>
    <mergeCell ref="KD4:KG4"/>
    <mergeCell ref="KT4:KW4"/>
    <mergeCell ref="LB4:LE4"/>
    <mergeCell ref="LF4:LI4"/>
    <mergeCell ref="LJ4:LM4"/>
    <mergeCell ref="LN4:LQ4"/>
    <mergeCell ref="QH4:QK4"/>
    <mergeCell ref="RF4:RI4"/>
    <mergeCell ref="SD4:SG4"/>
    <mergeCell ref="TB4:TE4"/>
    <mergeCell ref="TZ4:UC4"/>
    <mergeCell ref="UX4:VA4"/>
    <mergeCell ref="VV4:VY4"/>
    <mergeCell ref="ML4:MO4"/>
    <mergeCell ref="XR4:XU4"/>
    <mergeCell ref="RB4:RE4"/>
    <mergeCell ref="CH3:DI3"/>
    <mergeCell ref="R4:U4"/>
    <mergeCell ref="Z4:AC4"/>
    <mergeCell ref="AT4:AW4"/>
    <mergeCell ref="BB4:BE4"/>
    <mergeCell ref="V4:Y4"/>
    <mergeCell ref="DB4:DE4"/>
    <mergeCell ref="F4:I4"/>
    <mergeCell ref="J4:M4"/>
    <mergeCell ref="N4:Q4"/>
    <mergeCell ref="B3:AC3"/>
    <mergeCell ref="AD4:AG4"/>
    <mergeCell ref="AH4:AK4"/>
    <mergeCell ref="AL4:AO4"/>
    <mergeCell ref="AP4:AS4"/>
    <mergeCell ref="CH4:CK4"/>
    <mergeCell ref="BV4:BY4"/>
    <mergeCell ref="CD4:CG4"/>
    <mergeCell ref="CL4:CO4"/>
    <mergeCell ref="CP4:CS4"/>
    <mergeCell ref="CT4:CW4"/>
    <mergeCell ref="AI38:AK38"/>
    <mergeCell ref="AD3:BE3"/>
    <mergeCell ref="BF4:BI4"/>
    <mergeCell ref="BJ4:BM4"/>
    <mergeCell ref="BN4:BQ4"/>
    <mergeCell ref="BR4:BU4"/>
    <mergeCell ref="BF18:BM18"/>
    <mergeCell ref="BF20:BM20"/>
    <mergeCell ref="BF3:CG3"/>
    <mergeCell ref="AX4:BA4"/>
    <mergeCell ref="BZ4:CC4"/>
    <mergeCell ref="HV3:IO3"/>
    <mergeCell ref="IP4:IS4"/>
    <mergeCell ref="IT4:IW4"/>
    <mergeCell ref="IX4:JA4"/>
    <mergeCell ref="FF3:GC3"/>
    <mergeCell ref="DZ4:EC4"/>
    <mergeCell ref="EH4:EK4"/>
    <mergeCell ref="ET4:EW4"/>
    <mergeCell ref="FB4:FE4"/>
    <mergeCell ref="FR4:FU4"/>
    <mergeCell ref="FZ4:GC4"/>
    <mergeCell ref="FJ4:FM4"/>
    <mergeCell ref="FN4:FQ4"/>
    <mergeCell ref="ED4:EG4"/>
    <mergeCell ref="EX4:FA4"/>
    <mergeCell ref="FV4:FY4"/>
    <mergeCell ref="GT4:GW4"/>
    <mergeCell ref="HN4:HQ4"/>
    <mergeCell ref="GP4:GS4"/>
    <mergeCell ref="HJ4:HM4"/>
    <mergeCell ref="GX4:HA4"/>
    <mergeCell ref="HB4:HE4"/>
    <mergeCell ref="HF4:HI4"/>
    <mergeCell ref="HR4:HU4"/>
    <mergeCell ref="NZ4:OC4"/>
    <mergeCell ref="ID4:IG4"/>
    <mergeCell ref="IL4:IO4"/>
    <mergeCell ref="IH4:IK4"/>
    <mergeCell ref="JF4:JI4"/>
    <mergeCell ref="JZ4:KC4"/>
    <mergeCell ref="KX4:LA4"/>
    <mergeCell ref="LV4:LY4"/>
    <mergeCell ref="MT4:MW4"/>
    <mergeCell ref="NR4:NU4"/>
    <mergeCell ref="NJ4:NM4"/>
    <mergeCell ref="HV4:HY4"/>
    <mergeCell ref="HZ4:IC4"/>
    <mergeCell ref="OP4:OS4"/>
    <mergeCell ref="IP3:JM3"/>
    <mergeCell ref="JN4:JQ4"/>
    <mergeCell ref="JR4:JU4"/>
    <mergeCell ref="JN3:KG3"/>
    <mergeCell ref="LR4:LU4"/>
    <mergeCell ref="LZ4:MC4"/>
    <mergeCell ref="MP4:MS4"/>
    <mergeCell ref="MX4:NA4"/>
    <mergeCell ref="NN4:NQ4"/>
    <mergeCell ref="KH4:KK4"/>
    <mergeCell ref="KL4:KO4"/>
    <mergeCell ref="KP4:KS4"/>
    <mergeCell ref="KH3:LE3"/>
    <mergeCell ref="LF3:MC3"/>
    <mergeCell ref="MD4:MG4"/>
    <mergeCell ref="MH4:MK4"/>
    <mergeCell ref="MD3:NA3"/>
    <mergeCell ref="NB4:NE4"/>
    <mergeCell ref="NB3:NY3"/>
    <mergeCell ref="NV4:NY4"/>
    <mergeCell ref="NF4:NI4"/>
    <mergeCell ref="OX3:PU3"/>
    <mergeCell ref="QP4:QS4"/>
    <mergeCell ref="QT4:QW4"/>
    <mergeCell ref="QX4:RA4"/>
    <mergeCell ref="QP3:RM3"/>
    <mergeCell ref="PJ4:PM4"/>
    <mergeCell ref="PR4:PU4"/>
    <mergeCell ref="PV4:PY4"/>
    <mergeCell ref="PV3:QO3"/>
    <mergeCell ref="PN4:PQ4"/>
    <mergeCell ref="QD4:QG4"/>
    <mergeCell ref="OX4:PA4"/>
    <mergeCell ref="OL4:OO4"/>
    <mergeCell ref="OT4:OW4"/>
    <mergeCell ref="OD4:OG4"/>
    <mergeCell ref="OH4:OK4"/>
    <mergeCell ref="QL4:QO4"/>
    <mergeCell ref="PZ4:QC4"/>
    <mergeCell ref="UH4:UK4"/>
    <mergeCell ref="UL4:UO4"/>
    <mergeCell ref="UP4:US4"/>
    <mergeCell ref="PB4:PE4"/>
    <mergeCell ref="PF4:PI4"/>
    <mergeCell ref="WD4:WG4"/>
    <mergeCell ref="WH4:WK4"/>
    <mergeCell ref="WL4:WO4"/>
    <mergeCell ref="VF4:VI4"/>
    <mergeCell ref="VJ4:VM4"/>
    <mergeCell ref="VN4:VQ4"/>
    <mergeCell ref="RJ4:RM4"/>
    <mergeCell ref="RR4:RU4"/>
    <mergeCell ref="RV4:RY4"/>
    <mergeCell ref="WD3:XA3"/>
    <mergeCell ref="UT4:UW4"/>
    <mergeCell ref="VB4:VE4"/>
    <mergeCell ref="VR4:VU4"/>
    <mergeCell ref="VZ4:WC4"/>
    <mergeCell ref="RN3:SK3"/>
    <mergeCell ref="SL4:SO4"/>
    <mergeCell ref="SP4:SS4"/>
    <mergeCell ref="ST4:SW4"/>
    <mergeCell ref="SL3:TI3"/>
    <mergeCell ref="TJ4:TM4"/>
    <mergeCell ref="TN4:TQ4"/>
    <mergeCell ref="TR4:TU4"/>
    <mergeCell ref="TJ3:UG3"/>
    <mergeCell ref="TV4:TY4"/>
    <mergeCell ref="UD4:UG4"/>
    <mergeCell ref="RZ4:SC4"/>
    <mergeCell ref="SH4:SK4"/>
    <mergeCell ref="SX4:TA4"/>
    <mergeCell ref="TF4:TI4"/>
    <mergeCell ref="RN4:RQ4"/>
    <mergeCell ref="WX4:XA4"/>
    <mergeCell ref="WT4:WW4"/>
    <mergeCell ref="WP4:WS4"/>
    <mergeCell ref="A2:AAR2"/>
    <mergeCell ref="ZQ3:ZW3"/>
    <mergeCell ref="ZX3:AAD3"/>
    <mergeCell ref="AAE3:AAK3"/>
    <mergeCell ref="AAL3:AAR3"/>
    <mergeCell ref="XB3:XY3"/>
    <mergeCell ref="XZ3:YE3"/>
    <mergeCell ref="YM3:YQ3"/>
    <mergeCell ref="YR3:YX3"/>
    <mergeCell ref="YY3:ZE3"/>
    <mergeCell ref="YF3:YL3"/>
    <mergeCell ref="ZF3:ZI3"/>
    <mergeCell ref="ZJ3:ZP3"/>
    <mergeCell ref="UH3:VE3"/>
    <mergeCell ref="NZ3:OW3"/>
    <mergeCell ref="GD3:GW3"/>
    <mergeCell ref="DJ3:EK3"/>
    <mergeCell ref="VF3:WC3"/>
    <mergeCell ref="GX3:HU3"/>
    <mergeCell ref="EL3:FE3"/>
    <mergeCell ref="A3:A5"/>
    <mergeCell ref="CX4:DA4"/>
    <mergeCell ref="DF4:DI4"/>
    <mergeCell ref="B4:E4"/>
  </mergeCells>
  <pageMargins left="0.70866141732283472" right="0.70866141732283472" top="0.74803149606299213" bottom="0.74803149606299213" header="0.31496062992125984" footer="0.31496062992125984"/>
  <pageSetup paperSize="9" scale="87" fitToWidth="0" orientation="landscape" r:id="rId1"/>
  <headerFooter alignWithMargins="0"/>
  <colBreaks count="26" manualBreakCount="26">
    <brk id="45" max="18" man="1"/>
    <brk id="73" max="18" man="1"/>
    <brk id="101" max="18" man="1"/>
    <brk id="129" max="18" man="1"/>
    <brk id="149" max="18" man="1"/>
    <brk id="173" max="18" man="1"/>
    <brk id="197" max="18" man="1"/>
    <brk id="217" max="18" man="1"/>
    <brk id="237" max="18" man="1"/>
    <brk id="261" max="18" man="1"/>
    <brk id="281" max="18" man="1"/>
    <brk id="305" max="18" man="1"/>
    <brk id="329" max="18" man="1"/>
    <brk id="353" max="18" man="1"/>
    <brk id="377" max="18" man="1"/>
    <brk id="401" max="18" man="1"/>
    <brk id="425" max="18" man="1"/>
    <brk id="445" max="18" man="1"/>
    <brk id="469" max="18" man="1"/>
    <brk id="493" max="18" man="1"/>
    <brk id="517" max="18" man="1"/>
    <brk id="541" max="18" man="1"/>
    <brk id="565" max="18" man="1"/>
    <brk id="589" max="18" man="1"/>
    <brk id="613" max="18" man="1"/>
    <brk id="637" max="18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S83"/>
  <sheetViews>
    <sheetView showZeros="0" showWhiteSpace="0" zoomScale="80" zoomScaleNormal="80" workbookViewId="0">
      <pane xSplit="1" ySplit="4" topLeftCell="B5" activePane="bottomRight" state="frozen"/>
      <selection activeCell="A32" sqref="A32"/>
      <selection pane="topRight" activeCell="A32" sqref="A32"/>
      <selection pane="bottomLeft" activeCell="A32" sqref="A32"/>
      <selection pane="bottomRight"/>
    </sheetView>
  </sheetViews>
  <sheetFormatPr defaultRowHeight="20.100000000000001" customHeight="1" x14ac:dyDescent="0.25"/>
  <cols>
    <col min="1" max="1" width="48.28515625" style="28" customWidth="1"/>
    <col min="2" max="22" width="10.7109375" style="28" customWidth="1"/>
    <col min="23" max="26" width="10.7109375" style="196" customWidth="1"/>
    <col min="27" max="29" width="10.7109375" style="28" customWidth="1"/>
    <col min="30" max="33" width="10.7109375" style="196" customWidth="1"/>
    <col min="34" max="36" width="10.7109375" style="28" customWidth="1"/>
    <col min="37" max="41" width="10.7109375" style="448" customWidth="1"/>
    <col min="42" max="181" width="10.7109375" style="476" customWidth="1"/>
    <col min="182" max="184" width="10.7109375" style="28" customWidth="1"/>
    <col min="185" max="188" width="10.7109375" style="196" customWidth="1"/>
    <col min="189" max="191" width="10.7109375" style="28" customWidth="1"/>
    <col min="192" max="252" width="10.7109375" style="196" customWidth="1"/>
    <col min="253" max="16384" width="9.140625" style="508"/>
  </cols>
  <sheetData>
    <row r="1" spans="1:253" ht="16.5" customHeight="1" x14ac:dyDescent="0.25">
      <c r="A1" s="28" t="s">
        <v>613</v>
      </c>
      <c r="W1" s="28"/>
      <c r="X1" s="28"/>
      <c r="Y1" s="28"/>
      <c r="Z1" s="28"/>
      <c r="AD1" s="28"/>
      <c r="AE1" s="28"/>
      <c r="AF1" s="28"/>
      <c r="AK1" s="447"/>
      <c r="AL1" s="447"/>
      <c r="AM1" s="447"/>
      <c r="AN1" s="447"/>
      <c r="AO1" s="447"/>
      <c r="AP1" s="447"/>
      <c r="AQ1" s="447"/>
      <c r="AR1" s="447"/>
      <c r="AS1" s="447"/>
      <c r="AT1" s="447"/>
      <c r="AU1" s="447"/>
      <c r="AV1" s="447"/>
      <c r="AW1" s="447"/>
      <c r="AX1" s="447"/>
      <c r="AY1" s="447"/>
      <c r="AZ1" s="447"/>
      <c r="BA1" s="447"/>
      <c r="BB1" s="447"/>
      <c r="BC1" s="447"/>
      <c r="BD1" s="447"/>
      <c r="BE1" s="447"/>
      <c r="BF1" s="447"/>
      <c r="BG1" s="447"/>
      <c r="BH1" s="447"/>
      <c r="BI1" s="447"/>
      <c r="BJ1" s="447"/>
      <c r="BK1" s="447"/>
      <c r="BL1" s="447"/>
      <c r="BM1" s="447"/>
      <c r="BN1" s="447"/>
      <c r="BO1" s="447"/>
      <c r="BP1" s="447"/>
      <c r="BQ1" s="447"/>
      <c r="BR1" s="447"/>
      <c r="BS1" s="447"/>
      <c r="BT1" s="447"/>
      <c r="BU1" s="447"/>
      <c r="BV1" s="447"/>
      <c r="BW1" s="447"/>
      <c r="BX1" s="447"/>
      <c r="BY1" s="447"/>
      <c r="BZ1" s="447"/>
      <c r="CA1" s="447"/>
      <c r="CB1" s="447"/>
      <c r="CC1" s="447"/>
      <c r="CD1" s="447"/>
      <c r="CE1" s="447"/>
      <c r="CF1" s="447"/>
      <c r="CG1" s="447"/>
      <c r="CH1" s="447"/>
      <c r="CI1" s="447"/>
      <c r="CJ1" s="447"/>
      <c r="CK1" s="447"/>
      <c r="CL1" s="447"/>
      <c r="CM1" s="447"/>
      <c r="CN1" s="447"/>
      <c r="CO1" s="447"/>
      <c r="CP1" s="447"/>
      <c r="CQ1" s="447"/>
      <c r="CR1" s="447"/>
      <c r="CS1" s="447"/>
      <c r="CT1" s="447"/>
      <c r="CU1" s="447"/>
      <c r="CV1" s="447"/>
      <c r="CW1" s="447"/>
      <c r="CX1" s="447"/>
      <c r="CY1" s="447"/>
      <c r="CZ1" s="447"/>
      <c r="DA1" s="447"/>
      <c r="DB1" s="447"/>
      <c r="DC1" s="447"/>
      <c r="DD1" s="447"/>
      <c r="DE1" s="447"/>
      <c r="DF1" s="447"/>
      <c r="DG1" s="447"/>
      <c r="DH1" s="447"/>
      <c r="DI1" s="447"/>
      <c r="DJ1" s="447"/>
      <c r="DK1" s="447"/>
      <c r="DL1" s="447"/>
      <c r="DM1" s="447"/>
      <c r="DN1" s="447"/>
      <c r="DO1" s="447"/>
      <c r="DP1" s="447"/>
      <c r="DQ1" s="447"/>
      <c r="DR1" s="447"/>
      <c r="DS1" s="447"/>
      <c r="DT1" s="447"/>
      <c r="DU1" s="447"/>
      <c r="DV1" s="447"/>
      <c r="DW1" s="447"/>
      <c r="DX1" s="447"/>
      <c r="DY1" s="447"/>
      <c r="DZ1" s="447"/>
      <c r="EA1" s="447"/>
      <c r="EB1" s="447"/>
      <c r="EC1" s="447"/>
      <c r="ED1" s="447"/>
      <c r="EE1" s="447"/>
      <c r="EF1" s="447"/>
      <c r="EG1" s="447"/>
      <c r="EH1" s="447"/>
      <c r="EI1" s="447"/>
      <c r="EJ1" s="447"/>
      <c r="EK1" s="447"/>
      <c r="EL1" s="447"/>
      <c r="EM1" s="447"/>
      <c r="EN1" s="447"/>
      <c r="EO1" s="447"/>
      <c r="EP1" s="447"/>
      <c r="EQ1" s="447"/>
      <c r="ER1" s="447"/>
      <c r="ES1" s="447"/>
      <c r="ET1" s="447"/>
      <c r="EU1" s="447"/>
      <c r="EV1" s="447"/>
      <c r="EW1" s="447"/>
      <c r="EX1" s="447"/>
      <c r="EY1" s="447"/>
      <c r="EZ1" s="447"/>
      <c r="FA1" s="447"/>
      <c r="FB1" s="447"/>
      <c r="FC1" s="447"/>
      <c r="FD1" s="447"/>
      <c r="FE1" s="447"/>
      <c r="FF1" s="447"/>
      <c r="FG1" s="447"/>
      <c r="FH1" s="447"/>
      <c r="FI1" s="447"/>
      <c r="FJ1" s="447"/>
      <c r="FK1" s="447"/>
      <c r="FL1" s="447"/>
      <c r="FM1" s="447"/>
      <c r="FN1" s="447"/>
      <c r="FO1" s="447"/>
      <c r="FP1" s="447"/>
      <c r="FQ1" s="447"/>
      <c r="FR1" s="447"/>
      <c r="FS1" s="447"/>
      <c r="FT1" s="447"/>
      <c r="FU1" s="815"/>
      <c r="FZ1" s="507"/>
      <c r="GA1" s="507"/>
      <c r="GB1" s="507"/>
      <c r="GC1" s="507"/>
      <c r="GD1" s="507"/>
      <c r="GE1" s="507"/>
      <c r="GF1" s="507"/>
      <c r="GG1" s="508"/>
      <c r="GH1" s="508"/>
      <c r="GI1" s="508"/>
      <c r="GJ1" s="508"/>
      <c r="GK1" s="508"/>
      <c r="GN1" s="508"/>
      <c r="GO1" s="508"/>
      <c r="GP1" s="508"/>
      <c r="GQ1" s="508"/>
      <c r="GR1" s="508"/>
      <c r="GU1" s="507"/>
      <c r="GV1" s="507"/>
      <c r="GW1" s="507"/>
      <c r="GX1" s="507"/>
      <c r="GY1" s="507"/>
      <c r="GZ1" s="507"/>
      <c r="HA1" s="507"/>
      <c r="HB1" s="507"/>
      <c r="HC1" s="507"/>
      <c r="HD1" s="507"/>
      <c r="HE1" s="507"/>
      <c r="HF1" s="507"/>
      <c r="HG1" s="507"/>
      <c r="HH1" s="507"/>
      <c r="HI1" s="507"/>
      <c r="HJ1" s="507"/>
      <c r="HK1" s="507"/>
      <c r="HL1" s="507"/>
      <c r="HM1" s="507"/>
      <c r="HN1" s="507"/>
      <c r="HO1" s="507"/>
      <c r="HP1" s="507"/>
      <c r="HQ1" s="507"/>
      <c r="HR1" s="507"/>
      <c r="HS1" s="507"/>
      <c r="HT1" s="507"/>
      <c r="HU1" s="507"/>
      <c r="HV1" s="507"/>
      <c r="HW1" s="507"/>
      <c r="HX1" s="507"/>
      <c r="HY1" s="507"/>
      <c r="HZ1" s="507"/>
      <c r="IA1" s="507"/>
      <c r="IB1" s="507"/>
      <c r="IC1" s="507"/>
      <c r="ID1" s="507"/>
      <c r="IE1" s="507"/>
      <c r="IF1" s="507"/>
      <c r="IG1" s="507"/>
      <c r="IH1" s="507"/>
      <c r="II1" s="507"/>
      <c r="IJ1" s="507"/>
      <c r="IK1" s="507"/>
      <c r="IL1" s="507"/>
      <c r="IM1" s="507"/>
      <c r="IN1" s="507"/>
      <c r="IO1" s="507"/>
      <c r="IP1" s="507"/>
      <c r="IQ1" s="507"/>
      <c r="IR1" s="507"/>
    </row>
    <row r="2" spans="1:253" ht="12.75" x14ac:dyDescent="0.25">
      <c r="W2" s="28"/>
      <c r="X2" s="28"/>
      <c r="Y2" s="28"/>
      <c r="Z2" s="28"/>
      <c r="AJ2" s="816"/>
      <c r="AK2" s="817"/>
      <c r="AL2" s="817"/>
      <c r="AM2" s="196"/>
      <c r="AN2" s="196"/>
      <c r="AO2" s="196"/>
      <c r="AP2" s="818"/>
      <c r="AQ2" s="196"/>
      <c r="AR2" s="196"/>
      <c r="AS2" s="196"/>
      <c r="AT2" s="196"/>
      <c r="AU2" s="196"/>
      <c r="AV2" s="196"/>
      <c r="AW2" s="196"/>
      <c r="AX2" s="196"/>
      <c r="AY2" s="196"/>
      <c r="AZ2" s="196"/>
      <c r="BA2" s="196"/>
      <c r="BB2" s="196"/>
      <c r="BC2" s="196"/>
      <c r="BD2" s="196"/>
      <c r="BE2" s="196"/>
      <c r="BF2" s="196"/>
      <c r="BG2" s="196"/>
      <c r="BH2" s="196"/>
      <c r="BI2" s="196"/>
      <c r="BJ2" s="196"/>
      <c r="BK2" s="196"/>
      <c r="BL2" s="196"/>
      <c r="BM2" s="196"/>
      <c r="BN2" s="196"/>
      <c r="BO2" s="196"/>
      <c r="BP2" s="196"/>
      <c r="BQ2" s="196"/>
      <c r="BR2" s="196"/>
      <c r="BS2" s="196"/>
      <c r="BT2" s="196"/>
      <c r="BU2" s="196"/>
      <c r="BV2" s="196"/>
      <c r="BW2" s="196"/>
      <c r="BX2" s="196"/>
      <c r="BY2" s="196"/>
      <c r="BZ2" s="196"/>
      <c r="CA2" s="196"/>
      <c r="CB2" s="196"/>
      <c r="CC2" s="196"/>
      <c r="CD2" s="196"/>
      <c r="CE2" s="196"/>
      <c r="CF2" s="196"/>
      <c r="CG2" s="196"/>
      <c r="CH2" s="196"/>
      <c r="CI2" s="196"/>
      <c r="CJ2" s="196"/>
      <c r="CK2" s="196"/>
      <c r="CL2" s="196"/>
      <c r="CM2" s="196"/>
      <c r="CN2" s="196"/>
      <c r="CO2" s="196"/>
      <c r="CP2" s="196"/>
      <c r="CQ2" s="196"/>
      <c r="CR2" s="196"/>
      <c r="CS2" s="196"/>
      <c r="CT2" s="196"/>
      <c r="CU2" s="196"/>
      <c r="CV2" s="196"/>
      <c r="CW2" s="196"/>
      <c r="CX2" s="196"/>
      <c r="CY2" s="196"/>
      <c r="CZ2" s="196"/>
      <c r="DA2" s="196"/>
      <c r="DB2" s="196"/>
      <c r="DC2" s="196"/>
      <c r="DD2" s="196"/>
      <c r="DE2" s="196"/>
      <c r="DF2" s="196"/>
      <c r="DG2" s="196"/>
      <c r="DH2" s="196"/>
      <c r="DI2" s="196"/>
      <c r="DJ2" s="196"/>
      <c r="DK2" s="196"/>
      <c r="DL2" s="196"/>
      <c r="DM2" s="196"/>
      <c r="DN2" s="196"/>
      <c r="DO2" s="196"/>
      <c r="DP2" s="196"/>
      <c r="DQ2" s="196"/>
      <c r="DR2" s="196"/>
      <c r="DS2" s="196"/>
      <c r="DT2" s="196"/>
      <c r="DU2" s="196"/>
      <c r="DV2" s="196"/>
      <c r="DW2" s="196"/>
      <c r="DX2" s="196"/>
      <c r="DY2" s="196"/>
      <c r="DZ2" s="196"/>
      <c r="EA2" s="196"/>
      <c r="EB2" s="196"/>
      <c r="EC2" s="196"/>
      <c r="ED2" s="196"/>
      <c r="EE2" s="196"/>
      <c r="EF2" s="196"/>
      <c r="EG2" s="196"/>
      <c r="EH2" s="196"/>
      <c r="EI2" s="196"/>
      <c r="EJ2" s="510"/>
      <c r="EK2" s="510"/>
      <c r="EL2" s="510"/>
      <c r="EM2" s="510"/>
      <c r="EN2" s="510"/>
      <c r="EO2" s="510"/>
      <c r="EP2" s="510"/>
      <c r="EQ2" s="510"/>
      <c r="ER2" s="510"/>
      <c r="ES2" s="510"/>
      <c r="ET2" s="510"/>
      <c r="EU2" s="510"/>
      <c r="EV2" s="510"/>
      <c r="EW2" s="510"/>
      <c r="EX2" s="510"/>
      <c r="EY2" s="510"/>
      <c r="EZ2" s="510"/>
      <c r="FA2" s="510"/>
      <c r="FB2" s="510"/>
      <c r="FC2" s="510"/>
      <c r="FD2" s="510"/>
      <c r="FE2" s="510"/>
      <c r="FF2" s="510"/>
      <c r="FG2" s="510"/>
      <c r="FH2" s="510"/>
      <c r="FI2" s="510"/>
      <c r="FJ2" s="510"/>
      <c r="FK2" s="510"/>
      <c r="FL2" s="510"/>
      <c r="FM2" s="510"/>
      <c r="FN2" s="510"/>
      <c r="FO2" s="510"/>
      <c r="FP2" s="510"/>
      <c r="FQ2" s="510"/>
      <c r="FR2" s="510"/>
      <c r="FS2" s="510"/>
      <c r="FT2" s="510"/>
      <c r="FU2" s="510"/>
      <c r="FV2" s="510"/>
      <c r="FW2" s="510"/>
      <c r="FX2" s="196"/>
      <c r="FY2" s="196"/>
      <c r="FZ2" s="507"/>
      <c r="GA2" s="507"/>
      <c r="GB2" s="507"/>
      <c r="GC2" s="507"/>
      <c r="GD2" s="507"/>
      <c r="GE2" s="507"/>
      <c r="GF2" s="507"/>
      <c r="GG2" s="463"/>
      <c r="GH2" s="463"/>
      <c r="GI2" s="463"/>
      <c r="GJ2" s="463"/>
      <c r="GK2" s="463"/>
      <c r="GL2" s="463"/>
      <c r="GM2" s="463"/>
      <c r="GN2" s="463"/>
      <c r="GO2" s="463"/>
      <c r="GP2" s="463"/>
      <c r="GQ2" s="463"/>
      <c r="GR2" s="463"/>
      <c r="GS2" s="463"/>
      <c r="GT2" s="463"/>
      <c r="GU2" s="510"/>
      <c r="GV2" s="510"/>
      <c r="GW2" s="510"/>
      <c r="GX2" s="510"/>
      <c r="GY2" s="510"/>
      <c r="GZ2" s="510"/>
      <c r="HA2" s="510"/>
      <c r="HB2" s="510"/>
      <c r="HC2" s="510"/>
      <c r="HD2" s="510"/>
      <c r="HE2" s="510"/>
      <c r="HF2" s="510"/>
      <c r="HG2" s="510"/>
      <c r="HH2" s="510"/>
      <c r="HI2" s="510"/>
      <c r="HJ2" s="510"/>
      <c r="HK2" s="510"/>
      <c r="HL2" s="510"/>
      <c r="HM2" s="510"/>
      <c r="HN2" s="510"/>
      <c r="HO2" s="510"/>
      <c r="HP2" s="510"/>
      <c r="HQ2" s="510"/>
      <c r="HR2" s="510"/>
      <c r="HS2" s="510"/>
      <c r="HT2" s="510"/>
      <c r="HU2" s="510"/>
      <c r="HV2" s="510"/>
      <c r="HW2" s="510"/>
      <c r="HX2" s="510"/>
      <c r="HY2" s="510"/>
      <c r="HZ2" s="510"/>
      <c r="IA2" s="510"/>
      <c r="IB2" s="510"/>
      <c r="IC2" s="510"/>
      <c r="ID2" s="510"/>
      <c r="IE2" s="510"/>
      <c r="IF2" s="510"/>
      <c r="IG2" s="510"/>
      <c r="IH2" s="510"/>
      <c r="II2" s="510"/>
      <c r="IJ2" s="510"/>
      <c r="IK2" s="510"/>
      <c r="IL2" s="510"/>
      <c r="IM2" s="510"/>
      <c r="IN2" s="510"/>
      <c r="IO2" s="510"/>
      <c r="IP2" s="510"/>
      <c r="IR2" s="847" t="s">
        <v>474</v>
      </c>
    </row>
    <row r="3" spans="1:253" ht="16.5" customHeight="1" x14ac:dyDescent="0.25">
      <c r="A3" s="988" t="s">
        <v>248</v>
      </c>
      <c r="B3" s="1004" t="s">
        <v>249</v>
      </c>
      <c r="C3" s="993"/>
      <c r="D3" s="993"/>
      <c r="E3" s="993"/>
      <c r="F3" s="993"/>
      <c r="G3" s="993"/>
      <c r="H3" s="994"/>
      <c r="I3" s="992" t="s">
        <v>250</v>
      </c>
      <c r="J3" s="993"/>
      <c r="K3" s="993"/>
      <c r="L3" s="993"/>
      <c r="M3" s="993"/>
      <c r="N3" s="993"/>
      <c r="O3" s="994"/>
      <c r="P3" s="992" t="s">
        <v>251</v>
      </c>
      <c r="Q3" s="993"/>
      <c r="R3" s="993"/>
      <c r="S3" s="993"/>
      <c r="T3" s="993"/>
      <c r="U3" s="993"/>
      <c r="V3" s="994"/>
      <c r="W3" s="995" t="s">
        <v>252</v>
      </c>
      <c r="X3" s="996"/>
      <c r="Y3" s="996"/>
      <c r="Z3" s="996"/>
      <c r="AA3" s="996"/>
      <c r="AB3" s="996"/>
      <c r="AC3" s="997"/>
      <c r="AD3" s="998" t="s">
        <v>105</v>
      </c>
      <c r="AE3" s="999"/>
      <c r="AF3" s="999"/>
      <c r="AG3" s="999"/>
      <c r="AH3" s="999"/>
      <c r="AI3" s="999"/>
      <c r="AJ3" s="1000"/>
      <c r="AK3" s="1001" t="s">
        <v>313</v>
      </c>
      <c r="AL3" s="1002"/>
      <c r="AM3" s="1002"/>
      <c r="AN3" s="1002"/>
      <c r="AO3" s="1003"/>
      <c r="AP3" s="989" t="s">
        <v>314</v>
      </c>
      <c r="AQ3" s="990"/>
      <c r="AR3" s="990"/>
      <c r="AS3" s="990"/>
      <c r="AT3" s="990"/>
      <c r="AU3" s="990"/>
      <c r="AV3" s="991"/>
      <c r="AW3" s="985" t="s">
        <v>517</v>
      </c>
      <c r="AX3" s="986"/>
      <c r="AY3" s="986"/>
      <c r="AZ3" s="986"/>
      <c r="BA3" s="986"/>
      <c r="BB3" s="987"/>
      <c r="BC3" s="985" t="s">
        <v>299</v>
      </c>
      <c r="BD3" s="986"/>
      <c r="BE3" s="986"/>
      <c r="BF3" s="986"/>
      <c r="BG3" s="986"/>
      <c r="BH3" s="986"/>
      <c r="BI3" s="987"/>
      <c r="BJ3" s="985" t="s">
        <v>300</v>
      </c>
      <c r="BK3" s="986"/>
      <c r="BL3" s="986"/>
      <c r="BM3" s="986"/>
      <c r="BN3" s="987"/>
      <c r="BO3" s="985" t="s">
        <v>301</v>
      </c>
      <c r="BP3" s="986"/>
      <c r="BQ3" s="986"/>
      <c r="BR3" s="986"/>
      <c r="BS3" s="986"/>
      <c r="BT3" s="986"/>
      <c r="BU3" s="987"/>
      <c r="BV3" s="985" t="s">
        <v>302</v>
      </c>
      <c r="BW3" s="986"/>
      <c r="BX3" s="986"/>
      <c r="BY3" s="986"/>
      <c r="BZ3" s="987"/>
      <c r="CA3" s="985" t="s">
        <v>303</v>
      </c>
      <c r="CB3" s="986"/>
      <c r="CC3" s="986"/>
      <c r="CD3" s="986"/>
      <c r="CE3" s="986"/>
      <c r="CF3" s="986"/>
      <c r="CG3" s="987"/>
      <c r="CH3" s="985" t="s">
        <v>304</v>
      </c>
      <c r="CI3" s="986"/>
      <c r="CJ3" s="986"/>
      <c r="CK3" s="986"/>
      <c r="CL3" s="986"/>
      <c r="CM3" s="986"/>
      <c r="CN3" s="987"/>
      <c r="CO3" s="985" t="s">
        <v>316</v>
      </c>
      <c r="CP3" s="986"/>
      <c r="CQ3" s="986"/>
      <c r="CR3" s="986"/>
      <c r="CS3" s="986"/>
      <c r="CT3" s="986"/>
      <c r="CU3" s="987"/>
      <c r="CV3" s="985" t="s">
        <v>306</v>
      </c>
      <c r="CW3" s="986"/>
      <c r="CX3" s="986"/>
      <c r="CY3" s="986"/>
      <c r="CZ3" s="986"/>
      <c r="DA3" s="986"/>
      <c r="DB3" s="987"/>
      <c r="DC3" s="985" t="s">
        <v>317</v>
      </c>
      <c r="DD3" s="986"/>
      <c r="DE3" s="986"/>
      <c r="DF3" s="986"/>
      <c r="DG3" s="986"/>
      <c r="DH3" s="986"/>
      <c r="DI3" s="987"/>
      <c r="DJ3" s="985" t="s">
        <v>318</v>
      </c>
      <c r="DK3" s="986"/>
      <c r="DL3" s="986"/>
      <c r="DM3" s="986"/>
      <c r="DN3" s="986"/>
      <c r="DO3" s="986"/>
      <c r="DP3" s="987"/>
      <c r="DQ3" s="985" t="s">
        <v>340</v>
      </c>
      <c r="DR3" s="986"/>
      <c r="DS3" s="986"/>
      <c r="DT3" s="986"/>
      <c r="DU3" s="987"/>
      <c r="DV3" s="985" t="s">
        <v>308</v>
      </c>
      <c r="DW3" s="986"/>
      <c r="DX3" s="986"/>
      <c r="DY3" s="986"/>
      <c r="DZ3" s="986"/>
      <c r="EA3" s="986"/>
      <c r="EB3" s="987"/>
      <c r="EC3" s="985" t="s">
        <v>309</v>
      </c>
      <c r="ED3" s="986"/>
      <c r="EE3" s="986"/>
      <c r="EF3" s="986"/>
      <c r="EG3" s="986"/>
      <c r="EH3" s="986"/>
      <c r="EI3" s="987"/>
      <c r="EJ3" s="985" t="s">
        <v>310</v>
      </c>
      <c r="EK3" s="986"/>
      <c r="EL3" s="986"/>
      <c r="EM3" s="986"/>
      <c r="EN3" s="986"/>
      <c r="EO3" s="986"/>
      <c r="EP3" s="987"/>
      <c r="EQ3" s="985" t="s">
        <v>311</v>
      </c>
      <c r="ER3" s="986"/>
      <c r="ES3" s="986"/>
      <c r="ET3" s="986"/>
      <c r="EU3" s="986"/>
      <c r="EV3" s="986"/>
      <c r="EW3" s="987"/>
      <c r="EX3" s="985" t="s">
        <v>319</v>
      </c>
      <c r="EY3" s="986"/>
      <c r="EZ3" s="986"/>
      <c r="FA3" s="986"/>
      <c r="FB3" s="986"/>
      <c r="FC3" s="986"/>
      <c r="FD3" s="987"/>
      <c r="FE3" s="985" t="s">
        <v>312</v>
      </c>
      <c r="FF3" s="986"/>
      <c r="FG3" s="986"/>
      <c r="FH3" s="986"/>
      <c r="FI3" s="986"/>
      <c r="FJ3" s="986"/>
      <c r="FK3" s="987"/>
      <c r="FL3" s="985" t="s">
        <v>320</v>
      </c>
      <c r="FM3" s="986"/>
      <c r="FN3" s="986"/>
      <c r="FO3" s="986"/>
      <c r="FP3" s="986"/>
      <c r="FQ3" s="986"/>
      <c r="FR3" s="987"/>
      <c r="FS3" s="985" t="s">
        <v>113</v>
      </c>
      <c r="FT3" s="986"/>
      <c r="FU3" s="986"/>
      <c r="FV3" s="986"/>
      <c r="FW3" s="986"/>
      <c r="FX3" s="986"/>
      <c r="FY3" s="987"/>
      <c r="FZ3" s="998" t="s">
        <v>346</v>
      </c>
      <c r="GA3" s="999"/>
      <c r="GB3" s="999"/>
      <c r="GC3" s="999"/>
      <c r="GD3" s="999"/>
      <c r="GE3" s="999"/>
      <c r="GF3" s="1000"/>
      <c r="GG3" s="998" t="s">
        <v>459</v>
      </c>
      <c r="GH3" s="999"/>
      <c r="GI3" s="999"/>
      <c r="GJ3" s="999"/>
      <c r="GK3" s="999"/>
      <c r="GL3" s="999"/>
      <c r="GM3" s="1000"/>
      <c r="GN3" s="998" t="s">
        <v>115</v>
      </c>
      <c r="GO3" s="999"/>
      <c r="GP3" s="999"/>
      <c r="GQ3" s="999"/>
      <c r="GR3" s="999"/>
      <c r="GS3" s="999"/>
      <c r="GT3" s="1000"/>
      <c r="GU3" s="985" t="s">
        <v>328</v>
      </c>
      <c r="GV3" s="986"/>
      <c r="GW3" s="986"/>
      <c r="GX3" s="986"/>
      <c r="GY3" s="986"/>
      <c r="GZ3" s="987"/>
      <c r="HA3" s="985" t="s">
        <v>469</v>
      </c>
      <c r="HB3" s="986"/>
      <c r="HC3" s="986"/>
      <c r="HD3" s="986"/>
      <c r="HE3" s="986"/>
      <c r="HF3" s="986"/>
      <c r="HG3" s="987"/>
      <c r="HH3" s="985" t="s">
        <v>470</v>
      </c>
      <c r="HI3" s="986"/>
      <c r="HJ3" s="986"/>
      <c r="HK3" s="986"/>
      <c r="HL3" s="986"/>
      <c r="HM3" s="985" t="s">
        <v>325</v>
      </c>
      <c r="HN3" s="986"/>
      <c r="HO3" s="986"/>
      <c r="HP3" s="986"/>
      <c r="HQ3" s="986"/>
      <c r="HR3" s="986"/>
      <c r="HS3" s="987"/>
      <c r="HT3" s="985" t="s">
        <v>506</v>
      </c>
      <c r="HU3" s="986"/>
      <c r="HV3" s="986"/>
      <c r="HW3" s="986"/>
      <c r="HX3" s="986"/>
      <c r="HY3" s="986"/>
      <c r="HZ3" s="987"/>
      <c r="IA3" s="985" t="s">
        <v>471</v>
      </c>
      <c r="IB3" s="986"/>
      <c r="IC3" s="986"/>
      <c r="ID3" s="987"/>
      <c r="IE3" s="985" t="s">
        <v>329</v>
      </c>
      <c r="IF3" s="986"/>
      <c r="IG3" s="986"/>
      <c r="IH3" s="986"/>
      <c r="II3" s="986"/>
      <c r="IJ3" s="986"/>
      <c r="IK3" s="987"/>
      <c r="IL3" s="1005" t="s">
        <v>119</v>
      </c>
      <c r="IM3" s="1005"/>
      <c r="IN3" s="1005"/>
      <c r="IO3" s="1005"/>
      <c r="IP3" s="1005"/>
      <c r="IQ3" s="1005"/>
      <c r="IR3" s="1005"/>
      <c r="IS3" s="844"/>
    </row>
    <row r="4" spans="1:253" s="509" customFormat="1" ht="12.75" x14ac:dyDescent="0.2">
      <c r="A4" s="988"/>
      <c r="B4" s="813" t="s">
        <v>51</v>
      </c>
      <c r="C4" s="813" t="s">
        <v>87</v>
      </c>
      <c r="D4" s="813" t="s">
        <v>20</v>
      </c>
      <c r="E4" s="813" t="s">
        <v>99</v>
      </c>
      <c r="F4" s="813" t="s">
        <v>103</v>
      </c>
      <c r="G4" s="813" t="s">
        <v>415</v>
      </c>
      <c r="H4" s="813" t="s">
        <v>507</v>
      </c>
      <c r="I4" s="813" t="s">
        <v>51</v>
      </c>
      <c r="J4" s="813" t="s">
        <v>87</v>
      </c>
      <c r="K4" s="813" t="s">
        <v>20</v>
      </c>
      <c r="L4" s="813" t="s">
        <v>99</v>
      </c>
      <c r="M4" s="813" t="s">
        <v>103</v>
      </c>
      <c r="N4" s="813" t="s">
        <v>415</v>
      </c>
      <c r="O4" s="813" t="s">
        <v>507</v>
      </c>
      <c r="P4" s="813" t="s">
        <v>51</v>
      </c>
      <c r="Q4" s="813" t="s">
        <v>87</v>
      </c>
      <c r="R4" s="813" t="s">
        <v>20</v>
      </c>
      <c r="S4" s="813" t="s">
        <v>99</v>
      </c>
      <c r="T4" s="813" t="s">
        <v>103</v>
      </c>
      <c r="U4" s="813" t="s">
        <v>415</v>
      </c>
      <c r="V4" s="813" t="s">
        <v>507</v>
      </c>
      <c r="W4" s="813" t="s">
        <v>51</v>
      </c>
      <c r="X4" s="813" t="s">
        <v>87</v>
      </c>
      <c r="Y4" s="813" t="s">
        <v>20</v>
      </c>
      <c r="Z4" s="813" t="s">
        <v>99</v>
      </c>
      <c r="AA4" s="813" t="s">
        <v>103</v>
      </c>
      <c r="AB4" s="813" t="s">
        <v>415</v>
      </c>
      <c r="AC4" s="813" t="s">
        <v>507</v>
      </c>
      <c r="AD4" s="813" t="s">
        <v>51</v>
      </c>
      <c r="AE4" s="813" t="s">
        <v>87</v>
      </c>
      <c r="AF4" s="813" t="s">
        <v>20</v>
      </c>
      <c r="AG4" s="813" t="s">
        <v>99</v>
      </c>
      <c r="AH4" s="813" t="s">
        <v>103</v>
      </c>
      <c r="AI4" s="813" t="s">
        <v>415</v>
      </c>
      <c r="AJ4" s="813" t="s">
        <v>507</v>
      </c>
      <c r="AK4" s="820" t="s">
        <v>20</v>
      </c>
      <c r="AL4" s="820" t="s">
        <v>99</v>
      </c>
      <c r="AM4" s="820" t="s">
        <v>103</v>
      </c>
      <c r="AN4" s="813" t="s">
        <v>415</v>
      </c>
      <c r="AO4" s="813" t="s">
        <v>507</v>
      </c>
      <c r="AP4" s="820" t="s">
        <v>51</v>
      </c>
      <c r="AQ4" s="820" t="s">
        <v>87</v>
      </c>
      <c r="AR4" s="820" t="s">
        <v>20</v>
      </c>
      <c r="AS4" s="820" t="s">
        <v>99</v>
      </c>
      <c r="AT4" s="820" t="s">
        <v>103</v>
      </c>
      <c r="AU4" s="813" t="s">
        <v>415</v>
      </c>
      <c r="AV4" s="813" t="s">
        <v>507</v>
      </c>
      <c r="AW4" s="820" t="s">
        <v>51</v>
      </c>
      <c r="AX4" s="820" t="s">
        <v>87</v>
      </c>
      <c r="AY4" s="820" t="s">
        <v>20</v>
      </c>
      <c r="AZ4" s="820" t="s">
        <v>99</v>
      </c>
      <c r="BA4" s="820" t="s">
        <v>103</v>
      </c>
      <c r="BB4" s="813" t="s">
        <v>415</v>
      </c>
      <c r="BC4" s="820" t="s">
        <v>51</v>
      </c>
      <c r="BD4" s="820" t="s">
        <v>87</v>
      </c>
      <c r="BE4" s="820" t="s">
        <v>20</v>
      </c>
      <c r="BF4" s="820" t="s">
        <v>99</v>
      </c>
      <c r="BG4" s="820" t="s">
        <v>103</v>
      </c>
      <c r="BH4" s="813" t="s">
        <v>415</v>
      </c>
      <c r="BI4" s="813" t="s">
        <v>507</v>
      </c>
      <c r="BJ4" s="820" t="s">
        <v>20</v>
      </c>
      <c r="BK4" s="820" t="s">
        <v>99</v>
      </c>
      <c r="BL4" s="820" t="s">
        <v>103</v>
      </c>
      <c r="BM4" s="813" t="s">
        <v>415</v>
      </c>
      <c r="BN4" s="813" t="s">
        <v>507</v>
      </c>
      <c r="BO4" s="820" t="s">
        <v>51</v>
      </c>
      <c r="BP4" s="820" t="s">
        <v>87</v>
      </c>
      <c r="BQ4" s="820" t="s">
        <v>20</v>
      </c>
      <c r="BR4" s="820" t="s">
        <v>99</v>
      </c>
      <c r="BS4" s="820" t="s">
        <v>103</v>
      </c>
      <c r="BT4" s="813" t="s">
        <v>415</v>
      </c>
      <c r="BU4" s="813" t="s">
        <v>507</v>
      </c>
      <c r="BV4" s="820" t="s">
        <v>20</v>
      </c>
      <c r="BW4" s="820" t="s">
        <v>99</v>
      </c>
      <c r="BX4" s="820" t="s">
        <v>103</v>
      </c>
      <c r="BY4" s="813" t="s">
        <v>415</v>
      </c>
      <c r="BZ4" s="813" t="s">
        <v>507</v>
      </c>
      <c r="CA4" s="820" t="s">
        <v>51</v>
      </c>
      <c r="CB4" s="820" t="s">
        <v>87</v>
      </c>
      <c r="CC4" s="820" t="s">
        <v>20</v>
      </c>
      <c r="CD4" s="820" t="s">
        <v>99</v>
      </c>
      <c r="CE4" s="820" t="s">
        <v>103</v>
      </c>
      <c r="CF4" s="813" t="s">
        <v>415</v>
      </c>
      <c r="CG4" s="813" t="s">
        <v>507</v>
      </c>
      <c r="CH4" s="820" t="s">
        <v>51</v>
      </c>
      <c r="CI4" s="820" t="s">
        <v>87</v>
      </c>
      <c r="CJ4" s="820" t="s">
        <v>20</v>
      </c>
      <c r="CK4" s="820" t="s">
        <v>99</v>
      </c>
      <c r="CL4" s="820" t="s">
        <v>103</v>
      </c>
      <c r="CM4" s="813" t="s">
        <v>415</v>
      </c>
      <c r="CN4" s="813" t="s">
        <v>507</v>
      </c>
      <c r="CO4" s="820" t="s">
        <v>51</v>
      </c>
      <c r="CP4" s="820" t="s">
        <v>87</v>
      </c>
      <c r="CQ4" s="820" t="s">
        <v>20</v>
      </c>
      <c r="CR4" s="820" t="s">
        <v>99</v>
      </c>
      <c r="CS4" s="820" t="s">
        <v>103</v>
      </c>
      <c r="CT4" s="813" t="s">
        <v>415</v>
      </c>
      <c r="CU4" s="813" t="s">
        <v>507</v>
      </c>
      <c r="CV4" s="820" t="s">
        <v>51</v>
      </c>
      <c r="CW4" s="820" t="s">
        <v>87</v>
      </c>
      <c r="CX4" s="820" t="s">
        <v>20</v>
      </c>
      <c r="CY4" s="820" t="s">
        <v>99</v>
      </c>
      <c r="CZ4" s="820" t="s">
        <v>103</v>
      </c>
      <c r="DA4" s="813" t="s">
        <v>415</v>
      </c>
      <c r="DB4" s="813" t="s">
        <v>507</v>
      </c>
      <c r="DC4" s="820" t="s">
        <v>51</v>
      </c>
      <c r="DD4" s="820" t="s">
        <v>87</v>
      </c>
      <c r="DE4" s="820" t="s">
        <v>20</v>
      </c>
      <c r="DF4" s="820" t="s">
        <v>99</v>
      </c>
      <c r="DG4" s="820" t="s">
        <v>103</v>
      </c>
      <c r="DH4" s="813" t="s">
        <v>415</v>
      </c>
      <c r="DI4" s="813" t="s">
        <v>507</v>
      </c>
      <c r="DJ4" s="820" t="s">
        <v>51</v>
      </c>
      <c r="DK4" s="820" t="s">
        <v>87</v>
      </c>
      <c r="DL4" s="820" t="s">
        <v>20</v>
      </c>
      <c r="DM4" s="820" t="s">
        <v>99</v>
      </c>
      <c r="DN4" s="820" t="s">
        <v>103</v>
      </c>
      <c r="DO4" s="813" t="s">
        <v>415</v>
      </c>
      <c r="DP4" s="813" t="s">
        <v>507</v>
      </c>
      <c r="DQ4" s="820" t="s">
        <v>20</v>
      </c>
      <c r="DR4" s="820" t="s">
        <v>99</v>
      </c>
      <c r="DS4" s="820" t="s">
        <v>103</v>
      </c>
      <c r="DT4" s="813" t="s">
        <v>415</v>
      </c>
      <c r="DU4" s="813" t="s">
        <v>507</v>
      </c>
      <c r="DV4" s="820" t="s">
        <v>51</v>
      </c>
      <c r="DW4" s="820" t="s">
        <v>87</v>
      </c>
      <c r="DX4" s="820" t="s">
        <v>20</v>
      </c>
      <c r="DY4" s="820" t="s">
        <v>99</v>
      </c>
      <c r="DZ4" s="820" t="s">
        <v>103</v>
      </c>
      <c r="EA4" s="813" t="s">
        <v>415</v>
      </c>
      <c r="EB4" s="813" t="s">
        <v>507</v>
      </c>
      <c r="EC4" s="820" t="s">
        <v>51</v>
      </c>
      <c r="ED4" s="820" t="s">
        <v>87</v>
      </c>
      <c r="EE4" s="820" t="s">
        <v>20</v>
      </c>
      <c r="EF4" s="820" t="s">
        <v>99</v>
      </c>
      <c r="EG4" s="820" t="s">
        <v>103</v>
      </c>
      <c r="EH4" s="813" t="s">
        <v>415</v>
      </c>
      <c r="EI4" s="813" t="s">
        <v>507</v>
      </c>
      <c r="EJ4" s="820" t="s">
        <v>51</v>
      </c>
      <c r="EK4" s="820" t="s">
        <v>87</v>
      </c>
      <c r="EL4" s="820" t="s">
        <v>20</v>
      </c>
      <c r="EM4" s="820" t="s">
        <v>99</v>
      </c>
      <c r="EN4" s="820" t="s">
        <v>103</v>
      </c>
      <c r="EO4" s="813" t="s">
        <v>415</v>
      </c>
      <c r="EP4" s="813" t="s">
        <v>507</v>
      </c>
      <c r="EQ4" s="820" t="s">
        <v>51</v>
      </c>
      <c r="ER4" s="820" t="s">
        <v>87</v>
      </c>
      <c r="ES4" s="820" t="s">
        <v>20</v>
      </c>
      <c r="ET4" s="820" t="s">
        <v>99</v>
      </c>
      <c r="EU4" s="820" t="s">
        <v>103</v>
      </c>
      <c r="EV4" s="813" t="s">
        <v>415</v>
      </c>
      <c r="EW4" s="813" t="s">
        <v>507</v>
      </c>
      <c r="EX4" s="820" t="s">
        <v>51</v>
      </c>
      <c r="EY4" s="820" t="s">
        <v>87</v>
      </c>
      <c r="EZ4" s="820" t="s">
        <v>20</v>
      </c>
      <c r="FA4" s="820" t="s">
        <v>99</v>
      </c>
      <c r="FB4" s="820" t="s">
        <v>103</v>
      </c>
      <c r="FC4" s="814" t="s">
        <v>415</v>
      </c>
      <c r="FD4" s="814" t="s">
        <v>507</v>
      </c>
      <c r="FE4" s="820" t="s">
        <v>51</v>
      </c>
      <c r="FF4" s="820" t="s">
        <v>87</v>
      </c>
      <c r="FG4" s="820" t="s">
        <v>20</v>
      </c>
      <c r="FH4" s="820" t="s">
        <v>99</v>
      </c>
      <c r="FI4" s="820" t="s">
        <v>103</v>
      </c>
      <c r="FJ4" s="813" t="s">
        <v>415</v>
      </c>
      <c r="FK4" s="813" t="s">
        <v>507</v>
      </c>
      <c r="FL4" s="820" t="s">
        <v>51</v>
      </c>
      <c r="FM4" s="820" t="s">
        <v>87</v>
      </c>
      <c r="FN4" s="820" t="s">
        <v>20</v>
      </c>
      <c r="FO4" s="820" t="s">
        <v>99</v>
      </c>
      <c r="FP4" s="820" t="s">
        <v>103</v>
      </c>
      <c r="FQ4" s="813" t="s">
        <v>415</v>
      </c>
      <c r="FR4" s="813" t="s">
        <v>507</v>
      </c>
      <c r="FS4" s="820" t="s">
        <v>51</v>
      </c>
      <c r="FT4" s="820" t="s">
        <v>87</v>
      </c>
      <c r="FU4" s="820" t="s">
        <v>20</v>
      </c>
      <c r="FV4" s="820" t="s">
        <v>99</v>
      </c>
      <c r="FW4" s="820" t="s">
        <v>103</v>
      </c>
      <c r="FX4" s="813" t="s">
        <v>415</v>
      </c>
      <c r="FY4" s="813" t="s">
        <v>507</v>
      </c>
      <c r="FZ4" s="813" t="s">
        <v>51</v>
      </c>
      <c r="GA4" s="813" t="s">
        <v>87</v>
      </c>
      <c r="GB4" s="813" t="s">
        <v>20</v>
      </c>
      <c r="GC4" s="813" t="s">
        <v>99</v>
      </c>
      <c r="GD4" s="813" t="s">
        <v>103</v>
      </c>
      <c r="GE4" s="813" t="s">
        <v>415</v>
      </c>
      <c r="GF4" s="813" t="s">
        <v>507</v>
      </c>
      <c r="GG4" s="813" t="s">
        <v>51</v>
      </c>
      <c r="GH4" s="813" t="s">
        <v>87</v>
      </c>
      <c r="GI4" s="813" t="s">
        <v>20</v>
      </c>
      <c r="GJ4" s="813" t="s">
        <v>99</v>
      </c>
      <c r="GK4" s="813" t="s">
        <v>103</v>
      </c>
      <c r="GL4" s="813" t="s">
        <v>415</v>
      </c>
      <c r="GM4" s="813" t="s">
        <v>507</v>
      </c>
      <c r="GN4" s="813" t="s">
        <v>51</v>
      </c>
      <c r="GO4" s="813" t="s">
        <v>87</v>
      </c>
      <c r="GP4" s="813" t="s">
        <v>20</v>
      </c>
      <c r="GQ4" s="813" t="s">
        <v>99</v>
      </c>
      <c r="GR4" s="813" t="s">
        <v>103</v>
      </c>
      <c r="GS4" s="813" t="s">
        <v>415</v>
      </c>
      <c r="GT4" s="813" t="s">
        <v>507</v>
      </c>
      <c r="GU4" s="819" t="s">
        <v>87</v>
      </c>
      <c r="GV4" s="819" t="s">
        <v>20</v>
      </c>
      <c r="GW4" s="819" t="s">
        <v>99</v>
      </c>
      <c r="GX4" s="819" t="s">
        <v>103</v>
      </c>
      <c r="GY4" s="813" t="s">
        <v>415</v>
      </c>
      <c r="GZ4" s="813" t="s">
        <v>507</v>
      </c>
      <c r="HA4" s="819" t="s">
        <v>51</v>
      </c>
      <c r="HB4" s="819" t="s">
        <v>87</v>
      </c>
      <c r="HC4" s="819" t="s">
        <v>20</v>
      </c>
      <c r="HD4" s="819" t="s">
        <v>99</v>
      </c>
      <c r="HE4" s="819" t="s">
        <v>103</v>
      </c>
      <c r="HF4" s="813" t="s">
        <v>415</v>
      </c>
      <c r="HG4" s="813" t="s">
        <v>507</v>
      </c>
      <c r="HH4" s="819" t="s">
        <v>51</v>
      </c>
      <c r="HI4" s="819" t="s">
        <v>87</v>
      </c>
      <c r="HJ4" s="819" t="s">
        <v>20</v>
      </c>
      <c r="HK4" s="819" t="s">
        <v>99</v>
      </c>
      <c r="HL4" s="819" t="s">
        <v>103</v>
      </c>
      <c r="HM4" s="819" t="s">
        <v>51</v>
      </c>
      <c r="HN4" s="819" t="s">
        <v>87</v>
      </c>
      <c r="HO4" s="819" t="s">
        <v>20</v>
      </c>
      <c r="HP4" s="819" t="s">
        <v>99</v>
      </c>
      <c r="HQ4" s="819" t="s">
        <v>103</v>
      </c>
      <c r="HR4" s="813" t="s">
        <v>415</v>
      </c>
      <c r="HS4" s="813" t="s">
        <v>507</v>
      </c>
      <c r="HT4" s="819" t="s">
        <v>51</v>
      </c>
      <c r="HU4" s="819" t="s">
        <v>87</v>
      </c>
      <c r="HV4" s="819" t="s">
        <v>20</v>
      </c>
      <c r="HW4" s="819" t="s">
        <v>99</v>
      </c>
      <c r="HX4" s="819" t="s">
        <v>103</v>
      </c>
      <c r="HY4" s="813" t="s">
        <v>415</v>
      </c>
      <c r="HZ4" s="814" t="s">
        <v>507</v>
      </c>
      <c r="IA4" s="819" t="s">
        <v>99</v>
      </c>
      <c r="IB4" s="819" t="s">
        <v>103</v>
      </c>
      <c r="IC4" s="813" t="s">
        <v>415</v>
      </c>
      <c r="ID4" s="814" t="s">
        <v>507</v>
      </c>
      <c r="IE4" s="819" t="s">
        <v>51</v>
      </c>
      <c r="IF4" s="819" t="s">
        <v>87</v>
      </c>
      <c r="IG4" s="819" t="s">
        <v>20</v>
      </c>
      <c r="IH4" s="819" t="s">
        <v>99</v>
      </c>
      <c r="II4" s="819" t="s">
        <v>103</v>
      </c>
      <c r="IJ4" s="813" t="s">
        <v>415</v>
      </c>
      <c r="IK4" s="814" t="s">
        <v>507</v>
      </c>
      <c r="IL4" s="819" t="s">
        <v>51</v>
      </c>
      <c r="IM4" s="819" t="s">
        <v>87</v>
      </c>
      <c r="IN4" s="819" t="s">
        <v>20</v>
      </c>
      <c r="IO4" s="819" t="s">
        <v>99</v>
      </c>
      <c r="IP4" s="819" t="s">
        <v>103</v>
      </c>
      <c r="IQ4" s="819" t="s">
        <v>415</v>
      </c>
      <c r="IR4" s="819" t="s">
        <v>507</v>
      </c>
    </row>
    <row r="5" spans="1:253" ht="12.75" x14ac:dyDescent="0.2">
      <c r="A5" s="821" t="s">
        <v>253</v>
      </c>
      <c r="B5" s="823">
        <v>-712.46439999999996</v>
      </c>
      <c r="C5" s="823">
        <v>-362.77909999999997</v>
      </c>
      <c r="D5" s="823">
        <v>-2831.9261457956227</v>
      </c>
      <c r="E5" s="823">
        <v>-1832.5599999999997</v>
      </c>
      <c r="F5" s="823">
        <v>-2787.4132</v>
      </c>
      <c r="G5" s="823">
        <v>161.69</v>
      </c>
      <c r="H5" s="823">
        <v>-1620.45</v>
      </c>
      <c r="I5" s="823">
        <v>-435.07655915999999</v>
      </c>
      <c r="J5" s="823">
        <v>-556.95202461103599</v>
      </c>
      <c r="K5" s="823">
        <v>1003.3825528667001</v>
      </c>
      <c r="L5" s="823">
        <v>-1461.3437811421982</v>
      </c>
      <c r="M5" s="823">
        <v>412.95699407588177</v>
      </c>
      <c r="N5" s="823">
        <v>698.89929543384699</v>
      </c>
      <c r="O5" s="823">
        <v>-1471.2465374264796</v>
      </c>
      <c r="P5" s="823">
        <v>-511.87656829999997</v>
      </c>
      <c r="Q5" s="823">
        <v>-2400.1373883000001</v>
      </c>
      <c r="R5" s="823">
        <v>1147.6477999999991</v>
      </c>
      <c r="S5" s="823">
        <v>-1217.4039969</v>
      </c>
      <c r="T5" s="823">
        <v>-1382.7519000000002</v>
      </c>
      <c r="U5" s="823">
        <v>-1232.83</v>
      </c>
      <c r="V5" s="823">
        <v>-3025.2533848000003</v>
      </c>
      <c r="W5" s="823">
        <v>-518.75409999999999</v>
      </c>
      <c r="X5" s="823">
        <v>-2335.0784999999996</v>
      </c>
      <c r="Y5" s="823">
        <v>542.55089999999927</v>
      </c>
      <c r="Z5" s="823">
        <v>-2137.3824036000001</v>
      </c>
      <c r="AA5" s="823">
        <v>-1602.9699999999998</v>
      </c>
      <c r="AB5" s="823">
        <v>-1053.300000000002</v>
      </c>
      <c r="AC5" s="823">
        <v>-1677.89</v>
      </c>
      <c r="AD5" s="823">
        <v>-2178.1716274599999</v>
      </c>
      <c r="AE5" s="823">
        <v>-5654.9470129110359</v>
      </c>
      <c r="AF5" s="823">
        <v>-138.34489292892431</v>
      </c>
      <c r="AG5" s="823">
        <v>-6648.6901816421978</v>
      </c>
      <c r="AH5" s="823">
        <v>-5360.1781059241184</v>
      </c>
      <c r="AI5" s="823">
        <v>-1425.540704566155</v>
      </c>
      <c r="AJ5" s="823">
        <v>-7794.8399222264807</v>
      </c>
      <c r="AK5" s="823">
        <v>-14.335899999999999</v>
      </c>
      <c r="AL5" s="823">
        <v>-140.64827314600001</v>
      </c>
      <c r="AM5" s="823">
        <v>-198.009505679</v>
      </c>
      <c r="AN5" s="823">
        <v>-145.3167516000002</v>
      </c>
      <c r="AO5" s="823">
        <v>-393.01239999999973</v>
      </c>
      <c r="AP5" s="823">
        <v>569.66949109999996</v>
      </c>
      <c r="AQ5" s="823">
        <v>814.47700699999996</v>
      </c>
      <c r="AR5" s="823">
        <v>1187.3049999999998</v>
      </c>
      <c r="AS5" s="823">
        <v>967.68446240000003</v>
      </c>
      <c r="AT5" s="823">
        <v>1243.0904657999981</v>
      </c>
      <c r="AU5" s="823">
        <v>1478.8761960999968</v>
      </c>
      <c r="AV5" s="823">
        <v>1435.715780499999</v>
      </c>
      <c r="AW5" s="823">
        <v>-201.96737659999999</v>
      </c>
      <c r="AX5" s="823">
        <v>-26.18583310253781</v>
      </c>
      <c r="AY5" s="823">
        <v>7.0326308791851497</v>
      </c>
      <c r="AZ5" s="823">
        <v>131.86139301316672</v>
      </c>
      <c r="BA5" s="823">
        <v>104.8403997834413</v>
      </c>
      <c r="BB5" s="823">
        <v>426.25581501792135</v>
      </c>
      <c r="BC5" s="823">
        <v>175.1582463</v>
      </c>
      <c r="BD5" s="823">
        <v>236.6709319</v>
      </c>
      <c r="BE5" s="823">
        <v>310.27628340000001</v>
      </c>
      <c r="BF5" s="823">
        <v>258.1100610000002</v>
      </c>
      <c r="BG5" s="823">
        <v>539.02202130000012</v>
      </c>
      <c r="BH5" s="823">
        <v>580.43980000009469</v>
      </c>
      <c r="BI5" s="823">
        <v>594.80164548407629</v>
      </c>
      <c r="BJ5" s="823">
        <v>-18.235499999999998</v>
      </c>
      <c r="BK5" s="823">
        <v>-64.313747706654397</v>
      </c>
      <c r="BL5" s="823">
        <v>-97.718098499999996</v>
      </c>
      <c r="BM5" s="823">
        <v>-102.2543067</v>
      </c>
      <c r="BN5" s="823">
        <v>-113.90500040000001</v>
      </c>
      <c r="BO5" s="823">
        <v>-61.875915499999998</v>
      </c>
      <c r="BP5" s="823">
        <v>17.782202699999999</v>
      </c>
      <c r="BQ5" s="823">
        <v>36.098161599999997</v>
      </c>
      <c r="BR5" s="823">
        <v>65.104250100000002</v>
      </c>
      <c r="BS5" s="823">
        <v>319.82</v>
      </c>
      <c r="BT5" s="823">
        <v>296.329725</v>
      </c>
      <c r="BU5" s="823">
        <v>230.54365010000001</v>
      </c>
      <c r="BV5" s="823">
        <v>-83.307000000000002</v>
      </c>
      <c r="BW5" s="823">
        <v>-299.98296919999996</v>
      </c>
      <c r="BX5" s="823">
        <v>-226.947</v>
      </c>
      <c r="BY5" s="823">
        <v>-185.48715759599898</v>
      </c>
      <c r="BZ5" s="823">
        <v>-375.15287669999998</v>
      </c>
      <c r="CA5" s="823">
        <v>-114.0819</v>
      </c>
      <c r="CB5" s="823">
        <v>81.9392</v>
      </c>
      <c r="CC5" s="823">
        <v>471.14179999999999</v>
      </c>
      <c r="CD5" s="823">
        <v>493.90570000000002</v>
      </c>
      <c r="CE5" s="823">
        <v>553.61180000000002</v>
      </c>
      <c r="CF5" s="823">
        <v>730.86999999999989</v>
      </c>
      <c r="CG5" s="823">
        <v>474.30011349349343</v>
      </c>
      <c r="CH5" s="823">
        <v>480.21890489999998</v>
      </c>
      <c r="CI5" s="823">
        <v>707.2555615</v>
      </c>
      <c r="CJ5" s="823">
        <v>923.7091772</v>
      </c>
      <c r="CK5" s="823">
        <v>1231.4174125</v>
      </c>
      <c r="CL5" s="823">
        <v>1544.0900000000001</v>
      </c>
      <c r="CM5" s="823">
        <v>1955.4449271000001</v>
      </c>
      <c r="CN5" s="823">
        <v>1793.97</v>
      </c>
      <c r="CO5" s="823">
        <v>170.5790667</v>
      </c>
      <c r="CP5" s="823">
        <v>455.11272719999999</v>
      </c>
      <c r="CQ5" s="823">
        <v>124.965065</v>
      </c>
      <c r="CR5" s="823">
        <v>139.8815195</v>
      </c>
      <c r="CS5" s="823">
        <v>154.57470000000001</v>
      </c>
      <c r="CT5" s="823">
        <v>343.46471769999999</v>
      </c>
      <c r="CU5" s="823">
        <v>-199.18267490000002</v>
      </c>
      <c r="CV5" s="823">
        <v>-16.054456399999999</v>
      </c>
      <c r="CW5" s="823">
        <v>-44.031071300000001</v>
      </c>
      <c r="CX5" s="823">
        <v>-39.270850699999997</v>
      </c>
      <c r="CY5" s="823">
        <v>-41.837177235057396</v>
      </c>
      <c r="CZ5" s="823">
        <v>-38.105436900000001</v>
      </c>
      <c r="DA5" s="823">
        <v>-11.5035182</v>
      </c>
      <c r="DB5" s="823">
        <v>-59.435666699646305</v>
      </c>
      <c r="DC5" s="823">
        <v>-189.01686437972501</v>
      </c>
      <c r="DD5" s="823">
        <v>-210.36246425499101</v>
      </c>
      <c r="DE5" s="823">
        <v>-165.57857495612524</v>
      </c>
      <c r="DF5" s="823">
        <v>-86.023840261708699</v>
      </c>
      <c r="DG5" s="823">
        <v>-33.059157345194663</v>
      </c>
      <c r="DH5" s="823">
        <v>157.99906476498057</v>
      </c>
      <c r="DI5" s="823">
        <v>116.97879024869971</v>
      </c>
      <c r="DJ5" s="823">
        <v>-24.600604251</v>
      </c>
      <c r="DK5" s="823">
        <v>-10.8409575</v>
      </c>
      <c r="DL5" s="823">
        <v>-11.316240699999998</v>
      </c>
      <c r="DM5" s="823">
        <v>-8.7536065234027305</v>
      </c>
      <c r="DN5" s="823">
        <v>7.7880420602631268</v>
      </c>
      <c r="DO5" s="823">
        <v>29.367963063058667</v>
      </c>
      <c r="DP5" s="823">
        <v>32.413541838000008</v>
      </c>
      <c r="DQ5" s="823">
        <v>-21.424806001</v>
      </c>
      <c r="DR5" s="823">
        <v>-31.761881041999999</v>
      </c>
      <c r="DS5" s="823">
        <v>-48.192008514000008</v>
      </c>
      <c r="DT5" s="823">
        <v>-136.68384873799999</v>
      </c>
      <c r="DU5" s="823">
        <v>-77.430000000000007</v>
      </c>
      <c r="DV5" s="823">
        <v>-2.1702210000000002</v>
      </c>
      <c r="DW5" s="823">
        <v>-3.6102384999999999</v>
      </c>
      <c r="DX5" s="823">
        <v>-5.2473147000000004</v>
      </c>
      <c r="DY5" s="823">
        <v>-13.9253439</v>
      </c>
      <c r="DZ5" s="823">
        <v>-10.7928926</v>
      </c>
      <c r="EA5" s="823">
        <v>-51.363258000000002</v>
      </c>
      <c r="EB5" s="823">
        <v>-44.684110099999998</v>
      </c>
      <c r="EC5" s="823">
        <v>0.182455900000002</v>
      </c>
      <c r="ED5" s="823">
        <v>51.440668093999903</v>
      </c>
      <c r="EE5" s="823">
        <v>121.9363</v>
      </c>
      <c r="EF5" s="823">
        <v>161.919999672443</v>
      </c>
      <c r="EG5" s="823">
        <v>431.06046476228209</v>
      </c>
      <c r="EH5" s="823">
        <v>495.64961050415991</v>
      </c>
      <c r="EI5" s="823">
        <v>691.51738831020714</v>
      </c>
      <c r="EJ5" s="823">
        <v>-9.8993952000000007</v>
      </c>
      <c r="EK5" s="823">
        <v>8.6586599999999994</v>
      </c>
      <c r="EL5" s="823">
        <v>68.414246200000008</v>
      </c>
      <c r="EM5" s="823">
        <v>118.50996909999999</v>
      </c>
      <c r="EN5" s="823">
        <v>65.239672799999994</v>
      </c>
      <c r="EO5" s="823">
        <v>165.8215998</v>
      </c>
      <c r="EP5" s="823">
        <v>65.264934800000006</v>
      </c>
      <c r="EQ5" s="823">
        <v>-186.99085625454401</v>
      </c>
      <c r="ER5" s="823">
        <v>110.11858858014401</v>
      </c>
      <c r="ES5" s="823">
        <v>377.28816491957434</v>
      </c>
      <c r="ET5" s="823">
        <v>362.02105035514205</v>
      </c>
      <c r="EU5" s="823">
        <v>474.9273982411205</v>
      </c>
      <c r="EV5" s="823">
        <v>514.10400000000004</v>
      </c>
      <c r="EW5" s="823">
        <v>-74.753300000000024</v>
      </c>
      <c r="EX5" s="823">
        <v>267.1919565</v>
      </c>
      <c r="EY5" s="823">
        <v>261.16053690000001</v>
      </c>
      <c r="EZ5" s="823">
        <v>500.99122240000003</v>
      </c>
      <c r="FA5" s="823">
        <v>954.43537960000003</v>
      </c>
      <c r="FB5" s="823">
        <v>907.9951865999999</v>
      </c>
      <c r="FC5" s="823">
        <v>642.61356670000009</v>
      </c>
      <c r="FD5" s="823">
        <v>715.37000000000012</v>
      </c>
      <c r="FE5" s="823">
        <v>-58.285258499999998</v>
      </c>
      <c r="FF5" s="823">
        <v>34.568065599999997</v>
      </c>
      <c r="FG5" s="823">
        <v>111.27086689999999</v>
      </c>
      <c r="FH5" s="823">
        <v>32.850659399999984</v>
      </c>
      <c r="FI5" s="823">
        <v>315.57710959999997</v>
      </c>
      <c r="FJ5" s="823">
        <v>422.94031519999999</v>
      </c>
      <c r="FK5" s="823">
        <v>456.55865653984904</v>
      </c>
      <c r="FL5" s="823">
        <v>18.1797869</v>
      </c>
      <c r="FM5" s="823">
        <v>53.426317300000001</v>
      </c>
      <c r="FN5" s="823">
        <v>391.4998703</v>
      </c>
      <c r="FO5" s="823">
        <v>185.97793010000001</v>
      </c>
      <c r="FP5" s="823">
        <v>154.28878399999999</v>
      </c>
      <c r="FQ5" s="823">
        <v>28.021082100000001</v>
      </c>
      <c r="FR5" s="823">
        <v>111.32145490000001</v>
      </c>
      <c r="FS5" s="823">
        <v>816.23706021473072</v>
      </c>
      <c r="FT5" s="823">
        <v>2537.5799021166149</v>
      </c>
      <c r="FU5" s="823">
        <v>4273.2126017416331</v>
      </c>
      <c r="FV5" s="823">
        <v>4416.432947725928</v>
      </c>
      <c r="FW5" s="823">
        <v>6163.101945408911</v>
      </c>
      <c r="FX5" s="823">
        <v>7635.589542216213</v>
      </c>
      <c r="FY5" s="823">
        <v>5381.1999274146792</v>
      </c>
      <c r="FZ5" s="823">
        <v>300.16204157210399</v>
      </c>
      <c r="GA5" s="823">
        <v>298.510286716</v>
      </c>
      <c r="GB5" s="823">
        <v>703.39754540000104</v>
      </c>
      <c r="GC5" s="823">
        <v>507.336449872</v>
      </c>
      <c r="GD5" s="823">
        <v>123.9015416</v>
      </c>
      <c r="GE5" s="823">
        <v>825.45144419999997</v>
      </c>
      <c r="GF5" s="823">
        <v>712.68013757690198</v>
      </c>
      <c r="GG5" s="823">
        <v>106.72551009999999</v>
      </c>
      <c r="GH5" s="823">
        <v>138.0989141</v>
      </c>
      <c r="GI5" s="823">
        <v>-130.050286</v>
      </c>
      <c r="GJ5" s="823">
        <v>-42.766330400000001</v>
      </c>
      <c r="GK5" s="823">
        <v>86.910770200000002</v>
      </c>
      <c r="GL5" s="823">
        <v>159.09714120000001</v>
      </c>
      <c r="GM5" s="823">
        <v>684.88072</v>
      </c>
      <c r="GN5" s="823">
        <v>406.887551672104</v>
      </c>
      <c r="GO5" s="823">
        <v>436.609200816</v>
      </c>
      <c r="GP5" s="823">
        <v>573.34725940000101</v>
      </c>
      <c r="GQ5" s="823">
        <v>464.57011947199999</v>
      </c>
      <c r="GR5" s="823">
        <v>210.8123118</v>
      </c>
      <c r="GS5" s="823">
        <v>984.54858539999998</v>
      </c>
      <c r="GT5" s="823">
        <v>1397.560857576902</v>
      </c>
      <c r="GU5" s="823">
        <v>-87.729187130550002</v>
      </c>
      <c r="GV5" s="823">
        <v>-195.30349774003801</v>
      </c>
      <c r="GW5" s="823">
        <v>-256.34002640830897</v>
      </c>
      <c r="GX5" s="823">
        <v>-248.25</v>
      </c>
      <c r="GY5" s="823">
        <v>-211.296345664</v>
      </c>
      <c r="GZ5" s="823">
        <v>-332.45102980000001</v>
      </c>
      <c r="HA5" s="823">
        <v>-84.752600562553397</v>
      </c>
      <c r="HB5" s="823">
        <v>-5.2501020184632798</v>
      </c>
      <c r="HC5" s="823">
        <v>-28.5467251599833</v>
      </c>
      <c r="HD5" s="823">
        <v>241.18412573575301</v>
      </c>
      <c r="HE5" s="823">
        <v>256.20529629999999</v>
      </c>
      <c r="HF5" s="823">
        <v>262.74387769999998</v>
      </c>
      <c r="HG5" s="823">
        <v>282.95786850000002</v>
      </c>
      <c r="HH5" s="823">
        <v>-17.271679200000001</v>
      </c>
      <c r="HI5" s="823">
        <v>187.3040202</v>
      </c>
      <c r="HJ5" s="823">
        <v>64.971029799999997</v>
      </c>
      <c r="HK5" s="823">
        <v>112.57050169999999</v>
      </c>
      <c r="HL5" s="823">
        <v>-1.2657803999999999</v>
      </c>
      <c r="HM5" s="823">
        <v>-174.21467790495799</v>
      </c>
      <c r="HN5" s="823">
        <v>-137.08573754486</v>
      </c>
      <c r="HO5" s="823">
        <v>-107.739869726203</v>
      </c>
      <c r="HP5" s="823">
        <v>-169.05447649800001</v>
      </c>
      <c r="HQ5" s="823">
        <v>23.63</v>
      </c>
      <c r="HR5" s="823">
        <v>5.1965831065246997</v>
      </c>
      <c r="HS5" s="823">
        <v>-89.497208506996799</v>
      </c>
      <c r="HT5" s="823">
        <v>-81.468678838000002</v>
      </c>
      <c r="HU5" s="823">
        <v>85.072799662000094</v>
      </c>
      <c r="HV5" s="823">
        <v>110.165419579</v>
      </c>
      <c r="HW5" s="823">
        <v>85.725348108000006</v>
      </c>
      <c r="HX5" s="823">
        <v>117.157754762</v>
      </c>
      <c r="HY5" s="823">
        <v>124.957258504</v>
      </c>
      <c r="HZ5" s="823">
        <v>45.083130840999999</v>
      </c>
      <c r="IA5" s="823">
        <v>-55.804043700000001</v>
      </c>
      <c r="IB5" s="823">
        <v>2.1373000000000002</v>
      </c>
      <c r="IC5" s="823">
        <v>0.96489999999999998</v>
      </c>
      <c r="ID5" s="823">
        <v>-0.35</v>
      </c>
      <c r="IE5" s="823">
        <v>248.52798836700001</v>
      </c>
      <c r="IF5" s="823">
        <v>86.081331354</v>
      </c>
      <c r="IG5" s="823">
        <v>138.40756402500028</v>
      </c>
      <c r="IH5" s="823">
        <v>229.50950768800001</v>
      </c>
      <c r="II5" s="823">
        <v>330.3</v>
      </c>
      <c r="IJ5" s="823">
        <v>-1481.1105892999999</v>
      </c>
      <c r="IK5" s="823">
        <v>-1581.970148809</v>
      </c>
      <c r="IL5" s="823">
        <v>-109.17964813851134</v>
      </c>
      <c r="IM5" s="823">
        <v>128.39312452212681</v>
      </c>
      <c r="IN5" s="823">
        <v>-18.046079222224051</v>
      </c>
      <c r="IO5" s="823">
        <v>187.79093662544403</v>
      </c>
      <c r="IP5" s="823">
        <v>479.91457066199996</v>
      </c>
      <c r="IQ5" s="823">
        <v>-1298.5443156534752</v>
      </c>
      <c r="IR5" s="823">
        <v>-1675.8773877749968</v>
      </c>
    </row>
    <row r="6" spans="1:253" ht="12.75" x14ac:dyDescent="0.2">
      <c r="A6" s="824" t="s">
        <v>254</v>
      </c>
      <c r="B6" s="826">
        <v>72.062299999999993</v>
      </c>
      <c r="C6" s="826">
        <v>376.2278</v>
      </c>
      <c r="D6" s="826">
        <v>-190.44560034853575</v>
      </c>
      <c r="E6" s="826">
        <v>335.96000000000004</v>
      </c>
      <c r="F6" s="826">
        <v>-15.111700000000001</v>
      </c>
      <c r="G6" s="826">
        <v>75.400000000000006</v>
      </c>
      <c r="H6" s="826">
        <v>-39.96</v>
      </c>
      <c r="I6" s="826">
        <v>9.6891381139996504</v>
      </c>
      <c r="J6" s="826">
        <v>-346.60822010004398</v>
      </c>
      <c r="K6" s="826">
        <v>429.36558490467303</v>
      </c>
      <c r="L6" s="826">
        <v>-585.09474640439305</v>
      </c>
      <c r="M6" s="826">
        <v>341.70644532075301</v>
      </c>
      <c r="N6" s="826">
        <v>192.89480990000001</v>
      </c>
      <c r="O6" s="826">
        <v>509.599893719139</v>
      </c>
      <c r="P6" s="826">
        <v>-136.54011019999999</v>
      </c>
      <c r="Q6" s="826">
        <v>-111.85211510000001</v>
      </c>
      <c r="R6" s="826">
        <v>10.502899999999954</v>
      </c>
      <c r="S6" s="826">
        <v>-185.4818358</v>
      </c>
      <c r="T6" s="826">
        <v>0.2409</v>
      </c>
      <c r="U6" s="826">
        <v>43.15</v>
      </c>
      <c r="V6" s="826">
        <v>-16.478908100000002</v>
      </c>
      <c r="W6" s="826">
        <v>-47.234099999999998</v>
      </c>
      <c r="X6" s="826">
        <v>-149.45249999999999</v>
      </c>
      <c r="Y6" s="826">
        <v>54.550799999999754</v>
      </c>
      <c r="Z6" s="826">
        <v>20.3640273</v>
      </c>
      <c r="AA6" s="826">
        <v>-390.73</v>
      </c>
      <c r="AB6" s="826">
        <v>79.970000000000297</v>
      </c>
      <c r="AC6" s="826">
        <v>93.319999999999936</v>
      </c>
      <c r="AD6" s="826">
        <v>-102.02277208600034</v>
      </c>
      <c r="AE6" s="826">
        <v>-231.68503520004396</v>
      </c>
      <c r="AF6" s="826">
        <v>303.97368455613696</v>
      </c>
      <c r="AG6" s="826">
        <v>-414.25255490439304</v>
      </c>
      <c r="AH6" s="826">
        <v>-63.894354679246987</v>
      </c>
      <c r="AI6" s="826">
        <v>391.41480990000031</v>
      </c>
      <c r="AJ6" s="826">
        <v>546.48098561913889</v>
      </c>
      <c r="AK6" s="826">
        <v>0</v>
      </c>
      <c r="AL6" s="826">
        <v>0</v>
      </c>
      <c r="AM6" s="826">
        <v>0</v>
      </c>
      <c r="AN6" s="826">
        <v>-8.9527536672133392E-3</v>
      </c>
      <c r="AO6" s="826">
        <v>-1.28478796247845E-2</v>
      </c>
      <c r="AP6" s="826">
        <v>87.573877600000003</v>
      </c>
      <c r="AQ6" s="826">
        <v>117.2100255</v>
      </c>
      <c r="AR6" s="826">
        <v>68.736500000000007</v>
      </c>
      <c r="AS6" s="826">
        <v>45.662658100000002</v>
      </c>
      <c r="AT6" s="826">
        <v>33.6863335898949</v>
      </c>
      <c r="AU6" s="826">
        <v>44.130405670755003</v>
      </c>
      <c r="AV6" s="826">
        <v>93.617214789558602</v>
      </c>
      <c r="AW6" s="826">
        <v>-16.377997000000001</v>
      </c>
      <c r="AX6" s="826">
        <v>-9.3166992277751195</v>
      </c>
      <c r="AY6" s="826">
        <v>3.4518426029351201</v>
      </c>
      <c r="AZ6" s="826">
        <v>6.0649075686134699</v>
      </c>
      <c r="BA6" s="826">
        <v>11.804415537316199</v>
      </c>
      <c r="BB6" s="826">
        <v>-7.9057991026328196</v>
      </c>
      <c r="BC6" s="826">
        <v>19.8476</v>
      </c>
      <c r="BD6" s="826">
        <v>27.222999999999999</v>
      </c>
      <c r="BE6" s="826">
        <v>50.600700000000003</v>
      </c>
      <c r="BF6" s="826">
        <v>110.78569999999999</v>
      </c>
      <c r="BG6" s="826">
        <v>71.006478700000002</v>
      </c>
      <c r="BH6" s="826">
        <v>80.277751110511204</v>
      </c>
      <c r="BI6" s="826">
        <v>109.386900531428</v>
      </c>
      <c r="BJ6" s="826">
        <v>0</v>
      </c>
      <c r="BK6" s="826">
        <v>-1.8386117099999999</v>
      </c>
      <c r="BL6" s="826">
        <v>-1.4190356</v>
      </c>
      <c r="BM6" s="826">
        <v>-0.8557169</v>
      </c>
      <c r="BN6" s="826">
        <v>-1.5110996000000001</v>
      </c>
      <c r="BO6" s="826">
        <v>11.6492339</v>
      </c>
      <c r="BP6" s="826">
        <v>9.0779789999999991</v>
      </c>
      <c r="BQ6" s="826">
        <v>14.685218799999999</v>
      </c>
      <c r="BR6" s="826">
        <v>-26.341601099999998</v>
      </c>
      <c r="BS6" s="826">
        <v>9.44</v>
      </c>
      <c r="BT6" s="826">
        <v>36.667304899999998</v>
      </c>
      <c r="BU6" s="826">
        <v>16.612724700000001</v>
      </c>
      <c r="BV6" s="826">
        <v>-0.70269999999999988</v>
      </c>
      <c r="BW6" s="826">
        <v>-4.3311786999999997</v>
      </c>
      <c r="BX6" s="826">
        <v>5.9128999999999996</v>
      </c>
      <c r="BY6" s="826">
        <v>-42.570234999999997</v>
      </c>
      <c r="BZ6" s="826">
        <v>-41.7572428</v>
      </c>
      <c r="CA6" s="826">
        <v>-5.7737999999999996</v>
      </c>
      <c r="CB6" s="826">
        <v>-7.7747999999999999</v>
      </c>
      <c r="CC6" s="826">
        <v>-13.450100000000001</v>
      </c>
      <c r="CD6" s="826">
        <v>33.335999999999999</v>
      </c>
      <c r="CE6" s="826">
        <v>-44.497399999999999</v>
      </c>
      <c r="CF6" s="826">
        <v>-25.47</v>
      </c>
      <c r="CG6" s="826">
        <v>87.272457742706607</v>
      </c>
      <c r="CH6" s="826">
        <v>111.4144</v>
      </c>
      <c r="CI6" s="826">
        <v>99.676835600000004</v>
      </c>
      <c r="CJ6" s="826">
        <v>132.811103</v>
      </c>
      <c r="CK6" s="826">
        <v>56.7110451</v>
      </c>
      <c r="CL6" s="826">
        <v>95.14</v>
      </c>
      <c r="CM6" s="826">
        <v>232.70595660000001</v>
      </c>
      <c r="CN6" s="826">
        <v>408.19000000000005</v>
      </c>
      <c r="CO6" s="826">
        <v>42.033816399999999</v>
      </c>
      <c r="CP6" s="826">
        <v>55.075494499999998</v>
      </c>
      <c r="CQ6" s="826">
        <v>2.8899035</v>
      </c>
      <c r="CR6" s="826">
        <v>33.275618799999997</v>
      </c>
      <c r="CS6" s="826">
        <v>83.179900000000004</v>
      </c>
      <c r="CT6" s="826">
        <v>67.441388099999998</v>
      </c>
      <c r="CU6" s="826">
        <v>96.283342599999997</v>
      </c>
      <c r="CV6" s="826">
        <v>0</v>
      </c>
      <c r="CW6" s="826">
        <v>1.5598599</v>
      </c>
      <c r="CX6" s="826">
        <v>0.39394010000000002</v>
      </c>
      <c r="CY6" s="826">
        <v>-1.387558834</v>
      </c>
      <c r="CZ6" s="826">
        <v>-7.6762677999999998</v>
      </c>
      <c r="DA6" s="826">
        <v>0.64633640000000003</v>
      </c>
      <c r="DB6" s="826">
        <v>5.2061636</v>
      </c>
      <c r="DC6" s="826">
        <v>-7.32915563442777</v>
      </c>
      <c r="DD6" s="826">
        <v>-11.518884165057701</v>
      </c>
      <c r="DE6" s="826">
        <v>-4.9043292809713899</v>
      </c>
      <c r="DF6" s="826">
        <v>-14.462273506100001</v>
      </c>
      <c r="DG6" s="826">
        <v>6.76555760279295</v>
      </c>
      <c r="DH6" s="826">
        <v>7.7671173678383996</v>
      </c>
      <c r="DI6" s="826">
        <v>23.7376503526901</v>
      </c>
      <c r="DJ6" s="826">
        <v>-2.763122686</v>
      </c>
      <c r="DK6" s="826">
        <v>-3.5574767999999999</v>
      </c>
      <c r="DL6" s="826">
        <v>-16.189199899999998</v>
      </c>
      <c r="DM6" s="826">
        <v>-19.873271239420401</v>
      </c>
      <c r="DN6" s="826">
        <v>-27.7222941553824</v>
      </c>
      <c r="DO6" s="826">
        <v>-40.094161045910496</v>
      </c>
      <c r="DP6" s="826">
        <v>-41.310146189999998</v>
      </c>
      <c r="DQ6" s="826">
        <v>-14.517414064</v>
      </c>
      <c r="DR6" s="826">
        <v>9.9272870990000008</v>
      </c>
      <c r="DS6" s="826">
        <v>24.134761821000001</v>
      </c>
      <c r="DT6" s="826">
        <v>-96.796951075999999</v>
      </c>
      <c r="DU6" s="826">
        <v>5.74</v>
      </c>
      <c r="DV6" s="826">
        <v>0.16032679999999999</v>
      </c>
      <c r="DW6" s="826">
        <v>-0.73110750000000002</v>
      </c>
      <c r="DX6" s="826">
        <v>1.8892949999999999</v>
      </c>
      <c r="DY6" s="826">
        <v>0.78793630000000003</v>
      </c>
      <c r="DZ6" s="826">
        <v>0.56117030000000001</v>
      </c>
      <c r="EA6" s="826">
        <v>-2.5871327000000002</v>
      </c>
      <c r="EB6" s="826">
        <v>-4.3136486999999999</v>
      </c>
      <c r="EC6" s="826">
        <v>23.610067900000001</v>
      </c>
      <c r="ED6" s="826">
        <v>4.3543010000000004</v>
      </c>
      <c r="EE6" s="826">
        <v>15.962999999999999</v>
      </c>
      <c r="EF6" s="826">
        <v>21.937026100000001</v>
      </c>
      <c r="EG6" s="826">
        <v>128.69996849385299</v>
      </c>
      <c r="EH6" s="826">
        <v>42.524011643609498</v>
      </c>
      <c r="EI6" s="826">
        <v>192.55690998296001</v>
      </c>
      <c r="EJ6" s="826">
        <v>14.6966304</v>
      </c>
      <c r="EK6" s="826">
        <v>14.447250800000001</v>
      </c>
      <c r="EL6" s="826">
        <v>11.8859493</v>
      </c>
      <c r="EM6" s="826">
        <v>4.7657303000000004</v>
      </c>
      <c r="EN6" s="826">
        <v>12.0490704</v>
      </c>
      <c r="EO6" s="826">
        <v>29.3584231</v>
      </c>
      <c r="EP6" s="826">
        <v>50.9834952</v>
      </c>
      <c r="EQ6" s="826">
        <v>-36.065600000000003</v>
      </c>
      <c r="ER6" s="826">
        <v>174.78714634265401</v>
      </c>
      <c r="ES6" s="826">
        <v>331.11778923029601</v>
      </c>
      <c r="ET6" s="826">
        <v>190.88906161727999</v>
      </c>
      <c r="EU6" s="826">
        <v>313.95778949346101</v>
      </c>
      <c r="EV6" s="826">
        <v>378.73910000000001</v>
      </c>
      <c r="EW6" s="826">
        <v>306.01299999999998</v>
      </c>
      <c r="EX6" s="826">
        <v>7.5545977000000004</v>
      </c>
      <c r="EY6" s="826">
        <v>12.599415499999999</v>
      </c>
      <c r="EZ6" s="826">
        <v>18.5576142</v>
      </c>
      <c r="FA6" s="826">
        <v>11.5727115</v>
      </c>
      <c r="FB6" s="826">
        <v>19.893485399999999</v>
      </c>
      <c r="FC6" s="826">
        <v>16.6074412</v>
      </c>
      <c r="FD6" s="826">
        <v>20.440000000000008</v>
      </c>
      <c r="FE6" s="826">
        <v>18.837249799999999</v>
      </c>
      <c r="FF6" s="826">
        <v>-17.526952900000001</v>
      </c>
      <c r="FG6" s="826">
        <v>-47.711886100000001</v>
      </c>
      <c r="FH6" s="826">
        <v>-91.798288200000002</v>
      </c>
      <c r="FI6" s="826">
        <v>34.073583999999997</v>
      </c>
      <c r="FJ6" s="826">
        <v>-4.7662129000000002</v>
      </c>
      <c r="FK6" s="826">
        <v>26.669405600000001</v>
      </c>
      <c r="FL6" s="826">
        <v>5.2374673999999999</v>
      </c>
      <c r="FM6" s="826">
        <v>32.405414</v>
      </c>
      <c r="FN6" s="826">
        <v>34.164544800000002</v>
      </c>
      <c r="FO6" s="826">
        <v>32.2980874</v>
      </c>
      <c r="FP6" s="826">
        <v>32.095067100000001</v>
      </c>
      <c r="FQ6" s="826">
        <v>27.279988599999999</v>
      </c>
      <c r="FR6" s="826">
        <v>48.048035200000001</v>
      </c>
      <c r="FS6" s="826">
        <v>274.30559257957225</v>
      </c>
      <c r="FT6" s="826">
        <v>497.99080154982119</v>
      </c>
      <c r="FU6" s="826">
        <v>589.67177118825964</v>
      </c>
      <c r="FV6" s="826">
        <v>397.98098659537311</v>
      </c>
      <c r="FW6" s="826">
        <v>801.0854848829357</v>
      </c>
      <c r="FX6" s="826">
        <v>743.09006321450363</v>
      </c>
      <c r="FY6" s="826">
        <v>1401.8523151297184</v>
      </c>
      <c r="FZ6" s="826">
        <v>0</v>
      </c>
      <c r="GA6" s="826">
        <v>0</v>
      </c>
      <c r="GB6" s="826">
        <v>0</v>
      </c>
      <c r="GC6" s="826">
        <v>0</v>
      </c>
      <c r="GD6" s="826">
        <v>0</v>
      </c>
      <c r="GE6" s="826">
        <v>0</v>
      </c>
      <c r="GF6" s="826">
        <v>0</v>
      </c>
      <c r="GG6" s="826">
        <v>0</v>
      </c>
      <c r="GH6" s="826">
        <v>0</v>
      </c>
      <c r="GI6" s="826">
        <v>0</v>
      </c>
      <c r="GJ6" s="826">
        <v>0</v>
      </c>
      <c r="GK6" s="826">
        <v>0</v>
      </c>
      <c r="GL6" s="826">
        <v>0</v>
      </c>
      <c r="GM6" s="826">
        <v>0</v>
      </c>
      <c r="GN6" s="826">
        <v>0</v>
      </c>
      <c r="GO6" s="826">
        <v>0</v>
      </c>
      <c r="GP6" s="826">
        <v>0</v>
      </c>
      <c r="GQ6" s="826">
        <v>0</v>
      </c>
      <c r="GR6" s="826">
        <v>0</v>
      </c>
      <c r="GS6" s="826">
        <v>0</v>
      </c>
      <c r="GT6" s="826"/>
      <c r="GU6" s="826">
        <v>0</v>
      </c>
      <c r="GV6" s="826">
        <v>0</v>
      </c>
      <c r="GW6" s="826">
        <v>0</v>
      </c>
      <c r="GX6" s="826">
        <v>0</v>
      </c>
      <c r="GY6" s="826">
        <v>0</v>
      </c>
      <c r="GZ6" s="826">
        <v>0</v>
      </c>
      <c r="HA6" s="826">
        <v>0</v>
      </c>
      <c r="HB6" s="826">
        <v>0</v>
      </c>
      <c r="HC6" s="826">
        <v>0</v>
      </c>
      <c r="HD6" s="826">
        <v>0</v>
      </c>
      <c r="HE6" s="826">
        <v>0</v>
      </c>
      <c r="HF6" s="826">
        <v>0</v>
      </c>
      <c r="HG6" s="826">
        <v>0</v>
      </c>
      <c r="HH6" s="826">
        <v>0</v>
      </c>
      <c r="HI6" s="826">
        <v>0</v>
      </c>
      <c r="HJ6" s="826">
        <v>0</v>
      </c>
      <c r="HK6" s="826">
        <v>0</v>
      </c>
      <c r="HL6" s="826">
        <v>0</v>
      </c>
      <c r="HM6" s="826">
        <v>0</v>
      </c>
      <c r="HN6" s="826">
        <v>0</v>
      </c>
      <c r="HO6" s="826">
        <v>0</v>
      </c>
      <c r="HP6" s="826">
        <v>0</v>
      </c>
      <c r="HQ6" s="826">
        <v>0</v>
      </c>
      <c r="HR6" s="826">
        <v>0</v>
      </c>
      <c r="HS6" s="826">
        <v>0</v>
      </c>
      <c r="HT6" s="826">
        <v>0</v>
      </c>
      <c r="HU6" s="826">
        <v>0</v>
      </c>
      <c r="HV6" s="826">
        <v>0</v>
      </c>
      <c r="HW6" s="826">
        <v>0</v>
      </c>
      <c r="HX6" s="826">
        <v>0</v>
      </c>
      <c r="HY6" s="826">
        <v>0</v>
      </c>
      <c r="HZ6" s="826">
        <v>0</v>
      </c>
      <c r="IA6" s="826">
        <v>0</v>
      </c>
      <c r="IB6" s="826">
        <v>0</v>
      </c>
      <c r="IC6" s="826">
        <v>0</v>
      </c>
      <c r="ID6" s="826">
        <v>0</v>
      </c>
      <c r="IE6" s="826">
        <v>0</v>
      </c>
      <c r="IF6" s="826">
        <v>0</v>
      </c>
      <c r="IG6" s="826">
        <v>0</v>
      </c>
      <c r="IH6" s="826">
        <v>0</v>
      </c>
      <c r="II6" s="826">
        <v>0</v>
      </c>
      <c r="IJ6" s="826">
        <v>0</v>
      </c>
      <c r="IK6" s="826">
        <v>0</v>
      </c>
      <c r="IL6" s="826">
        <v>0</v>
      </c>
      <c r="IM6" s="826">
        <v>0</v>
      </c>
      <c r="IN6" s="826">
        <v>0</v>
      </c>
      <c r="IO6" s="826">
        <v>0</v>
      </c>
      <c r="IP6" s="826">
        <v>0</v>
      </c>
      <c r="IQ6" s="826">
        <v>0</v>
      </c>
      <c r="IR6" s="826">
        <v>0</v>
      </c>
    </row>
    <row r="7" spans="1:253" ht="12.75" x14ac:dyDescent="0.2">
      <c r="A7" s="824" t="s">
        <v>255</v>
      </c>
      <c r="B7" s="826">
        <v>126.2624</v>
      </c>
      <c r="C7" s="826">
        <v>71.224999999999994</v>
      </c>
      <c r="D7" s="826">
        <v>94.598334450899458</v>
      </c>
      <c r="E7" s="826">
        <v>8.7199999999999989</v>
      </c>
      <c r="F7" s="826">
        <v>49.876100000000001</v>
      </c>
      <c r="G7" s="826">
        <v>23.62</v>
      </c>
      <c r="H7" s="826">
        <v>2.27</v>
      </c>
      <c r="I7" s="826">
        <v>147.707629903</v>
      </c>
      <c r="J7" s="826">
        <v>87.284789760726497</v>
      </c>
      <c r="K7" s="826">
        <v>110.64973896944601</v>
      </c>
      <c r="L7" s="826">
        <v>11.4538834733707</v>
      </c>
      <c r="M7" s="826">
        <v>85.841150043473107</v>
      </c>
      <c r="N7" s="826">
        <v>42.816050208999997</v>
      </c>
      <c r="O7" s="826">
        <v>35.643146378271297</v>
      </c>
      <c r="P7" s="826">
        <v>0.3224727</v>
      </c>
      <c r="Q7" s="826">
        <v>33.378400599999999</v>
      </c>
      <c r="R7" s="826">
        <v>112.50280000000006</v>
      </c>
      <c r="S7" s="826">
        <v>96.753804700000003</v>
      </c>
      <c r="T7" s="826">
        <v>1.3646</v>
      </c>
      <c r="U7" s="826">
        <v>31.29</v>
      </c>
      <c r="V7" s="826">
        <v>10.747967600000001</v>
      </c>
      <c r="W7" s="826">
        <v>41.09</v>
      </c>
      <c r="X7" s="826">
        <v>55.058500000000002</v>
      </c>
      <c r="Y7" s="826">
        <v>73.198599999999971</v>
      </c>
      <c r="Z7" s="826">
        <v>-8.3350202000000007</v>
      </c>
      <c r="AA7" s="826">
        <v>37.36</v>
      </c>
      <c r="AB7" s="826">
        <v>47.500000000000028</v>
      </c>
      <c r="AC7" s="826">
        <v>-20.960000000000036</v>
      </c>
      <c r="AD7" s="826">
        <v>315.38250260300003</v>
      </c>
      <c r="AE7" s="826">
        <v>246.94669036072651</v>
      </c>
      <c r="AF7" s="826">
        <v>390.9494734203455</v>
      </c>
      <c r="AG7" s="826">
        <v>108.59266797337071</v>
      </c>
      <c r="AH7" s="826">
        <v>174.4418500434731</v>
      </c>
      <c r="AI7" s="826">
        <v>145.22605020900002</v>
      </c>
      <c r="AJ7" s="826">
        <v>27.701113978271266</v>
      </c>
      <c r="AK7" s="826">
        <v>0</v>
      </c>
      <c r="AL7" s="826">
        <v>0</v>
      </c>
      <c r="AM7" s="826">
        <v>0</v>
      </c>
      <c r="AN7" s="826">
        <v>0</v>
      </c>
      <c r="AO7" s="826">
        <v>0</v>
      </c>
      <c r="AP7" s="826">
        <v>30.343580299999999</v>
      </c>
      <c r="AQ7" s="826">
        <v>11.6257302</v>
      </c>
      <c r="AR7" s="826">
        <v>13.912099999999995</v>
      </c>
      <c r="AS7" s="826">
        <v>-18.016506400000001</v>
      </c>
      <c r="AT7" s="826">
        <v>13.5292719678833</v>
      </c>
      <c r="AU7" s="826">
        <v>17.974857979491901</v>
      </c>
      <c r="AV7" s="826">
        <v>20.928582658430599</v>
      </c>
      <c r="AW7" s="826">
        <v>-5.7264999999999997</v>
      </c>
      <c r="AX7" s="826">
        <v>2.2981523627848102</v>
      </c>
      <c r="AY7" s="826">
        <v>-3.66628088825725</v>
      </c>
      <c r="AZ7" s="826">
        <v>-4.8414987068207598</v>
      </c>
      <c r="BA7" s="826">
        <v>-25.8136055022219</v>
      </c>
      <c r="BB7" s="826">
        <v>-3.36176150559983</v>
      </c>
      <c r="BC7" s="826">
        <v>10.202199999999999</v>
      </c>
      <c r="BD7" s="826">
        <v>9.6326321999999998</v>
      </c>
      <c r="BE7" s="826">
        <v>6.5879833999999997</v>
      </c>
      <c r="BF7" s="826">
        <v>5.6085669999999999</v>
      </c>
      <c r="BG7" s="826">
        <v>6.3304425999999978</v>
      </c>
      <c r="BH7" s="826">
        <v>4.7035874403214599</v>
      </c>
      <c r="BI7" s="826">
        <v>7.6997523217942598</v>
      </c>
      <c r="BJ7" s="826">
        <v>0</v>
      </c>
      <c r="BK7" s="826">
        <v>-3.134492E-3</v>
      </c>
      <c r="BL7" s="826">
        <v>-0.15572179999999999</v>
      </c>
      <c r="BM7" s="826">
        <v>-0.69126310000000002</v>
      </c>
      <c r="BN7" s="826">
        <v>-0.29912660000000002</v>
      </c>
      <c r="BO7" s="826">
        <v>-7.7949200999999997</v>
      </c>
      <c r="BP7" s="826">
        <v>7.6121939000000003</v>
      </c>
      <c r="BQ7" s="826">
        <v>10.5044372</v>
      </c>
      <c r="BR7" s="826">
        <v>2.2045146</v>
      </c>
      <c r="BS7" s="826">
        <v>10.19</v>
      </c>
      <c r="BT7" s="826">
        <v>-3.7362663999999999</v>
      </c>
      <c r="BU7" s="826">
        <v>11.992280299999999</v>
      </c>
      <c r="BV7" s="826">
        <v>1.5000000000000005E-3</v>
      </c>
      <c r="BW7" s="826">
        <v>-1.48839E-2</v>
      </c>
      <c r="BX7" s="826">
        <v>-8.5000000000000006E-3</v>
      </c>
      <c r="BY7" s="826">
        <v>-0.50441020000000003</v>
      </c>
      <c r="BZ7" s="826">
        <v>9.2693700000000004E-2</v>
      </c>
      <c r="CA7" s="826">
        <v>-4.1463000000000001</v>
      </c>
      <c r="CB7" s="826">
        <v>-1.2441</v>
      </c>
      <c r="CC7" s="826">
        <v>-9.8262</v>
      </c>
      <c r="CD7" s="826">
        <v>-23.052700000000002</v>
      </c>
      <c r="CE7" s="826">
        <v>-17.8508</v>
      </c>
      <c r="CF7" s="826">
        <v>-20.72</v>
      </c>
      <c r="CG7" s="826">
        <v>-25.960291827373201</v>
      </c>
      <c r="CH7" s="826">
        <v>-33.607599999999998</v>
      </c>
      <c r="CI7" s="826">
        <v>-9.6735019999999992</v>
      </c>
      <c r="CJ7" s="826">
        <v>46.936591800000002</v>
      </c>
      <c r="CK7" s="826">
        <v>-36.260933799999997</v>
      </c>
      <c r="CL7" s="826">
        <v>35.47</v>
      </c>
      <c r="CM7" s="826">
        <v>-9.8890791999999994</v>
      </c>
      <c r="CN7" s="826">
        <v>-7.6899999999999409</v>
      </c>
      <c r="CO7" s="826">
        <v>4.7906426</v>
      </c>
      <c r="CP7" s="826">
        <v>15.114990799999999</v>
      </c>
      <c r="CQ7" s="826">
        <v>22.6460252</v>
      </c>
      <c r="CR7" s="826">
        <v>25.936134299999999</v>
      </c>
      <c r="CS7" s="826">
        <v>22.7805</v>
      </c>
      <c r="CT7" s="826">
        <v>12.5122053</v>
      </c>
      <c r="CU7" s="826">
        <v>-24.0928419</v>
      </c>
      <c r="CV7" s="826">
        <v>0</v>
      </c>
      <c r="CW7" s="826">
        <v>0</v>
      </c>
      <c r="CX7" s="826">
        <v>0</v>
      </c>
      <c r="CY7" s="826">
        <v>0</v>
      </c>
      <c r="CZ7" s="826">
        <v>0</v>
      </c>
      <c r="DA7" s="826">
        <v>-1.5084E-2</v>
      </c>
      <c r="DB7" s="826">
        <v>-1.1104159</v>
      </c>
      <c r="DC7" s="826">
        <v>-2.0140900055909099</v>
      </c>
      <c r="DD7" s="826">
        <v>-3.6826392846756599</v>
      </c>
      <c r="DE7" s="826">
        <v>-4.0575800131658504</v>
      </c>
      <c r="DF7" s="826">
        <v>-7.451898302</v>
      </c>
      <c r="DG7" s="826">
        <v>4.7068601873386902</v>
      </c>
      <c r="DH7" s="826">
        <v>2.7446949047041902</v>
      </c>
      <c r="DI7" s="826">
        <v>-8.0312592524283808</v>
      </c>
      <c r="DJ7" s="826">
        <v>-2.1380641979999999</v>
      </c>
      <c r="DK7" s="826">
        <v>-4.3679449000000004</v>
      </c>
      <c r="DL7" s="826">
        <v>-3.7016000999999998</v>
      </c>
      <c r="DM7" s="826">
        <v>-5.1443381516271298</v>
      </c>
      <c r="DN7" s="826">
        <v>-4.1044082919292704</v>
      </c>
      <c r="DO7" s="826">
        <v>-6.8640353586078398</v>
      </c>
      <c r="DP7" s="826">
        <v>-2.9774500939999999</v>
      </c>
      <c r="DQ7" s="826">
        <v>0</v>
      </c>
      <c r="DR7" s="826">
        <v>0</v>
      </c>
      <c r="DS7" s="826">
        <v>0</v>
      </c>
      <c r="DT7" s="826">
        <v>0</v>
      </c>
      <c r="DU7" s="826" t="s">
        <v>167</v>
      </c>
      <c r="DV7" s="826">
        <v>1.5341E-3</v>
      </c>
      <c r="DW7" s="826">
        <v>1.13469E-2</v>
      </c>
      <c r="DX7" s="826">
        <v>1.88404E-2</v>
      </c>
      <c r="DY7" s="826">
        <v>3.55433E-2</v>
      </c>
      <c r="DZ7" s="826">
        <v>2.9771300000000001E-2</v>
      </c>
      <c r="EA7" s="826">
        <v>9.7036800000000006E-2</v>
      </c>
      <c r="EB7" s="826">
        <v>4.9270300000000003E-2</v>
      </c>
      <c r="EC7" s="826">
        <v>-15.908683399999999</v>
      </c>
      <c r="ED7" s="826">
        <v>7.2055458000000003</v>
      </c>
      <c r="EE7" s="826">
        <v>3.7063999999999999</v>
      </c>
      <c r="EF7" s="826">
        <v>-4.1332367999999997</v>
      </c>
      <c r="EG7" s="826">
        <v>1.4919801837101001</v>
      </c>
      <c r="EH7" s="826">
        <v>-4.4167397217975797</v>
      </c>
      <c r="EI7" s="826">
        <v>-1.0487831206018501</v>
      </c>
      <c r="EJ7" s="826">
        <v>0.9586595</v>
      </c>
      <c r="EK7" s="826">
        <v>3.7232649000000002</v>
      </c>
      <c r="EL7" s="826">
        <v>4.4198285000000004</v>
      </c>
      <c r="EM7" s="826">
        <v>-1.3196186999999999</v>
      </c>
      <c r="EN7" s="826">
        <v>3.2368008000000001</v>
      </c>
      <c r="EO7" s="826">
        <v>5.6866846999999998</v>
      </c>
      <c r="EP7" s="826">
        <v>-2.2814535</v>
      </c>
      <c r="EQ7" s="826">
        <v>-5.9021999999999997</v>
      </c>
      <c r="ER7" s="826">
        <v>-3.0364387076858601</v>
      </c>
      <c r="ES7" s="826">
        <v>-1.1139218926190699</v>
      </c>
      <c r="ET7" s="826">
        <v>-5.2912619980599702</v>
      </c>
      <c r="EU7" s="826">
        <v>-0.46630172589448399</v>
      </c>
      <c r="EV7" s="826">
        <v>-14.5166</v>
      </c>
      <c r="EW7" s="826">
        <v>-27.297000000000001</v>
      </c>
      <c r="EX7" s="826">
        <v>0.27634439999999999</v>
      </c>
      <c r="EY7" s="826">
        <v>-0.14618890000000001</v>
      </c>
      <c r="EZ7" s="826">
        <v>0.52857310000000002</v>
      </c>
      <c r="FA7" s="826">
        <v>0.82595490000000005</v>
      </c>
      <c r="FB7" s="826">
        <v>1.2647870999999999</v>
      </c>
      <c r="FC7" s="826">
        <v>1.1935886</v>
      </c>
      <c r="FD7" s="826">
        <v>0.79</v>
      </c>
      <c r="FE7" s="826">
        <v>-7.6442169</v>
      </c>
      <c r="FF7" s="826">
        <v>42.998448099999997</v>
      </c>
      <c r="FG7" s="826">
        <v>10.0631658</v>
      </c>
      <c r="FH7" s="826">
        <v>-10.079643000000001</v>
      </c>
      <c r="FI7" s="826">
        <v>28.208382199999999</v>
      </c>
      <c r="FJ7" s="826">
        <v>9.9348489000000004</v>
      </c>
      <c r="FK7" s="826">
        <v>-26.2903962</v>
      </c>
      <c r="FL7" s="826">
        <v>0.84270509999999998</v>
      </c>
      <c r="FM7" s="826">
        <v>5.0841626</v>
      </c>
      <c r="FN7" s="826">
        <v>0.20338500000000001</v>
      </c>
      <c r="FO7" s="826">
        <v>0.98894130000000002</v>
      </c>
      <c r="FP7" s="826">
        <v>3.4893006999999998</v>
      </c>
      <c r="FQ7" s="826">
        <v>1.7076175</v>
      </c>
      <c r="FR7" s="826">
        <v>2.6419524999999999</v>
      </c>
      <c r="FS7" s="826">
        <v>-37.466908603590909</v>
      </c>
      <c r="FT7" s="826">
        <v>83.155653970423273</v>
      </c>
      <c r="FU7" s="826">
        <v>97.163247505957827</v>
      </c>
      <c r="FV7" s="826">
        <v>-80.009998850507856</v>
      </c>
      <c r="FW7" s="826">
        <v>82.328759718886431</v>
      </c>
      <c r="FX7" s="826">
        <v>-8.1601173614877034</v>
      </c>
      <c r="FY7" s="826">
        <v>-82.884486614178513</v>
      </c>
      <c r="FZ7" s="826">
        <v>0</v>
      </c>
      <c r="GA7" s="826">
        <v>0</v>
      </c>
      <c r="GB7" s="826">
        <v>0</v>
      </c>
      <c r="GC7" s="826">
        <v>0</v>
      </c>
      <c r="GD7" s="826">
        <v>0</v>
      </c>
      <c r="GE7" s="826">
        <v>0</v>
      </c>
      <c r="GF7" s="826">
        <v>0</v>
      </c>
      <c r="GG7" s="826">
        <v>0</v>
      </c>
      <c r="GH7" s="826">
        <v>0</v>
      </c>
      <c r="GI7" s="826">
        <v>0</v>
      </c>
      <c r="GJ7" s="826">
        <v>0</v>
      </c>
      <c r="GK7" s="826">
        <v>0</v>
      </c>
      <c r="GL7" s="826">
        <v>0</v>
      </c>
      <c r="GM7" s="826">
        <v>0</v>
      </c>
      <c r="GN7" s="826">
        <v>0</v>
      </c>
      <c r="GO7" s="826">
        <v>0</v>
      </c>
      <c r="GP7" s="826">
        <v>0</v>
      </c>
      <c r="GQ7" s="826">
        <v>0</v>
      </c>
      <c r="GR7" s="826">
        <v>0</v>
      </c>
      <c r="GS7" s="826">
        <v>0</v>
      </c>
      <c r="GT7" s="826"/>
      <c r="GU7" s="826">
        <v>0</v>
      </c>
      <c r="GV7" s="826">
        <v>0</v>
      </c>
      <c r="GW7" s="826">
        <v>0</v>
      </c>
      <c r="GX7" s="826">
        <v>0</v>
      </c>
      <c r="GY7" s="826">
        <v>0</v>
      </c>
      <c r="GZ7" s="826">
        <v>0</v>
      </c>
      <c r="HA7" s="826">
        <v>0</v>
      </c>
      <c r="HB7" s="826">
        <v>0</v>
      </c>
      <c r="HC7" s="826">
        <v>0</v>
      </c>
      <c r="HD7" s="826">
        <v>0</v>
      </c>
      <c r="HE7" s="826">
        <v>0</v>
      </c>
      <c r="HF7" s="826">
        <v>0</v>
      </c>
      <c r="HG7" s="826">
        <v>0</v>
      </c>
      <c r="HH7" s="826">
        <v>0</v>
      </c>
      <c r="HI7" s="826">
        <v>0</v>
      </c>
      <c r="HJ7" s="826">
        <v>0</v>
      </c>
      <c r="HK7" s="826">
        <v>0</v>
      </c>
      <c r="HL7" s="826">
        <v>0</v>
      </c>
      <c r="HM7" s="826">
        <v>0</v>
      </c>
      <c r="HN7" s="826">
        <v>0</v>
      </c>
      <c r="HO7" s="826">
        <v>0</v>
      </c>
      <c r="HP7" s="826">
        <v>0</v>
      </c>
      <c r="HQ7" s="826">
        <v>0</v>
      </c>
      <c r="HR7" s="826">
        <v>0</v>
      </c>
      <c r="HS7" s="826">
        <v>0</v>
      </c>
      <c r="HT7" s="826">
        <v>0</v>
      </c>
      <c r="HU7" s="826">
        <v>0</v>
      </c>
      <c r="HV7" s="826">
        <v>0</v>
      </c>
      <c r="HW7" s="826">
        <v>0</v>
      </c>
      <c r="HX7" s="826">
        <v>0</v>
      </c>
      <c r="HY7" s="826">
        <v>0</v>
      </c>
      <c r="HZ7" s="826">
        <v>0</v>
      </c>
      <c r="IA7" s="826">
        <v>0</v>
      </c>
      <c r="IB7" s="826">
        <v>0</v>
      </c>
      <c r="IC7" s="826">
        <v>0</v>
      </c>
      <c r="ID7" s="826">
        <v>0</v>
      </c>
      <c r="IE7" s="826">
        <v>0</v>
      </c>
      <c r="IF7" s="826">
        <v>0</v>
      </c>
      <c r="IG7" s="826">
        <v>0</v>
      </c>
      <c r="IH7" s="826">
        <v>0</v>
      </c>
      <c r="II7" s="826"/>
      <c r="IJ7" s="826">
        <v>0</v>
      </c>
      <c r="IK7" s="826">
        <v>0</v>
      </c>
      <c r="IL7" s="826">
        <v>0</v>
      </c>
      <c r="IM7" s="826">
        <v>0</v>
      </c>
      <c r="IN7" s="826">
        <v>0</v>
      </c>
      <c r="IO7" s="826">
        <v>0</v>
      </c>
      <c r="IP7" s="826">
        <v>0</v>
      </c>
      <c r="IQ7" s="826">
        <v>0</v>
      </c>
      <c r="IR7" s="826">
        <v>0</v>
      </c>
    </row>
    <row r="8" spans="1:253" ht="12.75" x14ac:dyDescent="0.2">
      <c r="A8" s="824" t="s">
        <v>256</v>
      </c>
      <c r="B8" s="826">
        <v>-910.78909999999996</v>
      </c>
      <c r="C8" s="826">
        <v>-810.2319</v>
      </c>
      <c r="D8" s="826">
        <v>-2736.0788798979866</v>
      </c>
      <c r="E8" s="826">
        <v>-2177.2399999999998</v>
      </c>
      <c r="F8" s="826">
        <v>-2822.1776</v>
      </c>
      <c r="G8" s="826">
        <v>62.67</v>
      </c>
      <c r="H8" s="826">
        <v>-1582.76</v>
      </c>
      <c r="I8" s="826">
        <v>-592.47332717699896</v>
      </c>
      <c r="J8" s="826">
        <v>-297.62859427171901</v>
      </c>
      <c r="K8" s="826">
        <v>463.36722899258098</v>
      </c>
      <c r="L8" s="826">
        <v>-887.70291821117598</v>
      </c>
      <c r="M8" s="826">
        <v>-14.5906012883444</v>
      </c>
      <c r="N8" s="826">
        <v>463.18843532484698</v>
      </c>
      <c r="O8" s="826">
        <v>-2016.4895775238899</v>
      </c>
      <c r="P8" s="826">
        <v>-375.65893080000001</v>
      </c>
      <c r="Q8" s="826">
        <v>-2321.6636738000002</v>
      </c>
      <c r="R8" s="826">
        <v>1024.6420999999991</v>
      </c>
      <c r="S8" s="826">
        <v>-1128.6759658000001</v>
      </c>
      <c r="T8" s="826">
        <v>-1384.3574000000001</v>
      </c>
      <c r="U8" s="826">
        <v>-1307.27</v>
      </c>
      <c r="V8" s="826">
        <v>-3019.5224443000002</v>
      </c>
      <c r="W8" s="826">
        <v>-512.61</v>
      </c>
      <c r="X8" s="826">
        <v>-2240.6844999999998</v>
      </c>
      <c r="Y8" s="826">
        <v>414.80149999999958</v>
      </c>
      <c r="Z8" s="826">
        <v>-2149.4114107</v>
      </c>
      <c r="AA8" s="826">
        <v>-1249.5999999999999</v>
      </c>
      <c r="AB8" s="826">
        <v>-1180.7700000000023</v>
      </c>
      <c r="AC8" s="826">
        <v>-1750.25</v>
      </c>
      <c r="AD8" s="826">
        <v>-2391.5313579769991</v>
      </c>
      <c r="AE8" s="826">
        <v>-5670.2086680717184</v>
      </c>
      <c r="AF8" s="826">
        <v>-833.26805090540711</v>
      </c>
      <c r="AG8" s="826">
        <v>-6343.0302947111759</v>
      </c>
      <c r="AH8" s="826">
        <v>-5470.7256012883445</v>
      </c>
      <c r="AI8" s="826">
        <v>-1962.1815646751552</v>
      </c>
      <c r="AJ8" s="826">
        <v>-8369.0220218238901</v>
      </c>
      <c r="AK8" s="826">
        <v>-14.335899999999999</v>
      </c>
      <c r="AL8" s="826">
        <v>-140.64827314600001</v>
      </c>
      <c r="AM8" s="826">
        <v>-198.009505679</v>
      </c>
      <c r="AN8" s="826">
        <v>-145.30779884633299</v>
      </c>
      <c r="AO8" s="826">
        <v>-392.99955212037497</v>
      </c>
      <c r="AP8" s="826">
        <v>451.75203320000003</v>
      </c>
      <c r="AQ8" s="826">
        <v>685.64125130000002</v>
      </c>
      <c r="AR8" s="826">
        <v>1104.6563999999998</v>
      </c>
      <c r="AS8" s="826">
        <v>940.03831070000001</v>
      </c>
      <c r="AT8" s="826">
        <v>1195.8748602422199</v>
      </c>
      <c r="AU8" s="826">
        <v>1416.77093244975</v>
      </c>
      <c r="AV8" s="826">
        <v>1321.1699830520099</v>
      </c>
      <c r="AW8" s="826">
        <v>-179.86449999999999</v>
      </c>
      <c r="AX8" s="826">
        <v>-19.167286237547501</v>
      </c>
      <c r="AY8" s="826">
        <v>7.2470691645072796</v>
      </c>
      <c r="AZ8" s="826">
        <v>130.63798415137401</v>
      </c>
      <c r="BA8" s="826">
        <v>118.849589748347</v>
      </c>
      <c r="BB8" s="826">
        <v>437.52337562615401</v>
      </c>
      <c r="BC8" s="826">
        <v>145.10830000000001</v>
      </c>
      <c r="BD8" s="826">
        <v>199.81549999999999</v>
      </c>
      <c r="BE8" s="826">
        <v>253.08760000000001</v>
      </c>
      <c r="BF8" s="826">
        <v>141.71579400000019</v>
      </c>
      <c r="BG8" s="826">
        <v>461.68510000000015</v>
      </c>
      <c r="BH8" s="826">
        <v>495.45846144926202</v>
      </c>
      <c r="BI8" s="826">
        <v>477.714992630854</v>
      </c>
      <c r="BJ8" s="826">
        <v>-18.235499999999998</v>
      </c>
      <c r="BK8" s="826">
        <v>-62.472001504654401</v>
      </c>
      <c r="BL8" s="826">
        <v>-96.143341100000001</v>
      </c>
      <c r="BM8" s="826">
        <v>-100.7073267</v>
      </c>
      <c r="BN8" s="826">
        <v>-112.0947742</v>
      </c>
      <c r="BO8" s="826">
        <v>-65.730229300000005</v>
      </c>
      <c r="BP8" s="826">
        <v>1.0920297999999999</v>
      </c>
      <c r="BQ8" s="826">
        <v>10.9085056</v>
      </c>
      <c r="BR8" s="826">
        <v>89.241336599999997</v>
      </c>
      <c r="BS8" s="826">
        <v>300.19</v>
      </c>
      <c r="BT8" s="826">
        <v>263.3986865</v>
      </c>
      <c r="BU8" s="826">
        <v>201.9386451</v>
      </c>
      <c r="BV8" s="826">
        <v>-82.605800000000002</v>
      </c>
      <c r="BW8" s="826">
        <v>-295.63690659999997</v>
      </c>
      <c r="BX8" s="826">
        <v>-232.85140000000001</v>
      </c>
      <c r="BY8" s="826">
        <v>-142.41251239599899</v>
      </c>
      <c r="BZ8" s="826">
        <v>-333.48832759999999</v>
      </c>
      <c r="CA8" s="826">
        <v>-104.1618</v>
      </c>
      <c r="CB8" s="826">
        <v>90.958100000000002</v>
      </c>
      <c r="CC8" s="826">
        <v>494.41809999999998</v>
      </c>
      <c r="CD8" s="826">
        <v>483.62240000000003</v>
      </c>
      <c r="CE8" s="826">
        <v>615.96</v>
      </c>
      <c r="CF8" s="826">
        <v>777.06</v>
      </c>
      <c r="CG8" s="826">
        <v>412.98794757816</v>
      </c>
      <c r="CH8" s="826">
        <v>402.41210000000001</v>
      </c>
      <c r="CI8" s="826">
        <v>617.25222789999998</v>
      </c>
      <c r="CJ8" s="826">
        <v>743.96148240000002</v>
      </c>
      <c r="CK8" s="826">
        <v>1210.9673012000001</v>
      </c>
      <c r="CL8" s="826">
        <v>1413.48</v>
      </c>
      <c r="CM8" s="826">
        <v>1732.6280497</v>
      </c>
      <c r="CN8" s="826">
        <v>1393.4700000000012</v>
      </c>
      <c r="CO8" s="826">
        <v>123.75460769999999</v>
      </c>
      <c r="CP8" s="826">
        <v>384.92224190000002</v>
      </c>
      <c r="CQ8" s="826">
        <v>99.429136299999996</v>
      </c>
      <c r="CR8" s="826">
        <v>80.6697664</v>
      </c>
      <c r="CS8" s="826">
        <v>48.6143</v>
      </c>
      <c r="CT8" s="826">
        <v>263.51112430000001</v>
      </c>
      <c r="CU8" s="826">
        <v>-271.37317560000002</v>
      </c>
      <c r="CV8" s="826">
        <v>-16.054456399999999</v>
      </c>
      <c r="CW8" s="826">
        <v>-45.5909312</v>
      </c>
      <c r="CX8" s="826">
        <v>-39.664790799999999</v>
      </c>
      <c r="CY8" s="826">
        <v>-40.4496184010574</v>
      </c>
      <c r="CZ8" s="826">
        <v>-30.429169099999999</v>
      </c>
      <c r="DA8" s="826">
        <v>-12.1347706</v>
      </c>
      <c r="DB8" s="826">
        <v>-63.531414399646302</v>
      </c>
      <c r="DC8" s="826">
        <v>-179.673618739706</v>
      </c>
      <c r="DD8" s="826">
        <v>-195.16094080525701</v>
      </c>
      <c r="DE8" s="826">
        <v>-156.61666566198801</v>
      </c>
      <c r="DF8" s="826">
        <v>-64.109668453608705</v>
      </c>
      <c r="DG8" s="826">
        <v>-44.5315751353263</v>
      </c>
      <c r="DH8" s="826">
        <v>147.48725249243799</v>
      </c>
      <c r="DI8" s="826">
        <v>101.272399148438</v>
      </c>
      <c r="DJ8" s="826">
        <v>-19.699417366999999</v>
      </c>
      <c r="DK8" s="826">
        <v>-2.9155357999999998</v>
      </c>
      <c r="DL8" s="826">
        <v>8.5745593000000007</v>
      </c>
      <c r="DM8" s="826">
        <v>16.264002867644798</v>
      </c>
      <c r="DN8" s="826">
        <v>39.614744507574798</v>
      </c>
      <c r="DO8" s="826">
        <v>76.326159467577</v>
      </c>
      <c r="DP8" s="826">
        <v>76.701138122000003</v>
      </c>
      <c r="DQ8" s="826">
        <v>-6.9073919369999999</v>
      </c>
      <c r="DR8" s="826">
        <v>-41.689168141000003</v>
      </c>
      <c r="DS8" s="826">
        <v>-72.326770335000006</v>
      </c>
      <c r="DT8" s="826">
        <v>-39.886897662000003</v>
      </c>
      <c r="DU8" s="826">
        <v>-83.17</v>
      </c>
      <c r="DV8" s="826">
        <v>-2.3320818999999999</v>
      </c>
      <c r="DW8" s="826">
        <v>-2.8904779</v>
      </c>
      <c r="DX8" s="826">
        <v>-7.1554501000000004</v>
      </c>
      <c r="DY8" s="826">
        <v>-14.7488235</v>
      </c>
      <c r="DZ8" s="826">
        <v>-11.383834200000001</v>
      </c>
      <c r="EA8" s="826">
        <v>-48.873162100000002</v>
      </c>
      <c r="EB8" s="826">
        <v>-40.4197317</v>
      </c>
      <c r="EC8" s="826">
        <v>-7.5189285999999997</v>
      </c>
      <c r="ED8" s="826">
        <v>39.880821293999901</v>
      </c>
      <c r="EE8" s="826">
        <v>102.26690000000001</v>
      </c>
      <c r="EF8" s="826">
        <v>144.11621037244299</v>
      </c>
      <c r="EG8" s="826">
        <v>300.86851608471898</v>
      </c>
      <c r="EH8" s="826">
        <v>457.54233858234801</v>
      </c>
      <c r="EI8" s="826">
        <v>500.00926144784898</v>
      </c>
      <c r="EJ8" s="826">
        <v>-25.4602</v>
      </c>
      <c r="EK8" s="826">
        <v>-9.5118556999999999</v>
      </c>
      <c r="EL8" s="826">
        <v>52.1084684</v>
      </c>
      <c r="EM8" s="826">
        <v>115.0638575</v>
      </c>
      <c r="EN8" s="826">
        <v>49.953801599999998</v>
      </c>
      <c r="EO8" s="826">
        <v>130.77649199999999</v>
      </c>
      <c r="EP8" s="826">
        <v>16.5628931</v>
      </c>
      <c r="EQ8" s="826">
        <v>-145.023</v>
      </c>
      <c r="ER8" s="826">
        <v>-61.632119054824301</v>
      </c>
      <c r="ES8" s="826">
        <v>47.284297581897398</v>
      </c>
      <c r="ET8" s="826">
        <v>176.42325073592201</v>
      </c>
      <c r="EU8" s="826">
        <v>161.435910473554</v>
      </c>
      <c r="EV8" s="826">
        <v>149.88149999999999</v>
      </c>
      <c r="EW8" s="826">
        <v>-353.46929999999998</v>
      </c>
      <c r="EX8" s="826">
        <v>259.36101439999999</v>
      </c>
      <c r="EY8" s="826">
        <v>248.70731029999999</v>
      </c>
      <c r="EZ8" s="826">
        <v>481.90503510000002</v>
      </c>
      <c r="FA8" s="826">
        <v>942.03671320000001</v>
      </c>
      <c r="FB8" s="826">
        <v>886.83691409999994</v>
      </c>
      <c r="FC8" s="826">
        <v>624.81253690000005</v>
      </c>
      <c r="FD8" s="826">
        <v>694.13999999999987</v>
      </c>
      <c r="FE8" s="826">
        <v>-69.478291400000003</v>
      </c>
      <c r="FF8" s="826">
        <v>9.0965703999999992</v>
      </c>
      <c r="FG8" s="826">
        <v>148.9195872</v>
      </c>
      <c r="FH8" s="826">
        <v>134.72859059999999</v>
      </c>
      <c r="FI8" s="826">
        <v>253.2951434</v>
      </c>
      <c r="FJ8" s="826">
        <v>417.77167919999999</v>
      </c>
      <c r="FK8" s="826">
        <v>456.17964713984901</v>
      </c>
      <c r="FL8" s="826">
        <v>12.0996144</v>
      </c>
      <c r="FM8" s="826">
        <v>15.9367407</v>
      </c>
      <c r="FN8" s="826">
        <v>357.13194049999998</v>
      </c>
      <c r="FO8" s="826">
        <v>152.6909014</v>
      </c>
      <c r="FP8" s="826">
        <v>118.7044162</v>
      </c>
      <c r="FQ8" s="826">
        <v>-0.96652400000000005</v>
      </c>
      <c r="FR8" s="826">
        <v>60.631467200000003</v>
      </c>
      <c r="FS8" s="826">
        <v>579.4911459932938</v>
      </c>
      <c r="FT8" s="826">
        <v>1956.4336468963709</v>
      </c>
      <c r="FU8" s="826">
        <v>3586.3775830474178</v>
      </c>
      <c r="FV8" s="826">
        <v>4098.461959981063</v>
      </c>
      <c r="FW8" s="826">
        <v>5279.6877008070887</v>
      </c>
      <c r="FX8" s="826">
        <v>6900.6595963631971</v>
      </c>
      <c r="FY8" s="826">
        <v>4062.2320988991396</v>
      </c>
      <c r="FZ8" s="826">
        <v>300.16204157210399</v>
      </c>
      <c r="GA8" s="826">
        <v>298.510286716</v>
      </c>
      <c r="GB8" s="826">
        <v>703.39754540000104</v>
      </c>
      <c r="GC8" s="826">
        <v>507.336449872</v>
      </c>
      <c r="GD8" s="826">
        <v>123.9015416</v>
      </c>
      <c r="GE8" s="826">
        <v>825.45144419999997</v>
      </c>
      <c r="GF8" s="826">
        <v>712.68013757690198</v>
      </c>
      <c r="GG8" s="826">
        <v>106.72551009999999</v>
      </c>
      <c r="GH8" s="826">
        <v>138.0989141</v>
      </c>
      <c r="GI8" s="826">
        <v>-130.050286</v>
      </c>
      <c r="GJ8" s="826">
        <v>-42.766330400000001</v>
      </c>
      <c r="GK8" s="826">
        <v>86.910770200000002</v>
      </c>
      <c r="GL8" s="826">
        <v>159.09714120000001</v>
      </c>
      <c r="GM8" s="826">
        <v>684.88072</v>
      </c>
      <c r="GN8" s="826">
        <v>406.887551672104</v>
      </c>
      <c r="GO8" s="826">
        <v>436.609200816</v>
      </c>
      <c r="GP8" s="826">
        <v>573.34725940000101</v>
      </c>
      <c r="GQ8" s="826">
        <v>464.57011947199999</v>
      </c>
      <c r="GR8" s="826">
        <v>210.8123118</v>
      </c>
      <c r="GS8" s="826">
        <v>984.54858539999998</v>
      </c>
      <c r="GT8" s="826">
        <v>1397.560857576902</v>
      </c>
      <c r="GU8" s="826">
        <v>-87.729187130550002</v>
      </c>
      <c r="GV8" s="826">
        <v>-195.30349774003801</v>
      </c>
      <c r="GW8" s="826">
        <v>-256.34002640830897</v>
      </c>
      <c r="GX8" s="826">
        <v>-248.25</v>
      </c>
      <c r="GY8" s="826">
        <v>-211.296345664</v>
      </c>
      <c r="GZ8" s="826">
        <v>-332.45102980000001</v>
      </c>
      <c r="HA8" s="826">
        <v>-84.752600562553397</v>
      </c>
      <c r="HB8" s="826">
        <v>-5.2501020184632798</v>
      </c>
      <c r="HC8" s="826">
        <v>-28.5467251599833</v>
      </c>
      <c r="HD8" s="826">
        <v>241.18412573575301</v>
      </c>
      <c r="HE8" s="826">
        <v>256.20529629999999</v>
      </c>
      <c r="HF8" s="826">
        <v>262.74387769999998</v>
      </c>
      <c r="HG8" s="826">
        <v>282.95786850000002</v>
      </c>
      <c r="HH8" s="826">
        <v>-17.271679200000001</v>
      </c>
      <c r="HI8" s="826">
        <v>187.3040202</v>
      </c>
      <c r="HJ8" s="826">
        <v>64.971029799999997</v>
      </c>
      <c r="HK8" s="826">
        <v>112.57050169999999</v>
      </c>
      <c r="HL8" s="826">
        <v>-1.2657803999999999</v>
      </c>
      <c r="HM8" s="826">
        <v>-174.21467790495799</v>
      </c>
      <c r="HN8" s="826">
        <v>-137.08573754486</v>
      </c>
      <c r="HO8" s="826">
        <v>-107.739869726203</v>
      </c>
      <c r="HP8" s="826">
        <v>-169.05447649800001</v>
      </c>
      <c r="HQ8" s="826">
        <v>23.63</v>
      </c>
      <c r="HR8" s="826">
        <v>5.1965831065246997</v>
      </c>
      <c r="HS8" s="826">
        <v>-89.497208506996799</v>
      </c>
      <c r="HT8" s="826">
        <v>-81.468678838000002</v>
      </c>
      <c r="HU8" s="826">
        <v>85.072799662000094</v>
      </c>
      <c r="HV8" s="826">
        <v>110.165419579</v>
      </c>
      <c r="HW8" s="826">
        <v>85.725348108000006</v>
      </c>
      <c r="HX8" s="826">
        <v>117.157754762</v>
      </c>
      <c r="HY8" s="826">
        <v>124.957258504</v>
      </c>
      <c r="HZ8" s="826">
        <v>45.083130840999999</v>
      </c>
      <c r="IA8" s="826">
        <v>-55.804043700000001</v>
      </c>
      <c r="IB8" s="826">
        <v>2.1373000000000002</v>
      </c>
      <c r="IC8" s="826">
        <v>0.96489999999999998</v>
      </c>
      <c r="ID8" s="826">
        <v>-0.35</v>
      </c>
      <c r="IE8" s="826">
        <v>248.52798836700001</v>
      </c>
      <c r="IF8" s="826">
        <v>86.081331354</v>
      </c>
      <c r="IG8" s="826">
        <v>138.40756402500028</v>
      </c>
      <c r="IH8" s="826">
        <v>229.50950768800001</v>
      </c>
      <c r="II8" s="826">
        <v>330.3</v>
      </c>
      <c r="IJ8" s="826">
        <v>-1481.1105892999999</v>
      </c>
      <c r="IK8" s="826">
        <v>-1581.970148809</v>
      </c>
      <c r="IL8" s="826">
        <v>-109.17964813851134</v>
      </c>
      <c r="IM8" s="826">
        <v>128.39312452212681</v>
      </c>
      <c r="IN8" s="826">
        <v>-18.046079222224051</v>
      </c>
      <c r="IO8" s="826">
        <v>187.79093662544403</v>
      </c>
      <c r="IP8" s="826">
        <v>479.91457066199996</v>
      </c>
      <c r="IQ8" s="826">
        <v>-1298.5443156534752</v>
      </c>
      <c r="IR8" s="826">
        <v>-1675.8773877749968</v>
      </c>
    </row>
    <row r="9" spans="1:253" ht="12.75" x14ac:dyDescent="0.2">
      <c r="A9" s="821" t="s">
        <v>257</v>
      </c>
      <c r="B9" s="823"/>
      <c r="C9" s="823"/>
      <c r="D9" s="823"/>
      <c r="E9" s="823"/>
      <c r="F9" s="823"/>
      <c r="G9" s="823"/>
      <c r="H9" s="823"/>
      <c r="I9" s="823"/>
      <c r="J9" s="823"/>
      <c r="K9" s="823"/>
      <c r="L9" s="823"/>
      <c r="M9" s="823"/>
      <c r="N9" s="823"/>
      <c r="O9" s="823"/>
      <c r="P9" s="823"/>
      <c r="Q9" s="823"/>
      <c r="R9" s="823"/>
      <c r="S9" s="823"/>
      <c r="T9" s="823"/>
      <c r="U9" s="823"/>
      <c r="V9" s="823"/>
      <c r="W9" s="823"/>
      <c r="X9" s="823"/>
      <c r="Y9" s="823"/>
      <c r="Z9" s="823"/>
      <c r="AA9" s="823"/>
      <c r="AB9" s="823"/>
      <c r="AC9" s="823"/>
      <c r="AD9" s="823"/>
      <c r="AE9" s="823"/>
      <c r="AF9" s="823">
        <v>0</v>
      </c>
      <c r="AG9" s="823"/>
      <c r="AH9" s="823"/>
      <c r="AI9" s="823"/>
      <c r="AJ9" s="823">
        <v>0</v>
      </c>
      <c r="AK9" s="823"/>
      <c r="AL9" s="823"/>
      <c r="AM9" s="823"/>
      <c r="AN9" s="823"/>
      <c r="AO9" s="823"/>
      <c r="AP9" s="823"/>
      <c r="AQ9" s="823"/>
      <c r="AR9" s="823"/>
      <c r="AS9" s="823"/>
      <c r="AT9" s="823"/>
      <c r="AU9" s="823"/>
      <c r="AV9" s="823"/>
      <c r="AW9" s="823"/>
      <c r="AX9" s="823"/>
      <c r="AY9" s="823"/>
      <c r="AZ9" s="823"/>
      <c r="BA9" s="823"/>
      <c r="BB9" s="823"/>
      <c r="BC9" s="823"/>
      <c r="BD9" s="823"/>
      <c r="BE9" s="823"/>
      <c r="BF9" s="823"/>
      <c r="BG9" s="823"/>
      <c r="BH9" s="823"/>
      <c r="BI9" s="823"/>
      <c r="BJ9" s="823"/>
      <c r="BK9" s="823"/>
      <c r="BL9" s="823"/>
      <c r="BM9" s="823"/>
      <c r="BN9" s="823"/>
      <c r="BO9" s="823"/>
      <c r="BP9" s="823"/>
      <c r="BQ9" s="823"/>
      <c r="BR9" s="823"/>
      <c r="BS9" s="823"/>
      <c r="BT9" s="823"/>
      <c r="BU9" s="823"/>
      <c r="BV9" s="823"/>
      <c r="BW9" s="823"/>
      <c r="BX9" s="823"/>
      <c r="BY9" s="823"/>
      <c r="BZ9" s="823"/>
      <c r="CA9" s="823"/>
      <c r="CB9" s="823"/>
      <c r="CC9" s="823"/>
      <c r="CD9" s="823"/>
      <c r="CE9" s="823"/>
      <c r="CF9" s="823"/>
      <c r="CG9" s="823"/>
      <c r="CH9" s="823"/>
      <c r="CI9" s="823"/>
      <c r="CJ9" s="823"/>
      <c r="CK9" s="823"/>
      <c r="CL9" s="823"/>
      <c r="CM9" s="823"/>
      <c r="CN9" s="823"/>
      <c r="CO9" s="823"/>
      <c r="CP9" s="823"/>
      <c r="CQ9" s="823"/>
      <c r="CR9" s="823"/>
      <c r="CS9" s="823"/>
      <c r="CT9" s="823"/>
      <c r="CU9" s="823"/>
      <c r="CV9" s="823"/>
      <c r="CW9" s="823"/>
      <c r="CX9" s="823"/>
      <c r="CY9" s="823"/>
      <c r="CZ9" s="823"/>
      <c r="DA9" s="823"/>
      <c r="DB9" s="823"/>
      <c r="DC9" s="823"/>
      <c r="DD9" s="823"/>
      <c r="DE9" s="823"/>
      <c r="DF9" s="823"/>
      <c r="DG9" s="823"/>
      <c r="DH9" s="823"/>
      <c r="DI9" s="823"/>
      <c r="DJ9" s="823"/>
      <c r="DK9" s="823"/>
      <c r="DL9" s="823"/>
      <c r="DM9" s="823"/>
      <c r="DN9" s="823"/>
      <c r="DO9" s="823"/>
      <c r="DP9" s="823"/>
      <c r="DQ9" s="823"/>
      <c r="DR9" s="823"/>
      <c r="DS9" s="823"/>
      <c r="DT9" s="823"/>
      <c r="DU9" s="823"/>
      <c r="DV9" s="823"/>
      <c r="DW9" s="823"/>
      <c r="DX9" s="823"/>
      <c r="DY9" s="823"/>
      <c r="DZ9" s="823"/>
      <c r="EA9" s="823"/>
      <c r="EB9" s="823"/>
      <c r="EC9" s="823"/>
      <c r="ED9" s="823"/>
      <c r="EE9" s="823"/>
      <c r="EF9" s="823"/>
      <c r="EG9" s="823"/>
      <c r="EH9" s="823"/>
      <c r="EI9" s="823"/>
      <c r="EJ9" s="823"/>
      <c r="EK9" s="823"/>
      <c r="EL9" s="823"/>
      <c r="EM9" s="823"/>
      <c r="EN9" s="823"/>
      <c r="EO9" s="823"/>
      <c r="EP9" s="823"/>
      <c r="EQ9" s="823"/>
      <c r="ER9" s="823"/>
      <c r="ES9" s="823"/>
      <c r="ET9" s="823"/>
      <c r="EU9" s="823"/>
      <c r="EV9" s="823"/>
      <c r="EW9" s="823"/>
      <c r="EX9" s="823"/>
      <c r="EY9" s="823"/>
      <c r="EZ9" s="823"/>
      <c r="FA9" s="823"/>
      <c r="FB9" s="823"/>
      <c r="FC9" s="823"/>
      <c r="FD9" s="823"/>
      <c r="FE9" s="823"/>
      <c r="FF9" s="823"/>
      <c r="FG9" s="823"/>
      <c r="FH9" s="823"/>
      <c r="FI9" s="823"/>
      <c r="FJ9" s="823"/>
      <c r="FK9" s="823"/>
      <c r="FL9" s="823"/>
      <c r="FM9" s="823"/>
      <c r="FN9" s="823"/>
      <c r="FO9" s="823"/>
      <c r="FP9" s="823"/>
      <c r="FQ9" s="823"/>
      <c r="FR9" s="823"/>
      <c r="FS9" s="823"/>
      <c r="FT9" s="823"/>
      <c r="FU9" s="823"/>
      <c r="FV9" s="823"/>
      <c r="FW9" s="823"/>
      <c r="FX9" s="823"/>
      <c r="FY9" s="823">
        <v>0</v>
      </c>
      <c r="FZ9" s="823"/>
      <c r="GA9" s="823"/>
      <c r="GB9" s="823"/>
      <c r="GC9" s="823"/>
      <c r="GD9" s="823"/>
      <c r="GE9" s="823"/>
      <c r="GF9" s="823"/>
      <c r="GG9" s="823"/>
      <c r="GH9" s="823"/>
      <c r="GI9" s="823"/>
      <c r="GJ9" s="823"/>
      <c r="GK9" s="823"/>
      <c r="GL9" s="823"/>
      <c r="GM9" s="823"/>
      <c r="GN9" s="823">
        <v>0</v>
      </c>
      <c r="GO9" s="823">
        <v>0</v>
      </c>
      <c r="GP9" s="823">
        <v>0</v>
      </c>
      <c r="GQ9" s="823">
        <v>0</v>
      </c>
      <c r="GR9" s="823">
        <v>0</v>
      </c>
      <c r="GS9" s="823">
        <v>0</v>
      </c>
      <c r="GT9" s="823">
        <v>0</v>
      </c>
      <c r="GU9" s="823"/>
      <c r="GV9" s="823"/>
      <c r="GW9" s="823"/>
      <c r="GX9" s="823"/>
      <c r="GY9" s="823"/>
      <c r="GZ9" s="823"/>
      <c r="HA9" s="823"/>
      <c r="HB9" s="823"/>
      <c r="HC9" s="823"/>
      <c r="HD9" s="823"/>
      <c r="HE9" s="823"/>
      <c r="HF9" s="823"/>
      <c r="HG9" s="823"/>
      <c r="HH9" s="823"/>
      <c r="HI9" s="823"/>
      <c r="HJ9" s="823"/>
      <c r="HK9" s="823"/>
      <c r="HL9" s="823"/>
      <c r="HM9" s="823"/>
      <c r="HN9" s="823"/>
      <c r="HO9" s="823"/>
      <c r="HP9" s="823"/>
      <c r="HQ9" s="823"/>
      <c r="HR9" s="823"/>
      <c r="HS9" s="823"/>
      <c r="HT9" s="823"/>
      <c r="HU9" s="823"/>
      <c r="HV9" s="823"/>
      <c r="HW9" s="823"/>
      <c r="HX9" s="823"/>
      <c r="HY9" s="823"/>
      <c r="HZ9" s="823"/>
      <c r="IA9" s="823"/>
      <c r="IB9" s="823"/>
      <c r="IC9" s="823"/>
      <c r="ID9" s="823"/>
      <c r="IE9" s="823"/>
      <c r="IF9" s="823"/>
      <c r="IG9" s="823"/>
      <c r="IH9" s="823"/>
      <c r="II9" s="823"/>
      <c r="IJ9" s="823"/>
      <c r="IK9" s="823"/>
      <c r="IL9" s="823">
        <v>0</v>
      </c>
      <c r="IM9" s="823">
        <v>0</v>
      </c>
      <c r="IN9" s="823">
        <v>0</v>
      </c>
      <c r="IO9" s="823">
        <v>0</v>
      </c>
      <c r="IP9" s="823">
        <v>0</v>
      </c>
      <c r="IQ9" s="823">
        <v>0</v>
      </c>
      <c r="IR9" s="823">
        <v>0</v>
      </c>
    </row>
    <row r="10" spans="1:253" ht="12.75" x14ac:dyDescent="0.2">
      <c r="A10" s="824" t="s">
        <v>258</v>
      </c>
      <c r="B10" s="826">
        <v>310.35828249999997</v>
      </c>
      <c r="C10" s="826">
        <v>278.05790000000002</v>
      </c>
      <c r="D10" s="826">
        <v>315.32650000000001</v>
      </c>
      <c r="E10" s="826">
        <v>123.2332</v>
      </c>
      <c r="F10" s="826">
        <v>15.4701</v>
      </c>
      <c r="G10" s="826">
        <v>0</v>
      </c>
      <c r="H10" s="826">
        <v>41.52</v>
      </c>
      <c r="I10" s="826">
        <v>826.80937366399996</v>
      </c>
      <c r="J10" s="826">
        <v>879.72578051627204</v>
      </c>
      <c r="K10" s="826">
        <v>891.14765645652005</v>
      </c>
      <c r="L10" s="826">
        <v>1138.5198441934399</v>
      </c>
      <c r="M10" s="826">
        <v>1146.38979250381</v>
      </c>
      <c r="N10" s="826">
        <v>1118.93680235542</v>
      </c>
      <c r="O10" s="826">
        <v>1203.03227701791</v>
      </c>
      <c r="P10" s="826">
        <v>275.3456764</v>
      </c>
      <c r="Q10" s="826">
        <v>230.49218830000001</v>
      </c>
      <c r="R10" s="826">
        <v>124.61579999999999</v>
      </c>
      <c r="S10" s="826">
        <v>252.00818870000001</v>
      </c>
      <c r="T10" s="826">
        <v>14.909700000000001</v>
      </c>
      <c r="U10" s="826">
        <v>44.49</v>
      </c>
      <c r="V10" s="826">
        <v>41.868347</v>
      </c>
      <c r="W10" s="826">
        <v>336.21280000000002</v>
      </c>
      <c r="X10" s="826">
        <v>254.8896</v>
      </c>
      <c r="Y10" s="826">
        <v>314.4348</v>
      </c>
      <c r="Z10" s="826">
        <v>189.96435930000001</v>
      </c>
      <c r="AA10" s="826">
        <v>124.87869999999999</v>
      </c>
      <c r="AB10" s="826">
        <v>256.13</v>
      </c>
      <c r="AC10" s="826">
        <v>164.73</v>
      </c>
      <c r="AD10" s="826">
        <v>1748.726132564</v>
      </c>
      <c r="AE10" s="826">
        <v>1643.1654688162719</v>
      </c>
      <c r="AF10" s="826">
        <v>1645.5247564565202</v>
      </c>
      <c r="AG10" s="826">
        <v>1703.7255921934398</v>
      </c>
      <c r="AH10" s="826">
        <v>1301.6482925038099</v>
      </c>
      <c r="AI10" s="826">
        <v>1419.5568023554201</v>
      </c>
      <c r="AJ10" s="826">
        <v>1451.1506240179101</v>
      </c>
      <c r="AK10" s="826">
        <v>3.0686</v>
      </c>
      <c r="AL10" s="826">
        <v>6.7280067125587601</v>
      </c>
      <c r="AM10" s="826">
        <v>11.066126747236799</v>
      </c>
      <c r="AN10" s="826">
        <v>8.3487452999999991</v>
      </c>
      <c r="AO10" s="826">
        <v>11.0894940551538</v>
      </c>
      <c r="AP10" s="826">
        <v>186.1711</v>
      </c>
      <c r="AQ10" s="826">
        <v>230.0711685</v>
      </c>
      <c r="AR10" s="826">
        <v>171.60310000000001</v>
      </c>
      <c r="AS10" s="826">
        <v>254.05129980000001</v>
      </c>
      <c r="AT10" s="826">
        <v>255.41349969999999</v>
      </c>
      <c r="AU10" s="826">
        <v>307.1215785</v>
      </c>
      <c r="AV10" s="826">
        <v>287.86099999999999</v>
      </c>
      <c r="AW10" s="826">
        <v>0.4407585</v>
      </c>
      <c r="AX10" s="826">
        <v>0.248555</v>
      </c>
      <c r="AY10" s="826">
        <v>41.259171140663597</v>
      </c>
      <c r="AZ10" s="826">
        <v>38.774644253719899</v>
      </c>
      <c r="BA10" s="826">
        <v>46.664527800000002</v>
      </c>
      <c r="BB10" s="826">
        <v>60.742683459249797</v>
      </c>
      <c r="BC10" s="826">
        <v>37.032892500000003</v>
      </c>
      <c r="BD10" s="826">
        <v>54.121744999999997</v>
      </c>
      <c r="BE10" s="826">
        <v>47.157600000000002</v>
      </c>
      <c r="BF10" s="826">
        <v>52.037015500000003</v>
      </c>
      <c r="BG10" s="826">
        <v>46.349796099999999</v>
      </c>
      <c r="BH10" s="826">
        <v>68.838282300000003</v>
      </c>
      <c r="BI10" s="826">
        <v>92.317848600000005</v>
      </c>
      <c r="BJ10" s="826">
        <v>3.1474205</v>
      </c>
      <c r="BK10" s="826">
        <v>10.175550638000001</v>
      </c>
      <c r="BL10" s="826">
        <v>10.428801999999999</v>
      </c>
      <c r="BM10" s="826">
        <v>5.4236339999999998</v>
      </c>
      <c r="BN10" s="826">
        <v>4.5956979000000002</v>
      </c>
      <c r="BO10" s="826">
        <v>47.912385</v>
      </c>
      <c r="BP10" s="826">
        <v>31.719774300000001</v>
      </c>
      <c r="BQ10" s="826">
        <v>42.954799999999999</v>
      </c>
      <c r="BR10" s="826">
        <v>43.791200000000003</v>
      </c>
      <c r="BS10" s="826">
        <v>55.716927200000001</v>
      </c>
      <c r="BT10" s="826">
        <v>71.252395300000003</v>
      </c>
      <c r="BU10" s="826">
        <v>84.987986699999993</v>
      </c>
      <c r="BV10" s="826">
        <v>14.678000000000001</v>
      </c>
      <c r="BW10" s="826">
        <v>34.692646500000002</v>
      </c>
      <c r="BX10" s="826">
        <v>52.255899999999997</v>
      </c>
      <c r="BY10" s="826">
        <v>55.816899999999997</v>
      </c>
      <c r="BZ10" s="826">
        <v>74.975300000000004</v>
      </c>
      <c r="CA10" s="826">
        <v>12.1021</v>
      </c>
      <c r="CB10" s="826">
        <v>44.355899999999998</v>
      </c>
      <c r="CC10" s="826">
        <v>137.05709999999999</v>
      </c>
      <c r="CD10" s="826">
        <v>141.49379999999999</v>
      </c>
      <c r="CE10" s="826">
        <v>128.41569999999999</v>
      </c>
      <c r="CF10" s="826">
        <v>166.11</v>
      </c>
      <c r="CG10" s="826">
        <v>208.92477359096</v>
      </c>
      <c r="CH10" s="826">
        <v>160.25841729999999</v>
      </c>
      <c r="CI10" s="826">
        <v>216.673745</v>
      </c>
      <c r="CJ10" s="826">
        <v>287.90420269999998</v>
      </c>
      <c r="CK10" s="826">
        <v>353.4712399</v>
      </c>
      <c r="CL10" s="826">
        <v>389.47121620000001</v>
      </c>
      <c r="CM10" s="826">
        <v>436.1413751</v>
      </c>
      <c r="CN10" s="826">
        <v>539.57000000000005</v>
      </c>
      <c r="CO10" s="826">
        <v>66.083768300000003</v>
      </c>
      <c r="CP10" s="826">
        <v>105.713339</v>
      </c>
      <c r="CQ10" s="826">
        <v>128.5680227</v>
      </c>
      <c r="CR10" s="826">
        <v>134.87502559999999</v>
      </c>
      <c r="CS10" s="826">
        <v>164.11019999999999</v>
      </c>
      <c r="CT10" s="826">
        <v>183.7000467</v>
      </c>
      <c r="CU10" s="826">
        <v>207.69276099999999</v>
      </c>
      <c r="CV10" s="826">
        <v>2.9786731</v>
      </c>
      <c r="CW10" s="826">
        <v>7.2014718999999996</v>
      </c>
      <c r="CX10" s="826">
        <v>6.7248475000000001</v>
      </c>
      <c r="CY10" s="826">
        <v>7.5645613730000001</v>
      </c>
      <c r="CZ10" s="826">
        <v>9.6092460000000006</v>
      </c>
      <c r="DA10" s="826">
        <v>11.056804899999999</v>
      </c>
      <c r="DB10" s="826">
        <v>12.577439099999999</v>
      </c>
      <c r="DC10" s="826">
        <v>21.860795118498199</v>
      </c>
      <c r="DD10" s="826">
        <v>18.849494864775298</v>
      </c>
      <c r="DE10" s="826">
        <v>20.152099524845401</v>
      </c>
      <c r="DF10" s="826">
        <v>29.599494134236799</v>
      </c>
      <c r="DG10" s="826">
        <v>41.474812735514</v>
      </c>
      <c r="DH10" s="826">
        <v>55.200699412167403</v>
      </c>
      <c r="DI10" s="826">
        <v>57.193600000000004</v>
      </c>
      <c r="DJ10" s="826">
        <v>16.680259250999999</v>
      </c>
      <c r="DK10" s="826">
        <v>17.599399999999999</v>
      </c>
      <c r="DL10" s="826">
        <v>17.653099999999998</v>
      </c>
      <c r="DM10" s="826">
        <v>13.074299999999999</v>
      </c>
      <c r="DN10" s="826">
        <v>17.221847799999999</v>
      </c>
      <c r="DO10" s="826">
        <v>22.6985718</v>
      </c>
      <c r="DP10" s="826">
        <v>25.136670599999999</v>
      </c>
      <c r="DQ10" s="826">
        <v>9.1305678940000004</v>
      </c>
      <c r="DR10" s="826">
        <v>7.7582959740000002</v>
      </c>
      <c r="DS10" s="826">
        <v>2.528869346</v>
      </c>
      <c r="DT10" s="826">
        <v>15.454651881</v>
      </c>
      <c r="DU10" s="826">
        <v>16.260000000000002</v>
      </c>
      <c r="DV10" s="826">
        <v>17.437516299999999</v>
      </c>
      <c r="DW10" s="826">
        <v>14.283566199999999</v>
      </c>
      <c r="DX10" s="826">
        <v>13.1840543</v>
      </c>
      <c r="DY10" s="826">
        <v>11.7337767</v>
      </c>
      <c r="DZ10" s="826">
        <v>8.4198833999999998</v>
      </c>
      <c r="EA10" s="826">
        <v>11.984751599999999</v>
      </c>
      <c r="EB10" s="826">
        <v>11.7191831</v>
      </c>
      <c r="EC10" s="826">
        <v>86.695332500000006</v>
      </c>
      <c r="ED10" s="826">
        <v>77.016929599999997</v>
      </c>
      <c r="EE10" s="826">
        <v>80.1618292</v>
      </c>
      <c r="EF10" s="826">
        <v>101.9662931</v>
      </c>
      <c r="EG10" s="826">
        <v>103.9415858</v>
      </c>
      <c r="EH10" s="826">
        <v>144.59682770000001</v>
      </c>
      <c r="EI10" s="826">
        <v>183.849299</v>
      </c>
      <c r="EJ10" s="826">
        <v>44.012700000000002</v>
      </c>
      <c r="EK10" s="826">
        <v>47.006799999999998</v>
      </c>
      <c r="EL10" s="826">
        <v>60.8180622</v>
      </c>
      <c r="EM10" s="826">
        <v>77.376642700000005</v>
      </c>
      <c r="EN10" s="826">
        <v>74.221688400000005</v>
      </c>
      <c r="EO10" s="826">
        <v>78.926749400000006</v>
      </c>
      <c r="EP10" s="826">
        <v>82.720471200000006</v>
      </c>
      <c r="EQ10" s="826">
        <v>61.910079751236502</v>
      </c>
      <c r="ER10" s="826">
        <v>74.323435372252106</v>
      </c>
      <c r="ES10" s="826">
        <v>100.175976130091</v>
      </c>
      <c r="ET10" s="826">
        <v>107.289307160863</v>
      </c>
      <c r="EU10" s="826">
        <v>117.843216619877</v>
      </c>
      <c r="EV10" s="826">
        <v>135.6087</v>
      </c>
      <c r="EW10" s="826">
        <v>122.7544</v>
      </c>
      <c r="EX10" s="826">
        <v>54.634460400000002</v>
      </c>
      <c r="EY10" s="826">
        <v>48.967579899999997</v>
      </c>
      <c r="EZ10" s="826">
        <v>47.969107600000001</v>
      </c>
      <c r="FA10" s="826">
        <v>49.701030099999997</v>
      </c>
      <c r="FB10" s="826">
        <v>104.91506680000001</v>
      </c>
      <c r="FC10" s="826">
        <v>102.67189020000001</v>
      </c>
      <c r="FD10" s="826">
        <v>101.59</v>
      </c>
      <c r="FE10" s="826">
        <v>72.768199999999993</v>
      </c>
      <c r="FF10" s="826">
        <v>81.144734499999998</v>
      </c>
      <c r="FG10" s="826">
        <v>92.885085000000004</v>
      </c>
      <c r="FH10" s="826">
        <v>122.1598853</v>
      </c>
      <c r="FI10" s="826">
        <v>166.6107643</v>
      </c>
      <c r="FJ10" s="826">
        <v>192.548404</v>
      </c>
      <c r="FK10" s="826">
        <v>213.21893919999999</v>
      </c>
      <c r="FL10" s="826">
        <v>23.739733600000001</v>
      </c>
      <c r="FM10" s="826">
        <v>27.6529439</v>
      </c>
      <c r="FN10" s="826">
        <v>37.7605583</v>
      </c>
      <c r="FO10" s="826">
        <v>29.947576999999999</v>
      </c>
      <c r="FP10" s="826">
        <v>53.175258499999998</v>
      </c>
      <c r="FQ10" s="826">
        <v>14.3649617</v>
      </c>
      <c r="FR10" s="826">
        <v>51.398664400000001</v>
      </c>
      <c r="FS10" s="826">
        <v>912.71917162073464</v>
      </c>
      <c r="FT10" s="826">
        <v>1096.9505830370274</v>
      </c>
      <c r="FU10" s="826">
        <v>1364.0133046895999</v>
      </c>
      <c r="FV10" s="826">
        <v>1628.2615924463785</v>
      </c>
      <c r="FW10" s="826">
        <v>1859.8549354486274</v>
      </c>
      <c r="FX10" s="826">
        <v>2148.6086532524173</v>
      </c>
      <c r="FY10" s="826">
        <v>2390.433528446114</v>
      </c>
      <c r="FZ10" s="826">
        <v>170.5068</v>
      </c>
      <c r="GA10" s="826">
        <v>188.60808970599999</v>
      </c>
      <c r="GB10" s="826">
        <v>157.71114590000002</v>
      </c>
      <c r="GC10" s="826">
        <v>189.2693888</v>
      </c>
      <c r="GD10" s="826">
        <v>128.79845499999999</v>
      </c>
      <c r="GE10" s="826">
        <v>123.2043662</v>
      </c>
      <c r="GF10" s="826">
        <v>213.05548125067801</v>
      </c>
      <c r="GG10" s="826">
        <v>243.97430120000001</v>
      </c>
      <c r="GH10" s="826">
        <v>247.72410350000001</v>
      </c>
      <c r="GI10" s="826">
        <v>239.94192999999999</v>
      </c>
      <c r="GJ10" s="826">
        <v>274.06316700000002</v>
      </c>
      <c r="GK10" s="826">
        <v>341.44797899999998</v>
      </c>
      <c r="GL10" s="826">
        <v>376.00592399999999</v>
      </c>
      <c r="GM10" s="826">
        <v>435.38598400000001</v>
      </c>
      <c r="GN10" s="826">
        <v>414.48110120000001</v>
      </c>
      <c r="GO10" s="826">
        <v>436.332193206</v>
      </c>
      <c r="GP10" s="826">
        <v>397.65307589999998</v>
      </c>
      <c r="GQ10" s="826">
        <v>463.33255580000002</v>
      </c>
      <c r="GR10" s="826">
        <v>470.24643399999997</v>
      </c>
      <c r="GS10" s="826">
        <v>499.21029019999997</v>
      </c>
      <c r="GT10" s="826">
        <v>648.44146525067799</v>
      </c>
      <c r="GU10" s="826">
        <v>1.338512578</v>
      </c>
      <c r="GV10" s="826">
        <v>7.2750925000000004</v>
      </c>
      <c r="GW10" s="826">
        <v>8.97433798999994</v>
      </c>
      <c r="GX10" s="826">
        <v>15.62</v>
      </c>
      <c r="GY10" s="826">
        <v>20.844201718000001</v>
      </c>
      <c r="GZ10" s="826">
        <v>22.278882674999998</v>
      </c>
      <c r="HA10" s="826">
        <v>8.6567734000000005</v>
      </c>
      <c r="HB10" s="826">
        <v>11.528297999999999</v>
      </c>
      <c r="HC10" s="826">
        <v>16.179448971999999</v>
      </c>
      <c r="HD10" s="826">
        <v>21.284020099999999</v>
      </c>
      <c r="HE10" s="826">
        <v>21.905899999999999</v>
      </c>
      <c r="HF10" s="826">
        <v>56.842586099999998</v>
      </c>
      <c r="HG10" s="826">
        <v>63.032213499999997</v>
      </c>
      <c r="HH10" s="826">
        <v>23.934970499999999</v>
      </c>
      <c r="HI10" s="826">
        <v>14.645611600000001</v>
      </c>
      <c r="HJ10" s="826">
        <v>11.046003300000001</v>
      </c>
      <c r="HK10" s="826">
        <v>18.050862299999999</v>
      </c>
      <c r="HL10" s="826">
        <v>26.540700000000001</v>
      </c>
      <c r="HM10" s="826">
        <v>7.8706120999999998</v>
      </c>
      <c r="HN10" s="826">
        <v>6.8834561736761097</v>
      </c>
      <c r="HO10" s="826">
        <v>10.321407471000001</v>
      </c>
      <c r="HP10" s="826">
        <v>13.427899588000001</v>
      </c>
      <c r="HQ10" s="826">
        <v>12.66</v>
      </c>
      <c r="HR10" s="826">
        <v>17.693965846000001</v>
      </c>
      <c r="HS10" s="826">
        <v>16.267062768999999</v>
      </c>
      <c r="HT10" s="826">
        <v>15.845466434579</v>
      </c>
      <c r="HU10" s="826">
        <v>15.7180891</v>
      </c>
      <c r="HV10" s="826">
        <v>19.503989559000001</v>
      </c>
      <c r="HW10" s="826">
        <v>19.23831268615</v>
      </c>
      <c r="HX10" s="826">
        <v>26.348099999999999</v>
      </c>
      <c r="HY10" s="826">
        <v>29.726123775000001</v>
      </c>
      <c r="HZ10" s="826">
        <v>37.544080211000001</v>
      </c>
      <c r="IA10" s="826">
        <v>0.25146170000000001</v>
      </c>
      <c r="IB10" s="826">
        <v>0.23469999999999999</v>
      </c>
      <c r="IC10" s="826">
        <v>0</v>
      </c>
      <c r="ID10" s="826">
        <v>0</v>
      </c>
      <c r="IE10" s="826">
        <v>15.8865</v>
      </c>
      <c r="IF10" s="826">
        <v>35.785766316999997</v>
      </c>
      <c r="IG10" s="826">
        <v>54.495961776999998</v>
      </c>
      <c r="IH10" s="826">
        <v>79.790206966</v>
      </c>
      <c r="II10" s="826">
        <v>121.1759</v>
      </c>
      <c r="IJ10" s="826">
        <v>171.78450409999999</v>
      </c>
      <c r="IK10" s="826">
        <v>249.11525971569301</v>
      </c>
      <c r="IL10" s="826">
        <v>72.194322434578993</v>
      </c>
      <c r="IM10" s="826">
        <v>85.8997337686761</v>
      </c>
      <c r="IN10" s="826">
        <v>118.82190357900001</v>
      </c>
      <c r="IO10" s="826">
        <v>161.01710133014993</v>
      </c>
      <c r="IP10" s="826">
        <v>224.4853</v>
      </c>
      <c r="IQ10" s="826">
        <v>296.89138153900001</v>
      </c>
      <c r="IR10" s="826">
        <v>388.237498870693</v>
      </c>
    </row>
    <row r="11" spans="1:253" ht="12.75" x14ac:dyDescent="0.2">
      <c r="A11" s="824" t="s">
        <v>259</v>
      </c>
      <c r="B11" s="826">
        <v>523.53987649999999</v>
      </c>
      <c r="C11" s="826">
        <v>489.77749999999997</v>
      </c>
      <c r="D11" s="826">
        <v>401.52980000000002</v>
      </c>
      <c r="E11" s="826">
        <v>128.55629999999999</v>
      </c>
      <c r="F11" s="826">
        <v>4.6277999999999997</v>
      </c>
      <c r="G11" s="826">
        <v>0</v>
      </c>
      <c r="H11" s="826">
        <v>19.47</v>
      </c>
      <c r="I11" s="826">
        <v>461.79130499000001</v>
      </c>
      <c r="J11" s="826">
        <v>642.08671994919905</v>
      </c>
      <c r="K11" s="826">
        <v>746.06580117998897</v>
      </c>
      <c r="L11" s="826">
        <v>1012.6292055538599</v>
      </c>
      <c r="M11" s="826">
        <v>1177.4918850505101</v>
      </c>
      <c r="N11" s="826">
        <v>854.53857705132702</v>
      </c>
      <c r="O11" s="826">
        <v>803.28965448032397</v>
      </c>
      <c r="P11" s="826">
        <v>148.5380002</v>
      </c>
      <c r="Q11" s="826">
        <v>224.71122059999999</v>
      </c>
      <c r="R11" s="826">
        <v>190.20859999999999</v>
      </c>
      <c r="S11" s="826">
        <v>385.50353050000001</v>
      </c>
      <c r="T11" s="826">
        <v>18.047699999999999</v>
      </c>
      <c r="U11" s="826">
        <v>20.100000000000001</v>
      </c>
      <c r="V11" s="826">
        <v>14.354794200000001</v>
      </c>
      <c r="W11" s="826">
        <v>453.12459999999999</v>
      </c>
      <c r="X11" s="826">
        <v>167.90889999999999</v>
      </c>
      <c r="Y11" s="826">
        <v>350.0206</v>
      </c>
      <c r="Z11" s="826">
        <v>147.22202340000001</v>
      </c>
      <c r="AA11" s="826">
        <v>78.724599999999995</v>
      </c>
      <c r="AB11" s="826">
        <v>86.1</v>
      </c>
      <c r="AC11" s="826">
        <v>46.19</v>
      </c>
      <c r="AD11" s="826">
        <v>1586.9937816900001</v>
      </c>
      <c r="AE11" s="826">
        <v>1524.4843405491988</v>
      </c>
      <c r="AF11" s="826">
        <v>1687.824801179989</v>
      </c>
      <c r="AG11" s="826">
        <v>1673.9110594538602</v>
      </c>
      <c r="AH11" s="826">
        <v>1278.8919850505101</v>
      </c>
      <c r="AI11" s="826">
        <v>960.73857705132707</v>
      </c>
      <c r="AJ11" s="826">
        <v>883.30444868032396</v>
      </c>
      <c r="AK11" s="826">
        <v>3.0381999999999998</v>
      </c>
      <c r="AL11" s="826">
        <v>1.37369120592323</v>
      </c>
      <c r="AM11" s="826">
        <v>3.6489913405615999</v>
      </c>
      <c r="AN11" s="826">
        <v>4.3197511999999998</v>
      </c>
      <c r="AO11" s="826">
        <v>1.1507965592964</v>
      </c>
      <c r="AP11" s="826">
        <v>30.816800000000001</v>
      </c>
      <c r="AQ11" s="826">
        <v>51.414353200000001</v>
      </c>
      <c r="AR11" s="826">
        <v>29.415399999999998</v>
      </c>
      <c r="AS11" s="826">
        <v>35.435334500000003</v>
      </c>
      <c r="AT11" s="826">
        <v>118.8340797</v>
      </c>
      <c r="AU11" s="826">
        <v>97.794040899999999</v>
      </c>
      <c r="AV11" s="826">
        <v>130.0506</v>
      </c>
      <c r="AW11" s="826">
        <v>0.1234958</v>
      </c>
      <c r="AX11" s="826">
        <v>0.13243324300000001</v>
      </c>
      <c r="AY11" s="826">
        <v>3.6521553264863997</v>
      </c>
      <c r="AZ11" s="826">
        <v>3.1226362219994499</v>
      </c>
      <c r="BA11" s="826">
        <v>8.5698647666868606</v>
      </c>
      <c r="BB11" s="826">
        <v>8.0835049267833003</v>
      </c>
      <c r="BC11" s="826">
        <v>5.2140630999999997</v>
      </c>
      <c r="BD11" s="826">
        <v>11.1784497</v>
      </c>
      <c r="BE11" s="826">
        <v>5.8905000000000003</v>
      </c>
      <c r="BF11" s="826">
        <v>2.3866478999999998</v>
      </c>
      <c r="BG11" s="826">
        <v>14.279219400000001</v>
      </c>
      <c r="BH11" s="826">
        <v>14.552609</v>
      </c>
      <c r="BI11" s="826">
        <v>9.6963366999999998</v>
      </c>
      <c r="BJ11" s="826">
        <v>0.40606759999999997</v>
      </c>
      <c r="BK11" s="826">
        <v>1.393664131</v>
      </c>
      <c r="BL11" s="826">
        <v>5.3348167000000002</v>
      </c>
      <c r="BM11" s="826">
        <v>3.5096395999999999</v>
      </c>
      <c r="BN11" s="826">
        <v>5.0596383999999999</v>
      </c>
      <c r="BO11" s="826">
        <v>10.4201236</v>
      </c>
      <c r="BP11" s="826">
        <v>8.0852793999999992</v>
      </c>
      <c r="BQ11" s="826">
        <v>2.9026999999999998</v>
      </c>
      <c r="BR11" s="826">
        <v>1.5737000000000001</v>
      </c>
      <c r="BS11" s="826">
        <v>6.8054484999999998</v>
      </c>
      <c r="BT11" s="826">
        <v>14.7895865</v>
      </c>
      <c r="BU11" s="826">
        <v>8.4971400999999993</v>
      </c>
      <c r="BV11" s="826">
        <v>3.7423999999999999</v>
      </c>
      <c r="BW11" s="826">
        <v>0.98463440000000002</v>
      </c>
      <c r="BX11" s="826">
        <v>2.2446000000000002</v>
      </c>
      <c r="BY11" s="826">
        <v>11.1257</v>
      </c>
      <c r="BZ11" s="826">
        <v>8.4684000000000008</v>
      </c>
      <c r="CA11" s="826">
        <v>1.2969088</v>
      </c>
      <c r="CB11" s="826">
        <v>16.2226</v>
      </c>
      <c r="CC11" s="826">
        <v>15.9</v>
      </c>
      <c r="CD11" s="826">
        <v>15.8642</v>
      </c>
      <c r="CE11" s="826">
        <v>12.284800000000001</v>
      </c>
      <c r="CF11" s="826">
        <v>19.91</v>
      </c>
      <c r="CG11" s="826">
        <v>34.766318752678302</v>
      </c>
      <c r="CH11" s="826">
        <v>69.455256000000006</v>
      </c>
      <c r="CI11" s="826">
        <v>102.4960761</v>
      </c>
      <c r="CJ11" s="826">
        <v>171.50884690000001</v>
      </c>
      <c r="CK11" s="826">
        <v>121.1076133</v>
      </c>
      <c r="CL11" s="826">
        <v>111.3489986</v>
      </c>
      <c r="CM11" s="826">
        <v>115.96592889999999</v>
      </c>
      <c r="CN11" s="826">
        <v>172.54</v>
      </c>
      <c r="CO11" s="826">
        <v>3.4077619000000001</v>
      </c>
      <c r="CP11" s="826">
        <v>60.666517599999999</v>
      </c>
      <c r="CQ11" s="826">
        <v>9.1784274999999997</v>
      </c>
      <c r="CR11" s="826">
        <v>3.660933</v>
      </c>
      <c r="CS11" s="826">
        <v>9.9025999999999996</v>
      </c>
      <c r="CT11" s="826">
        <v>13.4829297</v>
      </c>
      <c r="CU11" s="826">
        <v>59.062721400000001</v>
      </c>
      <c r="CV11" s="826">
        <v>3.0960736</v>
      </c>
      <c r="CW11" s="826">
        <v>3.1382767999999999</v>
      </c>
      <c r="CX11" s="826">
        <v>1.2593802999999999</v>
      </c>
      <c r="CY11" s="826">
        <v>0.90334599999999998</v>
      </c>
      <c r="CZ11" s="826">
        <v>2.6606740000000002</v>
      </c>
      <c r="DA11" s="826">
        <v>3.4253041</v>
      </c>
      <c r="DB11" s="826">
        <v>1.0727515999999999</v>
      </c>
      <c r="DC11" s="826">
        <v>0.30769397944740001</v>
      </c>
      <c r="DD11" s="826">
        <v>1.2957171216985801</v>
      </c>
      <c r="DE11" s="826">
        <v>0.84740221527972104</v>
      </c>
      <c r="DF11" s="826">
        <v>0.76894397435653705</v>
      </c>
      <c r="DG11" s="826">
        <v>0.938916137349598</v>
      </c>
      <c r="DH11" s="826">
        <v>2.1004971111300601</v>
      </c>
      <c r="DI11" s="826">
        <v>2.3687999999999998</v>
      </c>
      <c r="DJ11" s="826">
        <v>1.4935</v>
      </c>
      <c r="DK11" s="826">
        <v>2.0242</v>
      </c>
      <c r="DL11" s="826">
        <v>1.3499000000000001</v>
      </c>
      <c r="DM11" s="826">
        <v>1.2098</v>
      </c>
      <c r="DN11" s="826">
        <v>7.0847178</v>
      </c>
      <c r="DO11" s="826">
        <v>4.8678566999999999</v>
      </c>
      <c r="DP11" s="826">
        <v>3.1969505620000001</v>
      </c>
      <c r="DQ11" s="826">
        <v>1.6516831949999999</v>
      </c>
      <c r="DR11" s="826">
        <v>0.49084777499999999</v>
      </c>
      <c r="DS11" s="826">
        <v>0.132332475</v>
      </c>
      <c r="DT11" s="826">
        <v>7.6229193100000003</v>
      </c>
      <c r="DU11" s="826">
        <v>2.2999999999999998</v>
      </c>
      <c r="DV11" s="826">
        <v>0.68570450000000005</v>
      </c>
      <c r="DW11" s="826">
        <v>0.52455839999999998</v>
      </c>
      <c r="DX11" s="826">
        <v>0.4531</v>
      </c>
      <c r="DY11" s="826">
        <v>0.40873300000000001</v>
      </c>
      <c r="DZ11" s="826">
        <v>0.4745935</v>
      </c>
      <c r="EA11" s="826">
        <v>0.9700162</v>
      </c>
      <c r="EB11" s="826">
        <v>0.107304</v>
      </c>
      <c r="EC11" s="826">
        <v>18.092435999999999</v>
      </c>
      <c r="ED11" s="826">
        <v>23.985676699999999</v>
      </c>
      <c r="EE11" s="826">
        <v>8.7128159499999995</v>
      </c>
      <c r="EF11" s="826">
        <v>6.4541820999999997</v>
      </c>
      <c r="EG11" s="826">
        <v>22.395274700000002</v>
      </c>
      <c r="EH11" s="826">
        <v>42.1997456</v>
      </c>
      <c r="EI11" s="826">
        <v>29.3864324</v>
      </c>
      <c r="EJ11" s="826">
        <v>5.6007477000000003</v>
      </c>
      <c r="EK11" s="826">
        <v>13.1101657</v>
      </c>
      <c r="EL11" s="826">
        <v>10.7862616</v>
      </c>
      <c r="EM11" s="826">
        <v>6.8274466</v>
      </c>
      <c r="EN11" s="826">
        <v>8.9080715000000001</v>
      </c>
      <c r="EO11" s="826">
        <v>21.562508399999999</v>
      </c>
      <c r="EP11" s="826">
        <v>26.6096246</v>
      </c>
      <c r="EQ11" s="826">
        <v>5.11761324749836</v>
      </c>
      <c r="ER11" s="826">
        <v>7.2194237468836304</v>
      </c>
      <c r="ES11" s="826">
        <v>9.6926198509298604</v>
      </c>
      <c r="ET11" s="826">
        <v>19.124928664999999</v>
      </c>
      <c r="EU11" s="826">
        <v>38.459168808000001</v>
      </c>
      <c r="EV11" s="826">
        <v>78.538499999999999</v>
      </c>
      <c r="EW11" s="826">
        <v>171.7688</v>
      </c>
      <c r="EX11" s="826">
        <v>0</v>
      </c>
      <c r="EY11" s="826">
        <v>2.1903000000000001E-3</v>
      </c>
      <c r="EZ11" s="826">
        <v>25.2432081</v>
      </c>
      <c r="FA11" s="826">
        <v>0.46636040000000001</v>
      </c>
      <c r="FB11" s="826">
        <v>30.659198499999999</v>
      </c>
      <c r="FC11" s="826">
        <v>45.186236600000001</v>
      </c>
      <c r="FD11" s="826">
        <v>84.36</v>
      </c>
      <c r="FE11" s="826">
        <v>21.7795937</v>
      </c>
      <c r="FF11" s="826">
        <v>22.816664800000002</v>
      </c>
      <c r="FG11" s="826">
        <v>25.386714000000001</v>
      </c>
      <c r="FH11" s="826">
        <v>20.915517900000001</v>
      </c>
      <c r="FI11" s="826">
        <v>39.472458000000003</v>
      </c>
      <c r="FJ11" s="826">
        <v>35.553134100000001</v>
      </c>
      <c r="FK11" s="826">
        <v>53.500859499999997</v>
      </c>
      <c r="FL11" s="826">
        <v>1.7721304</v>
      </c>
      <c r="FM11" s="826">
        <v>5.5977196999999999</v>
      </c>
      <c r="FN11" s="826">
        <v>3.9236873999999999</v>
      </c>
      <c r="FO11" s="826">
        <v>1.8216462</v>
      </c>
      <c r="FP11" s="826">
        <v>3.7398745999999998</v>
      </c>
      <c r="FQ11" s="826">
        <v>1.2300466000000001</v>
      </c>
      <c r="FR11" s="826">
        <v>6.6335630999999999</v>
      </c>
      <c r="FS11" s="826">
        <v>178.67990232694575</v>
      </c>
      <c r="FT11" s="826">
        <v>329.91030251158219</v>
      </c>
      <c r="FU11" s="826">
        <v>334.94146993769596</v>
      </c>
      <c r="FV11" s="826">
        <v>246.29480727327922</v>
      </c>
      <c r="FW11" s="826">
        <v>448.17869902759816</v>
      </c>
      <c r="FX11" s="826">
        <v>546.79045544791336</v>
      </c>
      <c r="FY11" s="826">
        <v>810.59703767397468</v>
      </c>
      <c r="FZ11" s="826">
        <v>0.61396771473255396</v>
      </c>
      <c r="GA11" s="826">
        <v>1.1464000000000001</v>
      </c>
      <c r="GB11" s="826">
        <v>1.8202054000000001</v>
      </c>
      <c r="GC11" s="826">
        <v>0.17896676468407799</v>
      </c>
      <c r="GD11" s="826">
        <v>1.342889</v>
      </c>
      <c r="GE11" s="826">
        <v>19.485119999999998</v>
      </c>
      <c r="GF11" s="826">
        <v>26.281969742901499</v>
      </c>
      <c r="GG11" s="826">
        <v>0.73069969999999995</v>
      </c>
      <c r="GH11" s="826">
        <v>6.6535424000000001</v>
      </c>
      <c r="GI11" s="826">
        <v>18.203851</v>
      </c>
      <c r="GJ11" s="826">
        <v>22.565158</v>
      </c>
      <c r="GK11" s="826">
        <v>28.169422999999998</v>
      </c>
      <c r="GL11" s="826">
        <v>82.174617999999995</v>
      </c>
      <c r="GM11" s="826">
        <v>55.320829000000003</v>
      </c>
      <c r="GN11" s="826">
        <v>1.3446674147325539</v>
      </c>
      <c r="GO11" s="826">
        <v>7.7999423999999999</v>
      </c>
      <c r="GP11" s="826">
        <v>20.024056399999999</v>
      </c>
      <c r="GQ11" s="826">
        <v>22.744124764684077</v>
      </c>
      <c r="GR11" s="826">
        <v>29.512311999999998</v>
      </c>
      <c r="GS11" s="826">
        <v>101.65973799999999</v>
      </c>
      <c r="GT11" s="826">
        <v>81.602798742901498</v>
      </c>
      <c r="GU11" s="826">
        <v>5.9938684020000004</v>
      </c>
      <c r="GV11" s="826">
        <v>0.509019</v>
      </c>
      <c r="GW11" s="826">
        <v>0.127009441</v>
      </c>
      <c r="GX11" s="826">
        <v>2.4</v>
      </c>
      <c r="GY11" s="826">
        <v>2.9421659170000001</v>
      </c>
      <c r="GZ11" s="826">
        <v>3.929196068</v>
      </c>
      <c r="HA11" s="826">
        <v>0.53386659999999997</v>
      </c>
      <c r="HB11" s="826">
        <v>0.1833111</v>
      </c>
      <c r="HC11" s="826">
        <v>1.6265989000000002E-2</v>
      </c>
      <c r="HD11" s="826">
        <v>1.14401E-2</v>
      </c>
      <c r="HE11" s="826">
        <v>0.31041570000000002</v>
      </c>
      <c r="HF11" s="826">
        <v>2.4455561000000001</v>
      </c>
      <c r="HG11" s="826">
        <v>1.8895854000000001</v>
      </c>
      <c r="HH11" s="826">
        <v>2.8626825999999999</v>
      </c>
      <c r="HI11" s="826">
        <v>1.9591829000000001</v>
      </c>
      <c r="HJ11" s="826">
        <v>1.5087942000000001</v>
      </c>
      <c r="HK11" s="826">
        <v>0.99263129999999999</v>
      </c>
      <c r="HL11" s="826">
        <v>1.3399061999999999</v>
      </c>
      <c r="HM11" s="826">
        <v>0.81816580000000005</v>
      </c>
      <c r="HN11" s="826">
        <v>0.51567177747568305</v>
      </c>
      <c r="HO11" s="826">
        <v>2.1307661740000001</v>
      </c>
      <c r="HP11" s="826">
        <v>0.82594319900000002</v>
      </c>
      <c r="HQ11" s="826">
        <v>4.93</v>
      </c>
      <c r="HR11" s="826">
        <v>5.3975562909999999</v>
      </c>
      <c r="HS11" s="826">
        <v>1.5534504579999999</v>
      </c>
      <c r="HT11" s="826">
        <v>1.71097484080203</v>
      </c>
      <c r="HU11" s="826">
        <v>2.5042852999999998</v>
      </c>
      <c r="HV11" s="826">
        <v>1.3881874910000001</v>
      </c>
      <c r="HW11" s="826">
        <v>1.2737711802534299</v>
      </c>
      <c r="HX11" s="826">
        <v>2.0247102866694902</v>
      </c>
      <c r="HY11" s="826">
        <v>1.28112682953668</v>
      </c>
      <c r="HZ11" s="826">
        <v>0.94076282899999997</v>
      </c>
      <c r="IA11" s="826">
        <v>2.8761188999999998</v>
      </c>
      <c r="IB11" s="826">
        <v>0.43819999999999998</v>
      </c>
      <c r="IC11" s="826">
        <v>4.9099999999999998E-2</v>
      </c>
      <c r="ID11" s="826">
        <v>0</v>
      </c>
      <c r="IE11" s="826">
        <v>1.9775794820000001</v>
      </c>
      <c r="IF11" s="826">
        <v>2.4580518480000002</v>
      </c>
      <c r="IG11" s="826">
        <v>4.6770308360000001</v>
      </c>
      <c r="IH11" s="826">
        <v>0.33723303599999999</v>
      </c>
      <c r="II11" s="826">
        <v>2.7416680000000002</v>
      </c>
      <c r="IJ11" s="826">
        <v>1.3723893</v>
      </c>
      <c r="IK11" s="826">
        <v>64.145292214614301</v>
      </c>
      <c r="IL11" s="826">
        <v>7.9032693228020294</v>
      </c>
      <c r="IM11" s="826">
        <v>13.614371327475682</v>
      </c>
      <c r="IN11" s="826">
        <v>10.230063690000001</v>
      </c>
      <c r="IO11" s="826">
        <v>6.4441471562534307</v>
      </c>
      <c r="IP11" s="826">
        <v>14.184900186669491</v>
      </c>
      <c r="IQ11" s="826">
        <v>13.487894437536678</v>
      </c>
      <c r="IR11" s="826">
        <v>72.458286969614292</v>
      </c>
    </row>
    <row r="12" spans="1:253" ht="12.75" x14ac:dyDescent="0.2">
      <c r="A12" s="824" t="s">
        <v>260</v>
      </c>
      <c r="B12" s="826">
        <v>2.1356000000000001E-3</v>
      </c>
      <c r="C12" s="826">
        <v>0</v>
      </c>
      <c r="D12" s="826">
        <v>0</v>
      </c>
      <c r="E12" s="826">
        <v>0</v>
      </c>
      <c r="F12" s="826">
        <v>0</v>
      </c>
      <c r="G12" s="826">
        <v>0</v>
      </c>
      <c r="H12" s="826"/>
      <c r="I12" s="826">
        <v>0</v>
      </c>
      <c r="J12" s="826">
        <v>0</v>
      </c>
      <c r="K12" s="826">
        <v>0</v>
      </c>
      <c r="L12" s="826">
        <v>0</v>
      </c>
      <c r="M12" s="826">
        <v>0</v>
      </c>
      <c r="N12" s="826">
        <v>0</v>
      </c>
      <c r="O12" s="826">
        <v>0</v>
      </c>
      <c r="P12" s="826">
        <v>0</v>
      </c>
      <c r="Q12" s="826">
        <v>0</v>
      </c>
      <c r="R12" s="826">
        <v>0</v>
      </c>
      <c r="S12" s="826">
        <v>2.3972866000000002</v>
      </c>
      <c r="T12" s="826">
        <v>0</v>
      </c>
      <c r="U12" s="826">
        <v>0</v>
      </c>
      <c r="V12" s="826">
        <v>0</v>
      </c>
      <c r="W12" s="826">
        <v>0</v>
      </c>
      <c r="X12" s="826">
        <v>0</v>
      </c>
      <c r="Y12" s="826">
        <v>0</v>
      </c>
      <c r="Z12" s="826">
        <v>0</v>
      </c>
      <c r="AA12" s="826">
        <v>0</v>
      </c>
      <c r="AB12" s="826">
        <v>0</v>
      </c>
      <c r="AC12" s="826"/>
      <c r="AD12" s="826">
        <v>2.1356000000000001E-3</v>
      </c>
      <c r="AE12" s="826">
        <v>0</v>
      </c>
      <c r="AF12" s="826">
        <v>0</v>
      </c>
      <c r="AG12" s="826">
        <v>2.3972866000000002</v>
      </c>
      <c r="AH12" s="826">
        <v>0</v>
      </c>
      <c r="AI12" s="826">
        <v>0</v>
      </c>
      <c r="AJ12" s="826">
        <v>0</v>
      </c>
      <c r="AK12" s="826">
        <v>0.13730000000000001</v>
      </c>
      <c r="AL12" s="826">
        <v>0.40029525868479199</v>
      </c>
      <c r="AM12" s="826">
        <v>0.41564540567519997</v>
      </c>
      <c r="AN12" s="826">
        <v>1.8554520000000001</v>
      </c>
      <c r="AO12" s="826">
        <v>0.315563091342</v>
      </c>
      <c r="AP12" s="826">
        <v>1.9995000000000001</v>
      </c>
      <c r="AQ12" s="826">
        <v>5.8901865000000004</v>
      </c>
      <c r="AR12" s="826">
        <v>9.3789999999999996</v>
      </c>
      <c r="AS12" s="826">
        <v>11.0140656</v>
      </c>
      <c r="AT12" s="826">
        <v>20.104893100000002</v>
      </c>
      <c r="AU12" s="826">
        <v>27.129516299999999</v>
      </c>
      <c r="AV12" s="826">
        <v>5.6837999999999997</v>
      </c>
      <c r="AW12" s="826">
        <v>0</v>
      </c>
      <c r="AX12" s="826">
        <v>0</v>
      </c>
      <c r="AY12" s="826">
        <v>0</v>
      </c>
      <c r="AZ12" s="826">
        <v>0</v>
      </c>
      <c r="BA12" s="826">
        <v>0</v>
      </c>
      <c r="BB12" s="826">
        <v>0</v>
      </c>
      <c r="BC12" s="826">
        <v>3.7182000000000001E-3</v>
      </c>
      <c r="BD12" s="826">
        <v>0</v>
      </c>
      <c r="BE12" s="826">
        <v>0</v>
      </c>
      <c r="BF12" s="826">
        <v>0</v>
      </c>
      <c r="BG12" s="826">
        <v>0</v>
      </c>
      <c r="BH12" s="826">
        <v>0</v>
      </c>
      <c r="BI12" s="826">
        <v>0</v>
      </c>
      <c r="BJ12" s="826">
        <v>1.2236309000000001</v>
      </c>
      <c r="BK12" s="826">
        <v>1.72066567</v>
      </c>
      <c r="BL12" s="826">
        <v>3.6164957000000002</v>
      </c>
      <c r="BM12" s="826">
        <v>10.4095721</v>
      </c>
      <c r="BN12" s="826">
        <v>2.9944272000000001</v>
      </c>
      <c r="BO12" s="826">
        <v>0.48356310000000002</v>
      </c>
      <c r="BP12" s="826">
        <v>0.14856030000000001</v>
      </c>
      <c r="BQ12" s="826">
        <v>0.16420000000000001</v>
      </c>
      <c r="BR12" s="826">
        <v>0.31580000000000003</v>
      </c>
      <c r="BS12" s="826">
        <v>0.35406599999999999</v>
      </c>
      <c r="BT12" s="826">
        <v>3.6664900999999999</v>
      </c>
      <c r="BU12" s="826">
        <v>1.6332800000000001E-2</v>
      </c>
      <c r="BV12" s="826">
        <v>0.29920000000000002</v>
      </c>
      <c r="BW12" s="826">
        <v>3.5211058999999998</v>
      </c>
      <c r="BX12" s="826">
        <v>0.1399</v>
      </c>
      <c r="BY12" s="826">
        <v>0</v>
      </c>
      <c r="BZ12" s="826">
        <v>1.9418</v>
      </c>
      <c r="CA12" s="826">
        <v>0</v>
      </c>
      <c r="CB12" s="826"/>
      <c r="CC12" s="826">
        <v>0</v>
      </c>
      <c r="CD12" s="826">
        <v>3.5617999999999999</v>
      </c>
      <c r="CE12" s="826">
        <v>0</v>
      </c>
      <c r="CF12" s="826">
        <v>0</v>
      </c>
      <c r="CG12" s="826">
        <v>0</v>
      </c>
      <c r="CH12" s="826">
        <v>2.2577991000000002</v>
      </c>
      <c r="CI12" s="826">
        <v>9.9475019000000007</v>
      </c>
      <c r="CJ12" s="826">
        <v>53.520237299999998</v>
      </c>
      <c r="CK12" s="826">
        <v>14.5725868</v>
      </c>
      <c r="CL12" s="826">
        <v>36.375513099999999</v>
      </c>
      <c r="CM12" s="826">
        <v>47.4793442</v>
      </c>
      <c r="CN12" s="826">
        <v>8.92</v>
      </c>
      <c r="CO12" s="826">
        <v>0</v>
      </c>
      <c r="CP12" s="826">
        <v>0</v>
      </c>
      <c r="CQ12" s="826">
        <v>0</v>
      </c>
      <c r="CR12" s="826">
        <v>0</v>
      </c>
      <c r="CS12" s="826">
        <v>0</v>
      </c>
      <c r="CT12" s="826">
        <v>0</v>
      </c>
      <c r="CU12" s="826">
        <v>0</v>
      </c>
      <c r="CV12" s="826">
        <v>2.33E-3</v>
      </c>
      <c r="CW12" s="826">
        <v>0.13324530000000001</v>
      </c>
      <c r="CX12" s="826">
        <v>0.27117910000000001</v>
      </c>
      <c r="CY12" s="826">
        <v>0.40709669999999998</v>
      </c>
      <c r="CZ12" s="826">
        <v>0.79959420000000003</v>
      </c>
      <c r="DA12" s="826">
        <v>2.45557E-2</v>
      </c>
      <c r="DB12" s="826">
        <v>0.41438779999999997</v>
      </c>
      <c r="DC12" s="826">
        <v>0</v>
      </c>
      <c r="DD12" s="826">
        <v>0</v>
      </c>
      <c r="DE12" s="826">
        <v>0</v>
      </c>
      <c r="DF12" s="826">
        <v>0</v>
      </c>
      <c r="DG12" s="826">
        <v>0</v>
      </c>
      <c r="DH12" s="826">
        <v>0</v>
      </c>
      <c r="DI12" s="826">
        <v>0</v>
      </c>
      <c r="DJ12" s="826">
        <v>0</v>
      </c>
      <c r="DK12" s="826">
        <v>0</v>
      </c>
      <c r="DL12" s="826">
        <v>0</v>
      </c>
      <c r="DM12" s="826">
        <v>0</v>
      </c>
      <c r="DN12" s="826">
        <v>7.24495E-2</v>
      </c>
      <c r="DO12" s="826">
        <v>3.6787899999999998E-2</v>
      </c>
      <c r="DP12" s="826">
        <v>3.89585E-2</v>
      </c>
      <c r="DQ12" s="826">
        <v>0</v>
      </c>
      <c r="DR12" s="826">
        <v>0</v>
      </c>
      <c r="DS12" s="826">
        <v>0</v>
      </c>
      <c r="DT12" s="826">
        <v>0</v>
      </c>
      <c r="DU12" s="826"/>
      <c r="DV12" s="826">
        <v>0</v>
      </c>
      <c r="DW12" s="826">
        <v>0</v>
      </c>
      <c r="DX12" s="826">
        <v>0.1211</v>
      </c>
      <c r="DY12" s="826">
        <v>0</v>
      </c>
      <c r="DZ12" s="826">
        <v>0</v>
      </c>
      <c r="EA12" s="826">
        <v>0</v>
      </c>
      <c r="EB12" s="826">
        <v>0</v>
      </c>
      <c r="EC12" s="826">
        <v>8.9713100000000004E-2</v>
      </c>
      <c r="ED12" s="826">
        <v>1.7538187000000001</v>
      </c>
      <c r="EE12" s="826">
        <v>1.3400829000000001</v>
      </c>
      <c r="EF12" s="826">
        <v>0.91828750000000003</v>
      </c>
      <c r="EG12" s="826">
        <v>1.2983750999999999</v>
      </c>
      <c r="EH12" s="826">
        <v>4.6324072999999997</v>
      </c>
      <c r="EI12" s="826">
        <v>1.9401491</v>
      </c>
      <c r="EJ12" s="826">
        <v>2.2915291999999998</v>
      </c>
      <c r="EK12" s="826">
        <v>0.1073129</v>
      </c>
      <c r="EL12" s="826">
        <v>0.65601679999999996</v>
      </c>
      <c r="EM12" s="826">
        <v>1.6837325999999999</v>
      </c>
      <c r="EN12" s="826">
        <v>1.4610519</v>
      </c>
      <c r="EO12" s="826">
        <v>9.5221608999999994</v>
      </c>
      <c r="EP12" s="826">
        <v>4.0300981</v>
      </c>
      <c r="EQ12" s="826">
        <v>0</v>
      </c>
      <c r="ER12" s="826">
        <v>4.1803726454444398E-2</v>
      </c>
      <c r="ES12" s="826">
        <v>0.120173261924021</v>
      </c>
      <c r="ET12" s="826">
        <v>3.2568467590000001</v>
      </c>
      <c r="EU12" s="826">
        <v>40.198492100999999</v>
      </c>
      <c r="EV12" s="826">
        <v>8.0917999999999992</v>
      </c>
      <c r="EW12" s="826">
        <v>23.467600000000001</v>
      </c>
      <c r="EX12" s="826">
        <v>0</v>
      </c>
      <c r="EY12" s="826">
        <v>0</v>
      </c>
      <c r="EZ12" s="826">
        <v>0</v>
      </c>
      <c r="FA12" s="826">
        <v>0</v>
      </c>
      <c r="FB12" s="826">
        <v>0</v>
      </c>
      <c r="FC12" s="826">
        <v>0</v>
      </c>
      <c r="FD12" s="826">
        <v>-0.24</v>
      </c>
      <c r="FE12" s="826">
        <v>2.4265227</v>
      </c>
      <c r="FF12" s="826">
        <v>3.3443689999999999</v>
      </c>
      <c r="FG12" s="826">
        <v>5.3326919999999998</v>
      </c>
      <c r="FH12" s="826">
        <v>10.666696099999999</v>
      </c>
      <c r="FI12" s="826">
        <v>23.774136599999999</v>
      </c>
      <c r="FJ12" s="826">
        <v>7.8385178</v>
      </c>
      <c r="FK12" s="826">
        <v>2.5195799999999999</v>
      </c>
      <c r="FL12" s="826">
        <v>0.39611220000000003</v>
      </c>
      <c r="FM12" s="826">
        <v>3.1039199999999999E-2</v>
      </c>
      <c r="FN12" s="826">
        <v>6.4348299999999997E-2</v>
      </c>
      <c r="FO12" s="826">
        <v>2.2888722000000001</v>
      </c>
      <c r="FP12" s="826">
        <v>4.1366195000000001</v>
      </c>
      <c r="FQ12" s="826">
        <v>0.95996389999999998</v>
      </c>
      <c r="FR12" s="826">
        <v>0.17924570000000001</v>
      </c>
      <c r="FS12" s="826">
        <v>9.9507875999999982</v>
      </c>
      <c r="FT12" s="826">
        <v>21.397837526454442</v>
      </c>
      <c r="FU12" s="826">
        <v>72.629160561924024</v>
      </c>
      <c r="FV12" s="826">
        <v>54.327851087684806</v>
      </c>
      <c r="FW12" s="826">
        <v>132.74723220667519</v>
      </c>
      <c r="FX12" s="826">
        <v>121.6465682</v>
      </c>
      <c r="FY12" s="826">
        <v>52.221942291341996</v>
      </c>
      <c r="FZ12" s="826">
        <v>0</v>
      </c>
      <c r="GA12" s="826">
        <v>1.0163</v>
      </c>
      <c r="GB12" s="826">
        <v>8.1000000000000003E-2</v>
      </c>
      <c r="GC12" s="826">
        <v>0</v>
      </c>
      <c r="GD12" s="826">
        <v>0</v>
      </c>
      <c r="GE12" s="826">
        <v>0</v>
      </c>
      <c r="GF12" s="826">
        <v>16.438500000000001</v>
      </c>
      <c r="GG12" s="826">
        <v>0</v>
      </c>
      <c r="GH12" s="826">
        <v>7.3000000000000004E-6</v>
      </c>
      <c r="GI12" s="826">
        <v>0</v>
      </c>
      <c r="GJ12" s="826">
        <v>7.0459389999999997</v>
      </c>
      <c r="GK12" s="826">
        <v>10.1703958</v>
      </c>
      <c r="GL12" s="826">
        <v>22.8254506</v>
      </c>
      <c r="GM12" s="826">
        <v>0</v>
      </c>
      <c r="GN12" s="826">
        <v>0</v>
      </c>
      <c r="GO12" s="826">
        <v>1.0163073</v>
      </c>
      <c r="GP12" s="826">
        <v>8.1000000000000003E-2</v>
      </c>
      <c r="GQ12" s="826">
        <v>7.0459389999999997</v>
      </c>
      <c r="GR12" s="826">
        <v>10.1703958</v>
      </c>
      <c r="GS12" s="826">
        <v>22.8254506</v>
      </c>
      <c r="GT12" s="826">
        <v>16.438500000000001</v>
      </c>
      <c r="GU12" s="826">
        <v>7.8452327000000002E-2</v>
      </c>
      <c r="GV12" s="826">
        <v>0.30855300000000002</v>
      </c>
      <c r="GW12" s="826">
        <v>1.0165858999999999E-2</v>
      </c>
      <c r="GX12" s="826">
        <v>0</v>
      </c>
      <c r="GY12" s="826">
        <v>0</v>
      </c>
      <c r="GZ12" s="826">
        <v>3.58993E-4</v>
      </c>
      <c r="HA12" s="826">
        <v>0</v>
      </c>
      <c r="HB12" s="826">
        <v>0</v>
      </c>
      <c r="HC12" s="826">
        <v>0</v>
      </c>
      <c r="HD12" s="826">
        <v>0</v>
      </c>
      <c r="HE12" s="826">
        <v>0</v>
      </c>
      <c r="HF12" s="826">
        <v>0</v>
      </c>
      <c r="HG12" s="826">
        <v>2.5697128999999999</v>
      </c>
      <c r="HH12" s="826">
        <v>0</v>
      </c>
      <c r="HI12" s="826">
        <v>0</v>
      </c>
      <c r="HJ12" s="826">
        <v>0</v>
      </c>
      <c r="HK12" s="826">
        <v>0</v>
      </c>
      <c r="HL12" s="826">
        <v>0</v>
      </c>
      <c r="HM12" s="826">
        <v>0</v>
      </c>
      <c r="HN12" s="826">
        <v>0</v>
      </c>
      <c r="HO12" s="826">
        <v>0</v>
      </c>
      <c r="HP12" s="826">
        <v>0</v>
      </c>
      <c r="HQ12" s="826">
        <v>0</v>
      </c>
      <c r="HR12" s="826">
        <v>3.6124999999999998</v>
      </c>
      <c r="HS12" s="826">
        <v>0</v>
      </c>
      <c r="HT12" s="826">
        <v>0</v>
      </c>
      <c r="HU12" s="826">
        <v>0</v>
      </c>
      <c r="HV12" s="826">
        <v>0</v>
      </c>
      <c r="HW12" s="826">
        <v>0</v>
      </c>
      <c r="HX12" s="826">
        <v>0</v>
      </c>
      <c r="HY12" s="826">
        <v>0</v>
      </c>
      <c r="HZ12" s="826">
        <v>0</v>
      </c>
      <c r="IA12" s="826">
        <v>0</v>
      </c>
      <c r="IB12" s="826">
        <v>0</v>
      </c>
      <c r="IC12" s="826">
        <v>0</v>
      </c>
      <c r="ID12" s="826">
        <v>0</v>
      </c>
      <c r="IE12" s="826">
        <v>0</v>
      </c>
      <c r="IF12" s="826">
        <v>0</v>
      </c>
      <c r="IG12" s="826">
        <v>0</v>
      </c>
      <c r="IH12" s="826">
        <v>0</v>
      </c>
      <c r="II12" s="826">
        <v>0</v>
      </c>
      <c r="IJ12" s="826">
        <v>0</v>
      </c>
      <c r="IK12" s="826">
        <v>0</v>
      </c>
      <c r="IL12" s="826">
        <v>0</v>
      </c>
      <c r="IM12" s="826">
        <v>7.8452327000000002E-2</v>
      </c>
      <c r="IN12" s="826">
        <v>0.30855300000000002</v>
      </c>
      <c r="IO12" s="826">
        <v>1.0165858999999999E-2</v>
      </c>
      <c r="IP12" s="826">
        <v>0</v>
      </c>
      <c r="IQ12" s="826">
        <v>3.6124999999999998</v>
      </c>
      <c r="IR12" s="826">
        <v>2.5700718929999997</v>
      </c>
    </row>
    <row r="13" spans="1:253" ht="12.75" x14ac:dyDescent="0.2">
      <c r="A13" s="821" t="s">
        <v>261</v>
      </c>
      <c r="B13" s="823">
        <v>24.868868200000001</v>
      </c>
      <c r="C13" s="823">
        <v>6.4279000000000002</v>
      </c>
      <c r="D13" s="823">
        <v>36.324399999999997</v>
      </c>
      <c r="E13" s="823">
        <v>74.636499999999998</v>
      </c>
      <c r="F13" s="823">
        <v>15.6021</v>
      </c>
      <c r="G13" s="823">
        <v>34.78</v>
      </c>
      <c r="H13" s="823">
        <v>23.15</v>
      </c>
      <c r="I13" s="823">
        <v>72.642300000000006</v>
      </c>
      <c r="J13" s="823">
        <v>218.550658615</v>
      </c>
      <c r="K13" s="823">
        <v>103.67640123699999</v>
      </c>
      <c r="L13" s="823">
        <v>42.801155084999998</v>
      </c>
      <c r="M13" s="823">
        <v>60.569223702999999</v>
      </c>
      <c r="N13" s="823">
        <v>30.693418113</v>
      </c>
      <c r="O13" s="823">
        <v>97.579027565000004</v>
      </c>
      <c r="P13" s="823">
        <v>320.08450049999999</v>
      </c>
      <c r="Q13" s="823">
        <v>87.228505699999999</v>
      </c>
      <c r="R13" s="823">
        <v>101.8468</v>
      </c>
      <c r="S13" s="823">
        <v>168.42187910000001</v>
      </c>
      <c r="T13" s="823">
        <v>139.76439999999999</v>
      </c>
      <c r="U13" s="823">
        <v>27.53</v>
      </c>
      <c r="V13" s="823">
        <v>26.500732500000002</v>
      </c>
      <c r="W13" s="823">
        <v>42.911100000000005</v>
      </c>
      <c r="X13" s="823">
        <v>21.757199999999997</v>
      </c>
      <c r="Y13" s="823">
        <v>34.777200000000001</v>
      </c>
      <c r="Z13" s="823">
        <v>12.0008556</v>
      </c>
      <c r="AA13" s="823">
        <v>8.8989000000000011</v>
      </c>
      <c r="AB13" s="823">
        <v>8.43</v>
      </c>
      <c r="AC13" s="823">
        <v>16.25</v>
      </c>
      <c r="AD13" s="823">
        <v>460.50676870000007</v>
      </c>
      <c r="AE13" s="823">
        <v>333.96426431500004</v>
      </c>
      <c r="AF13" s="823">
        <v>276.62480123699999</v>
      </c>
      <c r="AG13" s="823">
        <v>297.86038978500005</v>
      </c>
      <c r="AH13" s="823">
        <v>224.83462370300001</v>
      </c>
      <c r="AI13" s="823">
        <v>101.43341811300002</v>
      </c>
      <c r="AJ13" s="823">
        <v>163.47976006499999</v>
      </c>
      <c r="AK13" s="823">
        <v>0</v>
      </c>
      <c r="AL13" s="823">
        <v>0</v>
      </c>
      <c r="AM13" s="823">
        <v>1.6255E-3</v>
      </c>
      <c r="AN13" s="823">
        <v>2.5059116000000001</v>
      </c>
      <c r="AO13" s="823">
        <v>6.0514280000000002E-3</v>
      </c>
      <c r="AP13" s="823">
        <v>2.7384529529999999</v>
      </c>
      <c r="AQ13" s="823">
        <v>7.9816211998425803</v>
      </c>
      <c r="AR13" s="823">
        <v>1.4718</v>
      </c>
      <c r="AS13" s="823">
        <v>-6.2880474</v>
      </c>
      <c r="AT13" s="823">
        <v>-5.1729298000000004</v>
      </c>
      <c r="AU13" s="823">
        <v>-47.436357200000003</v>
      </c>
      <c r="AV13" s="823">
        <v>-26.044899999999998</v>
      </c>
      <c r="AW13" s="823">
        <v>0</v>
      </c>
      <c r="AX13" s="823">
        <v>0</v>
      </c>
      <c r="AY13" s="823">
        <v>0</v>
      </c>
      <c r="AZ13" s="823">
        <v>0.116667924625851</v>
      </c>
      <c r="BA13" s="823">
        <v>-0.60894047583388</v>
      </c>
      <c r="BB13" s="823">
        <v>-1.9114293619871401</v>
      </c>
      <c r="BC13" s="823">
        <v>0</v>
      </c>
      <c r="BD13" s="823">
        <v>0</v>
      </c>
      <c r="BE13" s="823">
        <v>0</v>
      </c>
      <c r="BF13" s="823">
        <v>0</v>
      </c>
      <c r="BG13" s="823">
        <v>0</v>
      </c>
      <c r="BH13" s="823">
        <v>0</v>
      </c>
      <c r="BI13" s="823">
        <v>0</v>
      </c>
      <c r="BJ13" s="823">
        <v>0.56729450000000003</v>
      </c>
      <c r="BK13" s="823">
        <v>0.19420889999999999</v>
      </c>
      <c r="BL13" s="823">
        <v>2.6137999999999999E-3</v>
      </c>
      <c r="BM13" s="823">
        <v>0</v>
      </c>
      <c r="BN13" s="823">
        <v>3.4881999999999999E-3</v>
      </c>
      <c r="BO13" s="823">
        <v>1.2178519000000001</v>
      </c>
      <c r="BP13" s="823">
        <v>0.65849709999999995</v>
      </c>
      <c r="BQ13" s="823">
        <v>0.14940000000000001</v>
      </c>
      <c r="BR13" s="823">
        <v>0.61</v>
      </c>
      <c r="BS13" s="823">
        <v>0.36529020000000001</v>
      </c>
      <c r="BT13" s="823">
        <v>-1.5144922999999999</v>
      </c>
      <c r="BU13" s="823">
        <v>-1.6909662000000001</v>
      </c>
      <c r="BV13" s="823">
        <v>5.9999999999999995E-4</v>
      </c>
      <c r="BW13" s="823">
        <v>0</v>
      </c>
      <c r="BX13" s="823">
        <v>3.3E-3</v>
      </c>
      <c r="BY13" s="823">
        <v>0</v>
      </c>
      <c r="BZ13" s="823">
        <v>0</v>
      </c>
      <c r="CA13" s="823">
        <v>3.5000000000000003E-2</v>
      </c>
      <c r="CB13" s="823">
        <v>-0.6613</v>
      </c>
      <c r="CC13" s="823">
        <v>0</v>
      </c>
      <c r="CD13" s="823">
        <v>17.5</v>
      </c>
      <c r="CE13" s="823">
        <v>0</v>
      </c>
      <c r="CF13" s="823">
        <v>0</v>
      </c>
      <c r="CG13" s="823">
        <v>0</v>
      </c>
      <c r="CH13" s="823">
        <v>14.4145728</v>
      </c>
      <c r="CI13" s="823">
        <v>2.0114895000000002</v>
      </c>
      <c r="CJ13" s="823">
        <v>8.1505019999999995</v>
      </c>
      <c r="CK13" s="823">
        <v>14.301213300000001</v>
      </c>
      <c r="CL13" s="823">
        <v>15.568797</v>
      </c>
      <c r="CM13" s="823">
        <v>12.3824928</v>
      </c>
      <c r="CN13" s="823">
        <v>2.9502999999999999</v>
      </c>
      <c r="CO13" s="823">
        <v>3.6006619</v>
      </c>
      <c r="CP13" s="823">
        <v>5.4989755999999996</v>
      </c>
      <c r="CQ13" s="823">
        <v>1.7503389</v>
      </c>
      <c r="CR13" s="823">
        <v>3.5870359000000001</v>
      </c>
      <c r="CS13" s="823">
        <v>6.4658999999999995</v>
      </c>
      <c r="CT13" s="823">
        <v>5.9139949999999999</v>
      </c>
      <c r="CU13" s="823">
        <v>2.8576157000000002</v>
      </c>
      <c r="CV13" s="823">
        <v>0.25290269999999998</v>
      </c>
      <c r="CW13" s="823">
        <v>4.2037000000000003E-3</v>
      </c>
      <c r="CX13" s="823">
        <v>1.53895E-2</v>
      </c>
      <c r="CY13" s="823">
        <v>0.16896620000000001</v>
      </c>
      <c r="CZ13" s="823">
        <v>-5.4001899999999999E-2</v>
      </c>
      <c r="DA13" s="823">
        <v>2.9164900000000001E-2</v>
      </c>
      <c r="DB13" s="823">
        <v>0.23180390000000001</v>
      </c>
      <c r="DC13" s="823">
        <v>0</v>
      </c>
      <c r="DD13" s="823">
        <v>0</v>
      </c>
      <c r="DE13" s="823">
        <v>0</v>
      </c>
      <c r="DF13" s="823">
        <v>0</v>
      </c>
      <c r="DG13" s="823">
        <v>0</v>
      </c>
      <c r="DH13" s="823">
        <v>1.9790000000000001E-4</v>
      </c>
      <c r="DI13" s="823">
        <v>0</v>
      </c>
      <c r="DJ13" s="823">
        <v>0</v>
      </c>
      <c r="DK13" s="823">
        <v>0</v>
      </c>
      <c r="DL13" s="823">
        <v>0</v>
      </c>
      <c r="DM13" s="823">
        <v>0</v>
      </c>
      <c r="DN13" s="823">
        <v>0.1572511</v>
      </c>
      <c r="DO13" s="823">
        <v>1.0464999999999999E-3</v>
      </c>
      <c r="DP13" s="823">
        <v>6.6314E-3</v>
      </c>
      <c r="DQ13" s="823">
        <v>0</v>
      </c>
      <c r="DR13" s="823">
        <v>5.2052205999999997E-2</v>
      </c>
      <c r="DS13" s="823">
        <v>7.9966919999999997E-3</v>
      </c>
      <c r="DT13" s="823">
        <v>7.0586080000000001E-3</v>
      </c>
      <c r="DU13" s="823">
        <v>0.01</v>
      </c>
      <c r="DV13" s="823">
        <v>5.1200000000000002E-2</v>
      </c>
      <c r="DW13" s="823">
        <v>6.4999999999999997E-3</v>
      </c>
      <c r="DX13" s="823">
        <v>9.3338299999999999E-2</v>
      </c>
      <c r="DY13" s="823">
        <v>0.16156989999999999</v>
      </c>
      <c r="DZ13" s="823">
        <v>-5.7478799999999997E-2</v>
      </c>
      <c r="EA13" s="823">
        <v>0.37947019999999998</v>
      </c>
      <c r="EB13" s="823">
        <v>0.25426219999999999</v>
      </c>
      <c r="EC13" s="823">
        <v>0.66315550000000001</v>
      </c>
      <c r="ED13" s="823">
        <v>0.96226449999999997</v>
      </c>
      <c r="EE13" s="823">
        <v>2.0958820999999999</v>
      </c>
      <c r="EF13" s="823">
        <v>6.102894</v>
      </c>
      <c r="EG13" s="823">
        <v>3.0124886000000002</v>
      </c>
      <c r="EH13" s="823">
        <v>49.621126443000001</v>
      </c>
      <c r="EI13" s="823">
        <v>28.663940700000001</v>
      </c>
      <c r="EJ13" s="823">
        <v>-0.29120000000000001</v>
      </c>
      <c r="EK13" s="823">
        <v>-0.8851</v>
      </c>
      <c r="EL13" s="823">
        <v>0.36456090000000002</v>
      </c>
      <c r="EM13" s="823">
        <v>0.1134777</v>
      </c>
      <c r="EN13" s="823">
        <v>9.5936099999999996E-2</v>
      </c>
      <c r="EO13" s="823">
        <v>5.53757E-2</v>
      </c>
      <c r="EP13" s="823">
        <v>3.2061600000000003E-2</v>
      </c>
      <c r="EQ13" s="823">
        <v>0.118804642</v>
      </c>
      <c r="ER13" s="823">
        <v>2.4136069849999999</v>
      </c>
      <c r="ES13" s="823">
        <v>0.70968574600000001</v>
      </c>
      <c r="ET13" s="823">
        <v>1.1361300190000001</v>
      </c>
      <c r="EU13" s="823">
        <v>0.24327817700000001</v>
      </c>
      <c r="EV13" s="823">
        <v>3.9333</v>
      </c>
      <c r="EW13" s="823">
        <v>12.3047</v>
      </c>
      <c r="EX13" s="823">
        <v>0.2150397</v>
      </c>
      <c r="EY13" s="823">
        <v>-1.0770139999999999</v>
      </c>
      <c r="EZ13" s="823">
        <v>0</v>
      </c>
      <c r="FA13" s="823">
        <v>-1.0035635000000001</v>
      </c>
      <c r="FB13" s="823">
        <v>-2.2955968000000002</v>
      </c>
      <c r="FC13" s="823">
        <v>-2.5576861000000002</v>
      </c>
      <c r="FD13" s="823">
        <v>-2.98</v>
      </c>
      <c r="FE13" s="823">
        <v>4.0517000000000003</v>
      </c>
      <c r="FF13" s="823">
        <v>-2.7077741</v>
      </c>
      <c r="FG13" s="823">
        <v>4.7492600999999999</v>
      </c>
      <c r="FH13" s="823">
        <v>0.65866760000000002</v>
      </c>
      <c r="FI13" s="823">
        <v>0.34587210000000002</v>
      </c>
      <c r="FJ13" s="823">
        <v>5.4485326000000001</v>
      </c>
      <c r="FK13" s="823">
        <v>1.426849</v>
      </c>
      <c r="FL13" s="823">
        <v>-0.47495569999999998</v>
      </c>
      <c r="FM13" s="823">
        <v>-0.71149430000000002</v>
      </c>
      <c r="FN13" s="823">
        <v>-1.4344828000000001</v>
      </c>
      <c r="FO13" s="823">
        <v>-0.71767259999999999</v>
      </c>
      <c r="FP13" s="823">
        <v>-2.3408202999999999</v>
      </c>
      <c r="FQ13" s="823">
        <v>-1.1745677000000001</v>
      </c>
      <c r="FR13" s="823">
        <v>-5.1850445000000001</v>
      </c>
      <c r="FS13" s="823">
        <v>26.593186395</v>
      </c>
      <c r="FT13" s="823">
        <v>13.494476184842583</v>
      </c>
      <c r="FU13" s="823">
        <v>18.683569245999994</v>
      </c>
      <c r="FV13" s="823">
        <v>36.693600149625851</v>
      </c>
      <c r="FW13" s="823">
        <v>15.740581193166125</v>
      </c>
      <c r="FX13" s="823">
        <v>25.683139589012857</v>
      </c>
      <c r="FY13" s="823">
        <v>12.846793428000002</v>
      </c>
      <c r="FZ13" s="823">
        <v>3.6989000000000001</v>
      </c>
      <c r="GA13" s="823">
        <v>19.885145688000001</v>
      </c>
      <c r="GB13" s="823">
        <v>9.542632796000003</v>
      </c>
      <c r="GC13" s="823">
        <v>27.830340411825901</v>
      </c>
      <c r="GD13" s="823">
        <v>15.203764100000001</v>
      </c>
      <c r="GE13" s="823">
        <v>4.7282943</v>
      </c>
      <c r="GF13" s="823">
        <v>5.4151207561694603</v>
      </c>
      <c r="GG13" s="823">
        <v>38.527017899999997</v>
      </c>
      <c r="GH13" s="823">
        <v>17.634458200000001</v>
      </c>
      <c r="GI13" s="823">
        <v>3.2097580000000003</v>
      </c>
      <c r="GJ13" s="823">
        <v>91.470471000000003</v>
      </c>
      <c r="GK13" s="823">
        <v>4.2118222000000003</v>
      </c>
      <c r="GL13" s="823">
        <v>5.6606864999999997</v>
      </c>
      <c r="GM13" s="823">
        <v>6.9376850000000001</v>
      </c>
      <c r="GN13" s="823">
        <v>42.225917899999999</v>
      </c>
      <c r="GO13" s="823">
        <v>37.519603888000006</v>
      </c>
      <c r="GP13" s="823">
        <v>12.752390796000004</v>
      </c>
      <c r="GQ13" s="823">
        <v>119.3008114118259</v>
      </c>
      <c r="GR13" s="823">
        <v>19.415586300000001</v>
      </c>
      <c r="GS13" s="823">
        <v>10.388980799999999</v>
      </c>
      <c r="GT13" s="823">
        <v>12.35280575616946</v>
      </c>
      <c r="GU13" s="823">
        <v>0</v>
      </c>
      <c r="GV13" s="823">
        <v>0</v>
      </c>
      <c r="GW13" s="823">
        <v>-0.34214257999999997</v>
      </c>
      <c r="GX13" s="823">
        <v>-0.76</v>
      </c>
      <c r="GY13" s="823">
        <v>-1.8026542969999999</v>
      </c>
      <c r="GZ13" s="823">
        <v>-2.6783499119999998</v>
      </c>
      <c r="HA13" s="823">
        <v>0</v>
      </c>
      <c r="HB13" s="823">
        <v>0</v>
      </c>
      <c r="HC13" s="823">
        <v>0</v>
      </c>
      <c r="HD13" s="823">
        <v>8.9709999999999996E-4</v>
      </c>
      <c r="HE13" s="823">
        <v>0.57560460000000002</v>
      </c>
      <c r="HF13" s="823">
        <v>0.82323550000000001</v>
      </c>
      <c r="HG13" s="823">
        <v>-3.948030395</v>
      </c>
      <c r="HH13" s="823">
        <v>1.2117967999999999</v>
      </c>
      <c r="HI13" s="823">
        <v>0.75289569999999995</v>
      </c>
      <c r="HJ13" s="823">
        <v>7.6814199999999999E-2</v>
      </c>
      <c r="HK13" s="823">
        <v>0.51350189999999996</v>
      </c>
      <c r="HL13" s="823">
        <v>0.94681570000000004</v>
      </c>
      <c r="HM13" s="823">
        <v>0</v>
      </c>
      <c r="HN13" s="823">
        <v>0</v>
      </c>
      <c r="HO13" s="823">
        <v>0</v>
      </c>
      <c r="HP13" s="823">
        <v>0</v>
      </c>
      <c r="HQ13" s="823">
        <v>0</v>
      </c>
      <c r="HR13" s="823">
        <v>0</v>
      </c>
      <c r="HS13" s="823">
        <v>1.0691851750000001</v>
      </c>
      <c r="HT13" s="823">
        <v>0.17253943099999999</v>
      </c>
      <c r="HU13" s="823">
        <v>0.57435493400000004</v>
      </c>
      <c r="HV13" s="823">
        <v>2.7432527530000002</v>
      </c>
      <c r="HW13" s="823">
        <v>1.3493223110000001</v>
      </c>
      <c r="HX13" s="823">
        <v>-0.28966546400000098</v>
      </c>
      <c r="HY13" s="823">
        <v>-1.46524926</v>
      </c>
      <c r="HZ13" s="823">
        <v>6.2498563579999997</v>
      </c>
      <c r="IA13" s="823">
        <v>0</v>
      </c>
      <c r="IB13" s="823">
        <v>6.0000000000000001E-3</v>
      </c>
      <c r="IC13" s="823">
        <v>3.85E-2</v>
      </c>
      <c r="ID13" s="823">
        <v>0</v>
      </c>
      <c r="IE13" s="823">
        <v>0</v>
      </c>
      <c r="IF13" s="823">
        <v>0</v>
      </c>
      <c r="IG13" s="823">
        <v>0</v>
      </c>
      <c r="IH13" s="823">
        <v>0</v>
      </c>
      <c r="II13" s="823">
        <v>0.16400529999999999</v>
      </c>
      <c r="IJ13" s="823">
        <v>0.32140459999999998</v>
      </c>
      <c r="IK13" s="823">
        <v>8.1028062999999992</v>
      </c>
      <c r="IL13" s="823">
        <v>1.3843362309999998</v>
      </c>
      <c r="IM13" s="823">
        <v>1.3272506339999999</v>
      </c>
      <c r="IN13" s="823">
        <v>2.820066953</v>
      </c>
      <c r="IO13" s="823">
        <v>1.521578731</v>
      </c>
      <c r="IP13" s="823">
        <v>0.64276013599999904</v>
      </c>
      <c r="IQ13" s="823">
        <v>-2.0847634569999998</v>
      </c>
      <c r="IR13" s="823">
        <v>8.7954675259999995</v>
      </c>
    </row>
    <row r="14" spans="1:253" ht="12.75" x14ac:dyDescent="0.2">
      <c r="A14" s="821" t="s">
        <v>241</v>
      </c>
      <c r="B14" s="823">
        <v>146.30049160000002</v>
      </c>
      <c r="C14" s="823">
        <v>411.48420000000004</v>
      </c>
      <c r="D14" s="823">
        <v>-2078.7454457956223</v>
      </c>
      <c r="E14" s="823">
        <v>-1506.1339999999996</v>
      </c>
      <c r="F14" s="823">
        <v>-2751.7131999999997</v>
      </c>
      <c r="G14" s="823">
        <v>196.47</v>
      </c>
      <c r="H14" s="823">
        <v>-1536.31</v>
      </c>
      <c r="I14" s="823">
        <v>926.16641949400059</v>
      </c>
      <c r="J14" s="823">
        <v>1183.4111344694347</v>
      </c>
      <c r="K14" s="823">
        <v>2744.272411740209</v>
      </c>
      <c r="L14" s="823">
        <v>732.60642369010145</v>
      </c>
      <c r="M14" s="823">
        <v>2797.4078953332019</v>
      </c>
      <c r="N14" s="823">
        <v>2703.0680929535943</v>
      </c>
      <c r="O14" s="823">
        <v>632.65442163675448</v>
      </c>
      <c r="P14" s="823">
        <v>232.09160879999996</v>
      </c>
      <c r="Q14" s="823">
        <v>-1857.7054737000001</v>
      </c>
      <c r="R14" s="823">
        <v>1564.3189999999991</v>
      </c>
      <c r="S14" s="823">
        <v>-413.86768520000004</v>
      </c>
      <c r="T14" s="823">
        <v>-1210.0301000000002</v>
      </c>
      <c r="U14" s="823">
        <v>-1140.71</v>
      </c>
      <c r="V14" s="823">
        <v>-2942.5295111</v>
      </c>
      <c r="W14" s="823">
        <v>313.49440000000004</v>
      </c>
      <c r="X14" s="823">
        <v>-1890.5227999999997</v>
      </c>
      <c r="Y14" s="823">
        <v>1241.7834999999993</v>
      </c>
      <c r="Z14" s="823">
        <v>-1788.1951653000001</v>
      </c>
      <c r="AA14" s="823">
        <v>-1390.4677999999999</v>
      </c>
      <c r="AB14" s="823">
        <v>-702.64000000000203</v>
      </c>
      <c r="AC14" s="823">
        <v>-1450.72</v>
      </c>
      <c r="AD14" s="823">
        <v>1618.0529198940005</v>
      </c>
      <c r="AE14" s="823">
        <v>-2153.332939230565</v>
      </c>
      <c r="AF14" s="823">
        <v>3471.6294659445848</v>
      </c>
      <c r="AG14" s="823">
        <v>-2975.5904268098975</v>
      </c>
      <c r="AH14" s="823">
        <v>-2554.8032046667986</v>
      </c>
      <c r="AI14" s="823">
        <v>1056.1880929535923</v>
      </c>
      <c r="AJ14" s="823">
        <v>-5296.9050894632455</v>
      </c>
      <c r="AK14" s="823">
        <v>-8.3663999999999987</v>
      </c>
      <c r="AL14" s="823">
        <v>-132.94687048620281</v>
      </c>
      <c r="AM14" s="823">
        <v>-183.70840749687682</v>
      </c>
      <c r="AN14" s="823">
        <v>-131.99779550000022</v>
      </c>
      <c r="AO14" s="823">
        <v>-381.08162104889158</v>
      </c>
      <c r="AP14" s="823">
        <v>787.39634405300001</v>
      </c>
      <c r="AQ14" s="823">
        <v>1098.0539633998426</v>
      </c>
      <c r="AR14" s="823">
        <v>1380.4163000000001</v>
      </c>
      <c r="AS14" s="823">
        <v>1239.8689836999999</v>
      </c>
      <c r="AT14" s="823">
        <v>1592.0602222999983</v>
      </c>
      <c r="AU14" s="823">
        <v>1809.2259419999968</v>
      </c>
      <c r="AV14" s="823">
        <v>1821.898680499999</v>
      </c>
      <c r="AW14" s="823">
        <v>-201.40474270000001</v>
      </c>
      <c r="AX14" s="823">
        <v>-25.804844859537809</v>
      </c>
      <c r="AY14" s="823">
        <v>51.943957346335146</v>
      </c>
      <c r="AZ14" s="823">
        <v>173.87534141351193</v>
      </c>
      <c r="BA14" s="823">
        <v>159.46585187429429</v>
      </c>
      <c r="BB14" s="823">
        <v>493.17057404196731</v>
      </c>
      <c r="BC14" s="823">
        <v>217.40133740000002</v>
      </c>
      <c r="BD14" s="823">
        <v>301.97132689999995</v>
      </c>
      <c r="BE14" s="823">
        <v>363.32438339999999</v>
      </c>
      <c r="BF14" s="823">
        <v>312.53372440000021</v>
      </c>
      <c r="BG14" s="823">
        <v>599.65103680000016</v>
      </c>
      <c r="BH14" s="823">
        <v>663.8306913000946</v>
      </c>
      <c r="BI14" s="823">
        <v>696.8158307840763</v>
      </c>
      <c r="BJ14" s="823">
        <v>-15.3383483</v>
      </c>
      <c r="BK14" s="823">
        <v>-54.270989707654401</v>
      </c>
      <c r="BL14" s="823">
        <v>-85.568361699999983</v>
      </c>
      <c r="BM14" s="823">
        <v>-103.73060520000001</v>
      </c>
      <c r="BN14" s="823">
        <v>-107.2406031</v>
      </c>
      <c r="BO14" s="823">
        <v>-2.8091181000000036</v>
      </c>
      <c r="BP14" s="823">
        <v>58.097193199999992</v>
      </c>
      <c r="BQ14" s="823">
        <v>81.940861600000005</v>
      </c>
      <c r="BR14" s="823">
        <v>110.76335010000001</v>
      </c>
      <c r="BS14" s="823">
        <v>382.35359990000001</v>
      </c>
      <c r="BT14" s="823">
        <v>377.19072440000002</v>
      </c>
      <c r="BU14" s="823">
        <v>322.32147790000005</v>
      </c>
      <c r="BV14" s="823">
        <v>-65.185199999999995</v>
      </c>
      <c r="BW14" s="823">
        <v>-267.82679419999994</v>
      </c>
      <c r="BX14" s="823">
        <v>-172.58310000000003</v>
      </c>
      <c r="BY14" s="823">
        <v>-118.54455759599898</v>
      </c>
      <c r="BZ14" s="823">
        <v>-293.6509767</v>
      </c>
      <c r="CA14" s="823">
        <v>-100.64789120000002</v>
      </c>
      <c r="CB14" s="823">
        <v>141.85639999999998</v>
      </c>
      <c r="CC14" s="823">
        <v>624.09889999999996</v>
      </c>
      <c r="CD14" s="823">
        <v>665.20190000000002</v>
      </c>
      <c r="CE14" s="823">
        <v>694.31230000000005</v>
      </c>
      <c r="CF14" s="823">
        <v>916.88999999999987</v>
      </c>
      <c r="CG14" s="823">
        <v>717.99120583713182</v>
      </c>
      <c r="CH14" s="823">
        <v>722.08934699999986</v>
      </c>
      <c r="CI14" s="823">
        <v>1018.4893701999999</v>
      </c>
      <c r="CJ14" s="823">
        <v>1337.7524914999999</v>
      </c>
      <c r="CK14" s="823">
        <v>1705.7248921999999</v>
      </c>
      <c r="CL14" s="823">
        <v>2024.1034987</v>
      </c>
      <c r="CM14" s="823">
        <v>2472.4553797000003</v>
      </c>
      <c r="CN14" s="823">
        <v>2500.1102999999998</v>
      </c>
      <c r="CO14" s="823">
        <v>243.6712588</v>
      </c>
      <c r="CP14" s="823">
        <v>626.99155940000003</v>
      </c>
      <c r="CQ14" s="823">
        <v>264.46185409999998</v>
      </c>
      <c r="CR14" s="823">
        <v>282.00451399999997</v>
      </c>
      <c r="CS14" s="823">
        <v>335.05339999999995</v>
      </c>
      <c r="CT14" s="823">
        <v>546.56168909999997</v>
      </c>
      <c r="CU14" s="823">
        <v>70.430423199999964</v>
      </c>
      <c r="CV14" s="823">
        <v>-9.7291369999999997</v>
      </c>
      <c r="CW14" s="823">
        <v>-33.8203642</v>
      </c>
      <c r="CX14" s="823">
        <v>-31.542412499999994</v>
      </c>
      <c r="CY14" s="823">
        <v>-33.607400362057398</v>
      </c>
      <c r="CZ14" s="823">
        <v>-26.689113000000003</v>
      </c>
      <c r="DA14" s="823">
        <v>2.9831999999999992</v>
      </c>
      <c r="DB14" s="823">
        <v>-45.968059899646306</v>
      </c>
      <c r="DC14" s="823">
        <v>-166.84837528177906</v>
      </c>
      <c r="DD14" s="823">
        <v>-190.21725226851652</v>
      </c>
      <c r="DE14" s="823">
        <v>-144.57907321600013</v>
      </c>
      <c r="DF14" s="823">
        <v>-55.655402153115361</v>
      </c>
      <c r="DG14" s="823">
        <v>9.3545715276689343</v>
      </c>
      <c r="DH14" s="823">
        <v>215.30045918827804</v>
      </c>
      <c r="DI14" s="823">
        <v>176.54119024869971</v>
      </c>
      <c r="DJ14" s="823">
        <v>-6.426845000000001</v>
      </c>
      <c r="DK14" s="823">
        <v>8.7826424999999997</v>
      </c>
      <c r="DL14" s="823">
        <v>7.6867593000000003</v>
      </c>
      <c r="DM14" s="823">
        <v>5.5304934765972682</v>
      </c>
      <c r="DN14" s="823">
        <v>32.179409260263128</v>
      </c>
      <c r="DO14" s="823">
        <v>56.898650163058662</v>
      </c>
      <c r="DP14" s="823">
        <v>60.714835900000004</v>
      </c>
      <c r="DQ14" s="823">
        <v>-10.642554912</v>
      </c>
      <c r="DR14" s="823">
        <v>-23.460685087000002</v>
      </c>
      <c r="DS14" s="823">
        <v>-45.522810001000011</v>
      </c>
      <c r="DT14" s="823">
        <v>-113.599218939</v>
      </c>
      <c r="DU14" s="823">
        <v>-58.860000000000007</v>
      </c>
      <c r="DV14" s="823">
        <v>16.004199799999999</v>
      </c>
      <c r="DW14" s="823">
        <v>11.204386100000001</v>
      </c>
      <c r="DX14" s="823">
        <v>8.3620778999999974</v>
      </c>
      <c r="DY14" s="823">
        <v>-1.6212643</v>
      </c>
      <c r="DZ14" s="823">
        <v>-1.9558945000000001</v>
      </c>
      <c r="EA14" s="823">
        <v>-38.029020000000003</v>
      </c>
      <c r="EB14" s="823">
        <v>-32.603360799999997</v>
      </c>
      <c r="EC14" s="823">
        <v>105.54366680000001</v>
      </c>
      <c r="ED14" s="823">
        <v>151.65172019399989</v>
      </c>
      <c r="EE14" s="823">
        <v>211.56674435000002</v>
      </c>
      <c r="EF14" s="823">
        <v>275.52508137244297</v>
      </c>
      <c r="EG14" s="823">
        <v>559.11143876228198</v>
      </c>
      <c r="EH14" s="823">
        <v>727.43490294715991</v>
      </c>
      <c r="EI14" s="823">
        <v>931.47691131020713</v>
      </c>
      <c r="EJ14" s="823">
        <v>37.225808399999998</v>
      </c>
      <c r="EK14" s="823">
        <v>67.783212800000015</v>
      </c>
      <c r="EL14" s="823">
        <v>139.72711409999999</v>
      </c>
      <c r="EM14" s="823">
        <v>201.14380350000002</v>
      </c>
      <c r="EN14" s="823">
        <v>147.00431689999999</v>
      </c>
      <c r="EO14" s="823">
        <v>256.84407240000002</v>
      </c>
      <c r="EP14" s="823">
        <v>170.59699409999999</v>
      </c>
      <c r="EQ14" s="823">
        <v>-119.84430235926514</v>
      </c>
      <c r="ER14" s="823">
        <v>194.03325095782515</v>
      </c>
      <c r="ES14" s="823">
        <v>487.74627338467116</v>
      </c>
      <c r="ET14" s="823">
        <v>486.31456944100506</v>
      </c>
      <c r="EU14" s="823">
        <v>591.27456974499739</v>
      </c>
      <c r="EV14" s="823">
        <v>724.09270000000004</v>
      </c>
      <c r="EW14" s="823">
        <v>208.60699999999997</v>
      </c>
      <c r="EX14" s="823">
        <v>322.0414566</v>
      </c>
      <c r="EY14" s="823">
        <v>309.05329309999996</v>
      </c>
      <c r="EZ14" s="823">
        <v>574.20353809999995</v>
      </c>
      <c r="FA14" s="823">
        <v>1003.5992066</v>
      </c>
      <c r="FB14" s="823">
        <v>1041.2738550999998</v>
      </c>
      <c r="FC14" s="823">
        <v>787.91400740000017</v>
      </c>
      <c r="FD14" s="823">
        <v>898.09999999999991</v>
      </c>
      <c r="FE14" s="823">
        <v>37.887712499999992</v>
      </c>
      <c r="FF14" s="823">
        <v>132.4773218</v>
      </c>
      <c r="FG14" s="823">
        <v>228.95923399999998</v>
      </c>
      <c r="FH14" s="823">
        <v>165.9180341</v>
      </c>
      <c r="FI14" s="823">
        <v>498.23206739999995</v>
      </c>
      <c r="FJ14" s="823">
        <v>648.6518681</v>
      </c>
      <c r="FK14" s="823">
        <v>722.18572423984904</v>
      </c>
      <c r="FL14" s="823">
        <v>42.820583000000006</v>
      </c>
      <c r="FM14" s="823">
        <v>85.93444740000001</v>
      </c>
      <c r="FN14" s="823">
        <v>431.6852849</v>
      </c>
      <c r="FO14" s="823">
        <v>214.74060850000004</v>
      </c>
      <c r="FP14" s="823">
        <v>204.72647730000003</v>
      </c>
      <c r="FQ14" s="823">
        <v>41.481558800000009</v>
      </c>
      <c r="FR14" s="823">
        <v>163.98939220000003</v>
      </c>
      <c r="FS14" s="823">
        <v>1924.3713027119554</v>
      </c>
      <c r="FT14" s="823">
        <v>3956.5376266236131</v>
      </c>
      <c r="FU14" s="823">
        <v>5918.2217850530051</v>
      </c>
      <c r="FV14" s="823">
        <v>6273.3550965075274</v>
      </c>
      <c r="FW14" s="823">
        <v>8354.1289288716271</v>
      </c>
      <c r="FX14" s="823">
        <v>10235.025222305558</v>
      </c>
      <c r="FY14" s="823">
        <v>8542.3753446714254</v>
      </c>
      <c r="FZ14" s="823">
        <v>474.98170928683652</v>
      </c>
      <c r="GA14" s="823">
        <v>507.13362211000003</v>
      </c>
      <c r="GB14" s="823">
        <v>872.39052949600102</v>
      </c>
      <c r="GC14" s="823">
        <v>724.61514584851</v>
      </c>
      <c r="GD14" s="823">
        <v>269.24664970000003</v>
      </c>
      <c r="GE14" s="823">
        <v>972.86922470000002</v>
      </c>
      <c r="GF14" s="823">
        <v>940.994209326651</v>
      </c>
      <c r="GG14" s="823">
        <v>389.9575289</v>
      </c>
      <c r="GH14" s="823">
        <v>410.1110109</v>
      </c>
      <c r="GI14" s="823">
        <v>131.30525299999996</v>
      </c>
      <c r="GJ14" s="823">
        <v>338.2865266</v>
      </c>
      <c r="GK14" s="823">
        <v>450.56959859999995</v>
      </c>
      <c r="GL14" s="823">
        <v>600.1129191</v>
      </c>
      <c r="GM14" s="823">
        <v>1182.5252180000002</v>
      </c>
      <c r="GN14" s="823">
        <v>864.93923818683652</v>
      </c>
      <c r="GO14" s="823">
        <v>917.24463301000003</v>
      </c>
      <c r="GP14" s="823">
        <v>1003.695782496001</v>
      </c>
      <c r="GQ14" s="823">
        <v>1062.90167244851</v>
      </c>
      <c r="GR14" s="823">
        <v>719.81624829999987</v>
      </c>
      <c r="GS14" s="823">
        <v>1572.9821437999999</v>
      </c>
      <c r="GT14" s="823">
        <v>2123.5194273266511</v>
      </c>
      <c r="GU14" s="823">
        <v>-80.475258477549986</v>
      </c>
      <c r="GV14" s="823">
        <v>-187.82793924003801</v>
      </c>
      <c r="GW14" s="823">
        <v>-247.59098741630905</v>
      </c>
      <c r="GX14" s="823">
        <v>-230.98999999999998</v>
      </c>
      <c r="GY14" s="823">
        <v>-189.312632326</v>
      </c>
      <c r="GZ14" s="823">
        <v>-308.92165996200004</v>
      </c>
      <c r="HA14" s="823">
        <v>-75.561960562553395</v>
      </c>
      <c r="HB14" s="823">
        <v>6.4615070815367197</v>
      </c>
      <c r="HC14" s="823">
        <v>-12.3510101989833</v>
      </c>
      <c r="HD14" s="823">
        <v>262.48048303575297</v>
      </c>
      <c r="HE14" s="823">
        <v>278.9972166</v>
      </c>
      <c r="HF14" s="823">
        <v>322.85525539999998</v>
      </c>
      <c r="HG14" s="823">
        <v>341.36192410500001</v>
      </c>
      <c r="HH14" s="823">
        <v>10.737770699999997</v>
      </c>
      <c r="HI14" s="823">
        <v>204.6617104</v>
      </c>
      <c r="HJ14" s="823">
        <v>77.60264149999999</v>
      </c>
      <c r="HK14" s="823">
        <v>132.12749719999999</v>
      </c>
      <c r="HL14" s="823">
        <v>27.5616415</v>
      </c>
      <c r="HM14" s="823">
        <v>-165.525900004958</v>
      </c>
      <c r="HN14" s="823">
        <v>-129.6866095937082</v>
      </c>
      <c r="HO14" s="823">
        <v>-95.287696081202995</v>
      </c>
      <c r="HP14" s="823">
        <v>-154.80063371100002</v>
      </c>
      <c r="HQ14" s="823">
        <v>41.22</v>
      </c>
      <c r="HR14" s="823">
        <v>24.6756052435247</v>
      </c>
      <c r="HS14" s="823">
        <v>-70.607510104996791</v>
      </c>
      <c r="HT14" s="823">
        <v>-63.739698131618979</v>
      </c>
      <c r="HU14" s="823">
        <v>103.8695289960001</v>
      </c>
      <c r="HV14" s="823">
        <v>133.800849382</v>
      </c>
      <c r="HW14" s="823">
        <v>107.58675428540343</v>
      </c>
      <c r="HX14" s="823">
        <v>145.24089958466948</v>
      </c>
      <c r="HY14" s="823">
        <v>154.49925984853667</v>
      </c>
      <c r="HZ14" s="823">
        <v>89.817830239000003</v>
      </c>
      <c r="IA14" s="823">
        <v>-52.676463099999999</v>
      </c>
      <c r="IB14" s="823">
        <v>2.8162000000000003</v>
      </c>
      <c r="IC14" s="823">
        <v>1.0525</v>
      </c>
      <c r="ID14" s="823">
        <v>-0.35</v>
      </c>
      <c r="IE14" s="823">
        <v>266.392067849</v>
      </c>
      <c r="IF14" s="823">
        <v>124.32514951899999</v>
      </c>
      <c r="IG14" s="823">
        <v>197.58055663800027</v>
      </c>
      <c r="IH14" s="823">
        <v>309.63694769</v>
      </c>
      <c r="II14" s="823">
        <v>454.38157330000001</v>
      </c>
      <c r="IJ14" s="823">
        <v>-1307.6322912999999</v>
      </c>
      <c r="IK14" s="823">
        <v>-1260.6067905786927</v>
      </c>
      <c r="IL14" s="823">
        <v>-27.697720150130408</v>
      </c>
      <c r="IM14" s="823">
        <v>229.15602792527864</v>
      </c>
      <c r="IN14" s="823">
        <v>113.51740199977594</v>
      </c>
      <c r="IO14" s="823">
        <v>356.76359798384738</v>
      </c>
      <c r="IP14" s="823">
        <v>719.22753098466944</v>
      </c>
      <c r="IQ14" s="823">
        <v>-993.86230313393855</v>
      </c>
      <c r="IR14" s="823">
        <v>-1208.9562063016895</v>
      </c>
    </row>
    <row r="15" spans="1:253" ht="12.75" x14ac:dyDescent="0.2">
      <c r="A15" s="821" t="s">
        <v>262</v>
      </c>
      <c r="B15" s="823"/>
      <c r="C15" s="823"/>
      <c r="D15" s="823"/>
      <c r="E15" s="823"/>
      <c r="F15" s="823"/>
      <c r="G15" s="823"/>
      <c r="H15" s="823"/>
      <c r="I15" s="823"/>
      <c r="J15" s="823"/>
      <c r="K15" s="823"/>
      <c r="L15" s="823"/>
      <c r="M15" s="823"/>
      <c r="N15" s="823"/>
      <c r="O15" s="823"/>
      <c r="P15" s="823"/>
      <c r="Q15" s="823"/>
      <c r="R15" s="823"/>
      <c r="S15" s="823"/>
      <c r="T15" s="823"/>
      <c r="U15" s="823"/>
      <c r="V15" s="823"/>
      <c r="W15" s="823"/>
      <c r="X15" s="823"/>
      <c r="Y15" s="823"/>
      <c r="Z15" s="823"/>
      <c r="AA15" s="823"/>
      <c r="AB15" s="823"/>
      <c r="AC15" s="823"/>
      <c r="AD15" s="823"/>
      <c r="AE15" s="823"/>
      <c r="AF15" s="823"/>
      <c r="AG15" s="823"/>
      <c r="AH15" s="823"/>
      <c r="AI15" s="823"/>
      <c r="AJ15" s="823">
        <v>0</v>
      </c>
      <c r="AK15" s="823"/>
      <c r="AL15" s="823"/>
      <c r="AM15" s="823"/>
      <c r="AN15" s="823"/>
      <c r="AO15" s="823"/>
      <c r="AP15" s="823"/>
      <c r="AQ15" s="823"/>
      <c r="AR15" s="823"/>
      <c r="AS15" s="823"/>
      <c r="AT15" s="823"/>
      <c r="AU15" s="823"/>
      <c r="AV15" s="823"/>
      <c r="AW15" s="823"/>
      <c r="AX15" s="823"/>
      <c r="AY15" s="823"/>
      <c r="AZ15" s="823"/>
      <c r="BA15" s="823"/>
      <c r="BB15" s="823"/>
      <c r="BC15" s="823"/>
      <c r="BD15" s="823"/>
      <c r="BE15" s="823"/>
      <c r="BF15" s="823"/>
      <c r="BG15" s="823"/>
      <c r="BH15" s="823"/>
      <c r="BI15" s="823"/>
      <c r="BJ15" s="823"/>
      <c r="BK15" s="823"/>
      <c r="BL15" s="823"/>
      <c r="BM15" s="823"/>
      <c r="BN15" s="823"/>
      <c r="BO15" s="823"/>
      <c r="BP15" s="823"/>
      <c r="BQ15" s="823"/>
      <c r="BR15" s="823"/>
      <c r="BS15" s="823"/>
      <c r="BT15" s="823"/>
      <c r="BU15" s="823"/>
      <c r="BV15" s="823"/>
      <c r="BW15" s="823"/>
      <c r="BX15" s="823"/>
      <c r="BY15" s="823"/>
      <c r="BZ15" s="823"/>
      <c r="CA15" s="823"/>
      <c r="CB15" s="823"/>
      <c r="CC15" s="823"/>
      <c r="CD15" s="823"/>
      <c r="CE15" s="823"/>
      <c r="CF15" s="823"/>
      <c r="CG15" s="823"/>
      <c r="CH15" s="823"/>
      <c r="CI15" s="823"/>
      <c r="CJ15" s="823"/>
      <c r="CK15" s="823"/>
      <c r="CL15" s="823"/>
      <c r="CM15" s="823"/>
      <c r="CN15" s="823"/>
      <c r="CO15" s="823"/>
      <c r="CP15" s="823"/>
      <c r="CQ15" s="823"/>
      <c r="CR15" s="823"/>
      <c r="CS15" s="823"/>
      <c r="CT15" s="823"/>
      <c r="CU15" s="823"/>
      <c r="CV15" s="823"/>
      <c r="CW15" s="823"/>
      <c r="CX15" s="823"/>
      <c r="CY15" s="823"/>
      <c r="CZ15" s="823"/>
      <c r="DA15" s="823"/>
      <c r="DB15" s="823"/>
      <c r="DC15" s="823"/>
      <c r="DD15" s="823"/>
      <c r="DE15" s="823"/>
      <c r="DF15" s="823"/>
      <c r="DG15" s="823"/>
      <c r="DH15" s="823"/>
      <c r="DI15" s="823"/>
      <c r="DJ15" s="823"/>
      <c r="DK15" s="823"/>
      <c r="DL15" s="823"/>
      <c r="DM15" s="823"/>
      <c r="DN15" s="823"/>
      <c r="DO15" s="823"/>
      <c r="DP15" s="823"/>
      <c r="DQ15" s="823"/>
      <c r="DR15" s="823"/>
      <c r="DS15" s="823"/>
      <c r="DT15" s="823"/>
      <c r="DU15" s="823"/>
      <c r="DV15" s="823"/>
      <c r="DW15" s="823"/>
      <c r="DX15" s="823"/>
      <c r="DY15" s="823"/>
      <c r="DZ15" s="823"/>
      <c r="EA15" s="823"/>
      <c r="EB15" s="823"/>
      <c r="EC15" s="823"/>
      <c r="ED15" s="823"/>
      <c r="EE15" s="823"/>
      <c r="EF15" s="823"/>
      <c r="EG15" s="823"/>
      <c r="EH15" s="823"/>
      <c r="EI15" s="823"/>
      <c r="EJ15" s="823"/>
      <c r="EK15" s="823"/>
      <c r="EL15" s="823"/>
      <c r="EM15" s="823"/>
      <c r="EN15" s="823"/>
      <c r="EO15" s="823"/>
      <c r="EP15" s="823"/>
      <c r="EQ15" s="823"/>
      <c r="ER15" s="823"/>
      <c r="ES15" s="823"/>
      <c r="ET15" s="823"/>
      <c r="EU15" s="823"/>
      <c r="EV15" s="823"/>
      <c r="EW15" s="823"/>
      <c r="EX15" s="823"/>
      <c r="EY15" s="823"/>
      <c r="EZ15" s="823"/>
      <c r="FA15" s="823"/>
      <c r="FB15" s="823"/>
      <c r="FC15" s="823"/>
      <c r="FD15" s="823"/>
      <c r="FE15" s="823"/>
      <c r="FF15" s="823"/>
      <c r="FG15" s="823"/>
      <c r="FH15" s="823"/>
      <c r="FI15" s="823"/>
      <c r="FJ15" s="823"/>
      <c r="FK15" s="823"/>
      <c r="FL15" s="823"/>
      <c r="FM15" s="823"/>
      <c r="FN15" s="823"/>
      <c r="FO15" s="823"/>
      <c r="FP15" s="823"/>
      <c r="FQ15" s="823"/>
      <c r="FR15" s="823"/>
      <c r="FS15" s="823"/>
      <c r="FT15" s="823"/>
      <c r="FU15" s="823"/>
      <c r="FV15" s="823"/>
      <c r="FW15" s="823"/>
      <c r="FX15" s="823"/>
      <c r="FY15" s="823"/>
      <c r="FZ15" s="823"/>
      <c r="GA15" s="823"/>
      <c r="GB15" s="823"/>
      <c r="GC15" s="823"/>
      <c r="GD15" s="823"/>
      <c r="GE15" s="823"/>
      <c r="GF15" s="823"/>
      <c r="GG15" s="823"/>
      <c r="GH15" s="823"/>
      <c r="GI15" s="823"/>
      <c r="GJ15" s="823"/>
      <c r="GK15" s="823"/>
      <c r="GL15" s="823"/>
      <c r="GM15" s="823"/>
      <c r="GN15" s="823">
        <v>0</v>
      </c>
      <c r="GO15" s="823">
        <v>0</v>
      </c>
      <c r="GP15" s="823">
        <v>0</v>
      </c>
      <c r="GQ15" s="823">
        <v>0</v>
      </c>
      <c r="GR15" s="823"/>
      <c r="GS15" s="823"/>
      <c r="GT15" s="823">
        <v>0</v>
      </c>
      <c r="GU15" s="823"/>
      <c r="GV15" s="823"/>
      <c r="GW15" s="823"/>
      <c r="GX15" s="823"/>
      <c r="GY15" s="823"/>
      <c r="GZ15" s="823"/>
      <c r="HA15" s="823"/>
      <c r="HB15" s="823"/>
      <c r="HC15" s="823"/>
      <c r="HD15" s="823"/>
      <c r="HE15" s="823"/>
      <c r="HF15" s="823"/>
      <c r="HG15" s="823"/>
      <c r="HH15" s="823"/>
      <c r="HI15" s="823"/>
      <c r="HJ15" s="823"/>
      <c r="HK15" s="823"/>
      <c r="HL15" s="823"/>
      <c r="HM15" s="823"/>
      <c r="HN15" s="823"/>
      <c r="HO15" s="823"/>
      <c r="HP15" s="823"/>
      <c r="HQ15" s="823"/>
      <c r="HR15" s="823"/>
      <c r="HS15" s="823"/>
      <c r="HT15" s="823"/>
      <c r="HU15" s="823"/>
      <c r="HV15" s="823"/>
      <c r="HW15" s="823"/>
      <c r="HX15" s="823"/>
      <c r="HY15" s="823"/>
      <c r="HZ15" s="823"/>
      <c r="IA15" s="823"/>
      <c r="IB15" s="823"/>
      <c r="IC15" s="823"/>
      <c r="ID15" s="823"/>
      <c r="IE15" s="823"/>
      <c r="IF15" s="823"/>
      <c r="IG15" s="823"/>
      <c r="IH15" s="823"/>
      <c r="II15" s="823"/>
      <c r="IJ15" s="823"/>
      <c r="IK15" s="823"/>
      <c r="IL15" s="823">
        <v>0</v>
      </c>
      <c r="IM15" s="823">
        <v>0</v>
      </c>
      <c r="IN15" s="823">
        <v>0</v>
      </c>
      <c r="IO15" s="823">
        <v>0</v>
      </c>
      <c r="IP15" s="823"/>
      <c r="IQ15" s="823"/>
      <c r="IR15" s="823"/>
    </row>
    <row r="16" spans="1:253" ht="12.75" x14ac:dyDescent="0.2">
      <c r="A16" s="824" t="s">
        <v>263</v>
      </c>
      <c r="B16" s="823">
        <v>2.3310984000000001</v>
      </c>
      <c r="C16" s="823">
        <v>2.2323</v>
      </c>
      <c r="D16" s="823">
        <v>0.1399</v>
      </c>
      <c r="E16" s="823">
        <v>2.4114</v>
      </c>
      <c r="F16" s="823">
        <v>1.5665</v>
      </c>
      <c r="G16" s="823">
        <v>0</v>
      </c>
      <c r="H16" s="823">
        <v>-0.13</v>
      </c>
      <c r="I16" s="823">
        <v>3.1978</v>
      </c>
      <c r="J16" s="823">
        <v>1.15556505186888</v>
      </c>
      <c r="K16" s="823">
        <v>2.8286127618572401</v>
      </c>
      <c r="L16" s="823">
        <v>4.6749158414571799</v>
      </c>
      <c r="M16" s="823">
        <v>4.8548328912573204</v>
      </c>
      <c r="N16" s="823">
        <v>18.3297514658918</v>
      </c>
      <c r="O16" s="823">
        <v>25.6830039575032</v>
      </c>
      <c r="P16" s="823">
        <v>0.27468419999999999</v>
      </c>
      <c r="Q16" s="823">
        <v>6.7352000000000002E-3</v>
      </c>
      <c r="R16" s="823">
        <v>-0.1762</v>
      </c>
      <c r="S16" s="823">
        <v>1.1264406</v>
      </c>
      <c r="T16" s="823">
        <v>-8.9499999999999996E-2</v>
      </c>
      <c r="U16" s="823">
        <v>0.06</v>
      </c>
      <c r="V16" s="823">
        <v>-3.8670799999999998E-2</v>
      </c>
      <c r="W16" s="823">
        <v>30.683399999999999</v>
      </c>
      <c r="X16" s="823">
        <v>2.1120999999999999</v>
      </c>
      <c r="Y16" s="823">
        <v>-4.9488000000000003</v>
      </c>
      <c r="Z16" s="823">
        <v>2.1727248000000001</v>
      </c>
      <c r="AA16" s="823">
        <v>-0.45379999999999998</v>
      </c>
      <c r="AB16" s="823">
        <v>0.33</v>
      </c>
      <c r="AC16" s="823">
        <v>-1.39</v>
      </c>
      <c r="AD16" s="823">
        <v>36.486982599999997</v>
      </c>
      <c r="AE16" s="823">
        <v>5.5067002518688799</v>
      </c>
      <c r="AF16" s="823">
        <v>-2.1564872381427604</v>
      </c>
      <c r="AG16" s="823">
        <v>10.385481241457182</v>
      </c>
      <c r="AH16" s="823">
        <v>5.8780328912573196</v>
      </c>
      <c r="AI16" s="823">
        <v>18.719751465891797</v>
      </c>
      <c r="AJ16" s="823">
        <v>24.124333157503202</v>
      </c>
      <c r="AK16" s="823">
        <v>0</v>
      </c>
      <c r="AL16" s="823">
        <v>0</v>
      </c>
      <c r="AM16" s="823">
        <v>2.5</v>
      </c>
      <c r="AN16" s="823">
        <v>0</v>
      </c>
      <c r="AO16" s="823">
        <v>0</v>
      </c>
      <c r="AP16" s="823">
        <v>0</v>
      </c>
      <c r="AQ16" s="823">
        <v>0</v>
      </c>
      <c r="AR16" s="823">
        <v>0</v>
      </c>
      <c r="AS16" s="823">
        <v>56.3949</v>
      </c>
      <c r="AT16" s="823">
        <v>128.65587540000001</v>
      </c>
      <c r="AU16" s="823">
        <v>-34.040866000000001</v>
      </c>
      <c r="AV16" s="823">
        <v>-135.37679589999999</v>
      </c>
      <c r="AW16" s="823">
        <v>0</v>
      </c>
      <c r="AX16" s="823"/>
      <c r="AY16" s="823">
        <v>0</v>
      </c>
      <c r="AZ16" s="823">
        <v>13.5</v>
      </c>
      <c r="BA16" s="823">
        <v>157</v>
      </c>
      <c r="BB16" s="823">
        <v>24.75</v>
      </c>
      <c r="BC16" s="823">
        <v>0</v>
      </c>
      <c r="BD16" s="823">
        <v>0</v>
      </c>
      <c r="BE16" s="823">
        <v>2.0867</v>
      </c>
      <c r="BF16" s="823">
        <v>21.595764599999999</v>
      </c>
      <c r="BG16" s="823">
        <v>-2.8917223000000001</v>
      </c>
      <c r="BH16" s="823">
        <v>0.9200277</v>
      </c>
      <c r="BI16" s="823">
        <v>-2.717444</v>
      </c>
      <c r="BJ16" s="823">
        <v>0</v>
      </c>
      <c r="BK16" s="823">
        <v>0.1994997</v>
      </c>
      <c r="BL16" s="823">
        <v>10.1173416</v>
      </c>
      <c r="BM16" s="823">
        <v>-7.5</v>
      </c>
      <c r="BN16" s="823">
        <v>-0.70795600000000003</v>
      </c>
      <c r="BO16" s="823">
        <v>0</v>
      </c>
      <c r="BP16" s="823">
        <v>0</v>
      </c>
      <c r="BQ16" s="823">
        <v>0</v>
      </c>
      <c r="BR16" s="823">
        <v>3.625</v>
      </c>
      <c r="BS16" s="823">
        <v>27.375</v>
      </c>
      <c r="BT16" s="823">
        <v>17.126999852499999</v>
      </c>
      <c r="BU16" s="823">
        <v>-18.306886242600001</v>
      </c>
      <c r="BV16" s="823">
        <v>0</v>
      </c>
      <c r="BW16" s="823">
        <v>0</v>
      </c>
      <c r="BX16" s="823"/>
      <c r="BY16" s="823">
        <v>0</v>
      </c>
      <c r="BZ16" s="823">
        <v>0</v>
      </c>
      <c r="CA16" s="823">
        <v>0</v>
      </c>
      <c r="CB16" s="823">
        <v>0</v>
      </c>
      <c r="CC16" s="823">
        <v>0</v>
      </c>
      <c r="CD16" s="823">
        <v>157.81809999999999</v>
      </c>
      <c r="CE16" s="823">
        <v>11.66</v>
      </c>
      <c r="CF16" s="823">
        <v>31.17</v>
      </c>
      <c r="CG16" s="823">
        <v>-29.675106277000001</v>
      </c>
      <c r="CH16" s="823">
        <v>0</v>
      </c>
      <c r="CI16" s="823">
        <v>0</v>
      </c>
      <c r="CJ16" s="823">
        <v>10.412515900000001</v>
      </c>
      <c r="CK16" s="823">
        <v>0.77292300000000003</v>
      </c>
      <c r="CL16" s="823">
        <v>120.1518307</v>
      </c>
      <c r="CM16" s="823">
        <v>-66.914524499999999</v>
      </c>
      <c r="CN16" s="823">
        <v>-42.86</v>
      </c>
      <c r="CO16" s="823">
        <v>0</v>
      </c>
      <c r="CP16" s="823">
        <v>0</v>
      </c>
      <c r="CQ16" s="823">
        <v>0</v>
      </c>
      <c r="CR16" s="823">
        <v>40</v>
      </c>
      <c r="CS16" s="823">
        <v>45</v>
      </c>
      <c r="CT16" s="823">
        <v>-69.849999999999994</v>
      </c>
      <c r="CU16" s="823">
        <v>-15.15</v>
      </c>
      <c r="CV16" s="823">
        <v>0</v>
      </c>
      <c r="CW16" s="823">
        <v>0</v>
      </c>
      <c r="CX16" s="823">
        <v>0</v>
      </c>
      <c r="CY16" s="823">
        <v>0</v>
      </c>
      <c r="CZ16" s="823">
        <v>0</v>
      </c>
      <c r="DA16" s="823">
        <v>0</v>
      </c>
      <c r="DB16" s="823">
        <v>0</v>
      </c>
      <c r="DC16" s="823">
        <v>0</v>
      </c>
      <c r="DD16" s="823">
        <v>0</v>
      </c>
      <c r="DE16" s="823">
        <v>0</v>
      </c>
      <c r="DF16" s="823">
        <v>0</v>
      </c>
      <c r="DG16" s="823">
        <v>0</v>
      </c>
      <c r="DH16" s="823">
        <v>0</v>
      </c>
      <c r="DI16" s="823">
        <v>0</v>
      </c>
      <c r="DJ16" s="823">
        <v>0</v>
      </c>
      <c r="DK16" s="823">
        <v>0</v>
      </c>
      <c r="DL16" s="823">
        <v>0</v>
      </c>
      <c r="DM16" s="823">
        <v>0</v>
      </c>
      <c r="DN16" s="823">
        <v>18.6914774</v>
      </c>
      <c r="DO16" s="823">
        <v>-2.4775882</v>
      </c>
      <c r="DP16" s="823">
        <v>-16.213889099999999</v>
      </c>
      <c r="DQ16" s="823">
        <v>0</v>
      </c>
      <c r="DR16" s="823">
        <v>3.7295361950000001</v>
      </c>
      <c r="DS16" s="823">
        <v>15.006255120000001</v>
      </c>
      <c r="DT16" s="823">
        <v>2.7526931860000001</v>
      </c>
      <c r="DU16" s="823">
        <v>0.04</v>
      </c>
      <c r="DV16" s="823">
        <v>0</v>
      </c>
      <c r="DW16" s="823">
        <v>0</v>
      </c>
      <c r="DX16" s="823">
        <v>0</v>
      </c>
      <c r="DY16" s="823">
        <v>4.9988080000000004</v>
      </c>
      <c r="DZ16" s="823">
        <v>15</v>
      </c>
      <c r="EA16" s="823">
        <v>0</v>
      </c>
      <c r="EB16" s="823">
        <v>0</v>
      </c>
      <c r="EC16" s="823">
        <v>0</v>
      </c>
      <c r="ED16" s="823">
        <v>0</v>
      </c>
      <c r="EE16" s="823">
        <v>0</v>
      </c>
      <c r="EF16" s="823">
        <v>24.5</v>
      </c>
      <c r="EG16" s="823">
        <v>21.2315349</v>
      </c>
      <c r="EH16" s="823">
        <v>25.988231322680299</v>
      </c>
      <c r="EI16" s="823">
        <v>0</v>
      </c>
      <c r="EJ16" s="823">
        <v>0</v>
      </c>
      <c r="EK16" s="823">
        <v>0</v>
      </c>
      <c r="EL16" s="823">
        <v>0</v>
      </c>
      <c r="EM16" s="823">
        <v>0</v>
      </c>
      <c r="EN16" s="823">
        <v>0</v>
      </c>
      <c r="EO16" s="823">
        <v>0</v>
      </c>
      <c r="EP16" s="823">
        <v>0</v>
      </c>
      <c r="EQ16" s="823">
        <v>0</v>
      </c>
      <c r="ER16" s="823">
        <v>0.37633426800000003</v>
      </c>
      <c r="ES16" s="823">
        <v>2.8755379649999999</v>
      </c>
      <c r="ET16" s="823">
        <v>13.111394639</v>
      </c>
      <c r="EU16" s="823">
        <v>-12.407446800000001</v>
      </c>
      <c r="EV16" s="823">
        <v>-3.9558</v>
      </c>
      <c r="EW16" s="823">
        <v>0</v>
      </c>
      <c r="EX16" s="823">
        <v>0</v>
      </c>
      <c r="EY16" s="823">
        <v>0</v>
      </c>
      <c r="EZ16" s="823">
        <v>0</v>
      </c>
      <c r="FA16" s="823">
        <v>0</v>
      </c>
      <c r="FB16" s="823">
        <v>0</v>
      </c>
      <c r="FC16" s="823">
        <v>0</v>
      </c>
      <c r="FD16" s="823">
        <v>0</v>
      </c>
      <c r="FE16" s="823">
        <v>0</v>
      </c>
      <c r="FF16" s="823">
        <v>0</v>
      </c>
      <c r="FG16" s="823">
        <v>0</v>
      </c>
      <c r="FH16" s="823">
        <v>0</v>
      </c>
      <c r="FI16" s="823">
        <v>0</v>
      </c>
      <c r="FJ16" s="823">
        <v>0</v>
      </c>
      <c r="FK16" s="823">
        <v>0</v>
      </c>
      <c r="FL16" s="823">
        <v>0</v>
      </c>
      <c r="FM16" s="823">
        <v>0</v>
      </c>
      <c r="FN16" s="823">
        <v>0</v>
      </c>
      <c r="FO16" s="823">
        <v>0</v>
      </c>
      <c r="FP16" s="823">
        <v>0</v>
      </c>
      <c r="FQ16" s="823">
        <v>0</v>
      </c>
      <c r="FR16" s="823">
        <v>0</v>
      </c>
      <c r="FS16" s="823">
        <v>0</v>
      </c>
      <c r="FT16" s="823">
        <v>0.37633426800000003</v>
      </c>
      <c r="FU16" s="823">
        <v>15.374753865000001</v>
      </c>
      <c r="FV16" s="823">
        <v>340.245926134</v>
      </c>
      <c r="FW16" s="823">
        <v>557.09014602000002</v>
      </c>
      <c r="FX16" s="823">
        <v>-82.030826638819704</v>
      </c>
      <c r="FY16" s="823">
        <v>-260.96807751959994</v>
      </c>
      <c r="FZ16" s="823">
        <v>0</v>
      </c>
      <c r="GA16" s="823">
        <v>0</v>
      </c>
      <c r="GB16" s="823">
        <v>0</v>
      </c>
      <c r="GC16" s="823">
        <v>0</v>
      </c>
      <c r="GD16" s="823">
        <v>0</v>
      </c>
      <c r="GE16" s="823">
        <v>0</v>
      </c>
      <c r="GF16" s="823">
        <v>0</v>
      </c>
      <c r="GG16" s="823">
        <v>2.32038E-2</v>
      </c>
      <c r="GH16" s="823">
        <v>-2.26378E-2</v>
      </c>
      <c r="GI16" s="823">
        <v>0</v>
      </c>
      <c r="GJ16" s="823">
        <v>0</v>
      </c>
      <c r="GK16" s="823">
        <v>0</v>
      </c>
      <c r="GL16" s="823">
        <v>0</v>
      </c>
      <c r="GM16" s="823">
        <v>0</v>
      </c>
      <c r="GN16" s="823">
        <v>2.32038E-2</v>
      </c>
      <c r="GO16" s="823">
        <v>-2.26378E-2</v>
      </c>
      <c r="GP16" s="823">
        <v>0</v>
      </c>
      <c r="GQ16" s="823">
        <v>0</v>
      </c>
      <c r="GR16" s="823">
        <v>0</v>
      </c>
      <c r="GS16" s="823">
        <v>0</v>
      </c>
      <c r="GT16" s="823">
        <v>0</v>
      </c>
      <c r="GU16" s="823">
        <v>0</v>
      </c>
      <c r="GV16" s="823">
        <v>0</v>
      </c>
      <c r="GW16" s="823">
        <v>1</v>
      </c>
      <c r="GX16" s="823">
        <v>4</v>
      </c>
      <c r="GY16" s="823">
        <v>3.5</v>
      </c>
      <c r="GZ16" s="823">
        <v>-1.8395551999999999</v>
      </c>
      <c r="HA16" s="823">
        <v>0</v>
      </c>
      <c r="HB16" s="823">
        <v>0</v>
      </c>
      <c r="HC16" s="823">
        <v>0</v>
      </c>
      <c r="HD16" s="823">
        <v>0</v>
      </c>
      <c r="HE16" s="823">
        <v>0</v>
      </c>
      <c r="HF16" s="823">
        <v>0</v>
      </c>
      <c r="HG16" s="823">
        <v>0</v>
      </c>
      <c r="HH16" s="823">
        <v>0</v>
      </c>
      <c r="HI16" s="823">
        <v>0</v>
      </c>
      <c r="HJ16" s="823">
        <v>0</v>
      </c>
      <c r="HK16" s="823">
        <v>10.3265914</v>
      </c>
      <c r="HL16" s="823">
        <v>57.596944800000003</v>
      </c>
      <c r="HM16" s="823">
        <v>0</v>
      </c>
      <c r="HN16" s="823">
        <v>0</v>
      </c>
      <c r="HO16" s="823">
        <v>0</v>
      </c>
      <c r="HP16" s="823">
        <v>0</v>
      </c>
      <c r="HQ16" s="823">
        <v>18.97</v>
      </c>
      <c r="HR16" s="823">
        <v>-18.9695</v>
      </c>
      <c r="HS16" s="823">
        <v>0</v>
      </c>
      <c r="HT16" s="823">
        <v>0</v>
      </c>
      <c r="HU16" s="823">
        <v>0</v>
      </c>
      <c r="HV16" s="823">
        <v>0</v>
      </c>
      <c r="HW16" s="823">
        <v>7.5</v>
      </c>
      <c r="HX16" s="823">
        <v>15</v>
      </c>
      <c r="HY16" s="823">
        <v>-2.5226120000000001</v>
      </c>
      <c r="HZ16" s="823">
        <v>-19.977388000000001</v>
      </c>
      <c r="IA16" s="823">
        <v>0</v>
      </c>
      <c r="IB16" s="823">
        <v>0</v>
      </c>
      <c r="IC16" s="823">
        <v>0</v>
      </c>
      <c r="ID16" s="823">
        <v>0</v>
      </c>
      <c r="IE16" s="823">
        <v>0</v>
      </c>
      <c r="IF16" s="823">
        <v>0</v>
      </c>
      <c r="IG16" s="823">
        <v>0</v>
      </c>
      <c r="IH16" s="823">
        <v>0</v>
      </c>
      <c r="II16" s="823">
        <v>0</v>
      </c>
      <c r="IJ16" s="823">
        <v>0</v>
      </c>
      <c r="IK16" s="823">
        <v>0</v>
      </c>
      <c r="IL16" s="823">
        <v>0</v>
      </c>
      <c r="IM16" s="823">
        <v>0</v>
      </c>
      <c r="IN16" s="823">
        <v>0</v>
      </c>
      <c r="IO16" s="823">
        <v>18.826591399999998</v>
      </c>
      <c r="IP16" s="823">
        <v>95.566944800000002</v>
      </c>
      <c r="IQ16" s="823">
        <v>-17.992111999999999</v>
      </c>
      <c r="IR16" s="823">
        <v>-21.816943200000001</v>
      </c>
    </row>
    <row r="17" spans="1:252" ht="12.75" x14ac:dyDescent="0.2">
      <c r="A17" s="828" t="s">
        <v>321</v>
      </c>
      <c r="B17" s="823">
        <v>-14.0631</v>
      </c>
      <c r="C17" s="823">
        <v>-11.783099999999999</v>
      </c>
      <c r="D17" s="823">
        <v>0</v>
      </c>
      <c r="E17" s="823">
        <v>70.233500000000006</v>
      </c>
      <c r="F17" s="823">
        <v>17.5228</v>
      </c>
      <c r="G17" s="823">
        <v>319.92</v>
      </c>
      <c r="H17" s="823">
        <v>47.63</v>
      </c>
      <c r="I17" s="823">
        <v>-1.6139982260000001</v>
      </c>
      <c r="J17" s="823">
        <v>-0.88226153123765505</v>
      </c>
      <c r="K17" s="823">
        <v>-5.44199351035157</v>
      </c>
      <c r="L17" s="823">
        <v>45.446860403640898</v>
      </c>
      <c r="M17" s="823">
        <v>71.140013902940098</v>
      </c>
      <c r="N17" s="823">
        <v>110.289804853642</v>
      </c>
      <c r="O17" s="823">
        <v>-4.5538512436699801</v>
      </c>
      <c r="P17" s="823">
        <v>1.8845812</v>
      </c>
      <c r="Q17" s="823">
        <v>56.340317400000004</v>
      </c>
      <c r="R17" s="823">
        <v>4.6992000000000003</v>
      </c>
      <c r="S17" s="823">
        <v>12.2046607</v>
      </c>
      <c r="T17" s="823">
        <v>-43.864600000000003</v>
      </c>
      <c r="U17" s="823">
        <v>23.97</v>
      </c>
      <c r="V17" s="823">
        <v>-3.624152</v>
      </c>
      <c r="W17" s="823">
        <v>12.5124</v>
      </c>
      <c r="X17" s="823">
        <v>0.50460000000000005</v>
      </c>
      <c r="Y17" s="823">
        <v>-7.22E-2</v>
      </c>
      <c r="Z17" s="823">
        <v>3.0485799999999998</v>
      </c>
      <c r="AA17" s="823">
        <v>6.3188000000000004</v>
      </c>
      <c r="AB17" s="823">
        <v>52.84</v>
      </c>
      <c r="AC17" s="823">
        <v>4.21</v>
      </c>
      <c r="AD17" s="823">
        <v>-1.280117026000001</v>
      </c>
      <c r="AE17" s="823">
        <v>44.179555868762357</v>
      </c>
      <c r="AF17" s="823">
        <v>-0.81499351035156975</v>
      </c>
      <c r="AG17" s="823">
        <v>130.93360110364091</v>
      </c>
      <c r="AH17" s="823">
        <v>51.117013902940101</v>
      </c>
      <c r="AI17" s="823">
        <v>507.01980485364209</v>
      </c>
      <c r="AJ17" s="823">
        <v>43.661996756330019</v>
      </c>
      <c r="AK17" s="823">
        <v>0</v>
      </c>
      <c r="AL17" s="823">
        <v>0</v>
      </c>
      <c r="AM17" s="823">
        <v>0</v>
      </c>
      <c r="AN17" s="823">
        <v>0</v>
      </c>
      <c r="AO17" s="823">
        <v>0</v>
      </c>
      <c r="AP17" s="823">
        <v>0.31950000000000001</v>
      </c>
      <c r="AQ17" s="823">
        <v>0.23121720000000001</v>
      </c>
      <c r="AR17" s="823">
        <v>1.0215000000000001</v>
      </c>
      <c r="AS17" s="823">
        <v>1.3807</v>
      </c>
      <c r="AT17" s="823">
        <v>0.98909749999999996</v>
      </c>
      <c r="AU17" s="823">
        <v>-1.4370417</v>
      </c>
      <c r="AV17" s="823">
        <v>-3.3786923999999998</v>
      </c>
      <c r="AW17" s="823">
        <v>0</v>
      </c>
      <c r="AX17" s="823"/>
      <c r="AY17" s="823">
        <v>17.449440409000001</v>
      </c>
      <c r="AZ17" s="823">
        <v>3.864722558</v>
      </c>
      <c r="BA17" s="823">
        <v>3.151592087</v>
      </c>
      <c r="BB17" s="823">
        <v>4.7846227030000001</v>
      </c>
      <c r="BC17" s="823">
        <v>0</v>
      </c>
      <c r="BD17" s="823">
        <v>0</v>
      </c>
      <c r="BE17" s="823">
        <v>0</v>
      </c>
      <c r="BF17" s="823">
        <v>22</v>
      </c>
      <c r="BG17" s="823">
        <v>157.32429450000001</v>
      </c>
      <c r="BH17" s="823">
        <v>-82.343805500000002</v>
      </c>
      <c r="BI17" s="823">
        <v>-62.010235999999999</v>
      </c>
      <c r="BJ17" s="823">
        <v>0</v>
      </c>
      <c r="BK17" s="823">
        <v>0</v>
      </c>
      <c r="BL17" s="823">
        <v>0</v>
      </c>
      <c r="BM17" s="823">
        <v>0</v>
      </c>
      <c r="BN17" s="823">
        <v>0</v>
      </c>
      <c r="BO17" s="823">
        <v>7.7614799999999998E-2</v>
      </c>
      <c r="BP17" s="823">
        <v>0.310303</v>
      </c>
      <c r="BQ17" s="823">
        <v>0</v>
      </c>
      <c r="BR17" s="823">
        <v>0</v>
      </c>
      <c r="BS17" s="823">
        <v>0</v>
      </c>
      <c r="BT17" s="823">
        <v>0.26115060000000001</v>
      </c>
      <c r="BU17" s="823">
        <v>0.2357148</v>
      </c>
      <c r="BV17" s="823">
        <v>0</v>
      </c>
      <c r="BW17" s="823">
        <v>0</v>
      </c>
      <c r="BX17" s="823"/>
      <c r="BY17" s="823">
        <v>0</v>
      </c>
      <c r="BZ17" s="823">
        <v>0</v>
      </c>
      <c r="CA17" s="823">
        <v>0.80630000000000002</v>
      </c>
      <c r="CB17" s="823">
        <v>9.4490999999999996</v>
      </c>
      <c r="CC17" s="823">
        <v>-8.7241</v>
      </c>
      <c r="CD17" s="823">
        <v>0.7</v>
      </c>
      <c r="CE17" s="823">
        <v>-3.01</v>
      </c>
      <c r="CF17" s="823">
        <v>-1.18</v>
      </c>
      <c r="CG17" s="823">
        <v>-0.11832429999999999</v>
      </c>
      <c r="CH17" s="823">
        <v>-0.67961970000000005</v>
      </c>
      <c r="CI17" s="823">
        <v>13.3870583</v>
      </c>
      <c r="CJ17" s="823">
        <v>59.382209600000003</v>
      </c>
      <c r="CK17" s="823">
        <v>-38.287988300000002</v>
      </c>
      <c r="CL17" s="823">
        <v>47.453325</v>
      </c>
      <c r="CM17" s="823">
        <v>11.0384072</v>
      </c>
      <c r="CN17" s="823">
        <v>-4.68</v>
      </c>
      <c r="CO17" s="823">
        <v>0</v>
      </c>
      <c r="CP17" s="823">
        <v>4.1621338000000003</v>
      </c>
      <c r="CQ17" s="823">
        <v>0</v>
      </c>
      <c r="CR17" s="823">
        <v>0.70780279999999995</v>
      </c>
      <c r="CS17" s="823">
        <v>0</v>
      </c>
      <c r="CT17" s="823">
        <v>0</v>
      </c>
      <c r="CU17" s="823">
        <v>0</v>
      </c>
      <c r="CV17" s="823">
        <v>0</v>
      </c>
      <c r="CW17" s="823">
        <v>0</v>
      </c>
      <c r="CX17" s="823">
        <v>0</v>
      </c>
      <c r="CY17" s="823">
        <v>0</v>
      </c>
      <c r="CZ17" s="823">
        <v>3.7000000000000002E-3</v>
      </c>
      <c r="DA17" s="823">
        <v>3.8E-3</v>
      </c>
      <c r="DB17" s="823">
        <v>1.1999999999999999E-3</v>
      </c>
      <c r="DC17" s="823">
        <v>0</v>
      </c>
      <c r="DD17" s="823">
        <v>0</v>
      </c>
      <c r="DE17" s="823">
        <v>2.8649713000000001</v>
      </c>
      <c r="DF17" s="823">
        <v>5.2435086000000002</v>
      </c>
      <c r="DG17" s="823">
        <v>0</v>
      </c>
      <c r="DH17" s="823">
        <v>-8.1084799000000007</v>
      </c>
      <c r="DI17" s="823">
        <v>0</v>
      </c>
      <c r="DJ17" s="823">
        <v>0</v>
      </c>
      <c r="DK17" s="823">
        <v>0</v>
      </c>
      <c r="DL17" s="823">
        <v>0</v>
      </c>
      <c r="DM17" s="823">
        <v>9.4700000000000006E-2</v>
      </c>
      <c r="DN17" s="823">
        <v>6.5499500000000002E-2</v>
      </c>
      <c r="DO17" s="823">
        <v>0.14376159999999999</v>
      </c>
      <c r="DP17" s="823">
        <v>0.1657574</v>
      </c>
      <c r="DQ17" s="823">
        <v>0</v>
      </c>
      <c r="DR17" s="823">
        <v>0</v>
      </c>
      <c r="DS17" s="823">
        <v>0</v>
      </c>
      <c r="DT17" s="823">
        <v>0</v>
      </c>
      <c r="DU17" s="823">
        <v>2.23</v>
      </c>
      <c r="DV17" s="823">
        <v>0</v>
      </c>
      <c r="DW17" s="823">
        <v>0</v>
      </c>
      <c r="DX17" s="823">
        <v>0</v>
      </c>
      <c r="DY17" s="823">
        <v>0</v>
      </c>
      <c r="DZ17" s="823">
        <v>0</v>
      </c>
      <c r="EA17" s="823">
        <v>0</v>
      </c>
      <c r="EB17" s="823">
        <v>6.9833800000000001E-2</v>
      </c>
      <c r="EC17" s="823">
        <v>1.9114310000000001</v>
      </c>
      <c r="ED17" s="823">
        <v>1.6407651999999999</v>
      </c>
      <c r="EE17" s="823">
        <v>12.280799999999999</v>
      </c>
      <c r="EF17" s="823">
        <v>1.677592</v>
      </c>
      <c r="EG17" s="823">
        <v>25.728000000000002</v>
      </c>
      <c r="EH17" s="823">
        <v>22.882271500000002</v>
      </c>
      <c r="EI17" s="823">
        <v>0.58611840000000004</v>
      </c>
      <c r="EJ17" s="823">
        <v>0</v>
      </c>
      <c r="EK17" s="823">
        <v>0</v>
      </c>
      <c r="EL17" s="823">
        <v>0</v>
      </c>
      <c r="EM17" s="823">
        <v>3.0382118999999999</v>
      </c>
      <c r="EN17" s="823">
        <v>2.5790882000000002</v>
      </c>
      <c r="EO17" s="823">
        <v>2.0254751999999998</v>
      </c>
      <c r="EP17" s="823">
        <v>-7.9022781000000002</v>
      </c>
      <c r="EQ17" s="823">
        <v>0</v>
      </c>
      <c r="ER17" s="823">
        <v>0</v>
      </c>
      <c r="ES17" s="823">
        <v>0</v>
      </c>
      <c r="ET17" s="823">
        <v>0</v>
      </c>
      <c r="EU17" s="823">
        <v>6.5630309000000002</v>
      </c>
      <c r="EV17" s="823">
        <v>-0.27650000000000002</v>
      </c>
      <c r="EW17" s="823">
        <v>5.8426</v>
      </c>
      <c r="EX17" s="823">
        <v>0</v>
      </c>
      <c r="EY17" s="823">
        <v>0.3345516</v>
      </c>
      <c r="EZ17" s="823">
        <v>0.15288289999999999</v>
      </c>
      <c r="FA17" s="823">
        <v>0.2025652</v>
      </c>
      <c r="FB17" s="823">
        <v>0.19213060000000001</v>
      </c>
      <c r="FC17" s="823">
        <v>1.7206000000000001E-3</v>
      </c>
      <c r="FD17" s="823">
        <v>0</v>
      </c>
      <c r="FE17" s="823">
        <v>1.0296738999999999</v>
      </c>
      <c r="FF17" s="823">
        <v>4.9879012999999999</v>
      </c>
      <c r="FG17" s="823">
        <v>2.3542228000000001</v>
      </c>
      <c r="FH17" s="823">
        <v>5.2271096000000004</v>
      </c>
      <c r="FI17" s="823">
        <v>-11.7213338</v>
      </c>
      <c r="FJ17" s="823">
        <v>5.9222491000000002</v>
      </c>
      <c r="FK17" s="823">
        <v>-5.9430094999999996</v>
      </c>
      <c r="FL17" s="823">
        <v>0</v>
      </c>
      <c r="FM17" s="823">
        <v>0</v>
      </c>
      <c r="FN17" s="823">
        <v>0</v>
      </c>
      <c r="FO17" s="823">
        <v>0</v>
      </c>
      <c r="FP17" s="823">
        <v>0</v>
      </c>
      <c r="FQ17" s="823">
        <v>0</v>
      </c>
      <c r="FR17" s="823">
        <v>6.26916E-2</v>
      </c>
      <c r="FS17" s="823">
        <v>3.4649000000000001</v>
      </c>
      <c r="FT17" s="823">
        <v>34.5030304</v>
      </c>
      <c r="FU17" s="823">
        <v>86.781927008999986</v>
      </c>
      <c r="FV17" s="823">
        <v>5.8489243580000005</v>
      </c>
      <c r="FW17" s="823">
        <v>229.31842448700004</v>
      </c>
      <c r="FX17" s="823">
        <v>-46.282368597000016</v>
      </c>
      <c r="FY17" s="823">
        <v>-74.838624300000006</v>
      </c>
      <c r="FZ17" s="823">
        <v>0</v>
      </c>
      <c r="GA17" s="823">
        <v>0</v>
      </c>
      <c r="GB17" s="823">
        <v>2.1242000000000001</v>
      </c>
      <c r="GC17" s="823">
        <v>0</v>
      </c>
      <c r="GD17" s="823">
        <v>0</v>
      </c>
      <c r="GE17" s="823">
        <v>197.91383740000001</v>
      </c>
      <c r="GF17" s="823">
        <v>-200</v>
      </c>
      <c r="GG17" s="823">
        <v>0.20499999999999999</v>
      </c>
      <c r="GH17" s="823">
        <v>0.2</v>
      </c>
      <c r="GI17" s="823">
        <v>1.52</v>
      </c>
      <c r="GJ17" s="823">
        <v>0</v>
      </c>
      <c r="GK17" s="823">
        <v>0</v>
      </c>
      <c r="GL17" s="823">
        <v>-3.0799999999999998E-3</v>
      </c>
      <c r="GM17" s="823">
        <v>3.5599999999999998E-3</v>
      </c>
      <c r="GN17" s="823">
        <v>0.20499999999999999</v>
      </c>
      <c r="GO17" s="823">
        <v>0.2</v>
      </c>
      <c r="GP17" s="823">
        <v>3.6442000000000001</v>
      </c>
      <c r="GQ17" s="823">
        <v>0</v>
      </c>
      <c r="GR17" s="823">
        <v>0</v>
      </c>
      <c r="GS17" s="823">
        <v>197.91075739999999</v>
      </c>
      <c r="GT17" s="823">
        <v>-199.99644000000001</v>
      </c>
      <c r="GU17" s="823">
        <v>0</v>
      </c>
      <c r="GV17" s="823">
        <v>0</v>
      </c>
      <c r="GW17" s="823">
        <v>0</v>
      </c>
      <c r="GX17" s="823">
        <v>0</v>
      </c>
      <c r="GY17" s="823">
        <v>0</v>
      </c>
      <c r="GZ17" s="823">
        <v>0</v>
      </c>
      <c r="HA17" s="823">
        <v>0</v>
      </c>
      <c r="HB17" s="823">
        <v>0</v>
      </c>
      <c r="HC17" s="823">
        <v>0</v>
      </c>
      <c r="HD17" s="823">
        <v>9.7906542999999999</v>
      </c>
      <c r="HE17" s="823">
        <v>0</v>
      </c>
      <c r="HF17" s="823">
        <v>0</v>
      </c>
      <c r="HG17" s="823">
        <v>0</v>
      </c>
      <c r="HH17" s="823">
        <v>0</v>
      </c>
      <c r="HI17" s="823">
        <v>0</v>
      </c>
      <c r="HJ17" s="823">
        <v>0</v>
      </c>
      <c r="HK17" s="823">
        <v>0</v>
      </c>
      <c r="HL17" s="823">
        <v>0</v>
      </c>
      <c r="HM17" s="823">
        <v>0</v>
      </c>
      <c r="HN17" s="823">
        <v>0</v>
      </c>
      <c r="HO17" s="823">
        <v>0</v>
      </c>
      <c r="HP17" s="823">
        <v>0</v>
      </c>
      <c r="HQ17" s="823">
        <v>0.43</v>
      </c>
      <c r="HR17" s="823">
        <v>0.30015379399999997</v>
      </c>
      <c r="HS17" s="823">
        <v>0.21594629800000001</v>
      </c>
      <c r="HT17" s="823">
        <v>3.3990421569999998</v>
      </c>
      <c r="HU17" s="823">
        <v>0</v>
      </c>
      <c r="HV17" s="823">
        <v>0.55041146100000005</v>
      </c>
      <c r="HW17" s="823">
        <v>8.4671156429999996</v>
      </c>
      <c r="HX17" s="823">
        <v>35.000157700000003</v>
      </c>
      <c r="HY17" s="823">
        <v>28.345080299999999</v>
      </c>
      <c r="HZ17" s="823">
        <v>22.170707799999999</v>
      </c>
      <c r="IA17" s="823">
        <v>0</v>
      </c>
      <c r="IB17" s="823">
        <v>0.89549999999999996</v>
      </c>
      <c r="IC17" s="823">
        <v>0</v>
      </c>
      <c r="ID17" s="823">
        <v>0</v>
      </c>
      <c r="IE17" s="823">
        <v>0</v>
      </c>
      <c r="IF17" s="823">
        <v>0</v>
      </c>
      <c r="IG17" s="823">
        <v>0</v>
      </c>
      <c r="IH17" s="823">
        <v>0</v>
      </c>
      <c r="II17" s="823">
        <v>0.51</v>
      </c>
      <c r="IJ17" s="823">
        <v>34.353208299999999</v>
      </c>
      <c r="IK17" s="823">
        <v>1.8373949999999999</v>
      </c>
      <c r="IL17" s="823">
        <v>3.3990421569999998</v>
      </c>
      <c r="IM17" s="823">
        <v>0</v>
      </c>
      <c r="IN17" s="823">
        <v>0.55041146100000005</v>
      </c>
      <c r="IO17" s="823">
        <v>18.257769943</v>
      </c>
      <c r="IP17" s="823">
        <v>36.835657699999999</v>
      </c>
      <c r="IQ17" s="823">
        <v>62.998442393999994</v>
      </c>
      <c r="IR17" s="823">
        <v>24.224049097999998</v>
      </c>
    </row>
    <row r="18" spans="1:252" ht="12.75" x14ac:dyDescent="0.2">
      <c r="A18" s="824" t="s">
        <v>264</v>
      </c>
      <c r="B18" s="823">
        <v>0</v>
      </c>
      <c r="C18" s="823"/>
      <c r="D18" s="823">
        <v>0</v>
      </c>
      <c r="E18" s="823">
        <v>27.037099999999999</v>
      </c>
      <c r="F18" s="823">
        <v>0</v>
      </c>
      <c r="G18" s="823">
        <v>0</v>
      </c>
      <c r="H18" s="823"/>
      <c r="I18" s="823">
        <v>19.4954</v>
      </c>
      <c r="J18" s="823">
        <v>15.444344505802199</v>
      </c>
      <c r="K18" s="823">
        <v>3.24299646669084</v>
      </c>
      <c r="L18" s="823">
        <v>0</v>
      </c>
      <c r="M18" s="823">
        <v>0</v>
      </c>
      <c r="N18" s="823">
        <v>0</v>
      </c>
      <c r="O18" s="823">
        <v>0</v>
      </c>
      <c r="P18" s="823">
        <v>2.8372508000000001</v>
      </c>
      <c r="Q18" s="823">
        <v>2.9335374000000001</v>
      </c>
      <c r="R18" s="823">
        <v>2.6103999999999998</v>
      </c>
      <c r="S18" s="823">
        <v>6.2791929</v>
      </c>
      <c r="T18" s="823">
        <v>0.3881</v>
      </c>
      <c r="U18" s="823">
        <v>1.34</v>
      </c>
      <c r="V18" s="823">
        <v>1.4132480000000001</v>
      </c>
      <c r="W18" s="823">
        <v>0.6</v>
      </c>
      <c r="X18" s="823">
        <v>1.56</v>
      </c>
      <c r="Y18" s="823">
        <v>0</v>
      </c>
      <c r="Z18" s="823">
        <v>78.569452499999997</v>
      </c>
      <c r="AA18" s="823">
        <v>82.746199999999988</v>
      </c>
      <c r="AB18" s="823">
        <v>0</v>
      </c>
      <c r="AC18" s="823"/>
      <c r="AD18" s="823">
        <v>22.932650800000001</v>
      </c>
      <c r="AE18" s="823">
        <v>19.937881905802197</v>
      </c>
      <c r="AF18" s="823">
        <v>5.8533964666908398</v>
      </c>
      <c r="AG18" s="823">
        <v>111.88574539999999</v>
      </c>
      <c r="AH18" s="823">
        <v>83.134299999999982</v>
      </c>
      <c r="AI18" s="823">
        <v>1.34</v>
      </c>
      <c r="AJ18" s="823">
        <v>1.4132480000000001</v>
      </c>
      <c r="AK18" s="823">
        <v>0</v>
      </c>
      <c r="AL18" s="823">
        <v>0</v>
      </c>
      <c r="AM18" s="823">
        <v>0</v>
      </c>
      <c r="AN18" s="823">
        <v>0</v>
      </c>
      <c r="AO18" s="823">
        <v>0</v>
      </c>
      <c r="AP18" s="823">
        <v>0</v>
      </c>
      <c r="AQ18" s="823">
        <v>0</v>
      </c>
      <c r="AR18" s="823">
        <v>0</v>
      </c>
      <c r="AS18" s="823">
        <v>0</v>
      </c>
      <c r="AT18" s="823">
        <v>0</v>
      </c>
      <c r="AU18" s="823">
        <v>0</v>
      </c>
      <c r="AV18" s="823">
        <v>0</v>
      </c>
      <c r="AW18" s="823">
        <v>0</v>
      </c>
      <c r="AX18" s="823"/>
      <c r="AY18" s="823">
        <v>0</v>
      </c>
      <c r="AZ18" s="823">
        <v>0</v>
      </c>
      <c r="BA18" s="823">
        <v>0</v>
      </c>
      <c r="BB18" s="823">
        <v>0</v>
      </c>
      <c r="BC18" s="823">
        <v>0</v>
      </c>
      <c r="BD18" s="823">
        <v>0</v>
      </c>
      <c r="BE18" s="823">
        <v>0</v>
      </c>
      <c r="BF18" s="823">
        <v>0</v>
      </c>
      <c r="BG18" s="823">
        <v>0.12330000000000001</v>
      </c>
      <c r="BH18" s="823">
        <v>0</v>
      </c>
      <c r="BI18" s="823">
        <v>0</v>
      </c>
      <c r="BJ18" s="823">
        <v>0</v>
      </c>
      <c r="BK18" s="823">
        <v>0</v>
      </c>
      <c r="BL18" s="823">
        <v>0</v>
      </c>
      <c r="BM18" s="823">
        <v>0</v>
      </c>
      <c r="BN18" s="823">
        <v>0</v>
      </c>
      <c r="BO18" s="823">
        <v>0</v>
      </c>
      <c r="BP18" s="823">
        <v>0</v>
      </c>
      <c r="BQ18" s="823">
        <v>0</v>
      </c>
      <c r="BR18" s="823">
        <v>0</v>
      </c>
      <c r="BS18" s="823">
        <v>0</v>
      </c>
      <c r="BT18" s="823">
        <v>0</v>
      </c>
      <c r="BU18" s="823">
        <v>0</v>
      </c>
      <c r="BV18" s="823">
        <v>0</v>
      </c>
      <c r="BW18" s="823">
        <v>0</v>
      </c>
      <c r="BX18" s="823"/>
      <c r="BY18" s="823">
        <v>0</v>
      </c>
      <c r="BZ18" s="823">
        <v>0</v>
      </c>
      <c r="CA18" s="823">
        <v>0</v>
      </c>
      <c r="CB18" s="823">
        <v>0</v>
      </c>
      <c r="CC18" s="823">
        <v>0</v>
      </c>
      <c r="CD18" s="823">
        <v>0</v>
      </c>
      <c r="CE18" s="823">
        <v>0</v>
      </c>
      <c r="CF18" s="823">
        <v>0</v>
      </c>
      <c r="CG18" s="823">
        <v>0</v>
      </c>
      <c r="CH18" s="823">
        <v>-3.5435956000000002</v>
      </c>
      <c r="CI18" s="823">
        <v>-3.9357408</v>
      </c>
      <c r="CJ18" s="823">
        <v>-1.8777486999999999</v>
      </c>
      <c r="CK18" s="823">
        <v>-3.0068356000000001</v>
      </c>
      <c r="CL18" s="823">
        <v>0</v>
      </c>
      <c r="CM18" s="823">
        <v>0</v>
      </c>
      <c r="CN18" s="823"/>
      <c r="CO18" s="823">
        <v>0</v>
      </c>
      <c r="CP18" s="823">
        <v>0</v>
      </c>
      <c r="CQ18" s="823">
        <v>0</v>
      </c>
      <c r="CR18" s="823">
        <v>0</v>
      </c>
      <c r="CS18" s="823">
        <v>0</v>
      </c>
      <c r="CT18" s="823">
        <v>0</v>
      </c>
      <c r="CU18" s="823">
        <v>0</v>
      </c>
      <c r="CV18" s="823">
        <v>0</v>
      </c>
      <c r="CW18" s="823">
        <v>0</v>
      </c>
      <c r="CX18" s="823">
        <v>0</v>
      </c>
      <c r="CY18" s="823">
        <v>0</v>
      </c>
      <c r="CZ18" s="823">
        <v>0</v>
      </c>
      <c r="DA18" s="823">
        <v>0</v>
      </c>
      <c r="DB18" s="823">
        <v>0</v>
      </c>
      <c r="DC18" s="823">
        <v>0</v>
      </c>
      <c r="DD18" s="823">
        <v>0</v>
      </c>
      <c r="DE18" s="823">
        <v>0</v>
      </c>
      <c r="DF18" s="823">
        <v>0</v>
      </c>
      <c r="DG18" s="823">
        <v>0</v>
      </c>
      <c r="DH18" s="823">
        <v>0</v>
      </c>
      <c r="DI18" s="823">
        <v>0</v>
      </c>
      <c r="DJ18" s="823">
        <v>0</v>
      </c>
      <c r="DK18" s="823">
        <v>0</v>
      </c>
      <c r="DL18" s="823">
        <v>0</v>
      </c>
      <c r="DM18" s="823">
        <v>2.4E-2</v>
      </c>
      <c r="DN18" s="823">
        <v>-5.9649000000000004E-3</v>
      </c>
      <c r="DO18" s="823">
        <v>-4.1421000000000001E-3</v>
      </c>
      <c r="DP18" s="823">
        <v>-1.28632E-2</v>
      </c>
      <c r="DQ18" s="823">
        <v>0</v>
      </c>
      <c r="DR18" s="823">
        <v>0</v>
      </c>
      <c r="DS18" s="823">
        <v>0</v>
      </c>
      <c r="DT18" s="823">
        <v>0</v>
      </c>
      <c r="DU18" s="823" t="s">
        <v>167</v>
      </c>
      <c r="DV18" s="823">
        <v>0</v>
      </c>
      <c r="DW18" s="823">
        <v>0</v>
      </c>
      <c r="DX18" s="823">
        <v>0</v>
      </c>
      <c r="DY18" s="823">
        <v>0</v>
      </c>
      <c r="DZ18" s="823">
        <v>0</v>
      </c>
      <c r="EA18" s="823">
        <v>0</v>
      </c>
      <c r="EB18" s="823">
        <v>0</v>
      </c>
      <c r="EC18" s="823">
        <v>0</v>
      </c>
      <c r="ED18" s="823">
        <v>0</v>
      </c>
      <c r="EE18" s="823">
        <v>0</v>
      </c>
      <c r="EF18" s="823">
        <v>0</v>
      </c>
      <c r="EG18" s="823">
        <v>1.2363451000000001</v>
      </c>
      <c r="EH18" s="823">
        <v>0</v>
      </c>
      <c r="EI18" s="823">
        <v>0</v>
      </c>
      <c r="EJ18" s="823">
        <v>0</v>
      </c>
      <c r="EK18" s="823">
        <v>0</v>
      </c>
      <c r="EL18" s="823">
        <v>0</v>
      </c>
      <c r="EM18" s="823">
        <v>1.9698348999999999</v>
      </c>
      <c r="EN18" s="823">
        <v>22.554915099999999</v>
      </c>
      <c r="EO18" s="823">
        <v>17.858969600000002</v>
      </c>
      <c r="EP18" s="823">
        <v>-40</v>
      </c>
      <c r="EQ18" s="823">
        <v>0</v>
      </c>
      <c r="ER18" s="823">
        <v>0</v>
      </c>
      <c r="ES18" s="823">
        <v>0</v>
      </c>
      <c r="ET18" s="823">
        <v>0</v>
      </c>
      <c r="EU18" s="823">
        <v>0</v>
      </c>
      <c r="EV18" s="823">
        <v>0</v>
      </c>
      <c r="EW18" s="823">
        <v>0</v>
      </c>
      <c r="EX18" s="823">
        <v>0</v>
      </c>
      <c r="EY18" s="823">
        <v>0</v>
      </c>
      <c r="EZ18" s="823">
        <v>0</v>
      </c>
      <c r="FA18" s="823">
        <v>0</v>
      </c>
      <c r="FB18" s="823">
        <v>0</v>
      </c>
      <c r="FC18" s="823">
        <v>0</v>
      </c>
      <c r="FD18" s="823">
        <v>0</v>
      </c>
      <c r="FE18" s="823">
        <v>0</v>
      </c>
      <c r="FF18" s="823">
        <v>0</v>
      </c>
      <c r="FG18" s="823">
        <v>0</v>
      </c>
      <c r="FH18" s="823">
        <v>0</v>
      </c>
      <c r="FI18" s="823">
        <v>0</v>
      </c>
      <c r="FJ18" s="823">
        <v>0</v>
      </c>
      <c r="FK18" s="823">
        <v>0</v>
      </c>
      <c r="FL18" s="823">
        <v>0</v>
      </c>
      <c r="FM18" s="823">
        <v>0</v>
      </c>
      <c r="FN18" s="823">
        <v>2.1122307</v>
      </c>
      <c r="FO18" s="823">
        <v>0</v>
      </c>
      <c r="FP18" s="823">
        <v>5.660336</v>
      </c>
      <c r="FQ18" s="823">
        <v>10.7555353</v>
      </c>
      <c r="FR18" s="823">
        <v>20.650258000000001</v>
      </c>
      <c r="FS18" s="823">
        <v>-3.5435956000000002</v>
      </c>
      <c r="FT18" s="823">
        <v>-3.9357408</v>
      </c>
      <c r="FU18" s="823">
        <v>0.23448200000000008</v>
      </c>
      <c r="FV18" s="823">
        <v>-1.0130007000000001</v>
      </c>
      <c r="FW18" s="823">
        <v>29.568931299999999</v>
      </c>
      <c r="FX18" s="823">
        <v>28.610362800000004</v>
      </c>
      <c r="FY18" s="823">
        <v>-19.362605199999997</v>
      </c>
      <c r="FZ18" s="823">
        <v>2.2835000000000001</v>
      </c>
      <c r="GA18" s="823">
        <v>4.1627581769999997</v>
      </c>
      <c r="GB18" s="823">
        <v>-18.066500000000001</v>
      </c>
      <c r="GC18" s="823">
        <v>55</v>
      </c>
      <c r="GD18" s="823">
        <v>0</v>
      </c>
      <c r="GE18" s="823">
        <v>0</v>
      </c>
      <c r="GF18" s="823">
        <v>0</v>
      </c>
      <c r="GG18" s="823">
        <v>0</v>
      </c>
      <c r="GH18" s="823">
        <v>0</v>
      </c>
      <c r="GI18" s="823">
        <v>0</v>
      </c>
      <c r="GJ18" s="823">
        <v>13.4446271</v>
      </c>
      <c r="GK18" s="823">
        <v>32.283131099999999</v>
      </c>
      <c r="GL18" s="823">
        <v>0</v>
      </c>
      <c r="GM18" s="823">
        <v>0</v>
      </c>
      <c r="GN18" s="823">
        <v>2.2835000000000001</v>
      </c>
      <c r="GO18" s="823">
        <v>4.1627581769999997</v>
      </c>
      <c r="GP18" s="823">
        <v>-18.066500000000001</v>
      </c>
      <c r="GQ18" s="823">
        <v>68.444627100000005</v>
      </c>
      <c r="GR18" s="823">
        <v>32.283131099999999</v>
      </c>
      <c r="GS18" s="823">
        <v>0</v>
      </c>
      <c r="GT18" s="823">
        <v>0</v>
      </c>
      <c r="GU18" s="823">
        <v>0</v>
      </c>
      <c r="GV18" s="823">
        <v>0</v>
      </c>
      <c r="GW18" s="823">
        <v>0</v>
      </c>
      <c r="GX18" s="823">
        <v>0</v>
      </c>
      <c r="GY18" s="823">
        <v>0</v>
      </c>
      <c r="GZ18" s="823">
        <v>0</v>
      </c>
      <c r="HA18" s="823">
        <v>0</v>
      </c>
      <c r="HB18" s="823">
        <v>4.2376000000000002E-3</v>
      </c>
      <c r="HC18" s="823">
        <v>0</v>
      </c>
      <c r="HD18" s="823">
        <v>0</v>
      </c>
      <c r="HE18" s="823">
        <v>0</v>
      </c>
      <c r="HF18" s="823">
        <v>0</v>
      </c>
      <c r="HG18" s="823">
        <v>0</v>
      </c>
      <c r="HH18" s="823">
        <v>0</v>
      </c>
      <c r="HI18" s="823">
        <v>0</v>
      </c>
      <c r="HJ18" s="823">
        <v>0</v>
      </c>
      <c r="HK18" s="823">
        <v>0</v>
      </c>
      <c r="HL18" s="823">
        <v>0</v>
      </c>
      <c r="HM18" s="823">
        <v>0</v>
      </c>
      <c r="HN18" s="823">
        <v>0</v>
      </c>
      <c r="HO18" s="823">
        <v>0</v>
      </c>
      <c r="HP18" s="823">
        <v>0</v>
      </c>
      <c r="HQ18" s="823">
        <v>0</v>
      </c>
      <c r="HR18" s="823">
        <v>0</v>
      </c>
      <c r="HS18" s="823">
        <v>0</v>
      </c>
      <c r="HT18" s="823">
        <v>0.1892779</v>
      </c>
      <c r="HU18" s="823">
        <v>0</v>
      </c>
      <c r="HV18" s="823">
        <v>0</v>
      </c>
      <c r="HW18" s="823">
        <v>0</v>
      </c>
      <c r="HX18" s="823">
        <v>0</v>
      </c>
      <c r="HY18" s="823">
        <v>0</v>
      </c>
      <c r="HZ18" s="823">
        <v>0</v>
      </c>
      <c r="IA18" s="823">
        <v>0</v>
      </c>
      <c r="IB18" s="823">
        <v>0</v>
      </c>
      <c r="IC18" s="823">
        <v>0</v>
      </c>
      <c r="ID18" s="823">
        <v>0</v>
      </c>
      <c r="IE18" s="823">
        <v>0</v>
      </c>
      <c r="IF18" s="823">
        <v>0</v>
      </c>
      <c r="IG18" s="823">
        <v>0</v>
      </c>
      <c r="IH18" s="823">
        <v>3.9975000000000001</v>
      </c>
      <c r="II18" s="823">
        <v>-3.9975000000000001</v>
      </c>
      <c r="IJ18" s="823">
        <v>0</v>
      </c>
      <c r="IK18" s="823">
        <v>0</v>
      </c>
      <c r="IL18" s="823">
        <v>0.1892779</v>
      </c>
      <c r="IM18" s="823">
        <v>4.2376000000000002E-3</v>
      </c>
      <c r="IN18" s="823">
        <v>0</v>
      </c>
      <c r="IO18" s="823">
        <v>3.9975000000000001</v>
      </c>
      <c r="IP18" s="823">
        <v>-3.9975000000000001</v>
      </c>
      <c r="IQ18" s="823">
        <v>0</v>
      </c>
      <c r="IR18" s="823">
        <v>0</v>
      </c>
    </row>
    <row r="19" spans="1:252" ht="12.75" x14ac:dyDescent="0.2">
      <c r="A19" s="829" t="s">
        <v>324</v>
      </c>
      <c r="B19" s="823"/>
      <c r="C19" s="823"/>
      <c r="D19" s="823"/>
      <c r="E19" s="823"/>
      <c r="F19" s="823"/>
      <c r="G19" s="823"/>
      <c r="H19" s="823"/>
      <c r="I19" s="823"/>
      <c r="J19" s="823"/>
      <c r="K19" s="823"/>
      <c r="L19" s="823"/>
      <c r="M19" s="823"/>
      <c r="N19" s="823"/>
      <c r="O19" s="823"/>
      <c r="P19" s="823"/>
      <c r="Q19" s="823"/>
      <c r="R19" s="823"/>
      <c r="S19" s="823"/>
      <c r="T19" s="823"/>
      <c r="U19" s="823"/>
      <c r="V19" s="823"/>
      <c r="W19" s="823"/>
      <c r="X19" s="823"/>
      <c r="Y19" s="823"/>
      <c r="Z19" s="823"/>
      <c r="AA19" s="823"/>
      <c r="AB19" s="823"/>
      <c r="AC19" s="823"/>
      <c r="AD19" s="823"/>
      <c r="AE19" s="823"/>
      <c r="AF19" s="823"/>
      <c r="AG19" s="823"/>
      <c r="AH19" s="823"/>
      <c r="AI19" s="823"/>
      <c r="AJ19" s="823"/>
      <c r="AK19" s="823"/>
      <c r="AL19" s="823"/>
      <c r="AM19" s="823"/>
      <c r="AN19" s="823"/>
      <c r="AO19" s="823"/>
      <c r="AP19" s="823"/>
      <c r="AQ19" s="823"/>
      <c r="AR19" s="823"/>
      <c r="AS19" s="823"/>
      <c r="AT19" s="823"/>
      <c r="AU19" s="823"/>
      <c r="AV19" s="823"/>
      <c r="AW19" s="823"/>
      <c r="AX19" s="823"/>
      <c r="AY19" s="823"/>
      <c r="AZ19" s="823"/>
      <c r="BA19" s="823"/>
      <c r="BB19" s="823"/>
      <c r="BC19" s="823"/>
      <c r="BD19" s="823"/>
      <c r="BE19" s="823"/>
      <c r="BF19" s="823"/>
      <c r="BG19" s="823"/>
      <c r="BH19" s="823"/>
      <c r="BI19" s="823"/>
      <c r="BJ19" s="823"/>
      <c r="BK19" s="823"/>
      <c r="BL19" s="823"/>
      <c r="BM19" s="823"/>
      <c r="BN19" s="823"/>
      <c r="BO19" s="823"/>
      <c r="BP19" s="823"/>
      <c r="BQ19" s="823"/>
      <c r="BR19" s="823"/>
      <c r="BS19" s="823"/>
      <c r="BT19" s="823"/>
      <c r="BU19" s="823"/>
      <c r="BV19" s="823"/>
      <c r="BW19" s="823"/>
      <c r="BX19" s="823"/>
      <c r="BY19" s="823"/>
      <c r="BZ19" s="823"/>
      <c r="CA19" s="823"/>
      <c r="CB19" s="823"/>
      <c r="CC19" s="823"/>
      <c r="CD19" s="823"/>
      <c r="CE19" s="823"/>
      <c r="CF19" s="823"/>
      <c r="CG19" s="823"/>
      <c r="CH19" s="823"/>
      <c r="CI19" s="823"/>
      <c r="CJ19" s="823"/>
      <c r="CK19" s="823"/>
      <c r="CL19" s="823"/>
      <c r="CM19" s="823"/>
      <c r="CN19" s="823"/>
      <c r="CO19" s="823"/>
      <c r="CP19" s="823"/>
      <c r="CQ19" s="823"/>
      <c r="CR19" s="823"/>
      <c r="CS19" s="823"/>
      <c r="CT19" s="823"/>
      <c r="CU19" s="823"/>
      <c r="CV19" s="823"/>
      <c r="CW19" s="823"/>
      <c r="CX19" s="823"/>
      <c r="CY19" s="823"/>
      <c r="CZ19" s="823"/>
      <c r="DA19" s="823"/>
      <c r="DB19" s="823"/>
      <c r="DC19" s="823"/>
      <c r="DD19" s="823"/>
      <c r="DE19" s="823"/>
      <c r="DF19" s="823"/>
      <c r="DG19" s="823"/>
      <c r="DH19" s="823"/>
      <c r="DI19" s="823"/>
      <c r="DJ19" s="823"/>
      <c r="DK19" s="823"/>
      <c r="DL19" s="823"/>
      <c r="DM19" s="823"/>
      <c r="DN19" s="823"/>
      <c r="DO19" s="823"/>
      <c r="DP19" s="823"/>
      <c r="DQ19" s="823"/>
      <c r="DR19" s="823"/>
      <c r="DS19" s="823"/>
      <c r="DT19" s="823"/>
      <c r="DU19" s="823"/>
      <c r="DV19" s="823"/>
      <c r="DW19" s="823"/>
      <c r="DX19" s="823"/>
      <c r="DY19" s="823"/>
      <c r="DZ19" s="823"/>
      <c r="EA19" s="823"/>
      <c r="EB19" s="823"/>
      <c r="EC19" s="823"/>
      <c r="ED19" s="823"/>
      <c r="EE19" s="823"/>
      <c r="EF19" s="823"/>
      <c r="EG19" s="823"/>
      <c r="EH19" s="823"/>
      <c r="EI19" s="823"/>
      <c r="EJ19" s="823"/>
      <c r="EK19" s="823"/>
      <c r="EL19" s="823"/>
      <c r="EM19" s="823"/>
      <c r="EN19" s="823"/>
      <c r="EO19" s="823"/>
      <c r="EP19" s="823"/>
      <c r="EQ19" s="823"/>
      <c r="ER19" s="823"/>
      <c r="ES19" s="823"/>
      <c r="ET19" s="823"/>
      <c r="EU19" s="823"/>
      <c r="EV19" s="823"/>
      <c r="EW19" s="823"/>
      <c r="EX19" s="823"/>
      <c r="EY19" s="823"/>
      <c r="EZ19" s="823"/>
      <c r="FA19" s="823"/>
      <c r="FB19" s="823"/>
      <c r="FC19" s="823"/>
      <c r="FD19" s="823"/>
      <c r="FE19" s="823"/>
      <c r="FF19" s="823"/>
      <c r="FG19" s="823"/>
      <c r="FH19" s="823"/>
      <c r="FI19" s="823"/>
      <c r="FJ19" s="823"/>
      <c r="FK19" s="823"/>
      <c r="FL19" s="823"/>
      <c r="FM19" s="823"/>
      <c r="FN19" s="823"/>
      <c r="FO19" s="823"/>
      <c r="FP19" s="823"/>
      <c r="FQ19" s="823"/>
      <c r="FR19" s="823"/>
      <c r="FS19" s="823"/>
      <c r="FT19" s="823"/>
      <c r="FU19" s="823"/>
      <c r="FV19" s="823"/>
      <c r="FW19" s="823"/>
      <c r="FX19" s="823"/>
      <c r="FY19" s="823"/>
      <c r="FZ19" s="823"/>
      <c r="GA19" s="823"/>
      <c r="GB19" s="823"/>
      <c r="GC19" s="823"/>
      <c r="GD19" s="823"/>
      <c r="GE19" s="823"/>
      <c r="GF19" s="823"/>
      <c r="GG19" s="823"/>
      <c r="GH19" s="823"/>
      <c r="GI19" s="823"/>
      <c r="GJ19" s="823"/>
      <c r="GK19" s="823"/>
      <c r="GL19" s="823"/>
      <c r="GM19" s="823"/>
      <c r="GN19" s="823"/>
      <c r="GO19" s="823"/>
      <c r="GP19" s="823"/>
      <c r="GQ19" s="823"/>
      <c r="GR19" s="823"/>
      <c r="GS19" s="823"/>
      <c r="GT19" s="823"/>
      <c r="GU19" s="823"/>
      <c r="GV19" s="823"/>
      <c r="GW19" s="823"/>
      <c r="GX19" s="823"/>
      <c r="GY19" s="823"/>
      <c r="GZ19" s="823"/>
      <c r="HA19" s="823"/>
      <c r="HB19" s="823"/>
      <c r="HC19" s="823"/>
      <c r="HD19" s="823"/>
      <c r="HE19" s="823"/>
      <c r="HF19" s="823"/>
      <c r="HG19" s="823"/>
      <c r="HH19" s="823"/>
      <c r="HI19" s="823"/>
      <c r="HJ19" s="823"/>
      <c r="HK19" s="823"/>
      <c r="HL19" s="823"/>
      <c r="HM19" s="823"/>
      <c r="HN19" s="823"/>
      <c r="HO19" s="823"/>
      <c r="HP19" s="823"/>
      <c r="HQ19" s="823"/>
      <c r="HR19" s="823"/>
      <c r="HS19" s="823"/>
      <c r="HT19" s="823"/>
      <c r="HU19" s="823"/>
      <c r="HV19" s="823"/>
      <c r="HW19" s="823"/>
      <c r="HX19" s="823"/>
      <c r="HY19" s="823"/>
      <c r="HZ19" s="823"/>
      <c r="IA19" s="823"/>
      <c r="IB19" s="823"/>
      <c r="IC19" s="823"/>
      <c r="ID19" s="823"/>
      <c r="IE19" s="823"/>
      <c r="IF19" s="823"/>
      <c r="IG19" s="823"/>
      <c r="IH19" s="823"/>
      <c r="II19" s="823"/>
      <c r="IJ19" s="823"/>
      <c r="IK19" s="823"/>
      <c r="IL19" s="823"/>
      <c r="IM19" s="823"/>
      <c r="IN19" s="823"/>
      <c r="IO19" s="823"/>
      <c r="IP19" s="823"/>
      <c r="IQ19" s="823"/>
      <c r="IR19" s="823"/>
    </row>
    <row r="20" spans="1:252" ht="25.5" x14ac:dyDescent="0.2">
      <c r="A20" s="828" t="s">
        <v>265</v>
      </c>
      <c r="B20" s="826">
        <v>1.8463035000000001</v>
      </c>
      <c r="C20" s="826">
        <v>1.3651</v>
      </c>
      <c r="D20" s="826">
        <v>1.5301463</v>
      </c>
      <c r="E20" s="826">
        <v>1.1184000000000001</v>
      </c>
      <c r="F20" s="826">
        <v>0.98939999999999995</v>
      </c>
      <c r="G20" s="826">
        <v>0.04</v>
      </c>
      <c r="H20" s="826">
        <v>0.17</v>
      </c>
      <c r="I20" s="826">
        <v>0</v>
      </c>
      <c r="J20" s="826">
        <v>0</v>
      </c>
      <c r="K20" s="826">
        <v>0.61895869999999997</v>
      </c>
      <c r="L20" s="826">
        <v>2.7405264630000001</v>
      </c>
      <c r="M20" s="826">
        <v>1057.204273004</v>
      </c>
      <c r="N20" s="826">
        <v>411.01732980700001</v>
      </c>
      <c r="O20" s="826">
        <v>411.32805950800002</v>
      </c>
      <c r="P20" s="826">
        <v>0</v>
      </c>
      <c r="Q20" s="826">
        <v>0</v>
      </c>
      <c r="R20" s="826">
        <v>0</v>
      </c>
      <c r="S20" s="826">
        <v>0</v>
      </c>
      <c r="T20" s="826">
        <v>0</v>
      </c>
      <c r="U20" s="826">
        <v>0</v>
      </c>
      <c r="V20" s="826">
        <v>0</v>
      </c>
      <c r="W20" s="826">
        <v>0.81620000000000004</v>
      </c>
      <c r="X20" s="826">
        <v>0.46410000000000001</v>
      </c>
      <c r="Y20" s="826">
        <v>0.628</v>
      </c>
      <c r="Z20" s="826">
        <v>0.32384049999999998</v>
      </c>
      <c r="AA20" s="826">
        <v>0.26800000000000002</v>
      </c>
      <c r="AB20" s="826">
        <v>0.45</v>
      </c>
      <c r="AC20" s="826">
        <v>0.27</v>
      </c>
      <c r="AD20" s="826">
        <v>2.6625035000000001</v>
      </c>
      <c r="AE20" s="826">
        <v>1.8291999999999999</v>
      </c>
      <c r="AF20" s="826">
        <v>2.7771050000000002</v>
      </c>
      <c r="AG20" s="826">
        <v>4.1827669630000006</v>
      </c>
      <c r="AH20" s="826">
        <v>1058.461673004</v>
      </c>
      <c r="AI20" s="826">
        <v>411.50732980700002</v>
      </c>
      <c r="AJ20" s="826">
        <v>411.76805950800002</v>
      </c>
      <c r="AK20" s="826">
        <v>3.4340000000000002</v>
      </c>
      <c r="AL20" s="826">
        <v>1.4245829374191801</v>
      </c>
      <c r="AM20" s="826">
        <v>1.58</v>
      </c>
      <c r="AN20" s="826">
        <v>0.55464930000000001</v>
      </c>
      <c r="AO20" s="826">
        <v>1.3012761169999201</v>
      </c>
      <c r="AP20" s="826">
        <v>15.6088</v>
      </c>
      <c r="AQ20" s="826">
        <v>19.705023700000002</v>
      </c>
      <c r="AR20" s="826">
        <v>25.154399999999999</v>
      </c>
      <c r="AS20" s="826">
        <v>30.576975300000001</v>
      </c>
      <c r="AT20" s="826">
        <v>17.770453</v>
      </c>
      <c r="AU20" s="826">
        <v>15.9937199646454</v>
      </c>
      <c r="AV20" s="826">
        <v>20.727799964645399</v>
      </c>
      <c r="AW20" s="826">
        <v>2.5811500000000001E-2</v>
      </c>
      <c r="AX20" s="826">
        <v>0.46174219999999999</v>
      </c>
      <c r="AY20" s="826">
        <v>1.6738335</v>
      </c>
      <c r="AZ20" s="826">
        <v>0.16206754700000001</v>
      </c>
      <c r="BA20" s="826">
        <v>0.145426167</v>
      </c>
      <c r="BB20" s="826">
        <v>0.20960880000000001</v>
      </c>
      <c r="BC20" s="826">
        <v>0.26</v>
      </c>
      <c r="BD20" s="826">
        <v>0</v>
      </c>
      <c r="BE20" s="826">
        <v>0</v>
      </c>
      <c r="BF20" s="826">
        <v>0</v>
      </c>
      <c r="BG20" s="826">
        <v>7.8149096</v>
      </c>
      <c r="BH20" s="826">
        <v>19.704009599999999</v>
      </c>
      <c r="BI20" s="826">
        <v>9.9501600000000003</v>
      </c>
      <c r="BJ20" s="826">
        <v>11.952159099999999</v>
      </c>
      <c r="BK20" s="826">
        <v>0.4868324</v>
      </c>
      <c r="BL20" s="826">
        <v>0</v>
      </c>
      <c r="BM20" s="826">
        <v>0</v>
      </c>
      <c r="BN20" s="826">
        <v>0</v>
      </c>
      <c r="BO20" s="826">
        <v>2.309355</v>
      </c>
      <c r="BP20" s="826">
        <v>14.5325694</v>
      </c>
      <c r="BQ20" s="826">
        <v>3.0789</v>
      </c>
      <c r="BR20" s="826">
        <v>3.565431706</v>
      </c>
      <c r="BS20" s="826">
        <v>7.0528361999999998</v>
      </c>
      <c r="BT20" s="826">
        <v>8.8241353999999994</v>
      </c>
      <c r="BU20" s="826">
        <v>12.723646903000001</v>
      </c>
      <c r="BV20" s="826">
        <v>4.7367999999999997</v>
      </c>
      <c r="BW20" s="826">
        <v>3.0470887000000002</v>
      </c>
      <c r="BX20" s="826">
        <v>2.6633</v>
      </c>
      <c r="BY20" s="826">
        <v>4.2149000000000001</v>
      </c>
      <c r="BZ20" s="826">
        <v>1.998</v>
      </c>
      <c r="CA20" s="826">
        <v>6.1400000000000003E-2</v>
      </c>
      <c r="CB20" s="826">
        <v>1.2014</v>
      </c>
      <c r="CC20" s="826">
        <v>6.2351000000000001</v>
      </c>
      <c r="CD20" s="826">
        <v>39.450400000000002</v>
      </c>
      <c r="CE20" s="826">
        <v>9.0357000000000003</v>
      </c>
      <c r="CF20" s="826">
        <v>9.31</v>
      </c>
      <c r="CG20" s="826">
        <v>11.2483147</v>
      </c>
      <c r="CH20" s="826">
        <v>1.5494448000000001</v>
      </c>
      <c r="CI20" s="826">
        <v>2.2535547</v>
      </c>
      <c r="CJ20" s="826">
        <v>4.1734673999999998</v>
      </c>
      <c r="CK20" s="826">
        <v>3.2226262000000001</v>
      </c>
      <c r="CL20" s="826">
        <v>156.8631398</v>
      </c>
      <c r="CM20" s="826">
        <v>564.99953630000005</v>
      </c>
      <c r="CN20" s="826">
        <v>860.38</v>
      </c>
      <c r="CO20" s="826">
        <v>0.91280280000000003</v>
      </c>
      <c r="CP20" s="826">
        <v>0</v>
      </c>
      <c r="CQ20" s="826">
        <v>0</v>
      </c>
      <c r="CR20" s="826">
        <v>0</v>
      </c>
      <c r="CS20" s="826">
        <v>9.2578000000000014</v>
      </c>
      <c r="CT20" s="826">
        <v>0</v>
      </c>
      <c r="CU20" s="826">
        <v>0</v>
      </c>
      <c r="CV20" s="826">
        <v>0</v>
      </c>
      <c r="CW20" s="826">
        <v>0.90316260000000004</v>
      </c>
      <c r="CX20" s="826">
        <v>1.0070015000000001</v>
      </c>
      <c r="CY20" s="826">
        <v>1.292063</v>
      </c>
      <c r="CZ20" s="826">
        <v>1.4263634999999999</v>
      </c>
      <c r="DA20" s="826">
        <v>1.1651</v>
      </c>
      <c r="DB20" s="826">
        <v>1.8411999999999999</v>
      </c>
      <c r="DC20" s="826">
        <v>4.3513080292371296</v>
      </c>
      <c r="DD20" s="826">
        <v>0</v>
      </c>
      <c r="DE20" s="826">
        <v>0</v>
      </c>
      <c r="DF20" s="826">
        <v>0</v>
      </c>
      <c r="DG20" s="826">
        <v>0</v>
      </c>
      <c r="DH20" s="826">
        <v>0</v>
      </c>
      <c r="DI20" s="826">
        <v>0</v>
      </c>
      <c r="DJ20" s="826">
        <v>0</v>
      </c>
      <c r="DK20" s="826">
        <v>1.3429</v>
      </c>
      <c r="DL20" s="826">
        <v>0</v>
      </c>
      <c r="DM20" s="826">
        <v>0.73880000000000001</v>
      </c>
      <c r="DN20" s="826">
        <v>2.1647911999999998</v>
      </c>
      <c r="DO20" s="826">
        <v>1.9206772999999999</v>
      </c>
      <c r="DP20" s="826">
        <v>2.4751650999999999</v>
      </c>
      <c r="DQ20" s="826">
        <v>0.46989752800000001</v>
      </c>
      <c r="DR20" s="826">
        <v>0</v>
      </c>
      <c r="DS20" s="826">
        <v>0</v>
      </c>
      <c r="DT20" s="826">
        <v>0.18573999999999999</v>
      </c>
      <c r="DU20" s="826"/>
      <c r="DV20" s="826">
        <v>1.2587642999999999</v>
      </c>
      <c r="DW20" s="826">
        <v>1.3123448</v>
      </c>
      <c r="DX20" s="826">
        <v>1.5641533000000001</v>
      </c>
      <c r="DY20" s="826">
        <v>2.1754088999999999</v>
      </c>
      <c r="DZ20" s="826">
        <v>4.7261085999999999</v>
      </c>
      <c r="EA20" s="826">
        <v>3.9319736999999999</v>
      </c>
      <c r="EB20" s="826">
        <v>4.2847308999999996</v>
      </c>
      <c r="EC20" s="826">
        <v>3.6576119</v>
      </c>
      <c r="ED20" s="826">
        <v>4.6601903</v>
      </c>
      <c r="EE20" s="826">
        <v>8.1829593000000003</v>
      </c>
      <c r="EF20" s="826">
        <v>0</v>
      </c>
      <c r="EG20" s="826">
        <v>31.975232500000001</v>
      </c>
      <c r="EH20" s="826">
        <v>0</v>
      </c>
      <c r="EI20" s="826">
        <v>10.7613553</v>
      </c>
      <c r="EJ20" s="826">
        <v>0</v>
      </c>
      <c r="EK20" s="826">
        <v>0</v>
      </c>
      <c r="EL20" s="826">
        <v>0</v>
      </c>
      <c r="EM20" s="826">
        <v>0</v>
      </c>
      <c r="EN20" s="826">
        <v>0</v>
      </c>
      <c r="EO20" s="826">
        <v>0</v>
      </c>
      <c r="EP20" s="826">
        <v>0</v>
      </c>
      <c r="EQ20" s="826">
        <v>0</v>
      </c>
      <c r="ER20" s="826">
        <v>0</v>
      </c>
      <c r="ES20" s="826">
        <v>0</v>
      </c>
      <c r="ET20" s="826">
        <v>0</v>
      </c>
      <c r="EU20" s="826">
        <v>0</v>
      </c>
      <c r="EV20" s="826">
        <v>0</v>
      </c>
      <c r="EW20" s="826">
        <v>0</v>
      </c>
      <c r="EX20" s="826">
        <v>0.5247925</v>
      </c>
      <c r="EY20" s="826">
        <v>0.78177399999999997</v>
      </c>
      <c r="EZ20" s="826">
        <v>0.76137460000000001</v>
      </c>
      <c r="FA20" s="826">
        <v>0.83751180000000003</v>
      </c>
      <c r="FB20" s="826">
        <v>1.5271024</v>
      </c>
      <c r="FC20" s="826">
        <v>0.70611630000000003</v>
      </c>
      <c r="FD20" s="826">
        <v>1.02</v>
      </c>
      <c r="FE20" s="826">
        <v>8.4042329969999994</v>
      </c>
      <c r="FF20" s="826">
        <v>7.4740823699999996</v>
      </c>
      <c r="FG20" s="826">
        <v>7.0675007000000001</v>
      </c>
      <c r="FH20" s="826">
        <v>11.058764</v>
      </c>
      <c r="FI20" s="826">
        <v>11.244354599999999</v>
      </c>
      <c r="FJ20" s="826">
        <v>15.622614199999999</v>
      </c>
      <c r="FK20" s="826">
        <v>11.5914941</v>
      </c>
      <c r="FL20" s="826">
        <v>0</v>
      </c>
      <c r="FM20" s="826">
        <v>0</v>
      </c>
      <c r="FN20" s="826">
        <v>0</v>
      </c>
      <c r="FO20" s="826">
        <v>0</v>
      </c>
      <c r="FP20" s="826">
        <v>0</v>
      </c>
      <c r="FQ20" s="826">
        <v>0</v>
      </c>
      <c r="FR20" s="826">
        <v>0</v>
      </c>
      <c r="FS20" s="826">
        <v>38.924323826237128</v>
      </c>
      <c r="FT20" s="826">
        <v>54.628744070000003</v>
      </c>
      <c r="FU20" s="826">
        <v>79.49154692800002</v>
      </c>
      <c r="FV20" s="826">
        <v>98.038552490419178</v>
      </c>
      <c r="FW20" s="826">
        <v>265.24751756699999</v>
      </c>
      <c r="FX20" s="826">
        <v>647.34278086464542</v>
      </c>
      <c r="FY20" s="826">
        <v>950.30314308464528</v>
      </c>
      <c r="FZ20" s="826">
        <v>0.746926829014259</v>
      </c>
      <c r="GA20" s="826">
        <v>1.4793866069999999</v>
      </c>
      <c r="GB20" s="826">
        <v>0</v>
      </c>
      <c r="GC20" s="826">
        <v>3.2651475159032399</v>
      </c>
      <c r="GD20" s="826">
        <v>0</v>
      </c>
      <c r="GE20" s="826">
        <v>0</v>
      </c>
      <c r="GF20" s="826">
        <v>0</v>
      </c>
      <c r="GG20" s="826">
        <v>2.3695276000000001</v>
      </c>
      <c r="GH20" s="826">
        <v>2.4394648000000001</v>
      </c>
      <c r="GI20" s="826">
        <v>0</v>
      </c>
      <c r="GJ20" s="826">
        <v>10.453909899999999</v>
      </c>
      <c r="GK20" s="826">
        <v>18.267545899999998</v>
      </c>
      <c r="GL20" s="826">
        <v>12.018962</v>
      </c>
      <c r="GM20" s="826">
        <v>21.698096</v>
      </c>
      <c r="GN20" s="826">
        <v>3.1164544290142588</v>
      </c>
      <c r="GO20" s="826">
        <v>3.918851407</v>
      </c>
      <c r="GP20" s="826">
        <v>0</v>
      </c>
      <c r="GQ20" s="826">
        <v>13.71905741590324</v>
      </c>
      <c r="GR20" s="826">
        <v>18.267545899999998</v>
      </c>
      <c r="GS20" s="826">
        <v>12.018962</v>
      </c>
      <c r="GT20" s="826">
        <v>21.698096</v>
      </c>
      <c r="GU20" s="826">
        <v>6.1968003651999997</v>
      </c>
      <c r="GV20" s="826">
        <v>1.39547</v>
      </c>
      <c r="GW20" s="826">
        <v>5.8973035999999999</v>
      </c>
      <c r="GX20" s="826">
        <v>6.15</v>
      </c>
      <c r="GY20" s="826">
        <v>4.7835499080000004</v>
      </c>
      <c r="GZ20" s="826">
        <v>4.073436311</v>
      </c>
      <c r="HA20" s="826">
        <v>3.2763870000000002</v>
      </c>
      <c r="HB20" s="826">
        <v>4.3054753999999997</v>
      </c>
      <c r="HC20" s="826">
        <v>3.9186606099999999</v>
      </c>
      <c r="HD20" s="826">
        <v>16.741695799999999</v>
      </c>
      <c r="HE20" s="826">
        <v>5.6469987169999998</v>
      </c>
      <c r="HF20" s="826">
        <v>4.5571264999999999</v>
      </c>
      <c r="HG20" s="826">
        <v>4.5943839999999998</v>
      </c>
      <c r="HH20" s="826">
        <v>3.2780046999999999</v>
      </c>
      <c r="HI20" s="826">
        <v>3.3983278000000001</v>
      </c>
      <c r="HJ20" s="826">
        <v>6.5265369</v>
      </c>
      <c r="HK20" s="826">
        <v>9.9716506999999996</v>
      </c>
      <c r="HL20" s="826">
        <v>6.5909779999999998</v>
      </c>
      <c r="HM20" s="826">
        <v>0</v>
      </c>
      <c r="HN20" s="826">
        <v>0</v>
      </c>
      <c r="HO20" s="826">
        <v>0</v>
      </c>
      <c r="HP20" s="826">
        <v>0</v>
      </c>
      <c r="HQ20" s="826">
        <v>0</v>
      </c>
      <c r="HR20" s="826">
        <v>0</v>
      </c>
      <c r="HS20" s="826">
        <v>0</v>
      </c>
      <c r="HT20" s="826">
        <v>1.1697636</v>
      </c>
      <c r="HU20" s="826">
        <v>1.9780268999999999</v>
      </c>
      <c r="HV20" s="826">
        <v>2.6391778709999998</v>
      </c>
      <c r="HW20" s="826">
        <v>3.5065445999999998</v>
      </c>
      <c r="HX20" s="826">
        <v>9.4379428999999995</v>
      </c>
      <c r="HY20" s="826">
        <v>2.1794297</v>
      </c>
      <c r="HZ20" s="826">
        <v>12.432928499999999</v>
      </c>
      <c r="IA20" s="826">
        <v>28.557648400000001</v>
      </c>
      <c r="IB20" s="826">
        <v>57.356999999999999</v>
      </c>
      <c r="IC20" s="826">
        <v>12.4903</v>
      </c>
      <c r="ID20" s="826">
        <v>14.56</v>
      </c>
      <c r="IE20" s="826">
        <v>0</v>
      </c>
      <c r="IF20" s="826">
        <v>0</v>
      </c>
      <c r="IG20" s="826">
        <v>0</v>
      </c>
      <c r="IH20" s="826">
        <v>0</v>
      </c>
      <c r="II20" s="826">
        <v>0</v>
      </c>
      <c r="IJ20" s="826">
        <v>0</v>
      </c>
      <c r="IK20" s="826">
        <v>0</v>
      </c>
      <c r="IL20" s="826">
        <v>7.7241552999999996</v>
      </c>
      <c r="IM20" s="826">
        <v>15.878630465200001</v>
      </c>
      <c r="IN20" s="826">
        <v>14.479845380999999</v>
      </c>
      <c r="IO20" s="826">
        <v>64.67484309999999</v>
      </c>
      <c r="IP20" s="826">
        <v>85.182919616999996</v>
      </c>
      <c r="IQ20" s="826">
        <v>24.010406107999998</v>
      </c>
      <c r="IR20" s="826">
        <v>35.660748810999998</v>
      </c>
    </row>
    <row r="21" spans="1:252" ht="12.75" x14ac:dyDescent="0.2">
      <c r="A21" s="824" t="s">
        <v>266</v>
      </c>
      <c r="B21" s="823">
        <v>0</v>
      </c>
      <c r="C21" s="823">
        <v>0</v>
      </c>
      <c r="D21" s="823">
        <v>0</v>
      </c>
      <c r="E21" s="823">
        <v>0</v>
      </c>
      <c r="F21" s="823">
        <v>0</v>
      </c>
      <c r="G21" s="823">
        <v>0</v>
      </c>
      <c r="H21" s="823"/>
      <c r="I21" s="823">
        <v>0</v>
      </c>
      <c r="J21" s="823">
        <v>0</v>
      </c>
      <c r="K21" s="823">
        <v>0</v>
      </c>
      <c r="L21" s="823">
        <v>0</v>
      </c>
      <c r="M21" s="823">
        <v>0</v>
      </c>
      <c r="N21" s="823">
        <v>0</v>
      </c>
      <c r="O21" s="823">
        <v>0</v>
      </c>
      <c r="P21" s="823">
        <v>3.6131000000000003E-2</v>
      </c>
      <c r="Q21" s="823">
        <v>1.1532300000000001E-2</v>
      </c>
      <c r="R21" s="823">
        <v>0.20699999999999999</v>
      </c>
      <c r="S21" s="823">
        <v>1.54106E-2</v>
      </c>
      <c r="T21" s="823">
        <v>0</v>
      </c>
      <c r="U21" s="823">
        <v>0</v>
      </c>
      <c r="V21" s="823">
        <v>5.1528299999999999E-2</v>
      </c>
      <c r="W21" s="823">
        <v>0</v>
      </c>
      <c r="X21" s="823">
        <v>0</v>
      </c>
      <c r="Y21" s="823">
        <v>0</v>
      </c>
      <c r="Z21" s="823">
        <v>0</v>
      </c>
      <c r="AA21" s="823">
        <v>0</v>
      </c>
      <c r="AB21" s="823">
        <v>0</v>
      </c>
      <c r="AC21" s="823"/>
      <c r="AD21" s="823">
        <v>3.6131000000000003E-2</v>
      </c>
      <c r="AE21" s="823">
        <v>1.1532300000000001E-2</v>
      </c>
      <c r="AF21" s="823">
        <v>0.20699999999999999</v>
      </c>
      <c r="AG21" s="823">
        <v>1.54106E-2</v>
      </c>
      <c r="AH21" s="823">
        <v>0</v>
      </c>
      <c r="AI21" s="823">
        <v>0</v>
      </c>
      <c r="AJ21" s="823">
        <v>5.1528299999999999E-2</v>
      </c>
      <c r="AK21" s="823">
        <v>0</v>
      </c>
      <c r="AL21" s="823">
        <v>0</v>
      </c>
      <c r="AM21" s="823">
        <v>0</v>
      </c>
      <c r="AN21" s="823">
        <v>0</v>
      </c>
      <c r="AO21" s="823">
        <v>0</v>
      </c>
      <c r="AP21" s="823">
        <v>0</v>
      </c>
      <c r="AQ21" s="823">
        <v>0</v>
      </c>
      <c r="AR21" s="823">
        <v>0</v>
      </c>
      <c r="AS21" s="823">
        <v>0</v>
      </c>
      <c r="AT21" s="823">
        <v>0</v>
      </c>
      <c r="AU21" s="823">
        <v>0</v>
      </c>
      <c r="AV21" s="823">
        <v>0</v>
      </c>
      <c r="AW21" s="823">
        <v>0</v>
      </c>
      <c r="AX21" s="823"/>
      <c r="AY21" s="823">
        <v>0</v>
      </c>
      <c r="AZ21" s="823">
        <v>0</v>
      </c>
      <c r="BA21" s="823">
        <v>0</v>
      </c>
      <c r="BB21" s="823">
        <v>0</v>
      </c>
      <c r="BC21" s="823">
        <v>0</v>
      </c>
      <c r="BD21" s="823">
        <v>0</v>
      </c>
      <c r="BE21" s="823">
        <v>0</v>
      </c>
      <c r="BF21" s="823">
        <v>0</v>
      </c>
      <c r="BG21" s="823">
        <v>77.734200000000001</v>
      </c>
      <c r="BH21" s="823">
        <v>185.9538</v>
      </c>
      <c r="BI21" s="823">
        <v>46.349800000000002</v>
      </c>
      <c r="BJ21" s="823">
        <v>0</v>
      </c>
      <c r="BK21" s="823">
        <v>0</v>
      </c>
      <c r="BL21" s="823">
        <v>0</v>
      </c>
      <c r="BM21" s="823">
        <v>0</v>
      </c>
      <c r="BN21" s="823">
        <v>0</v>
      </c>
      <c r="BO21" s="823">
        <v>5.8717999999999999E-2</v>
      </c>
      <c r="BP21" s="823">
        <v>0.34618149999999998</v>
      </c>
      <c r="BQ21" s="823">
        <v>2.3699999999999999E-2</v>
      </c>
      <c r="BR21" s="823">
        <v>3.0000000000000001E-3</v>
      </c>
      <c r="BS21" s="823">
        <v>3.6811000000000001E-3</v>
      </c>
      <c r="BT21" s="823">
        <v>8.9011000000000003E-3</v>
      </c>
      <c r="BU21" s="823">
        <v>4.5026900000000002E-2</v>
      </c>
      <c r="BV21" s="823">
        <v>0</v>
      </c>
      <c r="BW21" s="823">
        <v>0</v>
      </c>
      <c r="BX21" s="823">
        <v>0</v>
      </c>
      <c r="BY21" s="823">
        <v>0</v>
      </c>
      <c r="BZ21" s="823">
        <v>0</v>
      </c>
      <c r="CA21" s="823">
        <v>0</v>
      </c>
      <c r="CB21" s="823"/>
      <c r="CC21" s="823">
        <v>67.0428</v>
      </c>
      <c r="CD21" s="823">
        <v>0</v>
      </c>
      <c r="CE21" s="823">
        <v>4.3715000000000002</v>
      </c>
      <c r="CF21" s="823">
        <v>2.12</v>
      </c>
      <c r="CG21" s="823">
        <v>1.8126356159999999</v>
      </c>
      <c r="CH21" s="823">
        <v>0.2013982</v>
      </c>
      <c r="CI21" s="823">
        <v>0.53131150000000005</v>
      </c>
      <c r="CJ21" s="823">
        <v>0</v>
      </c>
      <c r="CK21" s="823">
        <v>46.682786299999997</v>
      </c>
      <c r="CL21" s="823">
        <v>0.74378560000000005</v>
      </c>
      <c r="CM21" s="823">
        <v>9.2275393000000001</v>
      </c>
      <c r="CN21" s="823">
        <v>2.29</v>
      </c>
      <c r="CO21" s="823">
        <v>0</v>
      </c>
      <c r="CP21" s="823">
        <v>0</v>
      </c>
      <c r="CQ21" s="823">
        <v>0</v>
      </c>
      <c r="CR21" s="823">
        <v>0</v>
      </c>
      <c r="CS21" s="823">
        <v>13.0435</v>
      </c>
      <c r="CT21" s="823">
        <v>0</v>
      </c>
      <c r="CU21" s="823">
        <v>0</v>
      </c>
      <c r="CV21" s="823">
        <v>0</v>
      </c>
      <c r="CW21" s="823">
        <v>0</v>
      </c>
      <c r="CX21" s="823">
        <v>0</v>
      </c>
      <c r="CY21" s="823">
        <v>0</v>
      </c>
      <c r="CZ21" s="823">
        <v>0</v>
      </c>
      <c r="DA21" s="823">
        <v>3.9199999999999999E-2</v>
      </c>
      <c r="DB21" s="823">
        <v>-1.6999999999999999E-3</v>
      </c>
      <c r="DC21" s="823">
        <v>0</v>
      </c>
      <c r="DD21" s="823">
        <v>0</v>
      </c>
      <c r="DE21" s="823">
        <v>0</v>
      </c>
      <c r="DF21" s="823">
        <v>0</v>
      </c>
      <c r="DG21" s="823">
        <v>0</v>
      </c>
      <c r="DH21" s="823">
        <v>8.0550981999999998</v>
      </c>
      <c r="DI21" s="823">
        <v>0</v>
      </c>
      <c r="DJ21" s="823">
        <v>0</v>
      </c>
      <c r="DK21" s="823">
        <v>0.13320000000000001</v>
      </c>
      <c r="DL21" s="823">
        <v>0</v>
      </c>
      <c r="DM21" s="823">
        <v>0</v>
      </c>
      <c r="DN21" s="823">
        <v>0</v>
      </c>
      <c r="DO21" s="823">
        <v>0.1797984</v>
      </c>
      <c r="DP21" s="823">
        <v>0.31006129999999998</v>
      </c>
      <c r="DQ21" s="823">
        <v>0</v>
      </c>
      <c r="DR21" s="823">
        <v>0</v>
      </c>
      <c r="DS21" s="823">
        <v>0</v>
      </c>
      <c r="DT21" s="823">
        <v>0</v>
      </c>
      <c r="DU21" s="823"/>
      <c r="DV21" s="823">
        <v>0</v>
      </c>
      <c r="DW21" s="823">
        <v>0</v>
      </c>
      <c r="DX21" s="823">
        <v>5.3879400000000001E-2</v>
      </c>
      <c r="DY21" s="823">
        <v>0.36306169999999999</v>
      </c>
      <c r="DZ21" s="823">
        <v>-1.3006000000000001E-3</v>
      </c>
      <c r="EA21" s="823">
        <v>0</v>
      </c>
      <c r="EB21" s="823">
        <v>0</v>
      </c>
      <c r="EC21" s="823">
        <v>2.86696E-2</v>
      </c>
      <c r="ED21" s="823">
        <v>0.2360854</v>
      </c>
      <c r="EE21" s="823">
        <v>2.7159</v>
      </c>
      <c r="EF21" s="823">
        <v>0</v>
      </c>
      <c r="EG21" s="823">
        <v>0</v>
      </c>
      <c r="EH21" s="823">
        <v>0</v>
      </c>
      <c r="EI21" s="823">
        <v>0</v>
      </c>
      <c r="EJ21" s="823">
        <v>0</v>
      </c>
      <c r="EK21" s="823">
        <v>0</v>
      </c>
      <c r="EL21" s="823">
        <v>0</v>
      </c>
      <c r="EM21" s="823">
        <v>0</v>
      </c>
      <c r="EN21" s="823">
        <v>65.327799499999998</v>
      </c>
      <c r="EO21" s="823">
        <v>10</v>
      </c>
      <c r="EP21" s="823">
        <v>14.590874400000001</v>
      </c>
      <c r="EQ21" s="823">
        <v>0</v>
      </c>
      <c r="ER21" s="823">
        <v>0</v>
      </c>
      <c r="ES21" s="823">
        <v>0</v>
      </c>
      <c r="ET21" s="823">
        <v>0</v>
      </c>
      <c r="EU21" s="823">
        <v>0.22688949999999999</v>
      </c>
      <c r="EV21" s="823">
        <v>0.97150000000000003</v>
      </c>
      <c r="EW21" s="823">
        <v>0</v>
      </c>
      <c r="EX21" s="823">
        <v>0</v>
      </c>
      <c r="EY21" s="823">
        <v>0</v>
      </c>
      <c r="EZ21" s="823">
        <v>0</v>
      </c>
      <c r="FA21" s="823">
        <v>0</v>
      </c>
      <c r="FB21" s="823">
        <v>0</v>
      </c>
      <c r="FC21" s="823">
        <v>0</v>
      </c>
      <c r="FD21" s="823">
        <v>0</v>
      </c>
      <c r="FE21" s="823">
        <v>-0.1733634</v>
      </c>
      <c r="FF21" s="823">
        <v>0</v>
      </c>
      <c r="FG21" s="823">
        <v>0</v>
      </c>
      <c r="FH21" s="823">
        <v>0</v>
      </c>
      <c r="FI21" s="823">
        <v>21.625727300000001</v>
      </c>
      <c r="FJ21" s="823">
        <v>2.6285430000000001</v>
      </c>
      <c r="FK21" s="823">
        <v>7.8770005999999997</v>
      </c>
      <c r="FL21" s="823">
        <v>0</v>
      </c>
      <c r="FM21" s="823">
        <v>0</v>
      </c>
      <c r="FN21" s="823">
        <v>0</v>
      </c>
      <c r="FO21" s="823">
        <v>0</v>
      </c>
      <c r="FP21" s="823">
        <v>0</v>
      </c>
      <c r="FQ21" s="823">
        <v>0</v>
      </c>
      <c r="FR21" s="823">
        <v>0</v>
      </c>
      <c r="FS21" s="823">
        <v>0.11542240000000004</v>
      </c>
      <c r="FT21" s="823">
        <v>1.2467784000000002</v>
      </c>
      <c r="FU21" s="823">
        <v>69.836279400000009</v>
      </c>
      <c r="FV21" s="823">
        <v>47.048848</v>
      </c>
      <c r="FW21" s="823">
        <v>183.07578239999998</v>
      </c>
      <c r="FX21" s="823">
        <v>219.18438</v>
      </c>
      <c r="FY21" s="823">
        <v>73.273698816000007</v>
      </c>
      <c r="FZ21" s="823">
        <v>0</v>
      </c>
      <c r="GA21" s="823">
        <v>0</v>
      </c>
      <c r="GB21" s="823">
        <v>0</v>
      </c>
      <c r="GC21" s="823">
        <v>0</v>
      </c>
      <c r="GD21" s="823">
        <v>0</v>
      </c>
      <c r="GE21" s="823">
        <v>2.0838198000000001</v>
      </c>
      <c r="GF21" s="823">
        <v>200</v>
      </c>
      <c r="GG21" s="823">
        <v>0</v>
      </c>
      <c r="GH21" s="823">
        <v>0</v>
      </c>
      <c r="GI21" s="823">
        <v>0</v>
      </c>
      <c r="GJ21" s="823">
        <v>0</v>
      </c>
      <c r="GK21" s="823">
        <v>0</v>
      </c>
      <c r="GL21" s="823">
        <v>0</v>
      </c>
      <c r="GM21" s="823">
        <v>0</v>
      </c>
      <c r="GN21" s="823">
        <v>0</v>
      </c>
      <c r="GO21" s="823">
        <v>0</v>
      </c>
      <c r="GP21" s="823">
        <v>0</v>
      </c>
      <c r="GQ21" s="823">
        <v>0</v>
      </c>
      <c r="GR21" s="823">
        <v>0</v>
      </c>
      <c r="GS21" s="823">
        <v>2.0838198000000001</v>
      </c>
      <c r="GT21" s="823">
        <v>200</v>
      </c>
      <c r="GU21" s="823">
        <v>0</v>
      </c>
      <c r="GV21" s="823">
        <v>0</v>
      </c>
      <c r="GW21" s="823">
        <v>0</v>
      </c>
      <c r="GX21" s="823">
        <v>0</v>
      </c>
      <c r="GY21" s="823">
        <v>0</v>
      </c>
      <c r="GZ21" s="823">
        <v>0</v>
      </c>
      <c r="HA21" s="823">
        <v>0</v>
      </c>
      <c r="HB21" s="823">
        <v>0</v>
      </c>
      <c r="HC21" s="823">
        <v>0</v>
      </c>
      <c r="HD21" s="823">
        <v>0</v>
      </c>
      <c r="HE21" s="823">
        <v>0.64350249999999998</v>
      </c>
      <c r="HF21" s="823">
        <v>0.76364810000000005</v>
      </c>
      <c r="HG21" s="823">
        <v>0</v>
      </c>
      <c r="HH21" s="823">
        <v>0</v>
      </c>
      <c r="HI21" s="823">
        <v>0</v>
      </c>
      <c r="HJ21" s="823">
        <v>0</v>
      </c>
      <c r="HK21" s="823">
        <v>0</v>
      </c>
      <c r="HL21" s="823">
        <v>0</v>
      </c>
      <c r="HM21" s="823">
        <v>0</v>
      </c>
      <c r="HN21" s="823">
        <v>0</v>
      </c>
      <c r="HO21" s="823">
        <v>0</v>
      </c>
      <c r="HP21" s="823">
        <v>0</v>
      </c>
      <c r="HQ21" s="823">
        <v>0</v>
      </c>
      <c r="HR21" s="823">
        <v>0.30978741300000001</v>
      </c>
      <c r="HS21" s="823">
        <v>0.34524800900000002</v>
      </c>
      <c r="HT21" s="823">
        <v>0</v>
      </c>
      <c r="HU21" s="823">
        <v>0</v>
      </c>
      <c r="HV21" s="823">
        <v>0</v>
      </c>
      <c r="HW21" s="823">
        <v>0</v>
      </c>
      <c r="HX21" s="823">
        <v>0</v>
      </c>
      <c r="HY21" s="823">
        <v>0</v>
      </c>
      <c r="HZ21" s="823">
        <v>0</v>
      </c>
      <c r="IA21" s="823">
        <v>0</v>
      </c>
      <c r="IB21" s="823">
        <v>0</v>
      </c>
      <c r="IC21" s="823">
        <v>0</v>
      </c>
      <c r="ID21" s="823">
        <v>0</v>
      </c>
      <c r="IE21" s="823">
        <v>83.032592300000005</v>
      </c>
      <c r="IF21" s="823">
        <v>0</v>
      </c>
      <c r="IG21" s="823">
        <v>0</v>
      </c>
      <c r="IH21" s="823">
        <v>0</v>
      </c>
      <c r="II21" s="823">
        <v>19.521412699999999</v>
      </c>
      <c r="IJ21" s="823">
        <v>0</v>
      </c>
      <c r="IK21" s="823">
        <v>0</v>
      </c>
      <c r="IL21" s="823">
        <v>83.032592300000005</v>
      </c>
      <c r="IM21" s="823">
        <v>0</v>
      </c>
      <c r="IN21" s="823">
        <v>0</v>
      </c>
      <c r="IO21" s="823">
        <v>0</v>
      </c>
      <c r="IP21" s="823">
        <v>20.164915199999999</v>
      </c>
      <c r="IQ21" s="823">
        <v>1.0734355130000002</v>
      </c>
      <c r="IR21" s="823">
        <v>0.34524800900000002</v>
      </c>
    </row>
    <row r="22" spans="1:252" ht="12.75" x14ac:dyDescent="0.2">
      <c r="A22" s="824" t="s">
        <v>264</v>
      </c>
      <c r="B22" s="823">
        <v>5.6869889000000002</v>
      </c>
      <c r="C22" s="823">
        <v>370.46600000000001</v>
      </c>
      <c r="D22" s="823">
        <v>102.08865369999999</v>
      </c>
      <c r="E22" s="823">
        <v>89.342299999999966</v>
      </c>
      <c r="F22" s="823">
        <v>1336.5440000000001</v>
      </c>
      <c r="G22" s="823">
        <v>439.5</v>
      </c>
      <c r="H22" s="823">
        <v>90.69</v>
      </c>
      <c r="I22" s="823">
        <v>-0.47094155999999898</v>
      </c>
      <c r="J22" s="823">
        <v>3.8365617639999998</v>
      </c>
      <c r="K22" s="823">
        <v>17.966161932999999</v>
      </c>
      <c r="L22" s="823">
        <v>34.875811048000003</v>
      </c>
      <c r="M22" s="823">
        <v>25.382570636000001</v>
      </c>
      <c r="N22" s="823">
        <v>126.7144654295</v>
      </c>
      <c r="O22" s="823">
        <v>40.286838371999998</v>
      </c>
      <c r="P22" s="823">
        <v>37.148801300000002</v>
      </c>
      <c r="Q22" s="823">
        <v>70.427795099999997</v>
      </c>
      <c r="R22" s="823">
        <v>92.367099999999994</v>
      </c>
      <c r="S22" s="823">
        <v>-4.5029000000000003</v>
      </c>
      <c r="T22" s="823">
        <v>332.23229999999995</v>
      </c>
      <c r="U22" s="823">
        <v>345.97300000000001</v>
      </c>
      <c r="V22" s="823">
        <v>206.54</v>
      </c>
      <c r="W22" s="823">
        <v>13.000299999999999</v>
      </c>
      <c r="X22" s="823">
        <v>17.489899999999999</v>
      </c>
      <c r="Y22" s="823">
        <v>18.2181</v>
      </c>
      <c r="Z22" s="823">
        <v>5.6008903999999999</v>
      </c>
      <c r="AA22" s="823">
        <v>6.3678000000000008</v>
      </c>
      <c r="AB22" s="823">
        <v>228.42999999999998</v>
      </c>
      <c r="AC22" s="823">
        <v>681.75</v>
      </c>
      <c r="AD22" s="823">
        <v>55.365148640000001</v>
      </c>
      <c r="AE22" s="823">
        <v>462.22025686399996</v>
      </c>
      <c r="AF22" s="823">
        <v>230.64001563299996</v>
      </c>
      <c r="AG22" s="823">
        <v>125.31610144799997</v>
      </c>
      <c r="AH22" s="823">
        <v>1700.5266706360001</v>
      </c>
      <c r="AI22" s="823">
        <v>1140.6174654295</v>
      </c>
      <c r="AJ22" s="823">
        <v>1019.2668383719999</v>
      </c>
      <c r="AK22" s="823">
        <v>0</v>
      </c>
      <c r="AL22" s="823">
        <v>0</v>
      </c>
      <c r="AM22" s="823">
        <v>0</v>
      </c>
      <c r="AN22" s="823">
        <v>0</v>
      </c>
      <c r="AO22" s="823">
        <v>0</v>
      </c>
      <c r="AP22" s="823">
        <v>0</v>
      </c>
      <c r="AQ22" s="823">
        <v>0</v>
      </c>
      <c r="AR22" s="823">
        <v>1.3270999999999999</v>
      </c>
      <c r="AS22" s="823">
        <v>0</v>
      </c>
      <c r="AT22" s="823">
        <v>68.694000000000003</v>
      </c>
      <c r="AU22" s="823">
        <v>59.407600000000002</v>
      </c>
      <c r="AV22" s="823">
        <v>146.83252999999999</v>
      </c>
      <c r="AW22" s="823">
        <v>2.8072699999999999</v>
      </c>
      <c r="AX22" s="823">
        <v>102.36709999999999</v>
      </c>
      <c r="AY22" s="823">
        <v>125.450739065977</v>
      </c>
      <c r="AZ22" s="823">
        <v>153.30790397583701</v>
      </c>
      <c r="BA22" s="823">
        <v>242.79591803413999</v>
      </c>
      <c r="BB22" s="823">
        <v>343.13953807017202</v>
      </c>
      <c r="BC22" s="823">
        <v>4.0447262000000004</v>
      </c>
      <c r="BD22" s="823">
        <v>4.9022164999999998</v>
      </c>
      <c r="BE22" s="823">
        <v>14.622</v>
      </c>
      <c r="BF22" s="823">
        <v>18.3492751</v>
      </c>
      <c r="BG22" s="823">
        <v>104.9435522</v>
      </c>
      <c r="BH22" s="823">
        <v>164.8130022</v>
      </c>
      <c r="BI22" s="823">
        <v>599.2165</v>
      </c>
      <c r="BJ22" s="823">
        <v>0</v>
      </c>
      <c r="BK22" s="823">
        <v>2.6852219000000002</v>
      </c>
      <c r="BL22" s="823">
        <v>0.58745530000000001</v>
      </c>
      <c r="BM22" s="823">
        <v>0.38769999999999999</v>
      </c>
      <c r="BN22" s="823">
        <v>2.5533022000000001</v>
      </c>
      <c r="BO22" s="823">
        <v>0</v>
      </c>
      <c r="BP22" s="823">
        <v>0.1108927</v>
      </c>
      <c r="BQ22" s="823">
        <v>0.2104</v>
      </c>
      <c r="BR22" s="823">
        <v>0.98750000000000004</v>
      </c>
      <c r="BS22" s="823">
        <v>174.9234831</v>
      </c>
      <c r="BT22" s="823">
        <v>170.2657289</v>
      </c>
      <c r="BU22" s="823">
        <v>166.6837065</v>
      </c>
      <c r="BV22" s="823">
        <v>0</v>
      </c>
      <c r="BW22" s="823">
        <v>0</v>
      </c>
      <c r="BX22" s="823">
        <v>0</v>
      </c>
      <c r="BY22" s="823">
        <v>0</v>
      </c>
      <c r="BZ22" s="823">
        <v>0.21129999999999999</v>
      </c>
      <c r="CA22" s="823">
        <v>0.5</v>
      </c>
      <c r="CB22" s="823">
        <v>9.8034999999999997</v>
      </c>
      <c r="CC22" s="823">
        <v>46.277000000000001</v>
      </c>
      <c r="CD22" s="823"/>
      <c r="CE22" s="823">
        <v>60.46520000000001</v>
      </c>
      <c r="CF22" s="823">
        <v>83.7</v>
      </c>
      <c r="CG22" s="823">
        <v>66.954201079000001</v>
      </c>
      <c r="CH22" s="823">
        <v>16.8689699</v>
      </c>
      <c r="CI22" s="823">
        <v>96.151715499999995</v>
      </c>
      <c r="CJ22" s="823">
        <v>69.428883900000002</v>
      </c>
      <c r="CK22" s="823">
        <v>97.924939800000004</v>
      </c>
      <c r="CL22" s="823">
        <v>2.0000217</v>
      </c>
      <c r="CM22" s="823">
        <v>0.1509482</v>
      </c>
      <c r="CN22" s="823">
        <v>1.47</v>
      </c>
      <c r="CO22" s="823">
        <v>2.823931</v>
      </c>
      <c r="CP22" s="823">
        <v>3.2794496</v>
      </c>
      <c r="CQ22" s="823">
        <v>6.6783000000000001</v>
      </c>
      <c r="CR22" s="823">
        <v>6.0577107000000003</v>
      </c>
      <c r="CS22" s="823">
        <v>0</v>
      </c>
      <c r="CT22" s="823">
        <v>205.38520109999999</v>
      </c>
      <c r="CU22" s="823">
        <v>20.377167</v>
      </c>
      <c r="CV22" s="823">
        <v>0</v>
      </c>
      <c r="CW22" s="823">
        <v>0</v>
      </c>
      <c r="CX22" s="823">
        <v>0</v>
      </c>
      <c r="CY22" s="823">
        <v>0</v>
      </c>
      <c r="CZ22" s="823">
        <v>3.8E-3</v>
      </c>
      <c r="DA22" s="823">
        <v>0.1444</v>
      </c>
      <c r="DB22" s="823">
        <v>35.175940099999998</v>
      </c>
      <c r="DC22" s="823">
        <v>0</v>
      </c>
      <c r="DD22" s="823">
        <v>4.5004730502855397</v>
      </c>
      <c r="DE22" s="823">
        <v>6.2055857265826804</v>
      </c>
      <c r="DF22" s="823">
        <v>77.566351298123905</v>
      </c>
      <c r="DG22" s="823">
        <v>118.95594342107999</v>
      </c>
      <c r="DH22" s="823">
        <v>164.89240183636801</v>
      </c>
      <c r="DI22" s="823">
        <v>142.7501</v>
      </c>
      <c r="DJ22" s="823">
        <v>0.15459999999999999</v>
      </c>
      <c r="DK22" s="823">
        <v>0.1368</v>
      </c>
      <c r="DL22" s="823">
        <v>1.6221000000000001</v>
      </c>
      <c r="DM22" s="823">
        <v>12.877514700000001</v>
      </c>
      <c r="DN22" s="823">
        <v>9.5225881000000001</v>
      </c>
      <c r="DO22" s="823">
        <v>31.484016</v>
      </c>
      <c r="DP22" s="823">
        <v>90.746642199999997</v>
      </c>
      <c r="DQ22" s="823">
        <v>3.0394231469999999</v>
      </c>
      <c r="DR22" s="823">
        <v>1.63935341</v>
      </c>
      <c r="DS22" s="823">
        <v>10.5227366</v>
      </c>
      <c r="DT22" s="823">
        <v>0.1714205</v>
      </c>
      <c r="DU22" s="823"/>
      <c r="DV22" s="823">
        <v>0.22500000000000001</v>
      </c>
      <c r="DW22" s="823">
        <v>5.9616199999999999</v>
      </c>
      <c r="DX22" s="823">
        <v>5.0387000000000004</v>
      </c>
      <c r="DY22" s="823">
        <v>12.7447389</v>
      </c>
      <c r="DZ22" s="823">
        <v>43.795606100000001</v>
      </c>
      <c r="EA22" s="823">
        <v>42.364324400000001</v>
      </c>
      <c r="EB22" s="823">
        <v>59.530894799999999</v>
      </c>
      <c r="EC22" s="823">
        <v>0.86396470000000003</v>
      </c>
      <c r="ED22" s="823">
        <v>14.7715905</v>
      </c>
      <c r="EE22" s="823">
        <v>23.383901600000002</v>
      </c>
      <c r="EF22" s="823">
        <v>37.324924744999997</v>
      </c>
      <c r="EG22" s="823">
        <v>179.557327387312</v>
      </c>
      <c r="EH22" s="823">
        <v>356.019935091229</v>
      </c>
      <c r="EI22" s="823">
        <v>539.29719114300099</v>
      </c>
      <c r="EJ22" s="823">
        <v>1.1091135999999999</v>
      </c>
      <c r="EK22" s="823">
        <v>4.9943461999999998</v>
      </c>
      <c r="EL22" s="823">
        <v>13.704976500000001</v>
      </c>
      <c r="EM22" s="823">
        <v>14.123965800000001</v>
      </c>
      <c r="EN22" s="823">
        <v>15.244951199999999</v>
      </c>
      <c r="EO22" s="823">
        <v>15.756713100000001</v>
      </c>
      <c r="EP22" s="823">
        <v>28.593417500000001</v>
      </c>
      <c r="EQ22" s="823">
        <v>0.25408979999999998</v>
      </c>
      <c r="ER22" s="823">
        <v>41.000689612576998</v>
      </c>
      <c r="ES22" s="823">
        <v>62.481559159670397</v>
      </c>
      <c r="ET22" s="823">
        <v>3.408850631</v>
      </c>
      <c r="EU22" s="823">
        <v>32.487366528000003</v>
      </c>
      <c r="EV22" s="823">
        <v>9.4322999999999997</v>
      </c>
      <c r="EW22" s="823">
        <v>24.788599999999999</v>
      </c>
      <c r="EX22" s="823">
        <v>0</v>
      </c>
      <c r="EY22" s="823">
        <v>0</v>
      </c>
      <c r="EZ22" s="823">
        <v>0</v>
      </c>
      <c r="FA22" s="823">
        <v>2.5</v>
      </c>
      <c r="FB22" s="823">
        <v>38.501902999999999</v>
      </c>
      <c r="FC22" s="823">
        <v>17.162674200000001</v>
      </c>
      <c r="FD22" s="823">
        <v>18.559999999999999</v>
      </c>
      <c r="FE22" s="823">
        <v>0.2</v>
      </c>
      <c r="FF22" s="823">
        <v>1.5870255</v>
      </c>
      <c r="FG22" s="823">
        <v>15.1656</v>
      </c>
      <c r="FH22" s="823">
        <v>15.522312400000001</v>
      </c>
      <c r="FI22" s="823">
        <v>20.870417799999998</v>
      </c>
      <c r="FJ22" s="823">
        <v>34.692176099999998</v>
      </c>
      <c r="FK22" s="823">
        <v>101.84964703999999</v>
      </c>
      <c r="FL22" s="823">
        <v>0.78954570000000002</v>
      </c>
      <c r="FM22" s="823">
        <v>35.492345100000001</v>
      </c>
      <c r="FN22" s="823">
        <v>0</v>
      </c>
      <c r="FO22" s="823">
        <v>8.0334447000000004</v>
      </c>
      <c r="FP22" s="823">
        <v>0</v>
      </c>
      <c r="FQ22" s="823">
        <v>0</v>
      </c>
      <c r="FR22" s="823">
        <v>0</v>
      </c>
      <c r="FS22" s="823">
        <v>30.641210900000001</v>
      </c>
      <c r="FT22" s="823">
        <v>325.05976426286253</v>
      </c>
      <c r="FU22" s="823">
        <v>394.63626909922999</v>
      </c>
      <c r="FV22" s="823">
        <v>465.05400805996095</v>
      </c>
      <c r="FW22" s="823">
        <v>1123.8722704705322</v>
      </c>
      <c r="FX22" s="823">
        <v>1699.3700796977691</v>
      </c>
      <c r="FY22" s="823">
        <v>2045.591139562001</v>
      </c>
      <c r="FZ22" s="823">
        <v>8.3196109051389797</v>
      </c>
      <c r="GA22" s="823">
        <v>14.408875883</v>
      </c>
      <c r="GB22" s="823">
        <v>8.4867150000000002</v>
      </c>
      <c r="GC22" s="823">
        <v>11.4503956952111</v>
      </c>
      <c r="GD22" s="823">
        <v>15.6357043</v>
      </c>
      <c r="GE22" s="823">
        <v>26.062734299999999</v>
      </c>
      <c r="GF22" s="823">
        <v>16.657223965404398</v>
      </c>
      <c r="GG22" s="823">
        <v>0</v>
      </c>
      <c r="GH22" s="823">
        <v>0</v>
      </c>
      <c r="GI22" s="823">
        <v>0</v>
      </c>
      <c r="GJ22" s="823">
        <v>0</v>
      </c>
      <c r="GK22" s="823">
        <v>0</v>
      </c>
      <c r="GL22" s="823">
        <v>-5.1000000000000003E-6</v>
      </c>
      <c r="GM22" s="823">
        <v>-4.0779999999999997E-2</v>
      </c>
      <c r="GN22" s="823">
        <v>8.3196109051389797</v>
      </c>
      <c r="GO22" s="823">
        <v>14.408875883</v>
      </c>
      <c r="GP22" s="823">
        <v>8.4867150000000002</v>
      </c>
      <c r="GQ22" s="823">
        <v>11.4503956952111</v>
      </c>
      <c r="GR22" s="823">
        <v>15.6357043</v>
      </c>
      <c r="GS22" s="823">
        <v>26.0627292</v>
      </c>
      <c r="GT22" s="823">
        <v>16.616443965404397</v>
      </c>
      <c r="GU22" s="823">
        <v>0</v>
      </c>
      <c r="GV22" s="823">
        <v>0</v>
      </c>
      <c r="GW22" s="823">
        <v>1.2010319E-2</v>
      </c>
      <c r="GX22" s="823">
        <v>0.02</v>
      </c>
      <c r="GY22" s="823">
        <v>6.4463651999999996E-2</v>
      </c>
      <c r="GZ22" s="823">
        <v>0.28437069100000001</v>
      </c>
      <c r="HA22" s="823">
        <v>6.4000000000000005E-4</v>
      </c>
      <c r="HB22" s="823">
        <v>0</v>
      </c>
      <c r="HC22" s="823">
        <v>-1.7876202108650301E-2</v>
      </c>
      <c r="HD22" s="823">
        <v>179.03066920000001</v>
      </c>
      <c r="HE22" s="823">
        <v>206.81580389999999</v>
      </c>
      <c r="HF22" s="823">
        <v>242.0493257</v>
      </c>
      <c r="HG22" s="823">
        <v>321.2232879</v>
      </c>
      <c r="HH22" s="823">
        <v>0</v>
      </c>
      <c r="HI22" s="823">
        <v>68.969837799999993</v>
      </c>
      <c r="HJ22" s="823">
        <v>55.836221000000002</v>
      </c>
      <c r="HK22" s="823">
        <v>100.6262576</v>
      </c>
      <c r="HL22" s="823">
        <v>131.5435937</v>
      </c>
      <c r="HM22" s="823">
        <v>8.0959068999999992</v>
      </c>
      <c r="HN22" s="823">
        <v>5.3671371322927</v>
      </c>
      <c r="HO22" s="823">
        <v>9.6599392147967897</v>
      </c>
      <c r="HP22" s="823">
        <v>10.602423719258599</v>
      </c>
      <c r="HQ22" s="823">
        <v>155.53</v>
      </c>
      <c r="HR22" s="823">
        <v>160.44411502352699</v>
      </c>
      <c r="HS22" s="823">
        <v>184.79109897159901</v>
      </c>
      <c r="HT22" s="823">
        <v>0</v>
      </c>
      <c r="HU22" s="823">
        <v>105.56829999999999</v>
      </c>
      <c r="HV22" s="823">
        <v>107.77128930000001</v>
      </c>
      <c r="HW22" s="823">
        <v>136.49997343050001</v>
      </c>
      <c r="HX22" s="823">
        <v>147.355044506269</v>
      </c>
      <c r="HY22" s="823">
        <v>176.23616973950001</v>
      </c>
      <c r="HZ22" s="823">
        <v>271.7166119465</v>
      </c>
      <c r="IA22" s="823">
        <v>0</v>
      </c>
      <c r="IB22" s="823">
        <v>0</v>
      </c>
      <c r="IC22" s="823">
        <v>0</v>
      </c>
      <c r="ID22" s="823">
        <v>0</v>
      </c>
      <c r="IE22" s="823">
        <v>46.783700000000003</v>
      </c>
      <c r="IF22" s="823">
        <v>6.3816742</v>
      </c>
      <c r="IG22" s="823">
        <v>26.377099999999999</v>
      </c>
      <c r="IH22" s="823">
        <v>38.553905678</v>
      </c>
      <c r="II22" s="823">
        <v>32.137929499999998</v>
      </c>
      <c r="IJ22" s="823">
        <v>103.8198744</v>
      </c>
      <c r="IK22" s="823">
        <v>134.19139865753399</v>
      </c>
      <c r="IL22" s="823">
        <v>54.880246900000003</v>
      </c>
      <c r="IM22" s="823">
        <v>186.28694913229268</v>
      </c>
      <c r="IN22" s="823">
        <v>199.62667331268813</v>
      </c>
      <c r="IO22" s="823">
        <v>465.32523994675859</v>
      </c>
      <c r="IP22" s="823">
        <v>673.40237160626907</v>
      </c>
      <c r="IQ22" s="823">
        <v>682.613948515027</v>
      </c>
      <c r="IR22" s="823">
        <v>912.20676816663308</v>
      </c>
    </row>
    <row r="23" spans="1:252" ht="12.75" x14ac:dyDescent="0.2">
      <c r="A23" s="821" t="s">
        <v>245</v>
      </c>
      <c r="B23" s="823">
        <v>-4.1987092000000006</v>
      </c>
      <c r="C23" s="823">
        <v>362.28030000000001</v>
      </c>
      <c r="D23" s="823">
        <v>103.75869999999999</v>
      </c>
      <c r="E23" s="823">
        <v>190.14269999999996</v>
      </c>
      <c r="F23" s="823">
        <v>1356.6226999999999</v>
      </c>
      <c r="G23" s="823">
        <v>759.46</v>
      </c>
      <c r="H23" s="823">
        <v>138.36000000000001</v>
      </c>
      <c r="I23" s="823">
        <v>20.608260214000001</v>
      </c>
      <c r="J23" s="823">
        <v>19.554209790433426</v>
      </c>
      <c r="K23" s="823">
        <v>19.214736351196507</v>
      </c>
      <c r="L23" s="823">
        <v>87.738113756098073</v>
      </c>
      <c r="M23" s="823">
        <v>1158.5816904341975</v>
      </c>
      <c r="N23" s="823">
        <v>666.35135155603382</v>
      </c>
      <c r="O23" s="823">
        <v>472.74405059383321</v>
      </c>
      <c r="P23" s="823">
        <v>42.181448500000002</v>
      </c>
      <c r="Q23" s="823">
        <v>129.71991739999999</v>
      </c>
      <c r="R23" s="823">
        <v>99.707499999999996</v>
      </c>
      <c r="S23" s="823">
        <v>15.122804799999997</v>
      </c>
      <c r="T23" s="823">
        <v>288.66629999999998</v>
      </c>
      <c r="U23" s="823">
        <v>371.34300000000002</v>
      </c>
      <c r="V23" s="823">
        <v>204.34195349999999</v>
      </c>
      <c r="W23" s="823">
        <v>57.612300000000005</v>
      </c>
      <c r="X23" s="823">
        <v>22.130699999999997</v>
      </c>
      <c r="Y23" s="823">
        <v>13.825099999999999</v>
      </c>
      <c r="Z23" s="823">
        <v>89.715488199999996</v>
      </c>
      <c r="AA23" s="823">
        <v>95.246999999999986</v>
      </c>
      <c r="AB23" s="823">
        <v>282.04999999999995</v>
      </c>
      <c r="AC23" s="823">
        <v>684.84</v>
      </c>
      <c r="AD23" s="823">
        <v>116.20329951400001</v>
      </c>
      <c r="AE23" s="823">
        <v>533.68512719043349</v>
      </c>
      <c r="AF23" s="823">
        <v>236.50603635119649</v>
      </c>
      <c r="AG23" s="823">
        <v>382.71910675609803</v>
      </c>
      <c r="AH23" s="823">
        <v>2899.1176904341974</v>
      </c>
      <c r="AI23" s="823">
        <v>2079.204351556034</v>
      </c>
      <c r="AJ23" s="823">
        <v>1500.2860040938331</v>
      </c>
      <c r="AK23" s="823">
        <v>3.4340000000000002</v>
      </c>
      <c r="AL23" s="823">
        <v>1.4245829374191801</v>
      </c>
      <c r="AM23" s="823">
        <v>4.08</v>
      </c>
      <c r="AN23" s="823">
        <v>0.55464930000000001</v>
      </c>
      <c r="AO23" s="823">
        <v>1.3012761169999201</v>
      </c>
      <c r="AP23" s="823">
        <v>15.9283</v>
      </c>
      <c r="AQ23" s="823">
        <v>19.936240900000001</v>
      </c>
      <c r="AR23" s="823">
        <v>27.503</v>
      </c>
      <c r="AS23" s="823">
        <v>88.352575299999998</v>
      </c>
      <c r="AT23" s="823">
        <v>216.10942590000002</v>
      </c>
      <c r="AU23" s="823">
        <v>39.923412264645414</v>
      </c>
      <c r="AV23" s="823">
        <v>28.804841664645394</v>
      </c>
      <c r="AW23" s="823">
        <v>2.8330815</v>
      </c>
      <c r="AX23" s="823">
        <v>102.8288422</v>
      </c>
      <c r="AY23" s="823">
        <v>144.57401297497699</v>
      </c>
      <c r="AZ23" s="823">
        <v>170.83469408083701</v>
      </c>
      <c r="BA23" s="823">
        <v>403.09293628813998</v>
      </c>
      <c r="BB23" s="823">
        <v>372.88376957317206</v>
      </c>
      <c r="BC23" s="823">
        <v>4.3047262000000002</v>
      </c>
      <c r="BD23" s="823">
        <v>4.9022164999999998</v>
      </c>
      <c r="BE23" s="823">
        <v>16.7087</v>
      </c>
      <c r="BF23" s="823">
        <v>61.945039699999995</v>
      </c>
      <c r="BG23" s="823">
        <v>345.04853399999996</v>
      </c>
      <c r="BH23" s="823">
        <v>289.04703400000005</v>
      </c>
      <c r="BI23" s="823">
        <v>590.78877999999997</v>
      </c>
      <c r="BJ23" s="823">
        <v>11.952159099999999</v>
      </c>
      <c r="BK23" s="823">
        <v>3.3715540000000002</v>
      </c>
      <c r="BL23" s="823">
        <v>10.7047969</v>
      </c>
      <c r="BM23" s="823">
        <v>-7.1123000000000003</v>
      </c>
      <c r="BN23" s="823">
        <v>1.8453462</v>
      </c>
      <c r="BO23" s="823">
        <v>2.4456878</v>
      </c>
      <c r="BP23" s="823">
        <v>15.2999466</v>
      </c>
      <c r="BQ23" s="823">
        <v>3.3129999999999997</v>
      </c>
      <c r="BR23" s="823">
        <v>8.1809317060000009</v>
      </c>
      <c r="BS23" s="823">
        <v>209.35500039999999</v>
      </c>
      <c r="BT23" s="823">
        <v>196.4869158525</v>
      </c>
      <c r="BU23" s="823">
        <v>161.38120886039999</v>
      </c>
      <c r="BV23" s="823">
        <v>4.7367999999999997</v>
      </c>
      <c r="BW23" s="823">
        <v>3.0470887000000002</v>
      </c>
      <c r="BX23" s="823">
        <v>2.6633</v>
      </c>
      <c r="BY23" s="823">
        <v>4.2149000000000001</v>
      </c>
      <c r="BZ23" s="823">
        <v>2.2092999999999998</v>
      </c>
      <c r="CA23" s="823">
        <v>1.3677000000000001</v>
      </c>
      <c r="CB23" s="823">
        <v>20.454000000000001</v>
      </c>
      <c r="CC23" s="823">
        <v>110.8308</v>
      </c>
      <c r="CD23" s="823">
        <v>197.96849999999998</v>
      </c>
      <c r="CE23" s="823">
        <v>82.522400000000005</v>
      </c>
      <c r="CF23" s="823">
        <v>125.12</v>
      </c>
      <c r="CG23" s="823">
        <v>50.221720818000001</v>
      </c>
      <c r="CH23" s="823">
        <v>14.3965976</v>
      </c>
      <c r="CI23" s="823">
        <v>108.38789919999999</v>
      </c>
      <c r="CJ23" s="823">
        <v>141.5193281</v>
      </c>
      <c r="CK23" s="823">
        <v>107.3084514</v>
      </c>
      <c r="CL23" s="823">
        <v>327.21210280000003</v>
      </c>
      <c r="CM23" s="823">
        <v>518.50190650000013</v>
      </c>
      <c r="CN23" s="823">
        <v>816.6</v>
      </c>
      <c r="CO23" s="823">
        <v>3.7367338000000001</v>
      </c>
      <c r="CP23" s="823">
        <v>7.4415834000000007</v>
      </c>
      <c r="CQ23" s="823">
        <v>6.6783000000000001</v>
      </c>
      <c r="CR23" s="823">
        <v>46.765513500000004</v>
      </c>
      <c r="CS23" s="823">
        <v>67.301299999999998</v>
      </c>
      <c r="CT23" s="823">
        <v>135.53520109999999</v>
      </c>
      <c r="CU23" s="823">
        <v>5.2271669999999997</v>
      </c>
      <c r="CV23" s="823">
        <v>0</v>
      </c>
      <c r="CW23" s="823">
        <v>0.90316260000000004</v>
      </c>
      <c r="CX23" s="823">
        <v>1.0070015000000001</v>
      </c>
      <c r="CY23" s="823">
        <v>1.292063</v>
      </c>
      <c r="CZ23" s="823">
        <v>1.4338635</v>
      </c>
      <c r="DA23" s="823">
        <v>1.3525</v>
      </c>
      <c r="DB23" s="823">
        <v>37.016640099999996</v>
      </c>
      <c r="DC23" s="823">
        <v>4.3513080292371296</v>
      </c>
      <c r="DD23" s="823">
        <v>4.5004730502855397</v>
      </c>
      <c r="DE23" s="823">
        <v>9.07055702658268</v>
      </c>
      <c r="DF23" s="823">
        <v>82.809859898123904</v>
      </c>
      <c r="DG23" s="823">
        <v>118.95594342107999</v>
      </c>
      <c r="DH23" s="823">
        <v>164.83902013636802</v>
      </c>
      <c r="DI23" s="823">
        <v>142.7501</v>
      </c>
      <c r="DJ23" s="823">
        <v>0.15459999999999999</v>
      </c>
      <c r="DK23" s="823">
        <v>1.6129</v>
      </c>
      <c r="DL23" s="823">
        <v>1.6221000000000001</v>
      </c>
      <c r="DM23" s="823">
        <v>13.735014700000001</v>
      </c>
      <c r="DN23" s="823">
        <v>30.438391299999999</v>
      </c>
      <c r="DO23" s="823">
        <v>31.246522999999996</v>
      </c>
      <c r="DP23" s="823">
        <v>77.470873699999999</v>
      </c>
      <c r="DQ23" s="823">
        <v>3.5093206750000001</v>
      </c>
      <c r="DR23" s="823">
        <v>5.3688896049999997</v>
      </c>
      <c r="DS23" s="823">
        <v>25.52899172</v>
      </c>
      <c r="DT23" s="823">
        <v>3.1098536860000001</v>
      </c>
      <c r="DU23" s="823">
        <v>2.27</v>
      </c>
      <c r="DV23" s="823">
        <v>1.4837643</v>
      </c>
      <c r="DW23" s="823">
        <v>7.2739647999999999</v>
      </c>
      <c r="DX23" s="823">
        <v>6.6567327000000009</v>
      </c>
      <c r="DY23" s="823">
        <v>20.282017500000002</v>
      </c>
      <c r="DZ23" s="823">
        <v>63.520414099999996</v>
      </c>
      <c r="EA23" s="823">
        <v>46.296298100000001</v>
      </c>
      <c r="EB23" s="823">
        <v>63.885459499999996</v>
      </c>
      <c r="EC23" s="823">
        <v>6.4616772000000005</v>
      </c>
      <c r="ED23" s="823">
        <v>21.308631399999999</v>
      </c>
      <c r="EE23" s="823">
        <v>46.563560899999999</v>
      </c>
      <c r="EF23" s="823">
        <v>63.502516744999994</v>
      </c>
      <c r="EG23" s="823">
        <v>259.72843988731199</v>
      </c>
      <c r="EH23" s="823">
        <v>404.8904379139093</v>
      </c>
      <c r="EI23" s="823">
        <v>550.64466484300101</v>
      </c>
      <c r="EJ23" s="823">
        <v>1.1091135999999999</v>
      </c>
      <c r="EK23" s="823">
        <v>4.9943461999999998</v>
      </c>
      <c r="EL23" s="823">
        <v>13.704976500000001</v>
      </c>
      <c r="EM23" s="823">
        <v>19.132012599999999</v>
      </c>
      <c r="EN23" s="823">
        <v>105.706754</v>
      </c>
      <c r="EO23" s="823">
        <v>45.641157900000003</v>
      </c>
      <c r="EP23" s="823">
        <v>-4.7179861999999986</v>
      </c>
      <c r="EQ23" s="823">
        <v>0.25408979999999998</v>
      </c>
      <c r="ER23" s="823">
        <v>41.377023880576999</v>
      </c>
      <c r="ES23" s="823">
        <v>65.357097124670403</v>
      </c>
      <c r="ET23" s="823">
        <v>16.52024527</v>
      </c>
      <c r="EU23" s="823">
        <v>26.869840128</v>
      </c>
      <c r="EV23" s="823">
        <v>6.1715</v>
      </c>
      <c r="EW23" s="823">
        <v>30.6312</v>
      </c>
      <c r="EX23" s="823">
        <v>0.5247925</v>
      </c>
      <c r="EY23" s="823">
        <v>1.1163255999999999</v>
      </c>
      <c r="EZ23" s="823">
        <v>0.91425749999999995</v>
      </c>
      <c r="FA23" s="823">
        <v>3.5400770000000001</v>
      </c>
      <c r="FB23" s="823">
        <v>40.221135999999994</v>
      </c>
      <c r="FC23" s="823">
        <v>17.870511100000002</v>
      </c>
      <c r="FD23" s="823">
        <v>19.579999999999998</v>
      </c>
      <c r="FE23" s="823">
        <v>9.4605434969999997</v>
      </c>
      <c r="FF23" s="823">
        <v>14.049009169999998</v>
      </c>
      <c r="FG23" s="823">
        <v>24.5873235</v>
      </c>
      <c r="FH23" s="823">
        <v>31.808186000000003</v>
      </c>
      <c r="FI23" s="823">
        <v>42.019165900000004</v>
      </c>
      <c r="FJ23" s="823">
        <v>58.865582400000001</v>
      </c>
      <c r="FK23" s="823">
        <v>115.37513224</v>
      </c>
      <c r="FL23" s="823">
        <v>0.78954570000000002</v>
      </c>
      <c r="FM23" s="823">
        <v>35.492345100000001</v>
      </c>
      <c r="FN23" s="823">
        <v>2.1122307</v>
      </c>
      <c r="FO23" s="823">
        <v>8.0334447000000004</v>
      </c>
      <c r="FP23" s="823">
        <v>5.660336</v>
      </c>
      <c r="FQ23" s="823">
        <v>10.7555353</v>
      </c>
      <c r="FR23" s="823">
        <v>20.712949600000002</v>
      </c>
      <c r="FS23" s="823">
        <v>69.602261526237129</v>
      </c>
      <c r="FT23" s="823">
        <v>411.87891060086258</v>
      </c>
      <c r="FU23" s="823">
        <v>646.35525830123015</v>
      </c>
      <c r="FV23" s="823">
        <v>955.22325834238018</v>
      </c>
      <c r="FW23" s="823">
        <v>2388.1730722445322</v>
      </c>
      <c r="FX23" s="823">
        <v>2466.1944081265947</v>
      </c>
      <c r="FY23" s="823">
        <v>2713.9986744430462</v>
      </c>
      <c r="FZ23" s="823">
        <v>11.35003773415324</v>
      </c>
      <c r="GA23" s="823">
        <v>20.051020667</v>
      </c>
      <c r="GB23" s="823">
        <v>-7.455585000000001</v>
      </c>
      <c r="GC23" s="823">
        <v>69.715543211114337</v>
      </c>
      <c r="GD23" s="823">
        <v>15.6357043</v>
      </c>
      <c r="GE23" s="823">
        <v>226.06039150000001</v>
      </c>
      <c r="GF23" s="823">
        <v>16.657223965404398</v>
      </c>
      <c r="GG23" s="823">
        <v>2.5977314000000002</v>
      </c>
      <c r="GH23" s="823">
        <v>2.6168270000000002</v>
      </c>
      <c r="GI23" s="823">
        <v>1.52</v>
      </c>
      <c r="GJ23" s="823">
        <v>23.898536999999997</v>
      </c>
      <c r="GK23" s="823">
        <v>50.550676999999993</v>
      </c>
      <c r="GL23" s="823">
        <v>12.0158769</v>
      </c>
      <c r="GM23" s="823">
        <v>21.660875999999998</v>
      </c>
      <c r="GN23" s="823">
        <v>13.947769134153241</v>
      </c>
      <c r="GO23" s="823">
        <v>22.667847667</v>
      </c>
      <c r="GP23" s="823">
        <v>-5.9355850000000014</v>
      </c>
      <c r="GQ23" s="823">
        <v>93.614080211114327</v>
      </c>
      <c r="GR23" s="823">
        <v>66.186381299999994</v>
      </c>
      <c r="GS23" s="823">
        <v>238.0762684</v>
      </c>
      <c r="GT23" s="823">
        <v>38.3180999654044</v>
      </c>
      <c r="GU23" s="823">
        <v>6.1968003651999997</v>
      </c>
      <c r="GV23" s="823">
        <v>1.39547</v>
      </c>
      <c r="GW23" s="823">
        <v>6.9093139189999997</v>
      </c>
      <c r="GX23" s="823">
        <v>10.17</v>
      </c>
      <c r="GY23" s="823">
        <v>8.3480135600000001</v>
      </c>
      <c r="GZ23" s="823">
        <v>2.518251802</v>
      </c>
      <c r="HA23" s="823">
        <v>3.2770270000000004</v>
      </c>
      <c r="HB23" s="823">
        <v>4.3097129999999995</v>
      </c>
      <c r="HC23" s="823">
        <v>3.9007844078913494</v>
      </c>
      <c r="HD23" s="823">
        <v>205.56301930000001</v>
      </c>
      <c r="HE23" s="823">
        <v>213.10630511700001</v>
      </c>
      <c r="HF23" s="823">
        <v>247.37010030000002</v>
      </c>
      <c r="HG23" s="823">
        <v>325.81767189999999</v>
      </c>
      <c r="HH23" s="823">
        <v>3.2780046999999999</v>
      </c>
      <c r="HI23" s="823">
        <v>72.368165599999998</v>
      </c>
      <c r="HJ23" s="823">
        <v>62.362757900000005</v>
      </c>
      <c r="HK23" s="823">
        <v>120.9244997</v>
      </c>
      <c r="HL23" s="823">
        <v>195.7315165</v>
      </c>
      <c r="HM23" s="823">
        <v>8.0959068999999992</v>
      </c>
      <c r="HN23" s="823">
        <v>5.3671371322927</v>
      </c>
      <c r="HO23" s="823">
        <v>9.6599392147967897</v>
      </c>
      <c r="HP23" s="823">
        <v>10.602423719258599</v>
      </c>
      <c r="HQ23" s="823">
        <v>174.93</v>
      </c>
      <c r="HR23" s="823">
        <v>142.084556230527</v>
      </c>
      <c r="HS23" s="823">
        <v>185.35229327859901</v>
      </c>
      <c r="HT23" s="823">
        <v>4.7580836570000002</v>
      </c>
      <c r="HU23" s="823">
        <v>107.5463269</v>
      </c>
      <c r="HV23" s="823">
        <v>110.960878632</v>
      </c>
      <c r="HW23" s="823">
        <v>155.97363367349999</v>
      </c>
      <c r="HX23" s="823">
        <v>206.79314510626898</v>
      </c>
      <c r="HY23" s="823">
        <v>204.2380677395</v>
      </c>
      <c r="HZ23" s="823">
        <v>286.34286024649998</v>
      </c>
      <c r="IA23" s="823">
        <v>28.557648400000001</v>
      </c>
      <c r="IB23" s="823">
        <v>58.252499999999998</v>
      </c>
      <c r="IC23" s="823">
        <v>12.4903</v>
      </c>
      <c r="ID23" s="823">
        <v>14.56</v>
      </c>
      <c r="IE23" s="823">
        <v>129.81629230000001</v>
      </c>
      <c r="IF23" s="823">
        <v>6.3816742</v>
      </c>
      <c r="IG23" s="823">
        <v>26.377099999999999</v>
      </c>
      <c r="IH23" s="823">
        <v>42.551405678000002</v>
      </c>
      <c r="II23" s="823">
        <v>48.171842199999993</v>
      </c>
      <c r="IJ23" s="823">
        <v>138.17308270000001</v>
      </c>
      <c r="IK23" s="823">
        <v>136.02879365753398</v>
      </c>
      <c r="IL23" s="823">
        <v>149.22531455700002</v>
      </c>
      <c r="IM23" s="823">
        <v>202.16981719749268</v>
      </c>
      <c r="IN23" s="823">
        <v>214.65693015468815</v>
      </c>
      <c r="IO23" s="823">
        <v>571.08194438975852</v>
      </c>
      <c r="IP23" s="823">
        <v>907.1553089232691</v>
      </c>
      <c r="IQ23" s="823">
        <v>752.70412053002701</v>
      </c>
      <c r="IR23" s="823">
        <v>950.61987088463309</v>
      </c>
    </row>
    <row r="24" spans="1:252" ht="12.75" x14ac:dyDescent="0.2">
      <c r="A24" s="824" t="s">
        <v>267</v>
      </c>
      <c r="B24" s="826">
        <v>150.49920080000001</v>
      </c>
      <c r="C24" s="826">
        <v>49.203900000000033</v>
      </c>
      <c r="D24" s="826">
        <v>-2182.5041457956222</v>
      </c>
      <c r="E24" s="826">
        <v>-1696.2766999999994</v>
      </c>
      <c r="F24" s="826">
        <v>-4108.3359</v>
      </c>
      <c r="G24" s="826">
        <v>-562.99</v>
      </c>
      <c r="H24" s="826">
        <v>-1674.67</v>
      </c>
      <c r="I24" s="826">
        <v>905.55815928000061</v>
      </c>
      <c r="J24" s="826">
        <v>1163.8569246790014</v>
      </c>
      <c r="K24" s="826">
        <v>2725.0576753890127</v>
      </c>
      <c r="L24" s="826">
        <v>644.86830993400338</v>
      </c>
      <c r="M24" s="826">
        <v>1638.8262048990043</v>
      </c>
      <c r="N24" s="826">
        <v>2036.7167413975603</v>
      </c>
      <c r="O24" s="826">
        <v>159.910371042918</v>
      </c>
      <c r="P24" s="826">
        <v>189.91016029999997</v>
      </c>
      <c r="Q24" s="826">
        <v>-1987.4253911000001</v>
      </c>
      <c r="R24" s="826">
        <v>1464.6114999999991</v>
      </c>
      <c r="S24" s="826">
        <v>-428.99049000000002</v>
      </c>
      <c r="T24" s="826">
        <v>-1498.6964000000003</v>
      </c>
      <c r="U24" s="826">
        <v>-1512.0530000000001</v>
      </c>
      <c r="V24" s="826">
        <v>-3146.87</v>
      </c>
      <c r="W24" s="826">
        <v>255.88210000000004</v>
      </c>
      <c r="X24" s="826">
        <v>-1912.6534999999997</v>
      </c>
      <c r="Y24" s="826">
        <v>1227.9583999999993</v>
      </c>
      <c r="Z24" s="826">
        <v>-1877.9106535000001</v>
      </c>
      <c r="AA24" s="826">
        <v>-1485.7148</v>
      </c>
      <c r="AB24" s="826">
        <v>-984.69000000000199</v>
      </c>
      <c r="AC24" s="826">
        <v>-2135.56</v>
      </c>
      <c r="AD24" s="826">
        <v>1501.8496203800005</v>
      </c>
      <c r="AE24" s="826">
        <v>-2687.0180664209984</v>
      </c>
      <c r="AF24" s="826">
        <v>3235.1234295933891</v>
      </c>
      <c r="AG24" s="826">
        <v>-3358.3095335659955</v>
      </c>
      <c r="AH24" s="826">
        <v>-5453.9208951009959</v>
      </c>
      <c r="AI24" s="826">
        <v>-1023.0162586024417</v>
      </c>
      <c r="AJ24" s="826">
        <v>-6797.1896289570814</v>
      </c>
      <c r="AK24" s="826">
        <v>-11.8004</v>
      </c>
      <c r="AL24" s="826">
        <v>-134.371453423622</v>
      </c>
      <c r="AM24" s="826">
        <v>-187.78840749687683</v>
      </c>
      <c r="AN24" s="826">
        <v>-132.55244480000022</v>
      </c>
      <c r="AO24" s="826">
        <v>-382.38289716589202</v>
      </c>
      <c r="AP24" s="826">
        <v>771.46804405299997</v>
      </c>
      <c r="AQ24" s="826">
        <v>1078.1177224998426</v>
      </c>
      <c r="AR24" s="826">
        <v>1352.9133000000002</v>
      </c>
      <c r="AS24" s="826">
        <v>1151.5164084</v>
      </c>
      <c r="AT24" s="826">
        <v>1375.9507963999981</v>
      </c>
      <c r="AU24" s="826">
        <v>1769.3025297353515</v>
      </c>
      <c r="AV24" s="826">
        <v>1793.09383883535</v>
      </c>
      <c r="AW24" s="826">
        <v>-204.23782420000001</v>
      </c>
      <c r="AX24" s="826">
        <v>-128.63368705953781</v>
      </c>
      <c r="AY24" s="826">
        <v>-92.630055628641855</v>
      </c>
      <c r="AZ24" s="826">
        <v>3.0406473326749222</v>
      </c>
      <c r="BA24" s="826">
        <v>-243.62708441384569</v>
      </c>
      <c r="BB24" s="826">
        <v>120.28680446879525</v>
      </c>
      <c r="BC24" s="826">
        <v>213.09661120000001</v>
      </c>
      <c r="BD24" s="826">
        <v>297.06911039999994</v>
      </c>
      <c r="BE24" s="826">
        <v>346.61568339999997</v>
      </c>
      <c r="BF24" s="826">
        <v>250.58868470000021</v>
      </c>
      <c r="BG24" s="826">
        <v>254.6025028000002</v>
      </c>
      <c r="BH24" s="826">
        <v>374.78365730009455</v>
      </c>
      <c r="BI24" s="826">
        <v>106.027050784076</v>
      </c>
      <c r="BJ24" s="826">
        <v>-27.290507399999999</v>
      </c>
      <c r="BK24" s="826">
        <v>-57.642543707654404</v>
      </c>
      <c r="BL24" s="826">
        <v>-96.273158599999988</v>
      </c>
      <c r="BM24" s="826">
        <v>-96.618305200000009</v>
      </c>
      <c r="BN24" s="826">
        <v>-109.0859493</v>
      </c>
      <c r="BO24" s="826">
        <v>-5.2548059000000036</v>
      </c>
      <c r="BP24" s="826">
        <v>42.797246599999994</v>
      </c>
      <c r="BQ24" s="826">
        <v>78.627861600000003</v>
      </c>
      <c r="BR24" s="826">
        <v>102.58241839400002</v>
      </c>
      <c r="BS24" s="826">
        <v>172.99859950000001</v>
      </c>
      <c r="BT24" s="826">
        <v>180.70380854750002</v>
      </c>
      <c r="BU24" s="826">
        <v>160.9402690396</v>
      </c>
      <c r="BV24" s="826">
        <v>-69.921999999999997</v>
      </c>
      <c r="BW24" s="826">
        <v>-270.87388289999996</v>
      </c>
      <c r="BX24" s="826">
        <v>-175.24640000000002</v>
      </c>
      <c r="BY24" s="826">
        <v>-122.75945759599898</v>
      </c>
      <c r="BZ24" s="826">
        <v>-295.86027669999999</v>
      </c>
      <c r="CA24" s="826">
        <v>-102.01559120000002</v>
      </c>
      <c r="CB24" s="826">
        <v>121.40239999999997</v>
      </c>
      <c r="CC24" s="826">
        <v>513.2681</v>
      </c>
      <c r="CD24" s="826">
        <v>467.23340000000007</v>
      </c>
      <c r="CE24" s="826">
        <v>611.78989999999999</v>
      </c>
      <c r="CF24" s="826">
        <v>791.76999999999987</v>
      </c>
      <c r="CG24" s="826">
        <v>667.76948501913205</v>
      </c>
      <c r="CH24" s="826">
        <v>707.69274939999991</v>
      </c>
      <c r="CI24" s="826">
        <v>910.10147099999995</v>
      </c>
      <c r="CJ24" s="826">
        <v>1196.2331634</v>
      </c>
      <c r="CK24" s="826">
        <v>1598.4164407999999</v>
      </c>
      <c r="CL24" s="826">
        <v>1696.8913959000001</v>
      </c>
      <c r="CM24" s="826">
        <v>1953.9534732000002</v>
      </c>
      <c r="CN24" s="826">
        <v>1683.5102999999999</v>
      </c>
      <c r="CO24" s="826">
        <v>239.93452500000001</v>
      </c>
      <c r="CP24" s="826">
        <v>619.54997600000002</v>
      </c>
      <c r="CQ24" s="826">
        <v>257.7835541</v>
      </c>
      <c r="CR24" s="826">
        <v>235.23900049999997</v>
      </c>
      <c r="CS24" s="826">
        <v>267.75209999999993</v>
      </c>
      <c r="CT24" s="826">
        <v>411.02648799999997</v>
      </c>
      <c r="CU24" s="826">
        <v>65.203256199999998</v>
      </c>
      <c r="CV24" s="826">
        <v>-9.7291369999999997</v>
      </c>
      <c r="CW24" s="826">
        <v>-34.723526800000002</v>
      </c>
      <c r="CX24" s="826">
        <v>-32.549413999999992</v>
      </c>
      <c r="CY24" s="826">
        <v>-34.899463362057396</v>
      </c>
      <c r="CZ24" s="826">
        <v>-28.122976500000004</v>
      </c>
      <c r="DA24" s="826">
        <v>1.6306999999999992</v>
      </c>
      <c r="DB24" s="826">
        <v>-82.984699999646296</v>
      </c>
      <c r="DC24" s="826">
        <v>-171.19968331101617</v>
      </c>
      <c r="DD24" s="826">
        <v>-194.71772531880205</v>
      </c>
      <c r="DE24" s="826">
        <v>-153.64963024258282</v>
      </c>
      <c r="DF24" s="826">
        <v>-138.46526205123928</v>
      </c>
      <c r="DG24" s="826">
        <v>-109.60137189341106</v>
      </c>
      <c r="DH24" s="826">
        <v>50.46143905191002</v>
      </c>
      <c r="DI24" s="826">
        <v>33.791090248700101</v>
      </c>
      <c r="DJ24" s="826">
        <v>-6.5814450000000013</v>
      </c>
      <c r="DK24" s="826">
        <v>7.1697424999999999</v>
      </c>
      <c r="DL24" s="826">
        <v>6.0646593000000006</v>
      </c>
      <c r="DM24" s="826">
        <v>-8.2045212234027325</v>
      </c>
      <c r="DN24" s="826">
        <v>1.7410179602631288</v>
      </c>
      <c r="DO24" s="826">
        <v>25.652127163058665</v>
      </c>
      <c r="DP24" s="826">
        <v>-16.756037800000001</v>
      </c>
      <c r="DQ24" s="826">
        <v>-14.151875586999999</v>
      </c>
      <c r="DR24" s="826">
        <v>-28.829574692000001</v>
      </c>
      <c r="DS24" s="826">
        <v>-71.051801721000004</v>
      </c>
      <c r="DT24" s="826">
        <v>-116.70907262499999</v>
      </c>
      <c r="DU24" s="826">
        <v>-61.13000000000001</v>
      </c>
      <c r="DV24" s="826">
        <v>14.520435499999998</v>
      </c>
      <c r="DW24" s="826">
        <v>3.9304213000000008</v>
      </c>
      <c r="DX24" s="826">
        <v>1.7053451999999965</v>
      </c>
      <c r="DY24" s="826">
        <v>-21.903281800000002</v>
      </c>
      <c r="DZ24" s="826">
        <v>-65.476308599999996</v>
      </c>
      <c r="EA24" s="826">
        <v>-84.325318100000004</v>
      </c>
      <c r="EB24" s="826">
        <v>-96.4888203</v>
      </c>
      <c r="EC24" s="826">
        <v>99.081989600000014</v>
      </c>
      <c r="ED24" s="826">
        <v>130.3430887939999</v>
      </c>
      <c r="EE24" s="826">
        <v>165.00318345000002</v>
      </c>
      <c r="EF24" s="826">
        <v>212.02256462744299</v>
      </c>
      <c r="EG24" s="826">
        <v>299.38299887496999</v>
      </c>
      <c r="EH24" s="826">
        <v>322.54446503325062</v>
      </c>
      <c r="EI24" s="826">
        <v>380.83224646720601</v>
      </c>
      <c r="EJ24" s="826">
        <v>36.116694799999998</v>
      </c>
      <c r="EK24" s="826">
        <v>62.788866600000013</v>
      </c>
      <c r="EL24" s="826">
        <v>126.02213759999999</v>
      </c>
      <c r="EM24" s="826">
        <v>182.01179090000002</v>
      </c>
      <c r="EN24" s="826">
        <v>41.297562899999988</v>
      </c>
      <c r="EO24" s="826">
        <v>211.20291450000002</v>
      </c>
      <c r="EP24" s="826">
        <v>175.3149803</v>
      </c>
      <c r="EQ24" s="826">
        <v>-120.09839215926515</v>
      </c>
      <c r="ER24" s="826">
        <v>152.65622707724816</v>
      </c>
      <c r="ES24" s="826">
        <v>422.38917626000074</v>
      </c>
      <c r="ET24" s="826">
        <v>469.79432417100509</v>
      </c>
      <c r="EU24" s="826">
        <v>564.40472961699743</v>
      </c>
      <c r="EV24" s="826">
        <v>717.9212</v>
      </c>
      <c r="EW24" s="826">
        <v>177.97579999999999</v>
      </c>
      <c r="EX24" s="826">
        <v>321.51666410000001</v>
      </c>
      <c r="EY24" s="826">
        <v>307.93696749999998</v>
      </c>
      <c r="EZ24" s="826">
        <v>573.28928059999998</v>
      </c>
      <c r="FA24" s="826">
        <v>1000.0591296</v>
      </c>
      <c r="FB24" s="826">
        <v>1001.0527190999998</v>
      </c>
      <c r="FC24" s="826">
        <v>770.04349630000013</v>
      </c>
      <c r="FD24" s="826">
        <v>878.51999999999987</v>
      </c>
      <c r="FE24" s="826">
        <v>28.427169002999992</v>
      </c>
      <c r="FF24" s="826">
        <v>118.42831262999999</v>
      </c>
      <c r="FG24" s="826">
        <v>204.37191049999998</v>
      </c>
      <c r="FH24" s="826">
        <v>134.10984809999999</v>
      </c>
      <c r="FI24" s="826">
        <v>456.21290149999993</v>
      </c>
      <c r="FJ24" s="826">
        <v>589.78628570000001</v>
      </c>
      <c r="FK24" s="826">
        <v>606.81059199984895</v>
      </c>
      <c r="FL24" s="826">
        <v>42.031037300000008</v>
      </c>
      <c r="FM24" s="826">
        <v>50.442102300000009</v>
      </c>
      <c r="FN24" s="826">
        <v>429.5730542</v>
      </c>
      <c r="FO24" s="826">
        <v>206.70716380000005</v>
      </c>
      <c r="FP24" s="826">
        <v>199.06614130000003</v>
      </c>
      <c r="FQ24" s="826">
        <v>30.726023500000011</v>
      </c>
      <c r="FR24" s="826">
        <v>143.2764426</v>
      </c>
      <c r="FS24" s="826">
        <v>1854.7690411857188</v>
      </c>
      <c r="FT24" s="826">
        <v>3544.6587160227514</v>
      </c>
      <c r="FU24" s="826">
        <v>5271.8665267517772</v>
      </c>
      <c r="FV24" s="826">
        <v>5318.1318381651472</v>
      </c>
      <c r="FW24" s="826">
        <v>5965.9558566270953</v>
      </c>
      <c r="FX24" s="826">
        <v>7768.830814178963</v>
      </c>
      <c r="FY24" s="826">
        <v>5828.3766702283747</v>
      </c>
      <c r="FZ24" s="826">
        <v>463.63167155268326</v>
      </c>
      <c r="GA24" s="826">
        <v>487.08260144300004</v>
      </c>
      <c r="GB24" s="826">
        <v>879.84611449600106</v>
      </c>
      <c r="GC24" s="826">
        <v>654.89960263739567</v>
      </c>
      <c r="GD24" s="826">
        <v>253.61094540000005</v>
      </c>
      <c r="GE24" s="826">
        <v>746.80883319999998</v>
      </c>
      <c r="GF24" s="826">
        <v>924.33698536124666</v>
      </c>
      <c r="GG24" s="826">
        <v>387.35979750000001</v>
      </c>
      <c r="GH24" s="826">
        <v>407.4941839</v>
      </c>
      <c r="GI24" s="826">
        <v>129.78525299999995</v>
      </c>
      <c r="GJ24" s="826">
        <v>314.38798960000003</v>
      </c>
      <c r="GK24" s="826">
        <v>400.01892159999994</v>
      </c>
      <c r="GL24" s="826">
        <v>588.09704220000003</v>
      </c>
      <c r="GM24" s="826">
        <v>1160.8643420000003</v>
      </c>
      <c r="GN24" s="826">
        <v>850.99146905268321</v>
      </c>
      <c r="GO24" s="826">
        <v>894.57678534299998</v>
      </c>
      <c r="GP24" s="826">
        <v>1009.6313674960011</v>
      </c>
      <c r="GQ24" s="826">
        <v>969.28759223739576</v>
      </c>
      <c r="GR24" s="826">
        <v>653.62986699999988</v>
      </c>
      <c r="GS24" s="826">
        <v>1334.9058753999998</v>
      </c>
      <c r="GT24" s="826">
        <v>2085.2013273612465</v>
      </c>
      <c r="GU24" s="826">
        <v>-86.672058842749991</v>
      </c>
      <c r="GV24" s="826">
        <v>-189.223409240038</v>
      </c>
      <c r="GW24" s="826">
        <v>-254.50030133530905</v>
      </c>
      <c r="GX24" s="826">
        <v>-241.15999999999997</v>
      </c>
      <c r="GY24" s="826">
        <v>-197.660645886</v>
      </c>
      <c r="GZ24" s="826">
        <v>-311.43991176399999</v>
      </c>
      <c r="HA24" s="826">
        <v>-78.838987562553399</v>
      </c>
      <c r="HB24" s="826">
        <v>2.1517940815367202</v>
      </c>
      <c r="HC24" s="826">
        <v>-16.25179460687465</v>
      </c>
      <c r="HD24" s="826">
        <v>56.91746373575296</v>
      </c>
      <c r="HE24" s="826">
        <v>65.890911482999996</v>
      </c>
      <c r="HF24" s="826">
        <v>75.485155099999957</v>
      </c>
      <c r="HG24" s="826">
        <v>15.544252204999999</v>
      </c>
      <c r="HH24" s="826">
        <v>7.4597659999999966</v>
      </c>
      <c r="HI24" s="826">
        <v>132.29354480000001</v>
      </c>
      <c r="HJ24" s="826">
        <v>15.239883599999985</v>
      </c>
      <c r="HK24" s="826">
        <v>11.202997499999995</v>
      </c>
      <c r="HL24" s="826">
        <v>-168.16987499999999</v>
      </c>
      <c r="HM24" s="826">
        <v>-173.62180690495799</v>
      </c>
      <c r="HN24" s="826">
        <v>-135.0537467260009</v>
      </c>
      <c r="HO24" s="826">
        <v>-104.94763529599979</v>
      </c>
      <c r="HP24" s="826">
        <v>-165.40305743025863</v>
      </c>
      <c r="HQ24" s="826">
        <v>-133.71</v>
      </c>
      <c r="HR24" s="826">
        <v>-117.4089509870023</v>
      </c>
      <c r="HS24" s="826">
        <v>-255.95980338359601</v>
      </c>
      <c r="HT24" s="826">
        <v>-68.49778178861898</v>
      </c>
      <c r="HU24" s="826">
        <v>-3.6767979039998977</v>
      </c>
      <c r="HV24" s="826">
        <v>22.839970749999992</v>
      </c>
      <c r="HW24" s="826">
        <v>-48.38687938809656</v>
      </c>
      <c r="HX24" s="826">
        <v>-61.552245521599502</v>
      </c>
      <c r="HY24" s="826">
        <v>-49.738807890963329</v>
      </c>
      <c r="HZ24" s="826">
        <v>-196.52503000749999</v>
      </c>
      <c r="IA24" s="826">
        <v>-81.234111499999997</v>
      </c>
      <c r="IB24" s="826">
        <v>-55.436299999999996</v>
      </c>
      <c r="IC24" s="826">
        <v>-11.437799999999999</v>
      </c>
      <c r="ID24" s="826">
        <v>-14.91</v>
      </c>
      <c r="IE24" s="826">
        <v>136.57577554899999</v>
      </c>
      <c r="IF24" s="826">
        <v>117.94347531899999</v>
      </c>
      <c r="IG24" s="826">
        <v>171.20345663800026</v>
      </c>
      <c r="IH24" s="826">
        <v>267.08554201200002</v>
      </c>
      <c r="II24" s="826">
        <v>406.2097311</v>
      </c>
      <c r="IJ24" s="826">
        <v>-1445.805374</v>
      </c>
      <c r="IK24" s="826">
        <v>-1396.63558423623</v>
      </c>
      <c r="IL24" s="826">
        <v>-176.92303470713037</v>
      </c>
      <c r="IM24" s="826">
        <v>26.986210727785931</v>
      </c>
      <c r="IN24" s="826">
        <v>-101.13952815491217</v>
      </c>
      <c r="IO24" s="826">
        <v>-214.31834640591114</v>
      </c>
      <c r="IP24" s="826">
        <v>-187.92777793859966</v>
      </c>
      <c r="IQ24" s="826">
        <v>-1746.5664236639655</v>
      </c>
      <c r="IR24" s="826">
        <v>-2159.926077186326</v>
      </c>
    </row>
    <row r="25" spans="1:252" ht="12.75" x14ac:dyDescent="0.2">
      <c r="A25" s="824" t="s">
        <v>268</v>
      </c>
      <c r="B25" s="823"/>
      <c r="C25" s="823"/>
      <c r="D25" s="823">
        <v>0</v>
      </c>
      <c r="E25" s="823"/>
      <c r="F25" s="823">
        <v>0</v>
      </c>
      <c r="G25" s="823">
        <v>-1.1399999999999999</v>
      </c>
      <c r="H25" s="823">
        <v>0.04</v>
      </c>
      <c r="I25" s="823"/>
      <c r="J25" s="823"/>
      <c r="K25" s="823">
        <v>0</v>
      </c>
      <c r="L25" s="823">
        <v>0</v>
      </c>
      <c r="M25" s="823">
        <v>0</v>
      </c>
      <c r="N25" s="823">
        <v>0</v>
      </c>
      <c r="O25" s="823">
        <v>0</v>
      </c>
      <c r="P25" s="823"/>
      <c r="Q25" s="823"/>
      <c r="R25" s="823">
        <v>82.3249</v>
      </c>
      <c r="S25" s="823"/>
      <c r="T25" s="823">
        <v>0</v>
      </c>
      <c r="U25" s="823"/>
      <c r="V25" s="823"/>
      <c r="W25" s="823"/>
      <c r="X25" s="823"/>
      <c r="Y25" s="823">
        <v>0</v>
      </c>
      <c r="Z25" s="823">
        <v>0</v>
      </c>
      <c r="AA25" s="823">
        <v>0</v>
      </c>
      <c r="AB25" s="823">
        <v>0</v>
      </c>
      <c r="AC25" s="823"/>
      <c r="AD25" s="823"/>
      <c r="AE25" s="823"/>
      <c r="AF25" s="823">
        <v>82.3249</v>
      </c>
      <c r="AG25" s="823">
        <v>0</v>
      </c>
      <c r="AH25" s="823">
        <v>0</v>
      </c>
      <c r="AI25" s="823">
        <v>-1.1399999999999999</v>
      </c>
      <c r="AJ25" s="823">
        <v>0.04</v>
      </c>
      <c r="AK25" s="823">
        <v>0</v>
      </c>
      <c r="AL25" s="823">
        <v>0</v>
      </c>
      <c r="AM25" s="823">
        <v>0</v>
      </c>
      <c r="AN25" s="823">
        <v>0</v>
      </c>
      <c r="AO25" s="823">
        <v>0</v>
      </c>
      <c r="AP25" s="823"/>
      <c r="AQ25" s="823"/>
      <c r="AR25" s="823">
        <v>0</v>
      </c>
      <c r="AS25" s="823">
        <v>0</v>
      </c>
      <c r="AT25" s="823">
        <v>0</v>
      </c>
      <c r="AU25" s="823">
        <v>0</v>
      </c>
      <c r="AV25" s="823">
        <v>0</v>
      </c>
      <c r="AW25" s="823"/>
      <c r="AX25" s="823"/>
      <c r="AY25" s="823">
        <v>0</v>
      </c>
      <c r="AZ25" s="823">
        <v>0</v>
      </c>
      <c r="BA25" s="823">
        <v>0</v>
      </c>
      <c r="BB25" s="823">
        <v>0</v>
      </c>
      <c r="BC25" s="823"/>
      <c r="BD25" s="823"/>
      <c r="BE25" s="823">
        <v>0</v>
      </c>
      <c r="BF25" s="823">
        <v>0</v>
      </c>
      <c r="BG25" s="823">
        <v>0</v>
      </c>
      <c r="BH25" s="823">
        <v>0</v>
      </c>
      <c r="BI25" s="823">
        <v>0</v>
      </c>
      <c r="BJ25" s="823">
        <v>0</v>
      </c>
      <c r="BK25" s="823">
        <v>0</v>
      </c>
      <c r="BL25" s="823">
        <v>0</v>
      </c>
      <c r="BM25" s="823">
        <v>0</v>
      </c>
      <c r="BN25" s="823">
        <v>0</v>
      </c>
      <c r="BO25" s="823"/>
      <c r="BP25" s="823"/>
      <c r="BQ25" s="823">
        <v>0</v>
      </c>
      <c r="BR25" s="823">
        <v>0</v>
      </c>
      <c r="BS25" s="823">
        <v>0</v>
      </c>
      <c r="BT25" s="823">
        <v>0</v>
      </c>
      <c r="BU25" s="823">
        <v>0</v>
      </c>
      <c r="BV25" s="823">
        <v>0</v>
      </c>
      <c r="BW25" s="823">
        <v>0</v>
      </c>
      <c r="BX25" s="823">
        <v>0</v>
      </c>
      <c r="BY25" s="823">
        <v>0</v>
      </c>
      <c r="BZ25" s="823">
        <v>0</v>
      </c>
      <c r="CA25" s="823"/>
      <c r="CB25" s="823"/>
      <c r="CC25" s="823">
        <v>0</v>
      </c>
      <c r="CD25" s="823">
        <v>0</v>
      </c>
      <c r="CE25" s="823">
        <v>0</v>
      </c>
      <c r="CF25" s="823">
        <v>0</v>
      </c>
      <c r="CG25" s="823">
        <v>0</v>
      </c>
      <c r="CH25" s="823"/>
      <c r="CI25" s="823"/>
      <c r="CJ25" s="823">
        <v>0</v>
      </c>
      <c r="CK25" s="823">
        <v>0</v>
      </c>
      <c r="CL25" s="823">
        <v>0</v>
      </c>
      <c r="CM25" s="823">
        <v>0</v>
      </c>
      <c r="CN25" s="823"/>
      <c r="CO25" s="823"/>
      <c r="CP25" s="823"/>
      <c r="CQ25" s="823">
        <v>0</v>
      </c>
      <c r="CR25" s="823">
        <v>0</v>
      </c>
      <c r="CS25" s="823">
        <v>0</v>
      </c>
      <c r="CT25" s="823">
        <v>0</v>
      </c>
      <c r="CU25" s="823">
        <v>0</v>
      </c>
      <c r="CV25" s="823"/>
      <c r="CW25" s="823"/>
      <c r="CX25" s="823">
        <v>0</v>
      </c>
      <c r="CY25" s="823">
        <v>0</v>
      </c>
      <c r="CZ25" s="823">
        <v>0</v>
      </c>
      <c r="DA25" s="823">
        <v>0</v>
      </c>
      <c r="DB25" s="823">
        <v>0</v>
      </c>
      <c r="DC25" s="823"/>
      <c r="DD25" s="823"/>
      <c r="DE25" s="823">
        <v>0</v>
      </c>
      <c r="DF25" s="823">
        <v>0</v>
      </c>
      <c r="DG25" s="823">
        <v>0</v>
      </c>
      <c r="DH25" s="823">
        <v>0</v>
      </c>
      <c r="DI25" s="823">
        <v>0</v>
      </c>
      <c r="DJ25" s="823"/>
      <c r="DK25" s="823"/>
      <c r="DL25" s="823">
        <v>0</v>
      </c>
      <c r="DM25" s="823">
        <v>0</v>
      </c>
      <c r="DN25" s="823">
        <v>0</v>
      </c>
      <c r="DO25" s="823">
        <v>0</v>
      </c>
      <c r="DP25" s="823">
        <v>0</v>
      </c>
      <c r="DQ25" s="823">
        <v>0</v>
      </c>
      <c r="DR25" s="823">
        <v>0</v>
      </c>
      <c r="DS25" s="823">
        <v>0</v>
      </c>
      <c r="DT25" s="823">
        <v>0</v>
      </c>
      <c r="DU25" s="823"/>
      <c r="DV25" s="823"/>
      <c r="DW25" s="823"/>
      <c r="DX25" s="823">
        <v>0</v>
      </c>
      <c r="DY25" s="823">
        <v>0</v>
      </c>
      <c r="DZ25" s="823">
        <v>0</v>
      </c>
      <c r="EA25" s="823">
        <v>0</v>
      </c>
      <c r="EB25" s="823">
        <v>0</v>
      </c>
      <c r="EC25" s="823"/>
      <c r="ED25" s="823"/>
      <c r="EE25" s="823">
        <v>0</v>
      </c>
      <c r="EF25" s="823">
        <v>0</v>
      </c>
      <c r="EG25" s="823">
        <v>0</v>
      </c>
      <c r="EH25" s="823">
        <v>0</v>
      </c>
      <c r="EI25" s="823">
        <v>0</v>
      </c>
      <c r="EJ25" s="823"/>
      <c r="EK25" s="823"/>
      <c r="EL25" s="823">
        <v>0</v>
      </c>
      <c r="EM25" s="823">
        <v>0</v>
      </c>
      <c r="EN25" s="823">
        <v>0</v>
      </c>
      <c r="EO25" s="823">
        <v>0</v>
      </c>
      <c r="EP25" s="823">
        <v>0</v>
      </c>
      <c r="EQ25" s="823"/>
      <c r="ER25" s="823"/>
      <c r="ES25" s="823">
        <v>0</v>
      </c>
      <c r="ET25" s="823">
        <v>0</v>
      </c>
      <c r="EU25" s="823">
        <v>0</v>
      </c>
      <c r="EV25" s="823">
        <v>0</v>
      </c>
      <c r="EW25" s="823">
        <v>0</v>
      </c>
      <c r="EX25" s="823"/>
      <c r="EY25" s="823"/>
      <c r="EZ25" s="823">
        <v>0</v>
      </c>
      <c r="FA25" s="823">
        <v>0</v>
      </c>
      <c r="FB25" s="823">
        <v>0</v>
      </c>
      <c r="FC25" s="823">
        <v>0</v>
      </c>
      <c r="FD25" s="823"/>
      <c r="FE25" s="823"/>
      <c r="FF25" s="823"/>
      <c r="FG25" s="823">
        <v>0</v>
      </c>
      <c r="FH25" s="823">
        <v>0</v>
      </c>
      <c r="FI25" s="823">
        <v>0</v>
      </c>
      <c r="FJ25" s="823">
        <v>0</v>
      </c>
      <c r="FK25" s="823">
        <v>0</v>
      </c>
      <c r="FL25" s="823"/>
      <c r="FM25" s="823"/>
      <c r="FN25" s="823">
        <v>0</v>
      </c>
      <c r="FO25" s="823">
        <v>0</v>
      </c>
      <c r="FP25" s="823">
        <v>0</v>
      </c>
      <c r="FQ25" s="823">
        <v>0</v>
      </c>
      <c r="FR25" s="823">
        <v>0</v>
      </c>
      <c r="FS25" s="823">
        <v>0</v>
      </c>
      <c r="FT25" s="823">
        <v>0</v>
      </c>
      <c r="FU25" s="823">
        <v>0</v>
      </c>
      <c r="FV25" s="823">
        <v>0</v>
      </c>
      <c r="FW25" s="823">
        <v>0</v>
      </c>
      <c r="FX25" s="823">
        <v>0</v>
      </c>
      <c r="FY25" s="823">
        <v>0</v>
      </c>
      <c r="FZ25" s="823">
        <v>0</v>
      </c>
      <c r="GA25" s="823">
        <v>0</v>
      </c>
      <c r="GB25" s="823">
        <v>0</v>
      </c>
      <c r="GC25" s="823">
        <v>0</v>
      </c>
      <c r="GD25" s="823">
        <v>0</v>
      </c>
      <c r="GE25" s="823">
        <v>0</v>
      </c>
      <c r="GF25" s="823">
        <v>0</v>
      </c>
      <c r="GG25" s="823"/>
      <c r="GH25" s="823"/>
      <c r="GI25" s="823">
        <v>0.494645</v>
      </c>
      <c r="GJ25" s="823">
        <v>1.1929297000000001</v>
      </c>
      <c r="GK25" s="823">
        <v>4.7233700000000003E-2</v>
      </c>
      <c r="GL25" s="823">
        <v>5.45</v>
      </c>
      <c r="GM25" s="823">
        <v>29.845551</v>
      </c>
      <c r="GN25" s="823">
        <v>0</v>
      </c>
      <c r="GO25" s="823">
        <v>0</v>
      </c>
      <c r="GP25" s="823">
        <v>0.494645</v>
      </c>
      <c r="GQ25" s="823">
        <v>1.1929297000000001</v>
      </c>
      <c r="GR25" s="823">
        <v>4.7233700000000003E-2</v>
      </c>
      <c r="GS25" s="823">
        <v>5.45</v>
      </c>
      <c r="GT25" s="823">
        <v>29.845551</v>
      </c>
      <c r="GU25" s="823">
        <v>0</v>
      </c>
      <c r="GV25" s="823">
        <v>0</v>
      </c>
      <c r="GW25" s="823">
        <v>0</v>
      </c>
      <c r="GX25" s="823">
        <v>0</v>
      </c>
      <c r="GY25" s="823">
        <v>0</v>
      </c>
      <c r="GZ25" s="823">
        <v>0</v>
      </c>
      <c r="HA25" s="823">
        <v>0</v>
      </c>
      <c r="HB25" s="823">
        <v>0</v>
      </c>
      <c r="HC25" s="823">
        <v>0</v>
      </c>
      <c r="HD25" s="823">
        <v>0</v>
      </c>
      <c r="HE25" s="823">
        <v>0</v>
      </c>
      <c r="HF25" s="823">
        <v>0</v>
      </c>
      <c r="HG25" s="823">
        <v>0</v>
      </c>
      <c r="HH25" s="823">
        <v>0</v>
      </c>
      <c r="HI25" s="823">
        <v>0</v>
      </c>
      <c r="HJ25" s="823">
        <v>0</v>
      </c>
      <c r="HK25" s="823">
        <v>0</v>
      </c>
      <c r="HL25" s="823">
        <v>0</v>
      </c>
      <c r="HM25" s="823">
        <v>0</v>
      </c>
      <c r="HN25" s="823">
        <v>0</v>
      </c>
      <c r="HO25" s="823">
        <v>0</v>
      </c>
      <c r="HP25" s="823">
        <v>0</v>
      </c>
      <c r="HQ25" s="823">
        <v>0</v>
      </c>
      <c r="HR25" s="823">
        <v>0</v>
      </c>
      <c r="HS25" s="823">
        <v>0</v>
      </c>
      <c r="HT25" s="823">
        <v>0</v>
      </c>
      <c r="HU25" s="823">
        <v>0</v>
      </c>
      <c r="HV25" s="823">
        <v>0</v>
      </c>
      <c r="HW25" s="823">
        <v>0</v>
      </c>
      <c r="HX25" s="823">
        <v>0</v>
      </c>
      <c r="HY25" s="823">
        <v>0</v>
      </c>
      <c r="HZ25" s="823">
        <v>0</v>
      </c>
      <c r="IA25" s="823">
        <v>0</v>
      </c>
      <c r="IB25" s="823">
        <v>0</v>
      </c>
      <c r="IC25" s="823">
        <v>0</v>
      </c>
      <c r="ID25" s="823">
        <v>0</v>
      </c>
      <c r="IE25" s="823">
        <v>0</v>
      </c>
      <c r="IF25" s="823">
        <v>0</v>
      </c>
      <c r="IG25" s="823">
        <v>0</v>
      </c>
      <c r="IH25" s="823">
        <v>0</v>
      </c>
      <c r="II25" s="823">
        <v>0</v>
      </c>
      <c r="IJ25" s="823">
        <v>0</v>
      </c>
      <c r="IK25" s="823">
        <v>0</v>
      </c>
      <c r="IL25" s="823">
        <v>0</v>
      </c>
      <c r="IM25" s="823">
        <v>0</v>
      </c>
      <c r="IN25" s="823">
        <v>0</v>
      </c>
      <c r="IO25" s="823">
        <v>0</v>
      </c>
      <c r="IP25" s="823">
        <v>0</v>
      </c>
      <c r="IQ25" s="823">
        <v>0</v>
      </c>
      <c r="IR25" s="823">
        <v>0</v>
      </c>
    </row>
    <row r="26" spans="1:252" ht="12.75" x14ac:dyDescent="0.2">
      <c r="A26" s="824" t="s">
        <v>269</v>
      </c>
      <c r="B26" s="823">
        <v>1.2702187</v>
      </c>
      <c r="C26" s="823">
        <v>3.3662000000000001</v>
      </c>
      <c r="D26" s="823">
        <v>-11.738200000000001</v>
      </c>
      <c r="E26" s="823">
        <v>-0.16</v>
      </c>
      <c r="F26" s="823">
        <v>0</v>
      </c>
      <c r="G26" s="823">
        <v>0</v>
      </c>
      <c r="H26" s="823"/>
      <c r="I26" s="823">
        <v>76.866106807999998</v>
      </c>
      <c r="J26" s="823">
        <v>155.925400078</v>
      </c>
      <c r="K26" s="823">
        <v>524.13778060699997</v>
      </c>
      <c r="L26" s="823">
        <v>65.080514254999997</v>
      </c>
      <c r="M26" s="823">
        <v>221.07387055500001</v>
      </c>
      <c r="N26" s="823">
        <v>432.02597178899998</v>
      </c>
      <c r="O26" s="823">
        <v>-4.3606919519999998</v>
      </c>
      <c r="P26" s="823">
        <v>-110.5812553</v>
      </c>
      <c r="Q26" s="823">
        <v>-296.32573660000003</v>
      </c>
      <c r="R26" s="823">
        <v>-127.60509999999999</v>
      </c>
      <c r="S26" s="823">
        <v>-135.32969990000001</v>
      </c>
      <c r="T26" s="823">
        <v>25.411999999999999</v>
      </c>
      <c r="U26" s="823">
        <v>13.39</v>
      </c>
      <c r="V26" s="823">
        <v>-31.7082455</v>
      </c>
      <c r="W26" s="823">
        <v>35.289499999999997</v>
      </c>
      <c r="X26" s="823">
        <v>0.88049999999999995</v>
      </c>
      <c r="Y26" s="823">
        <v>225.3</v>
      </c>
      <c r="Z26" s="823">
        <v>0</v>
      </c>
      <c r="AA26" s="823">
        <v>0.13619999999999999</v>
      </c>
      <c r="AB26" s="823">
        <v>0</v>
      </c>
      <c r="AC26" s="823"/>
      <c r="AD26" s="823">
        <v>2.8445702080000004</v>
      </c>
      <c r="AE26" s="823">
        <v>-136.15363652200003</v>
      </c>
      <c r="AF26" s="823">
        <v>610.09448060699992</v>
      </c>
      <c r="AG26" s="823">
        <v>-70.409185645000008</v>
      </c>
      <c r="AH26" s="823">
        <v>246.62207055500002</v>
      </c>
      <c r="AI26" s="823">
        <v>445.41597178899997</v>
      </c>
      <c r="AJ26" s="823">
        <v>-36.068937452</v>
      </c>
      <c r="AK26" s="823">
        <v>0</v>
      </c>
      <c r="AL26" s="823">
        <v>0</v>
      </c>
      <c r="AM26" s="823"/>
      <c r="AN26" s="823">
        <v>0</v>
      </c>
      <c r="AO26" s="823">
        <v>0</v>
      </c>
      <c r="AP26" s="823">
        <v>207.243267</v>
      </c>
      <c r="AQ26" s="823">
        <v>350.2794518</v>
      </c>
      <c r="AR26" s="823">
        <v>431.6721</v>
      </c>
      <c r="AS26" s="823">
        <v>371.65809999999999</v>
      </c>
      <c r="AT26" s="823">
        <v>377.17380000000003</v>
      </c>
      <c r="AU26" s="823">
        <v>439.21409999999997</v>
      </c>
      <c r="AV26" s="823">
        <v>453.96600000000001</v>
      </c>
      <c r="AW26" s="823">
        <v>0.11998259999999999</v>
      </c>
      <c r="AX26" s="823">
        <v>0</v>
      </c>
      <c r="AY26" s="823">
        <v>0</v>
      </c>
      <c r="AZ26" s="823">
        <v>0</v>
      </c>
      <c r="BA26" s="823">
        <v>0</v>
      </c>
      <c r="BB26" s="823">
        <v>0</v>
      </c>
      <c r="BC26" s="823">
        <v>65.149799999999999</v>
      </c>
      <c r="BD26" s="823">
        <v>88.923282200000003</v>
      </c>
      <c r="BE26" s="823">
        <v>104.0098</v>
      </c>
      <c r="BF26" s="823">
        <v>71.651370299999996</v>
      </c>
      <c r="BG26" s="823">
        <v>105.1600308</v>
      </c>
      <c r="BH26" s="823">
        <v>93.111830800000007</v>
      </c>
      <c r="BI26" s="823">
        <v>29.006799999999998</v>
      </c>
      <c r="BJ26" s="823">
        <v>0</v>
      </c>
      <c r="BK26" s="823">
        <v>0</v>
      </c>
      <c r="BL26" s="823">
        <v>1.36069E-2</v>
      </c>
      <c r="BM26" s="823">
        <v>0</v>
      </c>
      <c r="BN26" s="823">
        <v>0</v>
      </c>
      <c r="BO26" s="823">
        <v>0</v>
      </c>
      <c r="BP26" s="823">
        <v>0</v>
      </c>
      <c r="BQ26" s="823">
        <v>0</v>
      </c>
      <c r="BR26" s="823">
        <v>-15.2330664</v>
      </c>
      <c r="BS26" s="823">
        <v>73.402210812700005</v>
      </c>
      <c r="BT26" s="823">
        <v>46.461197800000001</v>
      </c>
      <c r="BU26" s="823">
        <v>41.609089300000001</v>
      </c>
      <c r="BV26" s="823">
        <v>0.20610000000000001</v>
      </c>
      <c r="BW26" s="823">
        <v>-0.23020119999999999</v>
      </c>
      <c r="BX26" s="823">
        <v>0</v>
      </c>
      <c r="BY26" s="823">
        <v>0</v>
      </c>
      <c r="BZ26" s="823">
        <v>0</v>
      </c>
      <c r="CA26" s="823">
        <v>0</v>
      </c>
      <c r="CB26" s="823">
        <v>-3.0070000000000001</v>
      </c>
      <c r="CC26" s="823">
        <v>109.5624</v>
      </c>
      <c r="CD26" s="823">
        <v>84.24199999999999</v>
      </c>
      <c r="CE26" s="823">
        <v>164.08439999999999</v>
      </c>
      <c r="CF26" s="823">
        <v>200.12</v>
      </c>
      <c r="CG26" s="823">
        <v>167.63790760200001</v>
      </c>
      <c r="CH26" s="823">
        <v>200.24610240000001</v>
      </c>
      <c r="CI26" s="823">
        <v>208.2175733</v>
      </c>
      <c r="CJ26" s="823">
        <v>334.45742039999999</v>
      </c>
      <c r="CK26" s="823">
        <v>549.15384129999995</v>
      </c>
      <c r="CL26" s="823">
        <v>503.12962979999998</v>
      </c>
      <c r="CM26" s="823">
        <v>480.89862490000002</v>
      </c>
      <c r="CN26" s="823">
        <v>412.51</v>
      </c>
      <c r="CO26" s="823">
        <v>72.846177699999998</v>
      </c>
      <c r="CP26" s="823">
        <v>192.7322149</v>
      </c>
      <c r="CQ26" s="823">
        <v>68.494603499999997</v>
      </c>
      <c r="CR26" s="823">
        <v>56.617025699999999</v>
      </c>
      <c r="CS26" s="823">
        <v>63.055300000000003</v>
      </c>
      <c r="CT26" s="823">
        <v>91.575962599999997</v>
      </c>
      <c r="CU26" s="823">
        <v>6.8484471999999998</v>
      </c>
      <c r="CV26" s="823">
        <v>0</v>
      </c>
      <c r="CW26" s="823">
        <v>0</v>
      </c>
      <c r="CX26" s="823">
        <v>0</v>
      </c>
      <c r="CY26" s="823">
        <v>0</v>
      </c>
      <c r="CZ26" s="823">
        <v>0</v>
      </c>
      <c r="DA26" s="823">
        <v>0</v>
      </c>
      <c r="DB26" s="823">
        <v>0</v>
      </c>
      <c r="DC26" s="823">
        <v>0</v>
      </c>
      <c r="DD26" s="823">
        <v>0</v>
      </c>
      <c r="DE26" s="823">
        <v>0</v>
      </c>
      <c r="DF26" s="823">
        <v>0</v>
      </c>
      <c r="DG26" s="823">
        <v>0</v>
      </c>
      <c r="DH26" s="823">
        <v>0</v>
      </c>
      <c r="DI26" s="823">
        <v>0</v>
      </c>
      <c r="DJ26" s="823">
        <v>5.2706999999999997</v>
      </c>
      <c r="DK26" s="823">
        <v>0.86699999999999999</v>
      </c>
      <c r="DL26" s="823">
        <v>1.1578999999999999</v>
      </c>
      <c r="DM26" s="823">
        <v>-9.6388909999999992</v>
      </c>
      <c r="DN26" s="823">
        <v>7.7518503000000001</v>
      </c>
      <c r="DO26" s="823">
        <v>6.2492999999999999</v>
      </c>
      <c r="DP26" s="823">
        <v>-4.2970094999999997</v>
      </c>
      <c r="DQ26" s="823">
        <v>0</v>
      </c>
      <c r="DR26" s="823">
        <v>0</v>
      </c>
      <c r="DS26" s="823">
        <v>0</v>
      </c>
      <c r="DT26" s="823">
        <v>0</v>
      </c>
      <c r="DU26" s="823"/>
      <c r="DV26" s="823">
        <v>4.1300553999999998</v>
      </c>
      <c r="DW26" s="823">
        <v>1.2494788999999999</v>
      </c>
      <c r="DX26" s="823">
        <v>0.60020300000000004</v>
      </c>
      <c r="DY26" s="823">
        <v>-1.5503342</v>
      </c>
      <c r="DZ26" s="823">
        <v>-3.3596837000000002</v>
      </c>
      <c r="EA26" s="823">
        <v>-0.51756539999999995</v>
      </c>
      <c r="EB26" s="823">
        <v>-0.1025515</v>
      </c>
      <c r="EC26" s="823">
        <v>0</v>
      </c>
      <c r="ED26" s="823">
        <v>0</v>
      </c>
      <c r="EE26" s="823">
        <v>0</v>
      </c>
      <c r="EF26" s="823">
        <v>0</v>
      </c>
      <c r="EG26" s="823">
        <v>40.021203399999997</v>
      </c>
      <c r="EH26" s="823">
        <v>114.42549820000001</v>
      </c>
      <c r="EI26" s="823">
        <v>138.55010448799999</v>
      </c>
      <c r="EJ26" s="823">
        <v>9.4519278</v>
      </c>
      <c r="EK26" s="823">
        <v>19.740862100000001</v>
      </c>
      <c r="EL26" s="823">
        <v>42.725211799999997</v>
      </c>
      <c r="EM26" s="823">
        <v>60.809415600000001</v>
      </c>
      <c r="EN26" s="823">
        <v>16.750845600000002</v>
      </c>
      <c r="EO26" s="823">
        <v>52.923533200000001</v>
      </c>
      <c r="EP26" s="823">
        <v>44.231079700000002</v>
      </c>
      <c r="EQ26" s="823">
        <v>0</v>
      </c>
      <c r="ER26" s="823">
        <v>0</v>
      </c>
      <c r="ES26" s="823">
        <v>26.694541600000001</v>
      </c>
      <c r="ET26" s="823">
        <v>135.8015001</v>
      </c>
      <c r="EU26" s="823">
        <v>152.64480900000001</v>
      </c>
      <c r="EV26" s="823">
        <v>174.3288</v>
      </c>
      <c r="EW26" s="823">
        <v>46.7423</v>
      </c>
      <c r="EX26" s="823">
        <v>101.6230382</v>
      </c>
      <c r="EY26" s="823">
        <v>87.743946100000002</v>
      </c>
      <c r="EZ26" s="823">
        <v>173.27592490000001</v>
      </c>
      <c r="FA26" s="823">
        <v>337.25882849999999</v>
      </c>
      <c r="FB26" s="823">
        <v>259.77650920000002</v>
      </c>
      <c r="FC26" s="823">
        <v>177.6326109</v>
      </c>
      <c r="FD26" s="823">
        <v>215.55</v>
      </c>
      <c r="FE26" s="823">
        <v>8.4476674999999997</v>
      </c>
      <c r="FF26" s="823">
        <v>0</v>
      </c>
      <c r="FG26" s="823">
        <v>47.663644499999997</v>
      </c>
      <c r="FH26" s="823">
        <v>22.025587300000002</v>
      </c>
      <c r="FI26" s="823">
        <v>121.607072</v>
      </c>
      <c r="FJ26" s="823">
        <v>141.98767620000001</v>
      </c>
      <c r="FK26" s="823">
        <v>152.66550659999999</v>
      </c>
      <c r="FL26" s="823">
        <v>-1.6270917</v>
      </c>
      <c r="FM26" s="823">
        <v>1.4588897000000001</v>
      </c>
      <c r="FN26" s="823">
        <v>133.01692890000001</v>
      </c>
      <c r="FO26" s="823">
        <v>71.167718699999995</v>
      </c>
      <c r="FP26" s="823">
        <v>48.057965699999997</v>
      </c>
      <c r="FQ26" s="823">
        <v>21.363894899999998</v>
      </c>
      <c r="FR26" s="823">
        <v>24.685275000000001</v>
      </c>
      <c r="FS26" s="823">
        <v>672.90162689999988</v>
      </c>
      <c r="FT26" s="823">
        <v>948.20569899999998</v>
      </c>
      <c r="FU26" s="823">
        <v>1473.5367786000002</v>
      </c>
      <c r="FV26" s="823">
        <v>1733.7328946999996</v>
      </c>
      <c r="FW26" s="823">
        <v>1929.2695498127</v>
      </c>
      <c r="FX26" s="823">
        <v>2039.7754641000001</v>
      </c>
      <c r="FY26" s="823">
        <v>1729.6029488900001</v>
      </c>
      <c r="FZ26" s="823">
        <v>156.69489999999999</v>
      </c>
      <c r="GA26" s="823">
        <v>163.31450000000001</v>
      </c>
      <c r="GB26" s="823">
        <v>284.17730322900002</v>
      </c>
      <c r="GC26" s="823">
        <v>214.56785249999999</v>
      </c>
      <c r="GD26" s="823">
        <v>76.907918800000004</v>
      </c>
      <c r="GE26" s="823">
        <v>256.61360810000002</v>
      </c>
      <c r="GF26" s="823">
        <v>186.03471579999999</v>
      </c>
      <c r="GG26" s="823">
        <v>111.1331248</v>
      </c>
      <c r="GH26" s="823">
        <v>125.35005529999999</v>
      </c>
      <c r="GI26" s="823">
        <v>55.005116000000001</v>
      </c>
      <c r="GJ26" s="823">
        <v>68.8123468</v>
      </c>
      <c r="GK26" s="823">
        <v>76.131946499999998</v>
      </c>
      <c r="GL26" s="823">
        <v>122.3433</v>
      </c>
      <c r="GM26" s="823">
        <v>255.85680600000001</v>
      </c>
      <c r="GN26" s="823">
        <v>267.82802479999998</v>
      </c>
      <c r="GO26" s="823">
        <v>288.66455530000002</v>
      </c>
      <c r="GP26" s="823">
        <v>339.182419229</v>
      </c>
      <c r="GQ26" s="823">
        <v>283.38019929999996</v>
      </c>
      <c r="GR26" s="823">
        <v>153.0398653</v>
      </c>
      <c r="GS26" s="823">
        <v>378.95690810000002</v>
      </c>
      <c r="GT26" s="823">
        <v>441.89152179999996</v>
      </c>
      <c r="GU26" s="823">
        <v>0</v>
      </c>
      <c r="GV26" s="823">
        <v>0</v>
      </c>
      <c r="GW26" s="823">
        <v>0</v>
      </c>
      <c r="GX26" s="823">
        <v>0</v>
      </c>
      <c r="GY26" s="823">
        <v>0</v>
      </c>
      <c r="GZ26" s="823">
        <v>0</v>
      </c>
      <c r="HA26" s="823">
        <v>0</v>
      </c>
      <c r="HB26" s="823">
        <v>0</v>
      </c>
      <c r="HC26" s="823">
        <v>0</v>
      </c>
      <c r="HD26" s="823">
        <v>0</v>
      </c>
      <c r="HE26" s="823">
        <v>0.23665739999999999</v>
      </c>
      <c r="HF26" s="823">
        <v>-26.743887300000001</v>
      </c>
      <c r="HG26" s="823">
        <v>4.0515461000000004</v>
      </c>
      <c r="HH26" s="823">
        <v>0</v>
      </c>
      <c r="HI26" s="823">
        <v>0</v>
      </c>
      <c r="HJ26" s="823">
        <v>0</v>
      </c>
      <c r="HK26" s="823">
        <v>0</v>
      </c>
      <c r="HL26" s="823">
        <v>0</v>
      </c>
      <c r="HM26" s="823">
        <v>0</v>
      </c>
      <c r="HN26" s="823">
        <v>0</v>
      </c>
      <c r="HO26" s="823">
        <v>0</v>
      </c>
      <c r="HP26" s="823">
        <v>0</v>
      </c>
      <c r="HQ26" s="823">
        <v>0</v>
      </c>
      <c r="HR26" s="823">
        <v>0</v>
      </c>
      <c r="HS26" s="823">
        <v>0</v>
      </c>
      <c r="HT26" s="823">
        <v>0</v>
      </c>
      <c r="HU26" s="823">
        <v>0</v>
      </c>
      <c r="HV26" s="823">
        <v>0</v>
      </c>
      <c r="HW26" s="823">
        <v>0</v>
      </c>
      <c r="HX26" s="823">
        <v>0</v>
      </c>
      <c r="HY26" s="823">
        <v>0</v>
      </c>
      <c r="HZ26" s="823">
        <v>0</v>
      </c>
      <c r="IA26" s="823">
        <v>1.28326E-2</v>
      </c>
      <c r="IB26" s="823">
        <v>-1E-4</v>
      </c>
      <c r="IC26" s="823">
        <v>-1E-4</v>
      </c>
      <c r="ID26" s="823">
        <v>0</v>
      </c>
      <c r="IE26" s="823">
        <v>0</v>
      </c>
      <c r="IF26" s="823">
        <v>0</v>
      </c>
      <c r="IG26" s="823">
        <v>1.0486949999999999</v>
      </c>
      <c r="IH26" s="823">
        <v>83.668318315999997</v>
      </c>
      <c r="II26" s="823">
        <v>142.90202930000001</v>
      </c>
      <c r="IJ26" s="823">
        <v>-360.09184310000001</v>
      </c>
      <c r="IK26" s="823">
        <v>-355.966899438609</v>
      </c>
      <c r="IL26" s="823">
        <v>0</v>
      </c>
      <c r="IM26" s="823">
        <v>0</v>
      </c>
      <c r="IN26" s="823">
        <v>1.0486949999999999</v>
      </c>
      <c r="IO26" s="823">
        <v>83.681150915999993</v>
      </c>
      <c r="IP26" s="823">
        <v>143.13858670000002</v>
      </c>
      <c r="IQ26" s="823">
        <v>-386.83583040000002</v>
      </c>
      <c r="IR26" s="823">
        <v>-351.91535333860901</v>
      </c>
    </row>
    <row r="27" spans="1:252" ht="12.75" x14ac:dyDescent="0.2">
      <c r="A27" s="824" t="s">
        <v>270</v>
      </c>
      <c r="B27" s="826">
        <v>149.22898210000002</v>
      </c>
      <c r="C27" s="826">
        <v>45.837700000000034</v>
      </c>
      <c r="D27" s="826">
        <v>-2170.7659457956224</v>
      </c>
      <c r="E27" s="826">
        <v>-1696.1166999999994</v>
      </c>
      <c r="F27" s="826">
        <v>-4108.3359</v>
      </c>
      <c r="G27" s="826">
        <v>-561.85</v>
      </c>
      <c r="H27" s="826">
        <v>-1674.71</v>
      </c>
      <c r="I27" s="826">
        <v>828.69205247200057</v>
      </c>
      <c r="J27" s="826">
        <v>1007.9315246010015</v>
      </c>
      <c r="K27" s="826">
        <v>2200.9198947820128</v>
      </c>
      <c r="L27" s="826">
        <v>579.78779567900335</v>
      </c>
      <c r="M27" s="826">
        <v>1417.7523343440043</v>
      </c>
      <c r="N27" s="826">
        <v>1604.6907696085605</v>
      </c>
      <c r="O27" s="826">
        <v>164.271062994917</v>
      </c>
      <c r="P27" s="826">
        <v>300.49141559999998</v>
      </c>
      <c r="Q27" s="826">
        <v>-1691.0996545</v>
      </c>
      <c r="R27" s="826">
        <v>1509.891699999999</v>
      </c>
      <c r="S27" s="826">
        <v>-293.66079009999999</v>
      </c>
      <c r="T27" s="826">
        <v>-1524.1084000000003</v>
      </c>
      <c r="U27" s="826">
        <v>-1525.4430000000002</v>
      </c>
      <c r="V27" s="826">
        <v>-3115.1606373999998</v>
      </c>
      <c r="W27" s="826">
        <v>220.59260000000003</v>
      </c>
      <c r="X27" s="826">
        <v>-1913.5339999999997</v>
      </c>
      <c r="Y27" s="826">
        <v>1002.6583999999993</v>
      </c>
      <c r="Z27" s="826">
        <v>-1877.9106535000001</v>
      </c>
      <c r="AA27" s="826">
        <v>-1485.8509999999999</v>
      </c>
      <c r="AB27" s="826">
        <v>-984.69000000000199</v>
      </c>
      <c r="AC27" s="826">
        <v>-2135.56</v>
      </c>
      <c r="AD27" s="826">
        <v>1499.0050501720007</v>
      </c>
      <c r="AE27" s="826">
        <v>-2550.8644298989984</v>
      </c>
      <c r="AF27" s="826">
        <v>2542.7040489863884</v>
      </c>
      <c r="AG27" s="826">
        <v>-3287.9003479209955</v>
      </c>
      <c r="AH27" s="826">
        <v>-5700.5429656559963</v>
      </c>
      <c r="AI27" s="826">
        <v>-1467.2922303914415</v>
      </c>
      <c r="AJ27" s="826">
        <v>-6761.1595744050801</v>
      </c>
      <c r="AK27" s="826">
        <v>-11.8004</v>
      </c>
      <c r="AL27" s="826">
        <v>-134.371453423622</v>
      </c>
      <c r="AM27" s="826">
        <v>-187.78840749687683</v>
      </c>
      <c r="AN27" s="826">
        <v>-132.55244480000022</v>
      </c>
      <c r="AO27" s="826">
        <v>-382.38307746589101</v>
      </c>
      <c r="AP27" s="826">
        <v>564.22477705300003</v>
      </c>
      <c r="AQ27" s="826">
        <v>727.8382706998425</v>
      </c>
      <c r="AR27" s="826">
        <v>921.24120000000016</v>
      </c>
      <c r="AS27" s="826">
        <v>779.85830840000006</v>
      </c>
      <c r="AT27" s="826">
        <v>998.7769963999981</v>
      </c>
      <c r="AU27" s="826">
        <v>1330.0884297353516</v>
      </c>
      <c r="AV27" s="826">
        <v>1339.1278388353501</v>
      </c>
      <c r="AW27" s="826">
        <v>-204.35780679999999</v>
      </c>
      <c r="AX27" s="826">
        <v>-128.63368705953781</v>
      </c>
      <c r="AY27" s="826">
        <v>-92.630055628641855</v>
      </c>
      <c r="AZ27" s="826">
        <v>3.0406473326749222</v>
      </c>
      <c r="BA27" s="826">
        <v>-243.62708441384569</v>
      </c>
      <c r="BB27" s="826">
        <v>120.28680446879525</v>
      </c>
      <c r="BC27" s="826">
        <v>147.94681120000001</v>
      </c>
      <c r="BD27" s="826">
        <v>208.14582819999993</v>
      </c>
      <c r="BE27" s="826">
        <v>242.60588339999998</v>
      </c>
      <c r="BF27" s="826">
        <v>178.93731440000022</v>
      </c>
      <c r="BG27" s="826">
        <v>149.44247200000018</v>
      </c>
      <c r="BH27" s="826">
        <v>281.67182650009454</v>
      </c>
      <c r="BI27" s="826">
        <v>77.020250784076097</v>
      </c>
      <c r="BJ27" s="826">
        <v>-27.290507399999999</v>
      </c>
      <c r="BK27" s="826">
        <v>-57.642543707654404</v>
      </c>
      <c r="BL27" s="826">
        <v>-96.286765499999987</v>
      </c>
      <c r="BM27" s="826">
        <v>-96.618305200000009</v>
      </c>
      <c r="BN27" s="826">
        <v>-109.0859493</v>
      </c>
      <c r="BO27" s="826">
        <v>-5.2548059000000036</v>
      </c>
      <c r="BP27" s="826">
        <v>42.797246599999994</v>
      </c>
      <c r="BQ27" s="826">
        <v>78.627861600000003</v>
      </c>
      <c r="BR27" s="826">
        <v>117.81548479400001</v>
      </c>
      <c r="BS27" s="826">
        <v>99.596388687300006</v>
      </c>
      <c r="BT27" s="826">
        <v>134.24261074750001</v>
      </c>
      <c r="BU27" s="826">
        <v>119.3311797396</v>
      </c>
      <c r="BV27" s="826">
        <v>-70.128100000000003</v>
      </c>
      <c r="BW27" s="826">
        <v>-270.64368169999995</v>
      </c>
      <c r="BX27" s="826">
        <v>-175.24640000000002</v>
      </c>
      <c r="BY27" s="826">
        <v>-122.75945759599898</v>
      </c>
      <c r="BZ27" s="826">
        <v>-295.86027669999999</v>
      </c>
      <c r="CA27" s="826">
        <v>-102.01559120000002</v>
      </c>
      <c r="CB27" s="826">
        <v>124.40939999999998</v>
      </c>
      <c r="CC27" s="826">
        <v>403.70569999999998</v>
      </c>
      <c r="CD27" s="826">
        <v>382.99140000000011</v>
      </c>
      <c r="CE27" s="826">
        <v>447.70550000000003</v>
      </c>
      <c r="CF27" s="826">
        <v>591.64999999999986</v>
      </c>
      <c r="CG27" s="826">
        <v>500.13157741713201</v>
      </c>
      <c r="CH27" s="826">
        <v>507.44664699999987</v>
      </c>
      <c r="CI27" s="826">
        <v>701.88389769999992</v>
      </c>
      <c r="CJ27" s="826">
        <v>861.77574299999992</v>
      </c>
      <c r="CK27" s="826">
        <v>1049.2625994999999</v>
      </c>
      <c r="CL27" s="826">
        <v>1193.7617661000002</v>
      </c>
      <c r="CM27" s="826">
        <v>1473.0548483000002</v>
      </c>
      <c r="CN27" s="826">
        <v>1271.0002999999999</v>
      </c>
      <c r="CO27" s="826">
        <v>167.08834730000001</v>
      </c>
      <c r="CP27" s="826">
        <v>426.81776109999998</v>
      </c>
      <c r="CQ27" s="826">
        <v>189.28895060000002</v>
      </c>
      <c r="CR27" s="826">
        <v>178.62197479999998</v>
      </c>
      <c r="CS27" s="826">
        <v>204.69679999999994</v>
      </c>
      <c r="CT27" s="826">
        <v>319.45052539999995</v>
      </c>
      <c r="CU27" s="826">
        <v>58.354809000000003</v>
      </c>
      <c r="CV27" s="826">
        <v>-9.7291369999999997</v>
      </c>
      <c r="CW27" s="826">
        <v>-34.723526800000002</v>
      </c>
      <c r="CX27" s="826">
        <v>-32.549413999999992</v>
      </c>
      <c r="CY27" s="826">
        <v>-34.899463362057396</v>
      </c>
      <c r="CZ27" s="826">
        <v>-28.122976500000004</v>
      </c>
      <c r="DA27" s="826">
        <v>1.6306999999999992</v>
      </c>
      <c r="DB27" s="826">
        <v>-82.984699999646296</v>
      </c>
      <c r="DC27" s="826">
        <v>-171.19968331101617</v>
      </c>
      <c r="DD27" s="826">
        <v>-194.71772531880205</v>
      </c>
      <c r="DE27" s="826">
        <v>-153.64963024258282</v>
      </c>
      <c r="DF27" s="826">
        <v>-138.46526205123928</v>
      </c>
      <c r="DG27" s="826">
        <v>-109.60137189341106</v>
      </c>
      <c r="DH27" s="826">
        <v>50.46143905191002</v>
      </c>
      <c r="DI27" s="826">
        <v>33.791090248700101</v>
      </c>
      <c r="DJ27" s="826">
        <v>-11.852145</v>
      </c>
      <c r="DK27" s="826">
        <v>6.3027424999999999</v>
      </c>
      <c r="DL27" s="826">
        <v>4.9067593000000009</v>
      </c>
      <c r="DM27" s="826">
        <v>1.4343697765972667</v>
      </c>
      <c r="DN27" s="826">
        <v>-6.0108323397368713</v>
      </c>
      <c r="DO27" s="826">
        <v>19.402827163058667</v>
      </c>
      <c r="DP27" s="826">
        <v>-12.4590283</v>
      </c>
      <c r="DQ27" s="826">
        <v>-14.151875586999999</v>
      </c>
      <c r="DR27" s="826">
        <v>-28.829574692000001</v>
      </c>
      <c r="DS27" s="826">
        <v>-71.051801721000004</v>
      </c>
      <c r="DT27" s="826">
        <v>-116.70907262499999</v>
      </c>
      <c r="DU27" s="826">
        <v>-61.13000000000001</v>
      </c>
      <c r="DV27" s="826">
        <v>10.390380099999998</v>
      </c>
      <c r="DW27" s="826">
        <v>2.6809424000000011</v>
      </c>
      <c r="DX27" s="826">
        <v>1.1051421999999964</v>
      </c>
      <c r="DY27" s="826">
        <v>-20.3529476</v>
      </c>
      <c r="DZ27" s="826">
        <v>-62.116624899999998</v>
      </c>
      <c r="EA27" s="826">
        <v>-83.807752700000009</v>
      </c>
      <c r="EB27" s="826">
        <v>-96.386268799999996</v>
      </c>
      <c r="EC27" s="826">
        <v>99.081989600000014</v>
      </c>
      <c r="ED27" s="826">
        <v>130.3430887939999</v>
      </c>
      <c r="EE27" s="826">
        <v>165.00318345000002</v>
      </c>
      <c r="EF27" s="826">
        <v>212.02256462744299</v>
      </c>
      <c r="EG27" s="826">
        <v>259.36179547496999</v>
      </c>
      <c r="EH27" s="826">
        <v>208.11896683325062</v>
      </c>
      <c r="EI27" s="826">
        <v>242.28214184121501</v>
      </c>
      <c r="EJ27" s="826">
        <v>26.664766999999998</v>
      </c>
      <c r="EK27" s="826">
        <v>43.048004500000012</v>
      </c>
      <c r="EL27" s="826">
        <v>83.296925799999997</v>
      </c>
      <c r="EM27" s="826">
        <v>121.20237530000003</v>
      </c>
      <c r="EN27" s="826">
        <v>24.546717299999987</v>
      </c>
      <c r="EO27" s="826">
        <v>158.27938130000001</v>
      </c>
      <c r="EP27" s="826">
        <v>131.08390059999999</v>
      </c>
      <c r="EQ27" s="826">
        <v>-120.09839215926515</v>
      </c>
      <c r="ER27" s="826">
        <v>152.65622707724816</v>
      </c>
      <c r="ES27" s="826">
        <v>395.69463466000076</v>
      </c>
      <c r="ET27" s="826">
        <v>333.99282407100509</v>
      </c>
      <c r="EU27" s="826">
        <v>411.75992061699742</v>
      </c>
      <c r="EV27" s="826">
        <v>543.5924</v>
      </c>
      <c r="EW27" s="826">
        <v>131.23349999999999</v>
      </c>
      <c r="EX27" s="826">
        <v>219.89362590000002</v>
      </c>
      <c r="EY27" s="826">
        <v>220.19302139999996</v>
      </c>
      <c r="EZ27" s="826">
        <v>400.01335569999998</v>
      </c>
      <c r="FA27" s="826">
        <v>662.80030110000007</v>
      </c>
      <c r="FB27" s="826">
        <v>741.27620989999969</v>
      </c>
      <c r="FC27" s="826">
        <v>592.4108854000001</v>
      </c>
      <c r="FD27" s="826">
        <v>662.9699999999998</v>
      </c>
      <c r="FE27" s="826">
        <v>19.979501502999994</v>
      </c>
      <c r="FF27" s="826">
        <v>118.42831262999999</v>
      </c>
      <c r="FG27" s="826">
        <v>156.70826599999998</v>
      </c>
      <c r="FH27" s="826">
        <v>112.0842608</v>
      </c>
      <c r="FI27" s="826">
        <v>334.60582949999991</v>
      </c>
      <c r="FJ27" s="826">
        <v>447.7986095</v>
      </c>
      <c r="FK27" s="826">
        <v>454.14508539984899</v>
      </c>
      <c r="FL27" s="826">
        <v>43.65812900000001</v>
      </c>
      <c r="FM27" s="826">
        <v>48.983212600000009</v>
      </c>
      <c r="FN27" s="826">
        <v>296.55612529999996</v>
      </c>
      <c r="FO27" s="826">
        <v>135.53944510000005</v>
      </c>
      <c r="FP27" s="826">
        <v>151.00817560000002</v>
      </c>
      <c r="FQ27" s="826">
        <v>9.3621286000000126</v>
      </c>
      <c r="FR27" s="826">
        <v>118.59116760000001</v>
      </c>
      <c r="FS27" s="826">
        <v>1181.8674142857187</v>
      </c>
      <c r="FT27" s="826">
        <v>2596.4530170227513</v>
      </c>
      <c r="FU27" s="826">
        <v>3798.3297481517757</v>
      </c>
      <c r="FV27" s="826">
        <v>3584.3989434651476</v>
      </c>
      <c r="FW27" s="826">
        <v>4036.6863068143953</v>
      </c>
      <c r="FX27" s="826">
        <v>5729.0553500789629</v>
      </c>
      <c r="FY27" s="826">
        <v>4098.7735409003844</v>
      </c>
      <c r="FZ27" s="826">
        <v>306.93677155268324</v>
      </c>
      <c r="GA27" s="826">
        <v>323.76810144300003</v>
      </c>
      <c r="GB27" s="826">
        <v>595.66881126700105</v>
      </c>
      <c r="GC27" s="826">
        <v>440.33175013739572</v>
      </c>
      <c r="GD27" s="826">
        <v>176.70302660000004</v>
      </c>
      <c r="GE27" s="826">
        <v>490.19522509999996</v>
      </c>
      <c r="GF27" s="826">
        <v>738.3022695612467</v>
      </c>
      <c r="GG27" s="826">
        <v>276.22667269999999</v>
      </c>
      <c r="GH27" s="826">
        <v>282.14412859999999</v>
      </c>
      <c r="GI27" s="826">
        <v>74.285491999999948</v>
      </c>
      <c r="GJ27" s="826">
        <v>244.38271310000005</v>
      </c>
      <c r="GK27" s="826">
        <v>323.83974139999998</v>
      </c>
      <c r="GL27" s="826">
        <v>460.30374219999999</v>
      </c>
      <c r="GM27" s="826">
        <v>875.16198500000041</v>
      </c>
      <c r="GN27" s="826">
        <v>583.16344425268323</v>
      </c>
      <c r="GO27" s="826">
        <v>605.91223004300002</v>
      </c>
      <c r="GP27" s="826">
        <v>669.95430326700102</v>
      </c>
      <c r="GQ27" s="826">
        <v>684.71446323739576</v>
      </c>
      <c r="GR27" s="826">
        <v>500.54276799999991</v>
      </c>
      <c r="GS27" s="826">
        <v>950.49896729999978</v>
      </c>
      <c r="GT27" s="826">
        <v>1613.4642545612467</v>
      </c>
      <c r="GU27" s="826">
        <v>-86.672058842749991</v>
      </c>
      <c r="GV27" s="826">
        <v>-189.223409240038</v>
      </c>
      <c r="GW27" s="826">
        <v>-254.50030133530905</v>
      </c>
      <c r="GX27" s="826">
        <v>-241.15999999999997</v>
      </c>
      <c r="GY27" s="826">
        <v>-197.660645886</v>
      </c>
      <c r="GZ27" s="826">
        <v>-311.43991176399999</v>
      </c>
      <c r="HA27" s="826">
        <v>-78.838987562553399</v>
      </c>
      <c r="HB27" s="826">
        <v>2.1517940815367202</v>
      </c>
      <c r="HC27" s="826">
        <v>-16.25179460687465</v>
      </c>
      <c r="HD27" s="826">
        <v>56.91746373575296</v>
      </c>
      <c r="HE27" s="826">
        <v>65.654254082999998</v>
      </c>
      <c r="HF27" s="826">
        <v>102.22904239999995</v>
      </c>
      <c r="HG27" s="826">
        <v>11.492706105</v>
      </c>
      <c r="HH27" s="826">
        <v>7.4597659999999966</v>
      </c>
      <c r="HI27" s="826">
        <v>132.29354480000001</v>
      </c>
      <c r="HJ27" s="826">
        <v>15.239883599999985</v>
      </c>
      <c r="HK27" s="826">
        <v>11.202997499999995</v>
      </c>
      <c r="HL27" s="826">
        <v>-168.16987499999999</v>
      </c>
      <c r="HM27" s="826">
        <v>-173.62180690495799</v>
      </c>
      <c r="HN27" s="826">
        <v>-135.0537467260009</v>
      </c>
      <c r="HO27" s="826">
        <v>-104.94763529599979</v>
      </c>
      <c r="HP27" s="826">
        <v>-165.40305743025863</v>
      </c>
      <c r="HQ27" s="826">
        <v>-133.71</v>
      </c>
      <c r="HR27" s="826">
        <v>-117.4089509870023</v>
      </c>
      <c r="HS27" s="826">
        <v>-255.95980338359601</v>
      </c>
      <c r="HT27" s="826">
        <v>-68.49778178861898</v>
      </c>
      <c r="HU27" s="826">
        <v>-3.6767979039998977</v>
      </c>
      <c r="HV27" s="826">
        <v>22.839970749999992</v>
      </c>
      <c r="HW27" s="826">
        <v>-48.38687938809656</v>
      </c>
      <c r="HX27" s="826">
        <v>-61.552245521599502</v>
      </c>
      <c r="HY27" s="826">
        <v>-49.738807890963329</v>
      </c>
      <c r="HZ27" s="826">
        <v>-196.52503000749999</v>
      </c>
      <c r="IA27" s="826">
        <v>-81.246944099999993</v>
      </c>
      <c r="IB27" s="826">
        <v>-55.436199999999992</v>
      </c>
      <c r="IC27" s="826">
        <v>-11.4377</v>
      </c>
      <c r="ID27" s="826">
        <v>-14.91</v>
      </c>
      <c r="IE27" s="826">
        <v>136.57577554899999</v>
      </c>
      <c r="IF27" s="826">
        <v>117.94347531899999</v>
      </c>
      <c r="IG27" s="826">
        <v>170.15476163800025</v>
      </c>
      <c r="IH27" s="826">
        <v>183.41722369600001</v>
      </c>
      <c r="II27" s="826">
        <v>263.30770180000002</v>
      </c>
      <c r="IJ27" s="826">
        <v>-1085.7135309</v>
      </c>
      <c r="IK27" s="826">
        <v>-1040.66868479762</v>
      </c>
      <c r="IL27" s="826">
        <v>-176.92303470713037</v>
      </c>
      <c r="IM27" s="826">
        <v>26.986210727785931</v>
      </c>
      <c r="IN27" s="826">
        <v>-102.18822315491218</v>
      </c>
      <c r="IO27" s="826">
        <v>-297.99949732191112</v>
      </c>
      <c r="IP27" s="826">
        <v>-331.06636463859968</v>
      </c>
      <c r="IQ27" s="826">
        <v>-1359.7305932639654</v>
      </c>
      <c r="IR27" s="826">
        <v>-1808.010723847716</v>
      </c>
    </row>
    <row r="28" spans="1:252" ht="12.75" x14ac:dyDescent="0.2">
      <c r="A28" s="821" t="s">
        <v>271</v>
      </c>
      <c r="B28" s="823"/>
      <c r="C28" s="823"/>
      <c r="D28" s="823"/>
      <c r="E28" s="823"/>
      <c r="F28" s="823"/>
      <c r="G28" s="823"/>
      <c r="H28" s="823"/>
      <c r="I28" s="823"/>
      <c r="J28" s="823"/>
      <c r="K28" s="823"/>
      <c r="L28" s="823"/>
      <c r="M28" s="823"/>
      <c r="N28" s="823"/>
      <c r="O28" s="823"/>
      <c r="P28" s="823"/>
      <c r="Q28" s="823"/>
      <c r="R28" s="823"/>
      <c r="S28" s="823"/>
      <c r="T28" s="823"/>
      <c r="U28" s="823"/>
      <c r="V28" s="823"/>
      <c r="W28" s="823"/>
      <c r="X28" s="823"/>
      <c r="Y28" s="823"/>
      <c r="Z28" s="823"/>
      <c r="AA28" s="823"/>
      <c r="AB28" s="823"/>
      <c r="AC28" s="823"/>
      <c r="AD28" s="823"/>
      <c r="AE28" s="823"/>
      <c r="AF28" s="823"/>
      <c r="AG28" s="823"/>
      <c r="AH28" s="823"/>
      <c r="AI28" s="823"/>
      <c r="AJ28" s="823"/>
      <c r="AK28" s="823"/>
      <c r="AL28" s="823"/>
      <c r="AM28" s="823"/>
      <c r="AN28" s="823"/>
      <c r="AO28" s="823"/>
      <c r="AP28" s="823"/>
      <c r="AQ28" s="823"/>
      <c r="AR28" s="823"/>
      <c r="AS28" s="823"/>
      <c r="AT28" s="823"/>
      <c r="AU28" s="823"/>
      <c r="AV28" s="823"/>
      <c r="AW28" s="823"/>
      <c r="AX28" s="823"/>
      <c r="AY28" s="823"/>
      <c r="AZ28" s="823"/>
      <c r="BA28" s="823"/>
      <c r="BB28" s="823"/>
      <c r="BC28" s="823"/>
      <c r="BD28" s="823"/>
      <c r="BE28" s="823"/>
      <c r="BF28" s="823"/>
      <c r="BG28" s="823"/>
      <c r="BH28" s="823"/>
      <c r="BI28" s="823"/>
      <c r="BJ28" s="823"/>
      <c r="BK28" s="823"/>
      <c r="BL28" s="823"/>
      <c r="BM28" s="823"/>
      <c r="BN28" s="823"/>
      <c r="BO28" s="823"/>
      <c r="BP28" s="823"/>
      <c r="BQ28" s="823"/>
      <c r="BR28" s="823"/>
      <c r="BS28" s="823"/>
      <c r="BT28" s="823"/>
      <c r="BU28" s="823"/>
      <c r="BV28" s="823"/>
      <c r="BW28" s="823"/>
      <c r="BX28" s="823"/>
      <c r="BY28" s="823"/>
      <c r="BZ28" s="823"/>
      <c r="CA28" s="823"/>
      <c r="CB28" s="823"/>
      <c r="CC28" s="823"/>
      <c r="CD28" s="823"/>
      <c r="CE28" s="823"/>
      <c r="CF28" s="823"/>
      <c r="CG28" s="823"/>
      <c r="CH28" s="823"/>
      <c r="CI28" s="823"/>
      <c r="CJ28" s="823"/>
      <c r="CK28" s="823"/>
      <c r="CL28" s="823"/>
      <c r="CM28" s="823"/>
      <c r="CN28" s="823"/>
      <c r="CO28" s="823"/>
      <c r="CP28" s="823"/>
      <c r="CQ28" s="823"/>
      <c r="CR28" s="823"/>
      <c r="CS28" s="823"/>
      <c r="CT28" s="823"/>
      <c r="CU28" s="823"/>
      <c r="CV28" s="823"/>
      <c r="CW28" s="823"/>
      <c r="CX28" s="823"/>
      <c r="CY28" s="823"/>
      <c r="CZ28" s="823"/>
      <c r="DA28" s="823"/>
      <c r="DB28" s="823"/>
      <c r="DC28" s="823"/>
      <c r="DD28" s="823"/>
      <c r="DE28" s="823"/>
      <c r="DF28" s="823"/>
      <c r="DG28" s="823"/>
      <c r="DH28" s="823"/>
      <c r="DI28" s="823"/>
      <c r="DJ28" s="823"/>
      <c r="DK28" s="823"/>
      <c r="DL28" s="823"/>
      <c r="DM28" s="823"/>
      <c r="DN28" s="823"/>
      <c r="DO28" s="823"/>
      <c r="DP28" s="823"/>
      <c r="DQ28" s="823"/>
      <c r="DR28" s="823"/>
      <c r="DS28" s="823"/>
      <c r="DT28" s="823"/>
      <c r="DU28" s="823"/>
      <c r="DV28" s="823"/>
      <c r="DW28" s="823"/>
      <c r="DX28" s="823"/>
      <c r="DY28" s="823"/>
      <c r="DZ28" s="823"/>
      <c r="EA28" s="823"/>
      <c r="EB28" s="823"/>
      <c r="EC28" s="823"/>
      <c r="ED28" s="823"/>
      <c r="EE28" s="823"/>
      <c r="EF28" s="823"/>
      <c r="EG28" s="823"/>
      <c r="EH28" s="823"/>
      <c r="EI28" s="823"/>
      <c r="EJ28" s="823"/>
      <c r="EK28" s="823"/>
      <c r="EL28" s="823"/>
      <c r="EM28" s="823"/>
      <c r="EN28" s="823"/>
      <c r="EO28" s="823"/>
      <c r="EP28" s="823"/>
      <c r="EQ28" s="823"/>
      <c r="ER28" s="823"/>
      <c r="ES28" s="823"/>
      <c r="ET28" s="823"/>
      <c r="EU28" s="823"/>
      <c r="EV28" s="823"/>
      <c r="EW28" s="823"/>
      <c r="EX28" s="823"/>
      <c r="EY28" s="823"/>
      <c r="EZ28" s="823"/>
      <c r="FA28" s="823"/>
      <c r="FB28" s="823"/>
      <c r="FC28" s="823"/>
      <c r="FD28" s="823"/>
      <c r="FE28" s="823"/>
      <c r="FF28" s="823"/>
      <c r="FG28" s="823"/>
      <c r="FH28" s="823"/>
      <c r="FI28" s="823"/>
      <c r="FJ28" s="823"/>
      <c r="FK28" s="823"/>
      <c r="FL28" s="823"/>
      <c r="FM28" s="823"/>
      <c r="FN28" s="823"/>
      <c r="FO28" s="823"/>
      <c r="FP28" s="823"/>
      <c r="FQ28" s="823"/>
      <c r="FR28" s="823"/>
      <c r="FS28" s="823"/>
      <c r="FT28" s="823"/>
      <c r="FU28" s="823"/>
      <c r="FV28" s="823"/>
      <c r="FW28" s="823"/>
      <c r="FX28" s="823"/>
      <c r="FY28" s="823"/>
      <c r="FZ28" s="823"/>
      <c r="GA28" s="823"/>
      <c r="GB28" s="823"/>
      <c r="GC28" s="823"/>
      <c r="GD28" s="823"/>
      <c r="GE28" s="823"/>
      <c r="GF28" s="823"/>
      <c r="GG28" s="823"/>
      <c r="GH28" s="823"/>
      <c r="GI28" s="823"/>
      <c r="GJ28" s="823"/>
      <c r="GK28" s="823"/>
      <c r="GL28" s="823"/>
      <c r="GM28" s="823"/>
      <c r="GN28" s="823"/>
      <c r="GO28" s="823"/>
      <c r="GP28" s="823"/>
      <c r="GQ28" s="823"/>
      <c r="GR28" s="823"/>
      <c r="GS28" s="823"/>
      <c r="GT28" s="823"/>
      <c r="GU28" s="823"/>
      <c r="GV28" s="823"/>
      <c r="GW28" s="823"/>
      <c r="GX28" s="823"/>
      <c r="GY28" s="823"/>
      <c r="GZ28" s="823"/>
      <c r="HA28" s="823"/>
      <c r="HB28" s="823"/>
      <c r="HC28" s="823"/>
      <c r="HD28" s="823"/>
      <c r="HE28" s="823"/>
      <c r="HF28" s="823"/>
      <c r="HG28" s="823"/>
      <c r="HH28" s="823"/>
      <c r="HI28" s="823"/>
      <c r="HJ28" s="823"/>
      <c r="HK28" s="823"/>
      <c r="HL28" s="823"/>
      <c r="HM28" s="823"/>
      <c r="HN28" s="823"/>
      <c r="HO28" s="823"/>
      <c r="HP28" s="823"/>
      <c r="HQ28" s="823"/>
      <c r="HR28" s="823"/>
      <c r="HS28" s="823"/>
      <c r="HT28" s="823"/>
      <c r="HU28" s="823"/>
      <c r="HV28" s="823"/>
      <c r="HW28" s="823"/>
      <c r="HX28" s="823"/>
      <c r="HY28" s="823"/>
      <c r="HZ28" s="823"/>
      <c r="IA28" s="823"/>
      <c r="IB28" s="823"/>
      <c r="IC28" s="823"/>
      <c r="ID28" s="823"/>
      <c r="IE28" s="823"/>
      <c r="IF28" s="823"/>
      <c r="IG28" s="823"/>
      <c r="IH28" s="823"/>
      <c r="II28" s="823"/>
      <c r="IJ28" s="823"/>
      <c r="IK28" s="823"/>
      <c r="IL28" s="823"/>
      <c r="IM28" s="823"/>
      <c r="IN28" s="823"/>
      <c r="IO28" s="823"/>
      <c r="IP28" s="823"/>
      <c r="IQ28" s="823"/>
      <c r="IR28" s="823"/>
    </row>
    <row r="29" spans="1:252" ht="12.75" x14ac:dyDescent="0.2">
      <c r="A29" s="824" t="s">
        <v>272</v>
      </c>
      <c r="B29" s="823">
        <v>0</v>
      </c>
      <c r="C29" s="823">
        <v>0</v>
      </c>
      <c r="D29" s="823">
        <v>0</v>
      </c>
      <c r="E29" s="823"/>
      <c r="F29" s="823">
        <v>0</v>
      </c>
      <c r="G29" s="823"/>
      <c r="H29" s="823"/>
      <c r="I29" s="823">
        <v>0</v>
      </c>
      <c r="J29" s="823">
        <v>0</v>
      </c>
      <c r="K29" s="823">
        <v>0</v>
      </c>
      <c r="L29" s="823">
        <v>0</v>
      </c>
      <c r="M29" s="823">
        <v>0</v>
      </c>
      <c r="N29" s="823">
        <v>0</v>
      </c>
      <c r="O29" s="823">
        <v>0</v>
      </c>
      <c r="P29" s="823">
        <v>0</v>
      </c>
      <c r="Q29" s="823">
        <v>0</v>
      </c>
      <c r="R29" s="823">
        <v>0</v>
      </c>
      <c r="S29" s="823">
        <v>0</v>
      </c>
      <c r="T29" s="823">
        <v>0</v>
      </c>
      <c r="U29" s="823">
        <v>0</v>
      </c>
      <c r="V29" s="823">
        <v>0</v>
      </c>
      <c r="W29" s="823">
        <v>0</v>
      </c>
      <c r="X29" s="823"/>
      <c r="Y29" s="823">
        <v>0</v>
      </c>
      <c r="Z29" s="823">
        <v>0</v>
      </c>
      <c r="AA29" s="823"/>
      <c r="AB29" s="823">
        <v>0</v>
      </c>
      <c r="AC29" s="823"/>
      <c r="AD29" s="823">
        <v>0</v>
      </c>
      <c r="AE29" s="823">
        <v>0</v>
      </c>
      <c r="AF29" s="823">
        <v>0</v>
      </c>
      <c r="AG29" s="823">
        <v>0</v>
      </c>
      <c r="AH29" s="823">
        <v>0</v>
      </c>
      <c r="AI29" s="823">
        <v>0</v>
      </c>
      <c r="AJ29" s="823">
        <v>0</v>
      </c>
      <c r="AK29" s="823">
        <v>0</v>
      </c>
      <c r="AL29" s="823">
        <v>0</v>
      </c>
      <c r="AM29" s="823">
        <v>0</v>
      </c>
      <c r="AN29" s="823">
        <v>0</v>
      </c>
      <c r="AO29" s="823">
        <v>0</v>
      </c>
      <c r="AP29" s="823">
        <v>0</v>
      </c>
      <c r="AQ29" s="823">
        <v>0</v>
      </c>
      <c r="AR29" s="823">
        <v>0</v>
      </c>
      <c r="AS29" s="823">
        <v>110.22725</v>
      </c>
      <c r="AT29" s="823">
        <v>110.22725</v>
      </c>
      <c r="AU29" s="823">
        <v>148.80680000000001</v>
      </c>
      <c r="AV29" s="823">
        <v>123.4545</v>
      </c>
      <c r="AW29" s="823">
        <v>0</v>
      </c>
      <c r="AX29" s="823"/>
      <c r="AY29" s="823">
        <v>0</v>
      </c>
      <c r="AZ29" s="823">
        <v>0</v>
      </c>
      <c r="BA29" s="823">
        <v>0</v>
      </c>
      <c r="BB29" s="823">
        <v>0</v>
      </c>
      <c r="BC29" s="823">
        <v>0</v>
      </c>
      <c r="BD29" s="823">
        <v>0</v>
      </c>
      <c r="BE29" s="823">
        <v>0</v>
      </c>
      <c r="BF29" s="823">
        <v>0</v>
      </c>
      <c r="BG29" s="823">
        <v>0</v>
      </c>
      <c r="BH29" s="823">
        <v>0</v>
      </c>
      <c r="BI29" s="823">
        <v>0</v>
      </c>
      <c r="BJ29" s="823">
        <v>0</v>
      </c>
      <c r="BK29" s="823">
        <v>0</v>
      </c>
      <c r="BL29" s="823">
        <v>0</v>
      </c>
      <c r="BM29" s="823">
        <v>0</v>
      </c>
      <c r="BN29" s="823">
        <v>0</v>
      </c>
      <c r="BO29" s="823">
        <v>0</v>
      </c>
      <c r="BP29" s="823">
        <v>0</v>
      </c>
      <c r="BQ29" s="823">
        <v>0</v>
      </c>
      <c r="BR29" s="823">
        <v>0</v>
      </c>
      <c r="BS29" s="823">
        <v>0</v>
      </c>
      <c r="BT29" s="823">
        <v>0</v>
      </c>
      <c r="BU29" s="823">
        <v>0</v>
      </c>
      <c r="BV29" s="823">
        <v>0</v>
      </c>
      <c r="BW29" s="823">
        <v>0</v>
      </c>
      <c r="BX29" s="823">
        <v>0</v>
      </c>
      <c r="BY29" s="823">
        <v>0</v>
      </c>
      <c r="BZ29" s="823">
        <v>0</v>
      </c>
      <c r="CA29" s="823">
        <v>0</v>
      </c>
      <c r="CB29" s="823"/>
      <c r="CC29" s="823">
        <v>121.01439999999999</v>
      </c>
      <c r="CD29" s="823">
        <v>136.22</v>
      </c>
      <c r="CE29" s="823">
        <v>0</v>
      </c>
      <c r="CF29" s="823">
        <v>213.47</v>
      </c>
      <c r="CG29" s="823">
        <v>231.65348137500001</v>
      </c>
      <c r="CH29" s="823">
        <v>134.16964680000001</v>
      </c>
      <c r="CI29" s="823">
        <v>157.10080540000001</v>
      </c>
      <c r="CJ29" s="823">
        <v>67.998822200000006</v>
      </c>
      <c r="CK29" s="823">
        <v>113.51855810000001</v>
      </c>
      <c r="CL29" s="823">
        <v>159.053304</v>
      </c>
      <c r="CM29" s="823">
        <v>181.83482559999999</v>
      </c>
      <c r="CN29" s="823">
        <v>196.22</v>
      </c>
      <c r="CO29" s="823">
        <v>0</v>
      </c>
      <c r="CP29" s="823">
        <v>0</v>
      </c>
      <c r="CQ29" s="823">
        <v>0</v>
      </c>
      <c r="CR29" s="823">
        <v>0</v>
      </c>
      <c r="CS29" s="823">
        <v>0</v>
      </c>
      <c r="CT29" s="823">
        <v>0</v>
      </c>
      <c r="CU29" s="823">
        <v>0</v>
      </c>
      <c r="CV29" s="823">
        <v>0</v>
      </c>
      <c r="CW29" s="823">
        <v>0</v>
      </c>
      <c r="CX29" s="823">
        <v>0</v>
      </c>
      <c r="CY29" s="823">
        <v>0</v>
      </c>
      <c r="CZ29" s="823">
        <v>0</v>
      </c>
      <c r="DA29" s="823">
        <v>0</v>
      </c>
      <c r="DB29" s="823">
        <v>0</v>
      </c>
      <c r="DC29" s="823">
        <v>0</v>
      </c>
      <c r="DD29" s="823">
        <v>0</v>
      </c>
      <c r="DE29" s="823">
        <v>0</v>
      </c>
      <c r="DF29" s="823">
        <v>0</v>
      </c>
      <c r="DG29" s="823">
        <v>0</v>
      </c>
      <c r="DH29" s="823">
        <v>0</v>
      </c>
      <c r="DI29" s="823">
        <v>0</v>
      </c>
      <c r="DJ29" s="823">
        <v>0</v>
      </c>
      <c r="DK29" s="823">
        <v>0</v>
      </c>
      <c r="DL29" s="823">
        <v>0</v>
      </c>
      <c r="DM29" s="823">
        <v>0</v>
      </c>
      <c r="DN29" s="823">
        <v>0</v>
      </c>
      <c r="DO29" s="823">
        <v>0</v>
      </c>
      <c r="DP29" s="823">
        <v>0</v>
      </c>
      <c r="DQ29" s="823">
        <v>0</v>
      </c>
      <c r="DR29" s="823">
        <v>0</v>
      </c>
      <c r="DS29" s="823">
        <v>0</v>
      </c>
      <c r="DT29" s="823">
        <v>0</v>
      </c>
      <c r="DU29" s="823"/>
      <c r="DV29" s="823">
        <v>0</v>
      </c>
      <c r="DW29" s="823">
        <v>0</v>
      </c>
      <c r="DX29" s="823">
        <v>0</v>
      </c>
      <c r="DY29" s="823">
        <v>0</v>
      </c>
      <c r="DZ29" s="823">
        <v>0</v>
      </c>
      <c r="EA29" s="823">
        <v>0</v>
      </c>
      <c r="EB29" s="823">
        <v>0</v>
      </c>
      <c r="EC29" s="823">
        <v>0</v>
      </c>
      <c r="ED29" s="823">
        <v>0</v>
      </c>
      <c r="EE29" s="823">
        <v>0</v>
      </c>
      <c r="EF29" s="823">
        <v>0</v>
      </c>
      <c r="EG29" s="823">
        <v>0</v>
      </c>
      <c r="EH29" s="823">
        <v>0</v>
      </c>
      <c r="EI29" s="823">
        <v>0</v>
      </c>
      <c r="EJ29" s="823">
        <v>0</v>
      </c>
      <c r="EK29" s="823">
        <v>0</v>
      </c>
      <c r="EL29" s="823">
        <v>0</v>
      </c>
      <c r="EM29" s="823">
        <v>0</v>
      </c>
      <c r="EN29" s="823">
        <v>0</v>
      </c>
      <c r="EO29" s="823">
        <v>0</v>
      </c>
      <c r="EP29" s="823">
        <v>0</v>
      </c>
      <c r="EQ29" s="823">
        <v>0</v>
      </c>
      <c r="ER29" s="823">
        <v>0</v>
      </c>
      <c r="ES29" s="823">
        <v>0</v>
      </c>
      <c r="ET29" s="823">
        <v>0</v>
      </c>
      <c r="EU29" s="823">
        <v>21.55</v>
      </c>
      <c r="EV29" s="823">
        <v>21.55</v>
      </c>
      <c r="EW29" s="823">
        <v>0</v>
      </c>
      <c r="EX29" s="823">
        <v>25.827915000000001</v>
      </c>
      <c r="EY29" s="823">
        <v>25.850095</v>
      </c>
      <c r="EZ29" s="823">
        <v>82.79616</v>
      </c>
      <c r="FA29" s="823">
        <v>97.134360799999996</v>
      </c>
      <c r="FB29" s="823">
        <v>283.21179969999997</v>
      </c>
      <c r="FC29" s="823">
        <v>435.39341999999999</v>
      </c>
      <c r="FD29" s="823">
        <v>458.72</v>
      </c>
      <c r="FE29" s="823">
        <v>0</v>
      </c>
      <c r="FF29" s="823">
        <v>0</v>
      </c>
      <c r="FG29" s="823">
        <v>0</v>
      </c>
      <c r="FH29" s="823">
        <v>0</v>
      </c>
      <c r="FI29" s="823">
        <v>0</v>
      </c>
      <c r="FJ29" s="823">
        <v>0</v>
      </c>
      <c r="FK29" s="823">
        <v>0</v>
      </c>
      <c r="FL29" s="823">
        <v>0</v>
      </c>
      <c r="FM29" s="823">
        <v>0</v>
      </c>
      <c r="FN29" s="823">
        <v>0</v>
      </c>
      <c r="FO29" s="823">
        <v>0</v>
      </c>
      <c r="FP29" s="823">
        <v>0</v>
      </c>
      <c r="FQ29" s="823">
        <v>0</v>
      </c>
      <c r="FR29" s="823">
        <v>0</v>
      </c>
      <c r="FS29" s="823">
        <v>159.9975618</v>
      </c>
      <c r="FT29" s="823">
        <v>182.95090040000002</v>
      </c>
      <c r="FU29" s="823">
        <v>271.80938220000002</v>
      </c>
      <c r="FV29" s="823">
        <v>457.10016889999997</v>
      </c>
      <c r="FW29" s="823">
        <v>574.04235369999992</v>
      </c>
      <c r="FX29" s="823">
        <v>1001.0550456</v>
      </c>
      <c r="FY29" s="823">
        <v>1010.0479813750001</v>
      </c>
      <c r="FZ29" s="823">
        <v>0</v>
      </c>
      <c r="GA29" s="823">
        <v>0</v>
      </c>
      <c r="GB29" s="823">
        <v>0</v>
      </c>
      <c r="GC29" s="823">
        <v>0</v>
      </c>
      <c r="GD29" s="823">
        <v>0</v>
      </c>
      <c r="GE29" s="823">
        <v>0</v>
      </c>
      <c r="GF29" s="823">
        <v>0</v>
      </c>
      <c r="GG29" s="823">
        <v>0</v>
      </c>
      <c r="GH29" s="823">
        <v>0</v>
      </c>
      <c r="GI29" s="823">
        <v>0</v>
      </c>
      <c r="GJ29" s="823">
        <v>0</v>
      </c>
      <c r="GK29" s="823">
        <v>0</v>
      </c>
      <c r="GL29" s="823">
        <v>0</v>
      </c>
      <c r="GM29" s="823">
        <v>0</v>
      </c>
      <c r="GN29" s="823">
        <v>0</v>
      </c>
      <c r="GO29" s="823">
        <v>0</v>
      </c>
      <c r="GP29" s="823">
        <v>0</v>
      </c>
      <c r="GQ29" s="823">
        <v>0</v>
      </c>
      <c r="GR29" s="823">
        <v>0</v>
      </c>
      <c r="GS29" s="823">
        <v>0</v>
      </c>
      <c r="GT29" s="823">
        <v>0</v>
      </c>
      <c r="GU29" s="823">
        <v>0</v>
      </c>
      <c r="GV29" s="823">
        <v>0</v>
      </c>
      <c r="GW29" s="823">
        <v>0</v>
      </c>
      <c r="GX29" s="823">
        <v>0</v>
      </c>
      <c r="GY29" s="823">
        <v>0</v>
      </c>
      <c r="GZ29" s="823">
        <v>0</v>
      </c>
      <c r="HA29" s="823">
        <v>0</v>
      </c>
      <c r="HB29" s="823">
        <v>0</v>
      </c>
      <c r="HC29" s="823">
        <v>0</v>
      </c>
      <c r="HD29" s="823">
        <v>0</v>
      </c>
      <c r="HE29" s="823">
        <v>0</v>
      </c>
      <c r="HF29" s="823">
        <v>0</v>
      </c>
      <c r="HG29" s="823">
        <v>0</v>
      </c>
      <c r="HH29" s="823">
        <v>0</v>
      </c>
      <c r="HI29" s="823">
        <v>0</v>
      </c>
      <c r="HJ29" s="823">
        <v>0</v>
      </c>
      <c r="HK29" s="823">
        <v>0</v>
      </c>
      <c r="HL29" s="823">
        <v>0</v>
      </c>
      <c r="HM29" s="823">
        <v>0</v>
      </c>
      <c r="HN29" s="823">
        <v>0</v>
      </c>
      <c r="HO29" s="823">
        <v>0</v>
      </c>
      <c r="HP29" s="823">
        <v>0</v>
      </c>
      <c r="HQ29" s="823">
        <v>0</v>
      </c>
      <c r="HR29" s="823">
        <v>0</v>
      </c>
      <c r="HS29" s="823">
        <v>0</v>
      </c>
      <c r="HT29" s="823">
        <v>0</v>
      </c>
      <c r="HU29" s="823">
        <v>0</v>
      </c>
      <c r="HV29" s="823">
        <v>0</v>
      </c>
      <c r="HW29" s="823">
        <v>0</v>
      </c>
      <c r="HX29" s="823">
        <v>0</v>
      </c>
      <c r="HY29" s="823">
        <v>0</v>
      </c>
      <c r="HZ29" s="823">
        <v>0</v>
      </c>
      <c r="IA29" s="823">
        <v>0</v>
      </c>
      <c r="IB29" s="823">
        <v>0</v>
      </c>
      <c r="IC29" s="823">
        <v>0</v>
      </c>
      <c r="ID29" s="823">
        <v>0</v>
      </c>
      <c r="IE29" s="823">
        <v>0</v>
      </c>
      <c r="IF29" s="823">
        <v>0</v>
      </c>
      <c r="IG29" s="823">
        <v>0</v>
      </c>
      <c r="IH29" s="823">
        <v>0</v>
      </c>
      <c r="II29" s="823">
        <v>0</v>
      </c>
      <c r="IJ29" s="823">
        <v>0</v>
      </c>
      <c r="IK29" s="823">
        <v>0</v>
      </c>
      <c r="IL29" s="823">
        <v>0</v>
      </c>
      <c r="IM29" s="823">
        <v>0</v>
      </c>
      <c r="IN29" s="823">
        <v>0</v>
      </c>
      <c r="IO29" s="823">
        <v>0</v>
      </c>
      <c r="IP29" s="823">
        <v>0</v>
      </c>
      <c r="IQ29" s="823">
        <v>0</v>
      </c>
      <c r="IR29" s="823">
        <v>0</v>
      </c>
    </row>
    <row r="30" spans="1:252" ht="12.75" x14ac:dyDescent="0.2">
      <c r="A30" s="824" t="s">
        <v>273</v>
      </c>
      <c r="B30" s="823">
        <v>45.149799999999999</v>
      </c>
      <c r="C30" s="823">
        <v>0</v>
      </c>
      <c r="D30" s="823">
        <v>0</v>
      </c>
      <c r="E30" s="823"/>
      <c r="F30" s="823">
        <v>0</v>
      </c>
      <c r="G30" s="823"/>
      <c r="H30" s="823"/>
      <c r="I30" s="823">
        <v>250</v>
      </c>
      <c r="J30" s="823">
        <v>0</v>
      </c>
      <c r="K30" s="823">
        <v>309</v>
      </c>
      <c r="L30" s="823">
        <v>0</v>
      </c>
      <c r="M30" s="823">
        <v>0</v>
      </c>
      <c r="N30" s="823">
        <v>0</v>
      </c>
      <c r="O30" s="823">
        <v>0</v>
      </c>
      <c r="P30" s="823">
        <v>120</v>
      </c>
      <c r="Q30" s="823">
        <v>0</v>
      </c>
      <c r="R30" s="823">
        <v>0</v>
      </c>
      <c r="S30" s="823">
        <v>0</v>
      </c>
      <c r="T30" s="823">
        <v>0</v>
      </c>
      <c r="U30" s="823">
        <v>0</v>
      </c>
      <c r="V30" s="823">
        <v>0</v>
      </c>
      <c r="W30" s="823">
        <v>67</v>
      </c>
      <c r="X30" s="823"/>
      <c r="Y30" s="823">
        <v>0</v>
      </c>
      <c r="Z30" s="823">
        <v>0</v>
      </c>
      <c r="AA30" s="823"/>
      <c r="AB30" s="823">
        <v>0</v>
      </c>
      <c r="AC30" s="823"/>
      <c r="AD30" s="823">
        <v>482.14980000000003</v>
      </c>
      <c r="AE30" s="823">
        <v>0</v>
      </c>
      <c r="AF30" s="823">
        <v>309</v>
      </c>
      <c r="AG30" s="823">
        <v>0</v>
      </c>
      <c r="AH30" s="823">
        <v>0</v>
      </c>
      <c r="AI30" s="823">
        <v>0</v>
      </c>
      <c r="AJ30" s="823">
        <v>0</v>
      </c>
      <c r="AK30" s="823">
        <v>0</v>
      </c>
      <c r="AL30" s="823">
        <v>0</v>
      </c>
      <c r="AM30" s="823">
        <v>0</v>
      </c>
      <c r="AN30" s="823">
        <v>0</v>
      </c>
      <c r="AO30" s="823">
        <v>0</v>
      </c>
      <c r="AP30" s="823">
        <v>0</v>
      </c>
      <c r="AQ30" s="823">
        <v>0</v>
      </c>
      <c r="AR30" s="823">
        <v>0</v>
      </c>
      <c r="AS30" s="823">
        <v>0</v>
      </c>
      <c r="AT30" s="823">
        <v>0</v>
      </c>
      <c r="AU30" s="823">
        <v>0</v>
      </c>
      <c r="AV30" s="823">
        <v>0</v>
      </c>
      <c r="AW30" s="823">
        <v>0</v>
      </c>
      <c r="AX30" s="823"/>
      <c r="AY30" s="823">
        <v>0</v>
      </c>
      <c r="AZ30" s="823">
        <v>0</v>
      </c>
      <c r="BA30" s="823">
        <v>0</v>
      </c>
      <c r="BB30" s="823">
        <v>0</v>
      </c>
      <c r="BC30" s="823">
        <v>0</v>
      </c>
      <c r="BD30" s="823">
        <v>0</v>
      </c>
      <c r="BE30" s="823">
        <v>17.9283</v>
      </c>
      <c r="BF30" s="823">
        <v>17.928342000000001</v>
      </c>
      <c r="BG30" s="823">
        <v>0</v>
      </c>
      <c r="BH30" s="823">
        <v>0</v>
      </c>
      <c r="BI30" s="823">
        <v>0</v>
      </c>
      <c r="BJ30" s="823">
        <v>0</v>
      </c>
      <c r="BK30" s="823">
        <v>0</v>
      </c>
      <c r="BL30" s="823">
        <v>0</v>
      </c>
      <c r="BM30" s="823">
        <v>0</v>
      </c>
      <c r="BN30" s="823">
        <v>0</v>
      </c>
      <c r="BO30" s="823">
        <v>0</v>
      </c>
      <c r="BP30" s="823">
        <v>0</v>
      </c>
      <c r="BQ30" s="823">
        <v>0</v>
      </c>
      <c r="BR30" s="823">
        <v>0</v>
      </c>
      <c r="BS30" s="823">
        <v>0</v>
      </c>
      <c r="BT30" s="823">
        <v>0</v>
      </c>
      <c r="BU30" s="823">
        <v>0</v>
      </c>
      <c r="BV30" s="823">
        <v>0</v>
      </c>
      <c r="BW30" s="823">
        <v>0</v>
      </c>
      <c r="BX30" s="823">
        <v>0</v>
      </c>
      <c r="BY30" s="823">
        <v>0</v>
      </c>
      <c r="BZ30" s="823">
        <v>0</v>
      </c>
      <c r="CA30" s="823">
        <v>0</v>
      </c>
      <c r="CB30" s="823"/>
      <c r="CC30" s="823">
        <v>0</v>
      </c>
      <c r="CD30" s="823">
        <v>0</v>
      </c>
      <c r="CE30" s="823">
        <v>0</v>
      </c>
      <c r="CF30" s="823">
        <v>0</v>
      </c>
      <c r="CG30" s="823">
        <v>0</v>
      </c>
      <c r="CH30" s="823">
        <v>0</v>
      </c>
      <c r="CI30" s="823">
        <v>0</v>
      </c>
      <c r="CJ30" s="823">
        <v>0</v>
      </c>
      <c r="CK30" s="823">
        <v>113.4918045</v>
      </c>
      <c r="CL30" s="823">
        <v>159.04600350000001</v>
      </c>
      <c r="CM30" s="823">
        <v>0</v>
      </c>
      <c r="CN30" s="823">
        <v>181.86</v>
      </c>
      <c r="CO30" s="823">
        <v>0</v>
      </c>
      <c r="CP30" s="823">
        <v>0</v>
      </c>
      <c r="CQ30" s="823">
        <v>0</v>
      </c>
      <c r="CR30" s="823">
        <v>0</v>
      </c>
      <c r="CS30" s="823">
        <v>0</v>
      </c>
      <c r="CT30" s="823">
        <v>0</v>
      </c>
      <c r="CU30" s="823">
        <v>0</v>
      </c>
      <c r="CV30" s="823">
        <v>0</v>
      </c>
      <c r="CW30" s="823">
        <v>0</v>
      </c>
      <c r="CX30" s="823">
        <v>0</v>
      </c>
      <c r="CY30" s="823">
        <v>0</v>
      </c>
      <c r="CZ30" s="823">
        <v>0</v>
      </c>
      <c r="DA30" s="823">
        <v>0</v>
      </c>
      <c r="DB30" s="823">
        <v>0</v>
      </c>
      <c r="DC30" s="823">
        <v>0</v>
      </c>
      <c r="DD30" s="823">
        <v>0</v>
      </c>
      <c r="DE30" s="823">
        <v>0</v>
      </c>
      <c r="DF30" s="823">
        <v>0</v>
      </c>
      <c r="DG30" s="823">
        <v>0</v>
      </c>
      <c r="DH30" s="823">
        <v>0</v>
      </c>
      <c r="DI30" s="823">
        <v>0</v>
      </c>
      <c r="DJ30" s="823">
        <v>0</v>
      </c>
      <c r="DK30" s="823">
        <v>0</v>
      </c>
      <c r="DL30" s="823">
        <v>0</v>
      </c>
      <c r="DM30" s="823">
        <v>0</v>
      </c>
      <c r="DN30" s="823">
        <v>0</v>
      </c>
      <c r="DO30" s="823">
        <v>0</v>
      </c>
      <c r="DP30" s="823">
        <v>0</v>
      </c>
      <c r="DQ30" s="823">
        <v>0</v>
      </c>
      <c r="DR30" s="823">
        <v>0</v>
      </c>
      <c r="DS30" s="823">
        <v>0</v>
      </c>
      <c r="DT30" s="823">
        <v>0</v>
      </c>
      <c r="DU30" s="823"/>
      <c r="DV30" s="823">
        <v>0</v>
      </c>
      <c r="DW30" s="823">
        <v>0</v>
      </c>
      <c r="DX30" s="823">
        <v>0</v>
      </c>
      <c r="DY30" s="823">
        <v>0</v>
      </c>
      <c r="DZ30" s="823">
        <v>0</v>
      </c>
      <c r="EA30" s="823">
        <v>0</v>
      </c>
      <c r="EB30" s="823">
        <v>0</v>
      </c>
      <c r="EC30" s="823">
        <v>0</v>
      </c>
      <c r="ED30" s="823">
        <v>0</v>
      </c>
      <c r="EE30" s="823">
        <v>6.288748</v>
      </c>
      <c r="EF30" s="823">
        <v>12.577496</v>
      </c>
      <c r="EG30" s="823">
        <v>12.577496</v>
      </c>
      <c r="EH30" s="823">
        <v>0</v>
      </c>
      <c r="EI30" s="823">
        <v>1.0061997</v>
      </c>
      <c r="EJ30" s="823">
        <v>0</v>
      </c>
      <c r="EK30" s="823">
        <v>0</v>
      </c>
      <c r="EL30" s="823">
        <v>0</v>
      </c>
      <c r="EM30" s="823">
        <v>0</v>
      </c>
      <c r="EN30" s="823">
        <v>0</v>
      </c>
      <c r="EO30" s="823">
        <v>0</v>
      </c>
      <c r="EP30" s="823">
        <v>0</v>
      </c>
      <c r="EQ30" s="823">
        <v>0</v>
      </c>
      <c r="ER30" s="823">
        <v>0</v>
      </c>
      <c r="ES30" s="823">
        <v>0</v>
      </c>
      <c r="ET30" s="823">
        <v>0</v>
      </c>
      <c r="EU30" s="823">
        <v>0</v>
      </c>
      <c r="EV30" s="823">
        <v>0</v>
      </c>
      <c r="EW30" s="823">
        <v>0</v>
      </c>
      <c r="EX30" s="823">
        <v>19.888649600000001</v>
      </c>
      <c r="EY30" s="823">
        <v>0</v>
      </c>
      <c r="EZ30" s="823">
        <v>19.914529300000002</v>
      </c>
      <c r="FA30" s="823">
        <v>16.817969999999999</v>
      </c>
      <c r="FB30" s="823">
        <v>287.5753034</v>
      </c>
      <c r="FC30" s="823">
        <v>0</v>
      </c>
      <c r="FD30" s="823"/>
      <c r="FE30" s="823">
        <v>0</v>
      </c>
      <c r="FF30" s="823">
        <v>0</v>
      </c>
      <c r="FG30" s="823">
        <v>0</v>
      </c>
      <c r="FH30" s="823">
        <v>0</v>
      </c>
      <c r="FI30" s="823">
        <v>0</v>
      </c>
      <c r="FJ30" s="823">
        <v>0</v>
      </c>
      <c r="FK30" s="823">
        <v>0</v>
      </c>
      <c r="FL30" s="823">
        <v>0</v>
      </c>
      <c r="FM30" s="823">
        <v>0</v>
      </c>
      <c r="FN30" s="823">
        <v>0</v>
      </c>
      <c r="FO30" s="823">
        <v>0</v>
      </c>
      <c r="FP30" s="823">
        <v>25.772727400000001</v>
      </c>
      <c r="FQ30" s="823">
        <v>0</v>
      </c>
      <c r="FR30" s="823">
        <v>4.7863636999999999</v>
      </c>
      <c r="FS30" s="823">
        <v>19.888649600000001</v>
      </c>
      <c r="FT30" s="823">
        <v>0</v>
      </c>
      <c r="FU30" s="823">
        <v>44.131577300000004</v>
      </c>
      <c r="FV30" s="823">
        <v>160.81561249999999</v>
      </c>
      <c r="FW30" s="823">
        <v>484.97153030000004</v>
      </c>
      <c r="FX30" s="823">
        <v>0</v>
      </c>
      <c r="FY30" s="823">
        <v>187.65256340000002</v>
      </c>
      <c r="FZ30" s="823">
        <v>0</v>
      </c>
      <c r="GA30" s="823">
        <v>0</v>
      </c>
      <c r="GB30" s="823">
        <v>0</v>
      </c>
      <c r="GC30" s="823">
        <v>30</v>
      </c>
      <c r="GD30" s="823">
        <v>0</v>
      </c>
      <c r="GE30" s="823">
        <v>0</v>
      </c>
      <c r="GF30" s="823">
        <v>0</v>
      </c>
      <c r="GG30" s="823">
        <v>65</v>
      </c>
      <c r="GH30" s="823">
        <v>72.5</v>
      </c>
      <c r="GI30" s="823">
        <v>0</v>
      </c>
      <c r="GJ30" s="823">
        <v>0</v>
      </c>
      <c r="GK30" s="823">
        <v>0</v>
      </c>
      <c r="GL30" s="823">
        <v>0</v>
      </c>
      <c r="GM30" s="823"/>
      <c r="GN30" s="823">
        <v>65</v>
      </c>
      <c r="GO30" s="823">
        <v>72.5</v>
      </c>
      <c r="GP30" s="823">
        <v>0</v>
      </c>
      <c r="GQ30" s="823">
        <v>30</v>
      </c>
      <c r="GR30" s="823">
        <v>0</v>
      </c>
      <c r="GS30" s="823">
        <v>0</v>
      </c>
      <c r="GT30" s="823">
        <v>0</v>
      </c>
      <c r="GU30" s="823">
        <v>0</v>
      </c>
      <c r="GV30" s="823">
        <v>0</v>
      </c>
      <c r="GW30" s="823">
        <v>0</v>
      </c>
      <c r="GX30" s="823">
        <v>0</v>
      </c>
      <c r="GY30" s="823">
        <v>0</v>
      </c>
      <c r="GZ30" s="823">
        <v>0</v>
      </c>
      <c r="HA30" s="823">
        <v>0</v>
      </c>
      <c r="HB30" s="823">
        <v>0</v>
      </c>
      <c r="HC30" s="823">
        <v>0</v>
      </c>
      <c r="HD30" s="823">
        <v>0</v>
      </c>
      <c r="HE30" s="823">
        <v>0</v>
      </c>
      <c r="HF30" s="823">
        <v>0</v>
      </c>
      <c r="HG30" s="823">
        <v>0</v>
      </c>
      <c r="HH30" s="823">
        <v>0</v>
      </c>
      <c r="HI30" s="823">
        <v>0</v>
      </c>
      <c r="HJ30" s="823">
        <v>0</v>
      </c>
      <c r="HK30" s="823">
        <v>0</v>
      </c>
      <c r="HL30" s="823">
        <v>0</v>
      </c>
      <c r="HM30" s="823">
        <v>0</v>
      </c>
      <c r="HN30" s="823">
        <v>0</v>
      </c>
      <c r="HO30" s="823">
        <v>0</v>
      </c>
      <c r="HP30" s="823">
        <v>0</v>
      </c>
      <c r="HQ30" s="823">
        <v>0</v>
      </c>
      <c r="HR30" s="823">
        <v>0</v>
      </c>
      <c r="HS30" s="823">
        <v>0</v>
      </c>
      <c r="HT30" s="823">
        <v>0</v>
      </c>
      <c r="HU30" s="823">
        <v>0</v>
      </c>
      <c r="HV30" s="823">
        <v>0</v>
      </c>
      <c r="HW30" s="823">
        <v>0</v>
      </c>
      <c r="HX30" s="823">
        <v>0</v>
      </c>
      <c r="HY30" s="823">
        <v>0</v>
      </c>
      <c r="HZ30" s="823">
        <v>0</v>
      </c>
      <c r="IA30" s="823">
        <v>0</v>
      </c>
      <c r="IB30" s="823">
        <v>0</v>
      </c>
      <c r="IC30" s="823">
        <v>0</v>
      </c>
      <c r="ID30" s="823">
        <v>0</v>
      </c>
      <c r="IE30" s="823">
        <v>0</v>
      </c>
      <c r="IF30" s="823">
        <v>0</v>
      </c>
      <c r="IG30" s="823">
        <v>0</v>
      </c>
      <c r="IH30" s="823">
        <v>0</v>
      </c>
      <c r="II30" s="823">
        <v>0</v>
      </c>
      <c r="IJ30" s="823">
        <v>0</v>
      </c>
      <c r="IK30" s="823">
        <v>0</v>
      </c>
      <c r="IL30" s="823">
        <v>0</v>
      </c>
      <c r="IM30" s="823">
        <v>0</v>
      </c>
      <c r="IN30" s="823">
        <v>0</v>
      </c>
      <c r="IO30" s="823">
        <v>0</v>
      </c>
      <c r="IP30" s="823">
        <v>0</v>
      </c>
      <c r="IQ30" s="823">
        <v>0</v>
      </c>
      <c r="IR30" s="823">
        <v>0</v>
      </c>
    </row>
    <row r="31" spans="1:252" ht="12.75" x14ac:dyDescent="0.2">
      <c r="A31" s="824" t="s">
        <v>274</v>
      </c>
      <c r="B31" s="823">
        <v>9.0272959999999998</v>
      </c>
      <c r="C31" s="823">
        <v>0</v>
      </c>
      <c r="D31" s="823">
        <v>0</v>
      </c>
      <c r="E31" s="823"/>
      <c r="F31" s="823">
        <v>0</v>
      </c>
      <c r="G31" s="823"/>
      <c r="H31" s="823"/>
      <c r="I31" s="823">
        <v>50.8941175</v>
      </c>
      <c r="J31" s="823">
        <v>1.090797</v>
      </c>
      <c r="K31" s="823">
        <v>62.905200000000001</v>
      </c>
      <c r="L31" s="823">
        <v>0</v>
      </c>
      <c r="M31" s="823">
        <v>0</v>
      </c>
      <c r="N31" s="823">
        <v>0</v>
      </c>
      <c r="O31" s="823"/>
      <c r="P31" s="823">
        <v>24.429600000000001</v>
      </c>
      <c r="Q31" s="823">
        <v>0</v>
      </c>
      <c r="R31" s="823">
        <v>0</v>
      </c>
      <c r="S31" s="823">
        <v>0</v>
      </c>
      <c r="T31" s="823">
        <v>0</v>
      </c>
      <c r="U31" s="823">
        <v>0</v>
      </c>
      <c r="V31" s="823"/>
      <c r="W31" s="823">
        <v>13.617001999999999</v>
      </c>
      <c r="X31" s="823"/>
      <c r="Y31" s="823">
        <v>0</v>
      </c>
      <c r="Z31" s="823">
        <v>0</v>
      </c>
      <c r="AA31" s="823"/>
      <c r="AB31" s="823">
        <v>0</v>
      </c>
      <c r="AC31" s="823"/>
      <c r="AD31" s="823">
        <v>97.968015499999993</v>
      </c>
      <c r="AE31" s="823">
        <v>1.090797</v>
      </c>
      <c r="AF31" s="823">
        <v>62.905200000000001</v>
      </c>
      <c r="AG31" s="823">
        <v>0</v>
      </c>
      <c r="AH31" s="823">
        <v>0</v>
      </c>
      <c r="AI31" s="823">
        <v>0</v>
      </c>
      <c r="AJ31" s="823">
        <v>0</v>
      </c>
      <c r="AK31" s="823">
        <v>0</v>
      </c>
      <c r="AL31" s="823">
        <v>0</v>
      </c>
      <c r="AM31" s="823">
        <v>0</v>
      </c>
      <c r="AN31" s="823">
        <v>0</v>
      </c>
      <c r="AO31" s="823">
        <v>0</v>
      </c>
      <c r="AP31" s="823">
        <v>0</v>
      </c>
      <c r="AQ31" s="823">
        <v>0</v>
      </c>
      <c r="AR31" s="823">
        <v>0</v>
      </c>
      <c r="AS31" s="823">
        <v>22.6575354</v>
      </c>
      <c r="AT31" s="823">
        <v>22.6575354</v>
      </c>
      <c r="AU31" s="823">
        <v>0</v>
      </c>
      <c r="AV31" s="823">
        <v>0</v>
      </c>
      <c r="AW31" s="823">
        <v>0</v>
      </c>
      <c r="AX31" s="823"/>
      <c r="AY31" s="823">
        <v>0</v>
      </c>
      <c r="AZ31" s="823">
        <v>0</v>
      </c>
      <c r="BA31" s="823">
        <v>0</v>
      </c>
      <c r="BB31" s="823">
        <v>0</v>
      </c>
      <c r="BC31" s="823">
        <v>0</v>
      </c>
      <c r="BD31" s="823">
        <v>0</v>
      </c>
      <c r="BE31" s="823">
        <v>3.6497999999999999</v>
      </c>
      <c r="BF31" s="823">
        <v>3.6852233999999999</v>
      </c>
      <c r="BG31" s="823">
        <v>0</v>
      </c>
      <c r="BH31" s="823">
        <v>0</v>
      </c>
      <c r="BI31" s="823"/>
      <c r="BJ31" s="823">
        <v>0</v>
      </c>
      <c r="BK31" s="823">
        <v>0</v>
      </c>
      <c r="BL31" s="823">
        <v>0</v>
      </c>
      <c r="BM31" s="823">
        <v>0</v>
      </c>
      <c r="BN31" s="823">
        <v>0</v>
      </c>
      <c r="BO31" s="823">
        <v>0</v>
      </c>
      <c r="BP31" s="823">
        <v>0</v>
      </c>
      <c r="BQ31" s="823">
        <v>0</v>
      </c>
      <c r="BR31" s="823">
        <v>0</v>
      </c>
      <c r="BS31" s="823">
        <v>0</v>
      </c>
      <c r="BT31" s="823">
        <v>0</v>
      </c>
      <c r="BU31" s="823">
        <v>0</v>
      </c>
      <c r="BV31" s="823">
        <v>0</v>
      </c>
      <c r="BW31" s="823">
        <v>0</v>
      </c>
      <c r="BX31" s="823">
        <v>0</v>
      </c>
      <c r="BY31" s="823">
        <v>0</v>
      </c>
      <c r="BZ31" s="823">
        <v>0</v>
      </c>
      <c r="CA31" s="823">
        <v>0</v>
      </c>
      <c r="CB31" s="823"/>
      <c r="CC31" s="823">
        <v>24.6357</v>
      </c>
      <c r="CD31" s="823">
        <v>28</v>
      </c>
      <c r="CE31" s="823">
        <v>0</v>
      </c>
      <c r="CF31" s="823">
        <v>0</v>
      </c>
      <c r="CG31" s="823">
        <v>0</v>
      </c>
      <c r="CH31" s="823">
        <v>27.313769499999999</v>
      </c>
      <c r="CI31" s="823">
        <v>31.9820274</v>
      </c>
      <c r="CJ31" s="823">
        <v>13.843</v>
      </c>
      <c r="CK31" s="823">
        <v>46.662648099999998</v>
      </c>
      <c r="CL31" s="823">
        <v>65.386247600000004</v>
      </c>
      <c r="CM31" s="823">
        <v>0</v>
      </c>
      <c r="CN31" s="823"/>
      <c r="CO31" s="823">
        <v>0</v>
      </c>
      <c r="CP31" s="823">
        <v>0</v>
      </c>
      <c r="CQ31" s="823">
        <v>0</v>
      </c>
      <c r="CR31" s="823">
        <v>0</v>
      </c>
      <c r="CS31" s="823">
        <v>0</v>
      </c>
      <c r="CT31" s="823">
        <v>0</v>
      </c>
      <c r="CU31" s="823">
        <v>0</v>
      </c>
      <c r="CV31" s="823">
        <v>0</v>
      </c>
      <c r="CW31" s="823">
        <v>0</v>
      </c>
      <c r="CX31" s="823">
        <v>0</v>
      </c>
      <c r="CY31" s="823">
        <v>0</v>
      </c>
      <c r="CZ31" s="823">
        <v>0</v>
      </c>
      <c r="DA31" s="823">
        <v>0</v>
      </c>
      <c r="DB31" s="823">
        <v>0</v>
      </c>
      <c r="DC31" s="823">
        <v>0</v>
      </c>
      <c r="DD31" s="823">
        <v>0</v>
      </c>
      <c r="DE31" s="823">
        <v>0</v>
      </c>
      <c r="DF31" s="823">
        <v>0</v>
      </c>
      <c r="DG31" s="823">
        <v>0</v>
      </c>
      <c r="DH31" s="823">
        <v>0</v>
      </c>
      <c r="DI31" s="823">
        <v>0</v>
      </c>
      <c r="DJ31" s="823">
        <v>0</v>
      </c>
      <c r="DK31" s="823">
        <v>0</v>
      </c>
      <c r="DL31" s="823">
        <v>0</v>
      </c>
      <c r="DM31" s="823">
        <v>0</v>
      </c>
      <c r="DN31" s="823">
        <v>0</v>
      </c>
      <c r="DO31" s="823">
        <v>0</v>
      </c>
      <c r="DP31" s="823">
        <v>0</v>
      </c>
      <c r="DQ31" s="823">
        <v>0</v>
      </c>
      <c r="DR31" s="823">
        <v>0</v>
      </c>
      <c r="DS31" s="823">
        <v>0</v>
      </c>
      <c r="DT31" s="823">
        <v>0</v>
      </c>
      <c r="DU31" s="823"/>
      <c r="DV31" s="823">
        <v>0</v>
      </c>
      <c r="DW31" s="823">
        <v>0</v>
      </c>
      <c r="DX31" s="823">
        <v>0</v>
      </c>
      <c r="DY31" s="823">
        <v>0</v>
      </c>
      <c r="DZ31" s="823">
        <v>0</v>
      </c>
      <c r="EA31" s="823">
        <v>0</v>
      </c>
      <c r="EB31" s="823">
        <v>0</v>
      </c>
      <c r="EC31" s="823">
        <v>0</v>
      </c>
      <c r="ED31" s="823">
        <v>0</v>
      </c>
      <c r="EE31" s="823">
        <v>1.2802</v>
      </c>
      <c r="EF31" s="823">
        <v>2.5853413000000001</v>
      </c>
      <c r="EG31" s="823">
        <v>2.5853413000000001</v>
      </c>
      <c r="EH31" s="823">
        <v>0</v>
      </c>
      <c r="EI31" s="823">
        <v>0</v>
      </c>
      <c r="EJ31" s="823">
        <v>0</v>
      </c>
      <c r="EK31" s="823">
        <v>0</v>
      </c>
      <c r="EL31" s="823">
        <v>0</v>
      </c>
      <c r="EM31" s="823">
        <v>0</v>
      </c>
      <c r="EN31" s="823">
        <v>0</v>
      </c>
      <c r="EO31" s="823">
        <v>0</v>
      </c>
      <c r="EP31" s="823"/>
      <c r="EQ31" s="823">
        <v>0</v>
      </c>
      <c r="ER31" s="823">
        <v>0</v>
      </c>
      <c r="ES31" s="823">
        <v>0</v>
      </c>
      <c r="ET31" s="823">
        <v>4.4296658999999998</v>
      </c>
      <c r="EU31" s="823">
        <v>0</v>
      </c>
      <c r="EV31" s="823">
        <v>0</v>
      </c>
      <c r="EW31" s="823">
        <v>0</v>
      </c>
      <c r="EX31" s="823">
        <v>9.3068182000000004</v>
      </c>
      <c r="EY31" s="823">
        <v>5.2624719000000004</v>
      </c>
      <c r="EZ31" s="823">
        <v>20.909500000000001</v>
      </c>
      <c r="FA31" s="823">
        <v>23.423170200000001</v>
      </c>
      <c r="FB31" s="823">
        <v>117.3269028</v>
      </c>
      <c r="FC31" s="823">
        <v>0</v>
      </c>
      <c r="FD31" s="823"/>
      <c r="FE31" s="823">
        <v>0</v>
      </c>
      <c r="FF31" s="823">
        <v>0</v>
      </c>
      <c r="FG31" s="823">
        <v>0</v>
      </c>
      <c r="FH31" s="823">
        <v>0</v>
      </c>
      <c r="FI31" s="823">
        <v>0</v>
      </c>
      <c r="FJ31" s="823">
        <v>0</v>
      </c>
      <c r="FK31" s="823">
        <v>0</v>
      </c>
      <c r="FL31" s="823">
        <v>0</v>
      </c>
      <c r="FM31" s="823">
        <v>0</v>
      </c>
      <c r="FN31" s="823">
        <v>0</v>
      </c>
      <c r="FO31" s="823">
        <v>0</v>
      </c>
      <c r="FP31" s="823">
        <v>5.2976603000000004</v>
      </c>
      <c r="FQ31" s="823">
        <v>0</v>
      </c>
      <c r="FR31" s="823">
        <v>0</v>
      </c>
      <c r="FS31" s="823">
        <v>36.620587700000002</v>
      </c>
      <c r="FT31" s="823">
        <v>37.244499300000001</v>
      </c>
      <c r="FU31" s="823">
        <v>64.318200000000004</v>
      </c>
      <c r="FV31" s="823">
        <v>131.4435843</v>
      </c>
      <c r="FW31" s="823">
        <v>213.25368739999999</v>
      </c>
      <c r="FX31" s="823">
        <v>0</v>
      </c>
      <c r="FY31" s="823">
        <v>0</v>
      </c>
      <c r="FZ31" s="823">
        <v>0</v>
      </c>
      <c r="GA31" s="823">
        <v>0</v>
      </c>
      <c r="GB31" s="823">
        <v>0</v>
      </c>
      <c r="GC31" s="823">
        <v>6.1666600000000003</v>
      </c>
      <c r="GD31" s="823">
        <v>0</v>
      </c>
      <c r="GE31" s="823">
        <v>0</v>
      </c>
      <c r="GF31" s="823"/>
      <c r="GG31" s="823">
        <v>13.232471</v>
      </c>
      <c r="GH31" s="823">
        <v>14.759294000000001</v>
      </c>
      <c r="GI31" s="823">
        <v>0</v>
      </c>
      <c r="GJ31" s="823">
        <v>0</v>
      </c>
      <c r="GK31" s="823">
        <v>0</v>
      </c>
      <c r="GL31" s="823">
        <v>0</v>
      </c>
      <c r="GM31" s="823"/>
      <c r="GN31" s="823">
        <v>13.232471</v>
      </c>
      <c r="GO31" s="823">
        <v>14.759294000000001</v>
      </c>
      <c r="GP31" s="823">
        <v>0</v>
      </c>
      <c r="GQ31" s="823">
        <v>6.1666600000000003</v>
      </c>
      <c r="GR31" s="823">
        <v>0</v>
      </c>
      <c r="GS31" s="823">
        <v>0</v>
      </c>
      <c r="GT31" s="823">
        <v>0</v>
      </c>
      <c r="GU31" s="823">
        <v>0</v>
      </c>
      <c r="GV31" s="823">
        <v>0</v>
      </c>
      <c r="GW31" s="823">
        <v>0</v>
      </c>
      <c r="GX31" s="823">
        <v>0</v>
      </c>
      <c r="GY31" s="823">
        <v>0</v>
      </c>
      <c r="GZ31" s="823">
        <v>0</v>
      </c>
      <c r="HA31" s="823">
        <v>0</v>
      </c>
      <c r="HB31" s="823">
        <v>0</v>
      </c>
      <c r="HC31" s="823">
        <v>0</v>
      </c>
      <c r="HD31" s="823">
        <v>0</v>
      </c>
      <c r="HE31" s="823">
        <v>0</v>
      </c>
      <c r="HF31" s="823">
        <v>0</v>
      </c>
      <c r="HG31" s="823">
        <v>0</v>
      </c>
      <c r="HH31" s="823">
        <v>0</v>
      </c>
      <c r="HI31" s="823">
        <v>0</v>
      </c>
      <c r="HJ31" s="823">
        <v>0</v>
      </c>
      <c r="HK31" s="823">
        <v>0</v>
      </c>
      <c r="HL31" s="823">
        <v>0</v>
      </c>
      <c r="HM31" s="823">
        <v>0</v>
      </c>
      <c r="HN31" s="823">
        <v>0</v>
      </c>
      <c r="HO31" s="823">
        <v>0</v>
      </c>
      <c r="HP31" s="823">
        <v>0</v>
      </c>
      <c r="HQ31" s="823">
        <v>0</v>
      </c>
      <c r="HR31" s="823">
        <v>0</v>
      </c>
      <c r="HS31" s="823">
        <v>0</v>
      </c>
      <c r="HT31" s="823">
        <v>0</v>
      </c>
      <c r="HU31" s="823">
        <v>0</v>
      </c>
      <c r="HV31" s="823">
        <v>0</v>
      </c>
      <c r="HW31" s="823">
        <v>0</v>
      </c>
      <c r="HX31" s="823">
        <v>0</v>
      </c>
      <c r="HY31" s="823">
        <v>0</v>
      </c>
      <c r="HZ31" s="823">
        <v>0</v>
      </c>
      <c r="IA31" s="823">
        <v>0</v>
      </c>
      <c r="IB31" s="823">
        <v>0</v>
      </c>
      <c r="IC31" s="823">
        <v>0</v>
      </c>
      <c r="ID31" s="823">
        <v>0</v>
      </c>
      <c r="IE31" s="823">
        <v>0</v>
      </c>
      <c r="IF31" s="823">
        <v>0</v>
      </c>
      <c r="IG31" s="823">
        <v>0</v>
      </c>
      <c r="IH31" s="823">
        <v>0</v>
      </c>
      <c r="II31" s="823">
        <v>0</v>
      </c>
      <c r="IJ31" s="823">
        <v>0</v>
      </c>
      <c r="IK31" s="823">
        <v>0</v>
      </c>
      <c r="IL31" s="823">
        <v>0</v>
      </c>
      <c r="IM31" s="823">
        <v>0</v>
      </c>
      <c r="IN31" s="823">
        <v>0</v>
      </c>
      <c r="IO31" s="823">
        <v>0</v>
      </c>
      <c r="IP31" s="823">
        <v>0</v>
      </c>
      <c r="IQ31" s="823">
        <v>0</v>
      </c>
      <c r="IR31" s="823">
        <v>0</v>
      </c>
    </row>
    <row r="32" spans="1:252" ht="12.75" x14ac:dyDescent="0.2">
      <c r="A32" s="824" t="s">
        <v>275</v>
      </c>
      <c r="B32" s="823">
        <v>95.052260677999996</v>
      </c>
      <c r="C32" s="823">
        <v>45.837699999999998</v>
      </c>
      <c r="D32" s="823">
        <v>-2170.7660000000001</v>
      </c>
      <c r="E32" s="823">
        <v>-1696.1166999999994</v>
      </c>
      <c r="F32" s="823">
        <v>-49.250700000000002</v>
      </c>
      <c r="G32" s="823">
        <v>6.64</v>
      </c>
      <c r="H32" s="823">
        <v>6.17</v>
      </c>
      <c r="I32" s="823">
        <v>552.63109999999995</v>
      </c>
      <c r="J32" s="823">
        <v>1019.7864556009999</v>
      </c>
      <c r="K32" s="823">
        <v>1829.0146397389999</v>
      </c>
      <c r="L32" s="823">
        <v>579.78791222200005</v>
      </c>
      <c r="M32" s="823">
        <v>1417.752334344</v>
      </c>
      <c r="N32" s="823">
        <v>1604.69074881403</v>
      </c>
      <c r="O32" s="823">
        <v>164.27</v>
      </c>
      <c r="P32" s="823">
        <v>156.06181559999999</v>
      </c>
      <c r="Q32" s="823">
        <v>-1691.0996545</v>
      </c>
      <c r="R32" s="823">
        <v>0</v>
      </c>
      <c r="S32" s="823">
        <v>-293.66079639999998</v>
      </c>
      <c r="T32" s="823">
        <v>-1524.1084000000003</v>
      </c>
      <c r="U32" s="823">
        <v>0</v>
      </c>
      <c r="V32" s="823">
        <v>0</v>
      </c>
      <c r="W32" s="823">
        <v>139.97555879999999</v>
      </c>
      <c r="X32" s="823">
        <v>-1913.5339999999997</v>
      </c>
      <c r="Y32" s="823">
        <v>1002.6584</v>
      </c>
      <c r="Z32" s="823">
        <v>-1877.9106535999999</v>
      </c>
      <c r="AA32" s="823">
        <v>-1485.8509999999999</v>
      </c>
      <c r="AB32" s="823">
        <v>22.5</v>
      </c>
      <c r="AC32" s="823">
        <v>22.5</v>
      </c>
      <c r="AD32" s="823">
        <v>943.72073507799996</v>
      </c>
      <c r="AE32" s="823">
        <v>-2539.0094988989995</v>
      </c>
      <c r="AF32" s="823">
        <v>660.90703973899986</v>
      </c>
      <c r="AG32" s="823">
        <v>-3287.9002377779993</v>
      </c>
      <c r="AH32" s="823">
        <v>-1641.4577656560002</v>
      </c>
      <c r="AI32" s="823">
        <v>1633.8307488140301</v>
      </c>
      <c r="AJ32" s="823">
        <v>192.94</v>
      </c>
      <c r="AK32" s="823">
        <v>0</v>
      </c>
      <c r="AL32" s="823">
        <v>0</v>
      </c>
      <c r="AM32" s="823">
        <v>0</v>
      </c>
      <c r="AN32" s="823">
        <v>0</v>
      </c>
      <c r="AO32" s="823">
        <v>0</v>
      </c>
      <c r="AP32" s="823">
        <v>0</v>
      </c>
      <c r="AQ32" s="823">
        <v>0</v>
      </c>
      <c r="AR32" s="823">
        <v>0</v>
      </c>
      <c r="AS32" s="823">
        <v>0</v>
      </c>
      <c r="AT32" s="823">
        <v>0</v>
      </c>
      <c r="AU32" s="823">
        <v>0</v>
      </c>
      <c r="AV32" s="823">
        <v>0</v>
      </c>
      <c r="AW32" s="823">
        <v>0</v>
      </c>
      <c r="AX32" s="823"/>
      <c r="AY32" s="823">
        <v>0</v>
      </c>
      <c r="AZ32" s="823">
        <v>0</v>
      </c>
      <c r="BA32" s="823">
        <v>0</v>
      </c>
      <c r="BB32" s="823">
        <v>0</v>
      </c>
      <c r="BC32" s="823">
        <v>100</v>
      </c>
      <c r="BD32" s="823">
        <v>0</v>
      </c>
      <c r="BE32" s="823">
        <v>160</v>
      </c>
      <c r="BF32" s="823">
        <v>110</v>
      </c>
      <c r="BG32" s="823">
        <v>100</v>
      </c>
      <c r="BH32" s="823">
        <v>150</v>
      </c>
      <c r="BI32" s="823">
        <v>50</v>
      </c>
      <c r="BJ32" s="823">
        <v>0</v>
      </c>
      <c r="BK32" s="823">
        <v>0</v>
      </c>
      <c r="BL32" s="823">
        <v>0</v>
      </c>
      <c r="BM32" s="823">
        <v>0</v>
      </c>
      <c r="BN32" s="823">
        <v>0</v>
      </c>
      <c r="BO32" s="823">
        <v>0</v>
      </c>
      <c r="BP32" s="823">
        <v>0</v>
      </c>
      <c r="BQ32" s="823">
        <v>0</v>
      </c>
      <c r="BR32" s="823">
        <v>0</v>
      </c>
      <c r="BS32" s="823">
        <v>0</v>
      </c>
      <c r="BT32" s="823">
        <v>0</v>
      </c>
      <c r="BU32" s="823">
        <v>0</v>
      </c>
      <c r="BV32" s="823">
        <v>0</v>
      </c>
      <c r="BW32" s="823">
        <v>0</v>
      </c>
      <c r="BX32" s="823">
        <v>0</v>
      </c>
      <c r="BY32" s="823">
        <v>0</v>
      </c>
      <c r="BZ32" s="823">
        <v>0</v>
      </c>
      <c r="CA32" s="823">
        <v>0</v>
      </c>
      <c r="CB32" s="823">
        <v>9.7200000000000006</v>
      </c>
      <c r="CC32" s="823">
        <v>9.7200000000000006</v>
      </c>
      <c r="CD32" s="823">
        <v>9.7200000000000006</v>
      </c>
      <c r="CE32" s="823">
        <v>2.4300000000000002</v>
      </c>
      <c r="CF32" s="823">
        <v>0</v>
      </c>
      <c r="CG32" s="823">
        <v>0</v>
      </c>
      <c r="CH32" s="823">
        <v>0</v>
      </c>
      <c r="CI32" s="823">
        <v>0</v>
      </c>
      <c r="CJ32" s="823">
        <v>10.392899999999999</v>
      </c>
      <c r="CK32" s="823">
        <v>13.857200000000001</v>
      </c>
      <c r="CL32" s="823">
        <v>3.4643000000000002</v>
      </c>
      <c r="CM32" s="823">
        <v>0</v>
      </c>
      <c r="CN32" s="823"/>
      <c r="CO32" s="823">
        <v>0</v>
      </c>
      <c r="CP32" s="823">
        <v>0</v>
      </c>
      <c r="CQ32" s="823">
        <v>0</v>
      </c>
      <c r="CR32" s="823">
        <v>0</v>
      </c>
      <c r="CS32" s="823">
        <v>0</v>
      </c>
      <c r="CT32" s="823">
        <v>0</v>
      </c>
      <c r="CU32" s="823">
        <v>0</v>
      </c>
      <c r="CV32" s="823">
        <v>0</v>
      </c>
      <c r="CW32" s="823">
        <v>0</v>
      </c>
      <c r="CX32" s="823">
        <v>0</v>
      </c>
      <c r="CY32" s="823">
        <v>0</v>
      </c>
      <c r="CZ32" s="823">
        <v>0</v>
      </c>
      <c r="DA32" s="823">
        <v>0</v>
      </c>
      <c r="DB32" s="823">
        <v>0</v>
      </c>
      <c r="DC32" s="823">
        <v>0</v>
      </c>
      <c r="DD32" s="823">
        <v>0</v>
      </c>
      <c r="DE32" s="823">
        <v>0</v>
      </c>
      <c r="DF32" s="823">
        <v>0</v>
      </c>
      <c r="DG32" s="823">
        <v>0</v>
      </c>
      <c r="DH32" s="823">
        <v>0</v>
      </c>
      <c r="DI32" s="823">
        <v>0</v>
      </c>
      <c r="DJ32" s="823">
        <v>0</v>
      </c>
      <c r="DK32" s="823">
        <v>0</v>
      </c>
      <c r="DL32" s="823">
        <v>0</v>
      </c>
      <c r="DM32" s="823">
        <v>0</v>
      </c>
      <c r="DN32" s="823">
        <v>0</v>
      </c>
      <c r="DO32" s="823">
        <v>0</v>
      </c>
      <c r="DP32" s="823">
        <v>0</v>
      </c>
      <c r="DQ32" s="823">
        <v>0</v>
      </c>
      <c r="DR32" s="823">
        <v>0</v>
      </c>
      <c r="DS32" s="823">
        <v>0</v>
      </c>
      <c r="DT32" s="823">
        <v>0</v>
      </c>
      <c r="DU32" s="823"/>
      <c r="DV32" s="823">
        <v>0</v>
      </c>
      <c r="DW32" s="823">
        <v>0</v>
      </c>
      <c r="DX32" s="823">
        <v>0</v>
      </c>
      <c r="DY32" s="823">
        <v>0</v>
      </c>
      <c r="DZ32" s="823">
        <v>0</v>
      </c>
      <c r="EA32" s="823">
        <v>0</v>
      </c>
      <c r="EB32" s="823">
        <v>0</v>
      </c>
      <c r="EC32" s="823"/>
      <c r="ED32" s="823">
        <v>0</v>
      </c>
      <c r="EE32" s="823">
        <v>12.7777777</v>
      </c>
      <c r="EF32" s="823">
        <v>6.3888888000000001</v>
      </c>
      <c r="EG32" s="823">
        <v>1.5972222</v>
      </c>
      <c r="EH32" s="823">
        <v>0</v>
      </c>
      <c r="EI32" s="823">
        <v>0</v>
      </c>
      <c r="EJ32" s="823">
        <v>0</v>
      </c>
      <c r="EK32" s="823">
        <v>0</v>
      </c>
      <c r="EL32" s="823">
        <v>0</v>
      </c>
      <c r="EM32" s="823">
        <v>0</v>
      </c>
      <c r="EN32" s="823">
        <v>0</v>
      </c>
      <c r="EO32" s="823">
        <v>0</v>
      </c>
      <c r="EP32" s="823">
        <v>-22.6</v>
      </c>
      <c r="EQ32" s="823">
        <v>0</v>
      </c>
      <c r="ER32" s="823">
        <v>0</v>
      </c>
      <c r="ES32" s="823">
        <v>0</v>
      </c>
      <c r="ET32" s="823">
        <v>0</v>
      </c>
      <c r="EU32" s="823">
        <v>0</v>
      </c>
      <c r="EV32" s="823">
        <v>0</v>
      </c>
      <c r="EW32" s="823">
        <v>0</v>
      </c>
      <c r="EX32" s="823">
        <v>0</v>
      </c>
      <c r="EY32" s="823">
        <v>0</v>
      </c>
      <c r="EZ32" s="823">
        <v>0</v>
      </c>
      <c r="FA32" s="823">
        <v>0</v>
      </c>
      <c r="FB32" s="823">
        <v>0</v>
      </c>
      <c r="FC32" s="823">
        <v>0</v>
      </c>
      <c r="FD32" s="823"/>
      <c r="FE32" s="823">
        <v>0</v>
      </c>
      <c r="FF32" s="823">
        <v>44.5</v>
      </c>
      <c r="FG32" s="823">
        <v>0</v>
      </c>
      <c r="FH32" s="823">
        <v>0</v>
      </c>
      <c r="FI32" s="823">
        <v>0</v>
      </c>
      <c r="FJ32" s="823">
        <v>0</v>
      </c>
      <c r="FK32" s="823">
        <v>0</v>
      </c>
      <c r="FL32" s="823">
        <v>0</v>
      </c>
      <c r="FM32" s="823">
        <v>0</v>
      </c>
      <c r="FN32" s="823">
        <v>0</v>
      </c>
      <c r="FO32" s="823">
        <v>0</v>
      </c>
      <c r="FP32" s="823">
        <v>0</v>
      </c>
      <c r="FQ32" s="823">
        <v>0</v>
      </c>
      <c r="FR32" s="823">
        <v>0</v>
      </c>
      <c r="FS32" s="823">
        <v>100</v>
      </c>
      <c r="FT32" s="823">
        <v>54.22</v>
      </c>
      <c r="FU32" s="823">
        <v>192.8906777</v>
      </c>
      <c r="FV32" s="823">
        <v>139.96608879999999</v>
      </c>
      <c r="FW32" s="823">
        <v>107.49152220000001</v>
      </c>
      <c r="FX32" s="823">
        <v>150</v>
      </c>
      <c r="FY32" s="823">
        <v>27.4</v>
      </c>
      <c r="FZ32" s="823">
        <v>306.93679293508598</v>
      </c>
      <c r="GA32" s="823">
        <v>323.76810144299998</v>
      </c>
      <c r="GB32" s="823">
        <v>595.66883266700097</v>
      </c>
      <c r="GC32" s="823">
        <v>404.16509013739574</v>
      </c>
      <c r="GD32" s="823">
        <v>176.70302659999999</v>
      </c>
      <c r="GE32" s="823">
        <v>490.19522510000002</v>
      </c>
      <c r="GF32" s="823">
        <v>738.30226956199999</v>
      </c>
      <c r="GG32" s="823">
        <v>197.99420169999999</v>
      </c>
      <c r="GH32" s="823">
        <v>194.8848346</v>
      </c>
      <c r="GI32" s="823">
        <v>67.917199999999994</v>
      </c>
      <c r="GJ32" s="823">
        <v>244.38271309999999</v>
      </c>
      <c r="GK32" s="823">
        <v>323.83974139999998</v>
      </c>
      <c r="GL32" s="823">
        <v>300.8</v>
      </c>
      <c r="GM32" s="823">
        <v>598.66198499999996</v>
      </c>
      <c r="GN32" s="823">
        <v>504.93099463508599</v>
      </c>
      <c r="GO32" s="823">
        <v>518.65293604299995</v>
      </c>
      <c r="GP32" s="823">
        <v>663.58603266700095</v>
      </c>
      <c r="GQ32" s="823">
        <v>648.54780323739578</v>
      </c>
      <c r="GR32" s="823">
        <v>500.54276799999997</v>
      </c>
      <c r="GS32" s="823">
        <v>790.99522509999997</v>
      </c>
      <c r="GT32" s="823">
        <v>1336.964254562</v>
      </c>
      <c r="GU32" s="823"/>
      <c r="GV32" s="823">
        <v>0</v>
      </c>
      <c r="GW32" s="823">
        <v>0</v>
      </c>
      <c r="GX32" s="823">
        <v>0</v>
      </c>
      <c r="GY32" s="823">
        <v>0</v>
      </c>
      <c r="GZ32" s="823">
        <v>0</v>
      </c>
      <c r="HA32" s="823">
        <v>0</v>
      </c>
      <c r="HB32" s="823">
        <v>0</v>
      </c>
      <c r="HC32" s="823">
        <v>0</v>
      </c>
      <c r="HD32" s="823">
        <v>0</v>
      </c>
      <c r="HE32" s="823">
        <v>0</v>
      </c>
      <c r="HF32" s="823">
        <v>0</v>
      </c>
      <c r="HG32" s="823">
        <v>0</v>
      </c>
      <c r="HH32" s="823">
        <v>0</v>
      </c>
      <c r="HI32" s="823">
        <v>0</v>
      </c>
      <c r="HJ32" s="823">
        <v>1.0684932</v>
      </c>
      <c r="HK32" s="823">
        <v>2.9883562000000001</v>
      </c>
      <c r="HL32" s="823">
        <v>0</v>
      </c>
      <c r="HM32" s="823">
        <v>0</v>
      </c>
      <c r="HN32" s="823">
        <v>0</v>
      </c>
      <c r="HO32" s="823">
        <v>0</v>
      </c>
      <c r="HP32" s="823">
        <v>0</v>
      </c>
      <c r="HQ32" s="823">
        <v>0</v>
      </c>
      <c r="HR32" s="823">
        <v>0</v>
      </c>
      <c r="HS32" s="823">
        <v>0</v>
      </c>
      <c r="HT32" s="823">
        <v>0</v>
      </c>
      <c r="HU32" s="823">
        <v>0</v>
      </c>
      <c r="HV32" s="823">
        <v>0</v>
      </c>
      <c r="HW32" s="823">
        <v>0</v>
      </c>
      <c r="HX32" s="823">
        <v>0</v>
      </c>
      <c r="HY32" s="823">
        <v>0</v>
      </c>
      <c r="HZ32" s="823">
        <v>0</v>
      </c>
      <c r="IA32" s="823">
        <v>0</v>
      </c>
      <c r="IB32" s="823">
        <v>0</v>
      </c>
      <c r="IC32" s="823">
        <v>0</v>
      </c>
      <c r="ID32" s="823">
        <v>0</v>
      </c>
      <c r="IE32" s="823">
        <v>0</v>
      </c>
      <c r="IF32" s="823">
        <v>0</v>
      </c>
      <c r="IG32" s="823">
        <v>0</v>
      </c>
      <c r="IH32" s="823">
        <v>12.5</v>
      </c>
      <c r="II32" s="823">
        <v>2.5</v>
      </c>
      <c r="IJ32" s="823">
        <v>0</v>
      </c>
      <c r="IK32" s="823">
        <v>0</v>
      </c>
      <c r="IL32" s="823">
        <v>0</v>
      </c>
      <c r="IM32" s="823">
        <v>0</v>
      </c>
      <c r="IN32" s="823">
        <v>1.0684932</v>
      </c>
      <c r="IO32" s="823">
        <v>15.4883562</v>
      </c>
      <c r="IP32" s="823">
        <v>2.5</v>
      </c>
      <c r="IQ32" s="823">
        <v>0</v>
      </c>
      <c r="IR32" s="823">
        <v>0</v>
      </c>
    </row>
    <row r="33" spans="1:252" ht="12.75" x14ac:dyDescent="0.2">
      <c r="A33" s="824" t="s">
        <v>542</v>
      </c>
      <c r="B33" s="823">
        <v>0</v>
      </c>
      <c r="C33" s="823">
        <v>0</v>
      </c>
      <c r="D33" s="823">
        <v>0</v>
      </c>
      <c r="E33" s="823">
        <v>0</v>
      </c>
      <c r="F33" s="823">
        <v>0</v>
      </c>
      <c r="G33" s="823"/>
      <c r="H33" s="823"/>
      <c r="I33" s="823"/>
      <c r="J33" s="823"/>
      <c r="K33" s="823"/>
      <c r="L33" s="823">
        <v>0</v>
      </c>
      <c r="M33" s="823"/>
      <c r="N33" s="823">
        <v>0</v>
      </c>
      <c r="O33" s="823"/>
      <c r="P33" s="823"/>
      <c r="Q33" s="823"/>
      <c r="R33" s="823"/>
      <c r="S33" s="823">
        <v>0</v>
      </c>
      <c r="T33" s="823">
        <v>0</v>
      </c>
      <c r="U33" s="823">
        <v>0</v>
      </c>
      <c r="V33" s="823">
        <v>-3115.16</v>
      </c>
      <c r="W33" s="823"/>
      <c r="X33" s="823"/>
      <c r="Y33" s="823"/>
      <c r="Z33" s="823">
        <v>0</v>
      </c>
      <c r="AA33" s="823">
        <v>0</v>
      </c>
      <c r="AB33" s="823">
        <v>0</v>
      </c>
      <c r="AC33" s="823">
        <v>-215.7</v>
      </c>
      <c r="AD33" s="823"/>
      <c r="AE33" s="823"/>
      <c r="AF33" s="823"/>
      <c r="AG33" s="823">
        <v>0</v>
      </c>
      <c r="AH33" s="823">
        <v>0</v>
      </c>
      <c r="AI33" s="823">
        <v>0</v>
      </c>
      <c r="AJ33" s="823">
        <v>-3330.8599999999997</v>
      </c>
      <c r="AK33" s="823"/>
      <c r="AL33" s="823">
        <v>0</v>
      </c>
      <c r="AM33" s="823">
        <v>0</v>
      </c>
      <c r="AN33" s="823">
        <v>0</v>
      </c>
      <c r="AO33" s="823"/>
      <c r="AP33" s="823"/>
      <c r="AQ33" s="823"/>
      <c r="AR33" s="823"/>
      <c r="AS33" s="823">
        <v>0</v>
      </c>
      <c r="AT33" s="823"/>
      <c r="AU33" s="823">
        <v>0</v>
      </c>
      <c r="AV33" s="823"/>
      <c r="AW33" s="823"/>
      <c r="AX33" s="823"/>
      <c r="AY33" s="823"/>
      <c r="AZ33" s="823">
        <v>0</v>
      </c>
      <c r="BA33" s="823"/>
      <c r="BB33" s="823">
        <v>0</v>
      </c>
      <c r="BC33" s="823"/>
      <c r="BD33" s="823"/>
      <c r="BE33" s="823"/>
      <c r="BF33" s="823">
        <v>0</v>
      </c>
      <c r="BG33" s="823"/>
      <c r="BH33" s="823">
        <v>0</v>
      </c>
      <c r="BI33" s="823"/>
      <c r="BJ33" s="823"/>
      <c r="BK33" s="823">
        <v>0</v>
      </c>
      <c r="BL33" s="823">
        <v>0</v>
      </c>
      <c r="BM33" s="823">
        <v>0</v>
      </c>
      <c r="BN33" s="823"/>
      <c r="BO33" s="823"/>
      <c r="BP33" s="823"/>
      <c r="BQ33" s="823"/>
      <c r="BR33" s="823">
        <v>0</v>
      </c>
      <c r="BS33" s="823">
        <v>0</v>
      </c>
      <c r="BT33" s="823">
        <v>0</v>
      </c>
      <c r="BU33" s="823"/>
      <c r="BV33" s="823"/>
      <c r="BW33" s="823">
        <v>0</v>
      </c>
      <c r="BX33" s="823">
        <v>0</v>
      </c>
      <c r="BY33" s="823">
        <v>0</v>
      </c>
      <c r="BZ33" s="823"/>
      <c r="CA33" s="823"/>
      <c r="CB33" s="823"/>
      <c r="CC33" s="823"/>
      <c r="CD33" s="823"/>
      <c r="CE33" s="823"/>
      <c r="CF33" s="823"/>
      <c r="CG33" s="823"/>
      <c r="CH33" s="823"/>
      <c r="CI33" s="823"/>
      <c r="CJ33" s="823"/>
      <c r="CK33" s="823">
        <v>0</v>
      </c>
      <c r="CL33" s="823"/>
      <c r="CM33" s="823">
        <v>0</v>
      </c>
      <c r="CN33" s="823"/>
      <c r="CO33" s="823"/>
      <c r="CP33" s="823"/>
      <c r="CQ33" s="823"/>
      <c r="CR33" s="823">
        <v>0</v>
      </c>
      <c r="CS33" s="823">
        <v>0</v>
      </c>
      <c r="CT33" s="823">
        <v>0</v>
      </c>
      <c r="CU33" s="823"/>
      <c r="CV33" s="823"/>
      <c r="CW33" s="823"/>
      <c r="CX33" s="823"/>
      <c r="CY33" s="823">
        <v>0</v>
      </c>
      <c r="CZ33" s="823">
        <v>0</v>
      </c>
      <c r="DA33" s="823">
        <v>0</v>
      </c>
      <c r="DB33" s="823"/>
      <c r="DC33" s="823"/>
      <c r="DD33" s="823"/>
      <c r="DE33" s="823"/>
      <c r="DF33" s="823">
        <v>0</v>
      </c>
      <c r="DG33" s="823">
        <v>0</v>
      </c>
      <c r="DH33" s="823">
        <v>0</v>
      </c>
      <c r="DI33" s="823"/>
      <c r="DJ33" s="823"/>
      <c r="DK33" s="823"/>
      <c r="DL33" s="823"/>
      <c r="DM33" s="823">
        <v>0</v>
      </c>
      <c r="DN33" s="823">
        <v>0</v>
      </c>
      <c r="DO33" s="823">
        <v>0</v>
      </c>
      <c r="DP33" s="823"/>
      <c r="DQ33" s="823"/>
      <c r="DR33" s="823">
        <v>0</v>
      </c>
      <c r="DS33" s="823">
        <v>0</v>
      </c>
      <c r="DT33" s="823">
        <v>0</v>
      </c>
      <c r="DU33" s="823"/>
      <c r="DV33" s="823"/>
      <c r="DW33" s="823"/>
      <c r="DX33" s="823"/>
      <c r="DY33" s="823">
        <v>0</v>
      </c>
      <c r="DZ33" s="823">
        <v>0</v>
      </c>
      <c r="EA33" s="823">
        <v>0</v>
      </c>
      <c r="EB33" s="823"/>
      <c r="EC33" s="823"/>
      <c r="ED33" s="823"/>
      <c r="EE33" s="823"/>
      <c r="EF33" s="823">
        <v>0</v>
      </c>
      <c r="EG33" s="823"/>
      <c r="EH33" s="823">
        <v>0</v>
      </c>
      <c r="EI33" s="823"/>
      <c r="EJ33" s="823"/>
      <c r="EK33" s="823"/>
      <c r="EL33" s="823"/>
      <c r="EM33" s="823">
        <v>0</v>
      </c>
      <c r="EN33" s="823">
        <v>0</v>
      </c>
      <c r="EO33" s="823">
        <v>0</v>
      </c>
      <c r="EP33" s="823"/>
      <c r="EQ33" s="823"/>
      <c r="ER33" s="823"/>
      <c r="ES33" s="823"/>
      <c r="ET33" s="823">
        <v>0</v>
      </c>
      <c r="EU33" s="823"/>
      <c r="EV33" s="823">
        <v>0</v>
      </c>
      <c r="EW33" s="823"/>
      <c r="EX33" s="823"/>
      <c r="EY33" s="823"/>
      <c r="EZ33" s="823"/>
      <c r="FA33" s="823">
        <v>0</v>
      </c>
      <c r="FB33" s="823"/>
      <c r="FC33" s="823">
        <v>0</v>
      </c>
      <c r="FD33" s="823"/>
      <c r="FE33" s="823"/>
      <c r="FF33" s="823"/>
      <c r="FG33" s="823"/>
      <c r="FH33" s="823">
        <v>0</v>
      </c>
      <c r="FI33" s="823">
        <v>0</v>
      </c>
      <c r="FJ33" s="823">
        <v>0</v>
      </c>
      <c r="FK33" s="823"/>
      <c r="FL33" s="823"/>
      <c r="FM33" s="823"/>
      <c r="FN33" s="823"/>
      <c r="FO33" s="823">
        <v>0</v>
      </c>
      <c r="FP33" s="823">
        <v>0</v>
      </c>
      <c r="FQ33" s="823">
        <v>0</v>
      </c>
      <c r="FR33" s="823"/>
      <c r="FS33" s="823">
        <v>0</v>
      </c>
      <c r="FT33" s="823">
        <v>0</v>
      </c>
      <c r="FU33" s="823"/>
      <c r="FV33" s="823"/>
      <c r="FW33" s="823">
        <v>0</v>
      </c>
      <c r="FX33" s="823">
        <v>0</v>
      </c>
      <c r="FY33" s="823">
        <v>0</v>
      </c>
      <c r="FZ33" s="823"/>
      <c r="GA33" s="823"/>
      <c r="GB33" s="823"/>
      <c r="GC33" s="823">
        <v>0</v>
      </c>
      <c r="GD33" s="823"/>
      <c r="GE33" s="823">
        <v>0</v>
      </c>
      <c r="GF33" s="823">
        <v>-3.5762786865234402E-10</v>
      </c>
      <c r="GG33" s="823">
        <v>0</v>
      </c>
      <c r="GH33" s="823">
        <v>0</v>
      </c>
      <c r="GI33" s="823">
        <v>6.3681999999999999</v>
      </c>
      <c r="GJ33" s="823">
        <v>0</v>
      </c>
      <c r="GK33" s="823">
        <v>0</v>
      </c>
      <c r="GL33" s="823">
        <v>0</v>
      </c>
      <c r="GM33" s="823"/>
      <c r="GN33" s="823">
        <v>0</v>
      </c>
      <c r="GO33" s="823">
        <v>0</v>
      </c>
      <c r="GP33" s="823">
        <v>6.3681999999999999</v>
      </c>
      <c r="GQ33" s="823">
        <v>0</v>
      </c>
      <c r="GR33" s="823">
        <v>0</v>
      </c>
      <c r="GS33" s="823">
        <v>0</v>
      </c>
      <c r="GT33" s="823">
        <v>-3.5762786865234402E-10</v>
      </c>
      <c r="GU33" s="823">
        <v>0</v>
      </c>
      <c r="GV33" s="823">
        <v>0</v>
      </c>
      <c r="GW33" s="823">
        <v>0</v>
      </c>
      <c r="GX33" s="823">
        <v>0</v>
      </c>
      <c r="GY33" s="823">
        <v>0</v>
      </c>
      <c r="GZ33" s="823"/>
      <c r="HA33" s="823">
        <v>0</v>
      </c>
      <c r="HB33" s="823">
        <v>0</v>
      </c>
      <c r="HC33" s="823">
        <v>0</v>
      </c>
      <c r="HD33" s="823">
        <v>0</v>
      </c>
      <c r="HE33" s="823"/>
      <c r="HF33" s="823">
        <v>0</v>
      </c>
      <c r="HG33" s="823"/>
      <c r="HH33" s="823">
        <v>0</v>
      </c>
      <c r="HI33" s="823">
        <v>0</v>
      </c>
      <c r="HJ33" s="823">
        <v>0</v>
      </c>
      <c r="HK33" s="823">
        <v>0</v>
      </c>
      <c r="HL33" s="823"/>
      <c r="HM33" s="823">
        <v>0</v>
      </c>
      <c r="HN33" s="823">
        <v>0</v>
      </c>
      <c r="HO33" s="823">
        <v>0</v>
      </c>
      <c r="HP33" s="823">
        <v>0</v>
      </c>
      <c r="HQ33" s="823">
        <v>0</v>
      </c>
      <c r="HR33" s="823">
        <v>0</v>
      </c>
      <c r="HS33" s="823"/>
      <c r="HT33" s="823">
        <v>0</v>
      </c>
      <c r="HU33" s="823">
        <v>0</v>
      </c>
      <c r="HV33" s="823">
        <v>0</v>
      </c>
      <c r="HW33" s="823">
        <v>0</v>
      </c>
      <c r="HX33" s="823"/>
      <c r="HY33" s="823">
        <v>0</v>
      </c>
      <c r="HZ33" s="823"/>
      <c r="IA33" s="823">
        <v>0</v>
      </c>
      <c r="IB33" s="823">
        <v>0</v>
      </c>
      <c r="IC33" s="823">
        <v>0</v>
      </c>
      <c r="ID33" s="823">
        <v>0</v>
      </c>
      <c r="IE33" s="823">
        <v>0</v>
      </c>
      <c r="IF33" s="823">
        <v>0</v>
      </c>
      <c r="IG33" s="823">
        <v>0</v>
      </c>
      <c r="IH33" s="823">
        <v>0</v>
      </c>
      <c r="II33" s="823"/>
      <c r="IJ33" s="823">
        <v>0</v>
      </c>
      <c r="IK33" s="823"/>
      <c r="IL33" s="823">
        <v>0</v>
      </c>
      <c r="IM33" s="823">
        <v>0</v>
      </c>
      <c r="IN33" s="823">
        <v>0</v>
      </c>
      <c r="IO33" s="823">
        <v>0</v>
      </c>
      <c r="IP33" s="823">
        <v>0</v>
      </c>
      <c r="IQ33" s="823">
        <v>0</v>
      </c>
      <c r="IR33" s="823">
        <v>0</v>
      </c>
    </row>
    <row r="34" spans="1:252" ht="12.75" x14ac:dyDescent="0.2">
      <c r="A34" s="824" t="s">
        <v>276</v>
      </c>
      <c r="B34" s="826">
        <v>0</v>
      </c>
      <c r="C34" s="826">
        <v>0</v>
      </c>
      <c r="D34" s="826">
        <v>0</v>
      </c>
      <c r="E34" s="826">
        <v>0</v>
      </c>
      <c r="F34" s="826">
        <v>0</v>
      </c>
      <c r="G34" s="826">
        <v>-4059.0852</v>
      </c>
      <c r="H34" s="826">
        <v>-4627.58</v>
      </c>
      <c r="I34" s="826"/>
      <c r="J34" s="826"/>
      <c r="K34" s="826">
        <v>0</v>
      </c>
      <c r="L34" s="826">
        <v>0</v>
      </c>
      <c r="M34" s="826">
        <v>0</v>
      </c>
      <c r="N34" s="826">
        <v>0</v>
      </c>
      <c r="O34" s="826">
        <v>0</v>
      </c>
      <c r="P34" s="826">
        <v>0</v>
      </c>
      <c r="Q34" s="826">
        <v>0</v>
      </c>
      <c r="R34" s="826">
        <v>0</v>
      </c>
      <c r="S34" s="826">
        <v>0</v>
      </c>
      <c r="T34" s="826">
        <v>0</v>
      </c>
      <c r="U34" s="826">
        <v>0</v>
      </c>
      <c r="V34" s="826">
        <v>-386.78</v>
      </c>
      <c r="W34" s="826"/>
      <c r="X34" s="826"/>
      <c r="Y34" s="826">
        <v>0</v>
      </c>
      <c r="Z34" s="826">
        <v>0</v>
      </c>
      <c r="AA34" s="826">
        <v>0</v>
      </c>
      <c r="AB34" s="826">
        <v>0</v>
      </c>
      <c r="AC34" s="826"/>
      <c r="AD34" s="826">
        <v>0</v>
      </c>
      <c r="AE34" s="826">
        <v>0</v>
      </c>
      <c r="AF34" s="826">
        <v>0</v>
      </c>
      <c r="AG34" s="826">
        <v>0</v>
      </c>
      <c r="AH34" s="826">
        <v>0</v>
      </c>
      <c r="AI34" s="826">
        <v>-4059.0852</v>
      </c>
      <c r="AJ34" s="826">
        <v>-5014.3599999999997</v>
      </c>
      <c r="AK34" s="826">
        <v>-0.16680000000000028</v>
      </c>
      <c r="AL34" s="826">
        <v>-11.9672</v>
      </c>
      <c r="AM34" s="826">
        <v>-146.34</v>
      </c>
      <c r="AN34" s="826">
        <v>-334.12840749687683</v>
      </c>
      <c r="AO34" s="826">
        <v>-466.68085229687705</v>
      </c>
      <c r="AP34" s="826">
        <v>1948.6369999999999</v>
      </c>
      <c r="AQ34" s="826">
        <v>2512.8618000000001</v>
      </c>
      <c r="AR34" s="826">
        <v>3240.7000706998433</v>
      </c>
      <c r="AS34" s="826">
        <v>4161.9413000000004</v>
      </c>
      <c r="AT34" s="826">
        <v>4808.91</v>
      </c>
      <c r="AU34" s="826">
        <v>5674.8022109999984</v>
      </c>
      <c r="AV34" s="826">
        <v>6856.0838407353494</v>
      </c>
      <c r="AW34" s="826">
        <v>-850.06880000000001</v>
      </c>
      <c r="AX34" s="826">
        <v>-1054.4266</v>
      </c>
      <c r="AY34" s="826">
        <v>-1183.0602870595378</v>
      </c>
      <c r="AZ34" s="826">
        <v>-1275.6888344777301</v>
      </c>
      <c r="BA34" s="826">
        <v>-1272.6500000000001</v>
      </c>
      <c r="BB34" s="826">
        <v>-1516.2770844138458</v>
      </c>
      <c r="BC34" s="826">
        <v>92.183000000000007</v>
      </c>
      <c r="BD34" s="826">
        <v>140.12989999999999</v>
      </c>
      <c r="BE34" s="826">
        <v>348.27552789999999</v>
      </c>
      <c r="BF34" s="826">
        <v>409.30294889999999</v>
      </c>
      <c r="BG34" s="826">
        <v>456.63</v>
      </c>
      <c r="BH34" s="826">
        <v>506.07247200000018</v>
      </c>
      <c r="BI34" s="826">
        <v>637.74429850009471</v>
      </c>
      <c r="BJ34" s="826">
        <v>-2.2609972999999997</v>
      </c>
      <c r="BK34" s="826">
        <v>-29.551504699999999</v>
      </c>
      <c r="BL34" s="826">
        <v>-87.19</v>
      </c>
      <c r="BM34" s="826">
        <v>-183.4767655</v>
      </c>
      <c r="BN34" s="826">
        <v>-280.09507070000001</v>
      </c>
      <c r="BO34" s="826">
        <v>-255.12</v>
      </c>
      <c r="BP34" s="826">
        <v>-260.37490000000003</v>
      </c>
      <c r="BQ34" s="826">
        <v>-217.57765340000003</v>
      </c>
      <c r="BR34" s="826">
        <v>-138.94968499999999</v>
      </c>
      <c r="BS34" s="826">
        <v>-21.13</v>
      </c>
      <c r="BT34" s="826">
        <v>78.466388687300011</v>
      </c>
      <c r="BU34" s="826">
        <v>212.70899943480003</v>
      </c>
      <c r="BV34" s="826">
        <v>-6.2250999999999976</v>
      </c>
      <c r="BW34" s="826">
        <v>-76.353200000000001</v>
      </c>
      <c r="BX34" s="826">
        <v>-347</v>
      </c>
      <c r="BY34" s="826">
        <v>-522.24639999999999</v>
      </c>
      <c r="BZ34" s="826">
        <v>-645.00585759599903</v>
      </c>
      <c r="CA34" s="826">
        <v>-460.9984</v>
      </c>
      <c r="CB34" s="826">
        <v>-563.01399119999996</v>
      </c>
      <c r="CC34" s="826">
        <v>50.1</v>
      </c>
      <c r="CD34" s="826">
        <v>298.43740000000003</v>
      </c>
      <c r="CE34" s="826">
        <v>507.49</v>
      </c>
      <c r="CF34" s="826">
        <v>400.21</v>
      </c>
      <c r="CG34" s="826">
        <v>778.38999999999987</v>
      </c>
      <c r="CH34" s="826">
        <v>848.46400000000006</v>
      </c>
      <c r="CI34" s="826">
        <v>1194.4273000000001</v>
      </c>
      <c r="CJ34" s="826">
        <v>1707.2283648999999</v>
      </c>
      <c r="CK34" s="826">
        <v>2476.7694136</v>
      </c>
      <c r="CL34" s="826">
        <v>3238.5</v>
      </c>
      <c r="CM34" s="826">
        <v>4045.3119110000002</v>
      </c>
      <c r="CN34" s="826">
        <v>5336.53</v>
      </c>
      <c r="CO34" s="826">
        <v>565.42340000000002</v>
      </c>
      <c r="CP34" s="826">
        <v>732.51170000000002</v>
      </c>
      <c r="CQ34" s="826">
        <v>1159.3294611000001</v>
      </c>
      <c r="CR34" s="826">
        <v>1348.6184158000001</v>
      </c>
      <c r="CS34" s="826">
        <v>1527.24</v>
      </c>
      <c r="CT34" s="826">
        <v>1731.9367999999999</v>
      </c>
      <c r="CU34" s="826">
        <v>2051.3873254</v>
      </c>
      <c r="CV34" s="826">
        <v>-0.26740000000000003</v>
      </c>
      <c r="CW34" s="826">
        <v>-9.996537</v>
      </c>
      <c r="CX34" s="826">
        <v>-44.720063800000005</v>
      </c>
      <c r="CY34" s="826">
        <v>-77.269499999999994</v>
      </c>
      <c r="CZ34" s="826">
        <v>-112.17</v>
      </c>
      <c r="DA34" s="826">
        <v>-140.29297650000001</v>
      </c>
      <c r="DB34" s="826">
        <v>-138.66227650000002</v>
      </c>
      <c r="DC34" s="826">
        <v>-293.87810999999999</v>
      </c>
      <c r="DD34" s="826">
        <v>-465.07780000000002</v>
      </c>
      <c r="DE34" s="826">
        <v>-659.79552531880199</v>
      </c>
      <c r="DF34" s="826">
        <v>-813.44518546886798</v>
      </c>
      <c r="DG34" s="826">
        <v>-951.91</v>
      </c>
      <c r="DH34" s="826">
        <v>-1061.511371893411</v>
      </c>
      <c r="DI34" s="826">
        <v>-1011.049932841501</v>
      </c>
      <c r="DJ34" s="826">
        <v>-26.896699999999999</v>
      </c>
      <c r="DK34" s="826">
        <v>-38.748800000000003</v>
      </c>
      <c r="DL34" s="826">
        <v>-32.446057500000002</v>
      </c>
      <c r="DM34" s="826">
        <v>-27.5392853</v>
      </c>
      <c r="DN34" s="826">
        <v>-26.1</v>
      </c>
      <c r="DO34" s="826">
        <v>-32.110832339736874</v>
      </c>
      <c r="DP34" s="826">
        <v>-12.708005176678206</v>
      </c>
      <c r="DQ34" s="826">
        <v>-9.0159907120000007</v>
      </c>
      <c r="DR34" s="826">
        <v>-23.167866299</v>
      </c>
      <c r="DS34" s="826">
        <v>-52</v>
      </c>
      <c r="DT34" s="826">
        <v>-123.051801721</v>
      </c>
      <c r="DU34" s="826">
        <v>-239.76</v>
      </c>
      <c r="DV34" s="826">
        <v>9.7763000000000009</v>
      </c>
      <c r="DW34" s="826">
        <v>20.166799999999999</v>
      </c>
      <c r="DX34" s="826">
        <v>22.847742400000001</v>
      </c>
      <c r="DY34" s="826">
        <v>23.9526763</v>
      </c>
      <c r="DZ34" s="826">
        <v>3.6</v>
      </c>
      <c r="EA34" s="826">
        <v>-58.516624899999997</v>
      </c>
      <c r="EB34" s="826">
        <v>-142.32437759999999</v>
      </c>
      <c r="EC34" s="826">
        <v>-818.81</v>
      </c>
      <c r="ED34" s="826">
        <v>99.081999999999994</v>
      </c>
      <c r="EE34" s="826">
        <v>229.425088794</v>
      </c>
      <c r="EF34" s="826">
        <v>374.08210791400001</v>
      </c>
      <c r="EG34" s="826">
        <v>564.54999999999995</v>
      </c>
      <c r="EH34" s="826">
        <v>807.15173597496994</v>
      </c>
      <c r="EI34" s="826">
        <v>1015.2707028082206</v>
      </c>
      <c r="EJ34" s="826">
        <v>167.5164</v>
      </c>
      <c r="EK34" s="826">
        <v>194.18100000000001</v>
      </c>
      <c r="EL34" s="826">
        <v>237.2290678</v>
      </c>
      <c r="EM34" s="826">
        <v>320.52609999999999</v>
      </c>
      <c r="EN34" s="826">
        <v>441.73</v>
      </c>
      <c r="EO34" s="826">
        <v>466.27671730000003</v>
      </c>
      <c r="EP34" s="826">
        <v>624.55609860000004</v>
      </c>
      <c r="EQ34" s="826">
        <v>-482.03730000000002</v>
      </c>
      <c r="ER34" s="826">
        <v>-602.13570000000004</v>
      </c>
      <c r="ES34" s="826">
        <v>-449.47947292275205</v>
      </c>
      <c r="ET34" s="826">
        <v>-53.7847460150602</v>
      </c>
      <c r="EU34" s="826">
        <v>275.77999999999997</v>
      </c>
      <c r="EV34" s="826">
        <v>665.98992061699732</v>
      </c>
      <c r="EW34" s="826">
        <v>1188.0323206169974</v>
      </c>
      <c r="EX34" s="826">
        <v>527.70129999999995</v>
      </c>
      <c r="EY34" s="826">
        <v>692.57159999999999</v>
      </c>
      <c r="EZ34" s="826">
        <v>881.65205449999996</v>
      </c>
      <c r="FA34" s="826">
        <v>1158.0453703000001</v>
      </c>
      <c r="FB34" s="826">
        <v>1683.47</v>
      </c>
      <c r="FC34" s="826">
        <v>1736.6322039999998</v>
      </c>
      <c r="FD34" s="826">
        <v>1893.65</v>
      </c>
      <c r="FE34" s="826">
        <v>314.66809999999998</v>
      </c>
      <c r="FF34" s="826">
        <v>334.6472</v>
      </c>
      <c r="FG34" s="826">
        <v>408.57551262999999</v>
      </c>
      <c r="FH34" s="826">
        <v>565.28367639999999</v>
      </c>
      <c r="FI34" s="826">
        <v>677.37</v>
      </c>
      <c r="FJ34" s="826">
        <v>1011.9758294999999</v>
      </c>
      <c r="FK34" s="826">
        <v>1459.7744389999998</v>
      </c>
      <c r="FL34" s="826">
        <v>-174.8861</v>
      </c>
      <c r="FM34" s="826">
        <v>-131.22790000000001</v>
      </c>
      <c r="FN34" s="826">
        <v>-82.244687400000004</v>
      </c>
      <c r="FO34" s="826">
        <v>214.31132099999999</v>
      </c>
      <c r="FP34" s="826">
        <v>349.85</v>
      </c>
      <c r="FQ34" s="826">
        <v>469.78778790000001</v>
      </c>
      <c r="FR34" s="826">
        <v>479.14991650000002</v>
      </c>
      <c r="FS34" s="826">
        <v>1111.40669</v>
      </c>
      <c r="FT34" s="826">
        <v>2795.5770717999999</v>
      </c>
      <c r="FU34" s="826">
        <v>5598.3702553107514</v>
      </c>
      <c r="FV34" s="826">
        <v>8823.5537229533438</v>
      </c>
      <c r="FW34" s="826">
        <v>11518.630000000001</v>
      </c>
      <c r="FX34" s="826">
        <v>13623.001713214395</v>
      </c>
      <c r="FY34" s="826">
        <v>19596.991568884405</v>
      </c>
      <c r="FZ34" s="826">
        <v>0</v>
      </c>
      <c r="GA34" s="826">
        <v>0</v>
      </c>
      <c r="GB34" s="826">
        <v>0</v>
      </c>
      <c r="GC34" s="826">
        <v>0</v>
      </c>
      <c r="GD34" s="826">
        <v>0</v>
      </c>
      <c r="GE34" s="826">
        <v>5.6843418860808015E-14</v>
      </c>
      <c r="GF34" s="826">
        <v>0</v>
      </c>
      <c r="GG34" s="826">
        <v>0</v>
      </c>
      <c r="GH34" s="826">
        <v>0</v>
      </c>
      <c r="GI34" s="826">
        <v>0</v>
      </c>
      <c r="GJ34" s="826">
        <v>0</v>
      </c>
      <c r="GK34" s="826"/>
      <c r="GL34" s="826">
        <v>0</v>
      </c>
      <c r="GM34" s="826">
        <v>159.50374219999998</v>
      </c>
      <c r="GN34" s="826">
        <v>0</v>
      </c>
      <c r="GO34" s="826">
        <v>0</v>
      </c>
      <c r="GP34" s="826">
        <v>0</v>
      </c>
      <c r="GQ34" s="826">
        <v>0</v>
      </c>
      <c r="GR34" s="826">
        <v>0</v>
      </c>
      <c r="GS34" s="826">
        <v>5.6843418860808015E-14</v>
      </c>
      <c r="GT34" s="826">
        <v>159.50374219999998</v>
      </c>
      <c r="GU34" s="826">
        <v>15.200710489</v>
      </c>
      <c r="GV34" s="826">
        <v>-101.87276933175001</v>
      </c>
      <c r="GW34" s="826">
        <v>-291.09583529878802</v>
      </c>
      <c r="GX34" s="826">
        <v>-545.59613663409709</v>
      </c>
      <c r="GY34" s="826">
        <v>-786.75613663409706</v>
      </c>
      <c r="GZ34" s="826">
        <v>-984.41678252009706</v>
      </c>
      <c r="HA34" s="826">
        <v>-225.19057000000001</v>
      </c>
      <c r="HB34" s="826">
        <v>-304.02956999999998</v>
      </c>
      <c r="HC34" s="826">
        <v>-301.87777591846327</v>
      </c>
      <c r="HD34" s="826">
        <v>-318.12958512333802</v>
      </c>
      <c r="HE34" s="826">
        <v>-261.212121387585</v>
      </c>
      <c r="HF34" s="826">
        <v>-195.55786730458499</v>
      </c>
      <c r="HG34" s="826">
        <v>-93.328824904585034</v>
      </c>
      <c r="HH34" s="826">
        <v>-348.541</v>
      </c>
      <c r="HI34" s="826">
        <v>-341.08123399999999</v>
      </c>
      <c r="HJ34" s="826">
        <v>-208.78768919999999</v>
      </c>
      <c r="HK34" s="826">
        <v>-194.61623700000001</v>
      </c>
      <c r="HL34" s="826">
        <v>-186.4</v>
      </c>
      <c r="HM34" s="826">
        <v>-175.00139999999999</v>
      </c>
      <c r="HN34" s="826">
        <v>-348.62320690495801</v>
      </c>
      <c r="HO34" s="826">
        <v>-483.676953630958</v>
      </c>
      <c r="HP34" s="826">
        <v>-588.62455942423605</v>
      </c>
      <c r="HQ34" s="826">
        <v>-754.02761685449468</v>
      </c>
      <c r="HR34" s="826">
        <v>-887.73761685449472</v>
      </c>
      <c r="HS34" s="826">
        <v>-1005.146567841497</v>
      </c>
      <c r="HT34" s="826">
        <v>-620.82180000000005</v>
      </c>
      <c r="HU34" s="826">
        <v>-689.31970000000001</v>
      </c>
      <c r="HV34" s="826">
        <v>-692.99649790399997</v>
      </c>
      <c r="HW34" s="826">
        <v>-670.15657115015199</v>
      </c>
      <c r="HX34" s="826">
        <v>-718.54345053824898</v>
      </c>
      <c r="HY34" s="826">
        <v>-780.09569605984848</v>
      </c>
      <c r="HZ34" s="826">
        <v>-829.83450395081184</v>
      </c>
      <c r="IA34" s="826">
        <v>-19.523900000000001</v>
      </c>
      <c r="IB34" s="826">
        <v>-100.77</v>
      </c>
      <c r="IC34" s="826">
        <v>-156.2062</v>
      </c>
      <c r="ID34" s="826">
        <v>-167.6439</v>
      </c>
      <c r="IE34" s="826">
        <v>-495.21899999999999</v>
      </c>
      <c r="IF34" s="826">
        <v>-358.6431</v>
      </c>
      <c r="IG34" s="826">
        <v>-240.69962468099999</v>
      </c>
      <c r="IH34" s="826">
        <v>-70.544600000000003</v>
      </c>
      <c r="II34" s="826">
        <v>100.37262369600001</v>
      </c>
      <c r="IJ34" s="826">
        <v>361.18032549600002</v>
      </c>
      <c r="IK34" s="826">
        <v>-724.533205404</v>
      </c>
      <c r="IL34" s="826">
        <v>-1864.77377</v>
      </c>
      <c r="IM34" s="826">
        <v>-2026.4961004159579</v>
      </c>
      <c r="IN34" s="826">
        <v>-2029.9113106661712</v>
      </c>
      <c r="IO34" s="826">
        <v>-2152.6912879965139</v>
      </c>
      <c r="IP34" s="826">
        <v>-2466.1767017184256</v>
      </c>
      <c r="IQ34" s="826">
        <v>-2445.1731913570256</v>
      </c>
      <c r="IR34" s="826">
        <v>-3804.9037846209908</v>
      </c>
    </row>
    <row r="35" spans="1:252" ht="12.75" x14ac:dyDescent="0.2">
      <c r="A35" s="830" t="s">
        <v>277</v>
      </c>
      <c r="B35" s="831">
        <v>0</v>
      </c>
      <c r="C35" s="831">
        <v>0</v>
      </c>
      <c r="D35" s="831">
        <v>0</v>
      </c>
      <c r="E35" s="831">
        <v>0</v>
      </c>
      <c r="F35" s="831">
        <v>-4059.0852</v>
      </c>
      <c r="G35" s="831">
        <v>-4627.5752000000002</v>
      </c>
      <c r="H35" s="831">
        <v>-6308.46</v>
      </c>
      <c r="I35" s="831"/>
      <c r="J35" s="831"/>
      <c r="K35" s="831">
        <v>0</v>
      </c>
      <c r="L35" s="831">
        <v>0</v>
      </c>
      <c r="M35" s="831">
        <v>0</v>
      </c>
      <c r="N35" s="831">
        <v>0</v>
      </c>
      <c r="O35" s="831"/>
      <c r="P35" s="831">
        <v>0</v>
      </c>
      <c r="Q35" s="831">
        <v>0</v>
      </c>
      <c r="R35" s="831">
        <v>1509.891699999999</v>
      </c>
      <c r="S35" s="831">
        <v>0</v>
      </c>
      <c r="T35" s="831">
        <v>0</v>
      </c>
      <c r="U35" s="831">
        <v>-1525.4430000000002</v>
      </c>
      <c r="V35" s="831">
        <v>-3501.94</v>
      </c>
      <c r="W35" s="831">
        <v>0</v>
      </c>
      <c r="X35" s="831">
        <v>0</v>
      </c>
      <c r="Y35" s="831">
        <v>0</v>
      </c>
      <c r="Z35" s="831">
        <v>0</v>
      </c>
      <c r="AA35" s="831">
        <v>0</v>
      </c>
      <c r="AB35" s="831">
        <v>-1007.190000000002</v>
      </c>
      <c r="AC35" s="831">
        <v>-1942.34</v>
      </c>
      <c r="AD35" s="831">
        <v>0</v>
      </c>
      <c r="AE35" s="831">
        <v>0</v>
      </c>
      <c r="AF35" s="831">
        <v>1509.891699999999</v>
      </c>
      <c r="AG35" s="831">
        <v>0</v>
      </c>
      <c r="AH35" s="831">
        <v>-4059.0852</v>
      </c>
      <c r="AI35" s="831">
        <v>-7160.2082000000028</v>
      </c>
      <c r="AJ35" s="831">
        <v>-11752.74</v>
      </c>
      <c r="AK35" s="831">
        <v>-11.9672</v>
      </c>
      <c r="AL35" s="831">
        <v>-146.338697543622</v>
      </c>
      <c r="AM35" s="831">
        <v>-334.12840749687683</v>
      </c>
      <c r="AN35" s="831">
        <v>-466.68085229687705</v>
      </c>
      <c r="AO35" s="831">
        <v>-849.05784580638999</v>
      </c>
      <c r="AP35" s="831">
        <v>2512.861777053</v>
      </c>
      <c r="AQ35" s="831">
        <v>3240.7000706998433</v>
      </c>
      <c r="AR35" s="831">
        <v>4161.9413000000004</v>
      </c>
      <c r="AS35" s="831">
        <v>4808.9148494066603</v>
      </c>
      <c r="AT35" s="831">
        <v>5674.8022109999984</v>
      </c>
      <c r="AU35" s="831">
        <v>6856.0838407353494</v>
      </c>
      <c r="AV35" s="831">
        <v>8071.7620289773704</v>
      </c>
      <c r="AW35" s="831">
        <v>-1054.4249864000001</v>
      </c>
      <c r="AX35" s="831">
        <v>-1183.0602870595378</v>
      </c>
      <c r="AY35" s="831">
        <v>-1275.6888344777301</v>
      </c>
      <c r="AZ35" s="831">
        <v>-1272.6481871450601</v>
      </c>
      <c r="BA35" s="831">
        <v>-1516.2770844138458</v>
      </c>
      <c r="BB35" s="831">
        <v>-1395.9902799450506</v>
      </c>
      <c r="BC35" s="831">
        <v>140.12995749999999</v>
      </c>
      <c r="BD35" s="831">
        <v>348.27552789999999</v>
      </c>
      <c r="BE35" s="831">
        <v>409.30294889999999</v>
      </c>
      <c r="BF35" s="831">
        <v>456.62668309999998</v>
      </c>
      <c r="BG35" s="831">
        <v>506.07247200000018</v>
      </c>
      <c r="BH35" s="831">
        <v>637.74429850009471</v>
      </c>
      <c r="BI35" s="831">
        <v>664.75868148416998</v>
      </c>
      <c r="BJ35" s="831">
        <v>-29.551504699999999</v>
      </c>
      <c r="BK35" s="831">
        <v>-87.194048408</v>
      </c>
      <c r="BL35" s="831">
        <v>-183.4767655</v>
      </c>
      <c r="BM35" s="831">
        <v>-280.09507070000001</v>
      </c>
      <c r="BN35" s="831">
        <v>-389.186322308</v>
      </c>
      <c r="BO35" s="831">
        <v>-260.37480590000001</v>
      </c>
      <c r="BP35" s="831">
        <v>-217.57765340000003</v>
      </c>
      <c r="BQ35" s="831">
        <v>-138.94968499999999</v>
      </c>
      <c r="BR35" s="831">
        <v>-21.134200205999999</v>
      </c>
      <c r="BS35" s="831">
        <v>78.466388687300011</v>
      </c>
      <c r="BT35" s="831">
        <v>212.70899943480003</v>
      </c>
      <c r="BU35" s="831">
        <v>332.03679186839997</v>
      </c>
      <c r="BV35" s="831">
        <v>-76.353200000000001</v>
      </c>
      <c r="BW35" s="831">
        <v>-346.99688170000002</v>
      </c>
      <c r="BX35" s="831">
        <v>-522.24639999999999</v>
      </c>
      <c r="BY35" s="831">
        <v>-645.00585759599903</v>
      </c>
      <c r="BZ35" s="831">
        <v>-940.88</v>
      </c>
      <c r="CA35" s="831">
        <v>-563.01399119999996</v>
      </c>
      <c r="CB35" s="831">
        <v>-448.32459119999999</v>
      </c>
      <c r="CC35" s="831">
        <v>298.43739999999991</v>
      </c>
      <c r="CD35" s="831">
        <v>507.48880000000014</v>
      </c>
      <c r="CE35" s="831">
        <v>952.76549999999997</v>
      </c>
      <c r="CF35" s="831">
        <v>778.38999999999987</v>
      </c>
      <c r="CG35" s="831">
        <v>1046.87135080147</v>
      </c>
      <c r="CH35" s="831">
        <v>1194.4272356000001</v>
      </c>
      <c r="CI35" s="831">
        <v>1707.2283648999999</v>
      </c>
      <c r="CJ35" s="831">
        <v>2476.7694136</v>
      </c>
      <c r="CK35" s="831">
        <v>3238.5018024000001</v>
      </c>
      <c r="CL35" s="831">
        <v>4045.3119110000002</v>
      </c>
      <c r="CM35" s="831">
        <v>5336.5319337000001</v>
      </c>
      <c r="CN35" s="831">
        <v>6229.46</v>
      </c>
      <c r="CO35" s="831">
        <v>732.51174730000002</v>
      </c>
      <c r="CP35" s="831">
        <v>1159.3294611000001</v>
      </c>
      <c r="CQ35" s="831">
        <v>1348.6184158000001</v>
      </c>
      <c r="CR35" s="831">
        <v>1527.2403906</v>
      </c>
      <c r="CS35" s="831">
        <v>1731.9367999999999</v>
      </c>
      <c r="CT35" s="831">
        <v>2051.3873254</v>
      </c>
      <c r="CU35" s="831">
        <v>2109.7426654999999</v>
      </c>
      <c r="CV35" s="831">
        <v>-9.996537</v>
      </c>
      <c r="CW35" s="831">
        <v>-44.720063800000005</v>
      </c>
      <c r="CX35" s="831">
        <v>-77.269499999999994</v>
      </c>
      <c r="CY35" s="831">
        <v>-112.16889999999999</v>
      </c>
      <c r="CZ35" s="831">
        <v>-140.29297650000001</v>
      </c>
      <c r="DA35" s="831">
        <v>-138.66227650000002</v>
      </c>
      <c r="DB35" s="831">
        <v>-221.3785177</v>
      </c>
      <c r="DC35" s="831">
        <v>-465.07779331101699</v>
      </c>
      <c r="DD35" s="831">
        <v>-659.79552531880199</v>
      </c>
      <c r="DE35" s="831">
        <v>-813.44518546886798</v>
      </c>
      <c r="DF35" s="831">
        <v>-951.91044752010703</v>
      </c>
      <c r="DG35" s="831">
        <v>-1061.511371893411</v>
      </c>
      <c r="DH35" s="831">
        <v>-1011.049932841501</v>
      </c>
      <c r="DI35" s="831">
        <v>-977.25929011290805</v>
      </c>
      <c r="DJ35" s="831">
        <v>-38.748845000000003</v>
      </c>
      <c r="DK35" s="831">
        <v>-32.446057500000002</v>
      </c>
      <c r="DL35" s="831">
        <v>-27.5392853</v>
      </c>
      <c r="DM35" s="831">
        <v>-26.104915523402799</v>
      </c>
      <c r="DN35" s="831">
        <v>-32.110832339736874</v>
      </c>
      <c r="DO35" s="831">
        <v>-12.708005176678206</v>
      </c>
      <c r="DP35" s="831">
        <v>-25.171949160344099</v>
      </c>
      <c r="DQ35" s="831">
        <v>-23.167866299</v>
      </c>
      <c r="DR35" s="831">
        <v>-51.997440990999998</v>
      </c>
      <c r="DS35" s="831">
        <v>-123.051801721</v>
      </c>
      <c r="DT35" s="831">
        <v>-239.76087434599998</v>
      </c>
      <c r="DU35" s="831">
        <v>-300.89</v>
      </c>
      <c r="DV35" s="831">
        <v>20.166680100000001</v>
      </c>
      <c r="DW35" s="831">
        <v>22.847742399999998</v>
      </c>
      <c r="DX35" s="831">
        <v>23.9526763</v>
      </c>
      <c r="DY35" s="831">
        <v>3.5997287</v>
      </c>
      <c r="DZ35" s="831">
        <v>-58.516624899999997</v>
      </c>
      <c r="EA35" s="831">
        <v>-142.32437759999999</v>
      </c>
      <c r="EB35" s="831">
        <v>-238.7087732</v>
      </c>
      <c r="EC35" s="831">
        <v>99.08</v>
      </c>
      <c r="ED35" s="831">
        <v>229.425088794</v>
      </c>
      <c r="EE35" s="831">
        <v>374.08210791400001</v>
      </c>
      <c r="EF35" s="831">
        <v>564.55294644144305</v>
      </c>
      <c r="EG35" s="831">
        <v>807.15173597496994</v>
      </c>
      <c r="EH35" s="831">
        <v>1015.2707028082206</v>
      </c>
      <c r="EI35" s="831">
        <v>1256.5495912727499</v>
      </c>
      <c r="EJ35" s="831">
        <v>194.1809921</v>
      </c>
      <c r="EK35" s="831">
        <v>237.2290678</v>
      </c>
      <c r="EL35" s="831">
        <v>320.52609999999999</v>
      </c>
      <c r="EM35" s="831">
        <v>441.72829999999999</v>
      </c>
      <c r="EN35" s="831">
        <v>466.27671730000003</v>
      </c>
      <c r="EO35" s="831">
        <v>624.55609860000004</v>
      </c>
      <c r="EP35" s="831">
        <v>733.04</v>
      </c>
      <c r="EQ35" s="831">
        <v>-602.13574841380898</v>
      </c>
      <c r="ER35" s="831">
        <v>-449.47947292275205</v>
      </c>
      <c r="ES35" s="831">
        <v>-53.7847460150602</v>
      </c>
      <c r="ET35" s="831">
        <v>275.77841215594498</v>
      </c>
      <c r="EU35" s="831">
        <v>665.98992061699732</v>
      </c>
      <c r="EV35" s="831">
        <v>1188.0323206169974</v>
      </c>
      <c r="EW35" s="831">
        <v>1319.26423277294</v>
      </c>
      <c r="EX35" s="831">
        <v>692.57154309999999</v>
      </c>
      <c r="EY35" s="831">
        <v>881.65205449999996</v>
      </c>
      <c r="EZ35" s="831">
        <v>1158.0453703000001</v>
      </c>
      <c r="FA35" s="831">
        <v>1683.4701703999999</v>
      </c>
      <c r="FB35" s="831">
        <v>1736.6322039999998</v>
      </c>
      <c r="FC35" s="831">
        <v>1893.6496693999998</v>
      </c>
      <c r="FD35" s="831">
        <v>2097.9</v>
      </c>
      <c r="FE35" s="831">
        <v>334.64756820299999</v>
      </c>
      <c r="FF35" s="831">
        <v>408.57551262999999</v>
      </c>
      <c r="FG35" s="831">
        <v>565.28367639999999</v>
      </c>
      <c r="FH35" s="831">
        <v>677.3675131</v>
      </c>
      <c r="FI35" s="831">
        <v>1011.9758294999999</v>
      </c>
      <c r="FJ35" s="831">
        <v>1459.7744389999998</v>
      </c>
      <c r="FK35" s="831">
        <v>1913.91703749985</v>
      </c>
      <c r="FL35" s="831">
        <v>-131.227971</v>
      </c>
      <c r="FM35" s="831">
        <v>-82.244687400000004</v>
      </c>
      <c r="FN35" s="831">
        <v>214.31132099999999</v>
      </c>
      <c r="FO35" s="831">
        <v>349.85076609999999</v>
      </c>
      <c r="FP35" s="831">
        <v>469.78778790000001</v>
      </c>
      <c r="FQ35" s="831">
        <v>479.14991650000002</v>
      </c>
      <c r="FR35" s="831">
        <v>592.95548650000001</v>
      </c>
      <c r="FS35" s="831">
        <v>2795.5768227311742</v>
      </c>
      <c r="FT35" s="831">
        <v>5117.6145521227509</v>
      </c>
      <c r="FU35" s="831">
        <v>8823.5537229533402</v>
      </c>
      <c r="FV35" s="831">
        <v>11518.626643366857</v>
      </c>
      <c r="FW35" s="831">
        <v>14175.557213214397</v>
      </c>
      <c r="FX35" s="831">
        <v>18201.002017693358</v>
      </c>
      <c r="FY35" s="831">
        <v>22425.725168389308</v>
      </c>
      <c r="FZ35" s="831">
        <v>0</v>
      </c>
      <c r="GA35" s="831">
        <v>0</v>
      </c>
      <c r="GB35" s="831">
        <v>0</v>
      </c>
      <c r="GC35" s="831">
        <v>0</v>
      </c>
      <c r="GD35" s="831">
        <v>5.6843418860808015E-14</v>
      </c>
      <c r="GE35" s="831">
        <v>0</v>
      </c>
      <c r="GF35" s="831">
        <v>0</v>
      </c>
      <c r="GG35" s="831">
        <v>0</v>
      </c>
      <c r="GH35" s="831">
        <v>0</v>
      </c>
      <c r="GI35" s="831">
        <v>0</v>
      </c>
      <c r="GJ35" s="831">
        <v>0</v>
      </c>
      <c r="GK35" s="831">
        <v>0</v>
      </c>
      <c r="GL35" s="831">
        <v>159.50374219999998</v>
      </c>
      <c r="GM35" s="831">
        <v>276.5</v>
      </c>
      <c r="GN35" s="831">
        <v>0</v>
      </c>
      <c r="GO35" s="831">
        <v>0</v>
      </c>
      <c r="GP35" s="831">
        <v>0</v>
      </c>
      <c r="GQ35" s="831">
        <v>0</v>
      </c>
      <c r="GR35" s="831">
        <v>5.6843418860808015E-14</v>
      </c>
      <c r="GS35" s="831">
        <v>159.50374219999998</v>
      </c>
      <c r="GT35" s="831">
        <v>276.5</v>
      </c>
      <c r="GU35" s="831">
        <v>-101.87276933175001</v>
      </c>
      <c r="GV35" s="831">
        <v>-291.09583529878802</v>
      </c>
      <c r="GW35" s="831">
        <v>-545.59613663409698</v>
      </c>
      <c r="GX35" s="831">
        <v>-786.75613663409706</v>
      </c>
      <c r="GY35" s="831">
        <v>-984.41678252009706</v>
      </c>
      <c r="GZ35" s="831">
        <v>-1295.8568219860999</v>
      </c>
      <c r="HA35" s="831">
        <v>-304.02955756255341</v>
      </c>
      <c r="HB35" s="831">
        <v>-301.87777591846327</v>
      </c>
      <c r="HC35" s="831">
        <v>-318.12958512333802</v>
      </c>
      <c r="HD35" s="831">
        <v>-261.212121387585</v>
      </c>
      <c r="HE35" s="831">
        <v>-195.55786730458499</v>
      </c>
      <c r="HF35" s="831">
        <v>-93.328824904585034</v>
      </c>
      <c r="HG35" s="831">
        <v>-81.836051499584997</v>
      </c>
      <c r="HH35" s="831">
        <v>-341.08123399999999</v>
      </c>
      <c r="HI35" s="831">
        <v>-208.78768919999999</v>
      </c>
      <c r="HJ35" s="831">
        <v>-194.61623700000001</v>
      </c>
      <c r="HK35" s="831">
        <v>-186.4015957</v>
      </c>
      <c r="HL35" s="831">
        <v>-354.56987500000002</v>
      </c>
      <c r="HM35" s="831">
        <v>-348.62320690495801</v>
      </c>
      <c r="HN35" s="831">
        <v>-483.676953630958</v>
      </c>
      <c r="HO35" s="831">
        <v>-588.62455942423605</v>
      </c>
      <c r="HP35" s="831">
        <v>-754.027616854494</v>
      </c>
      <c r="HQ35" s="831">
        <v>-887.73761685449472</v>
      </c>
      <c r="HR35" s="831">
        <v>-1005.146567841497</v>
      </c>
      <c r="HS35" s="831">
        <v>-1261.1106811965101</v>
      </c>
      <c r="HT35" s="831">
        <v>-689.31958178861908</v>
      </c>
      <c r="HU35" s="831">
        <v>-692.99649790399997</v>
      </c>
      <c r="HV35" s="831">
        <v>-670.15657115015199</v>
      </c>
      <c r="HW35" s="831">
        <v>-718.54345053824898</v>
      </c>
      <c r="HX35" s="831">
        <v>-780.09569605984848</v>
      </c>
      <c r="HY35" s="831">
        <v>-829.83450395081184</v>
      </c>
      <c r="HZ35" s="831">
        <v>-1026.3594581110799</v>
      </c>
      <c r="IA35" s="831">
        <v>-100.7708052</v>
      </c>
      <c r="IB35" s="831">
        <v>-156.2062</v>
      </c>
      <c r="IC35" s="831">
        <v>-167.6439</v>
      </c>
      <c r="ID35" s="831">
        <v>-182.5539</v>
      </c>
      <c r="IE35" s="831">
        <v>-358.64318347</v>
      </c>
      <c r="IF35" s="831">
        <v>-240.69962468099999</v>
      </c>
      <c r="IG35" s="831">
        <v>-70.544600000000003</v>
      </c>
      <c r="IH35" s="831">
        <v>100.37257703029999</v>
      </c>
      <c r="II35" s="831">
        <v>361.18032549600002</v>
      </c>
      <c r="IJ35" s="831">
        <v>-724.533205404</v>
      </c>
      <c r="IK35" s="831">
        <v>-1765.20471464561</v>
      </c>
      <c r="IL35" s="831">
        <v>-2041.6967637261305</v>
      </c>
      <c r="IM35" s="831">
        <v>-2029.9113106661712</v>
      </c>
      <c r="IN35" s="831">
        <v>-2133.1673879965142</v>
      </c>
      <c r="IO35" s="831">
        <v>-2466.1791492841248</v>
      </c>
      <c r="IP35" s="831">
        <v>-2799.7430663570258</v>
      </c>
      <c r="IQ35" s="831">
        <v>-3804.9037846209908</v>
      </c>
      <c r="IR35" s="831">
        <v>-5612.9216274388846</v>
      </c>
    </row>
    <row r="36" spans="1:252" s="510" customFormat="1" ht="16.5" customHeight="1" x14ac:dyDescent="0.25">
      <c r="A36" s="196" t="s">
        <v>504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196"/>
      <c r="AH36" s="28"/>
      <c r="AI36" s="28"/>
      <c r="AJ36" s="28"/>
      <c r="AK36" s="448"/>
      <c r="AL36" s="448"/>
      <c r="AM36" s="448"/>
      <c r="AN36" s="448"/>
      <c r="AO36" s="448"/>
      <c r="AP36" s="476"/>
      <c r="AQ36" s="476"/>
      <c r="AR36" s="476"/>
      <c r="AS36" s="476"/>
      <c r="AT36" s="476"/>
      <c r="AU36" s="476"/>
      <c r="AV36" s="476"/>
      <c r="AW36" s="476"/>
      <c r="AX36" s="476"/>
      <c r="AY36" s="476"/>
      <c r="AZ36" s="476"/>
      <c r="BA36" s="476"/>
      <c r="BB36" s="476"/>
      <c r="BC36" s="476"/>
      <c r="BD36" s="476"/>
      <c r="BE36" s="476"/>
      <c r="BF36" s="476"/>
      <c r="BG36" s="476"/>
      <c r="BH36" s="476"/>
      <c r="BI36" s="476"/>
      <c r="BJ36" s="476"/>
      <c r="BK36" s="476"/>
      <c r="BL36" s="476"/>
      <c r="BM36" s="476"/>
      <c r="BN36" s="476"/>
      <c r="BO36" s="476"/>
      <c r="BP36" s="476"/>
      <c r="BQ36" s="476"/>
      <c r="BR36" s="476"/>
      <c r="BS36" s="476"/>
      <c r="BT36" s="476"/>
      <c r="BU36" s="476"/>
      <c r="BV36" s="476"/>
      <c r="BW36" s="476"/>
      <c r="BX36" s="476"/>
      <c r="BY36" s="476"/>
      <c r="BZ36" s="476"/>
      <c r="CA36" s="476"/>
      <c r="CB36" s="476"/>
      <c r="CC36" s="476"/>
      <c r="CD36" s="476"/>
      <c r="CE36" s="476"/>
      <c r="CF36" s="476"/>
      <c r="CG36" s="476"/>
      <c r="CH36" s="476"/>
      <c r="CI36" s="476"/>
      <c r="CJ36" s="476"/>
      <c r="CK36" s="476"/>
      <c r="CL36" s="476"/>
      <c r="CM36" s="476"/>
      <c r="CN36" s="476"/>
      <c r="CO36" s="476"/>
      <c r="CP36" s="476"/>
      <c r="CQ36" s="476"/>
      <c r="CR36" s="476"/>
      <c r="CS36" s="476"/>
      <c r="CT36" s="476"/>
      <c r="CU36" s="476"/>
      <c r="CV36" s="476"/>
      <c r="CW36" s="476"/>
      <c r="CX36" s="476"/>
      <c r="CY36" s="476"/>
      <c r="CZ36" s="476"/>
      <c r="DA36" s="476"/>
      <c r="DB36" s="476"/>
      <c r="DC36" s="476"/>
      <c r="DD36" s="476"/>
      <c r="DE36" s="476"/>
      <c r="DF36" s="476"/>
      <c r="DG36" s="476"/>
      <c r="DH36" s="476"/>
      <c r="DI36" s="476"/>
      <c r="DJ36" s="476"/>
      <c r="DK36" s="476"/>
      <c r="DL36" s="476"/>
      <c r="DM36" s="476"/>
      <c r="DN36" s="476"/>
      <c r="DO36" s="476"/>
      <c r="DP36" s="476"/>
      <c r="DQ36" s="476"/>
      <c r="DR36" s="476"/>
      <c r="DS36" s="476"/>
      <c r="DT36" s="476"/>
      <c r="DU36" s="476"/>
      <c r="DV36" s="476"/>
      <c r="DW36" s="476"/>
      <c r="DX36" s="476"/>
      <c r="DY36" s="476"/>
      <c r="DZ36" s="476"/>
      <c r="EA36" s="476"/>
      <c r="EB36" s="476"/>
      <c r="EC36" s="476"/>
      <c r="ED36" s="476"/>
      <c r="EE36" s="476"/>
      <c r="EF36" s="476"/>
      <c r="EG36" s="476"/>
      <c r="EH36" s="476"/>
      <c r="EI36" s="476"/>
      <c r="EJ36" s="476"/>
      <c r="EK36" s="476"/>
      <c r="EL36" s="476"/>
      <c r="EM36" s="476"/>
      <c r="EN36" s="476"/>
      <c r="EO36" s="476"/>
      <c r="EP36" s="476"/>
      <c r="EQ36" s="476"/>
      <c r="ER36" s="476"/>
      <c r="ES36" s="476"/>
      <c r="ET36" s="476"/>
      <c r="EU36" s="476"/>
      <c r="EV36" s="476"/>
      <c r="EW36" s="476"/>
      <c r="EX36" s="476"/>
      <c r="EY36" s="476"/>
      <c r="EZ36" s="476"/>
      <c r="FA36" s="476"/>
      <c r="FB36" s="476"/>
      <c r="FC36" s="476"/>
      <c r="FD36" s="476"/>
      <c r="FE36" s="476"/>
      <c r="FF36" s="476"/>
      <c r="FG36" s="476"/>
      <c r="FH36" s="476"/>
      <c r="FI36" s="476"/>
      <c r="FJ36" s="476"/>
      <c r="FK36" s="476"/>
      <c r="FL36" s="476"/>
      <c r="FM36" s="476"/>
      <c r="FN36" s="476"/>
      <c r="FO36" s="476"/>
      <c r="FP36" s="476"/>
      <c r="FQ36" s="476"/>
      <c r="FR36" s="476"/>
      <c r="FS36" s="476"/>
      <c r="FT36" s="476"/>
      <c r="FU36" s="476"/>
      <c r="FV36" s="476"/>
      <c r="FW36" s="476"/>
      <c r="FX36" s="476"/>
      <c r="FY36" s="476"/>
      <c r="FZ36" s="28"/>
      <c r="GA36" s="28"/>
      <c r="GB36" s="28"/>
      <c r="GC36" s="196"/>
      <c r="GD36" s="196"/>
      <c r="GE36" s="196"/>
      <c r="GF36" s="196"/>
      <c r="GG36" s="28"/>
      <c r="GH36" s="28"/>
      <c r="GI36" s="28"/>
      <c r="GJ36" s="196"/>
      <c r="GK36" s="196"/>
      <c r="GL36" s="196"/>
      <c r="GM36" s="196"/>
      <c r="GN36" s="196"/>
      <c r="GO36" s="196"/>
      <c r="GP36" s="196"/>
      <c r="GQ36" s="196"/>
      <c r="GR36" s="196"/>
      <c r="GS36" s="196"/>
      <c r="GU36" s="196"/>
      <c r="GV36" s="196"/>
      <c r="GW36" s="196"/>
      <c r="GX36" s="196"/>
      <c r="GY36" s="196"/>
      <c r="GZ36" s="196"/>
      <c r="HA36" s="196"/>
      <c r="HB36" s="196"/>
      <c r="HC36" s="196"/>
      <c r="HD36" s="196"/>
      <c r="HE36" s="196"/>
      <c r="HF36" s="196"/>
      <c r="HG36" s="196"/>
      <c r="HH36" s="196"/>
      <c r="HI36" s="196"/>
      <c r="HJ36" s="196"/>
      <c r="HK36" s="196"/>
      <c r="HL36" s="196"/>
      <c r="HM36" s="196"/>
      <c r="HN36" s="196"/>
      <c r="HO36" s="196"/>
      <c r="HP36" s="196"/>
      <c r="HQ36" s="196"/>
      <c r="HR36" s="196"/>
      <c r="HS36" s="196"/>
      <c r="HT36" s="196"/>
      <c r="HU36" s="196"/>
      <c r="HV36" s="196"/>
      <c r="HW36" s="196"/>
      <c r="HX36" s="196"/>
      <c r="HY36" s="196"/>
      <c r="HZ36" s="196"/>
      <c r="IA36" s="196"/>
      <c r="IB36" s="196"/>
      <c r="IC36" s="196"/>
      <c r="ID36" s="196"/>
      <c r="IE36" s="196"/>
      <c r="IF36" s="196"/>
      <c r="IG36" s="196"/>
      <c r="IH36" s="196"/>
      <c r="II36" s="196"/>
      <c r="IJ36" s="196"/>
      <c r="IK36" s="196"/>
      <c r="IL36" s="196"/>
      <c r="IM36" s="196"/>
      <c r="IN36" s="196"/>
      <c r="IO36" s="196"/>
      <c r="IP36" s="196"/>
      <c r="IQ36" s="196"/>
      <c r="IR36" s="196"/>
    </row>
    <row r="37" spans="1:252" ht="15" customHeight="1" x14ac:dyDescent="0.25">
      <c r="A37" s="504" t="s">
        <v>472</v>
      </c>
      <c r="I37" s="421"/>
      <c r="J37" s="421"/>
      <c r="K37" s="421"/>
      <c r="L37" s="421"/>
      <c r="P37" s="196"/>
      <c r="Q37" s="196"/>
      <c r="R37" s="196"/>
      <c r="S37" s="196"/>
      <c r="GG37" s="69"/>
      <c r="GT37" s="902"/>
    </row>
    <row r="38" spans="1:252" s="846" customFormat="1" ht="12.75" x14ac:dyDescent="0.25">
      <c r="A38" s="196" t="s">
        <v>541</v>
      </c>
      <c r="B38" s="196"/>
      <c r="C38" s="196"/>
      <c r="D38" s="196"/>
      <c r="E38" s="196"/>
      <c r="F38" s="196"/>
      <c r="G38" s="196"/>
      <c r="H38" s="196"/>
      <c r="I38" s="196"/>
      <c r="J38" s="196"/>
      <c r="K38" s="196"/>
      <c r="L38" s="196"/>
      <c r="M38" s="196"/>
      <c r="N38" s="196"/>
      <c r="O38" s="196"/>
      <c r="P38" s="196"/>
      <c r="Q38" s="196"/>
      <c r="R38" s="196"/>
      <c r="S38" s="196"/>
      <c r="T38" s="196"/>
      <c r="U38" s="196"/>
      <c r="V38" s="196"/>
      <c r="W38" s="196"/>
      <c r="X38" s="196"/>
      <c r="Y38" s="196"/>
      <c r="Z38" s="196"/>
      <c r="AA38" s="196"/>
      <c r="AB38" s="196"/>
      <c r="AC38" s="196"/>
      <c r="AD38" s="196"/>
      <c r="AE38" s="196"/>
      <c r="AF38" s="482"/>
      <c r="AG38" s="196"/>
      <c r="AH38" s="196"/>
      <c r="AI38" s="196"/>
      <c r="AJ38" s="196"/>
      <c r="AK38" s="448"/>
      <c r="AL38" s="448"/>
      <c r="AM38" s="448"/>
      <c r="AN38" s="448"/>
      <c r="AO38" s="448"/>
      <c r="AP38" s="476"/>
      <c r="AQ38" s="476"/>
      <c r="AR38" s="476"/>
      <c r="AS38" s="476"/>
      <c r="AT38" s="476"/>
      <c r="AU38" s="476"/>
      <c r="AV38" s="476"/>
      <c r="AW38" s="476"/>
      <c r="AX38" s="476"/>
      <c r="AY38" s="476"/>
      <c r="AZ38" s="476"/>
      <c r="BA38" s="476"/>
      <c r="BB38" s="476"/>
      <c r="BC38" s="476"/>
      <c r="BD38" s="476"/>
      <c r="BE38" s="476"/>
      <c r="BF38" s="476"/>
      <c r="BG38" s="476"/>
      <c r="BH38" s="476"/>
      <c r="BI38" s="476"/>
      <c r="BJ38" s="476"/>
      <c r="BK38" s="476"/>
      <c r="BL38" s="476"/>
      <c r="BM38" s="476"/>
      <c r="BN38" s="476"/>
      <c r="BO38" s="476"/>
      <c r="BP38" s="476"/>
      <c r="BQ38" s="476"/>
      <c r="BR38" s="476"/>
      <c r="BS38" s="476"/>
      <c r="BT38" s="476"/>
      <c r="BU38" s="476"/>
      <c r="BV38" s="476"/>
      <c r="BW38" s="476"/>
      <c r="BX38" s="476"/>
      <c r="BY38" s="476"/>
      <c r="BZ38" s="476"/>
      <c r="CA38" s="476"/>
      <c r="CB38" s="476"/>
      <c r="CC38" s="476"/>
      <c r="CD38" s="476"/>
      <c r="CE38" s="476"/>
      <c r="CF38" s="476"/>
      <c r="CG38" s="476"/>
      <c r="CH38" s="476"/>
      <c r="CI38" s="476"/>
      <c r="CJ38" s="476"/>
      <c r="CK38" s="476"/>
      <c r="CL38" s="476"/>
      <c r="CM38" s="476"/>
      <c r="CN38" s="476"/>
      <c r="CO38" s="476"/>
      <c r="CP38" s="476"/>
      <c r="CQ38" s="476"/>
      <c r="CR38" s="476"/>
      <c r="CS38" s="476"/>
      <c r="CT38" s="476"/>
      <c r="CU38" s="476"/>
      <c r="CV38" s="476"/>
      <c r="CW38" s="476"/>
      <c r="CX38" s="476"/>
      <c r="CY38" s="476"/>
      <c r="CZ38" s="476"/>
      <c r="DA38" s="476"/>
      <c r="DB38" s="476"/>
      <c r="DC38" s="476"/>
      <c r="DD38" s="476"/>
      <c r="DE38" s="476"/>
      <c r="DF38" s="476"/>
      <c r="DG38" s="476"/>
      <c r="DH38" s="476"/>
      <c r="DI38" s="476"/>
      <c r="DJ38" s="476"/>
      <c r="DK38" s="476"/>
      <c r="DL38" s="476"/>
      <c r="DM38" s="476"/>
      <c r="DN38" s="476"/>
      <c r="DO38" s="476"/>
      <c r="DP38" s="476"/>
      <c r="DQ38" s="476"/>
      <c r="DR38" s="476"/>
      <c r="DS38" s="476"/>
      <c r="DT38" s="476"/>
      <c r="DU38" s="476"/>
      <c r="DV38" s="476"/>
      <c r="DW38" s="476"/>
      <c r="DX38" s="476"/>
      <c r="DY38" s="476"/>
      <c r="DZ38" s="476"/>
      <c r="EA38" s="476"/>
      <c r="EB38" s="476"/>
      <c r="EC38" s="476"/>
      <c r="ED38" s="476"/>
      <c r="EE38" s="476"/>
      <c r="EF38" s="476"/>
      <c r="EG38" s="476"/>
      <c r="EH38" s="476"/>
      <c r="EI38" s="476"/>
      <c r="EJ38" s="476"/>
      <c r="EK38" s="476"/>
      <c r="EL38" s="476"/>
      <c r="EM38" s="476"/>
      <c r="EN38" s="476"/>
      <c r="EO38" s="476"/>
      <c r="EP38" s="476"/>
      <c r="EQ38" s="476"/>
      <c r="ER38" s="476"/>
      <c r="ES38" s="476"/>
      <c r="ET38" s="476"/>
      <c r="EU38" s="476"/>
      <c r="EV38" s="476"/>
      <c r="EW38" s="476"/>
      <c r="EX38" s="476"/>
      <c r="EY38" s="476"/>
      <c r="EZ38" s="476"/>
      <c r="FA38" s="476"/>
      <c r="FB38" s="476"/>
      <c r="FC38" s="476"/>
      <c r="FD38" s="476"/>
      <c r="FE38" s="476"/>
      <c r="FF38" s="476"/>
      <c r="FG38" s="476"/>
      <c r="FH38" s="476"/>
      <c r="FI38" s="476"/>
      <c r="FJ38" s="476"/>
      <c r="FK38" s="476"/>
      <c r="FL38" s="476"/>
      <c r="FM38" s="476"/>
      <c r="FN38" s="476"/>
      <c r="FO38" s="476"/>
      <c r="FP38" s="476"/>
      <c r="FQ38" s="476"/>
      <c r="FR38" s="476"/>
      <c r="FS38" s="476"/>
      <c r="FT38" s="476"/>
      <c r="FU38" s="476"/>
      <c r="FV38" s="476"/>
      <c r="FW38" s="476"/>
      <c r="FX38" s="476"/>
      <c r="FY38" s="476"/>
      <c r="FZ38" s="833"/>
      <c r="GA38" s="834"/>
      <c r="GB38" s="834"/>
      <c r="GC38" s="196"/>
      <c r="GD38" s="196"/>
      <c r="GE38" s="196"/>
      <c r="GF38" s="196"/>
      <c r="GG38" s="196"/>
      <c r="GH38" s="506"/>
      <c r="GI38" s="506">
        <v>0</v>
      </c>
      <c r="GJ38" s="504"/>
      <c r="GK38" s="504"/>
      <c r="GL38" s="504"/>
      <c r="GM38" s="504"/>
      <c r="GN38" s="504"/>
      <c r="GO38" s="504"/>
      <c r="GP38" s="504">
        <v>0</v>
      </c>
      <c r="GQ38" s="504"/>
      <c r="GR38" s="504"/>
      <c r="GS38" s="504"/>
      <c r="GT38" s="902"/>
      <c r="GU38" s="835"/>
      <c r="GV38" s="835"/>
      <c r="GW38" s="835"/>
      <c r="GX38" s="835"/>
      <c r="GY38" s="835"/>
      <c r="GZ38" s="835"/>
      <c r="HA38" s="835"/>
      <c r="HB38" s="835"/>
      <c r="HC38" s="835"/>
      <c r="HD38" s="835"/>
      <c r="HE38" s="835"/>
      <c r="HF38" s="835"/>
      <c r="HG38" s="835"/>
      <c r="HH38" s="835"/>
      <c r="HI38" s="835"/>
      <c r="HJ38" s="835"/>
      <c r="HK38" s="835"/>
      <c r="HL38" s="835"/>
      <c r="HM38" s="835"/>
      <c r="HN38" s="835"/>
      <c r="HO38" s="835"/>
      <c r="HP38" s="835"/>
      <c r="HQ38" s="835"/>
      <c r="HR38" s="835"/>
      <c r="HS38" s="835"/>
      <c r="HT38" s="835"/>
      <c r="HU38" s="835"/>
      <c r="HV38" s="835"/>
      <c r="HW38" s="835"/>
      <c r="HX38" s="835"/>
      <c r="HY38" s="835"/>
      <c r="HZ38" s="835"/>
      <c r="IA38" s="835"/>
      <c r="IB38" s="835"/>
      <c r="IC38" s="835"/>
      <c r="ID38" s="835"/>
      <c r="IE38" s="835"/>
      <c r="IF38" s="835"/>
      <c r="IG38" s="835"/>
      <c r="IH38" s="835"/>
      <c r="II38" s="835"/>
      <c r="IJ38" s="835"/>
      <c r="IK38" s="835"/>
      <c r="IL38" s="835"/>
      <c r="IM38" s="835"/>
      <c r="IN38" s="835"/>
      <c r="IO38" s="835"/>
      <c r="IP38" s="835"/>
      <c r="IQ38" s="835"/>
      <c r="IR38" s="835"/>
    </row>
    <row r="39" spans="1:252" ht="12.75" x14ac:dyDescent="0.25">
      <c r="A39" s="196" t="s">
        <v>278</v>
      </c>
      <c r="B39" s="196"/>
      <c r="C39" s="196"/>
      <c r="D39" s="196"/>
      <c r="E39" s="196"/>
      <c r="F39" s="196"/>
      <c r="G39" s="196"/>
      <c r="H39" s="196"/>
      <c r="I39" s="196"/>
      <c r="J39" s="196"/>
      <c r="K39" s="196"/>
      <c r="L39" s="196"/>
      <c r="M39" s="196"/>
      <c r="N39" s="196"/>
      <c r="O39" s="196"/>
      <c r="P39" s="196"/>
      <c r="Q39" s="196"/>
      <c r="R39" s="196"/>
      <c r="S39" s="196"/>
      <c r="T39" s="196"/>
      <c r="U39" s="196"/>
      <c r="V39" s="196"/>
      <c r="AA39" s="196"/>
      <c r="AB39" s="196"/>
      <c r="AC39" s="196"/>
      <c r="AF39" s="482"/>
      <c r="AH39" s="196"/>
      <c r="AI39" s="196"/>
      <c r="AJ39" s="196"/>
      <c r="FZ39" s="836"/>
      <c r="GA39" s="836"/>
      <c r="GB39" s="837"/>
      <c r="GC39" s="838"/>
      <c r="GD39" s="838"/>
      <c r="GE39" s="838"/>
      <c r="GF39" s="838"/>
      <c r="GG39" s="196"/>
      <c r="GH39" s="506"/>
      <c r="GI39" s="506"/>
      <c r="GJ39" s="504"/>
      <c r="GK39" s="504"/>
      <c r="GL39" s="504"/>
      <c r="GM39" s="504"/>
      <c r="GN39" s="504"/>
      <c r="GO39" s="504"/>
      <c r="GP39" s="504"/>
      <c r="GQ39" s="504"/>
      <c r="GR39" s="504"/>
      <c r="GS39" s="504"/>
      <c r="GT39" s="902"/>
      <c r="GU39" s="839"/>
      <c r="GV39" s="839"/>
      <c r="GW39" s="839"/>
      <c r="GX39" s="839"/>
      <c r="GY39" s="839"/>
      <c r="GZ39" s="839"/>
      <c r="HH39" s="839"/>
      <c r="HI39" s="839"/>
      <c r="HJ39" s="833"/>
      <c r="HK39" s="833"/>
      <c r="HL39" s="833"/>
    </row>
    <row r="40" spans="1:252" ht="12.75" x14ac:dyDescent="0.25">
      <c r="A40" s="845" t="s">
        <v>540</v>
      </c>
      <c r="B40" s="838"/>
      <c r="C40" s="838"/>
      <c r="D40" s="838"/>
      <c r="E40" s="838"/>
      <c r="F40" s="838"/>
      <c r="G40" s="838"/>
      <c r="H40" s="838"/>
      <c r="I40" s="838"/>
      <c r="J40" s="838"/>
      <c r="K40" s="838"/>
      <c r="L40" s="838"/>
      <c r="M40" s="838"/>
      <c r="N40" s="838"/>
      <c r="O40" s="838"/>
      <c r="P40" s="838"/>
      <c r="Q40" s="838"/>
      <c r="R40" s="838"/>
      <c r="S40" s="838"/>
      <c r="T40" s="838"/>
      <c r="U40" s="838"/>
      <c r="V40" s="838"/>
      <c r="W40" s="838"/>
      <c r="X40" s="838"/>
      <c r="Y40" s="838"/>
      <c r="Z40" s="838"/>
      <c r="AA40" s="838"/>
      <c r="AB40" s="838"/>
      <c r="AC40" s="838"/>
      <c r="AD40" s="838"/>
      <c r="AE40" s="838"/>
      <c r="AF40" s="840"/>
      <c r="AH40" s="196"/>
      <c r="AI40" s="838"/>
      <c r="AJ40" s="838"/>
      <c r="GG40" s="841"/>
      <c r="GH40" s="841"/>
      <c r="GI40" s="842">
        <v>0</v>
      </c>
      <c r="GJ40" s="843"/>
      <c r="GK40" s="843"/>
      <c r="GL40" s="843"/>
      <c r="GM40" s="843"/>
      <c r="GN40" s="843"/>
      <c r="GO40" s="843"/>
      <c r="GP40" s="843">
        <v>0</v>
      </c>
      <c r="GQ40" s="843"/>
      <c r="GR40" s="843"/>
      <c r="GS40" s="843"/>
      <c r="GT40" s="902"/>
      <c r="GU40" s="841"/>
      <c r="GV40" s="841"/>
      <c r="GW40" s="841"/>
      <c r="GX40" s="841"/>
      <c r="GY40" s="841"/>
      <c r="GZ40" s="841"/>
      <c r="HH40" s="841"/>
    </row>
    <row r="41" spans="1:252" ht="20.100000000000001" customHeight="1" x14ac:dyDescent="0.25">
      <c r="W41" s="28"/>
      <c r="X41" s="28"/>
      <c r="Y41" s="28"/>
      <c r="Z41" s="28"/>
      <c r="AD41" s="28"/>
      <c r="AE41" s="28"/>
      <c r="AF41" s="28"/>
      <c r="GT41" s="902"/>
    </row>
    <row r="42" spans="1:252" ht="20.100000000000001" customHeight="1" x14ac:dyDescent="0.25">
      <c r="AD42" s="28"/>
      <c r="AE42" s="28"/>
      <c r="AF42" s="28"/>
      <c r="GT42" s="902"/>
    </row>
    <row r="43" spans="1:252" s="196" customFormat="1" ht="20.100000000000001" customHeight="1" x14ac:dyDescent="0.25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AA43" s="28"/>
      <c r="AB43" s="28"/>
      <c r="AC43" s="28"/>
      <c r="AD43" s="28"/>
      <c r="AE43" s="28"/>
      <c r="AF43" s="28"/>
      <c r="AH43" s="28"/>
      <c r="AI43" s="28"/>
      <c r="AJ43" s="28"/>
      <c r="AK43" s="448"/>
      <c r="AL43" s="448"/>
      <c r="AM43" s="448"/>
      <c r="AN43" s="448"/>
      <c r="AO43" s="448"/>
      <c r="AP43" s="476"/>
      <c r="AQ43" s="476"/>
      <c r="AR43" s="476"/>
      <c r="AS43" s="476"/>
      <c r="AT43" s="476"/>
      <c r="AU43" s="476"/>
      <c r="AV43" s="476"/>
      <c r="AW43" s="476"/>
      <c r="AX43" s="476"/>
      <c r="AY43" s="476"/>
      <c r="AZ43" s="476"/>
      <c r="BA43" s="476"/>
      <c r="BB43" s="476"/>
      <c r="BC43" s="476"/>
      <c r="BD43" s="476"/>
      <c r="BE43" s="476"/>
      <c r="BF43" s="476"/>
      <c r="BG43" s="476"/>
      <c r="BH43" s="476"/>
      <c r="BI43" s="476"/>
      <c r="BJ43" s="476"/>
      <c r="BK43" s="476"/>
      <c r="BL43" s="476"/>
      <c r="BM43" s="476"/>
      <c r="BN43" s="476"/>
      <c r="BO43" s="476"/>
      <c r="BP43" s="476"/>
      <c r="BQ43" s="476"/>
      <c r="BR43" s="476"/>
      <c r="BS43" s="476"/>
      <c r="BT43" s="476"/>
      <c r="BU43" s="476"/>
      <c r="BV43" s="476"/>
      <c r="BW43" s="476"/>
      <c r="BX43" s="476"/>
      <c r="BY43" s="476"/>
      <c r="BZ43" s="476"/>
      <c r="CA43" s="476"/>
      <c r="CB43" s="476"/>
      <c r="CC43" s="476"/>
      <c r="CD43" s="476"/>
      <c r="CE43" s="476"/>
      <c r="CF43" s="476"/>
      <c r="CG43" s="476"/>
      <c r="CH43" s="476"/>
      <c r="CI43" s="476"/>
      <c r="CJ43" s="476"/>
      <c r="CK43" s="476"/>
      <c r="CL43" s="476"/>
      <c r="CM43" s="476"/>
      <c r="CN43" s="476"/>
      <c r="CO43" s="476"/>
      <c r="CP43" s="476"/>
      <c r="CQ43" s="476"/>
      <c r="CR43" s="476"/>
      <c r="CS43" s="476"/>
      <c r="CT43" s="476"/>
      <c r="CU43" s="476"/>
      <c r="CV43" s="476"/>
      <c r="CW43" s="476"/>
      <c r="CX43" s="476"/>
      <c r="CY43" s="476"/>
      <c r="CZ43" s="476"/>
      <c r="DA43" s="476"/>
      <c r="DB43" s="476"/>
      <c r="DC43" s="476"/>
      <c r="DD43" s="476"/>
      <c r="DE43" s="476"/>
      <c r="DF43" s="476"/>
      <c r="DG43" s="476"/>
      <c r="DH43" s="476"/>
      <c r="DI43" s="476"/>
      <c r="DJ43" s="476"/>
      <c r="DK43" s="476"/>
      <c r="DL43" s="476"/>
      <c r="DM43" s="476"/>
      <c r="DN43" s="476"/>
      <c r="DO43" s="476"/>
      <c r="DP43" s="476"/>
      <c r="DQ43" s="476"/>
      <c r="DR43" s="476"/>
      <c r="DS43" s="476"/>
      <c r="DT43" s="476"/>
      <c r="DU43" s="476"/>
      <c r="DV43" s="476"/>
      <c r="DW43" s="476"/>
      <c r="DX43" s="476"/>
      <c r="DY43" s="476"/>
      <c r="DZ43" s="476"/>
      <c r="EA43" s="476"/>
      <c r="EB43" s="476"/>
      <c r="EC43" s="476"/>
      <c r="ED43" s="476"/>
      <c r="EE43" s="476"/>
      <c r="EF43" s="476"/>
      <c r="EG43" s="476"/>
      <c r="EH43" s="476"/>
      <c r="EI43" s="476"/>
      <c r="EJ43" s="476"/>
      <c r="EK43" s="476"/>
      <c r="EL43" s="476"/>
      <c r="EM43" s="476"/>
      <c r="EN43" s="476"/>
      <c r="EO43" s="476"/>
      <c r="EP43" s="476"/>
      <c r="EQ43" s="476"/>
      <c r="ER43" s="476"/>
      <c r="ES43" s="476"/>
      <c r="ET43" s="476"/>
      <c r="EU43" s="476"/>
      <c r="EV43" s="476"/>
      <c r="EW43" s="476"/>
      <c r="EX43" s="476"/>
      <c r="EY43" s="476"/>
      <c r="EZ43" s="476"/>
      <c r="FA43" s="476"/>
      <c r="FB43" s="476"/>
      <c r="FC43" s="476"/>
      <c r="FD43" s="476"/>
      <c r="FE43" s="476"/>
      <c r="FF43" s="476"/>
      <c r="FG43" s="476"/>
      <c r="FH43" s="476"/>
      <c r="FI43" s="476"/>
      <c r="FJ43" s="476"/>
      <c r="FK43" s="476"/>
      <c r="FL43" s="476"/>
      <c r="FM43" s="476"/>
      <c r="FN43" s="476"/>
      <c r="FO43" s="476"/>
      <c r="FP43" s="476"/>
      <c r="FQ43" s="476"/>
      <c r="FR43" s="476"/>
      <c r="FS43" s="476"/>
      <c r="FT43" s="476"/>
      <c r="FU43" s="476"/>
      <c r="FV43" s="476"/>
      <c r="FW43" s="476"/>
      <c r="FX43" s="476"/>
      <c r="FY43" s="476"/>
      <c r="FZ43" s="28"/>
      <c r="GA43" s="28"/>
      <c r="GB43" s="28"/>
      <c r="GG43" s="28"/>
      <c r="GH43" s="28"/>
      <c r="GI43" s="28"/>
    </row>
    <row r="44" spans="1:252" s="196" customFormat="1" ht="20.100000000000001" customHeight="1" x14ac:dyDescent="0.25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AA44" s="28"/>
      <c r="AB44" s="28"/>
      <c r="AC44" s="28"/>
      <c r="AD44" s="28"/>
      <c r="AE44" s="28"/>
      <c r="AF44" s="28"/>
      <c r="AH44" s="28"/>
      <c r="AI44" s="28"/>
      <c r="AJ44" s="28"/>
      <c r="AK44" s="448"/>
      <c r="AL44" s="448"/>
      <c r="AM44" s="448"/>
      <c r="AN44" s="448"/>
      <c r="AO44" s="448"/>
      <c r="AP44" s="476"/>
      <c r="AQ44" s="476"/>
      <c r="AR44" s="476"/>
      <c r="AS44" s="476"/>
      <c r="AT44" s="476"/>
      <c r="AU44" s="476"/>
      <c r="AV44" s="476"/>
      <c r="AW44" s="476"/>
      <c r="AX44" s="476"/>
      <c r="AY44" s="476"/>
      <c r="AZ44" s="476"/>
      <c r="BA44" s="476"/>
      <c r="BB44" s="476"/>
      <c r="BC44" s="476"/>
      <c r="BD44" s="476"/>
      <c r="BE44" s="476"/>
      <c r="BF44" s="476"/>
      <c r="BG44" s="476"/>
      <c r="BH44" s="476"/>
      <c r="BI44" s="476"/>
      <c r="BJ44" s="476"/>
      <c r="BK44" s="476"/>
      <c r="BL44" s="476"/>
      <c r="BM44" s="476"/>
      <c r="BN44" s="476"/>
      <c r="BO44" s="476"/>
      <c r="BP44" s="476"/>
      <c r="BQ44" s="476"/>
      <c r="BR44" s="476"/>
      <c r="BS44" s="476"/>
      <c r="BT44" s="476"/>
      <c r="BU44" s="476"/>
      <c r="BV44" s="476"/>
      <c r="BW44" s="476"/>
      <c r="BX44" s="476"/>
      <c r="BY44" s="476"/>
      <c r="BZ44" s="476"/>
      <c r="CA44" s="476"/>
      <c r="CB44" s="476"/>
      <c r="CC44" s="476"/>
      <c r="CD44" s="476"/>
      <c r="CE44" s="476"/>
      <c r="CF44" s="476"/>
      <c r="CG44" s="476"/>
      <c r="CH44" s="476"/>
      <c r="CI44" s="476"/>
      <c r="CJ44" s="476"/>
      <c r="CK44" s="476"/>
      <c r="CL44" s="476"/>
      <c r="CM44" s="476"/>
      <c r="CN44" s="476"/>
      <c r="CO44" s="476"/>
      <c r="CP44" s="476"/>
      <c r="CQ44" s="476"/>
      <c r="CR44" s="476"/>
      <c r="CS44" s="476"/>
      <c r="CT44" s="476"/>
      <c r="CU44" s="476"/>
      <c r="CV44" s="476"/>
      <c r="CW44" s="476"/>
      <c r="CX44" s="476"/>
      <c r="CY44" s="476"/>
      <c r="CZ44" s="476"/>
      <c r="DA44" s="476"/>
      <c r="DB44" s="476"/>
      <c r="DC44" s="476"/>
      <c r="DD44" s="476"/>
      <c r="DE44" s="476"/>
      <c r="DF44" s="476"/>
      <c r="DG44" s="476"/>
      <c r="DH44" s="476"/>
      <c r="DI44" s="476"/>
      <c r="DJ44" s="476"/>
      <c r="DK44" s="476"/>
      <c r="DL44" s="476"/>
      <c r="DM44" s="476"/>
      <c r="DN44" s="476"/>
      <c r="DO44" s="476"/>
      <c r="DP44" s="476"/>
      <c r="DQ44" s="476"/>
      <c r="DR44" s="476"/>
      <c r="DS44" s="476"/>
      <c r="DT44" s="476"/>
      <c r="DU44" s="476"/>
      <c r="DV44" s="476"/>
      <c r="DW44" s="476"/>
      <c r="DX44" s="476"/>
      <c r="DY44" s="476"/>
      <c r="DZ44" s="476"/>
      <c r="EA44" s="476"/>
      <c r="EB44" s="476"/>
      <c r="EC44" s="476"/>
      <c r="ED44" s="476"/>
      <c r="EE44" s="476"/>
      <c r="EF44" s="476"/>
      <c r="EG44" s="476"/>
      <c r="EH44" s="476"/>
      <c r="EI44" s="476"/>
      <c r="EJ44" s="476"/>
      <c r="EK44" s="476"/>
      <c r="EL44" s="476"/>
      <c r="EM44" s="476"/>
      <c r="EN44" s="476"/>
      <c r="EO44" s="476"/>
      <c r="EP44" s="476"/>
      <c r="EQ44" s="476"/>
      <c r="ER44" s="476"/>
      <c r="ES44" s="476"/>
      <c r="ET44" s="476"/>
      <c r="EU44" s="476"/>
      <c r="EV44" s="476"/>
      <c r="EW44" s="476"/>
      <c r="EX44" s="476"/>
      <c r="EY44" s="476"/>
      <c r="EZ44" s="476"/>
      <c r="FA44" s="476"/>
      <c r="FB44" s="476"/>
      <c r="FC44" s="476"/>
      <c r="FD44" s="476"/>
      <c r="FE44" s="476"/>
      <c r="FF44" s="476"/>
      <c r="FG44" s="476"/>
      <c r="FH44" s="476"/>
      <c r="FI44" s="476"/>
      <c r="FJ44" s="476"/>
      <c r="FK44" s="476"/>
      <c r="FL44" s="476"/>
      <c r="FM44" s="476"/>
      <c r="FN44" s="476"/>
      <c r="FO44" s="476"/>
      <c r="FP44" s="476"/>
      <c r="FQ44" s="476"/>
      <c r="FR44" s="476"/>
      <c r="FS44" s="476"/>
      <c r="FT44" s="476"/>
      <c r="FU44" s="476"/>
      <c r="FV44" s="476"/>
      <c r="FW44" s="476"/>
      <c r="FX44" s="476"/>
      <c r="FY44" s="476"/>
      <c r="FZ44" s="28"/>
      <c r="GA44" s="28"/>
      <c r="GB44" s="28"/>
      <c r="GG44" s="28"/>
      <c r="GH44" s="28"/>
      <c r="GI44" s="28"/>
    </row>
    <row r="45" spans="1:252" s="196" customFormat="1" ht="20.100000000000001" customHeight="1" x14ac:dyDescent="0.2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AA45" s="28"/>
      <c r="AB45" s="28"/>
      <c r="AC45" s="28"/>
      <c r="AD45" s="28"/>
      <c r="AE45" s="28"/>
      <c r="AF45" s="28"/>
      <c r="AH45" s="28"/>
      <c r="AI45" s="28"/>
      <c r="AJ45" s="28"/>
      <c r="AK45" s="448"/>
      <c r="AL45" s="448"/>
      <c r="AM45" s="448"/>
      <c r="AN45" s="448"/>
      <c r="AO45" s="448"/>
      <c r="AP45" s="476"/>
      <c r="AQ45" s="476"/>
      <c r="AR45" s="476"/>
      <c r="AS45" s="476"/>
      <c r="AT45" s="476"/>
      <c r="AU45" s="476"/>
      <c r="AV45" s="476"/>
      <c r="AW45" s="476"/>
      <c r="AX45" s="476"/>
      <c r="AY45" s="476"/>
      <c r="AZ45" s="476"/>
      <c r="BA45" s="476"/>
      <c r="BB45" s="476"/>
      <c r="BC45" s="476"/>
      <c r="BD45" s="476"/>
      <c r="BE45" s="476"/>
      <c r="BF45" s="476"/>
      <c r="BG45" s="476"/>
      <c r="BH45" s="476"/>
      <c r="BI45" s="476"/>
      <c r="BJ45" s="476"/>
      <c r="BK45" s="476"/>
      <c r="BL45" s="476"/>
      <c r="BM45" s="476"/>
      <c r="BN45" s="476"/>
      <c r="BO45" s="476"/>
      <c r="BP45" s="476"/>
      <c r="BQ45" s="476"/>
      <c r="BR45" s="476"/>
      <c r="BS45" s="476"/>
      <c r="BT45" s="476"/>
      <c r="BU45" s="476"/>
      <c r="BV45" s="476"/>
      <c r="BW45" s="476"/>
      <c r="BX45" s="476"/>
      <c r="BY45" s="476"/>
      <c r="BZ45" s="476"/>
      <c r="CA45" s="476"/>
      <c r="CB45" s="476"/>
      <c r="CC45" s="476"/>
      <c r="CD45" s="476"/>
      <c r="CE45" s="476"/>
      <c r="CF45" s="476"/>
      <c r="CG45" s="476"/>
      <c r="CH45" s="476"/>
      <c r="CI45" s="476"/>
      <c r="CJ45" s="476"/>
      <c r="CK45" s="476"/>
      <c r="CL45" s="476"/>
      <c r="CM45" s="476"/>
      <c r="CN45" s="476"/>
      <c r="CO45" s="476"/>
      <c r="CP45" s="476"/>
      <c r="CQ45" s="476"/>
      <c r="CR45" s="476"/>
      <c r="CS45" s="476"/>
      <c r="CT45" s="476"/>
      <c r="CU45" s="476"/>
      <c r="CV45" s="476"/>
      <c r="CW45" s="476"/>
      <c r="CX45" s="476"/>
      <c r="CY45" s="476"/>
      <c r="CZ45" s="476"/>
      <c r="DA45" s="476"/>
      <c r="DB45" s="476"/>
      <c r="DC45" s="476"/>
      <c r="DD45" s="476"/>
      <c r="DE45" s="476"/>
      <c r="DF45" s="476"/>
      <c r="DG45" s="476"/>
      <c r="DH45" s="476"/>
      <c r="DI45" s="476"/>
      <c r="DJ45" s="476"/>
      <c r="DK45" s="476"/>
      <c r="DL45" s="476"/>
      <c r="DM45" s="476"/>
      <c r="DN45" s="476"/>
      <c r="DO45" s="476"/>
      <c r="DP45" s="476"/>
      <c r="DQ45" s="476"/>
      <c r="DR45" s="476"/>
      <c r="DS45" s="476"/>
      <c r="DT45" s="476"/>
      <c r="DU45" s="476"/>
      <c r="DV45" s="476"/>
      <c r="DW45" s="476"/>
      <c r="DX45" s="476"/>
      <c r="DY45" s="476"/>
      <c r="DZ45" s="476"/>
      <c r="EA45" s="476"/>
      <c r="EB45" s="476"/>
      <c r="EC45" s="476"/>
      <c r="ED45" s="476"/>
      <c r="EE45" s="476"/>
      <c r="EF45" s="476"/>
      <c r="EG45" s="476"/>
      <c r="EH45" s="476"/>
      <c r="EI45" s="476"/>
      <c r="EJ45" s="476"/>
      <c r="EK45" s="476"/>
      <c r="EL45" s="476"/>
      <c r="EM45" s="476"/>
      <c r="EN45" s="476"/>
      <c r="EO45" s="476"/>
      <c r="EP45" s="476"/>
      <c r="EQ45" s="476"/>
      <c r="ER45" s="476"/>
      <c r="ES45" s="476"/>
      <c r="ET45" s="476"/>
      <c r="EU45" s="476"/>
      <c r="EV45" s="476"/>
      <c r="EW45" s="476"/>
      <c r="EX45" s="476"/>
      <c r="EY45" s="476"/>
      <c r="EZ45" s="476"/>
      <c r="FA45" s="476"/>
      <c r="FB45" s="476"/>
      <c r="FC45" s="476"/>
      <c r="FD45" s="476"/>
      <c r="FE45" s="476"/>
      <c r="FF45" s="476"/>
      <c r="FG45" s="476"/>
      <c r="FH45" s="476"/>
      <c r="FI45" s="476"/>
      <c r="FJ45" s="476"/>
      <c r="FK45" s="476"/>
      <c r="FL45" s="476"/>
      <c r="FM45" s="476"/>
      <c r="FN45" s="476"/>
      <c r="FO45" s="476"/>
      <c r="FP45" s="476"/>
      <c r="FQ45" s="476"/>
      <c r="FR45" s="476"/>
      <c r="FS45" s="476"/>
      <c r="FT45" s="476"/>
      <c r="FU45" s="476"/>
      <c r="FV45" s="476"/>
      <c r="FW45" s="476"/>
      <c r="FX45" s="476"/>
      <c r="FY45" s="476"/>
      <c r="FZ45" s="28"/>
      <c r="GA45" s="28"/>
      <c r="GB45" s="28"/>
      <c r="GG45" s="28"/>
      <c r="GH45" s="28"/>
      <c r="GI45" s="28"/>
    </row>
    <row r="46" spans="1:252" s="196" customFormat="1" ht="20.100000000000001" customHeight="1" x14ac:dyDescent="0.25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AA46" s="28"/>
      <c r="AB46" s="28"/>
      <c r="AC46" s="28"/>
      <c r="AD46" s="28"/>
      <c r="AE46" s="28"/>
      <c r="AF46" s="28"/>
      <c r="AH46" s="28"/>
      <c r="AI46" s="28"/>
      <c r="AJ46" s="28"/>
      <c r="AK46" s="448"/>
      <c r="AL46" s="448"/>
      <c r="AM46" s="448"/>
      <c r="AN46" s="448"/>
      <c r="AO46" s="448"/>
      <c r="AP46" s="476"/>
      <c r="AQ46" s="476"/>
      <c r="AR46" s="476"/>
      <c r="AS46" s="476"/>
      <c r="AT46" s="476"/>
      <c r="AU46" s="476"/>
      <c r="AV46" s="476"/>
      <c r="AW46" s="476"/>
      <c r="AX46" s="476"/>
      <c r="AY46" s="476"/>
      <c r="AZ46" s="476"/>
      <c r="BA46" s="476"/>
      <c r="BB46" s="476"/>
      <c r="BC46" s="476"/>
      <c r="BD46" s="476"/>
      <c r="BE46" s="476"/>
      <c r="BF46" s="476"/>
      <c r="BG46" s="476"/>
      <c r="BH46" s="476"/>
      <c r="BI46" s="476"/>
      <c r="BJ46" s="476"/>
      <c r="BK46" s="476"/>
      <c r="BL46" s="476"/>
      <c r="BM46" s="476"/>
      <c r="BN46" s="476"/>
      <c r="BO46" s="476"/>
      <c r="BP46" s="476"/>
      <c r="BQ46" s="476"/>
      <c r="BR46" s="476"/>
      <c r="BS46" s="476"/>
      <c r="BT46" s="476"/>
      <c r="BU46" s="476"/>
      <c r="BV46" s="476"/>
      <c r="BW46" s="476"/>
      <c r="BX46" s="476"/>
      <c r="BY46" s="476"/>
      <c r="BZ46" s="476"/>
      <c r="CA46" s="476"/>
      <c r="CB46" s="476"/>
      <c r="CC46" s="476"/>
      <c r="CD46" s="476"/>
      <c r="CE46" s="476"/>
      <c r="CF46" s="476"/>
      <c r="CG46" s="476"/>
      <c r="CH46" s="476"/>
      <c r="CI46" s="476"/>
      <c r="CJ46" s="476"/>
      <c r="CK46" s="476"/>
      <c r="CL46" s="476"/>
      <c r="CM46" s="476"/>
      <c r="CN46" s="476"/>
      <c r="CO46" s="476"/>
      <c r="CP46" s="476"/>
      <c r="CQ46" s="476"/>
      <c r="CR46" s="476"/>
      <c r="CS46" s="476"/>
      <c r="CT46" s="476"/>
      <c r="CU46" s="476"/>
      <c r="CV46" s="476"/>
      <c r="CW46" s="476"/>
      <c r="CX46" s="476"/>
      <c r="CY46" s="476"/>
      <c r="CZ46" s="476"/>
      <c r="DA46" s="476"/>
      <c r="DB46" s="476"/>
      <c r="DC46" s="476"/>
      <c r="DD46" s="476"/>
      <c r="DE46" s="476"/>
      <c r="DF46" s="476"/>
      <c r="DG46" s="476"/>
      <c r="DH46" s="476"/>
      <c r="DI46" s="476"/>
      <c r="DJ46" s="476"/>
      <c r="DK46" s="476"/>
      <c r="DL46" s="476"/>
      <c r="DM46" s="476"/>
      <c r="DN46" s="476"/>
      <c r="DO46" s="476"/>
      <c r="DP46" s="476"/>
      <c r="DQ46" s="476"/>
      <c r="DR46" s="476"/>
      <c r="DS46" s="476"/>
      <c r="DT46" s="476"/>
      <c r="DU46" s="476"/>
      <c r="DV46" s="476"/>
      <c r="DW46" s="476"/>
      <c r="DX46" s="476"/>
      <c r="DY46" s="476"/>
      <c r="DZ46" s="476"/>
      <c r="EA46" s="476"/>
      <c r="EB46" s="476"/>
      <c r="EC46" s="476"/>
      <c r="ED46" s="476"/>
      <c r="EE46" s="476"/>
      <c r="EF46" s="476"/>
      <c r="EG46" s="476"/>
      <c r="EH46" s="476"/>
      <c r="EI46" s="476"/>
      <c r="EJ46" s="476"/>
      <c r="EK46" s="476"/>
      <c r="EL46" s="476"/>
      <c r="EM46" s="476"/>
      <c r="EN46" s="476"/>
      <c r="EO46" s="476"/>
      <c r="EP46" s="476"/>
      <c r="EQ46" s="476"/>
      <c r="ER46" s="476"/>
      <c r="ES46" s="476"/>
      <c r="ET46" s="476"/>
      <c r="EU46" s="476"/>
      <c r="EV46" s="476"/>
      <c r="EW46" s="476"/>
      <c r="EX46" s="476"/>
      <c r="EY46" s="476"/>
      <c r="EZ46" s="476"/>
      <c r="FA46" s="476"/>
      <c r="FB46" s="476"/>
      <c r="FC46" s="476"/>
      <c r="FD46" s="476"/>
      <c r="FE46" s="476"/>
      <c r="FF46" s="476"/>
      <c r="FG46" s="476"/>
      <c r="FH46" s="476"/>
      <c r="FI46" s="476"/>
      <c r="FJ46" s="476"/>
      <c r="FK46" s="476"/>
      <c r="FL46" s="476"/>
      <c r="FM46" s="476"/>
      <c r="FN46" s="476"/>
      <c r="FO46" s="476"/>
      <c r="FP46" s="476"/>
      <c r="FQ46" s="476"/>
      <c r="FR46" s="476"/>
      <c r="FS46" s="476"/>
      <c r="FT46" s="476"/>
      <c r="FU46" s="476"/>
      <c r="FV46" s="476"/>
      <c r="FW46" s="476"/>
      <c r="FX46" s="476"/>
      <c r="FY46" s="476"/>
      <c r="FZ46" s="28"/>
      <c r="GA46" s="28"/>
      <c r="GB46" s="28"/>
      <c r="GG46" s="28"/>
      <c r="GH46" s="28"/>
      <c r="GI46" s="28"/>
    </row>
    <row r="47" spans="1:252" s="196" customFormat="1" ht="20.100000000000001" customHeight="1" x14ac:dyDescent="0.25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AA47" s="28"/>
      <c r="AB47" s="28"/>
      <c r="AC47" s="28"/>
      <c r="AD47" s="28"/>
      <c r="AE47" s="28"/>
      <c r="AF47" s="28"/>
      <c r="AH47" s="28"/>
      <c r="AI47" s="28"/>
      <c r="AJ47" s="28"/>
      <c r="AK47" s="448"/>
      <c r="AL47" s="448"/>
      <c r="AM47" s="448"/>
      <c r="AN47" s="448"/>
      <c r="AO47" s="448"/>
      <c r="AP47" s="476"/>
      <c r="AQ47" s="476"/>
      <c r="AR47" s="476"/>
      <c r="AS47" s="476"/>
      <c r="AT47" s="476"/>
      <c r="AU47" s="476"/>
      <c r="AV47" s="476"/>
      <c r="AW47" s="476"/>
      <c r="AX47" s="476"/>
      <c r="AY47" s="476"/>
      <c r="AZ47" s="476"/>
      <c r="BA47" s="476"/>
      <c r="BB47" s="476"/>
      <c r="BC47" s="476"/>
      <c r="BD47" s="476"/>
      <c r="BE47" s="476"/>
      <c r="BF47" s="476"/>
      <c r="BG47" s="476"/>
      <c r="BH47" s="476"/>
      <c r="BI47" s="476"/>
      <c r="BJ47" s="476"/>
      <c r="BK47" s="476"/>
      <c r="BL47" s="476"/>
      <c r="BM47" s="476"/>
      <c r="BN47" s="476"/>
      <c r="BO47" s="476"/>
      <c r="BP47" s="476"/>
      <c r="BQ47" s="476"/>
      <c r="BR47" s="476"/>
      <c r="BS47" s="476"/>
      <c r="BT47" s="476"/>
      <c r="BU47" s="476"/>
      <c r="BV47" s="476"/>
      <c r="BW47" s="476"/>
      <c r="BX47" s="476"/>
      <c r="BY47" s="476"/>
      <c r="BZ47" s="476"/>
      <c r="CA47" s="476"/>
      <c r="CB47" s="476"/>
      <c r="CC47" s="476"/>
      <c r="CD47" s="476"/>
      <c r="CE47" s="476"/>
      <c r="CF47" s="476"/>
      <c r="CG47" s="476"/>
      <c r="CH47" s="476"/>
      <c r="CI47" s="476"/>
      <c r="CJ47" s="476"/>
      <c r="CK47" s="476"/>
      <c r="CL47" s="476"/>
      <c r="CM47" s="476"/>
      <c r="CN47" s="476"/>
      <c r="CO47" s="476"/>
      <c r="CP47" s="476"/>
      <c r="CQ47" s="476"/>
      <c r="CR47" s="476"/>
      <c r="CS47" s="476"/>
      <c r="CT47" s="476"/>
      <c r="CU47" s="476"/>
      <c r="CV47" s="476"/>
      <c r="CW47" s="476"/>
      <c r="CX47" s="476"/>
      <c r="CY47" s="476"/>
      <c r="CZ47" s="476"/>
      <c r="DA47" s="476"/>
      <c r="DB47" s="476"/>
      <c r="DC47" s="476"/>
      <c r="DD47" s="476"/>
      <c r="DE47" s="476"/>
      <c r="DF47" s="476"/>
      <c r="DG47" s="476"/>
      <c r="DH47" s="476"/>
      <c r="DI47" s="476"/>
      <c r="DJ47" s="476"/>
      <c r="DK47" s="476"/>
      <c r="DL47" s="476"/>
      <c r="DM47" s="476"/>
      <c r="DN47" s="476"/>
      <c r="DO47" s="476"/>
      <c r="DP47" s="476"/>
      <c r="DQ47" s="476"/>
      <c r="DR47" s="476"/>
      <c r="DS47" s="476"/>
      <c r="DT47" s="476"/>
      <c r="DU47" s="476"/>
      <c r="DV47" s="476"/>
      <c r="DW47" s="476"/>
      <c r="DX47" s="476"/>
      <c r="DY47" s="476"/>
      <c r="DZ47" s="476"/>
      <c r="EA47" s="476"/>
      <c r="EB47" s="476"/>
      <c r="EC47" s="476"/>
      <c r="ED47" s="476"/>
      <c r="EE47" s="476"/>
      <c r="EF47" s="476"/>
      <c r="EG47" s="476"/>
      <c r="EH47" s="476"/>
      <c r="EI47" s="476"/>
      <c r="EJ47" s="476"/>
      <c r="EK47" s="476"/>
      <c r="EL47" s="476"/>
      <c r="EM47" s="476"/>
      <c r="EN47" s="476"/>
      <c r="EO47" s="476"/>
      <c r="EP47" s="476"/>
      <c r="EQ47" s="476"/>
      <c r="ER47" s="476"/>
      <c r="ES47" s="476"/>
      <c r="ET47" s="476"/>
      <c r="EU47" s="476"/>
      <c r="EV47" s="476"/>
      <c r="EW47" s="476"/>
      <c r="EX47" s="476"/>
      <c r="EY47" s="476"/>
      <c r="EZ47" s="476"/>
      <c r="FA47" s="476"/>
      <c r="FB47" s="476"/>
      <c r="FC47" s="476"/>
      <c r="FD47" s="476"/>
      <c r="FE47" s="476"/>
      <c r="FF47" s="476"/>
      <c r="FG47" s="476"/>
      <c r="FH47" s="476"/>
      <c r="FI47" s="476"/>
      <c r="FJ47" s="476"/>
      <c r="FK47" s="476"/>
      <c r="FL47" s="476"/>
      <c r="FM47" s="476"/>
      <c r="FN47" s="476"/>
      <c r="FO47" s="476"/>
      <c r="FP47" s="476"/>
      <c r="FQ47" s="476"/>
      <c r="FR47" s="476"/>
      <c r="FS47" s="476"/>
      <c r="FT47" s="476"/>
      <c r="FU47" s="476"/>
      <c r="FV47" s="476"/>
      <c r="FW47" s="476"/>
      <c r="FX47" s="476"/>
      <c r="FY47" s="476"/>
      <c r="FZ47" s="28"/>
      <c r="GA47" s="28"/>
      <c r="GB47" s="28"/>
      <c r="GG47" s="28"/>
      <c r="GH47" s="28"/>
      <c r="GI47" s="28"/>
    </row>
    <row r="83" spans="189:189" ht="20.100000000000001" customHeight="1" x14ac:dyDescent="0.25">
      <c r="GG83" s="812"/>
    </row>
  </sheetData>
  <mergeCells count="39">
    <mergeCell ref="HM3:HS3"/>
    <mergeCell ref="HT3:HZ3"/>
    <mergeCell ref="IA3:ID3"/>
    <mergeCell ref="IE3:IK3"/>
    <mergeCell ref="IL3:IR3"/>
    <mergeCell ref="GG3:GM3"/>
    <mergeCell ref="GN3:GT3"/>
    <mergeCell ref="GU3:GZ3"/>
    <mergeCell ref="HH3:HL3"/>
    <mergeCell ref="HA3:HG3"/>
    <mergeCell ref="EQ3:EW3"/>
    <mergeCell ref="FE3:FK3"/>
    <mergeCell ref="FL3:FR3"/>
    <mergeCell ref="FS3:FY3"/>
    <mergeCell ref="FZ3:GF3"/>
    <mergeCell ref="EX3:FD3"/>
    <mergeCell ref="A3:A4"/>
    <mergeCell ref="AP3:AV3"/>
    <mergeCell ref="I3:O3"/>
    <mergeCell ref="P3:V3"/>
    <mergeCell ref="W3:AC3"/>
    <mergeCell ref="AD3:AJ3"/>
    <mergeCell ref="AK3:AO3"/>
    <mergeCell ref="B3:H3"/>
    <mergeCell ref="BC3:BI3"/>
    <mergeCell ref="BJ3:BN3"/>
    <mergeCell ref="BO3:BU3"/>
    <mergeCell ref="AW3:BB3"/>
    <mergeCell ref="BV3:BZ3"/>
    <mergeCell ref="CA3:CG3"/>
    <mergeCell ref="CH3:CN3"/>
    <mergeCell ref="CO3:CU3"/>
    <mergeCell ref="CV3:DB3"/>
    <mergeCell ref="DC3:DI3"/>
    <mergeCell ref="DJ3:DP3"/>
    <mergeCell ref="DQ3:DU3"/>
    <mergeCell ref="DV3:EB3"/>
    <mergeCell ref="EC3:EI3"/>
    <mergeCell ref="EJ3:EP3"/>
  </mergeCells>
  <hyperlinks>
    <hyperlink ref="CH6" r:id="rId1" display="Notes to Annual Report and Handbook.xlsx"/>
  </hyperlinks>
  <printOptions horizontalCentered="1" verticalCentered="1"/>
  <pageMargins left="0.75" right="0.75" top="0.5" bottom="0.5" header="0.25" footer="0.25"/>
  <pageSetup paperSize="9" scale="50" orientation="landscape" r:id="rId2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R32"/>
  <sheetViews>
    <sheetView showZeros="0" zoomScale="80" zoomScaleNormal="80" workbookViewId="0">
      <pane xSplit="1" ySplit="4" topLeftCell="B5" activePane="bottomRight" state="frozen"/>
      <selection activeCell="A32" sqref="A32"/>
      <selection pane="topRight" activeCell="A32" sqref="A32"/>
      <selection pane="bottomLeft" activeCell="A32" sqref="A32"/>
      <selection pane="bottomRight"/>
    </sheetView>
  </sheetViews>
  <sheetFormatPr defaultRowHeight="12.75" x14ac:dyDescent="0.2"/>
  <cols>
    <col min="1" max="1" width="45.28515625" style="196" customWidth="1"/>
    <col min="2" max="15" width="10.7109375" style="511" customWidth="1"/>
    <col min="16" max="29" width="10.7109375" style="523" customWidth="1"/>
    <col min="30" max="30" width="11.42578125" style="511" bestFit="1" customWidth="1"/>
    <col min="31" max="32" width="13.42578125" style="511" bestFit="1" customWidth="1"/>
    <col min="33" max="34" width="12.28515625" style="511" bestFit="1" customWidth="1"/>
    <col min="35" max="36" width="14.140625" style="511" bestFit="1" customWidth="1"/>
    <col min="37" max="174" width="10.7109375" style="514" customWidth="1"/>
    <col min="175" max="177" width="12.28515625" style="514" bestFit="1" customWidth="1"/>
    <col min="178" max="178" width="13.42578125" style="514" bestFit="1" customWidth="1"/>
    <col min="179" max="179" width="14.85546875" style="514" customWidth="1"/>
    <col min="180" max="181" width="14.140625" style="514" bestFit="1" customWidth="1"/>
    <col min="182" max="244" width="10.7109375" style="511" customWidth="1"/>
    <col min="245" max="245" width="11.42578125" style="511" customWidth="1"/>
    <col min="246" max="249" width="11.140625" style="511" bestFit="1" customWidth="1"/>
    <col min="250" max="252" width="11.5703125" style="511" bestFit="1" customWidth="1"/>
    <col min="253" max="16384" width="9.140625" style="196"/>
  </cols>
  <sheetData>
    <row r="1" spans="1:252" ht="24" customHeight="1" x14ac:dyDescent="0.2">
      <c r="A1" s="28" t="s">
        <v>614</v>
      </c>
      <c r="C1" s="848"/>
      <c r="D1" s="848"/>
      <c r="E1" s="848"/>
      <c r="F1" s="848"/>
      <c r="G1" s="848"/>
      <c r="H1" s="848"/>
      <c r="I1" s="848"/>
      <c r="J1" s="848"/>
      <c r="K1" s="848"/>
      <c r="L1" s="848"/>
      <c r="M1" s="848"/>
      <c r="N1" s="848"/>
      <c r="O1" s="848"/>
      <c r="P1" s="848"/>
      <c r="Q1" s="848"/>
      <c r="R1" s="848"/>
      <c r="S1" s="848"/>
      <c r="T1" s="848"/>
      <c r="U1" s="848"/>
      <c r="V1" s="848"/>
      <c r="W1" s="848"/>
      <c r="X1" s="848"/>
      <c r="Y1" s="848"/>
      <c r="Z1" s="848"/>
      <c r="AA1" s="848"/>
      <c r="AB1" s="848"/>
      <c r="AC1" s="848"/>
      <c r="AD1" s="848"/>
      <c r="AE1" s="848"/>
      <c r="AF1" s="848"/>
      <c r="AG1" s="848"/>
      <c r="AH1" s="848"/>
      <c r="AI1" s="848"/>
      <c r="AJ1" s="848"/>
      <c r="AK1" s="512"/>
      <c r="AL1" s="512"/>
      <c r="AM1" s="512"/>
      <c r="AN1" s="512"/>
      <c r="AO1" s="512"/>
      <c r="AP1" s="512"/>
      <c r="AQ1" s="512"/>
      <c r="AR1" s="512"/>
      <c r="AS1" s="512"/>
      <c r="AT1" s="512"/>
      <c r="AU1" s="512"/>
      <c r="AV1" s="512"/>
      <c r="AW1" s="512"/>
      <c r="AX1" s="512"/>
      <c r="AY1" s="512"/>
      <c r="AZ1" s="512"/>
      <c r="BA1" s="512"/>
      <c r="BB1" s="512"/>
      <c r="BC1" s="512"/>
      <c r="BD1" s="512"/>
      <c r="BE1" s="512"/>
      <c r="BF1" s="512"/>
      <c r="BG1" s="512"/>
      <c r="BH1" s="512"/>
      <c r="BI1" s="512"/>
      <c r="BJ1" s="512"/>
      <c r="BK1" s="512"/>
      <c r="BL1" s="512"/>
      <c r="BM1" s="512"/>
      <c r="BN1" s="512"/>
      <c r="BO1" s="512"/>
      <c r="BP1" s="512"/>
      <c r="BQ1" s="512"/>
      <c r="BR1" s="512"/>
      <c r="BS1" s="512"/>
      <c r="BT1" s="512"/>
      <c r="BU1" s="512"/>
      <c r="BV1" s="512"/>
      <c r="BW1" s="512"/>
      <c r="BX1" s="512"/>
      <c r="BY1" s="512"/>
      <c r="BZ1" s="512"/>
      <c r="CA1" s="512"/>
      <c r="CB1" s="512"/>
      <c r="CC1" s="512"/>
      <c r="CD1" s="512"/>
      <c r="CE1" s="512"/>
      <c r="CF1" s="512"/>
      <c r="CG1" s="512"/>
      <c r="CH1" s="512"/>
      <c r="CI1" s="512"/>
      <c r="CJ1" s="512"/>
      <c r="CK1" s="512"/>
      <c r="CL1" s="512"/>
      <c r="CM1" s="512"/>
      <c r="CN1" s="512"/>
      <c r="CO1" s="512"/>
      <c r="CP1" s="512"/>
      <c r="CQ1" s="512"/>
      <c r="CR1" s="512"/>
      <c r="CS1" s="512"/>
      <c r="CT1" s="512"/>
      <c r="CU1" s="512"/>
      <c r="CV1" s="512"/>
      <c r="CW1" s="512"/>
      <c r="CX1" s="512"/>
      <c r="CY1" s="512"/>
      <c r="CZ1" s="512"/>
      <c r="DA1" s="512"/>
      <c r="DB1" s="512"/>
      <c r="DC1" s="512"/>
      <c r="DD1" s="512"/>
      <c r="DE1" s="512"/>
      <c r="DF1" s="512"/>
      <c r="DG1" s="512"/>
      <c r="DH1" s="512"/>
      <c r="DI1" s="512"/>
      <c r="DJ1" s="512"/>
      <c r="DK1" s="512"/>
      <c r="DL1" s="512"/>
      <c r="DM1" s="512"/>
      <c r="DN1" s="512"/>
      <c r="DO1" s="512"/>
      <c r="DP1" s="512"/>
      <c r="DQ1" s="512"/>
      <c r="DR1" s="512"/>
      <c r="DS1" s="512"/>
      <c r="DT1" s="512"/>
      <c r="DU1" s="512"/>
      <c r="DV1" s="512"/>
      <c r="DW1" s="512"/>
      <c r="DX1" s="512"/>
      <c r="DY1" s="512"/>
      <c r="DZ1" s="512"/>
      <c r="EA1" s="512"/>
      <c r="EB1" s="512"/>
      <c r="EC1" s="512"/>
      <c r="ED1" s="512"/>
      <c r="EE1" s="512"/>
      <c r="EF1" s="512"/>
      <c r="EG1" s="512"/>
      <c r="EH1" s="512"/>
      <c r="EI1" s="512"/>
      <c r="EJ1" s="512"/>
      <c r="EK1" s="512"/>
      <c r="EL1" s="512"/>
      <c r="EM1" s="512"/>
      <c r="EN1" s="512"/>
      <c r="EO1" s="512"/>
      <c r="EP1" s="512"/>
      <c r="EQ1" s="512"/>
      <c r="ER1" s="512"/>
      <c r="ES1" s="512"/>
      <c r="ET1" s="512"/>
      <c r="EU1" s="512"/>
      <c r="EV1" s="512"/>
      <c r="EW1" s="512"/>
      <c r="EX1" s="512"/>
      <c r="EY1" s="512"/>
      <c r="EZ1" s="512"/>
      <c r="FA1" s="512"/>
      <c r="FB1" s="512"/>
      <c r="FC1" s="512"/>
      <c r="FD1" s="512"/>
      <c r="FE1" s="512"/>
      <c r="FF1" s="512"/>
      <c r="FG1" s="512"/>
      <c r="FH1" s="512"/>
      <c r="FI1" s="512"/>
      <c r="FJ1" s="512"/>
      <c r="FK1" s="512"/>
      <c r="FL1" s="512"/>
      <c r="FM1" s="512"/>
      <c r="FN1" s="512"/>
      <c r="FO1" s="512"/>
      <c r="FP1" s="512"/>
      <c r="FQ1" s="512"/>
      <c r="FR1" s="512"/>
      <c r="FS1" s="513"/>
      <c r="FT1" s="513"/>
      <c r="FU1" s="513"/>
      <c r="GU1" s="848"/>
      <c r="GV1" s="848"/>
      <c r="GW1" s="848"/>
      <c r="GX1" s="848"/>
      <c r="GY1" s="848"/>
      <c r="GZ1" s="848"/>
      <c r="HA1" s="848"/>
      <c r="HB1" s="848"/>
      <c r="HC1" s="848"/>
      <c r="HD1" s="848"/>
      <c r="HE1" s="848"/>
      <c r="HF1" s="848"/>
      <c r="HG1" s="848"/>
      <c r="HH1" s="848"/>
      <c r="HI1" s="848"/>
      <c r="HJ1" s="848"/>
      <c r="HK1" s="848"/>
      <c r="HL1" s="848"/>
      <c r="HM1" s="848"/>
      <c r="HN1" s="848"/>
      <c r="HO1" s="848"/>
      <c r="HP1" s="848"/>
      <c r="HQ1" s="848"/>
      <c r="HR1" s="848"/>
      <c r="HS1" s="848"/>
      <c r="HT1" s="848"/>
      <c r="HU1" s="848"/>
      <c r="HV1" s="848"/>
      <c r="HW1" s="848"/>
      <c r="HX1" s="848"/>
      <c r="HY1" s="848"/>
      <c r="HZ1" s="848"/>
      <c r="IA1" s="848"/>
      <c r="IB1" s="848"/>
      <c r="IC1" s="848"/>
      <c r="ID1" s="848"/>
      <c r="IE1" s="848"/>
      <c r="IF1" s="848"/>
      <c r="IG1" s="848"/>
      <c r="IH1" s="848"/>
      <c r="II1" s="848"/>
      <c r="IJ1" s="848"/>
      <c r="IK1" s="848"/>
      <c r="IL1" s="848"/>
      <c r="IM1" s="848"/>
      <c r="IN1" s="848"/>
      <c r="IO1" s="848"/>
    </row>
    <row r="2" spans="1:252" s="480" customFormat="1" ht="13.5" customHeight="1" x14ac:dyDescent="0.2">
      <c r="A2" s="849"/>
      <c r="B2" s="850"/>
      <c r="C2" s="850"/>
      <c r="D2" s="850"/>
      <c r="E2" s="850"/>
      <c r="F2" s="850"/>
      <c r="G2" s="850"/>
      <c r="H2" s="850"/>
      <c r="I2" s="850"/>
      <c r="J2" s="850"/>
      <c r="K2" s="850"/>
      <c r="L2" s="850"/>
      <c r="M2" s="850"/>
      <c r="N2" s="850"/>
      <c r="O2" s="850"/>
      <c r="P2" s="850"/>
      <c r="Q2" s="850"/>
      <c r="R2" s="850"/>
      <c r="S2" s="850"/>
      <c r="T2" s="850"/>
      <c r="U2" s="850"/>
      <c r="V2" s="850"/>
      <c r="W2" s="850"/>
      <c r="X2" s="850"/>
      <c r="Y2" s="850"/>
      <c r="Z2" s="850"/>
      <c r="AA2" s="850"/>
      <c r="AB2" s="850"/>
      <c r="AC2" s="850"/>
      <c r="AD2" s="850"/>
      <c r="AE2" s="850"/>
      <c r="AF2" s="850"/>
      <c r="AG2" s="850"/>
      <c r="AH2" s="850"/>
      <c r="AI2" s="851"/>
      <c r="AJ2" s="851"/>
      <c r="AK2" s="851"/>
      <c r="AL2" s="515"/>
      <c r="AM2" s="515"/>
      <c r="AN2" s="515"/>
      <c r="AO2" s="515"/>
      <c r="AP2" s="515"/>
      <c r="AQ2" s="515"/>
      <c r="AR2" s="515"/>
      <c r="AS2" s="515"/>
      <c r="AT2" s="515"/>
      <c r="AU2" s="515"/>
      <c r="AV2" s="515"/>
      <c r="AW2" s="515"/>
      <c r="AX2" s="515"/>
      <c r="AY2" s="515"/>
      <c r="AZ2" s="515"/>
      <c r="BA2" s="515"/>
      <c r="BB2" s="515"/>
      <c r="BC2" s="515"/>
      <c r="BD2" s="515"/>
      <c r="BE2" s="515"/>
      <c r="BF2" s="515"/>
      <c r="BG2" s="515"/>
      <c r="BH2" s="515"/>
      <c r="BI2" s="515"/>
      <c r="BJ2" s="515"/>
      <c r="BK2" s="515"/>
      <c r="BL2" s="515"/>
      <c r="BM2" s="515"/>
      <c r="BN2" s="515"/>
      <c r="BO2" s="515"/>
      <c r="BP2" s="515"/>
      <c r="BQ2" s="515"/>
      <c r="BR2" s="515"/>
      <c r="BS2" s="515"/>
      <c r="BT2" s="515"/>
      <c r="BU2" s="515"/>
      <c r="BV2" s="515"/>
      <c r="BW2" s="515"/>
      <c r="BX2" s="515"/>
      <c r="BY2" s="515"/>
      <c r="BZ2" s="515"/>
      <c r="CA2" s="515"/>
      <c r="CB2" s="515"/>
      <c r="CC2" s="515"/>
      <c r="CD2" s="515"/>
      <c r="CE2" s="515"/>
      <c r="CF2" s="515"/>
      <c r="CG2" s="515"/>
      <c r="CH2" s="515"/>
      <c r="CI2" s="515"/>
      <c r="CJ2" s="515"/>
      <c r="CK2" s="515"/>
      <c r="CL2" s="515"/>
      <c r="CM2" s="515"/>
      <c r="CN2" s="515"/>
      <c r="CO2" s="515"/>
      <c r="CP2" s="515"/>
      <c r="CQ2" s="515"/>
      <c r="CR2" s="515"/>
      <c r="CS2" s="515"/>
      <c r="CT2" s="515"/>
      <c r="CU2" s="515"/>
      <c r="CV2" s="515"/>
      <c r="CW2" s="515"/>
      <c r="CX2" s="515"/>
      <c r="CY2" s="515"/>
      <c r="CZ2" s="515"/>
      <c r="DA2" s="515"/>
      <c r="DB2" s="515"/>
      <c r="DC2" s="515"/>
      <c r="DD2" s="515"/>
      <c r="DE2" s="515"/>
      <c r="DF2" s="515"/>
      <c r="DG2" s="515"/>
      <c r="DH2" s="515"/>
      <c r="DI2" s="515"/>
      <c r="DJ2" s="515"/>
      <c r="DK2" s="515"/>
      <c r="DL2" s="515"/>
      <c r="DM2" s="515"/>
      <c r="DN2" s="515"/>
      <c r="DO2" s="515"/>
      <c r="DP2" s="515"/>
      <c r="DQ2" s="515"/>
      <c r="DR2" s="515"/>
      <c r="DS2" s="515"/>
      <c r="DT2" s="515"/>
      <c r="DU2" s="515"/>
      <c r="DV2" s="515"/>
      <c r="DW2" s="515"/>
      <c r="DX2" s="515"/>
      <c r="DY2" s="515"/>
      <c r="DZ2" s="515"/>
      <c r="EA2" s="515"/>
      <c r="EB2" s="515"/>
      <c r="EC2" s="515"/>
      <c r="ED2" s="515"/>
      <c r="EE2" s="515"/>
      <c r="EF2" s="515"/>
      <c r="EG2" s="515"/>
      <c r="EH2" s="515"/>
      <c r="EI2" s="515"/>
      <c r="EJ2" s="515"/>
      <c r="EK2" s="515"/>
      <c r="EL2" s="515"/>
      <c r="EM2" s="515"/>
      <c r="EN2" s="515"/>
      <c r="EO2" s="515"/>
      <c r="EP2" s="515"/>
      <c r="EQ2" s="515"/>
      <c r="ER2" s="515"/>
      <c r="ES2" s="515"/>
      <c r="ET2" s="515"/>
      <c r="EU2" s="515"/>
      <c r="EV2" s="515"/>
      <c r="EW2" s="515"/>
      <c r="EX2" s="515"/>
      <c r="EY2" s="515"/>
      <c r="EZ2" s="515"/>
      <c r="FA2" s="515"/>
      <c r="FB2" s="515"/>
      <c r="FC2" s="515"/>
      <c r="FD2" s="515"/>
      <c r="FE2" s="515"/>
      <c r="FF2" s="515"/>
      <c r="FG2" s="515"/>
      <c r="FH2" s="515"/>
      <c r="FI2" s="515"/>
      <c r="FJ2" s="515"/>
      <c r="FK2" s="515"/>
      <c r="FL2" s="515"/>
      <c r="FM2" s="515"/>
      <c r="FN2" s="515"/>
      <c r="FO2" s="515"/>
      <c r="FP2" s="515"/>
      <c r="FQ2" s="515"/>
      <c r="FR2" s="515"/>
      <c r="FS2" s="515"/>
      <c r="FT2" s="515"/>
      <c r="FU2" s="515"/>
      <c r="FV2" s="515"/>
      <c r="FW2" s="515"/>
      <c r="FX2" s="515"/>
      <c r="FY2" s="515"/>
      <c r="FZ2" s="848"/>
      <c r="GA2" s="848"/>
      <c r="GB2" s="848"/>
      <c r="GC2" s="848"/>
      <c r="GD2" s="848"/>
      <c r="GE2" s="848"/>
      <c r="GF2" s="848"/>
      <c r="GG2" s="848"/>
      <c r="GH2" s="848"/>
      <c r="GI2" s="848"/>
      <c r="GJ2" s="848"/>
      <c r="GK2" s="848"/>
      <c r="GL2" s="848"/>
      <c r="GM2" s="848"/>
      <c r="GN2" s="848"/>
      <c r="GO2" s="848"/>
      <c r="GP2" s="848"/>
      <c r="GQ2" s="848"/>
      <c r="GR2" s="848"/>
      <c r="GS2" s="848"/>
      <c r="GT2" s="848"/>
      <c r="GU2" s="852"/>
      <c r="GV2" s="852"/>
      <c r="GW2" s="852"/>
      <c r="GX2" s="852"/>
      <c r="GY2" s="852"/>
      <c r="GZ2" s="852"/>
      <c r="HA2" s="852"/>
      <c r="HB2" s="852"/>
      <c r="HC2" s="852"/>
      <c r="HD2" s="852"/>
      <c r="HE2" s="852"/>
      <c r="HF2" s="852"/>
      <c r="HG2" s="852"/>
      <c r="HH2" s="852"/>
      <c r="HI2" s="852"/>
      <c r="HJ2" s="852"/>
      <c r="HK2" s="852"/>
      <c r="HL2" s="852"/>
      <c r="HM2" s="852"/>
      <c r="HN2" s="852"/>
      <c r="HO2" s="852"/>
      <c r="HP2" s="852"/>
      <c r="HQ2" s="852"/>
      <c r="HR2" s="852"/>
      <c r="HS2" s="852"/>
      <c r="HT2" s="852"/>
      <c r="HU2" s="852"/>
      <c r="HV2" s="852"/>
      <c r="HW2" s="852"/>
      <c r="HX2" s="852"/>
      <c r="HY2" s="852"/>
      <c r="HZ2" s="852"/>
      <c r="IA2" s="852"/>
      <c r="IB2" s="852"/>
      <c r="IC2" s="852"/>
      <c r="ID2" s="852"/>
      <c r="IE2" s="852"/>
      <c r="IF2" s="852"/>
      <c r="IG2" s="852"/>
      <c r="IH2" s="852"/>
      <c r="II2" s="852"/>
      <c r="IJ2" s="852"/>
      <c r="IK2" s="852"/>
      <c r="IL2" s="852"/>
      <c r="IM2" s="852"/>
      <c r="IN2" s="852"/>
      <c r="IO2" s="511"/>
      <c r="IP2" s="515"/>
      <c r="IR2" s="480" t="s">
        <v>474</v>
      </c>
    </row>
    <row r="3" spans="1:252" s="463" customFormat="1" ht="15" customHeight="1" x14ac:dyDescent="0.2">
      <c r="A3" s="988" t="s">
        <v>0</v>
      </c>
      <c r="B3" s="1014" t="s">
        <v>356</v>
      </c>
      <c r="C3" s="1015"/>
      <c r="D3" s="1015"/>
      <c r="E3" s="1015"/>
      <c r="F3" s="1015"/>
      <c r="G3" s="1015"/>
      <c r="H3" s="1016"/>
      <c r="I3" s="1014" t="s">
        <v>234</v>
      </c>
      <c r="J3" s="1015"/>
      <c r="K3" s="1015"/>
      <c r="L3" s="1015"/>
      <c r="M3" s="1015"/>
      <c r="N3" s="1015"/>
      <c r="O3" s="1016"/>
      <c r="P3" s="1014" t="s">
        <v>344</v>
      </c>
      <c r="Q3" s="1015"/>
      <c r="R3" s="1015"/>
      <c r="S3" s="1015"/>
      <c r="T3" s="1015"/>
      <c r="U3" s="1015"/>
      <c r="V3" s="1016"/>
      <c r="W3" s="1014" t="s">
        <v>345</v>
      </c>
      <c r="X3" s="1015"/>
      <c r="Y3" s="1015"/>
      <c r="Z3" s="1015"/>
      <c r="AA3" s="1015"/>
      <c r="AB3" s="1015"/>
      <c r="AC3" s="1016"/>
      <c r="AD3" s="1014" t="s">
        <v>105</v>
      </c>
      <c r="AE3" s="1015"/>
      <c r="AF3" s="1015"/>
      <c r="AG3" s="1015"/>
      <c r="AH3" s="1015"/>
      <c r="AI3" s="1015"/>
      <c r="AJ3" s="1016"/>
      <c r="AK3" s="1006" t="s">
        <v>296</v>
      </c>
      <c r="AL3" s="1007"/>
      <c r="AM3" s="1007"/>
      <c r="AN3" s="1007"/>
      <c r="AO3" s="1008"/>
      <c r="AP3" s="1006" t="s">
        <v>297</v>
      </c>
      <c r="AQ3" s="1007"/>
      <c r="AR3" s="1007"/>
      <c r="AS3" s="1007"/>
      <c r="AT3" s="1007"/>
      <c r="AU3" s="1007"/>
      <c r="AV3" s="1010"/>
      <c r="AW3" s="1009" t="s">
        <v>517</v>
      </c>
      <c r="AX3" s="1007"/>
      <c r="AY3" s="1007"/>
      <c r="AZ3" s="1007"/>
      <c r="BA3" s="1007"/>
      <c r="BB3" s="1008"/>
      <c r="BC3" s="1006" t="s">
        <v>299</v>
      </c>
      <c r="BD3" s="1007"/>
      <c r="BE3" s="1007"/>
      <c r="BF3" s="1007"/>
      <c r="BG3" s="1007"/>
      <c r="BH3" s="1007"/>
      <c r="BI3" s="1008"/>
      <c r="BJ3" s="1006" t="s">
        <v>300</v>
      </c>
      <c r="BK3" s="1007"/>
      <c r="BL3" s="1007"/>
      <c r="BM3" s="1007"/>
      <c r="BN3" s="1008"/>
      <c r="BO3" s="1006" t="s">
        <v>301</v>
      </c>
      <c r="BP3" s="1007"/>
      <c r="BQ3" s="1007"/>
      <c r="BR3" s="1007"/>
      <c r="BS3" s="1007"/>
      <c r="BT3" s="1007"/>
      <c r="BU3" s="1008"/>
      <c r="BV3" s="1006" t="s">
        <v>302</v>
      </c>
      <c r="BW3" s="1007"/>
      <c r="BX3" s="1007"/>
      <c r="BY3" s="1007"/>
      <c r="BZ3" s="1010"/>
      <c r="CA3" s="1009" t="s">
        <v>315</v>
      </c>
      <c r="CB3" s="1007"/>
      <c r="CC3" s="1007"/>
      <c r="CD3" s="1007"/>
      <c r="CE3" s="1007"/>
      <c r="CF3" s="1007"/>
      <c r="CG3" s="1010"/>
      <c r="CH3" s="1009" t="s">
        <v>304</v>
      </c>
      <c r="CI3" s="1007"/>
      <c r="CJ3" s="1007"/>
      <c r="CK3" s="1007"/>
      <c r="CL3" s="1007"/>
      <c r="CM3" s="1007"/>
      <c r="CN3" s="1010"/>
      <c r="CO3" s="1009" t="s">
        <v>316</v>
      </c>
      <c r="CP3" s="1007"/>
      <c r="CQ3" s="1007"/>
      <c r="CR3" s="1007"/>
      <c r="CS3" s="1007"/>
      <c r="CT3" s="1007"/>
      <c r="CU3" s="1010"/>
      <c r="CV3" s="1009" t="s">
        <v>306</v>
      </c>
      <c r="CW3" s="1007"/>
      <c r="CX3" s="1007"/>
      <c r="CY3" s="1007"/>
      <c r="CZ3" s="1007"/>
      <c r="DA3" s="1007"/>
      <c r="DB3" s="1010"/>
      <c r="DC3" s="1009" t="s">
        <v>317</v>
      </c>
      <c r="DD3" s="1007"/>
      <c r="DE3" s="1007"/>
      <c r="DF3" s="1007"/>
      <c r="DG3" s="1007"/>
      <c r="DH3" s="1007"/>
      <c r="DI3" s="1008"/>
      <c r="DJ3" s="1006" t="s">
        <v>318</v>
      </c>
      <c r="DK3" s="1007"/>
      <c r="DL3" s="1007"/>
      <c r="DM3" s="1007"/>
      <c r="DN3" s="1007"/>
      <c r="DO3" s="1007"/>
      <c r="DP3" s="1008"/>
      <c r="DQ3" s="1006" t="s">
        <v>340</v>
      </c>
      <c r="DR3" s="1007"/>
      <c r="DS3" s="1007"/>
      <c r="DT3" s="1007"/>
      <c r="DU3" s="1008"/>
      <c r="DV3" s="1006" t="s">
        <v>308</v>
      </c>
      <c r="DW3" s="1007"/>
      <c r="DX3" s="1007"/>
      <c r="DY3" s="1007"/>
      <c r="DZ3" s="1007"/>
      <c r="EA3" s="1007"/>
      <c r="EB3" s="1008"/>
      <c r="EC3" s="1006" t="s">
        <v>309</v>
      </c>
      <c r="ED3" s="1007"/>
      <c r="EE3" s="1007"/>
      <c r="EF3" s="1007"/>
      <c r="EG3" s="1007"/>
      <c r="EH3" s="1007"/>
      <c r="EI3" s="1010"/>
      <c r="EJ3" s="1009" t="s">
        <v>310</v>
      </c>
      <c r="EK3" s="1007"/>
      <c r="EL3" s="1007"/>
      <c r="EM3" s="1007"/>
      <c r="EN3" s="1007"/>
      <c r="EO3" s="1007"/>
      <c r="EP3" s="1010"/>
      <c r="EQ3" s="1009" t="s">
        <v>311</v>
      </c>
      <c r="ER3" s="1007"/>
      <c r="ES3" s="1007"/>
      <c r="ET3" s="1007"/>
      <c r="EU3" s="1007"/>
      <c r="EV3" s="1007"/>
      <c r="EW3" s="1010"/>
      <c r="EX3" s="1009" t="s">
        <v>319</v>
      </c>
      <c r="EY3" s="1007"/>
      <c r="EZ3" s="1007"/>
      <c r="FA3" s="1007"/>
      <c r="FB3" s="1007"/>
      <c r="FC3" s="1007"/>
      <c r="FD3" s="1010"/>
      <c r="FE3" s="1009" t="s">
        <v>312</v>
      </c>
      <c r="FF3" s="1007"/>
      <c r="FG3" s="1007"/>
      <c r="FH3" s="1007"/>
      <c r="FI3" s="1007"/>
      <c r="FJ3" s="1007"/>
      <c r="FK3" s="1010"/>
      <c r="FL3" s="1009" t="s">
        <v>320</v>
      </c>
      <c r="FM3" s="1007"/>
      <c r="FN3" s="1007"/>
      <c r="FO3" s="1007"/>
      <c r="FP3" s="1007"/>
      <c r="FQ3" s="1007"/>
      <c r="FR3" s="1008"/>
      <c r="FS3" s="1006" t="s">
        <v>113</v>
      </c>
      <c r="FT3" s="1007"/>
      <c r="FU3" s="1007"/>
      <c r="FV3" s="1007"/>
      <c r="FW3" s="1007"/>
      <c r="FX3" s="1007"/>
      <c r="FY3" s="1008"/>
      <c r="FZ3" s="1011" t="s">
        <v>346</v>
      </c>
      <c r="GA3" s="1012"/>
      <c r="GB3" s="1012"/>
      <c r="GC3" s="1012"/>
      <c r="GD3" s="1012"/>
      <c r="GE3" s="1012"/>
      <c r="GF3" s="1013"/>
      <c r="GG3" s="1011" t="s">
        <v>459</v>
      </c>
      <c r="GH3" s="1012"/>
      <c r="GI3" s="1012"/>
      <c r="GJ3" s="1012"/>
      <c r="GK3" s="1012"/>
      <c r="GL3" s="1012"/>
      <c r="GM3" s="1013"/>
      <c r="GN3" s="1011" t="s">
        <v>478</v>
      </c>
      <c r="GO3" s="1012"/>
      <c r="GP3" s="1012"/>
      <c r="GQ3" s="1012"/>
      <c r="GR3" s="1012"/>
      <c r="GS3" s="1012"/>
      <c r="GT3" s="1013"/>
      <c r="GU3" s="1006" t="s">
        <v>328</v>
      </c>
      <c r="GV3" s="1007"/>
      <c r="GW3" s="1007"/>
      <c r="GX3" s="1007"/>
      <c r="GY3" s="1007"/>
      <c r="GZ3" s="1008"/>
      <c r="HA3" s="1006" t="s">
        <v>469</v>
      </c>
      <c r="HB3" s="1007"/>
      <c r="HC3" s="1007"/>
      <c r="HD3" s="1007"/>
      <c r="HE3" s="1007"/>
      <c r="HF3" s="1007"/>
      <c r="HG3" s="1008"/>
      <c r="HH3" s="1006" t="s">
        <v>470</v>
      </c>
      <c r="HI3" s="1007"/>
      <c r="HJ3" s="1007"/>
      <c r="HK3" s="1007"/>
      <c r="HL3" s="1007"/>
      <c r="HM3" s="1006" t="s">
        <v>325</v>
      </c>
      <c r="HN3" s="1007"/>
      <c r="HO3" s="1007"/>
      <c r="HP3" s="1007"/>
      <c r="HQ3" s="1007"/>
      <c r="HR3" s="1007"/>
      <c r="HS3" s="1008"/>
      <c r="HT3" s="1006" t="s">
        <v>506</v>
      </c>
      <c r="HU3" s="1007"/>
      <c r="HV3" s="1007"/>
      <c r="HW3" s="1007"/>
      <c r="HX3" s="1007"/>
      <c r="HY3" s="1007"/>
      <c r="HZ3" s="1008"/>
      <c r="IA3" s="1006" t="s">
        <v>471</v>
      </c>
      <c r="IB3" s="1007"/>
      <c r="IC3" s="1007"/>
      <c r="ID3" s="1008"/>
      <c r="IE3" s="1006" t="s">
        <v>329</v>
      </c>
      <c r="IF3" s="1007"/>
      <c r="IG3" s="1007"/>
      <c r="IH3" s="1007"/>
      <c r="II3" s="1007"/>
      <c r="IJ3" s="1007"/>
      <c r="IK3" s="1008"/>
      <c r="IL3" s="1006" t="s">
        <v>119</v>
      </c>
      <c r="IM3" s="1007"/>
      <c r="IN3" s="1007"/>
      <c r="IO3" s="1007"/>
      <c r="IP3" s="1007"/>
      <c r="IQ3" s="1007"/>
      <c r="IR3" s="1008"/>
    </row>
    <row r="4" spans="1:252" s="463" customFormat="1" ht="17.25" customHeight="1" x14ac:dyDescent="0.25">
      <c r="A4" s="988"/>
      <c r="B4" s="894">
        <v>2016</v>
      </c>
      <c r="C4" s="894">
        <v>2017</v>
      </c>
      <c r="D4" s="894">
        <v>2018</v>
      </c>
      <c r="E4" s="894">
        <v>2019</v>
      </c>
      <c r="F4" s="894">
        <v>2020</v>
      </c>
      <c r="G4" s="894">
        <v>2021</v>
      </c>
      <c r="H4" s="894">
        <v>2022</v>
      </c>
      <c r="I4" s="894">
        <v>2016</v>
      </c>
      <c r="J4" s="894">
        <v>2017</v>
      </c>
      <c r="K4" s="894">
        <v>2018</v>
      </c>
      <c r="L4" s="894">
        <v>2019</v>
      </c>
      <c r="M4" s="894">
        <v>2020</v>
      </c>
      <c r="N4" s="894">
        <v>2021</v>
      </c>
      <c r="O4" s="894">
        <v>2022</v>
      </c>
      <c r="P4" s="894">
        <v>2016</v>
      </c>
      <c r="Q4" s="894">
        <v>2017</v>
      </c>
      <c r="R4" s="894">
        <v>2018</v>
      </c>
      <c r="S4" s="894">
        <v>2019</v>
      </c>
      <c r="T4" s="894">
        <v>2020</v>
      </c>
      <c r="U4" s="894">
        <v>2021</v>
      </c>
      <c r="V4" s="894">
        <v>2022</v>
      </c>
      <c r="W4" s="894">
        <v>2016</v>
      </c>
      <c r="X4" s="894">
        <v>2017</v>
      </c>
      <c r="Y4" s="894">
        <v>2018</v>
      </c>
      <c r="Z4" s="894">
        <v>2019</v>
      </c>
      <c r="AA4" s="894">
        <v>2020</v>
      </c>
      <c r="AB4" s="894">
        <v>2021</v>
      </c>
      <c r="AC4" s="894">
        <v>2022</v>
      </c>
      <c r="AD4" s="894">
        <v>2016</v>
      </c>
      <c r="AE4" s="894">
        <v>2017</v>
      </c>
      <c r="AF4" s="895">
        <v>2018</v>
      </c>
      <c r="AG4" s="894">
        <v>2019</v>
      </c>
      <c r="AH4" s="894">
        <v>2020</v>
      </c>
      <c r="AI4" s="894">
        <v>2021</v>
      </c>
      <c r="AJ4" s="894">
        <v>2022</v>
      </c>
      <c r="AK4" s="896">
        <v>2018</v>
      </c>
      <c r="AL4" s="896">
        <v>2019</v>
      </c>
      <c r="AM4" s="896">
        <v>2020</v>
      </c>
      <c r="AN4" s="894">
        <v>2021</v>
      </c>
      <c r="AO4" s="894">
        <v>2022</v>
      </c>
      <c r="AP4" s="896">
        <v>2016</v>
      </c>
      <c r="AQ4" s="896">
        <v>2017</v>
      </c>
      <c r="AR4" s="896">
        <v>2018</v>
      </c>
      <c r="AS4" s="896">
        <v>2019</v>
      </c>
      <c r="AT4" s="896">
        <v>2020</v>
      </c>
      <c r="AU4" s="894">
        <v>2021</v>
      </c>
      <c r="AV4" s="894">
        <v>2022</v>
      </c>
      <c r="AW4" s="896">
        <v>2016</v>
      </c>
      <c r="AX4" s="896">
        <v>2017</v>
      </c>
      <c r="AY4" s="896">
        <v>2018</v>
      </c>
      <c r="AZ4" s="896">
        <v>2019</v>
      </c>
      <c r="BA4" s="896">
        <v>2020</v>
      </c>
      <c r="BB4" s="894">
        <v>2021</v>
      </c>
      <c r="BC4" s="896">
        <v>2016</v>
      </c>
      <c r="BD4" s="896">
        <v>2017</v>
      </c>
      <c r="BE4" s="896">
        <v>2018</v>
      </c>
      <c r="BF4" s="896">
        <v>2019</v>
      </c>
      <c r="BG4" s="896">
        <v>2020</v>
      </c>
      <c r="BH4" s="894">
        <v>2021</v>
      </c>
      <c r="BI4" s="894">
        <v>2022</v>
      </c>
      <c r="BJ4" s="896">
        <v>2018</v>
      </c>
      <c r="BK4" s="896">
        <v>2019</v>
      </c>
      <c r="BL4" s="896">
        <v>2020</v>
      </c>
      <c r="BM4" s="894">
        <v>2021</v>
      </c>
      <c r="BN4" s="894">
        <v>2022</v>
      </c>
      <c r="BO4" s="896">
        <v>2016</v>
      </c>
      <c r="BP4" s="896">
        <v>2017</v>
      </c>
      <c r="BQ4" s="896">
        <v>2018</v>
      </c>
      <c r="BR4" s="896">
        <v>2019</v>
      </c>
      <c r="BS4" s="896">
        <v>2020</v>
      </c>
      <c r="BT4" s="896">
        <v>2021</v>
      </c>
      <c r="BU4" s="896">
        <v>2022</v>
      </c>
      <c r="BV4" s="896">
        <v>2018</v>
      </c>
      <c r="BW4" s="896">
        <v>2019</v>
      </c>
      <c r="BX4" s="896">
        <v>2020</v>
      </c>
      <c r="BY4" s="894">
        <v>2021</v>
      </c>
      <c r="BZ4" s="894">
        <v>2022</v>
      </c>
      <c r="CA4" s="896">
        <v>2016</v>
      </c>
      <c r="CB4" s="896">
        <v>2017</v>
      </c>
      <c r="CC4" s="896">
        <v>2018</v>
      </c>
      <c r="CD4" s="896">
        <v>2019</v>
      </c>
      <c r="CE4" s="896">
        <v>2020</v>
      </c>
      <c r="CF4" s="894">
        <v>2021</v>
      </c>
      <c r="CG4" s="894">
        <v>2022</v>
      </c>
      <c r="CH4" s="896">
        <v>2016</v>
      </c>
      <c r="CI4" s="896">
        <v>2017</v>
      </c>
      <c r="CJ4" s="896">
        <v>2018</v>
      </c>
      <c r="CK4" s="896">
        <v>2019</v>
      </c>
      <c r="CL4" s="896">
        <v>2020</v>
      </c>
      <c r="CM4" s="894">
        <v>2021</v>
      </c>
      <c r="CN4" s="894">
        <v>2022</v>
      </c>
      <c r="CO4" s="896">
        <v>2016</v>
      </c>
      <c r="CP4" s="896">
        <v>2017</v>
      </c>
      <c r="CQ4" s="896">
        <v>2018</v>
      </c>
      <c r="CR4" s="896">
        <v>2019</v>
      </c>
      <c r="CS4" s="896">
        <v>2020</v>
      </c>
      <c r="CT4" s="894">
        <v>2021</v>
      </c>
      <c r="CU4" s="894">
        <v>2022</v>
      </c>
      <c r="CV4" s="896">
        <v>2016</v>
      </c>
      <c r="CW4" s="896">
        <v>2017</v>
      </c>
      <c r="CX4" s="896">
        <v>2018</v>
      </c>
      <c r="CY4" s="896">
        <v>2019</v>
      </c>
      <c r="CZ4" s="896">
        <v>2020</v>
      </c>
      <c r="DA4" s="894">
        <v>2021</v>
      </c>
      <c r="DB4" s="894">
        <v>2022</v>
      </c>
      <c r="DC4" s="896">
        <v>2016</v>
      </c>
      <c r="DD4" s="896">
        <v>2017</v>
      </c>
      <c r="DE4" s="896">
        <v>2018</v>
      </c>
      <c r="DF4" s="896">
        <v>2019</v>
      </c>
      <c r="DG4" s="896">
        <v>2020</v>
      </c>
      <c r="DH4" s="894">
        <v>2021</v>
      </c>
      <c r="DI4" s="894">
        <v>2022</v>
      </c>
      <c r="DJ4" s="896">
        <v>2016</v>
      </c>
      <c r="DK4" s="896">
        <v>2017</v>
      </c>
      <c r="DL4" s="896">
        <v>2018</v>
      </c>
      <c r="DM4" s="896">
        <v>2019</v>
      </c>
      <c r="DN4" s="896">
        <v>2020</v>
      </c>
      <c r="DO4" s="894">
        <v>2021</v>
      </c>
      <c r="DP4" s="894">
        <v>2022</v>
      </c>
      <c r="DQ4" s="896">
        <v>2018</v>
      </c>
      <c r="DR4" s="896">
        <v>2019</v>
      </c>
      <c r="DS4" s="896">
        <v>2020</v>
      </c>
      <c r="DT4" s="894">
        <v>2021</v>
      </c>
      <c r="DU4" s="894">
        <v>2022</v>
      </c>
      <c r="DV4" s="896">
        <v>2016</v>
      </c>
      <c r="DW4" s="896">
        <v>2017</v>
      </c>
      <c r="DX4" s="896">
        <v>2018</v>
      </c>
      <c r="DY4" s="896">
        <v>2019</v>
      </c>
      <c r="DZ4" s="896">
        <v>2020</v>
      </c>
      <c r="EA4" s="894">
        <v>2021</v>
      </c>
      <c r="EB4" s="894">
        <v>2022</v>
      </c>
      <c r="EC4" s="896">
        <v>2016</v>
      </c>
      <c r="ED4" s="896">
        <v>2017</v>
      </c>
      <c r="EE4" s="896">
        <v>2018</v>
      </c>
      <c r="EF4" s="896">
        <v>2019</v>
      </c>
      <c r="EG4" s="896">
        <v>2020</v>
      </c>
      <c r="EH4" s="894">
        <v>2021</v>
      </c>
      <c r="EI4" s="894">
        <v>2022</v>
      </c>
      <c r="EJ4" s="896">
        <v>2016</v>
      </c>
      <c r="EK4" s="896">
        <v>2017</v>
      </c>
      <c r="EL4" s="896">
        <v>2018</v>
      </c>
      <c r="EM4" s="896">
        <v>2019</v>
      </c>
      <c r="EN4" s="896">
        <v>2020</v>
      </c>
      <c r="EO4" s="894">
        <v>2021</v>
      </c>
      <c r="EP4" s="894">
        <v>2022</v>
      </c>
      <c r="EQ4" s="896">
        <v>2016</v>
      </c>
      <c r="ER4" s="896">
        <v>2017</v>
      </c>
      <c r="ES4" s="896">
        <v>2018</v>
      </c>
      <c r="ET4" s="896">
        <v>2019</v>
      </c>
      <c r="EU4" s="896">
        <v>2020</v>
      </c>
      <c r="EV4" s="894">
        <v>2021</v>
      </c>
      <c r="EW4" s="894">
        <v>2022</v>
      </c>
      <c r="EX4" s="896">
        <v>2016</v>
      </c>
      <c r="EY4" s="896">
        <v>2017</v>
      </c>
      <c r="EZ4" s="896">
        <v>2018</v>
      </c>
      <c r="FA4" s="896">
        <v>2019</v>
      </c>
      <c r="FB4" s="896">
        <v>2020</v>
      </c>
      <c r="FC4" s="894">
        <v>2021</v>
      </c>
      <c r="FD4" s="894">
        <v>2022</v>
      </c>
      <c r="FE4" s="896">
        <v>2016</v>
      </c>
      <c r="FF4" s="896">
        <v>2017</v>
      </c>
      <c r="FG4" s="896">
        <v>2018</v>
      </c>
      <c r="FH4" s="896">
        <v>2019</v>
      </c>
      <c r="FI4" s="896">
        <v>2020</v>
      </c>
      <c r="FJ4" s="894">
        <v>2021</v>
      </c>
      <c r="FK4" s="894">
        <v>2022</v>
      </c>
      <c r="FL4" s="896">
        <v>2016</v>
      </c>
      <c r="FM4" s="896">
        <v>2017</v>
      </c>
      <c r="FN4" s="897">
        <v>2018</v>
      </c>
      <c r="FO4" s="896">
        <v>2019</v>
      </c>
      <c r="FP4" s="896">
        <v>2020</v>
      </c>
      <c r="FQ4" s="894">
        <v>2021</v>
      </c>
      <c r="FR4" s="894">
        <v>2022</v>
      </c>
      <c r="FS4" s="896">
        <v>2016</v>
      </c>
      <c r="FT4" s="896">
        <v>2017</v>
      </c>
      <c r="FU4" s="896">
        <v>2018</v>
      </c>
      <c r="FV4" s="896">
        <v>2019</v>
      </c>
      <c r="FW4" s="896">
        <v>2020</v>
      </c>
      <c r="FX4" s="896">
        <v>2021</v>
      </c>
      <c r="FY4" s="896">
        <v>2022</v>
      </c>
      <c r="FZ4" s="894">
        <v>2016</v>
      </c>
      <c r="GA4" s="894">
        <v>2017</v>
      </c>
      <c r="GB4" s="894">
        <v>2018</v>
      </c>
      <c r="GC4" s="894">
        <v>2019</v>
      </c>
      <c r="GD4" s="894">
        <v>2020</v>
      </c>
      <c r="GE4" s="894">
        <v>2021</v>
      </c>
      <c r="GF4" s="894">
        <v>2022</v>
      </c>
      <c r="GG4" s="894">
        <v>2016</v>
      </c>
      <c r="GH4" s="894">
        <v>2017</v>
      </c>
      <c r="GI4" s="894">
        <v>2018</v>
      </c>
      <c r="GJ4" s="894">
        <v>2019</v>
      </c>
      <c r="GK4" s="894">
        <v>2020</v>
      </c>
      <c r="GL4" s="894">
        <v>2021</v>
      </c>
      <c r="GM4" s="894">
        <v>2022</v>
      </c>
      <c r="GN4" s="894">
        <v>2016</v>
      </c>
      <c r="GO4" s="894">
        <v>2017</v>
      </c>
      <c r="GP4" s="894">
        <v>2018</v>
      </c>
      <c r="GQ4" s="894">
        <v>2019</v>
      </c>
      <c r="GR4" s="894">
        <v>2020</v>
      </c>
      <c r="GS4" s="894">
        <v>2021</v>
      </c>
      <c r="GT4" s="894">
        <v>2022</v>
      </c>
      <c r="GU4" s="898">
        <v>2017</v>
      </c>
      <c r="GV4" s="898">
        <v>2018</v>
      </c>
      <c r="GW4" s="898">
        <v>2019</v>
      </c>
      <c r="GX4" s="898">
        <v>2020</v>
      </c>
      <c r="GY4" s="894">
        <v>2021</v>
      </c>
      <c r="GZ4" s="894">
        <v>2022</v>
      </c>
      <c r="HA4" s="898">
        <v>2016</v>
      </c>
      <c r="HB4" s="898">
        <v>2017</v>
      </c>
      <c r="HC4" s="898">
        <v>2018</v>
      </c>
      <c r="HD4" s="898">
        <v>2019</v>
      </c>
      <c r="HE4" s="898">
        <v>2020</v>
      </c>
      <c r="HF4" s="894">
        <v>2021</v>
      </c>
      <c r="HG4" s="894">
        <v>2022</v>
      </c>
      <c r="HH4" s="898">
        <v>2016</v>
      </c>
      <c r="HI4" s="898">
        <v>2017</v>
      </c>
      <c r="HJ4" s="898">
        <v>2018</v>
      </c>
      <c r="HK4" s="898">
        <v>2019</v>
      </c>
      <c r="HL4" s="898">
        <v>2020</v>
      </c>
      <c r="HM4" s="898">
        <v>2016</v>
      </c>
      <c r="HN4" s="898">
        <v>2017</v>
      </c>
      <c r="HO4" s="898">
        <v>2018</v>
      </c>
      <c r="HP4" s="898">
        <v>2019</v>
      </c>
      <c r="HQ4" s="898">
        <v>2020</v>
      </c>
      <c r="HR4" s="894">
        <v>2021</v>
      </c>
      <c r="HS4" s="894">
        <v>2022</v>
      </c>
      <c r="HT4" s="898">
        <v>2016</v>
      </c>
      <c r="HU4" s="898">
        <v>2017</v>
      </c>
      <c r="HV4" s="898">
        <v>2018</v>
      </c>
      <c r="HW4" s="898">
        <v>2019</v>
      </c>
      <c r="HX4" s="898">
        <v>2020</v>
      </c>
      <c r="HY4" s="894">
        <v>2021</v>
      </c>
      <c r="HZ4" s="894">
        <v>2022</v>
      </c>
      <c r="IA4" s="898">
        <v>2019</v>
      </c>
      <c r="IB4" s="898">
        <v>2020</v>
      </c>
      <c r="IC4" s="894">
        <v>2021</v>
      </c>
      <c r="ID4" s="894">
        <v>2022</v>
      </c>
      <c r="IE4" s="898">
        <v>2016</v>
      </c>
      <c r="IF4" s="898">
        <v>2017</v>
      </c>
      <c r="IG4" s="898">
        <v>2018</v>
      </c>
      <c r="IH4" s="898">
        <v>2019</v>
      </c>
      <c r="II4" s="898">
        <v>2020</v>
      </c>
      <c r="IJ4" s="894">
        <v>2021</v>
      </c>
      <c r="IK4" s="894">
        <v>2022</v>
      </c>
      <c r="IL4" s="899">
        <v>2016</v>
      </c>
      <c r="IM4" s="899">
        <v>2017</v>
      </c>
      <c r="IN4" s="900">
        <v>2018</v>
      </c>
      <c r="IO4" s="899">
        <v>2019</v>
      </c>
      <c r="IP4" s="899">
        <v>2020</v>
      </c>
      <c r="IQ4" s="900">
        <v>2021</v>
      </c>
      <c r="IR4" s="901">
        <v>2022</v>
      </c>
    </row>
    <row r="5" spans="1:252" s="463" customFormat="1" x14ac:dyDescent="0.2">
      <c r="A5" s="853" t="s">
        <v>322</v>
      </c>
      <c r="B5" s="854"/>
      <c r="C5" s="854"/>
      <c r="D5" s="854"/>
      <c r="E5" s="854"/>
      <c r="F5" s="854"/>
      <c r="G5" s="854"/>
      <c r="H5" s="854"/>
      <c r="I5" s="854"/>
      <c r="J5" s="854"/>
      <c r="K5" s="854"/>
      <c r="L5" s="854"/>
      <c r="M5" s="854"/>
      <c r="N5" s="854"/>
      <c r="O5" s="854"/>
      <c r="P5" s="854"/>
      <c r="Q5" s="854"/>
      <c r="R5" s="854"/>
      <c r="S5" s="854"/>
      <c r="T5" s="854"/>
      <c r="U5" s="854"/>
      <c r="V5" s="854"/>
      <c r="W5" s="854"/>
      <c r="X5" s="854"/>
      <c r="Y5" s="854"/>
      <c r="Z5" s="854"/>
      <c r="AA5" s="854"/>
      <c r="AB5" s="854"/>
      <c r="AC5" s="854"/>
      <c r="AD5" s="854"/>
      <c r="AE5" s="854"/>
      <c r="AF5" s="855"/>
      <c r="AG5" s="856"/>
      <c r="AH5" s="856"/>
      <c r="AI5" s="516"/>
      <c r="AJ5" s="516"/>
      <c r="AK5" s="857"/>
      <c r="AL5" s="857"/>
      <c r="AM5" s="857"/>
      <c r="AN5" s="857"/>
      <c r="AO5" s="857"/>
      <c r="AP5" s="858"/>
      <c r="AQ5" s="858"/>
      <c r="AR5" s="858"/>
      <c r="AS5" s="858"/>
      <c r="AT5" s="858"/>
      <c r="AU5" s="858"/>
      <c r="AV5" s="858"/>
      <c r="AW5" s="858"/>
      <c r="AX5" s="858"/>
      <c r="AY5" s="858"/>
      <c r="AZ5" s="858"/>
      <c r="BA5" s="858"/>
      <c r="BB5" s="858"/>
      <c r="BC5" s="858"/>
      <c r="BD5" s="858"/>
      <c r="BE5" s="858"/>
      <c r="BF5" s="858"/>
      <c r="BG5" s="858"/>
      <c r="BH5" s="858"/>
      <c r="BI5" s="858"/>
      <c r="BJ5" s="858"/>
      <c r="BK5" s="858"/>
      <c r="BL5" s="858"/>
      <c r="BM5" s="858"/>
      <c r="BN5" s="858"/>
      <c r="BO5" s="858"/>
      <c r="BP5" s="858"/>
      <c r="BQ5" s="858"/>
      <c r="BR5" s="858"/>
      <c r="BS5" s="858"/>
      <c r="BT5" s="858"/>
      <c r="BU5" s="858"/>
      <c r="BV5" s="858"/>
      <c r="BW5" s="858"/>
      <c r="BX5" s="858"/>
      <c r="BY5" s="858"/>
      <c r="BZ5" s="858"/>
      <c r="CA5" s="859"/>
      <c r="CB5" s="859"/>
      <c r="CC5" s="859"/>
      <c r="CD5" s="859"/>
      <c r="CE5" s="859"/>
      <c r="CF5" s="859"/>
      <c r="CG5" s="859"/>
      <c r="CH5" s="859"/>
      <c r="CI5" s="859"/>
      <c r="CJ5" s="859"/>
      <c r="CK5" s="859"/>
      <c r="CL5" s="859"/>
      <c r="CM5" s="859"/>
      <c r="CN5" s="859"/>
      <c r="CO5" s="859"/>
      <c r="CP5" s="859"/>
      <c r="CQ5" s="859"/>
      <c r="CR5" s="859"/>
      <c r="CS5" s="859"/>
      <c r="CT5" s="859"/>
      <c r="CU5" s="859"/>
      <c r="CV5" s="859"/>
      <c r="CW5" s="859"/>
      <c r="CX5" s="859"/>
      <c r="CY5" s="859"/>
      <c r="CZ5" s="859"/>
      <c r="DA5" s="859"/>
      <c r="DB5" s="859"/>
      <c r="DC5" s="859"/>
      <c r="DD5" s="859"/>
      <c r="DE5" s="859"/>
      <c r="DF5" s="859"/>
      <c r="DG5" s="859"/>
      <c r="DH5" s="859"/>
      <c r="DI5" s="859"/>
      <c r="DJ5" s="859"/>
      <c r="DK5" s="859"/>
      <c r="DL5" s="859"/>
      <c r="DM5" s="859"/>
      <c r="DN5" s="859"/>
      <c r="DO5" s="859"/>
      <c r="DP5" s="859"/>
      <c r="DQ5" s="858"/>
      <c r="DR5" s="858"/>
      <c r="DS5" s="858"/>
      <c r="DT5" s="858"/>
      <c r="DU5" s="858"/>
      <c r="DV5" s="859"/>
      <c r="DW5" s="859"/>
      <c r="DX5" s="859"/>
      <c r="DY5" s="859"/>
      <c r="DZ5" s="859"/>
      <c r="EA5" s="859"/>
      <c r="EB5" s="859"/>
      <c r="EC5" s="860"/>
      <c r="ED5" s="860"/>
      <c r="EE5" s="860"/>
      <c r="EF5" s="860"/>
      <c r="EG5" s="860"/>
      <c r="EH5" s="860"/>
      <c r="EI5" s="860"/>
      <c r="EJ5" s="859"/>
      <c r="EK5" s="859"/>
      <c r="EL5" s="859"/>
      <c r="EM5" s="859"/>
      <c r="EN5" s="859"/>
      <c r="EO5" s="859"/>
      <c r="EP5" s="859"/>
      <c r="EQ5" s="859"/>
      <c r="ER5" s="859"/>
      <c r="ES5" s="859"/>
      <c r="ET5" s="859"/>
      <c r="EU5" s="859"/>
      <c r="EV5" s="859"/>
      <c r="EW5" s="859"/>
      <c r="EX5" s="860"/>
      <c r="EY5" s="860"/>
      <c r="EZ5" s="860"/>
      <c r="FA5" s="860"/>
      <c r="FB5" s="860"/>
      <c r="FC5" s="860"/>
      <c r="FD5" s="860"/>
      <c r="FE5" s="859"/>
      <c r="FF5" s="859"/>
      <c r="FG5" s="859"/>
      <c r="FH5" s="859"/>
      <c r="FI5" s="859"/>
      <c r="FJ5" s="859"/>
      <c r="FK5" s="859"/>
      <c r="FL5" s="861"/>
      <c r="FM5" s="861"/>
      <c r="FN5" s="862"/>
      <c r="FO5" s="862"/>
      <c r="FP5" s="862"/>
      <c r="FQ5" s="862"/>
      <c r="FR5" s="862"/>
      <c r="FS5" s="863"/>
      <c r="FT5" s="863"/>
      <c r="FU5" s="863"/>
      <c r="FV5" s="864"/>
      <c r="FW5" s="864"/>
      <c r="FX5" s="864"/>
      <c r="FY5" s="864"/>
      <c r="FZ5" s="517"/>
      <c r="GA5" s="518"/>
      <c r="GB5" s="856"/>
      <c r="GC5" s="865"/>
      <c r="GD5" s="865"/>
      <c r="GE5" s="865"/>
      <c r="GF5" s="865"/>
      <c r="GG5" s="865"/>
      <c r="GH5" s="865"/>
      <c r="GI5" s="865"/>
      <c r="GJ5" s="865"/>
      <c r="GK5" s="865"/>
      <c r="GL5" s="866"/>
      <c r="GM5" s="866"/>
      <c r="GN5" s="865"/>
      <c r="GO5" s="865"/>
      <c r="GP5" s="865"/>
      <c r="GQ5" s="865"/>
      <c r="GR5" s="865"/>
      <c r="GS5" s="866"/>
      <c r="GT5" s="866"/>
      <c r="GU5" s="867"/>
      <c r="GV5" s="867"/>
      <c r="GW5" s="867"/>
      <c r="GX5" s="867"/>
      <c r="GY5" s="867"/>
      <c r="GZ5" s="867"/>
      <c r="HA5" s="867"/>
      <c r="HB5" s="867"/>
      <c r="HC5" s="867"/>
      <c r="HD5" s="867"/>
      <c r="HE5" s="867"/>
      <c r="HF5" s="867"/>
      <c r="HG5" s="867"/>
      <c r="HH5" s="867"/>
      <c r="HI5" s="867"/>
      <c r="HJ5" s="867"/>
      <c r="HK5" s="867"/>
      <c r="HL5" s="867"/>
      <c r="HM5" s="867"/>
      <c r="HN5" s="867"/>
      <c r="HO5" s="867"/>
      <c r="HP5" s="867"/>
      <c r="HQ5" s="867"/>
      <c r="HR5" s="867"/>
      <c r="HS5" s="867"/>
      <c r="HT5" s="867"/>
      <c r="HU5" s="867"/>
      <c r="HV5" s="867"/>
      <c r="HW5" s="867"/>
      <c r="HX5" s="867"/>
      <c r="HY5" s="867"/>
      <c r="HZ5" s="867"/>
      <c r="IA5" s="858"/>
      <c r="IB5" s="858"/>
      <c r="IC5" s="858"/>
      <c r="ID5" s="858"/>
      <c r="IE5" s="867"/>
      <c r="IF5" s="867"/>
      <c r="IG5" s="867"/>
      <c r="IH5" s="867"/>
      <c r="II5" s="867"/>
      <c r="IJ5" s="867"/>
      <c r="IK5" s="867"/>
      <c r="IL5" s="867"/>
      <c r="IM5" s="867"/>
      <c r="IN5" s="867"/>
      <c r="IO5" s="866"/>
      <c r="IP5" s="866"/>
      <c r="IQ5" s="868"/>
      <c r="IR5" s="866"/>
    </row>
    <row r="6" spans="1:252" x14ac:dyDescent="0.2">
      <c r="A6" s="869" t="s">
        <v>279</v>
      </c>
      <c r="B6" s="870">
        <v>100</v>
      </c>
      <c r="C6" s="870">
        <v>100</v>
      </c>
      <c r="D6" s="870">
        <v>100</v>
      </c>
      <c r="E6" s="870">
        <v>100</v>
      </c>
      <c r="F6" s="519">
        <v>2500</v>
      </c>
      <c r="G6" s="519">
        <v>5675</v>
      </c>
      <c r="H6" s="519">
        <v>9375</v>
      </c>
      <c r="I6" s="870">
        <v>200</v>
      </c>
      <c r="J6" s="870">
        <v>200</v>
      </c>
      <c r="K6" s="870">
        <v>412</v>
      </c>
      <c r="L6" s="519">
        <v>824</v>
      </c>
      <c r="M6" s="519">
        <v>824</v>
      </c>
      <c r="N6" s="519">
        <v>824</v>
      </c>
      <c r="O6" s="519">
        <v>824</v>
      </c>
      <c r="P6" s="870">
        <v>200</v>
      </c>
      <c r="Q6" s="870">
        <v>200</v>
      </c>
      <c r="R6" s="519">
        <v>200</v>
      </c>
      <c r="S6" s="519">
        <v>200</v>
      </c>
      <c r="T6" s="519">
        <v>250</v>
      </c>
      <c r="U6" s="519">
        <v>3420</v>
      </c>
      <c r="V6" s="519">
        <v>4620</v>
      </c>
      <c r="W6" s="870">
        <v>150</v>
      </c>
      <c r="X6" s="870">
        <v>150</v>
      </c>
      <c r="Y6" s="870">
        <v>150</v>
      </c>
      <c r="Z6" s="870">
        <v>150</v>
      </c>
      <c r="AA6" s="870">
        <v>200</v>
      </c>
      <c r="AB6" s="870">
        <v>3805</v>
      </c>
      <c r="AC6" s="870">
        <v>3905</v>
      </c>
      <c r="AD6" s="870">
        <v>650</v>
      </c>
      <c r="AE6" s="871">
        <f>C6+J6+Q6+X6</f>
        <v>650</v>
      </c>
      <c r="AF6" s="872">
        <v>862</v>
      </c>
      <c r="AG6" s="873">
        <v>1274</v>
      </c>
      <c r="AH6" s="873">
        <v>3774</v>
      </c>
      <c r="AI6" s="874">
        <v>13724</v>
      </c>
      <c r="AJ6" s="874">
        <v>18724</v>
      </c>
      <c r="AK6" s="875">
        <v>136</v>
      </c>
      <c r="AL6" s="875">
        <v>236</v>
      </c>
      <c r="AM6" s="875">
        <v>546</v>
      </c>
      <c r="AN6" s="875">
        <v>596</v>
      </c>
      <c r="AO6" s="875">
        <v>1146</v>
      </c>
      <c r="AP6" s="871">
        <v>110.22725</v>
      </c>
      <c r="AQ6" s="871">
        <v>110.22725</v>
      </c>
      <c r="AR6" s="871">
        <v>110.2273</v>
      </c>
      <c r="AS6" s="871">
        <v>110.22725</v>
      </c>
      <c r="AT6" s="871">
        <v>110.22725</v>
      </c>
      <c r="AU6" s="871">
        <v>110.22725</v>
      </c>
      <c r="AV6" s="871">
        <v>110.22725</v>
      </c>
      <c r="AW6" s="871">
        <v>1571.445322</v>
      </c>
      <c r="AX6" s="871">
        <v>1621.445322</v>
      </c>
      <c r="AY6" s="871">
        <v>1621.445322</v>
      </c>
      <c r="AZ6" s="871">
        <v>1621.445322</v>
      </c>
      <c r="BA6" s="871">
        <v>2005.9812164140001</v>
      </c>
      <c r="BB6" s="871">
        <v>2055.9812160000001</v>
      </c>
      <c r="BC6" s="871">
        <v>298.8057</v>
      </c>
      <c r="BD6" s="871">
        <v>298.8057</v>
      </c>
      <c r="BE6" s="871">
        <v>298.8057</v>
      </c>
      <c r="BF6" s="871">
        <v>298.8057</v>
      </c>
      <c r="BG6" s="871">
        <v>298.8057</v>
      </c>
      <c r="BH6" s="871">
        <v>298.8057</v>
      </c>
      <c r="BI6" s="871">
        <v>298.8057</v>
      </c>
      <c r="BJ6" s="871">
        <v>170</v>
      </c>
      <c r="BK6" s="871">
        <v>208</v>
      </c>
      <c r="BL6" s="871">
        <v>308</v>
      </c>
      <c r="BM6" s="871">
        <v>393</v>
      </c>
      <c r="BN6" s="871">
        <v>513</v>
      </c>
      <c r="BO6" s="871">
        <v>710</v>
      </c>
      <c r="BP6" s="871">
        <v>809.80370500000004</v>
      </c>
      <c r="BQ6" s="871">
        <v>809.80370000000005</v>
      </c>
      <c r="BR6" s="871">
        <v>809.80370000000005</v>
      </c>
      <c r="BS6" s="871">
        <v>904.80370500000004</v>
      </c>
      <c r="BT6" s="871">
        <v>904.80370500000004</v>
      </c>
      <c r="BU6" s="871">
        <v>904.80370500000004</v>
      </c>
      <c r="BV6" s="871">
        <v>350</v>
      </c>
      <c r="BW6" s="871">
        <v>674.56521999999995</v>
      </c>
      <c r="BX6" s="871">
        <v>816.84310000000005</v>
      </c>
      <c r="BY6" s="871">
        <v>824.69189700000004</v>
      </c>
      <c r="BZ6" s="871">
        <v>859.01175499999999</v>
      </c>
      <c r="CA6" s="871">
        <v>705</v>
      </c>
      <c r="CB6" s="871">
        <v>600.46590000000003</v>
      </c>
      <c r="CC6" s="871">
        <v>605.07180000000005</v>
      </c>
      <c r="CD6" s="871">
        <v>605.41999999999996</v>
      </c>
      <c r="CE6" s="871">
        <v>605.84209999999996</v>
      </c>
      <c r="CF6" s="871">
        <v>711.56</v>
      </c>
      <c r="CG6" s="871">
        <v>712.78003502000001</v>
      </c>
      <c r="CH6" s="871">
        <v>447.53844600000002</v>
      </c>
      <c r="CI6" s="871">
        <v>451.15068600000001</v>
      </c>
      <c r="CJ6" s="871">
        <v>453.94830400000001</v>
      </c>
      <c r="CK6" s="871">
        <v>454.30994399999997</v>
      </c>
      <c r="CL6" s="871">
        <v>454.46626400000002</v>
      </c>
      <c r="CM6" s="871">
        <v>454.59450399999997</v>
      </c>
      <c r="CN6" s="871">
        <v>490.89</v>
      </c>
      <c r="CO6" s="871">
        <v>269.32150000000001</v>
      </c>
      <c r="CP6" s="871">
        <v>269.32150000000001</v>
      </c>
      <c r="CQ6" s="871">
        <v>269.32150000000001</v>
      </c>
      <c r="CR6" s="871">
        <v>274.2183</v>
      </c>
      <c r="CS6" s="871">
        <v>274.2183</v>
      </c>
      <c r="CT6" s="871">
        <v>274.2183</v>
      </c>
      <c r="CU6" s="871">
        <v>280.25436200000001</v>
      </c>
      <c r="CV6" s="871">
        <v>135</v>
      </c>
      <c r="CW6" s="871">
        <v>135</v>
      </c>
      <c r="CX6" s="871">
        <v>175</v>
      </c>
      <c r="CY6" s="871">
        <v>220</v>
      </c>
      <c r="CZ6" s="871">
        <v>305</v>
      </c>
      <c r="DA6" s="871">
        <v>330</v>
      </c>
      <c r="DB6" s="871">
        <v>455</v>
      </c>
      <c r="DC6" s="871">
        <v>679.35</v>
      </c>
      <c r="DD6" s="871">
        <v>984.35</v>
      </c>
      <c r="DE6" s="871">
        <v>1084.6003000000001</v>
      </c>
      <c r="DF6" s="871">
        <v>1085.2249999999999</v>
      </c>
      <c r="DG6" s="871">
        <v>1085.97515</v>
      </c>
      <c r="DH6" s="871">
        <v>1086.22515</v>
      </c>
      <c r="DI6" s="871">
        <v>1086.22515</v>
      </c>
      <c r="DJ6" s="871">
        <v>112.5</v>
      </c>
      <c r="DK6" s="871">
        <v>112.5</v>
      </c>
      <c r="DL6" s="871">
        <v>112.5</v>
      </c>
      <c r="DM6" s="871">
        <v>125</v>
      </c>
      <c r="DN6" s="871">
        <v>143.75</v>
      </c>
      <c r="DO6" s="871">
        <v>154.70724999999999</v>
      </c>
      <c r="DP6" s="871">
        <v>154.70724999999999</v>
      </c>
      <c r="DQ6" s="871">
        <v>190.05</v>
      </c>
      <c r="DR6" s="871">
        <v>190.05</v>
      </c>
      <c r="DS6" s="871">
        <v>310.05</v>
      </c>
      <c r="DT6" s="871">
        <v>495.79</v>
      </c>
      <c r="DU6" s="871">
        <v>495.79</v>
      </c>
      <c r="DV6" s="871">
        <v>207</v>
      </c>
      <c r="DW6" s="871">
        <v>207</v>
      </c>
      <c r="DX6" s="871">
        <v>207</v>
      </c>
      <c r="DY6" s="871">
        <v>207</v>
      </c>
      <c r="DZ6" s="871">
        <v>207</v>
      </c>
      <c r="EA6" s="871">
        <v>264.72883999999999</v>
      </c>
      <c r="EB6" s="871">
        <v>296.04131599999999</v>
      </c>
      <c r="EC6" s="871">
        <v>122.77495999999999</v>
      </c>
      <c r="ED6" s="871">
        <v>125.77495999999999</v>
      </c>
      <c r="EE6" s="871">
        <v>251.54991999999999</v>
      </c>
      <c r="EF6" s="871">
        <v>251.54991999999999</v>
      </c>
      <c r="EG6" s="871">
        <v>251.54991999999999</v>
      </c>
      <c r="EH6" s="871">
        <v>251.54991999999999</v>
      </c>
      <c r="EI6" s="871">
        <v>251.80537000000001</v>
      </c>
      <c r="EJ6" s="871">
        <v>315</v>
      </c>
      <c r="EK6" s="871">
        <v>331</v>
      </c>
      <c r="EL6" s="871">
        <v>449</v>
      </c>
      <c r="EM6" s="871">
        <v>449</v>
      </c>
      <c r="EN6" s="871">
        <v>449</v>
      </c>
      <c r="EO6" s="871">
        <v>449</v>
      </c>
      <c r="EP6" s="871">
        <v>449</v>
      </c>
      <c r="EQ6" s="871">
        <v>203</v>
      </c>
      <c r="ER6" s="871">
        <v>215.5</v>
      </c>
      <c r="ES6" s="871">
        <v>215.5</v>
      </c>
      <c r="ET6" s="871">
        <v>215.5</v>
      </c>
      <c r="EU6" s="871">
        <v>215.5</v>
      </c>
      <c r="EV6" s="871">
        <v>215.5</v>
      </c>
      <c r="EW6" s="871">
        <v>215.61670000000001</v>
      </c>
      <c r="EX6" s="871">
        <v>258.29415</v>
      </c>
      <c r="EY6" s="871">
        <v>258.63024999999999</v>
      </c>
      <c r="EZ6" s="871">
        <v>258.738</v>
      </c>
      <c r="FA6" s="871">
        <v>259.07684999999998</v>
      </c>
      <c r="FB6" s="871">
        <v>259.16275000000002</v>
      </c>
      <c r="FC6" s="871">
        <v>259.16275000000002</v>
      </c>
      <c r="FD6" s="871">
        <v>259.16000000000003</v>
      </c>
      <c r="FE6" s="871">
        <v>632.5</v>
      </c>
      <c r="FF6" s="871">
        <v>632.5</v>
      </c>
      <c r="FG6" s="871">
        <v>732.5</v>
      </c>
      <c r="FH6" s="871">
        <v>907.5</v>
      </c>
      <c r="FI6" s="871">
        <v>994.45600000000002</v>
      </c>
      <c r="FJ6" s="871">
        <v>994.45600000000002</v>
      </c>
      <c r="FK6" s="871">
        <v>994.45600000000002</v>
      </c>
      <c r="FL6" s="871">
        <v>350</v>
      </c>
      <c r="FM6" s="871">
        <v>350</v>
      </c>
      <c r="FN6" s="872">
        <v>368.18182000000002</v>
      </c>
      <c r="FO6" s="872">
        <v>368.18182000000002</v>
      </c>
      <c r="FP6" s="872">
        <v>368.18182000000002</v>
      </c>
      <c r="FQ6" s="872">
        <v>368.18182000000002</v>
      </c>
      <c r="FR6" s="872">
        <v>368.18182000000002</v>
      </c>
      <c r="FS6" s="871">
        <v>7666.3775779999996</v>
      </c>
      <c r="FT6" s="871">
        <v>8113.9411230000005</v>
      </c>
      <c r="FU6" s="871">
        <v>8869.2436660000003</v>
      </c>
      <c r="FV6" s="871">
        <v>9570.8790259999987</v>
      </c>
      <c r="FW6" s="871">
        <v>10914.813275414001</v>
      </c>
      <c r="FX6" s="871">
        <v>11493.184302000001</v>
      </c>
      <c r="FY6" s="871">
        <v>10341.756413020001</v>
      </c>
      <c r="FZ6" s="520">
        <v>200</v>
      </c>
      <c r="GA6" s="521">
        <v>200</v>
      </c>
      <c r="GB6" s="876">
        <v>200</v>
      </c>
      <c r="GC6" s="870">
        <v>200</v>
      </c>
      <c r="GD6" s="870">
        <v>200</v>
      </c>
      <c r="GE6" s="870">
        <v>200</v>
      </c>
      <c r="GF6" s="870">
        <v>200</v>
      </c>
      <c r="GG6" s="870">
        <v>1300</v>
      </c>
      <c r="GH6" s="870">
        <v>1450</v>
      </c>
      <c r="GI6" s="870">
        <v>1500</v>
      </c>
      <c r="GJ6" s="870">
        <v>2000</v>
      </c>
      <c r="GK6" s="870">
        <v>2500</v>
      </c>
      <c r="GL6" s="519">
        <v>3190</v>
      </c>
      <c r="GM6" s="519">
        <v>3950</v>
      </c>
      <c r="GN6" s="870">
        <v>1500</v>
      </c>
      <c r="GO6" s="870">
        <v>1650</v>
      </c>
      <c r="GP6" s="870">
        <v>1700</v>
      </c>
      <c r="GQ6" s="870">
        <v>2200</v>
      </c>
      <c r="GR6" s="870">
        <v>2700</v>
      </c>
      <c r="GS6" s="870">
        <v>3390</v>
      </c>
      <c r="GT6" s="870">
        <v>4150</v>
      </c>
      <c r="GU6" s="871">
        <v>100.44117803</v>
      </c>
      <c r="GV6" s="871">
        <v>132.880202</v>
      </c>
      <c r="GW6" s="871">
        <v>212.026543</v>
      </c>
      <c r="GX6" s="871">
        <v>298.85581300000001</v>
      </c>
      <c r="GY6" s="871">
        <v>360.39427499999999</v>
      </c>
      <c r="GZ6" s="871">
        <v>435.11894000000001</v>
      </c>
      <c r="HA6" s="871">
        <v>475.07</v>
      </c>
      <c r="HB6" s="871">
        <v>524.74947699999996</v>
      </c>
      <c r="HC6" s="871">
        <v>594.82986100000005</v>
      </c>
      <c r="HD6" s="871">
        <v>688.54988800000001</v>
      </c>
      <c r="HE6" s="871">
        <v>727.94906900000001</v>
      </c>
      <c r="HF6" s="871">
        <v>841.04219599999999</v>
      </c>
      <c r="HG6" s="871">
        <v>908.56773599999997</v>
      </c>
      <c r="HH6" s="871">
        <v>356.922912</v>
      </c>
      <c r="HI6" s="871">
        <v>357.27103699999998</v>
      </c>
      <c r="HJ6" s="871">
        <v>357.88978700000001</v>
      </c>
      <c r="HK6" s="871">
        <v>358.40853700000002</v>
      </c>
      <c r="HL6" s="871">
        <v>405.67033199999997</v>
      </c>
      <c r="HM6" s="871">
        <v>240.028063</v>
      </c>
      <c r="HN6" s="871">
        <v>251.365061962</v>
      </c>
      <c r="HO6" s="871">
        <v>364.72578596199997</v>
      </c>
      <c r="HP6" s="871">
        <v>590.86304099999995</v>
      </c>
      <c r="HQ6" s="871">
        <v>728.90217304600003</v>
      </c>
      <c r="HR6" s="871">
        <v>941.90217304600003</v>
      </c>
      <c r="HS6" s="871">
        <v>1117.6185660650001</v>
      </c>
      <c r="HT6" s="871">
        <v>898</v>
      </c>
      <c r="HU6" s="871">
        <v>926</v>
      </c>
      <c r="HV6" s="871">
        <v>926</v>
      </c>
      <c r="HW6" s="871">
        <v>981</v>
      </c>
      <c r="HX6" s="871">
        <v>1126</v>
      </c>
      <c r="HY6" s="871">
        <v>1349.7298000000001</v>
      </c>
      <c r="HZ6" s="871">
        <v>1408.602228</v>
      </c>
      <c r="IA6" s="871">
        <v>186.55</v>
      </c>
      <c r="IB6" s="871">
        <v>193.9</v>
      </c>
      <c r="IC6" s="871">
        <v>193.9</v>
      </c>
      <c r="ID6" s="871">
        <v>193.9</v>
      </c>
      <c r="IE6" s="871">
        <v>386.99210900000003</v>
      </c>
      <c r="IF6" s="871">
        <v>455.57610599999998</v>
      </c>
      <c r="IG6" s="871">
        <v>455.57610599999998</v>
      </c>
      <c r="IH6" s="871">
        <v>455.57610599999998</v>
      </c>
      <c r="II6" s="871">
        <v>490.638013</v>
      </c>
      <c r="IJ6" s="871">
        <v>548.08688500000005</v>
      </c>
      <c r="IK6" s="871">
        <v>575.52217399999995</v>
      </c>
      <c r="IL6" s="871">
        <v>2357.0130840000002</v>
      </c>
      <c r="IM6" s="871">
        <v>2615.4028599919998</v>
      </c>
      <c r="IN6" s="871">
        <v>2831.901741962</v>
      </c>
      <c r="IO6" s="825">
        <v>3472.974115</v>
      </c>
      <c r="IP6" s="825">
        <v>3971.9154000460003</v>
      </c>
      <c r="IQ6" s="877">
        <v>4235.0553290460002</v>
      </c>
      <c r="IR6" s="825">
        <v>4445.4296440649996</v>
      </c>
    </row>
    <row r="7" spans="1:252" x14ac:dyDescent="0.2">
      <c r="A7" s="869" t="s">
        <v>280</v>
      </c>
      <c r="B7" s="870">
        <v>0</v>
      </c>
      <c r="C7" s="870">
        <v>0</v>
      </c>
      <c r="D7" s="870"/>
      <c r="E7" s="870"/>
      <c r="F7" s="519">
        <v>0</v>
      </c>
      <c r="G7" s="519">
        <v>0</v>
      </c>
      <c r="I7" s="870">
        <v>0</v>
      </c>
      <c r="J7" s="870">
        <v>0</v>
      </c>
      <c r="K7" s="878"/>
      <c r="L7" s="878"/>
      <c r="M7" s="878">
        <v>0</v>
      </c>
      <c r="N7" s="878">
        <v>0</v>
      </c>
      <c r="O7" s="511">
        <v>0</v>
      </c>
      <c r="P7" s="870">
        <v>0</v>
      </c>
      <c r="Q7" s="870">
        <v>0</v>
      </c>
      <c r="R7" s="878"/>
      <c r="S7" s="878"/>
      <c r="T7" s="878"/>
      <c r="U7" s="878"/>
      <c r="V7" s="523">
        <v>0</v>
      </c>
      <c r="W7" s="870">
        <v>0</v>
      </c>
      <c r="X7" s="870">
        <v>0</v>
      </c>
      <c r="Y7" s="870"/>
      <c r="Z7" s="870"/>
      <c r="AA7" s="870">
        <v>0</v>
      </c>
      <c r="AB7" s="870">
        <v>0</v>
      </c>
      <c r="AC7" s="870"/>
      <c r="AD7" s="870">
        <v>0</v>
      </c>
      <c r="AE7" s="871"/>
      <c r="AF7" s="878"/>
      <c r="AG7" s="878"/>
      <c r="AH7" s="522">
        <v>0</v>
      </c>
      <c r="AI7" s="522">
        <v>0</v>
      </c>
      <c r="AJ7" s="522">
        <v>0</v>
      </c>
      <c r="AK7" s="875">
        <v>0</v>
      </c>
      <c r="AL7" s="875">
        <v>0</v>
      </c>
      <c r="AM7" s="875">
        <v>0</v>
      </c>
      <c r="AN7" s="875">
        <v>0</v>
      </c>
      <c r="AO7" s="875">
        <v>0</v>
      </c>
      <c r="AP7" s="871">
        <v>0</v>
      </c>
      <c r="AQ7" s="871">
        <v>0</v>
      </c>
      <c r="AR7" s="871">
        <v>0</v>
      </c>
      <c r="AS7" s="871">
        <v>0</v>
      </c>
      <c r="AT7" s="871">
        <v>0</v>
      </c>
      <c r="AU7" s="871">
        <v>0</v>
      </c>
      <c r="AV7" s="871">
        <v>0</v>
      </c>
      <c r="AW7" s="871">
        <v>0</v>
      </c>
      <c r="AX7" s="871">
        <v>0</v>
      </c>
      <c r="AY7" s="871">
        <v>0</v>
      </c>
      <c r="AZ7" s="871">
        <v>0</v>
      </c>
      <c r="BA7" s="871">
        <v>0</v>
      </c>
      <c r="BB7" s="871">
        <v>0</v>
      </c>
      <c r="BC7" s="871">
        <v>0</v>
      </c>
      <c r="BD7" s="871">
        <v>0</v>
      </c>
      <c r="BE7" s="871">
        <v>0</v>
      </c>
      <c r="BF7" s="871">
        <v>0</v>
      </c>
      <c r="BG7" s="871">
        <v>0</v>
      </c>
      <c r="BH7" s="871">
        <v>0</v>
      </c>
      <c r="BI7" s="871">
        <v>0</v>
      </c>
      <c r="BJ7" s="871">
        <v>0</v>
      </c>
      <c r="BK7" s="871">
        <v>0</v>
      </c>
      <c r="BL7" s="871">
        <v>0</v>
      </c>
      <c r="BM7" s="871">
        <v>0</v>
      </c>
      <c r="BN7" s="871">
        <v>0</v>
      </c>
      <c r="BO7" s="871">
        <v>0</v>
      </c>
      <c r="BP7" s="871">
        <v>0</v>
      </c>
      <c r="BQ7" s="871">
        <v>0</v>
      </c>
      <c r="BR7" s="871">
        <v>0</v>
      </c>
      <c r="BS7" s="871">
        <v>12.753091</v>
      </c>
      <c r="BT7" s="871">
        <v>0</v>
      </c>
      <c r="BU7" s="871">
        <v>0</v>
      </c>
      <c r="BV7" s="871">
        <v>0</v>
      </c>
      <c r="BW7" s="871">
        <v>0</v>
      </c>
      <c r="BX7" s="871">
        <v>0</v>
      </c>
      <c r="BY7" s="871">
        <v>23.879146670000001</v>
      </c>
      <c r="BZ7" s="871">
        <v>0</v>
      </c>
      <c r="CA7" s="871">
        <v>0</v>
      </c>
      <c r="CB7" s="871"/>
      <c r="CC7" s="871">
        <v>0</v>
      </c>
      <c r="CD7" s="871">
        <v>0</v>
      </c>
      <c r="CE7" s="871">
        <v>0</v>
      </c>
      <c r="CF7" s="871">
        <v>0</v>
      </c>
      <c r="CG7" s="871">
        <v>0</v>
      </c>
      <c r="CH7" s="871">
        <v>0</v>
      </c>
      <c r="CI7" s="871">
        <v>1.275544</v>
      </c>
      <c r="CJ7" s="871">
        <v>0</v>
      </c>
      <c r="CK7" s="871">
        <v>0</v>
      </c>
      <c r="CL7" s="871">
        <v>0.21454500000000001</v>
      </c>
      <c r="CM7" s="871">
        <v>0.32605499999999998</v>
      </c>
      <c r="CN7" s="871"/>
      <c r="CO7" s="871">
        <v>0</v>
      </c>
      <c r="CP7" s="871">
        <v>0</v>
      </c>
      <c r="CQ7" s="871">
        <v>0</v>
      </c>
      <c r="CR7" s="871">
        <v>0</v>
      </c>
      <c r="CS7" s="871">
        <v>0</v>
      </c>
      <c r="CT7" s="871">
        <v>0</v>
      </c>
      <c r="CU7" s="514">
        <v>0</v>
      </c>
      <c r="CV7" s="871">
        <v>0</v>
      </c>
      <c r="CW7" s="871">
        <v>0</v>
      </c>
      <c r="CX7" s="871">
        <v>0</v>
      </c>
      <c r="CY7" s="871">
        <v>0</v>
      </c>
      <c r="CZ7" s="871">
        <v>0</v>
      </c>
      <c r="DA7" s="871">
        <v>0</v>
      </c>
      <c r="DB7" s="871">
        <v>0</v>
      </c>
      <c r="DC7" s="871">
        <v>0</v>
      </c>
      <c r="DD7" s="871">
        <v>0</v>
      </c>
      <c r="DE7" s="871">
        <v>0</v>
      </c>
      <c r="DF7" s="871">
        <v>0</v>
      </c>
      <c r="DG7" s="871">
        <v>0</v>
      </c>
      <c r="DH7" s="871">
        <v>0</v>
      </c>
      <c r="DI7" s="871">
        <v>0</v>
      </c>
      <c r="DJ7" s="871">
        <v>0</v>
      </c>
      <c r="DK7" s="871">
        <v>0</v>
      </c>
      <c r="DM7" s="871">
        <v>75</v>
      </c>
      <c r="DN7" s="871">
        <v>53.194800100000002</v>
      </c>
      <c r="DO7" s="871">
        <v>0</v>
      </c>
      <c r="DP7" s="871">
        <v>0</v>
      </c>
      <c r="DQ7" s="871">
        <v>0</v>
      </c>
      <c r="DR7" s="871">
        <v>0</v>
      </c>
      <c r="DS7" s="871">
        <v>0</v>
      </c>
      <c r="DT7" s="871">
        <v>0</v>
      </c>
      <c r="DU7" s="871" t="s">
        <v>167</v>
      </c>
      <c r="DV7" s="871">
        <v>0</v>
      </c>
      <c r="DW7" s="871">
        <v>0</v>
      </c>
      <c r="DX7" s="871">
        <v>0</v>
      </c>
      <c r="DY7" s="871">
        <v>0</v>
      </c>
      <c r="DZ7" s="871">
        <v>0</v>
      </c>
      <c r="EA7" s="871">
        <v>0</v>
      </c>
      <c r="EB7" s="514">
        <v>0</v>
      </c>
      <c r="EC7" s="871">
        <v>90</v>
      </c>
      <c r="ED7" s="871">
        <v>0</v>
      </c>
      <c r="EE7" s="871">
        <v>0</v>
      </c>
      <c r="EF7" s="871">
        <v>0</v>
      </c>
      <c r="EG7" s="871">
        <v>0</v>
      </c>
      <c r="EH7" s="871">
        <v>0</v>
      </c>
      <c r="EI7" s="514">
        <v>0</v>
      </c>
      <c r="EJ7" s="871">
        <v>0</v>
      </c>
      <c r="EK7" s="871">
        <v>0</v>
      </c>
      <c r="EL7" s="871">
        <v>0</v>
      </c>
      <c r="EM7" s="871">
        <v>0</v>
      </c>
      <c r="EN7" s="871">
        <v>0</v>
      </c>
      <c r="EO7" s="871">
        <v>0</v>
      </c>
      <c r="EP7" s="514">
        <v>0</v>
      </c>
      <c r="EQ7" s="871">
        <v>0</v>
      </c>
      <c r="ER7" s="871">
        <v>0</v>
      </c>
      <c r="ES7" s="871">
        <v>0</v>
      </c>
      <c r="ET7" s="871">
        <v>0</v>
      </c>
      <c r="EU7" s="871">
        <v>0</v>
      </c>
      <c r="EV7" s="871">
        <v>0</v>
      </c>
      <c r="EW7" s="514">
        <v>0</v>
      </c>
      <c r="EX7" s="871">
        <v>0</v>
      </c>
      <c r="EY7" s="871">
        <v>0</v>
      </c>
      <c r="EZ7" s="871">
        <v>0</v>
      </c>
      <c r="FA7" s="871">
        <v>0</v>
      </c>
      <c r="FB7" s="871">
        <v>0</v>
      </c>
      <c r="FC7" s="871">
        <v>0</v>
      </c>
      <c r="FE7" s="871">
        <v>0</v>
      </c>
      <c r="FF7" s="871">
        <v>0</v>
      </c>
      <c r="FG7" s="871">
        <v>0</v>
      </c>
      <c r="FH7" s="871">
        <v>0</v>
      </c>
      <c r="FI7" s="871">
        <v>0</v>
      </c>
      <c r="FJ7" s="871">
        <v>0</v>
      </c>
      <c r="FK7" s="514">
        <v>0</v>
      </c>
      <c r="FL7" s="871">
        <v>0</v>
      </c>
      <c r="FM7" s="871">
        <v>0</v>
      </c>
      <c r="FN7" s="872">
        <v>0</v>
      </c>
      <c r="FO7" s="871">
        <v>0</v>
      </c>
      <c r="FP7" s="871">
        <v>0</v>
      </c>
      <c r="FQ7" s="871">
        <v>0</v>
      </c>
      <c r="FR7" s="871">
        <v>0</v>
      </c>
      <c r="FS7" s="871">
        <v>90</v>
      </c>
      <c r="FT7" s="871">
        <v>1.275544</v>
      </c>
      <c r="FU7" s="871">
        <v>0</v>
      </c>
      <c r="FV7" s="871">
        <v>75</v>
      </c>
      <c r="FW7" s="871">
        <v>66.162436100000008</v>
      </c>
      <c r="FX7" s="871">
        <v>24.205201670000001</v>
      </c>
      <c r="FY7" s="871">
        <v>0</v>
      </c>
      <c r="FZ7" s="520" t="s">
        <v>167</v>
      </c>
      <c r="GA7" s="520" t="s">
        <v>167</v>
      </c>
      <c r="GB7" s="520" t="s">
        <v>167</v>
      </c>
      <c r="GC7" s="520" t="s">
        <v>167</v>
      </c>
      <c r="GD7" s="520">
        <v>0</v>
      </c>
      <c r="GE7" s="520">
        <v>0</v>
      </c>
      <c r="GF7" s="520">
        <v>0</v>
      </c>
      <c r="GG7" s="524">
        <v>0</v>
      </c>
      <c r="GH7" s="524">
        <v>0</v>
      </c>
      <c r="GI7" s="524">
        <v>0</v>
      </c>
      <c r="GJ7" s="524">
        <v>0</v>
      </c>
      <c r="GK7" s="524">
        <v>300</v>
      </c>
      <c r="GL7" s="519">
        <v>0</v>
      </c>
      <c r="GM7" s="519">
        <v>0</v>
      </c>
      <c r="GN7" s="870"/>
      <c r="GO7" s="870"/>
      <c r="GP7" s="870"/>
      <c r="GQ7" s="870"/>
      <c r="GR7" s="870">
        <v>300</v>
      </c>
      <c r="GS7" s="870">
        <v>0</v>
      </c>
      <c r="GT7" s="870">
        <v>0</v>
      </c>
      <c r="GU7" s="871">
        <v>0</v>
      </c>
      <c r="GV7" s="871">
        <v>0</v>
      </c>
      <c r="GW7" s="825"/>
      <c r="GX7" s="825">
        <v>0</v>
      </c>
      <c r="GY7" s="825">
        <v>0</v>
      </c>
      <c r="GZ7" s="825">
        <v>0</v>
      </c>
      <c r="HA7" s="871">
        <v>0</v>
      </c>
      <c r="HB7" s="871">
        <v>0</v>
      </c>
      <c r="HC7" s="871">
        <v>0</v>
      </c>
      <c r="HD7" s="827"/>
      <c r="HE7" s="871">
        <v>0.22530510000000001</v>
      </c>
      <c r="HF7" s="871">
        <v>1.45E-5</v>
      </c>
      <c r="HG7" s="871">
        <v>0</v>
      </c>
      <c r="HH7" s="871">
        <v>7.0999999999999998E-6</v>
      </c>
      <c r="HI7" s="871">
        <v>7.0999999999999998E-6</v>
      </c>
      <c r="HJ7" s="827"/>
      <c r="HK7" s="871">
        <v>0.24612500000000001</v>
      </c>
      <c r="HL7" s="871">
        <v>0</v>
      </c>
      <c r="HM7" s="871">
        <v>0</v>
      </c>
      <c r="HN7" s="871">
        <v>2.4E-8</v>
      </c>
      <c r="HO7" s="871">
        <v>2.4E-8</v>
      </c>
      <c r="HP7" s="871"/>
      <c r="HQ7" s="871">
        <v>0</v>
      </c>
      <c r="HR7" s="871">
        <v>0</v>
      </c>
      <c r="HS7" s="827">
        <v>0</v>
      </c>
      <c r="HT7" s="871">
        <v>0</v>
      </c>
      <c r="HU7" s="871">
        <v>0</v>
      </c>
      <c r="HV7" s="871">
        <v>0</v>
      </c>
      <c r="HW7" s="871">
        <v>0</v>
      </c>
      <c r="HX7" s="871">
        <v>0</v>
      </c>
      <c r="HY7" s="871">
        <v>0</v>
      </c>
      <c r="HZ7" s="871">
        <v>0</v>
      </c>
      <c r="IA7" s="871">
        <v>0</v>
      </c>
      <c r="IB7" s="871">
        <v>0</v>
      </c>
      <c r="IC7" s="871">
        <v>0</v>
      </c>
      <c r="ID7" s="871"/>
      <c r="IE7" s="871">
        <v>0</v>
      </c>
      <c r="IF7" s="871">
        <v>0</v>
      </c>
      <c r="IG7" s="827"/>
      <c r="IH7" s="871">
        <v>350.00001450799999</v>
      </c>
      <c r="II7" s="871">
        <v>1.9999999999999999E-7</v>
      </c>
      <c r="IJ7" s="871">
        <v>0.29298679999999999</v>
      </c>
      <c r="IK7" s="871">
        <v>75.679338599999994</v>
      </c>
      <c r="IL7" s="871">
        <v>7.0999999999999998E-6</v>
      </c>
      <c r="IM7" s="871">
        <v>7.1239999999999999E-6</v>
      </c>
      <c r="IN7" s="871">
        <v>7.1239999999999999E-6</v>
      </c>
      <c r="IO7" s="825">
        <v>350.246139508</v>
      </c>
      <c r="IP7" s="825">
        <v>0.22530530000000001</v>
      </c>
      <c r="IQ7" s="877">
        <v>0.29300129999999996</v>
      </c>
      <c r="IR7" s="825">
        <v>75.679338599999994</v>
      </c>
    </row>
    <row r="8" spans="1:252" x14ac:dyDescent="0.2">
      <c r="A8" s="869" t="s">
        <v>281</v>
      </c>
      <c r="B8" s="870">
        <v>3886.69959006515</v>
      </c>
      <c r="C8" s="870">
        <v>3932.2413000000001</v>
      </c>
      <c r="D8" s="870">
        <v>1761.6081999999999</v>
      </c>
      <c r="E8" s="870">
        <v>72.693200000000004</v>
      </c>
      <c r="F8" s="519">
        <v>14.6569</v>
      </c>
      <c r="G8" s="519">
        <v>15.65</v>
      </c>
      <c r="H8" s="526">
        <v>15.3</v>
      </c>
      <c r="I8" s="870">
        <v>11173.719085516301</v>
      </c>
      <c r="J8" s="870">
        <v>11970.1628788943</v>
      </c>
      <c r="K8" s="870">
        <v>15277.220151416401</v>
      </c>
      <c r="L8" s="519">
        <v>15121.1343232503</v>
      </c>
      <c r="M8" s="519">
        <v>16632.380975867301</v>
      </c>
      <c r="N8" s="519">
        <v>18192.327434649898</v>
      </c>
      <c r="O8" s="526">
        <v>18227.920504270001</v>
      </c>
      <c r="P8" s="870">
        <v>3137.8969717</v>
      </c>
      <c r="Q8" s="870">
        <v>1446.7973172</v>
      </c>
      <c r="R8" s="519">
        <v>2956.6886</v>
      </c>
      <c r="S8" s="519">
        <v>2663.0277000000001</v>
      </c>
      <c r="T8" s="519">
        <v>1138.9194</v>
      </c>
      <c r="U8" s="519">
        <v>-386.52</v>
      </c>
      <c r="V8" s="526">
        <v>0.25646170000000001</v>
      </c>
      <c r="W8" s="870">
        <v>5581.1975332000002</v>
      </c>
      <c r="X8" s="870">
        <v>3666.8786</v>
      </c>
      <c r="Y8" s="870">
        <v>4669.8414000000002</v>
      </c>
      <c r="Z8" s="870">
        <v>2794.1320587999999</v>
      </c>
      <c r="AA8" s="870">
        <v>1310.5141000000001</v>
      </c>
      <c r="AB8" s="870">
        <v>324.98809999999997</v>
      </c>
      <c r="AC8" s="870">
        <v>132.53</v>
      </c>
      <c r="AD8" s="870">
        <v>23779.513180481452</v>
      </c>
      <c r="AE8" s="871">
        <f>C8+J8+Q8+X8</f>
        <v>21016.080096094298</v>
      </c>
      <c r="AF8" s="872">
        <v>24665.358351416402</v>
      </c>
      <c r="AG8" s="519">
        <v>20650.987282050301</v>
      </c>
      <c r="AH8" s="519">
        <v>19096.471375867302</v>
      </c>
      <c r="AI8" s="525">
        <v>18146.445534649898</v>
      </c>
      <c r="AJ8" s="525">
        <v>18376.006965969998</v>
      </c>
      <c r="AK8" s="875">
        <v>0</v>
      </c>
      <c r="AL8" s="875">
        <v>0</v>
      </c>
      <c r="AM8" s="875">
        <v>0</v>
      </c>
      <c r="AN8" s="875">
        <v>0</v>
      </c>
      <c r="AO8" s="875">
        <v>9.1788153000000001</v>
      </c>
      <c r="AP8" s="871">
        <v>2679.481596353</v>
      </c>
      <c r="AQ8" s="871">
        <v>3407.31986705284</v>
      </c>
      <c r="AR8" s="871">
        <v>4328.5609999999997</v>
      </c>
      <c r="AS8" s="871">
        <v>4975.5345494066596</v>
      </c>
      <c r="AT8" s="871">
        <v>5841.4267604066599</v>
      </c>
      <c r="AU8" s="871">
        <v>7022.7083901420101</v>
      </c>
      <c r="AV8" s="514">
        <v>8238.3817289773706</v>
      </c>
      <c r="AW8" s="871">
        <v>172.01851350000001</v>
      </c>
      <c r="AX8" s="871">
        <v>172.01849999999999</v>
      </c>
      <c r="AY8" s="871">
        <v>172.01849999999999</v>
      </c>
      <c r="AZ8" s="871">
        <v>172.01849999999999</v>
      </c>
      <c r="BA8" s="871">
        <v>172.01849999999999</v>
      </c>
      <c r="BB8" s="871">
        <v>171.96850000000001</v>
      </c>
      <c r="BC8" s="871">
        <v>568.15105600000004</v>
      </c>
      <c r="BD8" s="871">
        <v>776.29657399999996</v>
      </c>
      <c r="BE8" s="871">
        <v>997.32414889999995</v>
      </c>
      <c r="BF8" s="871">
        <v>1154.6478830999999</v>
      </c>
      <c r="BG8" s="871">
        <v>1304.0878041999999</v>
      </c>
      <c r="BH8" s="871">
        <v>1585.7596307000899</v>
      </c>
      <c r="BI8" s="871">
        <v>1662.7798814841699</v>
      </c>
      <c r="BJ8" s="871">
        <v>0</v>
      </c>
      <c r="BK8" s="871">
        <v>0</v>
      </c>
      <c r="BL8" s="871">
        <v>0</v>
      </c>
      <c r="BM8" s="871">
        <v>0</v>
      </c>
      <c r="BN8" s="871">
        <v>0</v>
      </c>
      <c r="BO8" s="871">
        <v>0</v>
      </c>
      <c r="BP8" s="871">
        <v>0</v>
      </c>
      <c r="BQ8" s="871">
        <v>0</v>
      </c>
      <c r="BR8" s="871">
        <v>0.82220170000000004</v>
      </c>
      <c r="BS8" s="871">
        <v>86.538189982299997</v>
      </c>
      <c r="BT8" s="871">
        <v>233.21837932880001</v>
      </c>
      <c r="BU8" s="871">
        <v>359.10290036840001</v>
      </c>
      <c r="BV8" s="871">
        <v>0</v>
      </c>
      <c r="BW8" s="871">
        <v>151.80250000000001</v>
      </c>
      <c r="BX8" s="871">
        <v>836.25120000000004</v>
      </c>
      <c r="BY8" s="871">
        <v>966.91193009000006</v>
      </c>
      <c r="BZ8" s="871">
        <v>1968.8461408799999</v>
      </c>
      <c r="CA8" s="871">
        <v>0</v>
      </c>
      <c r="CB8" s="871">
        <v>884.37300000000005</v>
      </c>
      <c r="CC8" s="871">
        <v>1156.04</v>
      </c>
      <c r="CD8" s="871">
        <v>1376.9664</v>
      </c>
      <c r="CE8" s="871">
        <v>1828.4</v>
      </c>
      <c r="CF8" s="871">
        <v>2515.59</v>
      </c>
      <c r="CG8" s="871">
        <v>2799.4137177779999</v>
      </c>
      <c r="CH8" s="871">
        <v>2728.1079685</v>
      </c>
      <c r="CI8" s="871">
        <v>3274.1436033999998</v>
      </c>
      <c r="CJ8" s="871">
        <v>4087.2146128999998</v>
      </c>
      <c r="CK8" s="871">
        <v>4866.1506616999995</v>
      </c>
      <c r="CL8" s="871">
        <v>5679.5678545000001</v>
      </c>
      <c r="CM8" s="871">
        <v>6980.5519636999998</v>
      </c>
      <c r="CN8" s="871">
        <v>8618.76</v>
      </c>
      <c r="CO8" s="871">
        <v>989.50725179999995</v>
      </c>
      <c r="CP8" s="871">
        <v>1416.3250129</v>
      </c>
      <c r="CQ8" s="871">
        <v>1605.6139635</v>
      </c>
      <c r="CR8" s="871">
        <v>1979.3391406999999</v>
      </c>
      <c r="CS8" s="871">
        <v>2184.0360000000001</v>
      </c>
      <c r="CT8" s="871">
        <v>2503.4866066</v>
      </c>
      <c r="CU8" s="871">
        <v>2955.8513987000001</v>
      </c>
      <c r="CV8" s="871">
        <v>0</v>
      </c>
      <c r="CW8" s="871">
        <v>0</v>
      </c>
      <c r="CX8" s="871">
        <v>0</v>
      </c>
      <c r="CY8" s="871">
        <v>0</v>
      </c>
      <c r="CZ8" s="871">
        <v>0</v>
      </c>
      <c r="DA8" s="871">
        <v>-0.26737250000000001</v>
      </c>
      <c r="DB8" s="871">
        <v>-0.26737250000000001</v>
      </c>
      <c r="DC8" s="871">
        <v>0</v>
      </c>
      <c r="DD8" s="871">
        <v>0</v>
      </c>
      <c r="DE8" s="871">
        <v>99.749700000000004</v>
      </c>
      <c r="DF8" s="871">
        <v>349.125</v>
      </c>
      <c r="DG8" s="871">
        <v>648.37485000000004</v>
      </c>
      <c r="DH8" s="871">
        <v>748.12485000000004</v>
      </c>
      <c r="DI8" s="871">
        <v>748.12485000000004</v>
      </c>
      <c r="DJ8" s="871">
        <v>145.5</v>
      </c>
      <c r="DK8" s="871">
        <v>145.5</v>
      </c>
      <c r="DL8" s="871">
        <v>145.5</v>
      </c>
      <c r="DM8" s="871">
        <v>183</v>
      </c>
      <c r="DN8" s="871">
        <v>240.390963</v>
      </c>
      <c r="DO8" s="871">
        <v>283.31466069999999</v>
      </c>
      <c r="DP8" s="871">
        <v>282.72794329999999</v>
      </c>
      <c r="DQ8" s="871">
        <v>0</v>
      </c>
      <c r="DR8" s="871">
        <v>0</v>
      </c>
      <c r="DS8" s="871">
        <v>0</v>
      </c>
      <c r="DT8" s="871">
        <v>0</v>
      </c>
      <c r="DU8" s="871"/>
      <c r="DV8" s="871">
        <v>20.1666399</v>
      </c>
      <c r="DW8" s="871">
        <v>22.847582299999999</v>
      </c>
      <c r="DX8" s="871">
        <v>23.9526763</v>
      </c>
      <c r="DY8" s="871">
        <v>3.5997287</v>
      </c>
      <c r="DZ8" s="871">
        <v>0</v>
      </c>
      <c r="EA8" s="871">
        <v>92.366144000000006</v>
      </c>
      <c r="EB8" s="871">
        <v>146.08814419999999</v>
      </c>
      <c r="EC8" s="871">
        <v>904.56197029999998</v>
      </c>
      <c r="ED8" s="871">
        <v>1121.905449394</v>
      </c>
      <c r="EE8" s="871">
        <v>1153.5649063139999</v>
      </c>
      <c r="EF8" s="871">
        <v>1350.4246336414401</v>
      </c>
      <c r="EG8" s="871">
        <v>1594.62359177758</v>
      </c>
      <c r="EH8" s="871">
        <v>1802.74255853154</v>
      </c>
      <c r="EI8" s="871">
        <v>2048.01723987275</v>
      </c>
      <c r="EJ8" s="871">
        <v>258.18098529999997</v>
      </c>
      <c r="EK8" s="871">
        <v>315.22905309999999</v>
      </c>
      <c r="EL8" s="871">
        <v>575.52597890000004</v>
      </c>
      <c r="EM8" s="871">
        <v>696.72838520000005</v>
      </c>
      <c r="EN8" s="871">
        <v>721.2751025</v>
      </c>
      <c r="EO8" s="871">
        <v>879.55448379999996</v>
      </c>
      <c r="EP8" s="871">
        <v>1010.6383843999999</v>
      </c>
      <c r="EQ8" s="871">
        <v>1120.0999999999999</v>
      </c>
      <c r="ER8" s="871">
        <v>1332.6</v>
      </c>
      <c r="ES8" s="871">
        <v>1332.6</v>
      </c>
      <c r="ET8" s="871">
        <v>1608.3784121559499</v>
      </c>
      <c r="EU8" s="871">
        <v>1998.58833277294</v>
      </c>
      <c r="EV8" s="871">
        <v>2520.6307327729401</v>
      </c>
      <c r="EW8" s="871">
        <v>2658.27213277294</v>
      </c>
      <c r="EX8" s="871">
        <v>692.70182509999995</v>
      </c>
      <c r="EY8" s="871">
        <v>881.81215559999998</v>
      </c>
      <c r="EZ8" s="871">
        <v>1158.2225177</v>
      </c>
      <c r="FA8" s="871">
        <v>1683.6638476000001</v>
      </c>
      <c r="FB8" s="871">
        <v>1736.8291744000001</v>
      </c>
      <c r="FC8" s="871">
        <v>1893.8466398</v>
      </c>
      <c r="FD8" s="871">
        <v>2098.09</v>
      </c>
      <c r="FE8" s="871">
        <v>432.27079777</v>
      </c>
      <c r="FF8" s="871">
        <v>550.6991104</v>
      </c>
      <c r="FG8" s="871">
        <v>807.40737639999998</v>
      </c>
      <c r="FH8" s="871">
        <v>1094.4912131000001</v>
      </c>
      <c r="FI8" s="871">
        <v>1542.1398434</v>
      </c>
      <c r="FJ8" s="871">
        <v>1989.9384520999999</v>
      </c>
      <c r="FK8" s="871">
        <v>2444.0835374998501</v>
      </c>
      <c r="FL8" s="871">
        <v>85.8</v>
      </c>
      <c r="FM8" s="871">
        <v>85.8</v>
      </c>
      <c r="FN8" s="872">
        <v>381.92951099999999</v>
      </c>
      <c r="FO8" s="872">
        <v>517.46895610000001</v>
      </c>
      <c r="FP8" s="872">
        <v>637.406744</v>
      </c>
      <c r="FQ8" s="872">
        <v>646.76887260000001</v>
      </c>
      <c r="FR8" s="872">
        <v>760.57367650000003</v>
      </c>
      <c r="FS8" s="871">
        <v>11327.854369140217</v>
      </c>
      <c r="FT8" s="871">
        <v>15488.457611927692</v>
      </c>
      <c r="FU8" s="871">
        <v>18025.224891914</v>
      </c>
      <c r="FV8" s="871">
        <v>22164.162013104047</v>
      </c>
      <c r="FW8" s="871">
        <v>27051.954910939479</v>
      </c>
      <c r="FX8" s="871">
        <v>32837.215422365371</v>
      </c>
      <c r="FY8" s="871">
        <v>38808.663119533478</v>
      </c>
      <c r="FZ8" s="527">
        <v>2443.4931929350901</v>
      </c>
      <c r="GA8" s="521">
        <v>2767.261294378</v>
      </c>
      <c r="GB8" s="876">
        <v>3362.9301229090001</v>
      </c>
      <c r="GC8" s="870">
        <v>3767.0952701373999</v>
      </c>
      <c r="GD8" s="870">
        <v>3943.7983316004002</v>
      </c>
      <c r="GE8" s="870">
        <v>4433.9935421004002</v>
      </c>
      <c r="GF8" s="870">
        <v>5172.2957813000003</v>
      </c>
      <c r="GG8" s="870">
        <v>1979.3484000000001</v>
      </c>
      <c r="GH8" s="870">
        <v>2169.1948240000002</v>
      </c>
      <c r="GI8" s="870">
        <v>2237.1120470000001</v>
      </c>
      <c r="GJ8" s="870">
        <v>2463.4114657999999</v>
      </c>
      <c r="GK8" s="870">
        <v>2714.9180311999999</v>
      </c>
      <c r="GL8" s="519">
        <v>3175.2229272</v>
      </c>
      <c r="GM8" s="519">
        <v>3890.884912</v>
      </c>
      <c r="GN8" s="870">
        <v>4422.8415929350904</v>
      </c>
      <c r="GO8" s="870">
        <v>4936.4561183780006</v>
      </c>
      <c r="GP8" s="870">
        <v>5600.0421699090002</v>
      </c>
      <c r="GQ8" s="870">
        <v>6230.5067359373998</v>
      </c>
      <c r="GR8" s="870">
        <v>6658.7163628004</v>
      </c>
      <c r="GS8" s="870">
        <v>7609.2164693003997</v>
      </c>
      <c r="GT8" s="870">
        <v>9063.1806933000007</v>
      </c>
      <c r="GU8" s="871">
        <v>147.05882296999999</v>
      </c>
      <c r="GV8" s="871">
        <v>247.61979779999999</v>
      </c>
      <c r="GW8" s="871">
        <v>492.97345489999998</v>
      </c>
      <c r="GX8" s="871">
        <v>762.14419180000004</v>
      </c>
      <c r="GY8" s="871">
        <v>1020.6057323</v>
      </c>
      <c r="GZ8" s="871">
        <v>1382.8811719</v>
      </c>
      <c r="HA8" s="871">
        <v>0</v>
      </c>
      <c r="HB8" s="871">
        <v>0</v>
      </c>
      <c r="HC8" s="871">
        <v>0</v>
      </c>
      <c r="HD8" s="871">
        <v>13.988716999999999</v>
      </c>
      <c r="HE8" s="871">
        <v>55.485551899999997</v>
      </c>
      <c r="HF8" s="871">
        <v>291.14686239999997</v>
      </c>
      <c r="HG8" s="871">
        <v>380.63561700000002</v>
      </c>
      <c r="HH8" s="871">
        <v>258.77925549999998</v>
      </c>
      <c r="HI8" s="871">
        <v>258.77925549999998</v>
      </c>
      <c r="HJ8" s="871">
        <v>260.42914869999998</v>
      </c>
      <c r="HK8" s="871">
        <v>263.85355490000001</v>
      </c>
      <c r="HL8" s="871">
        <v>555.84005239999999</v>
      </c>
      <c r="HM8" s="871">
        <v>195.12011630000001</v>
      </c>
      <c r="HN8" s="871">
        <v>322.581256338</v>
      </c>
      <c r="HO8" s="871">
        <v>322.581256338</v>
      </c>
      <c r="HP8" s="871">
        <v>327.10399256199997</v>
      </c>
      <c r="HQ8" s="871">
        <v>329.86366914799999</v>
      </c>
      <c r="HR8" s="871">
        <v>329.86366914799999</v>
      </c>
      <c r="HS8" s="871">
        <v>354.14640297585902</v>
      </c>
      <c r="HT8" s="871">
        <v>0</v>
      </c>
      <c r="HU8" s="871">
        <v>0</v>
      </c>
      <c r="HV8" s="871">
        <v>0</v>
      </c>
      <c r="HW8" s="871">
        <v>0</v>
      </c>
      <c r="HX8" s="871">
        <v>0</v>
      </c>
      <c r="HY8" s="871">
        <v>56.787230899999997</v>
      </c>
      <c r="HZ8" s="871">
        <v>125.402350552</v>
      </c>
      <c r="IA8" s="871">
        <v>0</v>
      </c>
      <c r="IB8" s="871">
        <v>0</v>
      </c>
      <c r="IC8" s="871">
        <v>0</v>
      </c>
      <c r="ID8" s="871"/>
      <c r="IE8" s="871">
        <v>331.75</v>
      </c>
      <c r="IF8" s="871">
        <v>574.55917626600001</v>
      </c>
      <c r="IG8" s="871">
        <v>574.55917629999999</v>
      </c>
      <c r="IH8" s="871">
        <v>687.43175329630003</v>
      </c>
      <c r="II8" s="871">
        <v>1413.1602796520101</v>
      </c>
      <c r="IJ8" s="871">
        <v>3675.7850893999998</v>
      </c>
      <c r="IK8" s="871">
        <v>5718.0594206264504</v>
      </c>
      <c r="IL8" s="871">
        <v>785.64937179999993</v>
      </c>
      <c r="IM8" s="871">
        <v>1302.9785110739999</v>
      </c>
      <c r="IN8" s="871">
        <v>1405.1893791379998</v>
      </c>
      <c r="IO8" s="825">
        <v>1785.3514726583001</v>
      </c>
      <c r="IP8" s="825">
        <v>3116.4937449000099</v>
      </c>
      <c r="IQ8" s="877">
        <v>5374.1885841479998</v>
      </c>
      <c r="IR8" s="825">
        <v>7961.1249630543098</v>
      </c>
    </row>
    <row r="9" spans="1:252" ht="25.5" x14ac:dyDescent="0.2">
      <c r="A9" s="869" t="s">
        <v>282</v>
      </c>
      <c r="B9" s="870">
        <v>5182.5016206</v>
      </c>
      <c r="C9" s="870">
        <v>5764.8579</v>
      </c>
      <c r="D9" s="870">
        <v>3852.4495999999999</v>
      </c>
      <c r="E9" s="870">
        <v>2606.9402</v>
      </c>
      <c r="F9" s="519">
        <v>-1657.2165</v>
      </c>
      <c r="G9" s="519">
        <v>1788.6499999999999</v>
      </c>
      <c r="H9" s="519">
        <v>2692.39</v>
      </c>
      <c r="I9" s="870">
        <v>19073.275734710998</v>
      </c>
      <c r="J9" s="870">
        <v>23692.885320309</v>
      </c>
      <c r="K9" s="870">
        <v>22888.257172343001</v>
      </c>
      <c r="L9" s="519">
        <v>22260.578236303001</v>
      </c>
      <c r="M9" s="519">
        <v>10245.757049615</v>
      </c>
      <c r="N9" s="519">
        <v>18664.785391083999</v>
      </c>
      <c r="O9" s="519">
        <v>19959.609798201029</v>
      </c>
      <c r="P9" s="870">
        <v>8424.4225136999994</v>
      </c>
      <c r="Q9" s="870">
        <v>10329.805962799999</v>
      </c>
      <c r="R9" s="519">
        <v>8657.3737999999994</v>
      </c>
      <c r="S9" s="519">
        <v>7585.6563333000004</v>
      </c>
      <c r="T9" s="519">
        <v>2261.0019000000002</v>
      </c>
      <c r="U9" s="519">
        <v>4769.1400000000003</v>
      </c>
      <c r="V9" s="519">
        <v>5665.2562619</v>
      </c>
      <c r="W9" s="870">
        <v>4135.8644854000004</v>
      </c>
      <c r="X9" s="870">
        <v>5695.3581000000004</v>
      </c>
      <c r="Y9" s="870">
        <v>4198.6705000000002</v>
      </c>
      <c r="Z9" s="870">
        <v>3454.1962193999998</v>
      </c>
      <c r="AA9" s="870">
        <v>-617.64459999999997</v>
      </c>
      <c r="AB9" s="870">
        <v>2736.1623</v>
      </c>
      <c r="AC9" s="870">
        <f>206.45+2959.91</f>
        <v>3166.3599999999997</v>
      </c>
      <c r="AD9" s="870">
        <v>36816.064354410999</v>
      </c>
      <c r="AE9" s="871">
        <f>C9+J9+Q9+X9</f>
        <v>45482.907283108994</v>
      </c>
      <c r="AF9" s="872">
        <v>39596.751072343002</v>
      </c>
      <c r="AG9" s="873">
        <v>35907.370989003</v>
      </c>
      <c r="AH9" s="873">
        <v>10231.897849615001</v>
      </c>
      <c r="AI9" s="874">
        <v>27958.737691083999</v>
      </c>
      <c r="AJ9" s="874">
        <v>31483.616060101027</v>
      </c>
      <c r="AK9" s="875">
        <v>5.1000000000000004E-3</v>
      </c>
      <c r="AL9" s="875">
        <v>1.32E-2</v>
      </c>
      <c r="AM9" s="875">
        <v>1.7801449999999999E-3</v>
      </c>
      <c r="AN9" s="875">
        <v>3.83994E-2</v>
      </c>
      <c r="AO9" s="875">
        <v>6.3854000000000003E-3</v>
      </c>
      <c r="AP9" s="879">
        <v>0</v>
      </c>
      <c r="AQ9" s="871">
        <v>17.078748900000001</v>
      </c>
      <c r="AR9" s="871">
        <v>27.5748</v>
      </c>
      <c r="AS9" s="871">
        <v>78.246300000000005</v>
      </c>
      <c r="AT9" s="871">
        <v>-309.54739999999998</v>
      </c>
      <c r="AU9" s="871">
        <v>391.52589999999998</v>
      </c>
      <c r="AV9" s="871">
        <v>473.6071</v>
      </c>
      <c r="AW9" s="871">
        <v>0.91657259999999996</v>
      </c>
      <c r="AX9" s="871">
        <v>1.633857879</v>
      </c>
      <c r="AY9" s="871">
        <v>5.7620769340000502</v>
      </c>
      <c r="AZ9" s="871">
        <v>-3.4017433829999999</v>
      </c>
      <c r="BA9" s="871">
        <v>-0.47311035599999401</v>
      </c>
      <c r="BB9" s="871">
        <v>5.2007065150000003</v>
      </c>
      <c r="BC9" s="871">
        <v>-14.1016329</v>
      </c>
      <c r="BD9" s="871">
        <v>20.343900000000001</v>
      </c>
      <c r="BE9" s="871">
        <v>14.2017489</v>
      </c>
      <c r="BF9" s="871">
        <v>14.447108399999999</v>
      </c>
      <c r="BG9" s="871">
        <v>-28.813887600000001</v>
      </c>
      <c r="BH9" s="871">
        <v>26.921612400000001</v>
      </c>
      <c r="BI9" s="871">
        <v>29.6325</v>
      </c>
      <c r="BJ9" s="871">
        <v>-0.20661450000000001</v>
      </c>
      <c r="BK9" s="871">
        <v>-0.73024800000000001</v>
      </c>
      <c r="BL9" s="871">
        <v>-2.2803621000000001</v>
      </c>
      <c r="BM9" s="871">
        <v>2.2940174</v>
      </c>
      <c r="BN9" s="871">
        <v>0.1417119</v>
      </c>
      <c r="BO9" s="871">
        <v>-2.0488013</v>
      </c>
      <c r="BP9" s="871">
        <v>4.8948257999999996</v>
      </c>
      <c r="BQ9" s="871">
        <v>-6.0129999999999999</v>
      </c>
      <c r="BR9" s="871">
        <v>-7.3030381000000002</v>
      </c>
      <c r="BS9" s="871">
        <v>-23.162223699999998</v>
      </c>
      <c r="BT9" s="871">
        <v>0.2021502238</v>
      </c>
      <c r="BU9" s="871">
        <v>0.23550791000000001</v>
      </c>
      <c r="BV9" s="871">
        <v>2.9100000000000001E-2</v>
      </c>
      <c r="BW9" s="871">
        <v>-0.18107899999999999</v>
      </c>
      <c r="BX9" s="871">
        <v>-17.688300000000002</v>
      </c>
      <c r="BY9" s="871">
        <v>53.126845420000002</v>
      </c>
      <c r="BZ9" s="871">
        <v>84.923599999999993</v>
      </c>
      <c r="CA9" s="871">
        <v>0.30730000000000002</v>
      </c>
      <c r="CB9" s="871">
        <v>50.927599999999998</v>
      </c>
      <c r="CC9" s="871">
        <v>19.407399999999999</v>
      </c>
      <c r="CD9" s="871">
        <v>-27.479100000000003</v>
      </c>
      <c r="CE9" s="871">
        <v>-75.604500000000002</v>
      </c>
      <c r="CF9" s="871">
        <v>26.396599999999999</v>
      </c>
      <c r="CG9" s="871">
        <v>65.287792201999991</v>
      </c>
      <c r="CH9" s="871">
        <v>309.01302340000001</v>
      </c>
      <c r="CI9" s="871">
        <v>677.24378890000003</v>
      </c>
      <c r="CJ9" s="871">
        <v>733.87161470000001</v>
      </c>
      <c r="CK9" s="871">
        <v>338.4212551</v>
      </c>
      <c r="CL9" s="871">
        <v>-428.62975669999997</v>
      </c>
      <c r="CM9" s="871">
        <v>680.51150240000004</v>
      </c>
      <c r="CN9" s="871">
        <v>359.3</v>
      </c>
      <c r="CO9" s="871">
        <v>-0.64597910000000003</v>
      </c>
      <c r="CP9" s="871">
        <v>-0.1875117</v>
      </c>
      <c r="CQ9" s="871">
        <v>-0.57752890000000001</v>
      </c>
      <c r="CR9" s="871">
        <v>-0.84381930000000005</v>
      </c>
      <c r="CS9" s="871">
        <v>-2.6042000000000001</v>
      </c>
      <c r="CT9" s="871">
        <v>-0.70232939999999999</v>
      </c>
      <c r="CU9" s="871">
        <v>1.3285179</v>
      </c>
      <c r="CV9" s="871">
        <v>0</v>
      </c>
      <c r="CW9" s="871">
        <v>0</v>
      </c>
      <c r="CX9" s="871">
        <v>0</v>
      </c>
      <c r="CY9" s="871">
        <v>0.53222349999999996</v>
      </c>
      <c r="CZ9" s="871">
        <v>-5.1726000000000001</v>
      </c>
      <c r="DA9" s="871">
        <v>-2.76E-2</v>
      </c>
      <c r="DB9" s="871">
        <v>1.6818</v>
      </c>
      <c r="DC9" s="871">
        <v>3.9666991999999998E-2</v>
      </c>
      <c r="DD9" s="871">
        <v>3.9624098000000003E-2</v>
      </c>
      <c r="DE9" s="871">
        <v>9.7762301999999995E-2</v>
      </c>
      <c r="DF9" s="871">
        <v>0.166113998516253</v>
      </c>
      <c r="DG9" s="871">
        <v>6.0981133E-2</v>
      </c>
      <c r="DH9" s="871">
        <v>0.32289796399999998</v>
      </c>
      <c r="DI9" s="871">
        <v>0.29139999999999999</v>
      </c>
      <c r="DJ9" s="871">
        <v>4.3400000000000001E-2</v>
      </c>
      <c r="DK9" s="871">
        <v>3.85E-2</v>
      </c>
      <c r="DL9" s="871">
        <v>0.16650000000000001</v>
      </c>
      <c r="DM9" s="871">
        <v>1.32944E-2</v>
      </c>
      <c r="DN9" s="871">
        <v>0.11913899999999999</v>
      </c>
      <c r="DO9" s="871">
        <v>0.10851180000000001</v>
      </c>
      <c r="DP9" s="871">
        <v>9.1499999999999998E-2</v>
      </c>
      <c r="DQ9" s="871">
        <v>9.8173110000000004E-3</v>
      </c>
      <c r="DR9" s="871">
        <v>1.4415499999999999E-2</v>
      </c>
      <c r="DS9" s="871">
        <v>1.26067E-2</v>
      </c>
      <c r="DT9" s="871">
        <v>1.8018683000000001E-2</v>
      </c>
      <c r="DU9" s="871"/>
      <c r="DV9" s="871">
        <v>0.2228744</v>
      </c>
      <c r="DW9" s="871">
        <v>0.2058584</v>
      </c>
      <c r="DX9" s="871">
        <v>0.1012026</v>
      </c>
      <c r="DY9" s="871">
        <v>0.27870689999999998</v>
      </c>
      <c r="DZ9" s="871">
        <v>0.28736479999999998</v>
      </c>
      <c r="EA9" s="871">
        <v>0.12514500000000001</v>
      </c>
      <c r="EB9" s="871">
        <v>1.8551399999999999E-2</v>
      </c>
      <c r="EC9" s="871">
        <v>-13.9547387</v>
      </c>
      <c r="ED9" s="871">
        <v>9.2321071999999997</v>
      </c>
      <c r="EE9" s="871">
        <v>-7.8233971000000002</v>
      </c>
      <c r="EF9" s="871">
        <v>-35.726835100000002</v>
      </c>
      <c r="EG9" s="871">
        <v>-98.513078899999996</v>
      </c>
      <c r="EH9" s="871">
        <v>4.3824831</v>
      </c>
      <c r="EI9" s="871">
        <v>52.9500964</v>
      </c>
      <c r="EJ9" s="871">
        <v>-2.2375121</v>
      </c>
      <c r="EK9" s="871">
        <v>10.4558388</v>
      </c>
      <c r="EL9" s="871">
        <v>-0.76938899999999999</v>
      </c>
      <c r="EM9" s="871">
        <v>-11.6757194</v>
      </c>
      <c r="EN9" s="871">
        <v>-107.4682169</v>
      </c>
      <c r="EO9" s="871">
        <v>75.447928099999999</v>
      </c>
      <c r="EP9" s="871">
        <v>118.8992465</v>
      </c>
      <c r="EQ9" s="871">
        <v>-4.005913412</v>
      </c>
      <c r="ER9" s="871">
        <v>-0.82626359900000002</v>
      </c>
      <c r="ES9" s="871">
        <v>-7.4943121000000001</v>
      </c>
      <c r="ET9" s="871">
        <v>-3.401942021</v>
      </c>
      <c r="EU9" s="871">
        <v>-83.309243499999994</v>
      </c>
      <c r="EV9" s="871">
        <v>79.442400000000006</v>
      </c>
      <c r="EW9" s="871">
        <v>98.806600000000003</v>
      </c>
      <c r="EX9" s="871">
        <v>-2.6441699999999999E-2</v>
      </c>
      <c r="EY9" s="871">
        <v>2.1797366</v>
      </c>
      <c r="EZ9" s="871">
        <v>-7.3510453</v>
      </c>
      <c r="FA9" s="871">
        <v>-3.3763926999999998</v>
      </c>
      <c r="FB9" s="871">
        <v>-32.514174400000002</v>
      </c>
      <c r="FC9" s="871">
        <v>-9.5298602999999993</v>
      </c>
      <c r="FD9" s="871">
        <v>-14.25</v>
      </c>
      <c r="FE9" s="871">
        <v>-17.452033799999999</v>
      </c>
      <c r="FF9" s="871">
        <v>57.877746000000002</v>
      </c>
      <c r="FG9" s="871">
        <v>49.874541399999998</v>
      </c>
      <c r="FH9" s="871">
        <v>35.818714700000001</v>
      </c>
      <c r="FI9" s="871">
        <v>-326.79173200000002</v>
      </c>
      <c r="FJ9" s="871">
        <v>492.1750553</v>
      </c>
      <c r="FK9" s="871">
        <v>1046.4889195999999</v>
      </c>
      <c r="FL9" s="871">
        <v>-2.5131828000000001</v>
      </c>
      <c r="FM9" s="871">
        <v>-0.30222890000000002</v>
      </c>
      <c r="FN9" s="872">
        <v>-1.9901228</v>
      </c>
      <c r="FO9" s="872">
        <v>1.0276152999999999</v>
      </c>
      <c r="FP9" s="872">
        <v>-7.0997377999999998</v>
      </c>
      <c r="FQ9" s="872">
        <v>2.7282587</v>
      </c>
      <c r="FR9" s="872">
        <v>3.2092589</v>
      </c>
      <c r="FS9" s="871">
        <v>235.40104543400003</v>
      </c>
      <c r="FT9" s="871">
        <v>861.15141925700004</v>
      </c>
      <c r="FU9" s="871">
        <v>818.87625444700006</v>
      </c>
      <c r="FV9" s="871">
        <v>374.85903079451623</v>
      </c>
      <c r="FW9" s="871">
        <v>-1549.1906521779997</v>
      </c>
      <c r="FX9" s="871">
        <v>1830.7086427057998</v>
      </c>
      <c r="FY9" s="871">
        <v>2322.6504881119995</v>
      </c>
      <c r="FZ9" s="520">
        <v>-17.6831</v>
      </c>
      <c r="GA9" s="521">
        <v>9.6521589999999993</v>
      </c>
      <c r="GB9" s="876">
        <v>18.378255391</v>
      </c>
      <c r="GC9" s="870">
        <v>11.6289847</v>
      </c>
      <c r="GD9" s="870">
        <v>-58.740900099999998</v>
      </c>
      <c r="GE9" s="870">
        <v>-7.8132206000000002</v>
      </c>
      <c r="GF9" s="870">
        <v>15.243974300000042</v>
      </c>
      <c r="GG9" s="870">
        <v>94.305786400000002</v>
      </c>
      <c r="GH9" s="870">
        <v>302.2968156</v>
      </c>
      <c r="GI9" s="870">
        <v>320.36985699999997</v>
      </c>
      <c r="GJ9" s="870">
        <v>333.71713560000001</v>
      </c>
      <c r="GK9" s="870">
        <v>-98.053611799999999</v>
      </c>
      <c r="GL9" s="870">
        <v>641.96912299999997</v>
      </c>
      <c r="GM9" s="870">
        <v>693.04489000000001</v>
      </c>
      <c r="GN9" s="870">
        <v>76.622686400000006</v>
      </c>
      <c r="GO9" s="870">
        <v>311.94897459999999</v>
      </c>
      <c r="GP9" s="870">
        <v>338.74811239099995</v>
      </c>
      <c r="GQ9" s="870">
        <v>345.3461203</v>
      </c>
      <c r="GR9" s="870">
        <v>-156.7945119</v>
      </c>
      <c r="GS9" s="870">
        <v>634.15590239999995</v>
      </c>
      <c r="GT9" s="870">
        <v>708.2888643</v>
      </c>
      <c r="GU9" s="871">
        <v>3.1255078999999998E-2</v>
      </c>
      <c r="GV9" s="871">
        <v>8.2094000000000004E-3</v>
      </c>
      <c r="GW9" s="871">
        <v>3.3208517E-2</v>
      </c>
      <c r="GX9" s="871">
        <v>0.218017138</v>
      </c>
      <c r="GY9" s="871">
        <v>0.318269776000001</v>
      </c>
      <c r="GZ9" s="871">
        <v>6.5080523000000404E-2</v>
      </c>
      <c r="HA9" s="871">
        <v>0</v>
      </c>
      <c r="HB9" s="871">
        <v>0</v>
      </c>
      <c r="HC9" s="871">
        <v>-0.64974120000000002</v>
      </c>
      <c r="HD9" s="871">
        <v>-1.6550244999999999</v>
      </c>
      <c r="HE9" s="871">
        <v>-2.6788992</v>
      </c>
      <c r="HF9" s="871">
        <v>-1.7038257000000001</v>
      </c>
      <c r="HG9" s="871">
        <v>-0.45967439999999998</v>
      </c>
      <c r="HH9" s="871">
        <v>0.25220540000000002</v>
      </c>
      <c r="HI9" s="871">
        <v>7.8107499999999996E-2</v>
      </c>
      <c r="HJ9" s="871">
        <v>0.1613948</v>
      </c>
      <c r="HK9" s="871">
        <v>0.15839329999999999</v>
      </c>
      <c r="HL9" s="871">
        <v>8.7890300000000005E-2</v>
      </c>
      <c r="HM9" s="871">
        <v>1.9062699999999998E-2</v>
      </c>
      <c r="HN9" s="871">
        <v>1.5731819000000001E-2</v>
      </c>
      <c r="HO9" s="871">
        <v>1.5457350999999999E-2</v>
      </c>
      <c r="HP9" s="871">
        <v>3.4147497999999998E-2</v>
      </c>
      <c r="HQ9" s="871">
        <v>6.5221391000000004E-2</v>
      </c>
      <c r="HR9" s="871">
        <v>4.2442390000000003E-2</v>
      </c>
      <c r="HS9" s="871">
        <v>2.6980555999999999E-2</v>
      </c>
      <c r="HT9" s="871">
        <v>0.30503942699999997</v>
      </c>
      <c r="HU9" s="871">
        <v>0.2636328</v>
      </c>
      <c r="HV9" s="871">
        <v>0.10754391200000001</v>
      </c>
      <c r="HW9" s="871">
        <v>4.0640647000000002E-2</v>
      </c>
      <c r="HX9" s="871">
        <v>1.8282096999931299E-2</v>
      </c>
      <c r="HY9" s="871">
        <v>0.13642460000000001</v>
      </c>
      <c r="HZ9" s="871">
        <v>-1.993545841</v>
      </c>
      <c r="IA9" s="871">
        <v>0</v>
      </c>
      <c r="IB9" s="871">
        <v>9.5400000000000013E-2</v>
      </c>
      <c r="IC9" s="871">
        <v>0</v>
      </c>
      <c r="ID9" s="871"/>
      <c r="IE9" s="871">
        <v>0</v>
      </c>
      <c r="IF9" s="871">
        <v>0</v>
      </c>
      <c r="IG9" s="871">
        <v>0</v>
      </c>
      <c r="IH9" s="871">
        <v>0</v>
      </c>
      <c r="II9" s="871">
        <v>3.0883346999999999</v>
      </c>
      <c r="IJ9" s="871">
        <v>-7.5928100000000001</v>
      </c>
      <c r="IK9" s="871">
        <v>26.684953799999999</v>
      </c>
      <c r="IL9" s="871">
        <v>0.57630752699999999</v>
      </c>
      <c r="IM9" s="871">
        <v>0.388727198</v>
      </c>
      <c r="IN9" s="871">
        <v>-0.35713573700000001</v>
      </c>
      <c r="IO9" s="825">
        <v>-1.3886345379999998</v>
      </c>
      <c r="IP9" s="825">
        <v>0.8942464259999312</v>
      </c>
      <c r="IQ9" s="877">
        <v>-8.7994989339999989</v>
      </c>
      <c r="IR9" s="825">
        <v>24.323794637999999</v>
      </c>
    </row>
    <row r="10" spans="1:252" x14ac:dyDescent="0.2">
      <c r="A10" s="869" t="s">
        <v>283</v>
      </c>
      <c r="B10" s="870">
        <v>0</v>
      </c>
      <c r="C10" s="870">
        <v>895</v>
      </c>
      <c r="D10" s="870">
        <v>895</v>
      </c>
      <c r="E10" s="519">
        <v>895</v>
      </c>
      <c r="F10" s="519">
        <v>895</v>
      </c>
      <c r="G10" s="519">
        <v>895</v>
      </c>
      <c r="H10" s="519">
        <v>895</v>
      </c>
      <c r="I10" s="870">
        <v>0</v>
      </c>
      <c r="J10" s="870">
        <v>0</v>
      </c>
      <c r="K10" s="870">
        <v>0</v>
      </c>
      <c r="L10" s="519">
        <v>0</v>
      </c>
      <c r="M10" s="519">
        <v>0</v>
      </c>
      <c r="N10" s="519">
        <v>0</v>
      </c>
      <c r="O10" s="519">
        <v>0</v>
      </c>
      <c r="P10" s="870">
        <v>0</v>
      </c>
      <c r="Q10" s="870">
        <v>0</v>
      </c>
      <c r="R10" s="519">
        <v>0</v>
      </c>
      <c r="S10" s="519">
        <v>750</v>
      </c>
      <c r="T10" s="519">
        <v>750</v>
      </c>
      <c r="U10" s="519">
        <v>750</v>
      </c>
      <c r="V10" s="519">
        <v>750</v>
      </c>
      <c r="W10" s="870">
        <v>0</v>
      </c>
      <c r="X10" s="870">
        <v>0</v>
      </c>
      <c r="Y10" s="870">
        <v>900</v>
      </c>
      <c r="Z10" s="519">
        <v>900</v>
      </c>
      <c r="AA10" s="519">
        <v>900</v>
      </c>
      <c r="AB10" s="519">
        <v>900</v>
      </c>
      <c r="AC10" s="519">
        <v>900</v>
      </c>
      <c r="AD10" s="870">
        <v>0</v>
      </c>
      <c r="AE10" s="871">
        <f>C10+J10+Q10+X10</f>
        <v>895</v>
      </c>
      <c r="AF10" s="872">
        <v>1795</v>
      </c>
      <c r="AG10" s="873">
        <v>2545</v>
      </c>
      <c r="AH10" s="873">
        <v>2545</v>
      </c>
      <c r="AI10" s="874">
        <v>2545</v>
      </c>
      <c r="AJ10" s="874">
        <v>2545</v>
      </c>
      <c r="AK10" s="875">
        <v>0</v>
      </c>
      <c r="AL10" s="875">
        <v>0</v>
      </c>
      <c r="AM10" s="875">
        <v>0</v>
      </c>
      <c r="AN10" s="875">
        <v>0</v>
      </c>
      <c r="AO10" s="875">
        <v>0</v>
      </c>
      <c r="AP10" s="879">
        <v>0</v>
      </c>
      <c r="AQ10" s="871">
        <v>0</v>
      </c>
      <c r="AR10" s="871">
        <v>0</v>
      </c>
      <c r="AS10" s="871">
        <v>0</v>
      </c>
      <c r="AT10" s="871">
        <v>0</v>
      </c>
      <c r="AU10" s="871">
        <v>0</v>
      </c>
      <c r="AV10" s="871">
        <v>0</v>
      </c>
      <c r="AW10" s="871">
        <v>0</v>
      </c>
      <c r="AX10" s="871">
        <v>0</v>
      </c>
      <c r="AY10" s="871">
        <v>220</v>
      </c>
      <c r="AZ10" s="871">
        <v>220</v>
      </c>
      <c r="BA10" s="871">
        <v>255</v>
      </c>
      <c r="BB10" s="871">
        <v>255</v>
      </c>
      <c r="BC10" s="871">
        <v>0</v>
      </c>
      <c r="BD10" s="871">
        <v>0</v>
      </c>
      <c r="BE10" s="871">
        <v>100</v>
      </c>
      <c r="BF10" s="871">
        <v>100</v>
      </c>
      <c r="BG10" s="871">
        <v>100</v>
      </c>
      <c r="BH10" s="871">
        <v>100</v>
      </c>
      <c r="BI10" s="871">
        <v>100</v>
      </c>
      <c r="BJ10" s="871">
        <v>0</v>
      </c>
      <c r="BK10" s="871">
        <v>0</v>
      </c>
      <c r="BL10" s="871">
        <v>0</v>
      </c>
      <c r="BM10" s="871">
        <v>0</v>
      </c>
      <c r="BN10" s="871">
        <v>0</v>
      </c>
      <c r="BO10" s="871">
        <v>0</v>
      </c>
      <c r="BP10" s="871">
        <v>0</v>
      </c>
      <c r="BQ10" s="871">
        <v>0</v>
      </c>
      <c r="BR10" s="871">
        <v>0</v>
      </c>
      <c r="BS10" s="871">
        <v>0</v>
      </c>
      <c r="BT10" s="871">
        <v>0</v>
      </c>
      <c r="BU10" s="871">
        <v>0</v>
      </c>
      <c r="BV10" s="871">
        <v>0</v>
      </c>
      <c r="BW10" s="871">
        <v>0</v>
      </c>
      <c r="BX10" s="871"/>
      <c r="BY10" s="871">
        <v>0</v>
      </c>
      <c r="BZ10" s="871">
        <v>0</v>
      </c>
      <c r="CA10" s="871">
        <v>0</v>
      </c>
      <c r="CB10" s="871">
        <v>350</v>
      </c>
      <c r="CC10" s="871">
        <v>350</v>
      </c>
      <c r="CD10" s="871">
        <v>350</v>
      </c>
      <c r="CE10" s="871">
        <v>350</v>
      </c>
      <c r="CF10" s="871">
        <v>504</v>
      </c>
      <c r="CG10" s="871">
        <v>529</v>
      </c>
      <c r="CH10" s="871">
        <v>0</v>
      </c>
      <c r="CI10" s="871">
        <v>485</v>
      </c>
      <c r="CJ10" s="871">
        <v>485</v>
      </c>
      <c r="CK10" s="871">
        <v>485</v>
      </c>
      <c r="CL10" s="871">
        <v>485</v>
      </c>
      <c r="CM10" s="871">
        <v>485</v>
      </c>
      <c r="CN10" s="871">
        <v>255</v>
      </c>
      <c r="CO10" s="871">
        <v>0</v>
      </c>
      <c r="CP10" s="871">
        <v>0</v>
      </c>
      <c r="CQ10" s="871">
        <v>0</v>
      </c>
      <c r="CR10" s="871">
        <v>0</v>
      </c>
      <c r="CS10" s="871"/>
      <c r="CT10" s="871">
        <v>0</v>
      </c>
      <c r="CU10" s="871">
        <v>0</v>
      </c>
      <c r="CV10" s="871">
        <v>0</v>
      </c>
      <c r="CW10" s="871">
        <v>0</v>
      </c>
      <c r="CX10" s="871">
        <v>0</v>
      </c>
      <c r="CY10" s="871">
        <v>0</v>
      </c>
      <c r="CZ10" s="871">
        <v>0</v>
      </c>
      <c r="DA10" s="871">
        <v>0</v>
      </c>
      <c r="DB10" s="871">
        <v>0</v>
      </c>
      <c r="DC10" s="871">
        <v>0</v>
      </c>
      <c r="DD10" s="871">
        <v>0</v>
      </c>
      <c r="DE10" s="871">
        <v>0</v>
      </c>
      <c r="DF10" s="871">
        <v>0</v>
      </c>
      <c r="DG10" s="871">
        <v>0</v>
      </c>
      <c r="DH10" s="871">
        <v>0</v>
      </c>
      <c r="DI10" s="871">
        <v>0</v>
      </c>
      <c r="DJ10" s="871">
        <v>9.4799999999999995E-2</v>
      </c>
      <c r="DK10" s="871">
        <v>0.36130000000000001</v>
      </c>
      <c r="DL10" s="871">
        <v>0.29949999999999999</v>
      </c>
      <c r="DM10" s="871">
        <v>0.61610659999999995</v>
      </c>
      <c r="DN10" s="871">
        <v>0.84226959999999995</v>
      </c>
      <c r="DO10" s="871">
        <v>0.54881040000000003</v>
      </c>
      <c r="DP10" s="871">
        <v>100.2138463</v>
      </c>
      <c r="DQ10" s="871">
        <v>0</v>
      </c>
      <c r="DR10" s="871">
        <v>0</v>
      </c>
      <c r="DS10" s="871">
        <v>0</v>
      </c>
      <c r="DT10" s="871">
        <v>0</v>
      </c>
      <c r="DU10" s="871"/>
      <c r="DV10" s="871">
        <v>0</v>
      </c>
      <c r="DW10" s="871">
        <v>0</v>
      </c>
      <c r="DX10" s="871">
        <v>0</v>
      </c>
      <c r="DY10" s="871">
        <v>0</v>
      </c>
      <c r="DZ10" s="871">
        <v>0</v>
      </c>
      <c r="EA10" s="871">
        <v>0</v>
      </c>
      <c r="EB10" s="871">
        <v>0</v>
      </c>
      <c r="EC10" s="871">
        <v>0</v>
      </c>
      <c r="ED10" s="871">
        <v>230</v>
      </c>
      <c r="EE10" s="871">
        <v>230</v>
      </c>
      <c r="EF10" s="871">
        <v>230</v>
      </c>
      <c r="EG10" s="871">
        <v>230</v>
      </c>
      <c r="EH10" s="871">
        <v>230</v>
      </c>
      <c r="EI10" s="871">
        <v>230</v>
      </c>
      <c r="EJ10" s="871">
        <v>0</v>
      </c>
      <c r="EK10" s="871">
        <v>100</v>
      </c>
      <c r="EL10" s="871">
        <v>100</v>
      </c>
      <c r="EM10" s="871">
        <v>100</v>
      </c>
      <c r="EN10" s="871">
        <v>100</v>
      </c>
      <c r="EO10" s="871">
        <v>100</v>
      </c>
      <c r="EP10" s="871">
        <v>126</v>
      </c>
      <c r="EQ10" s="871">
        <v>0</v>
      </c>
      <c r="ER10" s="871">
        <v>0</v>
      </c>
      <c r="ES10" s="871">
        <v>0</v>
      </c>
      <c r="ET10" s="871">
        <v>0</v>
      </c>
      <c r="EU10" s="871">
        <v>0</v>
      </c>
      <c r="EV10" s="871">
        <v>0</v>
      </c>
      <c r="EW10" s="871">
        <v>0</v>
      </c>
      <c r="EX10" s="871">
        <v>0</v>
      </c>
      <c r="EY10" s="871">
        <v>0</v>
      </c>
      <c r="EZ10" s="871">
        <v>0</v>
      </c>
      <c r="FA10" s="871">
        <v>0</v>
      </c>
      <c r="FB10" s="871">
        <v>0</v>
      </c>
      <c r="FC10" s="871">
        <v>0</v>
      </c>
      <c r="FD10" s="871"/>
      <c r="FE10" s="871">
        <v>0</v>
      </c>
      <c r="FF10" s="871">
        <v>178</v>
      </c>
      <c r="FG10" s="871">
        <v>178</v>
      </c>
      <c r="FH10" s="871">
        <v>178</v>
      </c>
      <c r="FI10" s="871">
        <v>363</v>
      </c>
      <c r="FJ10" s="871">
        <v>363</v>
      </c>
      <c r="FK10" s="871">
        <v>185</v>
      </c>
      <c r="FL10" s="871">
        <v>0</v>
      </c>
      <c r="FM10" s="871">
        <v>0</v>
      </c>
      <c r="FN10" s="872">
        <v>0</v>
      </c>
      <c r="FO10" s="872">
        <v>0</v>
      </c>
      <c r="FP10" s="872">
        <v>0</v>
      </c>
      <c r="FQ10" s="872">
        <v>0</v>
      </c>
      <c r="FR10" s="872">
        <v>0</v>
      </c>
      <c r="FS10" s="871">
        <v>9.4799999999999995E-2</v>
      </c>
      <c r="FT10" s="871">
        <v>1693.3613</v>
      </c>
      <c r="FU10" s="871">
        <v>1663.2995000000001</v>
      </c>
      <c r="FV10" s="871">
        <v>1663.6161066</v>
      </c>
      <c r="FW10" s="871">
        <v>1883.8422696</v>
      </c>
      <c r="FX10" s="871">
        <v>2037.5488104000001</v>
      </c>
      <c r="FY10" s="871">
        <v>1525.2138463000001</v>
      </c>
      <c r="FZ10" s="520" t="s">
        <v>167</v>
      </c>
      <c r="GA10" s="520" t="s">
        <v>167</v>
      </c>
      <c r="GB10" s="520" t="s">
        <v>167</v>
      </c>
      <c r="GC10" s="520" t="s">
        <v>167</v>
      </c>
      <c r="GD10" s="520">
        <v>0</v>
      </c>
      <c r="GE10" s="520">
        <v>0</v>
      </c>
      <c r="GF10" s="520">
        <v>0</v>
      </c>
      <c r="GG10" s="524">
        <v>0</v>
      </c>
      <c r="GH10" s="524">
        <v>0</v>
      </c>
      <c r="GI10" s="524">
        <v>0</v>
      </c>
      <c r="GJ10" s="524">
        <v>0</v>
      </c>
      <c r="GK10" s="524">
        <v>0</v>
      </c>
      <c r="GL10" s="871">
        <v>0</v>
      </c>
      <c r="GM10" s="871">
        <v>0</v>
      </c>
      <c r="GN10" s="870"/>
      <c r="GO10" s="870"/>
      <c r="GP10" s="870"/>
      <c r="GQ10" s="870"/>
      <c r="GR10" s="870">
        <v>0</v>
      </c>
      <c r="GS10" s="870">
        <v>0</v>
      </c>
      <c r="GT10" s="870">
        <v>0</v>
      </c>
      <c r="GU10" s="871">
        <v>0</v>
      </c>
      <c r="GV10" s="871">
        <v>0</v>
      </c>
      <c r="GW10" s="871">
        <v>0</v>
      </c>
      <c r="GX10" s="871">
        <v>0</v>
      </c>
      <c r="GY10" s="871">
        <v>0</v>
      </c>
      <c r="GZ10" s="871">
        <v>0</v>
      </c>
      <c r="HA10" s="871">
        <v>0</v>
      </c>
      <c r="HB10" s="871">
        <v>0</v>
      </c>
      <c r="HC10" s="871">
        <v>0</v>
      </c>
      <c r="HD10" s="871">
        <v>0</v>
      </c>
      <c r="HE10" s="871">
        <v>0</v>
      </c>
      <c r="HF10" s="871">
        <v>0</v>
      </c>
      <c r="HG10" s="871">
        <v>0</v>
      </c>
      <c r="HH10" s="871">
        <v>0</v>
      </c>
      <c r="HI10" s="871">
        <v>0</v>
      </c>
      <c r="HJ10" s="871">
        <v>80</v>
      </c>
      <c r="HK10" s="871">
        <v>154</v>
      </c>
      <c r="HL10" s="871">
        <v>154</v>
      </c>
      <c r="HM10" s="871">
        <v>0</v>
      </c>
      <c r="HN10" s="871">
        <v>43</v>
      </c>
      <c r="HO10" s="871">
        <v>43</v>
      </c>
      <c r="HP10" s="871">
        <v>43</v>
      </c>
      <c r="HQ10" s="871">
        <v>43</v>
      </c>
      <c r="HR10" s="871">
        <v>43</v>
      </c>
      <c r="HS10" s="871">
        <v>111</v>
      </c>
      <c r="HT10" s="871">
        <v>0</v>
      </c>
      <c r="HU10" s="871">
        <v>0</v>
      </c>
      <c r="HV10" s="871">
        <v>0</v>
      </c>
      <c r="HW10" s="871">
        <v>0</v>
      </c>
      <c r="HX10" s="871">
        <v>0</v>
      </c>
      <c r="HY10" s="871">
        <v>0</v>
      </c>
      <c r="HZ10" s="871">
        <v>250</v>
      </c>
      <c r="IA10" s="871">
        <v>0</v>
      </c>
      <c r="IB10" s="871"/>
      <c r="IC10" s="871"/>
      <c r="ID10" s="871"/>
      <c r="IE10" s="871">
        <v>0</v>
      </c>
      <c r="IF10" s="871">
        <v>0</v>
      </c>
      <c r="IG10" s="871">
        <v>250</v>
      </c>
      <c r="IH10" s="871">
        <v>250</v>
      </c>
      <c r="II10" s="871">
        <v>250</v>
      </c>
      <c r="IJ10" s="871">
        <v>250</v>
      </c>
      <c r="IK10" s="871">
        <v>720</v>
      </c>
      <c r="IL10" s="871">
        <v>0</v>
      </c>
      <c r="IM10" s="871">
        <v>43</v>
      </c>
      <c r="IN10" s="871">
        <v>373</v>
      </c>
      <c r="IO10" s="825">
        <v>447</v>
      </c>
      <c r="IP10" s="825">
        <v>447</v>
      </c>
      <c r="IQ10" s="877">
        <v>293</v>
      </c>
      <c r="IR10" s="825">
        <v>1081</v>
      </c>
    </row>
    <row r="11" spans="1:252" s="28" customFormat="1" x14ac:dyDescent="0.2">
      <c r="A11" s="880" t="s">
        <v>190</v>
      </c>
      <c r="B11" s="531">
        <v>9169.2012106651491</v>
      </c>
      <c r="C11" s="531">
        <v>10692.099200000001</v>
      </c>
      <c r="D11" s="531">
        <v>6609.0577999999996</v>
      </c>
      <c r="E11" s="528">
        <v>3674.6334000000002</v>
      </c>
      <c r="F11" s="528">
        <v>1752.4404</v>
      </c>
      <c r="G11" s="528">
        <v>8374.2999999999993</v>
      </c>
      <c r="H11" s="528">
        <v>12977.689999999999</v>
      </c>
      <c r="I11" s="531">
        <v>30446.994820227301</v>
      </c>
      <c r="J11" s="531">
        <v>35863.048199203302</v>
      </c>
      <c r="K11" s="531">
        <v>38577.477323759405</v>
      </c>
      <c r="L11" s="528">
        <v>38205.7125595533</v>
      </c>
      <c r="M11" s="528">
        <v>27702.138025482302</v>
      </c>
      <c r="N11" s="528">
        <v>37681.112825733901</v>
      </c>
      <c r="O11" s="528">
        <v>39011.53030247103</v>
      </c>
      <c r="P11" s="531">
        <v>11762.319485399999</v>
      </c>
      <c r="Q11" s="531">
        <v>11976.603279999999</v>
      </c>
      <c r="R11" s="531">
        <v>11814.062399999999</v>
      </c>
      <c r="S11" s="528">
        <v>11198.6840333</v>
      </c>
      <c r="T11" s="528">
        <v>4399.9213</v>
      </c>
      <c r="U11" s="528">
        <v>8552.6200000000008</v>
      </c>
      <c r="V11" s="528">
        <v>11035.512723600001</v>
      </c>
      <c r="W11" s="531">
        <v>9867.0620186000015</v>
      </c>
      <c r="X11" s="531">
        <v>9512.2367000000013</v>
      </c>
      <c r="Y11" s="531">
        <v>9918.5119000000013</v>
      </c>
      <c r="Z11" s="528">
        <v>7298.3282781999997</v>
      </c>
      <c r="AA11" s="528">
        <v>1792.8695000000002</v>
      </c>
      <c r="AB11" s="528">
        <v>7766.1503999999995</v>
      </c>
      <c r="AC11" s="528">
        <f>SUM(AC6:AC10)</f>
        <v>8103.8899999999994</v>
      </c>
      <c r="AD11" s="531">
        <v>61245.577534892451</v>
      </c>
      <c r="AE11" s="879">
        <f>AE6+AE8+AE7+AE9+AE10</f>
        <v>68043.987379203289</v>
      </c>
      <c r="AF11" s="881">
        <v>66919.109423759408</v>
      </c>
      <c r="AG11" s="882">
        <v>60377.358271053301</v>
      </c>
      <c r="AH11" s="882">
        <v>35647.369225482304</v>
      </c>
      <c r="AI11" s="883">
        <v>62374.183225733897</v>
      </c>
      <c r="AJ11" s="883">
        <v>71128.623026071029</v>
      </c>
      <c r="AK11" s="884">
        <v>136.0051</v>
      </c>
      <c r="AL11" s="884">
        <v>236.01320000000001</v>
      </c>
      <c r="AM11" s="884">
        <v>546.001780145</v>
      </c>
      <c r="AN11" s="884">
        <v>596.0383994</v>
      </c>
      <c r="AO11" s="884">
        <v>1155.1852007</v>
      </c>
      <c r="AP11" s="879">
        <v>2789.7088463529999</v>
      </c>
      <c r="AQ11" s="879">
        <v>3534.6258659528398</v>
      </c>
      <c r="AR11" s="879">
        <v>4466.3630999999996</v>
      </c>
      <c r="AS11" s="879">
        <v>5164.0080994066593</v>
      </c>
      <c r="AT11" s="879">
        <v>5642.1066104066595</v>
      </c>
      <c r="AU11" s="879">
        <v>7524.4615401420097</v>
      </c>
      <c r="AV11" s="879">
        <v>8822.2160789773698</v>
      </c>
      <c r="AW11" s="879">
        <v>1744.3804081000001</v>
      </c>
      <c r="AX11" s="879">
        <v>1795.097679879</v>
      </c>
      <c r="AY11" s="879">
        <v>2019.225898934</v>
      </c>
      <c r="AZ11" s="879">
        <v>2010.062078617</v>
      </c>
      <c r="BA11" s="879">
        <v>2432.5266060580002</v>
      </c>
      <c r="BB11" s="879">
        <v>2488.1504225150002</v>
      </c>
      <c r="BC11" s="879">
        <v>852.85512310000001</v>
      </c>
      <c r="BD11" s="879">
        <v>1095.4461739999999</v>
      </c>
      <c r="BE11" s="879">
        <v>1410.3315978000001</v>
      </c>
      <c r="BF11" s="879">
        <v>1567.9006914999998</v>
      </c>
      <c r="BG11" s="879">
        <v>1674.0796165999998</v>
      </c>
      <c r="BH11" s="879">
        <v>2011.4869431000898</v>
      </c>
      <c r="BI11" s="879">
        <v>2091.2180814841695</v>
      </c>
      <c r="BJ11" s="879">
        <v>169.7933855</v>
      </c>
      <c r="BK11" s="879">
        <v>207.26975200000001</v>
      </c>
      <c r="BL11" s="879">
        <v>305.71963790000001</v>
      </c>
      <c r="BM11" s="879">
        <v>395.29401739999997</v>
      </c>
      <c r="BN11" s="879">
        <v>513.14171190000002</v>
      </c>
      <c r="BO11" s="879">
        <v>707.95119869999996</v>
      </c>
      <c r="BP11" s="879">
        <v>814.69853080000007</v>
      </c>
      <c r="BQ11" s="879">
        <v>803.79070000000002</v>
      </c>
      <c r="BR11" s="879">
        <v>803.32286360000012</v>
      </c>
      <c r="BS11" s="879">
        <v>980.93276228230002</v>
      </c>
      <c r="BT11" s="879">
        <v>1138.2242345525999</v>
      </c>
      <c r="BU11" s="879">
        <v>1264.1421132784001</v>
      </c>
      <c r="BV11" s="879">
        <v>350.02910000000003</v>
      </c>
      <c r="BW11" s="879">
        <v>826.18664100000001</v>
      </c>
      <c r="BX11" s="879">
        <v>1635.4060000000002</v>
      </c>
      <c r="BY11" s="879">
        <v>1868.6098191800002</v>
      </c>
      <c r="BZ11" s="879">
        <v>2912.78149588</v>
      </c>
      <c r="CA11" s="879">
        <v>705.30730000000005</v>
      </c>
      <c r="CB11" s="879">
        <v>1885.7665000000002</v>
      </c>
      <c r="CC11" s="879">
        <v>2130.5192000000002</v>
      </c>
      <c r="CD11" s="879">
        <v>2304.9072999999999</v>
      </c>
      <c r="CE11" s="879">
        <v>2708.6376</v>
      </c>
      <c r="CF11" s="879">
        <v>3757.5466000000001</v>
      </c>
      <c r="CG11" s="879">
        <v>4106.4815449999996</v>
      </c>
      <c r="CH11" s="879">
        <v>3484.6594378999998</v>
      </c>
      <c r="CI11" s="879">
        <v>4888.8136223000001</v>
      </c>
      <c r="CJ11" s="879">
        <v>5760.0345316000003</v>
      </c>
      <c r="CK11" s="879">
        <v>6143.8818607999992</v>
      </c>
      <c r="CL11" s="879">
        <v>6190.6189068000003</v>
      </c>
      <c r="CM11" s="879">
        <v>8600.9840250999987</v>
      </c>
      <c r="CN11" s="879">
        <v>9723.9500000000007</v>
      </c>
      <c r="CO11" s="879">
        <v>1258.1827727</v>
      </c>
      <c r="CP11" s="879">
        <v>1685.4590012000001</v>
      </c>
      <c r="CQ11" s="879">
        <v>1874.3579345999999</v>
      </c>
      <c r="CR11" s="879">
        <v>2252.7136213999997</v>
      </c>
      <c r="CS11" s="879">
        <v>2455.6500999999998</v>
      </c>
      <c r="CT11" s="879">
        <v>2777.0025771999999</v>
      </c>
      <c r="CU11" s="879">
        <v>3237.4342786000002</v>
      </c>
      <c r="CV11" s="879">
        <v>135</v>
      </c>
      <c r="CW11" s="879">
        <v>135</v>
      </c>
      <c r="CX11" s="879">
        <v>175</v>
      </c>
      <c r="CY11" s="879">
        <v>220.53222349999999</v>
      </c>
      <c r="CZ11" s="879">
        <v>299.82740000000001</v>
      </c>
      <c r="DA11" s="879">
        <v>329.70502749999997</v>
      </c>
      <c r="DB11" s="879">
        <v>456.41442749999999</v>
      </c>
      <c r="DC11" s="879">
        <v>679.389666992</v>
      </c>
      <c r="DD11" s="879">
        <v>984.38962409800001</v>
      </c>
      <c r="DE11" s="879">
        <v>1184.4477623020002</v>
      </c>
      <c r="DF11" s="879">
        <v>1434.5161139985162</v>
      </c>
      <c r="DG11" s="879">
        <v>1734.410981133</v>
      </c>
      <c r="DH11" s="879">
        <v>1834.672897964</v>
      </c>
      <c r="DI11" s="879">
        <v>1834.6414</v>
      </c>
      <c r="DJ11" s="879">
        <v>258.13820000000004</v>
      </c>
      <c r="DK11" s="879">
        <v>258.39980000000003</v>
      </c>
      <c r="DL11" s="879">
        <v>258.46600000000001</v>
      </c>
      <c r="DM11" s="879">
        <v>383.62940100000003</v>
      </c>
      <c r="DN11" s="879">
        <v>438.29717170000004</v>
      </c>
      <c r="DO11" s="879">
        <v>438.67923289999993</v>
      </c>
      <c r="DP11" s="879">
        <v>537.74053959999992</v>
      </c>
      <c r="DQ11" s="879">
        <v>190.05981731100002</v>
      </c>
      <c r="DR11" s="879">
        <v>190.06441550000002</v>
      </c>
      <c r="DS11" s="879">
        <v>310.0626067</v>
      </c>
      <c r="DT11" s="879">
        <v>495.808018683</v>
      </c>
      <c r="DU11" s="879">
        <f>SUM(DU6:DU10)</f>
        <v>495.79</v>
      </c>
      <c r="DV11" s="879">
        <v>227.3895143</v>
      </c>
      <c r="DW11" s="879">
        <v>230.05344070000001</v>
      </c>
      <c r="DX11" s="879">
        <v>231.0538789</v>
      </c>
      <c r="DY11" s="879">
        <v>210.87843560000002</v>
      </c>
      <c r="DZ11" s="879">
        <v>207.28736480000001</v>
      </c>
      <c r="EA11" s="879">
        <v>357.22012899999999</v>
      </c>
      <c r="EB11" s="879">
        <v>442.14801159999996</v>
      </c>
      <c r="EC11" s="879">
        <v>1103.3821915999999</v>
      </c>
      <c r="ED11" s="879">
        <v>1486.912516594</v>
      </c>
      <c r="EE11" s="879">
        <v>1627.2914292139999</v>
      </c>
      <c r="EF11" s="879">
        <v>1796.24771854144</v>
      </c>
      <c r="EG11" s="879">
        <v>1977.66043287758</v>
      </c>
      <c r="EH11" s="879">
        <v>2288.6749616315401</v>
      </c>
      <c r="EI11" s="879">
        <v>2582.7727062727499</v>
      </c>
      <c r="EJ11" s="879">
        <v>570.94347319999997</v>
      </c>
      <c r="EK11" s="879">
        <v>756.68489190000003</v>
      </c>
      <c r="EL11" s="879">
        <v>1123.7565899000001</v>
      </c>
      <c r="EM11" s="879">
        <v>1234.0526658000001</v>
      </c>
      <c r="EN11" s="879">
        <v>1162.8068856</v>
      </c>
      <c r="EO11" s="879">
        <v>1504.0024119</v>
      </c>
      <c r="EP11" s="879">
        <v>1704.5376308999998</v>
      </c>
      <c r="EQ11" s="879">
        <v>1319.094086588</v>
      </c>
      <c r="ER11" s="879">
        <v>1547.273736401</v>
      </c>
      <c r="ES11" s="879">
        <v>1540.6056879</v>
      </c>
      <c r="ET11" s="879">
        <v>1820.47647013495</v>
      </c>
      <c r="EU11" s="879">
        <v>2130.7790892729399</v>
      </c>
      <c r="EV11" s="879">
        <v>2815.57313277294</v>
      </c>
      <c r="EW11" s="879">
        <v>2972.69543277294</v>
      </c>
      <c r="EX11" s="879">
        <v>950.96953339999993</v>
      </c>
      <c r="EY11" s="879">
        <v>1142.6221422000001</v>
      </c>
      <c r="EZ11" s="879">
        <v>1409.6094724000002</v>
      </c>
      <c r="FA11" s="879">
        <v>1939.3643049</v>
      </c>
      <c r="FB11" s="879">
        <v>1963.47775</v>
      </c>
      <c r="FC11" s="879">
        <v>2143.4795294999999</v>
      </c>
      <c r="FD11" s="879">
        <f>SUM(FD6:FD10)</f>
        <v>2343</v>
      </c>
      <c r="FE11" s="879">
        <v>1047.31876397</v>
      </c>
      <c r="FF11" s="879">
        <v>1419.0768564</v>
      </c>
      <c r="FG11" s="879">
        <v>1767.7819178</v>
      </c>
      <c r="FH11" s="879">
        <v>2215.8099278</v>
      </c>
      <c r="FI11" s="879">
        <v>2572.8041113999998</v>
      </c>
      <c r="FJ11" s="879">
        <v>3839.5695074</v>
      </c>
      <c r="FK11" s="879">
        <v>4670.0284570998501</v>
      </c>
      <c r="FL11" s="879">
        <v>433.28681720000003</v>
      </c>
      <c r="FM11" s="879">
        <v>435.49777110000002</v>
      </c>
      <c r="FN11" s="881">
        <v>748.12120820000007</v>
      </c>
      <c r="FO11" s="881">
        <v>886.67839140000001</v>
      </c>
      <c r="FP11" s="881">
        <v>998.48882620000006</v>
      </c>
      <c r="FQ11" s="881">
        <v>1017.6789513</v>
      </c>
      <c r="FR11" s="881">
        <v>1131.9647553999998</v>
      </c>
      <c r="FS11" s="879">
        <v>19319.727792574213</v>
      </c>
      <c r="FT11" s="879">
        <v>26158.186998184694</v>
      </c>
      <c r="FU11" s="879">
        <v>29376.644312361004</v>
      </c>
      <c r="FV11" s="879">
        <v>33848.516176498561</v>
      </c>
      <c r="FW11" s="879">
        <v>38367.582239875483</v>
      </c>
      <c r="FX11" s="879">
        <v>48222.862379141181</v>
      </c>
      <c r="FY11" s="879">
        <v>52998.283866965474</v>
      </c>
      <c r="FZ11" s="529">
        <v>2625.8100929350899</v>
      </c>
      <c r="GA11" s="530">
        <v>2976.9134533780002</v>
      </c>
      <c r="GB11" s="885">
        <v>3581.3083783000002</v>
      </c>
      <c r="GC11" s="531">
        <v>3978.7242548373997</v>
      </c>
      <c r="GD11" s="531">
        <v>4085.0574315004001</v>
      </c>
      <c r="GE11" s="531">
        <v>4626.1803215004002</v>
      </c>
      <c r="GF11" s="531">
        <v>5387.5397556000007</v>
      </c>
      <c r="GG11" s="531">
        <v>3373.6541864000001</v>
      </c>
      <c r="GH11" s="531">
        <v>3921.4916396000003</v>
      </c>
      <c r="GI11" s="531">
        <v>4057.4819040000002</v>
      </c>
      <c r="GJ11" s="531">
        <v>4797.1286013999998</v>
      </c>
      <c r="GK11" s="531">
        <v>5416.8644193999999</v>
      </c>
      <c r="GL11" s="531">
        <v>7007.1920502000003</v>
      </c>
      <c r="GM11" s="531">
        <v>8533.9298019999987</v>
      </c>
      <c r="GN11" s="531">
        <v>5999.4642793350904</v>
      </c>
      <c r="GO11" s="531">
        <v>6898.4050929780005</v>
      </c>
      <c r="GP11" s="531">
        <v>7638.7902823000004</v>
      </c>
      <c r="GQ11" s="531">
        <v>8775.8528562373995</v>
      </c>
      <c r="GR11" s="531">
        <v>9501.9218509004004</v>
      </c>
      <c r="GS11" s="531">
        <v>11633.3723717004</v>
      </c>
      <c r="GT11" s="531">
        <v>13921.469557599999</v>
      </c>
      <c r="GU11" s="879">
        <v>247.531256079</v>
      </c>
      <c r="GV11" s="879">
        <v>380.50820919999995</v>
      </c>
      <c r="GW11" s="879">
        <v>705.03320641699997</v>
      </c>
      <c r="GX11" s="879">
        <v>1061.2180219380002</v>
      </c>
      <c r="GY11" s="879">
        <v>1381.3182770760002</v>
      </c>
      <c r="GZ11" s="879">
        <v>1818.0651924230001</v>
      </c>
      <c r="HA11" s="879">
        <v>475.07</v>
      </c>
      <c r="HB11" s="879">
        <v>524.74947699999996</v>
      </c>
      <c r="HC11" s="879">
        <v>594.18011980000006</v>
      </c>
      <c r="HD11" s="879">
        <v>700.88358049999999</v>
      </c>
      <c r="HE11" s="879">
        <v>780.9810268</v>
      </c>
      <c r="HF11" s="879">
        <v>1130.4852472</v>
      </c>
      <c r="HG11" s="879">
        <v>1288.7436785999998</v>
      </c>
      <c r="HH11" s="879">
        <v>615.9543799999999</v>
      </c>
      <c r="HI11" s="879">
        <v>616.12840709999989</v>
      </c>
      <c r="HJ11" s="879">
        <v>698.48033759999998</v>
      </c>
      <c r="HK11" s="879">
        <v>776.66661019999992</v>
      </c>
      <c r="HL11" s="879">
        <v>1115.5982747</v>
      </c>
      <c r="HM11" s="879">
        <v>435.16724200000004</v>
      </c>
      <c r="HN11" s="879">
        <v>616.96205014300006</v>
      </c>
      <c r="HO11" s="879">
        <v>730.3224996749999</v>
      </c>
      <c r="HP11" s="879">
        <v>961.00118105999991</v>
      </c>
      <c r="HQ11" s="879">
        <v>1101.831063585</v>
      </c>
      <c r="HR11" s="879">
        <v>1314.8082845839999</v>
      </c>
      <c r="HS11" s="879">
        <v>1582.791949596859</v>
      </c>
      <c r="HT11" s="879">
        <v>898.305039427</v>
      </c>
      <c r="HU11" s="879">
        <v>926.26363279999998</v>
      </c>
      <c r="HV11" s="879">
        <v>926.10754391199998</v>
      </c>
      <c r="HW11" s="879">
        <v>981.04064064700003</v>
      </c>
      <c r="HX11" s="879">
        <v>1126.0182820969999</v>
      </c>
      <c r="HY11" s="879">
        <v>1406.6534555000001</v>
      </c>
      <c r="HZ11" s="879">
        <v>1782.0110327109999</v>
      </c>
      <c r="IA11" s="879">
        <v>186.55</v>
      </c>
      <c r="IB11" s="879">
        <v>193.99540000000002</v>
      </c>
      <c r="IC11" s="879">
        <v>193.9</v>
      </c>
      <c r="ID11" s="879">
        <f>SUM(ID6:ID10)</f>
        <v>193.9</v>
      </c>
      <c r="IE11" s="879">
        <v>718.74210900000003</v>
      </c>
      <c r="IF11" s="879">
        <v>1030.1352822660001</v>
      </c>
      <c r="IG11" s="879">
        <v>1280.1352823</v>
      </c>
      <c r="IH11" s="879">
        <v>1743.0078738043001</v>
      </c>
      <c r="II11" s="879">
        <v>2156.8866275520099</v>
      </c>
      <c r="IJ11" s="879">
        <v>4466.5721512</v>
      </c>
      <c r="IK11" s="879">
        <v>7115.9458870264498</v>
      </c>
      <c r="IL11" s="879">
        <v>3143.2387704270004</v>
      </c>
      <c r="IM11" s="879">
        <v>3961.770105388</v>
      </c>
      <c r="IN11" s="879">
        <v>4609.7339924869993</v>
      </c>
      <c r="IO11" s="822">
        <v>6054.1830926283001</v>
      </c>
      <c r="IP11" s="822">
        <v>7536.5286966720105</v>
      </c>
      <c r="IQ11" s="886">
        <v>9893.7374155599991</v>
      </c>
      <c r="IR11" s="822">
        <v>13587.557740357308</v>
      </c>
    </row>
    <row r="12" spans="1:252" x14ac:dyDescent="0.2">
      <c r="A12" s="880" t="s">
        <v>323</v>
      </c>
      <c r="B12" s="870"/>
      <c r="C12" s="870"/>
      <c r="D12" s="870"/>
      <c r="E12" s="519"/>
      <c r="F12" s="519"/>
      <c r="G12" s="519"/>
      <c r="H12" s="519"/>
      <c r="I12" s="870"/>
      <c r="J12" s="870"/>
      <c r="K12" s="870"/>
      <c r="L12" s="519"/>
      <c r="M12" s="519"/>
      <c r="N12" s="519"/>
      <c r="O12" s="519"/>
      <c r="P12" s="870"/>
      <c r="Q12" s="870"/>
      <c r="R12" s="870"/>
      <c r="S12" s="519"/>
      <c r="T12" s="519"/>
      <c r="U12" s="519"/>
      <c r="V12" s="519"/>
      <c r="W12" s="870"/>
      <c r="X12" s="870"/>
      <c r="Y12" s="870"/>
      <c r="Z12" s="519"/>
      <c r="AA12" s="519"/>
      <c r="AB12" s="519"/>
      <c r="AC12" s="519"/>
      <c r="AD12" s="870"/>
      <c r="AE12" s="871"/>
      <c r="AF12" s="872"/>
      <c r="AG12" s="873"/>
      <c r="AH12" s="873"/>
      <c r="AI12" s="874"/>
      <c r="AJ12" s="874"/>
      <c r="AK12" s="875"/>
      <c r="AL12" s="875"/>
      <c r="AM12" s="875"/>
      <c r="AN12" s="875"/>
      <c r="AO12" s="875"/>
      <c r="AP12" s="879"/>
      <c r="AQ12" s="871"/>
      <c r="AR12" s="871"/>
      <c r="AS12" s="871"/>
      <c r="AT12" s="871"/>
      <c r="AU12" s="871"/>
      <c r="AV12" s="871"/>
      <c r="AW12" s="871"/>
      <c r="AX12" s="871"/>
      <c r="AY12" s="871"/>
      <c r="AZ12" s="871"/>
      <c r="BA12" s="871"/>
      <c r="BB12" s="871"/>
      <c r="BC12" s="871"/>
      <c r="BD12" s="871"/>
      <c r="BE12" s="871"/>
      <c r="BF12" s="871"/>
      <c r="BG12" s="871"/>
      <c r="BH12" s="871"/>
      <c r="BI12" s="871"/>
      <c r="BJ12" s="871"/>
      <c r="BK12" s="871"/>
      <c r="BL12" s="871"/>
      <c r="BM12" s="871"/>
      <c r="BN12" s="871"/>
      <c r="BO12" s="871"/>
      <c r="BP12" s="871"/>
      <c r="BQ12" s="871"/>
      <c r="BR12" s="871"/>
      <c r="BS12" s="871"/>
      <c r="BT12" s="871"/>
      <c r="BU12" s="871"/>
      <c r="BV12" s="871"/>
      <c r="BW12" s="871"/>
      <c r="BX12" s="871"/>
      <c r="BY12" s="871"/>
      <c r="BZ12" s="871"/>
      <c r="CA12" s="871"/>
      <c r="CB12" s="871"/>
      <c r="CC12" s="871"/>
      <c r="CD12" s="871"/>
      <c r="CE12" s="871"/>
      <c r="CF12" s="871"/>
      <c r="CG12" s="871"/>
      <c r="CH12" s="871"/>
      <c r="CI12" s="871"/>
      <c r="CJ12" s="871"/>
      <c r="CK12" s="871"/>
      <c r="CL12" s="871"/>
      <c r="CM12" s="871"/>
      <c r="CN12" s="871"/>
      <c r="CO12" s="871"/>
      <c r="CP12" s="871"/>
      <c r="CQ12" s="871"/>
      <c r="CR12" s="871"/>
      <c r="CS12" s="871"/>
      <c r="CT12" s="871"/>
      <c r="CU12" s="871"/>
      <c r="CV12" s="871"/>
      <c r="CW12" s="871"/>
      <c r="CX12" s="871"/>
      <c r="CY12" s="871"/>
      <c r="CZ12" s="871"/>
      <c r="DA12" s="871"/>
      <c r="DB12" s="871"/>
      <c r="DC12" s="871"/>
      <c r="DD12" s="871"/>
      <c r="DE12" s="871"/>
      <c r="DF12" s="871"/>
      <c r="DG12" s="871"/>
      <c r="DH12" s="871"/>
      <c r="DI12" s="871"/>
      <c r="DJ12" s="871"/>
      <c r="DK12" s="871"/>
      <c r="DL12" s="871"/>
      <c r="DM12" s="871"/>
      <c r="DN12" s="871"/>
      <c r="DO12" s="871"/>
      <c r="DP12" s="871"/>
      <c r="DQ12" s="871"/>
      <c r="DR12" s="871"/>
      <c r="DS12" s="871"/>
      <c r="DT12" s="871"/>
      <c r="DU12" s="871"/>
      <c r="DV12" s="871"/>
      <c r="DW12" s="871"/>
      <c r="DX12" s="871"/>
      <c r="DY12" s="871"/>
      <c r="DZ12" s="871"/>
      <c r="EA12" s="871"/>
      <c r="EB12" s="871"/>
      <c r="EC12" s="871"/>
      <c r="ED12" s="871"/>
      <c r="EE12" s="871"/>
      <c r="EF12" s="871"/>
      <c r="EG12" s="871"/>
      <c r="EH12" s="871"/>
      <c r="EI12" s="871"/>
      <c r="EJ12" s="871"/>
      <c r="EK12" s="871"/>
      <c r="EL12" s="871"/>
      <c r="EM12" s="871"/>
      <c r="EN12" s="871"/>
      <c r="EO12" s="871"/>
      <c r="EP12" s="871"/>
      <c r="EQ12" s="871"/>
      <c r="ER12" s="871"/>
      <c r="ES12" s="871"/>
      <c r="ET12" s="871"/>
      <c r="EU12" s="871"/>
      <c r="EV12" s="871"/>
      <c r="EW12" s="871"/>
      <c r="EX12" s="871"/>
      <c r="EY12" s="871"/>
      <c r="EZ12" s="871"/>
      <c r="FA12" s="871"/>
      <c r="FB12" s="871"/>
      <c r="FC12" s="871"/>
      <c r="FD12" s="871"/>
      <c r="FE12" s="871"/>
      <c r="FF12" s="871"/>
      <c r="FG12" s="871"/>
      <c r="FH12" s="871"/>
      <c r="FI12" s="871"/>
      <c r="FJ12" s="871"/>
      <c r="FK12" s="871"/>
      <c r="FL12" s="871"/>
      <c r="FM12" s="871"/>
      <c r="FN12" s="872"/>
      <c r="FO12" s="872"/>
      <c r="FP12" s="872"/>
      <c r="FQ12" s="872"/>
      <c r="FR12" s="872"/>
      <c r="FS12" s="871"/>
      <c r="FT12" s="871"/>
      <c r="FU12" s="871">
        <v>0</v>
      </c>
      <c r="FV12" s="871"/>
      <c r="FW12" s="871"/>
      <c r="FX12" s="871"/>
      <c r="FY12" s="871"/>
      <c r="FZ12" s="520"/>
      <c r="GA12" s="521"/>
      <c r="GB12" s="876"/>
      <c r="GC12" s="870"/>
      <c r="GD12" s="870"/>
      <c r="GE12" s="870"/>
      <c r="GF12" s="870"/>
      <c r="GG12" s="870"/>
      <c r="GH12" s="870"/>
      <c r="GI12" s="870"/>
      <c r="GJ12" s="870"/>
      <c r="GK12" s="870"/>
      <c r="GL12" s="870"/>
      <c r="GM12" s="870"/>
      <c r="GN12" s="870">
        <v>0</v>
      </c>
      <c r="GO12" s="870">
        <v>0</v>
      </c>
      <c r="GP12" s="870">
        <v>0</v>
      </c>
      <c r="GQ12" s="870">
        <v>0</v>
      </c>
      <c r="GR12" s="870"/>
      <c r="GS12" s="870"/>
      <c r="GT12" s="870"/>
      <c r="GU12" s="871"/>
      <c r="GV12" s="871"/>
      <c r="GW12" s="871"/>
      <c r="GX12" s="871"/>
      <c r="GY12" s="871"/>
      <c r="GZ12" s="871"/>
      <c r="HA12" s="871"/>
      <c r="HB12" s="871"/>
      <c r="HC12" s="871"/>
      <c r="HD12" s="871"/>
      <c r="HE12" s="871"/>
      <c r="HF12" s="871"/>
      <c r="HG12" s="871"/>
      <c r="HH12" s="871"/>
      <c r="HI12" s="871"/>
      <c r="HJ12" s="871"/>
      <c r="HK12" s="871"/>
      <c r="HL12" s="871"/>
      <c r="HM12" s="871"/>
      <c r="HN12" s="871"/>
      <c r="HO12" s="871"/>
      <c r="HP12" s="871"/>
      <c r="HQ12" s="871"/>
      <c r="HR12" s="871"/>
      <c r="HS12" s="871"/>
      <c r="HT12" s="871"/>
      <c r="HU12" s="871"/>
      <c r="HV12" s="871"/>
      <c r="HW12" s="871"/>
      <c r="HX12" s="871"/>
      <c r="HY12" s="871"/>
      <c r="HZ12" s="871"/>
      <c r="IA12" s="871"/>
      <c r="IB12" s="871"/>
      <c r="IC12" s="871"/>
      <c r="ID12" s="871"/>
      <c r="IE12" s="871"/>
      <c r="IF12" s="871"/>
      <c r="IG12" s="871"/>
      <c r="IH12" s="871"/>
      <c r="II12" s="871"/>
      <c r="IJ12" s="871"/>
      <c r="IK12" s="871"/>
      <c r="IL12" s="871"/>
      <c r="IM12" s="871"/>
      <c r="IN12" s="871">
        <v>0</v>
      </c>
      <c r="IO12" s="825"/>
      <c r="IP12" s="825"/>
      <c r="IQ12" s="877"/>
      <c r="IR12" s="825"/>
    </row>
    <row r="13" spans="1:252" x14ac:dyDescent="0.2">
      <c r="A13" s="869" t="s">
        <v>284</v>
      </c>
      <c r="B13" s="870">
        <v>21759.7732</v>
      </c>
      <c r="C13" s="870">
        <v>24513.483100000001</v>
      </c>
      <c r="D13" s="870">
        <v>25344.836200000002</v>
      </c>
      <c r="E13" s="519">
        <v>23692.188999999998</v>
      </c>
      <c r="F13" s="519">
        <v>22052.125100000001</v>
      </c>
      <c r="G13" s="519">
        <v>29279.723399999999</v>
      </c>
      <c r="H13" s="519">
        <v>33390.879999999997</v>
      </c>
      <c r="I13" s="870">
        <v>44545.717455421996</v>
      </c>
      <c r="J13" s="870">
        <v>51430.203821392999</v>
      </c>
      <c r="K13" s="870">
        <v>55538.212775687702</v>
      </c>
      <c r="L13" s="519">
        <v>59190.20078087</v>
      </c>
      <c r="M13" s="519">
        <v>51378.790653877899</v>
      </c>
      <c r="N13" s="519">
        <v>66358.223000521102</v>
      </c>
      <c r="O13" s="519">
        <v>70558.795208791009</v>
      </c>
      <c r="P13" s="870">
        <v>19599.279494099999</v>
      </c>
      <c r="Q13" s="870">
        <v>22802.202724399998</v>
      </c>
      <c r="R13" s="870">
        <v>22803.6679</v>
      </c>
      <c r="S13" s="519">
        <v>24625.8120256</v>
      </c>
      <c r="T13" s="519">
        <v>20673.297699999999</v>
      </c>
      <c r="U13" s="519">
        <v>23984.7801</v>
      </c>
      <c r="V13" s="519">
        <v>27347.348271299998</v>
      </c>
      <c r="W13" s="870">
        <v>23238.239438199998</v>
      </c>
      <c r="X13" s="870">
        <v>27125.2752</v>
      </c>
      <c r="Y13" s="870">
        <v>29815.100299999998</v>
      </c>
      <c r="Z13" s="519">
        <v>31656.672102100001</v>
      </c>
      <c r="AA13" s="519">
        <v>27930.745200000001</v>
      </c>
      <c r="AB13" s="519">
        <v>33932.066200000001</v>
      </c>
      <c r="AC13" s="519">
        <v>35841.49</v>
      </c>
      <c r="AD13" s="870">
        <v>109143.00958772199</v>
      </c>
      <c r="AE13" s="871">
        <f t="shared" ref="AE13:AE26" si="0">C13+J13+Q13+X13</f>
        <v>125871.16484579301</v>
      </c>
      <c r="AF13" s="872">
        <v>133501.8171756877</v>
      </c>
      <c r="AG13" s="873">
        <v>139164.87390857001</v>
      </c>
      <c r="AH13" s="873">
        <v>122034.9586538779</v>
      </c>
      <c r="AI13" s="874">
        <v>153554.79270052112</v>
      </c>
      <c r="AJ13" s="874">
        <v>167138.513480091</v>
      </c>
      <c r="AK13" s="875">
        <v>118.10979999999999</v>
      </c>
      <c r="AL13" s="875">
        <v>210.81450967952699</v>
      </c>
      <c r="AM13" s="875">
        <v>420.54284420004802</v>
      </c>
      <c r="AN13" s="875">
        <v>458.39373799999998</v>
      </c>
      <c r="AO13" s="875">
        <v>907.80594699881112</v>
      </c>
      <c r="AP13" s="871">
        <v>8934.6368999999995</v>
      </c>
      <c r="AQ13" s="871">
        <v>10272.752614213599</v>
      </c>
      <c r="AR13" s="871">
        <v>13990.691700000001</v>
      </c>
      <c r="AS13" s="871">
        <v>16786.442908699999</v>
      </c>
      <c r="AT13" s="871">
        <v>18304.559360842599</v>
      </c>
      <c r="AU13" s="871">
        <v>22477.430206837202</v>
      </c>
      <c r="AV13" s="871">
        <v>24227.956700000002</v>
      </c>
      <c r="AW13" s="871">
        <v>2841.2012930999999</v>
      </c>
      <c r="AX13" s="871">
        <v>2872.1865355238501</v>
      </c>
      <c r="AY13" s="871">
        <v>3211.4488205992898</v>
      </c>
      <c r="AZ13" s="871">
        <v>3884.2467034030501</v>
      </c>
      <c r="BA13" s="871">
        <v>4765.2648984002799</v>
      </c>
      <c r="BB13" s="871">
        <v>5526.4442393999998</v>
      </c>
      <c r="BC13" s="871">
        <v>3860.7248500999999</v>
      </c>
      <c r="BD13" s="871">
        <v>4904.8401076999999</v>
      </c>
      <c r="BE13" s="871">
        <v>6362.6770999999999</v>
      </c>
      <c r="BF13" s="871">
        <v>7596.0978289000004</v>
      </c>
      <c r="BG13" s="871">
        <v>9078.4647999999997</v>
      </c>
      <c r="BH13" s="871">
        <v>11060.505499999999</v>
      </c>
      <c r="BI13" s="871">
        <v>12533.8105617</v>
      </c>
      <c r="BJ13" s="871">
        <v>136.629719804351</v>
      </c>
      <c r="BK13" s="871">
        <v>202.58654139999999</v>
      </c>
      <c r="BL13" s="871">
        <v>303.06500519999997</v>
      </c>
      <c r="BM13" s="871">
        <v>360.3677874</v>
      </c>
      <c r="BN13" s="871">
        <v>443.6346696</v>
      </c>
      <c r="BO13" s="871">
        <v>2021.9532409999999</v>
      </c>
      <c r="BP13" s="871">
        <v>2483.5525604999998</v>
      </c>
      <c r="BQ13" s="871">
        <v>2992.0265267999998</v>
      </c>
      <c r="BR13" s="871">
        <v>3628.5287279999998</v>
      </c>
      <c r="BS13" s="871">
        <v>4325.9511131999998</v>
      </c>
      <c r="BT13" s="871">
        <v>5505.028530949</v>
      </c>
      <c r="BU13" s="871">
        <v>5726.2835279239989</v>
      </c>
      <c r="BV13" s="871">
        <v>333.44259999999997</v>
      </c>
      <c r="BW13" s="871">
        <v>1452.4083571000001</v>
      </c>
      <c r="BX13" s="871">
        <v>3475.5609999999997</v>
      </c>
      <c r="BY13" s="871">
        <v>5430.2227000000003</v>
      </c>
      <c r="BZ13" s="871">
        <v>9247.357</v>
      </c>
      <c r="CA13" s="871">
        <v>595.10895639099999</v>
      </c>
      <c r="CB13" s="871">
        <v>6932.3240999999998</v>
      </c>
      <c r="CC13" s="871">
        <v>8158.7628999999997</v>
      </c>
      <c r="CD13" s="871">
        <v>9104.0056000000004</v>
      </c>
      <c r="CE13" s="871">
        <v>11501.7858</v>
      </c>
      <c r="CF13" s="871">
        <v>16642.953799999999</v>
      </c>
      <c r="CG13" s="871">
        <v>18397.05207007219</v>
      </c>
      <c r="CH13" s="871">
        <v>11562.5186228</v>
      </c>
      <c r="CI13" s="871">
        <v>15078.9036225</v>
      </c>
      <c r="CJ13" s="871">
        <v>18192.667950800002</v>
      </c>
      <c r="CK13" s="871">
        <v>22230.821470899999</v>
      </c>
      <c r="CL13" s="871">
        <v>26326.726717400001</v>
      </c>
      <c r="CM13" s="871">
        <v>30892.184872999998</v>
      </c>
      <c r="CN13" s="871">
        <f>8917.87+29868.37</f>
        <v>38786.239999999998</v>
      </c>
      <c r="CO13" s="871">
        <v>4111.0782888000003</v>
      </c>
      <c r="CP13" s="871">
        <v>6561.6885884000003</v>
      </c>
      <c r="CQ13" s="871">
        <v>7148.4813160000003</v>
      </c>
      <c r="CR13" s="871">
        <v>8909.5766160999992</v>
      </c>
      <c r="CS13" s="871">
        <v>9677.5208999999995</v>
      </c>
      <c r="CT13" s="871">
        <v>12083.267012</v>
      </c>
      <c r="CU13" s="871">
        <v>13446.200514800001</v>
      </c>
      <c r="CV13" s="871">
        <v>114.42676729999999</v>
      </c>
      <c r="CW13" s="871">
        <v>147.1645613</v>
      </c>
      <c r="CX13" s="871">
        <v>248.8647694</v>
      </c>
      <c r="CY13" s="871">
        <v>414.82420000000002</v>
      </c>
      <c r="CZ13" s="871">
        <v>676.5856</v>
      </c>
      <c r="DA13" s="871">
        <v>931.85770000000002</v>
      </c>
      <c r="DB13" s="871">
        <v>1231.1257000000001</v>
      </c>
      <c r="DC13" s="871">
        <v>503.34859828200001</v>
      </c>
      <c r="DD13" s="871">
        <v>813.03445649599996</v>
      </c>
      <c r="DE13" s="871">
        <v>1133.3088142659999</v>
      </c>
      <c r="DF13" s="871">
        <v>1817.0738616215201</v>
      </c>
      <c r="DG13" s="871">
        <v>2695.0322844490001</v>
      </c>
      <c r="DH13" s="871">
        <v>3120.9976404469999</v>
      </c>
      <c r="DI13" s="871">
        <v>3314.5893999999998</v>
      </c>
      <c r="DJ13" s="871">
        <v>866.37760000000003</v>
      </c>
      <c r="DK13" s="871">
        <v>900.40719999999999</v>
      </c>
      <c r="DL13" s="871">
        <v>1137.1183000000001</v>
      </c>
      <c r="DM13" s="871">
        <v>1462.2851083</v>
      </c>
      <c r="DN13" s="871">
        <v>2284.8067703370002</v>
      </c>
      <c r="DO13" s="871">
        <v>2993.7663896998502</v>
      </c>
      <c r="DP13" s="871">
        <v>3844.4734791000001</v>
      </c>
      <c r="DQ13" s="871">
        <v>225.05670130499999</v>
      </c>
      <c r="DR13" s="871">
        <v>204.86840640899999</v>
      </c>
      <c r="DS13" s="871">
        <v>316.87517032</v>
      </c>
      <c r="DT13" s="871">
        <v>588.67963597699998</v>
      </c>
      <c r="DU13" s="871">
        <v>548.71</v>
      </c>
      <c r="DV13" s="871">
        <v>255.66828380000001</v>
      </c>
      <c r="DW13" s="871">
        <v>292.86016089999998</v>
      </c>
      <c r="DX13" s="871">
        <v>346.34592040000001</v>
      </c>
      <c r="DY13" s="871">
        <v>411.78413870000003</v>
      </c>
      <c r="DZ13" s="871">
        <v>465.2957121</v>
      </c>
      <c r="EA13" s="871">
        <v>694.83088510000005</v>
      </c>
      <c r="EB13" s="871">
        <v>814.61423279999997</v>
      </c>
      <c r="EC13" s="871">
        <v>5381.3730880000003</v>
      </c>
      <c r="ED13" s="871">
        <v>6724.2657127781804</v>
      </c>
      <c r="EE13" s="871">
        <v>7998.8640883046</v>
      </c>
      <c r="EF13" s="871">
        <v>9401.7238442261405</v>
      </c>
      <c r="EG13" s="871">
        <v>10821.5980227745</v>
      </c>
      <c r="EH13" s="871">
        <v>13033.3500389983</v>
      </c>
      <c r="EI13" s="871">
        <v>14506.36063394375</v>
      </c>
      <c r="EJ13" s="871">
        <v>2715.6011374</v>
      </c>
      <c r="EK13" s="871">
        <v>3364.5874537999998</v>
      </c>
      <c r="EL13" s="871">
        <v>4292.1957388999999</v>
      </c>
      <c r="EM13" s="871">
        <v>5075.4961820999997</v>
      </c>
      <c r="EN13" s="871">
        <v>5745.0466715000002</v>
      </c>
      <c r="EO13" s="871">
        <v>6484.3420718999996</v>
      </c>
      <c r="EP13" s="871">
        <v>7104.5839077999999</v>
      </c>
      <c r="EQ13" s="871">
        <v>3300.60626302316</v>
      </c>
      <c r="ER13" s="871">
        <v>4365.6015087962096</v>
      </c>
      <c r="ES13" s="871">
        <v>5292.1921020969503</v>
      </c>
      <c r="ET13" s="871">
        <v>6356.5684277770997</v>
      </c>
      <c r="EU13" s="871">
        <v>7426.9658477677203</v>
      </c>
      <c r="EV13" s="871">
        <v>9578.0272000000004</v>
      </c>
      <c r="EW13" s="871">
        <v>10919.089600000001</v>
      </c>
      <c r="EX13" s="871">
        <v>6019.7147790999998</v>
      </c>
      <c r="EY13" s="871">
        <v>6715.8818871000003</v>
      </c>
      <c r="EZ13" s="871">
        <v>7876.4841329000001</v>
      </c>
      <c r="FA13" s="871">
        <v>8938.2842091999992</v>
      </c>
      <c r="FB13" s="871">
        <v>9509.9860702000005</v>
      </c>
      <c r="FC13" s="871">
        <v>10540.6971519</v>
      </c>
      <c r="FD13" s="871">
        <v>10827.810000000001</v>
      </c>
      <c r="FE13" s="871">
        <v>3684.4036194999999</v>
      </c>
      <c r="FF13" s="871">
        <v>4851.1371490000001</v>
      </c>
      <c r="FG13" s="871">
        <v>6621.1776978999997</v>
      </c>
      <c r="FH13" s="871">
        <v>10050.482389299999</v>
      </c>
      <c r="FI13" s="871">
        <v>11893.0786083</v>
      </c>
      <c r="FJ13" s="871">
        <v>16176.9115489</v>
      </c>
      <c r="FK13" s="871">
        <v>19881.132947099999</v>
      </c>
      <c r="FL13" s="871">
        <v>1086.3695600999999</v>
      </c>
      <c r="FM13" s="871">
        <v>1625.9322023</v>
      </c>
      <c r="FN13" s="872">
        <v>2150.1849615000001</v>
      </c>
      <c r="FO13" s="872">
        <v>2343.9916920000001</v>
      </c>
      <c r="FP13" s="872">
        <v>3020.0720203000001</v>
      </c>
      <c r="FQ13" s="872">
        <v>3553.6976850999999</v>
      </c>
      <c r="FR13" s="872">
        <v>3741.4361882999997</v>
      </c>
      <c r="FS13" s="871">
        <v>61968.247347551376</v>
      </c>
      <c r="FT13" s="871">
        <v>85066.368966769951</v>
      </c>
      <c r="FU13" s="871">
        <v>97966.731660976191</v>
      </c>
      <c r="FV13" s="871">
        <v>120482.91172381636</v>
      </c>
      <c r="FW13" s="871">
        <v>143034.78521729115</v>
      </c>
      <c r="FX13" s="871">
        <v>178133.95633560835</v>
      </c>
      <c r="FY13" s="871">
        <v>200450.26708013876</v>
      </c>
      <c r="FZ13" s="520">
        <v>6105.2170407166504</v>
      </c>
      <c r="GA13" s="521">
        <v>7487.5207246</v>
      </c>
      <c r="GB13" s="876">
        <v>7608.0736797</v>
      </c>
      <c r="GC13" s="870">
        <v>6974.5371506554902</v>
      </c>
      <c r="GD13" s="870">
        <v>7440.7526024999997</v>
      </c>
      <c r="GE13" s="870">
        <v>13684.991997339999</v>
      </c>
      <c r="GF13" s="870">
        <v>12158.709500000001</v>
      </c>
      <c r="GG13" s="870">
        <v>6713.3650433000003</v>
      </c>
      <c r="GH13" s="870">
        <v>7891.7337353000003</v>
      </c>
      <c r="GI13" s="870">
        <v>8306.9410360000002</v>
      </c>
      <c r="GJ13" s="870">
        <v>10033.0542145</v>
      </c>
      <c r="GK13" s="870">
        <v>11044.6336651</v>
      </c>
      <c r="GL13" s="519">
        <v>12435.583218199999</v>
      </c>
      <c r="GM13" s="519">
        <v>13526.581357999999</v>
      </c>
      <c r="GN13" s="870">
        <v>12818.582084016651</v>
      </c>
      <c r="GO13" s="870">
        <v>15379.254459899999</v>
      </c>
      <c r="GP13" s="870">
        <v>15915.014715699999</v>
      </c>
      <c r="GQ13" s="870">
        <v>17007.591365155491</v>
      </c>
      <c r="GR13" s="870">
        <v>18485.386267599999</v>
      </c>
      <c r="GS13" s="870">
        <v>26120.575215539997</v>
      </c>
      <c r="GT13" s="870">
        <v>25685.290858</v>
      </c>
      <c r="GU13" s="871">
        <v>228.92335009999999</v>
      </c>
      <c r="GV13" s="871">
        <v>210.07476410000001</v>
      </c>
      <c r="GW13" s="871">
        <v>487.65141436499999</v>
      </c>
      <c r="GX13" s="871">
        <v>836.04781590899995</v>
      </c>
      <c r="GY13" s="871">
        <v>1237.967298627</v>
      </c>
      <c r="GZ13" s="871">
        <v>1524.0404601999999</v>
      </c>
      <c r="HA13" s="871">
        <v>453.29262970000002</v>
      </c>
      <c r="HB13" s="871">
        <v>606.80622789999995</v>
      </c>
      <c r="HC13" s="871">
        <v>927.91949322873302</v>
      </c>
      <c r="HD13" s="871">
        <v>1301.6577302999999</v>
      </c>
      <c r="HE13" s="871">
        <v>1775.7276724999999</v>
      </c>
      <c r="HF13" s="871">
        <v>2635.0060417</v>
      </c>
      <c r="HG13" s="871">
        <v>3566.0769541999998</v>
      </c>
      <c r="HH13" s="871">
        <v>705.05803879999996</v>
      </c>
      <c r="HI13" s="871">
        <v>915.45962750000001</v>
      </c>
      <c r="HJ13" s="871">
        <v>1168.6441783</v>
      </c>
      <c r="HK13" s="871">
        <v>1467.0082169</v>
      </c>
      <c r="HL13" s="871">
        <v>1890.2125814000001</v>
      </c>
      <c r="HM13" s="871">
        <v>191.12974209999999</v>
      </c>
      <c r="HN13" s="871">
        <v>276.00525273833301</v>
      </c>
      <c r="HO13" s="871">
        <v>335.54909233218098</v>
      </c>
      <c r="HP13" s="871">
        <v>536.00767883699996</v>
      </c>
      <c r="HQ13" s="871">
        <v>605.31183191789296</v>
      </c>
      <c r="HR13" s="871">
        <v>802.14255197800003</v>
      </c>
      <c r="HS13" s="871">
        <v>930.145800460798</v>
      </c>
      <c r="HT13" s="871">
        <v>566.45417625660696</v>
      </c>
      <c r="HU13" s="871">
        <v>627.6427003</v>
      </c>
      <c r="HV13" s="871">
        <v>665.78840772482897</v>
      </c>
      <c r="HW13" s="871">
        <v>815.57430770604196</v>
      </c>
      <c r="HX13" s="871">
        <v>1067.20767961304</v>
      </c>
      <c r="HY13" s="871">
        <v>1621.5604598059101</v>
      </c>
      <c r="HZ13" s="871">
        <v>2401.3151027587392</v>
      </c>
      <c r="IA13" s="871">
        <v>39.997087200000003</v>
      </c>
      <c r="IB13" s="871">
        <v>0</v>
      </c>
      <c r="IC13" s="871">
        <v>0</v>
      </c>
      <c r="ID13" s="871"/>
      <c r="IE13" s="871">
        <v>806.714635789</v>
      </c>
      <c r="IF13" s="871">
        <v>1428.47730432</v>
      </c>
      <c r="IG13" s="871">
        <v>2164.7154635699999</v>
      </c>
      <c r="IH13" s="871">
        <v>3030.1003122970001</v>
      </c>
      <c r="II13" s="871">
        <v>4289.9512286999998</v>
      </c>
      <c r="IJ13" s="871">
        <v>6836.6861531000004</v>
      </c>
      <c r="IK13" s="871">
        <v>11373.430002299989</v>
      </c>
      <c r="IL13" s="871">
        <v>2722.6492226456071</v>
      </c>
      <c r="IM13" s="871">
        <v>4083.3144628583332</v>
      </c>
      <c r="IN13" s="871">
        <v>5472.6913992557429</v>
      </c>
      <c r="IO13" s="825">
        <v>7677.9967476050406</v>
      </c>
      <c r="IP13" s="825">
        <v>10464.458810039932</v>
      </c>
      <c r="IQ13" s="877">
        <v>13133.362505210911</v>
      </c>
      <c r="IR13" s="825">
        <v>19795.008319919525</v>
      </c>
    </row>
    <row r="14" spans="1:252" x14ac:dyDescent="0.2">
      <c r="A14" s="869" t="s">
        <v>285</v>
      </c>
      <c r="B14" s="870">
        <v>204.8477</v>
      </c>
      <c r="C14" s="870">
        <v>187.0849</v>
      </c>
      <c r="D14" s="870">
        <v>190.57730000000001</v>
      </c>
      <c r="E14" s="519">
        <v>39.139600000000002</v>
      </c>
      <c r="F14" s="519">
        <v>36.859299999999998</v>
      </c>
      <c r="G14" s="519">
        <v>34.79</v>
      </c>
      <c r="H14" s="519">
        <v>32.61</v>
      </c>
      <c r="I14" s="870">
        <v>328.848899824</v>
      </c>
      <c r="J14" s="870">
        <v>308.93950322699999</v>
      </c>
      <c r="K14" s="870">
        <v>260.138120335</v>
      </c>
      <c r="L14" s="519">
        <v>278.71442116600002</v>
      </c>
      <c r="M14" s="519">
        <v>313.08655762900003</v>
      </c>
      <c r="N14" s="519">
        <v>318.848250264</v>
      </c>
      <c r="O14" s="519">
        <v>325.01129949300002</v>
      </c>
      <c r="P14" s="870">
        <v>174.0912965</v>
      </c>
      <c r="Q14" s="870">
        <v>149.6959683</v>
      </c>
      <c r="R14" s="870">
        <v>145.39609999999999</v>
      </c>
      <c r="S14" s="519">
        <v>141.721172</v>
      </c>
      <c r="T14" s="519">
        <v>144.767</v>
      </c>
      <c r="U14" s="519">
        <v>143.58000000000001</v>
      </c>
      <c r="V14" s="519">
        <v>139.787417</v>
      </c>
      <c r="W14" s="870">
        <v>289.43530379999999</v>
      </c>
      <c r="X14" s="870">
        <v>258.8177</v>
      </c>
      <c r="Y14" s="870">
        <v>265.00470000000001</v>
      </c>
      <c r="Z14" s="519">
        <v>137.6634899</v>
      </c>
      <c r="AA14" s="519">
        <v>175.74780000000001</v>
      </c>
      <c r="AB14" s="519">
        <v>191.04</v>
      </c>
      <c r="AC14" s="519">
        <v>195.04</v>
      </c>
      <c r="AD14" s="870">
        <v>997.22320012399996</v>
      </c>
      <c r="AE14" s="871">
        <f t="shared" si="0"/>
        <v>904.53807152700006</v>
      </c>
      <c r="AF14" s="872">
        <v>861.11622033499998</v>
      </c>
      <c r="AG14" s="873">
        <v>597.23868306600002</v>
      </c>
      <c r="AH14" s="873">
        <v>670.46065762900002</v>
      </c>
      <c r="AI14" s="874">
        <v>688.25825026400003</v>
      </c>
      <c r="AJ14" s="874">
        <v>692.44871649300001</v>
      </c>
      <c r="AK14" s="875">
        <v>0</v>
      </c>
      <c r="AL14" s="875">
        <v>0</v>
      </c>
      <c r="AM14" s="875">
        <v>0</v>
      </c>
      <c r="AN14" s="875">
        <v>0</v>
      </c>
      <c r="AO14" s="875">
        <v>0</v>
      </c>
      <c r="AP14" s="871">
        <v>0</v>
      </c>
      <c r="AQ14" s="871">
        <v>0</v>
      </c>
      <c r="AR14" s="871">
        <v>0</v>
      </c>
      <c r="AS14" s="871">
        <v>0</v>
      </c>
      <c r="AT14" s="871">
        <v>0</v>
      </c>
      <c r="AU14" s="871">
        <v>0</v>
      </c>
      <c r="AV14" s="871">
        <v>0</v>
      </c>
      <c r="AW14" s="871">
        <v>0</v>
      </c>
      <c r="AX14" s="871">
        <v>0</v>
      </c>
      <c r="AY14" s="871">
        <v>0</v>
      </c>
      <c r="AZ14" s="871">
        <v>0</v>
      </c>
      <c r="BA14" s="871">
        <v>0</v>
      </c>
      <c r="BB14" s="871">
        <v>0</v>
      </c>
      <c r="BC14" s="871">
        <v>0</v>
      </c>
      <c r="BD14" s="871">
        <v>0</v>
      </c>
      <c r="BE14" s="871">
        <v>0</v>
      </c>
      <c r="BF14" s="871">
        <v>0</v>
      </c>
      <c r="BG14" s="871">
        <v>0</v>
      </c>
      <c r="BH14" s="871">
        <v>0</v>
      </c>
      <c r="BI14" s="871">
        <v>0</v>
      </c>
      <c r="BJ14" s="871">
        <v>0</v>
      </c>
      <c r="BK14" s="871">
        <v>0</v>
      </c>
      <c r="BL14" s="871">
        <v>0</v>
      </c>
      <c r="BM14" s="871">
        <v>0</v>
      </c>
      <c r="BN14" s="871">
        <v>0</v>
      </c>
      <c r="BO14" s="871">
        <v>0</v>
      </c>
      <c r="BP14" s="871">
        <v>0</v>
      </c>
      <c r="BQ14" s="871">
        <v>0</v>
      </c>
      <c r="BR14" s="871">
        <v>0</v>
      </c>
      <c r="BS14" s="871">
        <v>0</v>
      </c>
      <c r="BT14" s="871">
        <v>0</v>
      </c>
      <c r="BU14" s="871">
        <v>0</v>
      </c>
      <c r="BV14" s="871">
        <v>0</v>
      </c>
      <c r="BW14" s="871">
        <v>0</v>
      </c>
      <c r="BX14" s="871">
        <v>0</v>
      </c>
      <c r="BY14" s="871">
        <v>0</v>
      </c>
      <c r="BZ14" s="871">
        <v>0</v>
      </c>
      <c r="CA14" s="871">
        <v>0</v>
      </c>
      <c r="CB14" s="871">
        <v>0</v>
      </c>
      <c r="CC14" s="871">
        <v>0</v>
      </c>
      <c r="CD14" s="871">
        <v>0</v>
      </c>
      <c r="CE14" s="871">
        <v>0</v>
      </c>
      <c r="CF14" s="871">
        <v>0</v>
      </c>
      <c r="CG14" s="871">
        <v>0</v>
      </c>
      <c r="CH14" s="871">
        <v>0</v>
      </c>
      <c r="CI14" s="871">
        <v>0</v>
      </c>
      <c r="CJ14" s="871">
        <v>0</v>
      </c>
      <c r="CK14" s="871">
        <v>0</v>
      </c>
      <c r="CL14" s="871">
        <v>0</v>
      </c>
      <c r="CM14" s="871">
        <v>0</v>
      </c>
      <c r="CN14" s="871">
        <v>0</v>
      </c>
      <c r="CO14" s="871">
        <v>0</v>
      </c>
      <c r="CP14" s="871">
        <v>0</v>
      </c>
      <c r="CQ14" s="871">
        <v>0</v>
      </c>
      <c r="CR14" s="871">
        <v>0</v>
      </c>
      <c r="CS14" s="871">
        <v>0</v>
      </c>
      <c r="CT14" s="871">
        <v>0</v>
      </c>
      <c r="CU14" s="871">
        <v>0</v>
      </c>
      <c r="CV14" s="871">
        <v>0</v>
      </c>
      <c r="CW14" s="871">
        <v>0</v>
      </c>
      <c r="CX14" s="871">
        <v>0</v>
      </c>
      <c r="CY14" s="871">
        <v>0</v>
      </c>
      <c r="CZ14" s="871">
        <v>0</v>
      </c>
      <c r="DA14" s="871">
        <v>0</v>
      </c>
      <c r="DB14" s="871">
        <v>0</v>
      </c>
      <c r="DC14" s="871">
        <v>0</v>
      </c>
      <c r="DD14" s="871">
        <v>0</v>
      </c>
      <c r="DE14" s="871">
        <v>0</v>
      </c>
      <c r="DF14" s="871">
        <v>0</v>
      </c>
      <c r="DG14" s="871">
        <v>0</v>
      </c>
      <c r="DH14" s="871">
        <v>0</v>
      </c>
      <c r="DI14" s="871">
        <v>0</v>
      </c>
      <c r="DJ14" s="871">
        <v>0</v>
      </c>
      <c r="DK14" s="871">
        <v>0</v>
      </c>
      <c r="DL14" s="871">
        <v>0</v>
      </c>
      <c r="DM14" s="871">
        <v>5.9840039999999997</v>
      </c>
      <c r="DN14" s="871">
        <v>4.4987345000000003</v>
      </c>
      <c r="DO14" s="871">
        <v>3.4673295</v>
      </c>
      <c r="DP14" s="871">
        <v>0.26433669999999998</v>
      </c>
      <c r="DQ14" s="871">
        <v>0</v>
      </c>
      <c r="DR14" s="871">
        <v>0</v>
      </c>
      <c r="DS14" s="871">
        <v>0</v>
      </c>
      <c r="DT14" s="871">
        <v>0</v>
      </c>
      <c r="DU14" s="871"/>
      <c r="DV14" s="871">
        <v>0</v>
      </c>
      <c r="DW14" s="871">
        <v>0</v>
      </c>
      <c r="DX14" s="871">
        <v>0</v>
      </c>
      <c r="DY14" s="871">
        <v>0</v>
      </c>
      <c r="DZ14" s="871">
        <v>0</v>
      </c>
      <c r="EA14" s="871">
        <v>0</v>
      </c>
      <c r="EB14" s="871">
        <v>0</v>
      </c>
      <c r="EC14" s="871">
        <v>0</v>
      </c>
      <c r="ED14" s="871">
        <v>0</v>
      </c>
      <c r="EE14" s="871">
        <v>0</v>
      </c>
      <c r="EF14" s="871">
        <v>0</v>
      </c>
      <c r="EG14" s="871">
        <v>0</v>
      </c>
      <c r="EH14" s="871">
        <v>0</v>
      </c>
      <c r="EI14" s="871">
        <v>0</v>
      </c>
      <c r="EJ14" s="871">
        <v>0</v>
      </c>
      <c r="EK14" s="871">
        <v>0</v>
      </c>
      <c r="EL14" s="871">
        <v>0</v>
      </c>
      <c r="EM14" s="871">
        <v>0</v>
      </c>
      <c r="EN14" s="871">
        <v>0</v>
      </c>
      <c r="EO14" s="871">
        <v>0</v>
      </c>
      <c r="EP14" s="871">
        <v>0</v>
      </c>
      <c r="EQ14" s="871">
        <v>0</v>
      </c>
      <c r="ER14" s="871">
        <v>0</v>
      </c>
      <c r="ES14" s="871">
        <v>0</v>
      </c>
      <c r="ET14" s="871">
        <v>0</v>
      </c>
      <c r="EU14" s="871">
        <v>0</v>
      </c>
      <c r="EV14" s="871">
        <v>0</v>
      </c>
      <c r="EW14" s="871">
        <v>0</v>
      </c>
      <c r="EX14" s="871">
        <v>0</v>
      </c>
      <c r="EY14" s="871">
        <v>0</v>
      </c>
      <c r="EZ14" s="871">
        <v>0</v>
      </c>
      <c r="FA14" s="871">
        <v>0</v>
      </c>
      <c r="FB14" s="871">
        <v>0</v>
      </c>
      <c r="FC14" s="871">
        <v>0</v>
      </c>
      <c r="FD14" s="871"/>
      <c r="FE14" s="871">
        <v>0</v>
      </c>
      <c r="FF14" s="871">
        <v>0</v>
      </c>
      <c r="FG14" s="871">
        <v>0</v>
      </c>
      <c r="FH14" s="871">
        <v>0</v>
      </c>
      <c r="FI14" s="871">
        <v>0</v>
      </c>
      <c r="FJ14" s="871">
        <v>0</v>
      </c>
      <c r="FK14" s="871">
        <v>0</v>
      </c>
      <c r="FL14" s="871">
        <v>0</v>
      </c>
      <c r="FM14" s="871">
        <v>0</v>
      </c>
      <c r="FN14" s="872">
        <v>0</v>
      </c>
      <c r="FO14" s="872">
        <v>0</v>
      </c>
      <c r="FP14" s="872">
        <v>0</v>
      </c>
      <c r="FQ14" s="872">
        <v>0</v>
      </c>
      <c r="FR14" s="872">
        <v>0</v>
      </c>
      <c r="FS14" s="871">
        <v>0</v>
      </c>
      <c r="FT14" s="871">
        <v>0</v>
      </c>
      <c r="FU14" s="871">
        <v>0</v>
      </c>
      <c r="FV14" s="871">
        <v>5.9840039999999997</v>
      </c>
      <c r="FW14" s="871">
        <v>4.4987345000000003</v>
      </c>
      <c r="FX14" s="871">
        <v>3.4673295</v>
      </c>
      <c r="FY14" s="871">
        <v>0.26433669999999998</v>
      </c>
      <c r="FZ14" s="520">
        <v>3.7831999999999999</v>
      </c>
      <c r="GA14" s="521">
        <v>4.9028939999999999</v>
      </c>
      <c r="GB14" s="876">
        <v>9.3898501999999997</v>
      </c>
      <c r="GC14" s="870">
        <v>12.046080399999999</v>
      </c>
      <c r="GD14" s="870">
        <v>14.013656900000001</v>
      </c>
      <c r="GE14" s="870">
        <v>14.7531614</v>
      </c>
      <c r="GF14" s="870">
        <v>14.807972700000001</v>
      </c>
      <c r="GG14" s="870">
        <v>0</v>
      </c>
      <c r="GH14" s="870">
        <v>0</v>
      </c>
      <c r="GI14" s="870">
        <v>0</v>
      </c>
      <c r="GJ14" s="870">
        <v>0</v>
      </c>
      <c r="GK14" s="870">
        <v>0</v>
      </c>
      <c r="GL14" s="871">
        <v>0</v>
      </c>
      <c r="GM14" s="871">
        <v>0</v>
      </c>
      <c r="GN14" s="870">
        <v>3.7831999999999999</v>
      </c>
      <c r="GO14" s="870">
        <v>4.9028939999999999</v>
      </c>
      <c r="GP14" s="870">
        <v>9.3898501999999997</v>
      </c>
      <c r="GQ14" s="870">
        <v>12.046080399999999</v>
      </c>
      <c r="GR14" s="870">
        <v>14.013656900000001</v>
      </c>
      <c r="GS14" s="870">
        <v>14.7531614</v>
      </c>
      <c r="GT14" s="870">
        <v>14.807972700000001</v>
      </c>
      <c r="GU14" s="871">
        <v>0</v>
      </c>
      <c r="GV14" s="871">
        <v>0</v>
      </c>
      <c r="GW14" s="871">
        <v>0</v>
      </c>
      <c r="GX14" s="871">
        <v>0</v>
      </c>
      <c r="GY14" s="871">
        <v>0</v>
      </c>
      <c r="GZ14" s="871">
        <v>0</v>
      </c>
      <c r="HA14" s="871">
        <v>0</v>
      </c>
      <c r="HB14" s="871">
        <v>0</v>
      </c>
      <c r="HC14" s="871">
        <v>0</v>
      </c>
      <c r="HD14" s="871">
        <v>0</v>
      </c>
      <c r="HE14" s="871">
        <v>0</v>
      </c>
      <c r="HF14" s="871">
        <v>0</v>
      </c>
      <c r="HG14" s="871">
        <v>0</v>
      </c>
      <c r="HH14" s="871">
        <v>0</v>
      </c>
      <c r="HI14" s="871">
        <v>0</v>
      </c>
      <c r="HJ14" s="871">
        <v>0</v>
      </c>
      <c r="HK14" s="871">
        <v>0</v>
      </c>
      <c r="HL14" s="871">
        <v>0</v>
      </c>
      <c r="HM14" s="871">
        <v>0</v>
      </c>
      <c r="HN14" s="871">
        <v>0</v>
      </c>
      <c r="HO14" s="871">
        <v>0</v>
      </c>
      <c r="HP14" s="871">
        <v>0</v>
      </c>
      <c r="HQ14" s="871">
        <v>0</v>
      </c>
      <c r="HR14" s="871">
        <v>0</v>
      </c>
      <c r="HS14" s="871">
        <v>0</v>
      </c>
      <c r="HT14" s="871">
        <v>0</v>
      </c>
      <c r="HU14" s="871">
        <v>0</v>
      </c>
      <c r="HV14" s="871">
        <v>0</v>
      </c>
      <c r="HW14" s="871">
        <v>0</v>
      </c>
      <c r="HX14" s="871">
        <v>0</v>
      </c>
      <c r="HY14" s="871">
        <v>0</v>
      </c>
      <c r="HZ14" s="871">
        <v>0</v>
      </c>
      <c r="IA14" s="871">
        <v>0</v>
      </c>
      <c r="IB14" s="871">
        <v>0</v>
      </c>
      <c r="IC14" s="871">
        <v>0</v>
      </c>
      <c r="ID14" s="871"/>
      <c r="IE14" s="871">
        <v>0</v>
      </c>
      <c r="IF14" s="871">
        <v>0</v>
      </c>
      <c r="IG14" s="871">
        <v>0</v>
      </c>
      <c r="IH14" s="871">
        <v>0</v>
      </c>
      <c r="II14" s="871">
        <v>0</v>
      </c>
      <c r="IJ14" s="871">
        <v>0</v>
      </c>
      <c r="IK14" s="871">
        <v>0</v>
      </c>
      <c r="IL14" s="871">
        <v>0</v>
      </c>
      <c r="IM14" s="871">
        <v>0</v>
      </c>
      <c r="IN14" s="871">
        <v>0</v>
      </c>
      <c r="IO14" s="825">
        <v>0</v>
      </c>
      <c r="IP14" s="825">
        <v>0</v>
      </c>
      <c r="IQ14" s="877">
        <v>0</v>
      </c>
      <c r="IR14" s="825">
        <v>0</v>
      </c>
    </row>
    <row r="15" spans="1:252" x14ac:dyDescent="0.2">
      <c r="A15" s="869" t="s">
        <v>286</v>
      </c>
      <c r="B15" s="870">
        <v>182.18575960000001</v>
      </c>
      <c r="C15" s="870">
        <v>283.5419</v>
      </c>
      <c r="D15" s="870">
        <v>312.64369135929201</v>
      </c>
      <c r="E15" s="519">
        <v>374.22</v>
      </c>
      <c r="F15" s="519">
        <v>372.06189999999998</v>
      </c>
      <c r="G15" s="519">
        <v>509.12</v>
      </c>
      <c r="H15" s="519">
        <v>549.54999999999995</v>
      </c>
      <c r="I15" s="870">
        <v>260.80517429299999</v>
      </c>
      <c r="J15" s="870">
        <v>364.11236419900001</v>
      </c>
      <c r="K15" s="870">
        <v>511.96462301700001</v>
      </c>
      <c r="L15" s="519">
        <v>518.89681008699995</v>
      </c>
      <c r="M15" s="519">
        <v>491.540847853</v>
      </c>
      <c r="N15" s="519">
        <v>422.684610749</v>
      </c>
      <c r="O15" s="519">
        <v>438.70400771999999</v>
      </c>
      <c r="P15" s="870">
        <v>308.6742256</v>
      </c>
      <c r="Q15" s="870">
        <v>429.827448</v>
      </c>
      <c r="R15" s="870">
        <v>506.44659999999999</v>
      </c>
      <c r="S15" s="519">
        <v>590.14103060000002</v>
      </c>
      <c r="T15" s="519">
        <v>597.88810000000001</v>
      </c>
      <c r="U15" s="519">
        <v>553.34140000000002</v>
      </c>
      <c r="V15" s="519">
        <v>526.82093580000003</v>
      </c>
      <c r="W15" s="870">
        <v>144.3724747</v>
      </c>
      <c r="X15" s="870">
        <v>152.0685</v>
      </c>
      <c r="Y15" s="870">
        <v>184.37950000000001</v>
      </c>
      <c r="Z15" s="519">
        <v>247.71339359999999</v>
      </c>
      <c r="AA15" s="519">
        <v>271.9898</v>
      </c>
      <c r="AB15" s="519">
        <v>258.08</v>
      </c>
      <c r="AC15" s="519">
        <v>449.89</v>
      </c>
      <c r="AD15" s="870">
        <v>896.03763419300003</v>
      </c>
      <c r="AE15" s="871">
        <f t="shared" si="0"/>
        <v>1229.550212199</v>
      </c>
      <c r="AF15" s="872">
        <v>1515.4344143762919</v>
      </c>
      <c r="AG15" s="873">
        <v>1730.971234287</v>
      </c>
      <c r="AH15" s="873">
        <v>1733.4806478530002</v>
      </c>
      <c r="AI15" s="874">
        <v>1743.2260107489999</v>
      </c>
      <c r="AJ15" s="874">
        <v>1964.9649435199999</v>
      </c>
      <c r="AK15" s="875">
        <v>0.94189999999999996</v>
      </c>
      <c r="AL15" s="875">
        <v>1.667255178</v>
      </c>
      <c r="AM15" s="875">
        <v>7.3410726750000004</v>
      </c>
      <c r="AN15" s="875">
        <v>4.2019519750000001</v>
      </c>
      <c r="AO15" s="875">
        <v>3.8482184749999999</v>
      </c>
      <c r="AP15" s="871">
        <v>273.06810000000002</v>
      </c>
      <c r="AQ15" s="871">
        <v>296.56142039899999</v>
      </c>
      <c r="AR15" s="871">
        <v>312.26859999999999</v>
      </c>
      <c r="AS15" s="871">
        <v>344.39085076700002</v>
      </c>
      <c r="AT15" s="871">
        <v>429.55720833499998</v>
      </c>
      <c r="AU15" s="871">
        <v>427.105829105</v>
      </c>
      <c r="AV15" s="871">
        <v>424.160399273</v>
      </c>
      <c r="AW15" s="871">
        <v>14.660061914</v>
      </c>
      <c r="AX15" s="871">
        <v>11.286892309000001</v>
      </c>
      <c r="AY15" s="871">
        <v>20.539183844</v>
      </c>
      <c r="AZ15" s="871">
        <v>19.974604005</v>
      </c>
      <c r="BA15" s="871">
        <v>18.525237079</v>
      </c>
      <c r="BB15" s="871">
        <v>17.733596979000001</v>
      </c>
      <c r="BC15" s="871">
        <v>61.524534699999997</v>
      </c>
      <c r="BD15" s="871">
        <v>69.138536400000007</v>
      </c>
      <c r="BE15" s="871">
        <v>70.312273599999997</v>
      </c>
      <c r="BF15" s="871">
        <v>68.695240999999996</v>
      </c>
      <c r="BG15" s="871">
        <v>72.361512099999999</v>
      </c>
      <c r="BH15" s="871">
        <v>72.672199990999999</v>
      </c>
      <c r="BI15" s="871">
        <v>84.807791726000005</v>
      </c>
      <c r="BJ15" s="871">
        <v>7.8815613180000001</v>
      </c>
      <c r="BK15" s="871">
        <v>11.179135414999999</v>
      </c>
      <c r="BL15" s="871">
        <v>12.130593102000001</v>
      </c>
      <c r="BM15" s="871">
        <v>12.962090602</v>
      </c>
      <c r="BN15" s="871">
        <v>17.589557102000001</v>
      </c>
      <c r="BO15" s="871">
        <v>17.420839699999998</v>
      </c>
      <c r="BP15" s="871">
        <v>16.265085899999999</v>
      </c>
      <c r="BQ15" s="871">
        <v>16.5777547</v>
      </c>
      <c r="BR15" s="871">
        <v>16.892171000000001</v>
      </c>
      <c r="BS15" s="871">
        <v>19.79954</v>
      </c>
      <c r="BT15" s="871">
        <v>41.098745870999998</v>
      </c>
      <c r="BU15" s="871">
        <v>49.428146980000001</v>
      </c>
      <c r="BV15" s="871">
        <v>5.0890000000000004</v>
      </c>
      <c r="BW15" s="871">
        <v>14.65630578</v>
      </c>
      <c r="BX15" s="871">
        <v>87.443100000000001</v>
      </c>
      <c r="BY15" s="871">
        <v>102.40798718000001</v>
      </c>
      <c r="BZ15" s="871">
        <v>148.50178718000001</v>
      </c>
      <c r="CA15" s="871">
        <v>14.413667135000001</v>
      </c>
      <c r="CB15" s="871">
        <v>148.83860000000001</v>
      </c>
      <c r="CC15" s="871">
        <v>209.5017</v>
      </c>
      <c r="CD15" s="871">
        <v>213.505</v>
      </c>
      <c r="CE15" s="871">
        <v>243.01</v>
      </c>
      <c r="CF15" s="871">
        <v>273.36</v>
      </c>
      <c r="CG15" s="871">
        <v>299.29622779499999</v>
      </c>
      <c r="CH15" s="871">
        <v>383.1368119</v>
      </c>
      <c r="CI15" s="871">
        <v>382.6654183</v>
      </c>
      <c r="CJ15" s="871">
        <v>405.98570799999999</v>
      </c>
      <c r="CK15" s="871">
        <v>465.2317524</v>
      </c>
      <c r="CL15" s="871">
        <v>676.58137899999997</v>
      </c>
      <c r="CM15" s="871">
        <v>626.83418500000005</v>
      </c>
      <c r="CN15" s="871">
        <v>577.48</v>
      </c>
      <c r="CO15" s="871">
        <v>22.069469600000001</v>
      </c>
      <c r="CP15" s="871">
        <v>30.153593099999998</v>
      </c>
      <c r="CQ15" s="871">
        <v>33.073702099999998</v>
      </c>
      <c r="CR15" s="871">
        <v>58.508956699999999</v>
      </c>
      <c r="CS15" s="871">
        <v>66.045599999999993</v>
      </c>
      <c r="CT15" s="871">
        <v>89.799436200000002</v>
      </c>
      <c r="CU15" s="871">
        <v>153.23937290000001</v>
      </c>
      <c r="CV15" s="871">
        <v>13.627825899999999</v>
      </c>
      <c r="CW15" s="871">
        <v>13.671051200000001</v>
      </c>
      <c r="CX15" s="871">
        <v>10.2992098</v>
      </c>
      <c r="CY15" s="871">
        <v>7.1284098</v>
      </c>
      <c r="CZ15" s="871">
        <v>7.6693097999999997</v>
      </c>
      <c r="DA15" s="871">
        <v>6.9201097999999996</v>
      </c>
      <c r="DB15" s="871">
        <v>10.148009800000001</v>
      </c>
      <c r="DC15" s="871">
        <v>24.365166716000001</v>
      </c>
      <c r="DD15" s="871">
        <v>25.177109879</v>
      </c>
      <c r="DE15" s="871">
        <v>25.468630487999999</v>
      </c>
      <c r="DF15" s="871">
        <v>26.081276119999998</v>
      </c>
      <c r="DG15" s="871">
        <v>24.645377190000001</v>
      </c>
      <c r="DH15" s="871">
        <v>28.291080415</v>
      </c>
      <c r="DI15" s="871">
        <v>38.265309887000001</v>
      </c>
      <c r="DJ15" s="871">
        <v>6.2046760000000001</v>
      </c>
      <c r="DK15" s="871">
        <v>14.9704145</v>
      </c>
      <c r="DL15" s="871">
        <v>17.036214699999999</v>
      </c>
      <c r="DM15" s="871">
        <v>26.986064939999999</v>
      </c>
      <c r="DN15" s="871">
        <v>26.957280340000001</v>
      </c>
      <c r="DO15" s="871">
        <v>23.606692240000001</v>
      </c>
      <c r="DP15" s="871">
        <v>27.552591540000002</v>
      </c>
      <c r="DQ15" s="871">
        <v>83.772917667000002</v>
      </c>
      <c r="DR15" s="871">
        <v>53.800293699999997</v>
      </c>
      <c r="DS15" s="871">
        <v>53.844108390000002</v>
      </c>
      <c r="DT15" s="871">
        <v>0.62744028699999999</v>
      </c>
      <c r="DU15" s="871">
        <v>0.38</v>
      </c>
      <c r="DV15" s="871">
        <v>0.45167659999999998</v>
      </c>
      <c r="DW15" s="871">
        <v>1.0561642</v>
      </c>
      <c r="DX15" s="871">
        <v>2.4374547999999998</v>
      </c>
      <c r="DY15" s="871">
        <v>1.9686452999999999</v>
      </c>
      <c r="DZ15" s="871">
        <v>4.2588822000000004</v>
      </c>
      <c r="EA15" s="871">
        <v>7.1353102000000002</v>
      </c>
      <c r="EB15" s="871">
        <v>8.3173539000000005</v>
      </c>
      <c r="EC15" s="871">
        <v>33.917927300000002</v>
      </c>
      <c r="ED15" s="871">
        <v>32.173862065999998</v>
      </c>
      <c r="EE15" s="871">
        <v>36.125189018999997</v>
      </c>
      <c r="EF15" s="871">
        <v>33.491595197999999</v>
      </c>
      <c r="EG15" s="871">
        <v>41.193760341000001</v>
      </c>
      <c r="EH15" s="871">
        <v>48.578522026999998</v>
      </c>
      <c r="EI15" s="871">
        <v>93.365338277000006</v>
      </c>
      <c r="EJ15" s="871">
        <v>32.686997599999998</v>
      </c>
      <c r="EK15" s="871">
        <v>28.6019009</v>
      </c>
      <c r="EL15" s="871">
        <v>28.059481900000002</v>
      </c>
      <c r="EM15" s="871">
        <v>30.889968499999998</v>
      </c>
      <c r="EN15" s="871">
        <v>31.425080300000001</v>
      </c>
      <c r="EO15" s="871">
        <v>26.799717000000001</v>
      </c>
      <c r="EP15" s="871">
        <v>28.026036099999999</v>
      </c>
      <c r="EQ15" s="871">
        <v>53.087882421000003</v>
      </c>
      <c r="ER15" s="871">
        <v>37.341618957000001</v>
      </c>
      <c r="ES15" s="871">
        <v>56.209637065000003</v>
      </c>
      <c r="ET15" s="871">
        <v>90.975374908999996</v>
      </c>
      <c r="EU15" s="871">
        <v>111.674859817</v>
      </c>
      <c r="EV15" s="871">
        <v>213.58625981700001</v>
      </c>
      <c r="EW15" s="871">
        <v>225.89625981699999</v>
      </c>
      <c r="EX15" s="871">
        <v>48.518648599999999</v>
      </c>
      <c r="EY15" s="871">
        <v>49.069775200000002</v>
      </c>
      <c r="EZ15" s="871">
        <v>49.178097800000003</v>
      </c>
      <c r="FA15" s="871">
        <v>50.238164500000003</v>
      </c>
      <c r="FB15" s="871">
        <v>49.224876700000003</v>
      </c>
      <c r="FC15" s="871">
        <v>45.336070999999997</v>
      </c>
      <c r="FD15" s="871">
        <v>43.57</v>
      </c>
      <c r="FE15" s="871">
        <v>98.081038669999998</v>
      </c>
      <c r="FF15" s="871">
        <v>109.2094941</v>
      </c>
      <c r="FG15" s="871">
        <v>156.73853990000001</v>
      </c>
      <c r="FH15" s="871">
        <v>193.127816</v>
      </c>
      <c r="FI15" s="871">
        <v>207.08107989999999</v>
      </c>
      <c r="FJ15" s="871">
        <v>237.08371919999999</v>
      </c>
      <c r="FK15" s="871">
        <v>283.15561120000001</v>
      </c>
      <c r="FL15" s="871">
        <v>25.3135981</v>
      </c>
      <c r="FM15" s="871">
        <v>27.7401418</v>
      </c>
      <c r="FN15" s="872">
        <v>44.713682300000002</v>
      </c>
      <c r="FO15" s="872">
        <v>39.858885000000001</v>
      </c>
      <c r="FP15" s="872">
        <v>40.402617100000001</v>
      </c>
      <c r="FQ15" s="872">
        <v>31.428870799999999</v>
      </c>
      <c r="FR15" s="872">
        <v>26.001893899999999</v>
      </c>
      <c r="FS15" s="871">
        <v>1257.0832418669997</v>
      </c>
      <c r="FT15" s="871">
        <v>1428.3464252063463</v>
      </c>
      <c r="FU15" s="871">
        <v>1592.2104390010002</v>
      </c>
      <c r="FV15" s="871">
        <v>1769.247766212</v>
      </c>
      <c r="FW15" s="871">
        <v>2231.1724743689997</v>
      </c>
      <c r="FX15" s="871">
        <v>2337.5698156890003</v>
      </c>
      <c r="FY15" s="871">
        <v>2543.0299058520004</v>
      </c>
      <c r="FZ15" s="520">
        <v>57.448650067999999</v>
      </c>
      <c r="GA15" s="521">
        <v>104.827739009</v>
      </c>
      <c r="GB15" s="876">
        <v>230.41494109999999</v>
      </c>
      <c r="GC15" s="870">
        <v>279.56029027900001</v>
      </c>
      <c r="GD15" s="870">
        <v>250.767236879</v>
      </c>
      <c r="GE15" s="870">
        <v>233.92906137899999</v>
      </c>
      <c r="GF15" s="870">
        <v>178.48045683399999</v>
      </c>
      <c r="GG15" s="870">
        <v>195.27643649999999</v>
      </c>
      <c r="GH15" s="870">
        <v>233.0001838</v>
      </c>
      <c r="GI15" s="870">
        <v>231.06342599999996</v>
      </c>
      <c r="GJ15" s="870">
        <v>270.8472218</v>
      </c>
      <c r="GK15" s="870">
        <v>293.49151460000002</v>
      </c>
      <c r="GL15" s="870">
        <v>303.63707620000002</v>
      </c>
      <c r="GM15" s="870">
        <v>326.531969</v>
      </c>
      <c r="GN15" s="870">
        <v>252.72508656799999</v>
      </c>
      <c r="GO15" s="870">
        <v>337.82792280900003</v>
      </c>
      <c r="GP15" s="870">
        <v>461.47836709999996</v>
      </c>
      <c r="GQ15" s="870">
        <v>550.40751207900007</v>
      </c>
      <c r="GR15" s="870">
        <v>544.25875147900001</v>
      </c>
      <c r="GS15" s="870">
        <v>537.56613757900004</v>
      </c>
      <c r="GT15" s="870">
        <v>505.012425834</v>
      </c>
      <c r="GU15" s="871">
        <v>28.596953166999999</v>
      </c>
      <c r="GV15" s="871">
        <v>49.984992401</v>
      </c>
      <c r="GW15" s="871">
        <v>61.743252939000001</v>
      </c>
      <c r="GX15" s="871">
        <v>74.639198422999996</v>
      </c>
      <c r="GY15" s="871">
        <v>94.517153503000003</v>
      </c>
      <c r="GZ15" s="871">
        <v>116.96018610500001</v>
      </c>
      <c r="HA15" s="871">
        <v>38.743858400000001</v>
      </c>
      <c r="HB15" s="871">
        <v>45.684157800000001</v>
      </c>
      <c r="HC15" s="871">
        <v>45.913733123</v>
      </c>
      <c r="HD15" s="871">
        <v>56.406782094999997</v>
      </c>
      <c r="HE15" s="871">
        <v>54.521065094999997</v>
      </c>
      <c r="HF15" s="871">
        <v>48.998627194999997</v>
      </c>
      <c r="HG15" s="871">
        <v>55.0718952</v>
      </c>
      <c r="HH15" s="871">
        <v>24.684390499999999</v>
      </c>
      <c r="HI15" s="871">
        <v>28.898135499999999</v>
      </c>
      <c r="HJ15" s="871">
        <v>32.710397</v>
      </c>
      <c r="HK15" s="871">
        <v>42.762115700000003</v>
      </c>
      <c r="HL15" s="871">
        <v>40.140598900000001</v>
      </c>
      <c r="HM15" s="871">
        <v>3.22343E-2</v>
      </c>
      <c r="HN15" s="871">
        <v>1.6616236099999999</v>
      </c>
      <c r="HO15" s="871">
        <v>6.8100236799999996</v>
      </c>
      <c r="HP15" s="871">
        <v>8.6463399509999999</v>
      </c>
      <c r="HQ15" s="871">
        <v>24.798566161</v>
      </c>
      <c r="HR15" s="871">
        <v>28.438840517999999</v>
      </c>
      <c r="HS15" s="871">
        <v>23.639564966999998</v>
      </c>
      <c r="HT15" s="871">
        <v>23.396260384000001</v>
      </c>
      <c r="HU15" s="871">
        <v>32.796599999999998</v>
      </c>
      <c r="HV15" s="871">
        <v>36.883297745</v>
      </c>
      <c r="HW15" s="871">
        <v>32.101862728999997</v>
      </c>
      <c r="HX15" s="871">
        <v>41.183822706000001</v>
      </c>
      <c r="HY15" s="871">
        <v>47.520211093999997</v>
      </c>
      <c r="HZ15" s="871">
        <v>49.676775794000001</v>
      </c>
      <c r="IA15" s="871">
        <v>46.4569914</v>
      </c>
      <c r="IB15" s="871">
        <v>34.6434</v>
      </c>
      <c r="IC15" s="871">
        <v>22.483499999999999</v>
      </c>
      <c r="ID15" s="871">
        <v>10.72</v>
      </c>
      <c r="IE15" s="871">
        <v>65.412825751</v>
      </c>
      <c r="IF15" s="871">
        <v>83.807300386999998</v>
      </c>
      <c r="IG15" s="871">
        <v>96.960952919999997</v>
      </c>
      <c r="IH15" s="871">
        <v>98.063133304000004</v>
      </c>
      <c r="II15" s="871">
        <v>101.86132205200001</v>
      </c>
      <c r="IJ15" s="871">
        <v>98.967284852000006</v>
      </c>
      <c r="IK15" s="871">
        <v>117.128939831</v>
      </c>
      <c r="IL15" s="871">
        <v>152.269569335</v>
      </c>
      <c r="IM15" s="871">
        <v>221.44477046399999</v>
      </c>
      <c r="IN15" s="871">
        <v>269.26339686900002</v>
      </c>
      <c r="IO15" s="825">
        <v>346.180478118</v>
      </c>
      <c r="IP15" s="825">
        <v>371.78797333699998</v>
      </c>
      <c r="IQ15" s="877">
        <v>340.92561716199998</v>
      </c>
      <c r="IR15" s="825">
        <v>362.47736189700004</v>
      </c>
    </row>
    <row r="16" spans="1:252" x14ac:dyDescent="0.2">
      <c r="A16" s="869" t="s">
        <v>287</v>
      </c>
      <c r="B16" s="870">
        <v>0</v>
      </c>
      <c r="C16" s="870">
        <v>0</v>
      </c>
      <c r="D16" s="870">
        <v>0</v>
      </c>
      <c r="E16" s="519">
        <v>0</v>
      </c>
      <c r="F16" s="519">
        <v>0</v>
      </c>
      <c r="G16" s="519">
        <v>0</v>
      </c>
      <c r="H16" s="519"/>
      <c r="I16" s="870">
        <v>218.9300432</v>
      </c>
      <c r="J16" s="870">
        <v>224.5810084</v>
      </c>
      <c r="K16" s="870">
        <v>215.34309999999999</v>
      </c>
      <c r="L16" s="519">
        <v>216.57151329999999</v>
      </c>
      <c r="M16" s="519">
        <v>238.0700488</v>
      </c>
      <c r="N16" s="519">
        <v>251.10164936800001</v>
      </c>
      <c r="O16" s="519">
        <v>267.19531176800001</v>
      </c>
      <c r="P16" s="870">
        <v>0</v>
      </c>
      <c r="Q16" s="870">
        <v>0</v>
      </c>
      <c r="R16" s="870">
        <v>0</v>
      </c>
      <c r="S16" s="519">
        <v>0</v>
      </c>
      <c r="T16" s="519">
        <v>0</v>
      </c>
      <c r="U16" s="519">
        <v>0</v>
      </c>
      <c r="V16" s="519">
        <v>0</v>
      </c>
      <c r="W16" s="870">
        <v>0</v>
      </c>
      <c r="X16" s="870">
        <v>0</v>
      </c>
      <c r="Y16" s="870">
        <v>0</v>
      </c>
      <c r="Z16" s="519">
        <v>0</v>
      </c>
      <c r="AA16" s="519">
        <v>0</v>
      </c>
      <c r="AB16" s="519">
        <v>0</v>
      </c>
      <c r="AC16" s="519"/>
      <c r="AD16" s="870">
        <v>218.9300432</v>
      </c>
      <c r="AE16" s="871">
        <f t="shared" si="0"/>
        <v>224.5810084</v>
      </c>
      <c r="AF16" s="872">
        <v>215.34309999999999</v>
      </c>
      <c r="AG16" s="873">
        <v>216.57151329999999</v>
      </c>
      <c r="AH16" s="873">
        <v>238.0700488</v>
      </c>
      <c r="AI16" s="874">
        <v>251.10164936800001</v>
      </c>
      <c r="AJ16" s="874">
        <v>267.19531176800001</v>
      </c>
      <c r="AK16" s="875">
        <v>0</v>
      </c>
      <c r="AL16" s="875">
        <v>0</v>
      </c>
      <c r="AM16" s="875">
        <v>0</v>
      </c>
      <c r="AN16" s="875">
        <v>0</v>
      </c>
      <c r="AO16" s="875">
        <v>0</v>
      </c>
      <c r="AP16" s="871">
        <v>63.356000000000002</v>
      </c>
      <c r="AQ16" s="871">
        <v>64.275537842166102</v>
      </c>
      <c r="AR16" s="871">
        <v>53.135800000000003</v>
      </c>
      <c r="AS16" s="871">
        <v>154.305096240019</v>
      </c>
      <c r="AT16" s="871">
        <v>63.795713829016698</v>
      </c>
      <c r="AU16" s="871">
        <v>126.256</v>
      </c>
      <c r="AV16" s="871">
        <v>17.826479704000899</v>
      </c>
      <c r="AW16" s="871">
        <v>0</v>
      </c>
      <c r="AX16" s="871">
        <v>0</v>
      </c>
      <c r="AY16" s="871">
        <v>0</v>
      </c>
      <c r="AZ16" s="871">
        <v>0</v>
      </c>
      <c r="BA16" s="871">
        <v>0</v>
      </c>
      <c r="BB16" s="871">
        <v>0</v>
      </c>
      <c r="BC16" s="871">
        <v>50.740900000000003</v>
      </c>
      <c r="BD16" s="871">
        <v>69.317599999999999</v>
      </c>
      <c r="BE16" s="871">
        <v>77.299459999999996</v>
      </c>
      <c r="BF16" s="871">
        <v>162.3357</v>
      </c>
      <c r="BG16" s="871">
        <v>160.17570000000001</v>
      </c>
      <c r="BH16" s="871">
        <v>197.8639</v>
      </c>
      <c r="BI16" s="871">
        <v>179.29645435800001</v>
      </c>
      <c r="BJ16" s="871">
        <v>0</v>
      </c>
      <c r="BK16" s="871">
        <v>0</v>
      </c>
      <c r="BL16" s="871">
        <v>0</v>
      </c>
      <c r="BM16" s="871">
        <v>0</v>
      </c>
      <c r="BN16" s="871">
        <v>0</v>
      </c>
      <c r="BO16" s="871">
        <v>0</v>
      </c>
      <c r="BP16" s="871">
        <v>0</v>
      </c>
      <c r="BQ16" s="871">
        <v>0</v>
      </c>
      <c r="BR16" s="871">
        <v>48.594866400000001</v>
      </c>
      <c r="BS16" s="871">
        <v>33.840392700000002</v>
      </c>
      <c r="BT16" s="871">
        <v>49.894600133899999</v>
      </c>
      <c r="BU16" s="871">
        <v>18.756865034</v>
      </c>
      <c r="BV16" s="871">
        <v>-0.23019999999999999</v>
      </c>
      <c r="BW16" s="871">
        <v>0</v>
      </c>
      <c r="BX16" s="871">
        <v>0</v>
      </c>
      <c r="BY16" s="871">
        <v>0</v>
      </c>
      <c r="BZ16" s="871">
        <v>0</v>
      </c>
      <c r="CA16" s="871">
        <v>0</v>
      </c>
      <c r="CB16" s="871"/>
      <c r="CC16" s="871">
        <v>-3.6326000000000001</v>
      </c>
      <c r="CD16" s="871">
        <v>51.7639</v>
      </c>
      <c r="CE16" s="871">
        <v>44.9848</v>
      </c>
      <c r="CF16" s="871">
        <v>73.650000000000006</v>
      </c>
      <c r="CG16" s="871">
        <v>58.660957424310197</v>
      </c>
      <c r="CH16" s="871">
        <v>134.19144790000001</v>
      </c>
      <c r="CI16" s="871">
        <v>87.228870000000001</v>
      </c>
      <c r="CJ16" s="871">
        <v>211.41283469999999</v>
      </c>
      <c r="CK16" s="871">
        <v>301.2597131</v>
      </c>
      <c r="CL16" s="871">
        <v>306.30668910000003</v>
      </c>
      <c r="CM16" s="871">
        <v>349.85570489999998</v>
      </c>
      <c r="CN16" s="871">
        <v>345.61</v>
      </c>
      <c r="CO16" s="871">
        <v>16.329999999999998</v>
      </c>
      <c r="CP16" s="871">
        <v>24.57</v>
      </c>
      <c r="CQ16" s="871">
        <v>16.850000000000001</v>
      </c>
      <c r="CR16" s="871">
        <v>38.46</v>
      </c>
      <c r="CS16" s="871">
        <v>43.38</v>
      </c>
      <c r="CT16" s="871">
        <v>26.894317300000001</v>
      </c>
      <c r="CU16" s="871">
        <v>22.58</v>
      </c>
      <c r="CV16" s="871">
        <v>0</v>
      </c>
      <c r="CW16" s="871">
        <v>0</v>
      </c>
      <c r="CX16" s="871">
        <v>0</v>
      </c>
      <c r="CY16" s="871">
        <v>0</v>
      </c>
      <c r="CZ16" s="871">
        <v>0</v>
      </c>
      <c r="DA16" s="871">
        <v>0</v>
      </c>
      <c r="DB16" s="871">
        <v>0</v>
      </c>
      <c r="DC16" s="871">
        <v>0</v>
      </c>
      <c r="DD16" s="871">
        <v>0</v>
      </c>
      <c r="DE16" s="871">
        <v>0</v>
      </c>
      <c r="DF16" s="871">
        <v>0</v>
      </c>
      <c r="DG16" s="871">
        <v>0</v>
      </c>
      <c r="DH16" s="871">
        <v>0</v>
      </c>
      <c r="DI16" s="871">
        <v>0</v>
      </c>
      <c r="DJ16" s="871">
        <v>9.9481999999999999</v>
      </c>
      <c r="DK16" s="871">
        <v>9.9481999999999999</v>
      </c>
      <c r="DL16" s="871">
        <v>9.9481999999999999</v>
      </c>
      <c r="DM16" s="871">
        <v>28.285599999999999</v>
      </c>
      <c r="DN16" s="871">
        <v>20.423463399999999</v>
      </c>
      <c r="DO16" s="871">
        <v>19.595243400000001</v>
      </c>
      <c r="DP16" s="871">
        <v>27.2023236</v>
      </c>
      <c r="DQ16" s="871">
        <v>0</v>
      </c>
      <c r="DR16" s="871">
        <v>0</v>
      </c>
      <c r="DS16" s="871">
        <v>0</v>
      </c>
      <c r="DT16" s="871">
        <v>0</v>
      </c>
      <c r="DU16" s="871"/>
      <c r="DV16" s="871">
        <v>1.2645909</v>
      </c>
      <c r="DW16" s="871">
        <v>1.2070308999999999</v>
      </c>
      <c r="DX16" s="871">
        <v>1.2433000000000001</v>
      </c>
      <c r="DY16" s="871">
        <v>2.7936565</v>
      </c>
      <c r="DZ16" s="871">
        <v>6.1533401999999997</v>
      </c>
      <c r="EA16" s="871">
        <v>6.2826056000000001</v>
      </c>
      <c r="EB16" s="871">
        <v>6.3851570999999998</v>
      </c>
      <c r="EC16" s="871">
        <v>37.273486300000002</v>
      </c>
      <c r="ED16" s="871">
        <v>37.273486300000002</v>
      </c>
      <c r="EE16" s="871">
        <v>37.273486300000002</v>
      </c>
      <c r="EF16" s="871">
        <v>37.273486300000002</v>
      </c>
      <c r="EG16" s="871">
        <v>37.273486300000002</v>
      </c>
      <c r="EH16" s="871">
        <v>37.273486300000002</v>
      </c>
      <c r="EI16" s="871">
        <v>37.273486300000002</v>
      </c>
      <c r="EJ16" s="871">
        <v>34.393399799999997</v>
      </c>
      <c r="EK16" s="871">
        <v>24.002627700000001</v>
      </c>
      <c r="EL16" s="871">
        <v>34.627415900000003</v>
      </c>
      <c r="EM16" s="871">
        <v>29.018013400000001</v>
      </c>
      <c r="EN16" s="871">
        <v>28.467154699999998</v>
      </c>
      <c r="EO16" s="871">
        <v>57.886183899999999</v>
      </c>
      <c r="EP16" s="871">
        <v>42.486769500000001</v>
      </c>
      <c r="EQ16" s="871">
        <v>0</v>
      </c>
      <c r="ER16" s="871">
        <v>0</v>
      </c>
      <c r="ES16" s="871">
        <v>36.582240900000002</v>
      </c>
      <c r="ET16" s="871">
        <v>42.216560299999998</v>
      </c>
      <c r="EU16" s="871">
        <v>16.599932299999999</v>
      </c>
      <c r="EV16" s="871">
        <v>16.757999999999999</v>
      </c>
      <c r="EW16" s="871">
        <v>16.176372956000002</v>
      </c>
      <c r="EX16" s="871">
        <v>24.773884899999999</v>
      </c>
      <c r="EY16" s="871">
        <v>30.396034199999999</v>
      </c>
      <c r="EZ16" s="871">
        <v>41.552224299999999</v>
      </c>
      <c r="FA16" s="871">
        <v>49.231507800000003</v>
      </c>
      <c r="FB16" s="871">
        <v>29.1758013</v>
      </c>
      <c r="FC16" s="871">
        <v>31.9000007</v>
      </c>
      <c r="FD16" s="871">
        <v>33.5</v>
      </c>
      <c r="FE16" s="871">
        <v>0</v>
      </c>
      <c r="FF16" s="871">
        <v>22.441486300000001</v>
      </c>
      <c r="FG16" s="871">
        <v>32.980223000000002</v>
      </c>
      <c r="FH16" s="871">
        <v>34.635162700000002</v>
      </c>
      <c r="FI16" s="871">
        <v>-3.7930953999999999</v>
      </c>
      <c r="FJ16" s="871">
        <v>63.495511499999999</v>
      </c>
      <c r="FK16" s="871">
        <v>73.814117699999997</v>
      </c>
      <c r="FL16" s="871">
        <v>3.1408279000000001</v>
      </c>
      <c r="FM16" s="871">
        <v>1.6819382</v>
      </c>
      <c r="FN16" s="872">
        <v>1.052575</v>
      </c>
      <c r="FO16" s="872">
        <v>-0.67644219999999999</v>
      </c>
      <c r="FP16" s="872">
        <v>1.1604584</v>
      </c>
      <c r="FQ16" s="872">
        <v>1.0938536000000001</v>
      </c>
      <c r="FR16" s="872">
        <v>18.720920700000001</v>
      </c>
      <c r="FS16" s="871">
        <v>365.76539058699996</v>
      </c>
      <c r="FT16" s="871">
        <v>367.67650577241886</v>
      </c>
      <c r="FU16" s="871">
        <v>550.09496009999998</v>
      </c>
      <c r="FV16" s="871">
        <v>979.49682054001903</v>
      </c>
      <c r="FW16" s="871">
        <v>787.94383682901673</v>
      </c>
      <c r="FX16" s="871">
        <v>1058.6994073339001</v>
      </c>
      <c r="FY16" s="871">
        <v>898.28990437631126</v>
      </c>
      <c r="FZ16" s="520">
        <v>-1.9370000000000001</v>
      </c>
      <c r="GA16" s="521">
        <v>8.6272689998626705E-3</v>
      </c>
      <c r="GB16" s="876">
        <v>7.5731681999999996</v>
      </c>
      <c r="GC16" s="870">
        <v>4.904655</v>
      </c>
      <c r="GD16" s="870">
        <v>6.3377451999999996</v>
      </c>
      <c r="GE16" s="870">
        <v>9.1656449999999996</v>
      </c>
      <c r="GF16" s="870">
        <v>20.123648500000002</v>
      </c>
      <c r="GG16" s="870">
        <v>56.452435899999998</v>
      </c>
      <c r="GH16" s="870">
        <v>19.355053699999999</v>
      </c>
      <c r="GI16" s="870">
        <v>21.928176000000001</v>
      </c>
      <c r="GJ16" s="870">
        <v>30.695262700000001</v>
      </c>
      <c r="GK16" s="870">
        <v>41.288121400000001</v>
      </c>
      <c r="GL16" s="870">
        <v>44.247075799999998</v>
      </c>
      <c r="GM16" s="870">
        <v>43.889087000000004</v>
      </c>
      <c r="GN16" s="870">
        <v>54.5154359</v>
      </c>
      <c r="GO16" s="870">
        <v>19.363680968999862</v>
      </c>
      <c r="GP16" s="870">
        <v>29.501344199999998</v>
      </c>
      <c r="GQ16" s="870">
        <v>35.599917699999999</v>
      </c>
      <c r="GR16" s="870">
        <v>47.625866600000002</v>
      </c>
      <c r="GS16" s="870">
        <v>53.412720799999995</v>
      </c>
      <c r="GT16" s="870">
        <v>64.012735500000005</v>
      </c>
      <c r="GU16" s="871">
        <v>0</v>
      </c>
      <c r="GV16" s="871">
        <v>0</v>
      </c>
      <c r="GW16" s="871">
        <v>0</v>
      </c>
      <c r="GX16" s="871">
        <v>0</v>
      </c>
      <c r="GY16" s="871">
        <v>0</v>
      </c>
      <c r="GZ16" s="871">
        <v>0</v>
      </c>
      <c r="HA16" s="871">
        <v>0</v>
      </c>
      <c r="HB16" s="871">
        <v>0</v>
      </c>
      <c r="HC16" s="871">
        <v>0</v>
      </c>
      <c r="HD16" s="871">
        <v>0</v>
      </c>
      <c r="HE16" s="871">
        <v>0</v>
      </c>
      <c r="HF16" s="871">
        <v>42.160011300000001</v>
      </c>
      <c r="HG16" s="871">
        <v>39.952708100000002</v>
      </c>
      <c r="HH16" s="871">
        <v>14.980555499999999</v>
      </c>
      <c r="HI16" s="871">
        <v>14.980555499999999</v>
      </c>
      <c r="HJ16" s="871">
        <v>14.980555499999999</v>
      </c>
      <c r="HK16" s="871">
        <v>14.980555900000001</v>
      </c>
      <c r="HL16" s="871">
        <v>14.980555900000001</v>
      </c>
      <c r="HM16" s="871">
        <v>0</v>
      </c>
      <c r="HN16" s="871">
        <v>0</v>
      </c>
      <c r="HO16" s="871">
        <v>0</v>
      </c>
      <c r="HP16" s="871">
        <v>0</v>
      </c>
      <c r="HQ16" s="871">
        <v>0</v>
      </c>
      <c r="HR16" s="871">
        <v>0</v>
      </c>
      <c r="HS16" s="871">
        <v>0</v>
      </c>
      <c r="HT16" s="871">
        <v>0</v>
      </c>
      <c r="HU16" s="871">
        <v>0</v>
      </c>
      <c r="HV16" s="871">
        <v>0</v>
      </c>
      <c r="HW16" s="871">
        <v>0</v>
      </c>
      <c r="HX16" s="871">
        <v>0</v>
      </c>
      <c r="HY16" s="871">
        <v>0</v>
      </c>
      <c r="HZ16" s="871">
        <v>0</v>
      </c>
      <c r="IA16" s="871">
        <v>0</v>
      </c>
      <c r="IB16" s="871">
        <v>0</v>
      </c>
      <c r="IC16" s="871">
        <v>0</v>
      </c>
      <c r="ID16" s="871"/>
      <c r="IE16" s="871">
        <v>0</v>
      </c>
      <c r="IF16" s="871">
        <v>0</v>
      </c>
      <c r="IG16" s="871">
        <v>0</v>
      </c>
      <c r="IH16" s="871">
        <v>-0.24413360000000001</v>
      </c>
      <c r="II16" s="871">
        <v>7.0013904</v>
      </c>
      <c r="IJ16" s="871">
        <v>421.31432999999998</v>
      </c>
      <c r="IK16" s="871">
        <v>776.71055456505701</v>
      </c>
      <c r="IL16" s="871">
        <v>14.980555499999999</v>
      </c>
      <c r="IM16" s="871">
        <v>14.980555499999999</v>
      </c>
      <c r="IN16" s="871">
        <v>14.980555499999999</v>
      </c>
      <c r="IO16" s="825">
        <v>14.736422300000001</v>
      </c>
      <c r="IP16" s="825">
        <v>21.981946300000001</v>
      </c>
      <c r="IQ16" s="877">
        <v>463.47434129999999</v>
      </c>
      <c r="IR16" s="825">
        <v>816.663262665057</v>
      </c>
    </row>
    <row r="17" spans="1:252" x14ac:dyDescent="0.2">
      <c r="A17" s="869" t="s">
        <v>288</v>
      </c>
      <c r="B17" s="870"/>
      <c r="C17" s="870"/>
      <c r="D17" s="870"/>
      <c r="E17" s="519"/>
      <c r="F17" s="519"/>
      <c r="G17" s="519"/>
      <c r="H17" s="519"/>
      <c r="I17" s="870"/>
      <c r="J17" s="870"/>
      <c r="K17" s="870"/>
      <c r="L17" s="519"/>
      <c r="M17" s="519"/>
      <c r="N17" s="519"/>
      <c r="O17" s="519"/>
      <c r="P17" s="870"/>
      <c r="Q17" s="870"/>
      <c r="R17" s="870"/>
      <c r="S17" s="519"/>
      <c r="T17" s="519"/>
      <c r="U17" s="519"/>
      <c r="V17" s="519"/>
      <c r="W17" s="870"/>
      <c r="X17" s="870"/>
      <c r="Y17" s="870"/>
      <c r="Z17" s="519"/>
      <c r="AA17" s="519"/>
      <c r="AB17" s="519"/>
      <c r="AC17" s="519"/>
      <c r="AD17" s="870"/>
      <c r="AE17" s="871"/>
      <c r="AF17" s="872"/>
      <c r="AG17" s="873"/>
      <c r="AH17" s="873">
        <v>0</v>
      </c>
      <c r="AI17" s="874">
        <v>0</v>
      </c>
      <c r="AJ17" s="874"/>
      <c r="AK17" s="887"/>
      <c r="AL17" s="887"/>
      <c r="AM17" s="887"/>
      <c r="AN17" s="887"/>
      <c r="AO17" s="887"/>
      <c r="AP17" s="871"/>
      <c r="AQ17" s="871"/>
      <c r="AR17" s="871"/>
      <c r="AS17" s="871"/>
      <c r="AT17" s="871"/>
      <c r="AU17" s="871"/>
      <c r="AV17" s="871"/>
      <c r="AW17" s="871"/>
      <c r="AX17" s="871"/>
      <c r="AY17" s="871"/>
      <c r="AZ17" s="871"/>
      <c r="BA17" s="871"/>
      <c r="BB17" s="871"/>
      <c r="BC17" s="871"/>
      <c r="BD17" s="871"/>
      <c r="BE17" s="871"/>
      <c r="BF17" s="871"/>
      <c r="BG17" s="871"/>
      <c r="BH17" s="871"/>
      <c r="BI17" s="871"/>
      <c r="BJ17" s="871"/>
      <c r="BK17" s="871"/>
      <c r="BL17" s="871"/>
      <c r="BM17" s="871"/>
      <c r="BN17" s="871"/>
      <c r="BO17" s="871"/>
      <c r="BP17" s="871"/>
      <c r="BQ17" s="871"/>
      <c r="BR17" s="871"/>
      <c r="BS17" s="871"/>
      <c r="BT17" s="871"/>
      <c r="BU17" s="871"/>
      <c r="BV17" s="871"/>
      <c r="BW17" s="871"/>
      <c r="BX17" s="871"/>
      <c r="BY17" s="871"/>
      <c r="BZ17" s="871"/>
      <c r="CA17" s="871"/>
      <c r="CB17" s="871"/>
      <c r="CC17" s="871"/>
      <c r="CD17" s="871"/>
      <c r="CE17" s="871"/>
      <c r="CF17" s="871"/>
      <c r="CG17" s="871"/>
      <c r="CH17" s="871"/>
      <c r="CI17" s="871"/>
      <c r="CJ17" s="871"/>
      <c r="CK17" s="871"/>
      <c r="CL17" s="871"/>
      <c r="CM17" s="871"/>
      <c r="CN17" s="871"/>
      <c r="CO17" s="871"/>
      <c r="CP17" s="871"/>
      <c r="CQ17" s="871"/>
      <c r="CR17" s="871"/>
      <c r="CS17" s="871"/>
      <c r="CT17" s="871"/>
      <c r="CU17" s="871"/>
      <c r="CV17" s="871"/>
      <c r="CW17" s="871"/>
      <c r="CX17" s="871"/>
      <c r="CY17" s="871"/>
      <c r="CZ17" s="871"/>
      <c r="DA17" s="871"/>
      <c r="DB17" s="871"/>
      <c r="DC17" s="871"/>
      <c r="DD17" s="871"/>
      <c r="DE17" s="871"/>
      <c r="DF17" s="871"/>
      <c r="DG17" s="871"/>
      <c r="DH17" s="871"/>
      <c r="DI17" s="871"/>
      <c r="DJ17" s="871"/>
      <c r="DK17" s="871"/>
      <c r="DL17" s="871"/>
      <c r="DM17" s="871"/>
      <c r="DN17" s="871"/>
      <c r="DO17" s="871"/>
      <c r="DP17" s="871"/>
      <c r="DQ17" s="871"/>
      <c r="DR17" s="871"/>
      <c r="DS17" s="871"/>
      <c r="DT17" s="871"/>
      <c r="DU17" s="871"/>
      <c r="DV17" s="871"/>
      <c r="DW17" s="871"/>
      <c r="DX17" s="871"/>
      <c r="DY17" s="871"/>
      <c r="DZ17" s="871"/>
      <c r="EA17" s="871"/>
      <c r="EB17" s="871"/>
      <c r="EC17" s="871"/>
      <c r="ED17" s="871"/>
      <c r="EE17" s="871"/>
      <c r="EF17" s="871"/>
      <c r="EG17" s="871"/>
      <c r="EH17" s="871"/>
      <c r="EI17" s="871"/>
      <c r="EJ17" s="871"/>
      <c r="EK17" s="871"/>
      <c r="EL17" s="871"/>
      <c r="EM17" s="871"/>
      <c r="EN17" s="871"/>
      <c r="EO17" s="871"/>
      <c r="EP17" s="871"/>
      <c r="EQ17" s="871"/>
      <c r="ER17" s="871"/>
      <c r="ES17" s="871"/>
      <c r="ET17" s="871"/>
      <c r="EU17" s="871"/>
      <c r="EV17" s="871"/>
      <c r="EW17" s="871"/>
      <c r="EX17" s="871"/>
      <c r="EY17" s="871"/>
      <c r="EZ17" s="871"/>
      <c r="FA17" s="871"/>
      <c r="FB17" s="871"/>
      <c r="FC17" s="871"/>
      <c r="FD17" s="871"/>
      <c r="FE17" s="871"/>
      <c r="FF17" s="871"/>
      <c r="FG17" s="871"/>
      <c r="FH17" s="871"/>
      <c r="FI17" s="871"/>
      <c r="FJ17" s="871"/>
      <c r="FK17" s="871"/>
      <c r="FL17" s="871"/>
      <c r="FM17" s="871"/>
      <c r="FN17" s="872"/>
      <c r="FO17" s="872"/>
      <c r="FP17" s="872"/>
      <c r="FQ17" s="872"/>
      <c r="FR17" s="872"/>
      <c r="FS17" s="871"/>
      <c r="FT17" s="871"/>
      <c r="FU17" s="871">
        <v>0</v>
      </c>
      <c r="FV17" s="871"/>
      <c r="FW17" s="871">
        <v>0</v>
      </c>
      <c r="FX17" s="871">
        <v>0</v>
      </c>
      <c r="FY17" s="871"/>
      <c r="FZ17" s="520"/>
      <c r="GA17" s="521"/>
      <c r="GB17" s="876"/>
      <c r="GC17" s="870"/>
      <c r="GD17" s="870"/>
      <c r="GE17" s="870"/>
      <c r="GF17" s="870"/>
      <c r="GG17" s="870"/>
      <c r="GH17" s="870"/>
      <c r="GI17" s="870"/>
      <c r="GJ17" s="870"/>
      <c r="GK17" s="870"/>
      <c r="GL17" s="870"/>
      <c r="GM17" s="870"/>
      <c r="GN17" s="870">
        <v>0</v>
      </c>
      <c r="GO17" s="870">
        <v>0</v>
      </c>
      <c r="GP17" s="870">
        <v>0</v>
      </c>
      <c r="GQ17" s="870">
        <v>0</v>
      </c>
      <c r="GR17" s="870">
        <v>0</v>
      </c>
      <c r="GS17" s="870">
        <v>0</v>
      </c>
      <c r="GT17" s="870"/>
      <c r="GU17" s="871"/>
      <c r="GV17" s="871"/>
      <c r="GW17" s="871"/>
      <c r="GX17" s="871"/>
      <c r="GY17" s="871"/>
      <c r="GZ17" s="871"/>
      <c r="HA17" s="871"/>
      <c r="HB17" s="871"/>
      <c r="HC17" s="871"/>
      <c r="HD17" s="871"/>
      <c r="HE17" s="871"/>
      <c r="HF17" s="871"/>
      <c r="HG17" s="871"/>
      <c r="HH17" s="871"/>
      <c r="HI17" s="871"/>
      <c r="HJ17" s="871"/>
      <c r="HK17" s="871"/>
      <c r="HL17" s="871"/>
      <c r="HM17" s="871"/>
      <c r="HN17" s="871"/>
      <c r="HO17" s="871"/>
      <c r="HP17" s="871"/>
      <c r="HQ17" s="871"/>
      <c r="HR17" s="871"/>
      <c r="HS17" s="871"/>
      <c r="HT17" s="871"/>
      <c r="HU17" s="871"/>
      <c r="HV17" s="871"/>
      <c r="HW17" s="871"/>
      <c r="HX17" s="871"/>
      <c r="HY17" s="871"/>
      <c r="HZ17" s="871"/>
      <c r="IA17" s="871"/>
      <c r="IB17" s="871"/>
      <c r="IC17" s="871"/>
      <c r="ID17" s="871"/>
      <c r="IE17" s="871"/>
      <c r="IF17" s="871"/>
      <c r="IG17" s="871"/>
      <c r="IH17" s="871"/>
      <c r="II17" s="871"/>
      <c r="IJ17" s="871"/>
      <c r="IK17" s="871"/>
      <c r="IL17" s="871"/>
      <c r="IM17" s="871"/>
      <c r="IN17" s="871">
        <v>0</v>
      </c>
      <c r="IO17" s="825"/>
      <c r="IP17" s="825">
        <v>0</v>
      </c>
      <c r="IQ17" s="877">
        <v>0</v>
      </c>
      <c r="IR17" s="825"/>
    </row>
    <row r="18" spans="1:252" x14ac:dyDescent="0.2">
      <c r="A18" s="869" t="s">
        <v>289</v>
      </c>
      <c r="B18" s="870">
        <v>1380.5689</v>
      </c>
      <c r="C18" s="870">
        <v>1587.5365999999999</v>
      </c>
      <c r="D18" s="870">
        <v>930.6508</v>
      </c>
      <c r="E18" s="519">
        <v>1308.3277</v>
      </c>
      <c r="F18" s="519">
        <v>698.46209999999996</v>
      </c>
      <c r="G18" s="519">
        <v>632.92999999999995</v>
      </c>
      <c r="H18" s="519">
        <v>688.14</v>
      </c>
      <c r="I18" s="870">
        <v>7082.7440961740003</v>
      </c>
      <c r="J18" s="870">
        <v>8019.1755580999998</v>
      </c>
      <c r="K18" s="870">
        <v>9021.0670150160004</v>
      </c>
      <c r="L18" s="519">
        <v>9604.8775580740003</v>
      </c>
      <c r="M18" s="519">
        <v>11171.713302114</v>
      </c>
      <c r="N18" s="519">
        <v>11682.596850696</v>
      </c>
      <c r="O18" s="519">
        <v>12487.838968761</v>
      </c>
      <c r="P18" s="870">
        <v>2108.9952561999999</v>
      </c>
      <c r="Q18" s="870">
        <v>2356.5922304000001</v>
      </c>
      <c r="R18" s="870">
        <v>2264.1840999999999</v>
      </c>
      <c r="S18" s="519">
        <v>2612.8510371000002</v>
      </c>
      <c r="T18" s="519">
        <v>3122.6763000000001</v>
      </c>
      <c r="U18" s="519">
        <v>4042.18</v>
      </c>
      <c r="V18" s="519">
        <v>2359.9010373000001</v>
      </c>
      <c r="W18" s="870">
        <v>1193.7909215</v>
      </c>
      <c r="X18" s="870">
        <v>1916.4266</v>
      </c>
      <c r="Y18" s="870">
        <v>2020.7598</v>
      </c>
      <c r="Z18" s="519">
        <v>1761.7565364</v>
      </c>
      <c r="AA18" s="519">
        <v>1735.0234</v>
      </c>
      <c r="AB18" s="519">
        <v>4091.9151999999999</v>
      </c>
      <c r="AC18" s="519">
        <v>2668.05</v>
      </c>
      <c r="AD18" s="870">
        <v>11766.099173873999</v>
      </c>
      <c r="AE18" s="871">
        <f t="shared" si="0"/>
        <v>13879.7309885</v>
      </c>
      <c r="AF18" s="872">
        <v>14236.661715016</v>
      </c>
      <c r="AG18" s="873">
        <v>15287.812831574</v>
      </c>
      <c r="AH18" s="873">
        <v>16727.875102113998</v>
      </c>
      <c r="AI18" s="874">
        <v>20449.622050696002</v>
      </c>
      <c r="AJ18" s="874">
        <v>18203.930006061</v>
      </c>
      <c r="AK18" s="875">
        <v>2.1355</v>
      </c>
      <c r="AL18" s="875">
        <v>7.7957080999999997</v>
      </c>
      <c r="AM18" s="875">
        <v>13.465588529</v>
      </c>
      <c r="AN18" s="875">
        <v>23.985538099999999</v>
      </c>
      <c r="AO18" s="875">
        <v>34.596964694999997</v>
      </c>
      <c r="AP18" s="871">
        <v>276.5292</v>
      </c>
      <c r="AQ18" s="871">
        <v>556.36402769999995</v>
      </c>
      <c r="AR18" s="871">
        <v>832.21910000000003</v>
      </c>
      <c r="AS18" s="871">
        <v>455.75720000000001</v>
      </c>
      <c r="AT18" s="871">
        <v>575.96770000000004</v>
      </c>
      <c r="AU18" s="871">
        <v>683.39409999999998</v>
      </c>
      <c r="AV18" s="871">
        <v>475.1619</v>
      </c>
      <c r="AW18" s="871">
        <v>42.497991900000002</v>
      </c>
      <c r="AX18" s="871">
        <v>56.468894459999703</v>
      </c>
      <c r="AY18" s="871">
        <v>118.4254657</v>
      </c>
      <c r="AZ18" s="871">
        <v>114.953225827</v>
      </c>
      <c r="BA18" s="871">
        <v>244.87754839999999</v>
      </c>
      <c r="BB18" s="871">
        <v>38.838767300000001</v>
      </c>
      <c r="BC18" s="871">
        <v>28.969596500000002</v>
      </c>
      <c r="BD18" s="871">
        <v>40.030934000000002</v>
      </c>
      <c r="BE18" s="871">
        <v>62.724699999999999</v>
      </c>
      <c r="BF18" s="871">
        <v>63.828699999999998</v>
      </c>
      <c r="BG18" s="871">
        <v>41.526953300000002</v>
      </c>
      <c r="BH18" s="871">
        <v>33.7058258</v>
      </c>
      <c r="BI18" s="871">
        <v>35.8765</v>
      </c>
      <c r="BJ18" s="871">
        <v>2.0646900000000001</v>
      </c>
      <c r="BK18" s="871">
        <v>4.8995808189999996</v>
      </c>
      <c r="BL18" s="871">
        <v>4.5507861900000002</v>
      </c>
      <c r="BM18" s="871">
        <v>6.5740561</v>
      </c>
      <c r="BN18" s="871">
        <v>3.7789033999999999</v>
      </c>
      <c r="BO18" s="871">
        <v>62.2395</v>
      </c>
      <c r="BP18" s="871">
        <v>88.256427700000003</v>
      </c>
      <c r="BQ18" s="871">
        <v>114.34439999999999</v>
      </c>
      <c r="BR18" s="871">
        <v>64.0807784</v>
      </c>
      <c r="BS18" s="871">
        <v>213.56548749999999</v>
      </c>
      <c r="BT18" s="871">
        <v>129.59135159370001</v>
      </c>
      <c r="BU18" s="871">
        <v>72.808482368699998</v>
      </c>
      <c r="BV18" s="871">
        <v>34.154200000000003</v>
      </c>
      <c r="BW18" s="871">
        <v>112.96003021</v>
      </c>
      <c r="BX18" s="871">
        <v>74.253200000000007</v>
      </c>
      <c r="BY18" s="871">
        <v>159.88749999999999</v>
      </c>
      <c r="BZ18" s="871">
        <v>146.5179</v>
      </c>
      <c r="CA18" s="871">
        <v>24.132999999999999</v>
      </c>
      <c r="CB18" s="871">
        <v>201.99889999999999</v>
      </c>
      <c r="CC18" s="871">
        <v>437.04129999999998</v>
      </c>
      <c r="CD18" s="871">
        <v>388.32819999999998</v>
      </c>
      <c r="CE18" s="871">
        <v>732.35</v>
      </c>
      <c r="CF18" s="871">
        <v>473.82</v>
      </c>
      <c r="CG18" s="871">
        <v>134.28546384200001</v>
      </c>
      <c r="CH18" s="871">
        <v>194.80289139999999</v>
      </c>
      <c r="CI18" s="871">
        <v>194.0353327</v>
      </c>
      <c r="CJ18" s="871">
        <v>591.8164405</v>
      </c>
      <c r="CK18" s="871">
        <v>401.64662709999999</v>
      </c>
      <c r="CL18" s="871">
        <v>32.636231000000002</v>
      </c>
      <c r="CM18" s="871">
        <v>227.64949050000001</v>
      </c>
      <c r="CN18" s="871">
        <v>292.64</v>
      </c>
      <c r="CO18" s="871">
        <v>813.936646</v>
      </c>
      <c r="CP18" s="871">
        <v>129.27778789999999</v>
      </c>
      <c r="CQ18" s="871">
        <v>189.35908760000001</v>
      </c>
      <c r="CR18" s="871">
        <v>72.931248999999994</v>
      </c>
      <c r="CS18" s="871">
        <v>369.9597</v>
      </c>
      <c r="CT18" s="871">
        <v>129.60773549999999</v>
      </c>
      <c r="CU18" s="871">
        <v>277.75059090000002</v>
      </c>
      <c r="CV18" s="871">
        <v>0.41125200000000001</v>
      </c>
      <c r="CW18" s="871">
        <v>3.2702567</v>
      </c>
      <c r="CX18" s="871">
        <v>9.5328982999999994</v>
      </c>
      <c r="CY18" s="871">
        <v>12.594799999999999</v>
      </c>
      <c r="CZ18" s="871">
        <v>7.7180999999999997</v>
      </c>
      <c r="DA18" s="871">
        <v>7.8288000000000002</v>
      </c>
      <c r="DB18" s="871">
        <v>15.884399999999999</v>
      </c>
      <c r="DC18" s="871">
        <v>31.155151918000001</v>
      </c>
      <c r="DD18" s="871">
        <v>40.225917500999998</v>
      </c>
      <c r="DE18" s="871">
        <v>48.871986618999898</v>
      </c>
      <c r="DF18" s="871">
        <v>41.906116699999401</v>
      </c>
      <c r="DG18" s="871">
        <v>27.072359899000698</v>
      </c>
      <c r="DH18" s="871">
        <v>12.0416955910003</v>
      </c>
      <c r="DI18" s="871">
        <v>5.3901000000000003</v>
      </c>
      <c r="DJ18" s="871">
        <v>11.536199999999999</v>
      </c>
      <c r="DK18" s="871">
        <v>16.814900000000002</v>
      </c>
      <c r="DL18" s="871">
        <v>26.1829</v>
      </c>
      <c r="DM18" s="871">
        <v>114.224</v>
      </c>
      <c r="DN18" s="871">
        <v>13.682864800000001</v>
      </c>
      <c r="DO18" s="871">
        <v>37.5408981</v>
      </c>
      <c r="DP18" s="871">
        <v>25.672570799999999</v>
      </c>
      <c r="DQ18" s="871">
        <v>3.4680599999999902</v>
      </c>
      <c r="DR18" s="871">
        <v>8.5195716999999096</v>
      </c>
      <c r="DS18" s="871">
        <v>5.2201779070000001</v>
      </c>
      <c r="DT18" s="871">
        <v>2.7070213999999999</v>
      </c>
      <c r="DU18" s="871">
        <v>5.65</v>
      </c>
      <c r="DV18" s="871">
        <v>1.5395962000000001</v>
      </c>
      <c r="DW18" s="871">
        <v>3.3567836999999998</v>
      </c>
      <c r="DX18" s="871">
        <v>4.9614665000000002</v>
      </c>
      <c r="DY18" s="871">
        <v>7.5584315999999996</v>
      </c>
      <c r="DZ18" s="871">
        <v>17.644888900000002</v>
      </c>
      <c r="EA18" s="871">
        <v>4.2334509000000002</v>
      </c>
      <c r="EB18" s="871">
        <v>9.4885894999999998</v>
      </c>
      <c r="EC18" s="871">
        <v>101.3014172</v>
      </c>
      <c r="ED18" s="871">
        <v>173.85702979999999</v>
      </c>
      <c r="EE18" s="871">
        <v>337.31561649999998</v>
      </c>
      <c r="EF18" s="871">
        <v>162.40973700000001</v>
      </c>
      <c r="EG18" s="871">
        <v>92.065987399999997</v>
      </c>
      <c r="EH18" s="871">
        <v>199.54502869999999</v>
      </c>
      <c r="EI18" s="871">
        <v>155.17043358399999</v>
      </c>
      <c r="EJ18" s="871">
        <v>58.180625900000003</v>
      </c>
      <c r="EK18" s="871">
        <v>77.435589500000006</v>
      </c>
      <c r="EL18" s="871">
        <v>65.534984499999993</v>
      </c>
      <c r="EM18" s="871">
        <v>73.494196299999999</v>
      </c>
      <c r="EN18" s="871">
        <v>59.479099099999999</v>
      </c>
      <c r="EO18" s="871">
        <v>73.633786499999999</v>
      </c>
      <c r="EP18" s="871">
        <v>51.735269299999999</v>
      </c>
      <c r="EQ18" s="871">
        <v>57.381850830999902</v>
      </c>
      <c r="ER18" s="871">
        <v>34.034693226625002</v>
      </c>
      <c r="ES18" s="871">
        <v>39.022078602562502</v>
      </c>
      <c r="ET18" s="871">
        <v>183.10506477575001</v>
      </c>
      <c r="EU18" s="871">
        <v>212.10964618231301</v>
      </c>
      <c r="EV18" s="871">
        <v>430.81540000000001</v>
      </c>
      <c r="EW18" s="871">
        <v>157.57740000000001</v>
      </c>
      <c r="EX18" s="871">
        <v>20.871301599999999</v>
      </c>
      <c r="EY18" s="871">
        <v>33.1592974</v>
      </c>
      <c r="EZ18" s="871">
        <v>110.0928794</v>
      </c>
      <c r="FA18" s="871">
        <v>56.021390699999998</v>
      </c>
      <c r="FB18" s="871">
        <v>33.444687399999999</v>
      </c>
      <c r="FC18" s="871">
        <v>21.1836491</v>
      </c>
      <c r="FD18" s="871">
        <v>30.84</v>
      </c>
      <c r="FE18" s="871">
        <v>116.26008779999999</v>
      </c>
      <c r="FF18" s="871">
        <v>234.13558839999999</v>
      </c>
      <c r="FG18" s="871">
        <v>511.65573030000002</v>
      </c>
      <c r="FH18" s="871">
        <v>292.03523819999998</v>
      </c>
      <c r="FI18" s="871">
        <v>349.45993490000001</v>
      </c>
      <c r="FJ18" s="871">
        <v>317.34996660000002</v>
      </c>
      <c r="FK18" s="871">
        <v>544.56412950000004</v>
      </c>
      <c r="FL18" s="871">
        <v>84.077650800000001</v>
      </c>
      <c r="FM18" s="871">
        <v>86.325071699999995</v>
      </c>
      <c r="FN18" s="872">
        <v>137.41694390000001</v>
      </c>
      <c r="FO18" s="872">
        <v>59.9917686</v>
      </c>
      <c r="FP18" s="872">
        <v>83.840313800000004</v>
      </c>
      <c r="FQ18" s="872">
        <v>193.3754385</v>
      </c>
      <c r="FR18" s="872">
        <v>97.861079799999999</v>
      </c>
      <c r="FS18" s="871">
        <v>2064.7223981450002</v>
      </c>
      <c r="FT18" s="871">
        <v>2123.5046977846246</v>
      </c>
      <c r="FU18" s="871">
        <v>3678.3404284215626</v>
      </c>
      <c r="FV18" s="871">
        <v>2699.0416150317492</v>
      </c>
      <c r="FW18" s="871">
        <v>3204.8912552073139</v>
      </c>
      <c r="FX18" s="871">
        <v>3207.3095002847008</v>
      </c>
      <c r="FY18" s="871">
        <v>2573.2506776896998</v>
      </c>
      <c r="FZ18" s="520">
        <v>361.49442244549999</v>
      </c>
      <c r="GA18" s="521">
        <v>1270.2508921000001</v>
      </c>
      <c r="GB18" s="876">
        <v>2649.1276828999999</v>
      </c>
      <c r="GC18" s="870">
        <v>2466.3555924749999</v>
      </c>
      <c r="GD18" s="870">
        <v>6896.0216874999996</v>
      </c>
      <c r="GE18" s="870">
        <v>5081.6033215999996</v>
      </c>
      <c r="GF18" s="870">
        <v>6957.8020408000002</v>
      </c>
      <c r="GG18" s="870">
        <v>597.28696879999995</v>
      </c>
      <c r="GH18" s="870">
        <v>451.6152677</v>
      </c>
      <c r="GI18" s="870">
        <v>512.51595700000007</v>
      </c>
      <c r="GJ18" s="870">
        <v>651.99978710000005</v>
      </c>
      <c r="GK18" s="870">
        <v>1100.8330748000001</v>
      </c>
      <c r="GL18" s="870">
        <v>1551.4600971</v>
      </c>
      <c r="GM18" s="870">
        <v>1980.355153</v>
      </c>
      <c r="GN18" s="870">
        <v>958.78139124549989</v>
      </c>
      <c r="GO18" s="870">
        <v>1721.8661598000001</v>
      </c>
      <c r="GP18" s="870">
        <v>3161.6436398999999</v>
      </c>
      <c r="GQ18" s="870">
        <v>3118.3553795749999</v>
      </c>
      <c r="GR18" s="870">
        <v>7996.8547622999995</v>
      </c>
      <c r="GS18" s="870">
        <v>6633.0634186999996</v>
      </c>
      <c r="GT18" s="870">
        <v>8938.1571937999997</v>
      </c>
      <c r="GU18" s="871">
        <v>36.368950734999999</v>
      </c>
      <c r="GV18" s="871">
        <v>30.161268100000001</v>
      </c>
      <c r="GW18" s="871">
        <v>22.343967619000601</v>
      </c>
      <c r="GX18" s="871">
        <v>35.1657231970011</v>
      </c>
      <c r="GY18" s="871">
        <v>51.515645399999997</v>
      </c>
      <c r="GZ18" s="871">
        <v>53.407739814003598</v>
      </c>
      <c r="HA18" s="871">
        <v>23.6468965</v>
      </c>
      <c r="HB18" s="871">
        <v>35.857990100000002</v>
      </c>
      <c r="HC18" s="871">
        <v>24.6453183</v>
      </c>
      <c r="HD18" s="871">
        <v>40.237158200000003</v>
      </c>
      <c r="HE18" s="871">
        <v>55.8574397</v>
      </c>
      <c r="HF18" s="871">
        <v>45.680092999999999</v>
      </c>
      <c r="HG18" s="871">
        <v>78.687692100000007</v>
      </c>
      <c r="HH18" s="871">
        <v>204.2067419</v>
      </c>
      <c r="HI18" s="871">
        <v>158.5816456</v>
      </c>
      <c r="HJ18" s="871">
        <v>230.7275573</v>
      </c>
      <c r="HK18" s="871">
        <v>302.49720769999999</v>
      </c>
      <c r="HL18" s="871">
        <v>248.5947874</v>
      </c>
      <c r="HM18" s="871">
        <v>25.854124899999999</v>
      </c>
      <c r="HN18" s="871">
        <v>23.193295539000001</v>
      </c>
      <c r="HO18" s="871">
        <v>40.733684874999902</v>
      </c>
      <c r="HP18" s="871">
        <v>29.2230008619998</v>
      </c>
      <c r="HQ18" s="871">
        <v>16.4319152319996</v>
      </c>
      <c r="HR18" s="871">
        <v>66.369277810000398</v>
      </c>
      <c r="HS18" s="871">
        <v>109.904096881</v>
      </c>
      <c r="HT18" s="871">
        <v>13.257886361000001</v>
      </c>
      <c r="HU18" s="871">
        <v>17.650963699999998</v>
      </c>
      <c r="HV18" s="871">
        <v>28.494143565000002</v>
      </c>
      <c r="HW18" s="871">
        <v>29.858082528000001</v>
      </c>
      <c r="HX18" s="871">
        <v>18.926870203</v>
      </c>
      <c r="HY18" s="871">
        <v>30.407244778999999</v>
      </c>
      <c r="HZ18" s="871">
        <v>58.812930248999997</v>
      </c>
      <c r="IA18" s="871">
        <v>11.4194391</v>
      </c>
      <c r="IB18" s="871">
        <v>0.43099999999999999</v>
      </c>
      <c r="IC18" s="871">
        <v>0.1429</v>
      </c>
      <c r="ID18" s="871">
        <v>0.14000000000000001</v>
      </c>
      <c r="IE18" s="871">
        <v>271.939422831</v>
      </c>
      <c r="IF18" s="871">
        <v>331.10557699999998</v>
      </c>
      <c r="IG18" s="871">
        <v>501.9968068</v>
      </c>
      <c r="IH18" s="871">
        <v>893.02402724499996</v>
      </c>
      <c r="II18" s="871">
        <v>611.43613470000003</v>
      </c>
      <c r="IJ18" s="871">
        <v>1878.9938479</v>
      </c>
      <c r="IK18" s="871">
        <v>563.54385193099995</v>
      </c>
      <c r="IL18" s="871">
        <v>538.90507249200004</v>
      </c>
      <c r="IM18" s="871">
        <v>602.75842267400003</v>
      </c>
      <c r="IN18" s="871">
        <v>856.75877893999984</v>
      </c>
      <c r="IO18" s="825">
        <v>1328.6028832540003</v>
      </c>
      <c r="IP18" s="825">
        <v>986.8438704320007</v>
      </c>
      <c r="IQ18" s="877">
        <v>2073.1090088890001</v>
      </c>
      <c r="IR18" s="825">
        <v>864.35631097500345</v>
      </c>
    </row>
    <row r="19" spans="1:252" x14ac:dyDescent="0.2">
      <c r="A19" s="869" t="s">
        <v>290</v>
      </c>
      <c r="B19" s="870">
        <v>5012.3507</v>
      </c>
      <c r="C19" s="870">
        <v>5673.5064000000002</v>
      </c>
      <c r="D19" s="870">
        <v>8003.8915999999999</v>
      </c>
      <c r="E19" s="519">
        <v>7020.2016999999996</v>
      </c>
      <c r="F19" s="519">
        <v>7731.0819000000001</v>
      </c>
      <c r="G19" s="519">
        <v>7373.89</v>
      </c>
      <c r="H19" s="519">
        <v>5831.88</v>
      </c>
      <c r="I19" s="870">
        <v>10443.02000488</v>
      </c>
      <c r="J19" s="870">
        <v>8825.7983800000002</v>
      </c>
      <c r="K19" s="870">
        <v>11080.066269999999</v>
      </c>
      <c r="L19" s="519">
        <v>9698.7131183269903</v>
      </c>
      <c r="M19" s="519">
        <v>11016.132165864001</v>
      </c>
      <c r="N19" s="519">
        <v>11155.815200522</v>
      </c>
      <c r="O19" s="519">
        <v>10452.024453369</v>
      </c>
      <c r="P19" s="870">
        <v>3353.1227177999999</v>
      </c>
      <c r="Q19" s="870">
        <v>3623.9472818999998</v>
      </c>
      <c r="R19" s="870">
        <v>4264.3933999999999</v>
      </c>
      <c r="S19" s="519">
        <v>5820.2121851000002</v>
      </c>
      <c r="T19" s="519">
        <v>11673.5926</v>
      </c>
      <c r="U19" s="519">
        <v>5518.83</v>
      </c>
      <c r="V19" s="519">
        <v>4914.7084556</v>
      </c>
      <c r="W19" s="870">
        <v>3142.2035495999999</v>
      </c>
      <c r="X19" s="870">
        <v>4365.2326999999996</v>
      </c>
      <c r="Y19" s="870">
        <v>3899.1576</v>
      </c>
      <c r="Z19" s="519">
        <v>3901.3577605999999</v>
      </c>
      <c r="AA19" s="519">
        <v>5889.2848000000004</v>
      </c>
      <c r="AB19" s="519">
        <v>5391.0905000000002</v>
      </c>
      <c r="AC19" s="519">
        <v>5911.9</v>
      </c>
      <c r="AD19" s="870">
        <v>21950.696972279999</v>
      </c>
      <c r="AE19" s="871">
        <f t="shared" si="0"/>
        <v>22488.484761899999</v>
      </c>
      <c r="AF19" s="872">
        <v>27247.508869999998</v>
      </c>
      <c r="AG19" s="873">
        <v>26440.484764026991</v>
      </c>
      <c r="AH19" s="873">
        <v>36310.091465864003</v>
      </c>
      <c r="AI19" s="874">
        <v>29439.625700521996</v>
      </c>
      <c r="AJ19" s="874">
        <v>27110.512908969002</v>
      </c>
      <c r="AK19" s="875">
        <v>7.1193</v>
      </c>
      <c r="AL19" s="875">
        <v>23.6635828</v>
      </c>
      <c r="AM19" s="875">
        <v>92.530216022999994</v>
      </c>
      <c r="AN19" s="875">
        <v>51.672077776999998</v>
      </c>
      <c r="AO19" s="875">
        <v>103.826248325175</v>
      </c>
      <c r="AP19" s="871">
        <v>961.19110000000001</v>
      </c>
      <c r="AQ19" s="871">
        <v>1538.8870819000001</v>
      </c>
      <c r="AR19" s="871">
        <v>1749.3063999999999</v>
      </c>
      <c r="AS19" s="871">
        <v>1983.8610000000001</v>
      </c>
      <c r="AT19" s="871">
        <v>2491.8301000000001</v>
      </c>
      <c r="AU19" s="871">
        <v>2257.8481000000002</v>
      </c>
      <c r="AV19" s="871">
        <v>2337.0717</v>
      </c>
      <c r="AW19" s="871">
        <v>265.06843499899998</v>
      </c>
      <c r="AX19" s="871">
        <v>245.310465752765</v>
      </c>
      <c r="AY19" s="871">
        <v>521.83243526205501</v>
      </c>
      <c r="AZ19" s="871">
        <v>614.43131821725797</v>
      </c>
      <c r="BA19" s="871">
        <v>774.639508074584</v>
      </c>
      <c r="BB19" s="871">
        <v>1039.0508993999999</v>
      </c>
      <c r="BC19" s="871">
        <v>423.88943010000003</v>
      </c>
      <c r="BD19" s="871">
        <v>722.13902399999995</v>
      </c>
      <c r="BE19" s="871">
        <v>1198.48406</v>
      </c>
      <c r="BF19" s="871">
        <v>1203.3525752</v>
      </c>
      <c r="BG19" s="871">
        <v>1189.3956101000001</v>
      </c>
      <c r="BH19" s="871">
        <v>1144.4387078</v>
      </c>
      <c r="BI19" s="871">
        <v>882.21895319999999</v>
      </c>
      <c r="BJ19" s="871">
        <v>13.069005600000001</v>
      </c>
      <c r="BK19" s="871">
        <v>40.680047299999998</v>
      </c>
      <c r="BL19" s="871">
        <v>44.809580699999998</v>
      </c>
      <c r="BM19" s="871">
        <v>63.642188490000002</v>
      </c>
      <c r="BN19" s="871">
        <v>141.22738810000001</v>
      </c>
      <c r="BO19" s="871">
        <v>312.78359999999998</v>
      </c>
      <c r="BP19" s="871">
        <v>427.33401620000001</v>
      </c>
      <c r="BQ19" s="871">
        <v>412.94483350000002</v>
      </c>
      <c r="BR19" s="871">
        <v>708.46106510000004</v>
      </c>
      <c r="BS19" s="871">
        <v>870.60428649999994</v>
      </c>
      <c r="BT19" s="871">
        <v>579.38502237750004</v>
      </c>
      <c r="BU19" s="871">
        <v>656.39685773847305</v>
      </c>
      <c r="BV19" s="871">
        <v>32.338700000000003</v>
      </c>
      <c r="BW19" s="871">
        <v>177.32014330000001</v>
      </c>
      <c r="BX19" s="871">
        <v>255.82400000000001</v>
      </c>
      <c r="BY19" s="871">
        <v>311.60000000000002</v>
      </c>
      <c r="BZ19" s="871">
        <v>505.34969999999998</v>
      </c>
      <c r="CA19" s="871">
        <v>89.013400000000004</v>
      </c>
      <c r="CB19" s="871">
        <v>1500.4521</v>
      </c>
      <c r="CC19" s="871">
        <v>1549.2246</v>
      </c>
      <c r="CD19" s="871">
        <v>1771.3394000000001</v>
      </c>
      <c r="CE19" s="871">
        <v>2244.37</v>
      </c>
      <c r="CF19" s="871">
        <v>1855.18</v>
      </c>
      <c r="CG19" s="871">
        <v>2401.1507148126102</v>
      </c>
      <c r="CH19" s="871">
        <v>3401.1546954999999</v>
      </c>
      <c r="CI19" s="871">
        <v>7608.0422557000002</v>
      </c>
      <c r="CJ19" s="871">
        <v>10347.7760026</v>
      </c>
      <c r="CK19" s="871">
        <v>10003.661111400001</v>
      </c>
      <c r="CL19" s="871">
        <v>9699.8374963000006</v>
      </c>
      <c r="CM19" s="871">
        <v>7201.3044720999997</v>
      </c>
      <c r="CN19" s="871">
        <v>10846.33</v>
      </c>
      <c r="CO19" s="871">
        <v>568.66452479999998</v>
      </c>
      <c r="CP19" s="871">
        <v>451.22976080000001</v>
      </c>
      <c r="CQ19" s="871">
        <v>1169.9568652</v>
      </c>
      <c r="CR19" s="871">
        <v>990.40075260000003</v>
      </c>
      <c r="CS19" s="871">
        <v>2304.7878000000001</v>
      </c>
      <c r="CT19" s="871">
        <v>1974.0067266000001</v>
      </c>
      <c r="CU19" s="871">
        <v>2093.6678775999999</v>
      </c>
      <c r="CV19" s="871">
        <v>10.080399999999999</v>
      </c>
      <c r="CW19" s="871">
        <v>9.6485026999999999</v>
      </c>
      <c r="CX19" s="871">
        <v>21.651100700000001</v>
      </c>
      <c r="CY19" s="871">
        <v>33.396099999999997</v>
      </c>
      <c r="CZ19" s="871">
        <v>46.299599999999998</v>
      </c>
      <c r="DA19" s="871">
        <v>57.446300000000001</v>
      </c>
      <c r="DB19" s="871">
        <v>114.7295</v>
      </c>
      <c r="DC19" s="871">
        <v>51.143410934999999</v>
      </c>
      <c r="DD19" s="871">
        <v>85.245183628000007</v>
      </c>
      <c r="DE19" s="871">
        <v>130.76372591649999</v>
      </c>
      <c r="DF19" s="871">
        <v>162.60960946948401</v>
      </c>
      <c r="DG19" s="871">
        <v>251.87954956600001</v>
      </c>
      <c r="DH19" s="871">
        <v>280.196177605846</v>
      </c>
      <c r="DI19" s="871">
        <v>286.10570000000001</v>
      </c>
      <c r="DJ19" s="871">
        <v>63.806100000000001</v>
      </c>
      <c r="DK19" s="871">
        <v>107.5466</v>
      </c>
      <c r="DL19" s="871">
        <v>81.456199999999995</v>
      </c>
      <c r="DM19" s="871">
        <v>184.63759999999999</v>
      </c>
      <c r="DN19" s="871">
        <v>163.8123239</v>
      </c>
      <c r="DO19" s="871">
        <v>166.66353839999999</v>
      </c>
      <c r="DP19" s="871">
        <v>181.65559099999999</v>
      </c>
      <c r="DQ19" s="871">
        <v>13.088671103999999</v>
      </c>
      <c r="DR19" s="871">
        <v>58.940731700000001</v>
      </c>
      <c r="DS19" s="871">
        <v>26.577925019999999</v>
      </c>
      <c r="DT19" s="871">
        <v>17.952778048999999</v>
      </c>
      <c r="DU19" s="871">
        <v>21.56</v>
      </c>
      <c r="DV19" s="871">
        <v>15.7158506</v>
      </c>
      <c r="DW19" s="871">
        <v>23.038059100000002</v>
      </c>
      <c r="DX19" s="871">
        <v>28.1306704</v>
      </c>
      <c r="DY19" s="871">
        <v>30.672813099999999</v>
      </c>
      <c r="DZ19" s="871">
        <v>30.123363099999999</v>
      </c>
      <c r="EA19" s="871">
        <v>51.0651036</v>
      </c>
      <c r="EB19" s="871">
        <v>48.981922599999997</v>
      </c>
      <c r="EC19" s="871">
        <v>739.18239589999996</v>
      </c>
      <c r="ED19" s="871">
        <v>707.43703029999995</v>
      </c>
      <c r="EE19" s="871">
        <v>937.68330100000003</v>
      </c>
      <c r="EF19" s="871">
        <v>1149.858814895</v>
      </c>
      <c r="EG19" s="871">
        <v>1794.3465419930001</v>
      </c>
      <c r="EH19" s="871">
        <v>2156.7739762973802</v>
      </c>
      <c r="EI19" s="871">
        <v>2501.35600080113</v>
      </c>
      <c r="EJ19" s="871">
        <v>203.0980826</v>
      </c>
      <c r="EK19" s="871">
        <v>231.0714672</v>
      </c>
      <c r="EL19" s="871">
        <v>350.93509719999997</v>
      </c>
      <c r="EM19" s="871">
        <v>571.33390789999999</v>
      </c>
      <c r="EN19" s="871">
        <v>906.54819380000004</v>
      </c>
      <c r="EO19" s="871">
        <v>893.16838540000003</v>
      </c>
      <c r="EP19" s="871">
        <v>937.84598789999995</v>
      </c>
      <c r="EQ19" s="871">
        <v>212.283183702</v>
      </c>
      <c r="ER19" s="871">
        <v>309.83637023799997</v>
      </c>
      <c r="ES19" s="871">
        <v>501.46956554799999</v>
      </c>
      <c r="ET19" s="871">
        <v>704.33950746200003</v>
      </c>
      <c r="EU19" s="871">
        <v>1527.429354415</v>
      </c>
      <c r="EV19" s="871">
        <v>1141.9764</v>
      </c>
      <c r="EW19" s="871">
        <v>1402.1665</v>
      </c>
      <c r="EX19" s="871">
        <v>281.82206869999999</v>
      </c>
      <c r="EY19" s="871">
        <v>390.85068180000002</v>
      </c>
      <c r="EZ19" s="871">
        <v>335.04945420000001</v>
      </c>
      <c r="FA19" s="871">
        <v>380.67595879999999</v>
      </c>
      <c r="FB19" s="871">
        <v>526.76058379999995</v>
      </c>
      <c r="FC19" s="871">
        <v>522.73552800000004</v>
      </c>
      <c r="FD19" s="871">
        <v>516.48</v>
      </c>
      <c r="FE19" s="871">
        <v>445.91007730000001</v>
      </c>
      <c r="FF19" s="871">
        <v>669.65704310000001</v>
      </c>
      <c r="FG19" s="871">
        <v>708.80244960000005</v>
      </c>
      <c r="FH19" s="871">
        <v>1842.1957348999999</v>
      </c>
      <c r="FI19" s="871">
        <v>1067.9017497</v>
      </c>
      <c r="FJ19" s="871">
        <v>1027.083071</v>
      </c>
      <c r="FK19" s="871">
        <v>1225.0317516</v>
      </c>
      <c r="FL19" s="871">
        <v>465.55930000000001</v>
      </c>
      <c r="FM19" s="871">
        <v>690.24999620000006</v>
      </c>
      <c r="FN19" s="872">
        <v>803.85302920000004</v>
      </c>
      <c r="FO19" s="872">
        <v>1012.1650251999999</v>
      </c>
      <c r="FP19" s="872">
        <v>582.20894510000005</v>
      </c>
      <c r="FQ19" s="872">
        <v>949.0390701</v>
      </c>
      <c r="FR19" s="872">
        <v>1310.8224714</v>
      </c>
      <c r="FS19" s="871">
        <v>9015.4392206117955</v>
      </c>
      <c r="FT19" s="871">
        <v>17024.232700424844</v>
      </c>
      <c r="FU19" s="871">
        <v>20914.935467030555</v>
      </c>
      <c r="FV19" s="871">
        <v>23647.996799343742</v>
      </c>
      <c r="FW19" s="871">
        <v>26892.516728091581</v>
      </c>
      <c r="FX19" s="871">
        <v>23742.228522996727</v>
      </c>
      <c r="FY19" s="871">
        <v>28513.974865077387</v>
      </c>
      <c r="FZ19" s="520">
        <v>1025.7730224454999</v>
      </c>
      <c r="GA19" s="521">
        <v>2865.3767757999999</v>
      </c>
      <c r="GB19" s="876">
        <v>2929.3764065999999</v>
      </c>
      <c r="GC19" s="870">
        <v>2519.3285202336201</v>
      </c>
      <c r="GD19" s="870">
        <v>3368.0941870716501</v>
      </c>
      <c r="GE19" s="870">
        <v>5831.0062593000002</v>
      </c>
      <c r="GF19" s="870">
        <v>11672.261950190101</v>
      </c>
      <c r="GG19" s="870">
        <v>1336.7101812999999</v>
      </c>
      <c r="GH19" s="870">
        <v>1179.4464422999999</v>
      </c>
      <c r="GI19" s="870">
        <v>1369.62267</v>
      </c>
      <c r="GJ19" s="870">
        <v>853.89666709999995</v>
      </c>
      <c r="GK19" s="870">
        <v>942.73278240000002</v>
      </c>
      <c r="GL19" s="870">
        <v>968.67469300000005</v>
      </c>
      <c r="GM19" s="870">
        <v>1052.35474</v>
      </c>
      <c r="GN19" s="870">
        <v>2362.4832037454998</v>
      </c>
      <c r="GO19" s="870">
        <v>4044.8232180999998</v>
      </c>
      <c r="GP19" s="870">
        <v>4298.9990766000001</v>
      </c>
      <c r="GQ19" s="870">
        <v>3373.2251873336199</v>
      </c>
      <c r="GR19" s="870">
        <v>4310.82696947165</v>
      </c>
      <c r="GS19" s="870">
        <v>6799.6809523000002</v>
      </c>
      <c r="GT19" s="870">
        <v>12724.616690190102</v>
      </c>
      <c r="GU19" s="871">
        <v>19.338655138</v>
      </c>
      <c r="GV19" s="871">
        <v>44.300170700000002</v>
      </c>
      <c r="GW19" s="871">
        <v>62.324440641000201</v>
      </c>
      <c r="GX19" s="871">
        <v>94.637192507000094</v>
      </c>
      <c r="GY19" s="871">
        <v>111.995014496</v>
      </c>
      <c r="GZ19" s="871">
        <v>135.43792650260499</v>
      </c>
      <c r="HA19" s="871">
        <v>58.210417200000002</v>
      </c>
      <c r="HB19" s="871">
        <v>61.046729384000002</v>
      </c>
      <c r="HC19" s="871">
        <v>100.866218430031</v>
      </c>
      <c r="HD19" s="871">
        <v>173.074573117</v>
      </c>
      <c r="HE19" s="871">
        <v>114.1311456</v>
      </c>
      <c r="HF19" s="871">
        <v>210.28153370000001</v>
      </c>
      <c r="HG19" s="871">
        <v>157.48194899999999</v>
      </c>
      <c r="HH19" s="871">
        <v>91.676459300000005</v>
      </c>
      <c r="HI19" s="871">
        <v>108.6131086</v>
      </c>
      <c r="HJ19" s="871">
        <v>123.71759230000001</v>
      </c>
      <c r="HK19" s="871">
        <v>143.62139389999999</v>
      </c>
      <c r="HL19" s="871">
        <v>155.09909110000001</v>
      </c>
      <c r="HM19" s="871">
        <v>30.769893864</v>
      </c>
      <c r="HN19" s="871">
        <v>28.463403102000001</v>
      </c>
      <c r="HO19" s="871">
        <v>44.7297230804663</v>
      </c>
      <c r="HP19" s="871">
        <v>35.951752677999998</v>
      </c>
      <c r="HQ19" s="871">
        <v>39.814659380999998</v>
      </c>
      <c r="HR19" s="871">
        <v>33.392834233000002</v>
      </c>
      <c r="HS19" s="871">
        <v>44.443636655999697</v>
      </c>
      <c r="HT19" s="871">
        <v>42.010957836999999</v>
      </c>
      <c r="HU19" s="871">
        <v>47.871802799999998</v>
      </c>
      <c r="HV19" s="871">
        <v>89.671809562999997</v>
      </c>
      <c r="HW19" s="871">
        <v>121.96175664099999</v>
      </c>
      <c r="HX19" s="871">
        <v>109.993607271</v>
      </c>
      <c r="HY19" s="871">
        <v>199.55698471599999</v>
      </c>
      <c r="HZ19" s="871">
        <v>228.629186608</v>
      </c>
      <c r="IA19" s="871">
        <v>13.942830600000001</v>
      </c>
      <c r="IB19" s="871">
        <v>23.496600000000001</v>
      </c>
      <c r="IC19" s="871">
        <v>22.558599999999998</v>
      </c>
      <c r="ID19" s="871">
        <v>22.18</v>
      </c>
      <c r="IE19" s="871">
        <v>228.04159999999999</v>
      </c>
      <c r="IF19" s="871">
        <v>369.22371630700002</v>
      </c>
      <c r="IG19" s="871">
        <v>583.49657386199999</v>
      </c>
      <c r="IH19" s="871">
        <v>711.62795728000003</v>
      </c>
      <c r="II19" s="871">
        <v>983.25422879999996</v>
      </c>
      <c r="IJ19" s="871">
        <v>1265.0186512</v>
      </c>
      <c r="IK19" s="871">
        <v>682.81818021599997</v>
      </c>
      <c r="IL19" s="871">
        <v>450.70932820099995</v>
      </c>
      <c r="IM19" s="871">
        <v>634.55741533100002</v>
      </c>
      <c r="IN19" s="871">
        <v>986.7820879354972</v>
      </c>
      <c r="IO19" s="825">
        <v>1262.5047048570002</v>
      </c>
      <c r="IP19" s="825">
        <v>1520.4265246590001</v>
      </c>
      <c r="IQ19" s="877">
        <v>1842.8036183450001</v>
      </c>
      <c r="IR19" s="825">
        <v>1248.8108789826047</v>
      </c>
    </row>
    <row r="20" spans="1:252" s="28" customFormat="1" x14ac:dyDescent="0.2">
      <c r="A20" s="880" t="s">
        <v>460</v>
      </c>
      <c r="B20" s="531">
        <v>6392.9196000000002</v>
      </c>
      <c r="C20" s="531">
        <v>7261.0429999999997</v>
      </c>
      <c r="D20" s="531">
        <v>8934.5424000000003</v>
      </c>
      <c r="E20" s="528">
        <v>8328.5293999999994</v>
      </c>
      <c r="F20" s="528">
        <v>8429.5439999999999</v>
      </c>
      <c r="G20" s="528">
        <v>8006.8200000000006</v>
      </c>
      <c r="H20" s="528">
        <v>6520.02</v>
      </c>
      <c r="I20" s="531">
        <v>17525.764101053999</v>
      </c>
      <c r="J20" s="531">
        <v>16844.9739381</v>
      </c>
      <c r="K20" s="531">
        <v>20101.133285016</v>
      </c>
      <c r="L20" s="528">
        <v>19303.590676400992</v>
      </c>
      <c r="M20" s="528">
        <v>22187.845467978001</v>
      </c>
      <c r="N20" s="528">
        <v>22838.412051218002</v>
      </c>
      <c r="O20" s="528">
        <v>22939.863422130002</v>
      </c>
      <c r="P20" s="531">
        <v>5462.1179739999998</v>
      </c>
      <c r="Q20" s="531">
        <v>5980.5395122999998</v>
      </c>
      <c r="R20" s="531">
        <v>6528.5774999999994</v>
      </c>
      <c r="S20" s="528">
        <v>8433.0632222000004</v>
      </c>
      <c r="T20" s="528">
        <v>14796.268899999999</v>
      </c>
      <c r="U20" s="528">
        <v>9561.01</v>
      </c>
      <c r="V20" s="528">
        <v>7274.6094929000001</v>
      </c>
      <c r="W20" s="531">
        <v>4335.9944710999998</v>
      </c>
      <c r="X20" s="531">
        <v>6281.6592999999993</v>
      </c>
      <c r="Y20" s="531">
        <v>5919.9174000000003</v>
      </c>
      <c r="Z20" s="528">
        <v>5663.1142970000001</v>
      </c>
      <c r="AA20" s="528">
        <v>7624.3082000000004</v>
      </c>
      <c r="AB20" s="528">
        <v>9483.0056999999997</v>
      </c>
      <c r="AC20" s="528">
        <f>SUM(AC18:AC19)</f>
        <v>8579.9500000000007</v>
      </c>
      <c r="AD20" s="531">
        <v>33716.796146153996</v>
      </c>
      <c r="AE20" s="879">
        <f>AE18+AE19</f>
        <v>36368.215750399999</v>
      </c>
      <c r="AF20" s="881">
        <v>41484.170585016</v>
      </c>
      <c r="AG20" s="882">
        <v>41728.29759560099</v>
      </c>
      <c r="AH20" s="882">
        <v>53037.966567978001</v>
      </c>
      <c r="AI20" s="883">
        <v>49889.247751217998</v>
      </c>
      <c r="AJ20" s="883">
        <v>45314.442915029998</v>
      </c>
      <c r="AK20" s="884">
        <v>9.2547999999999995</v>
      </c>
      <c r="AL20" s="884">
        <v>31.459290899999999</v>
      </c>
      <c r="AM20" s="884">
        <v>105.995804552</v>
      </c>
      <c r="AN20" s="884">
        <v>75.657615876999998</v>
      </c>
      <c r="AO20" s="884">
        <v>138.42321302017501</v>
      </c>
      <c r="AP20" s="879">
        <v>1237.7203</v>
      </c>
      <c r="AQ20" s="879">
        <v>2095.2511095999998</v>
      </c>
      <c r="AR20" s="879">
        <v>2581.5254999999997</v>
      </c>
      <c r="AS20" s="879">
        <v>2439.6181999999999</v>
      </c>
      <c r="AT20" s="879">
        <v>3067.7978000000003</v>
      </c>
      <c r="AU20" s="879">
        <v>2941.2422000000001</v>
      </c>
      <c r="AV20" s="879">
        <v>2812.2336</v>
      </c>
      <c r="AW20" s="879">
        <v>307.56642689899996</v>
      </c>
      <c r="AX20" s="879">
        <v>301.77936021276469</v>
      </c>
      <c r="AY20" s="879">
        <v>640.25790096205503</v>
      </c>
      <c r="AZ20" s="879">
        <v>729.38454404425795</v>
      </c>
      <c r="BA20" s="879">
        <v>1019.517056474584</v>
      </c>
      <c r="BB20" s="879">
        <v>1077.8896666999999</v>
      </c>
      <c r="BC20" s="879">
        <v>452.85902660000005</v>
      </c>
      <c r="BD20" s="879">
        <v>762.16995799999995</v>
      </c>
      <c r="BE20" s="879">
        <v>1261.20876</v>
      </c>
      <c r="BF20" s="879">
        <v>1267.1812752000001</v>
      </c>
      <c r="BG20" s="879">
        <v>1230.9225634000002</v>
      </c>
      <c r="BH20" s="879">
        <v>1178.1445335999999</v>
      </c>
      <c r="BI20" s="879">
        <v>918.09545319999995</v>
      </c>
      <c r="BJ20" s="879">
        <v>15.133695600000001</v>
      </c>
      <c r="BK20" s="879">
        <v>45.579628118999999</v>
      </c>
      <c r="BL20" s="879">
        <v>49.360366889999995</v>
      </c>
      <c r="BM20" s="879">
        <v>70.216244590000002</v>
      </c>
      <c r="BN20" s="879">
        <v>145.0062915</v>
      </c>
      <c r="BO20" s="879">
        <v>375.0231</v>
      </c>
      <c r="BP20" s="879">
        <v>515.59044389999997</v>
      </c>
      <c r="BQ20" s="879">
        <v>527.28923350000002</v>
      </c>
      <c r="BR20" s="879">
        <v>772.54184350000003</v>
      </c>
      <c r="BS20" s="879">
        <v>1084.169774</v>
      </c>
      <c r="BT20" s="879">
        <v>708.97637397120002</v>
      </c>
      <c r="BU20" s="879">
        <v>729.20534010717301</v>
      </c>
      <c r="BV20" s="879">
        <v>66.492900000000006</v>
      </c>
      <c r="BW20" s="879">
        <v>290.28017351</v>
      </c>
      <c r="BX20" s="879">
        <v>330.0772</v>
      </c>
      <c r="BY20" s="879">
        <v>471.48750000000001</v>
      </c>
      <c r="BZ20" s="879">
        <v>651.86760000000004</v>
      </c>
      <c r="CA20" s="879">
        <v>113.1464</v>
      </c>
      <c r="CB20" s="879">
        <v>1702.451</v>
      </c>
      <c r="CC20" s="879">
        <v>1986.2658999999999</v>
      </c>
      <c r="CD20" s="879">
        <v>2159.6676000000002</v>
      </c>
      <c r="CE20" s="879">
        <v>2976.72</v>
      </c>
      <c r="CF20" s="879">
        <v>2329</v>
      </c>
      <c r="CG20" s="879">
        <v>2535.4361786546101</v>
      </c>
      <c r="CH20" s="879">
        <v>3595.9575869</v>
      </c>
      <c r="CI20" s="879">
        <v>7802.0775884000004</v>
      </c>
      <c r="CJ20" s="879">
        <v>10939.5924431</v>
      </c>
      <c r="CK20" s="879">
        <v>10405.307738500002</v>
      </c>
      <c r="CL20" s="879">
        <v>9732.473727300001</v>
      </c>
      <c r="CM20" s="879">
        <v>7428.9539625999996</v>
      </c>
      <c r="CN20" s="879">
        <f>SUM(CN18:CN19)</f>
        <v>11138.97</v>
      </c>
      <c r="CO20" s="879">
        <v>1382.6011708000001</v>
      </c>
      <c r="CP20" s="879">
        <v>580.50754870000003</v>
      </c>
      <c r="CQ20" s="879">
        <v>1359.3159528000001</v>
      </c>
      <c r="CR20" s="879">
        <v>1063.3320016</v>
      </c>
      <c r="CS20" s="879">
        <v>2674.7474999999999</v>
      </c>
      <c r="CT20" s="879">
        <v>2103.6144621000003</v>
      </c>
      <c r="CU20" s="879">
        <v>2371.4184685</v>
      </c>
      <c r="CV20" s="879">
        <v>10.491651999999998</v>
      </c>
      <c r="CW20" s="879">
        <v>12.918759399999999</v>
      </c>
      <c r="CX20" s="879">
        <v>31.183999</v>
      </c>
      <c r="CY20" s="879">
        <v>45.990899999999996</v>
      </c>
      <c r="CZ20" s="879">
        <v>54.017699999999998</v>
      </c>
      <c r="DA20" s="879">
        <v>65.275099999999995</v>
      </c>
      <c r="DB20" s="879">
        <v>130.6139</v>
      </c>
      <c r="DC20" s="879">
        <v>82.298562852999993</v>
      </c>
      <c r="DD20" s="879">
        <v>125.471101129</v>
      </c>
      <c r="DE20" s="879">
        <v>179.63571253549989</v>
      </c>
      <c r="DF20" s="879">
        <v>204.5157261694834</v>
      </c>
      <c r="DG20" s="879">
        <v>278.95190946500071</v>
      </c>
      <c r="DH20" s="879">
        <v>292.23787319684629</v>
      </c>
      <c r="DI20" s="879">
        <v>291.49580000000003</v>
      </c>
      <c r="DJ20" s="879">
        <v>75.342299999999994</v>
      </c>
      <c r="DK20" s="879">
        <v>124.36150000000001</v>
      </c>
      <c r="DL20" s="879">
        <v>107.6391</v>
      </c>
      <c r="DM20" s="879">
        <v>298.86160000000001</v>
      </c>
      <c r="DN20" s="879">
        <v>177.4951887</v>
      </c>
      <c r="DO20" s="879">
        <v>204.20443649999999</v>
      </c>
      <c r="DP20" s="879">
        <v>207.32816179999998</v>
      </c>
      <c r="DQ20" s="879">
        <v>16.55673110399999</v>
      </c>
      <c r="DR20" s="879">
        <v>67.460303399999916</v>
      </c>
      <c r="DS20" s="879">
        <v>31.798102926999999</v>
      </c>
      <c r="DT20" s="879">
        <v>20.659799448999998</v>
      </c>
      <c r="DU20" s="879">
        <f>SUM(DU18:DU19)</f>
        <v>27.21</v>
      </c>
      <c r="DV20" s="879">
        <v>17.255446800000001</v>
      </c>
      <c r="DW20" s="879">
        <v>26.394842800000003</v>
      </c>
      <c r="DX20" s="879">
        <v>33.0921369</v>
      </c>
      <c r="DY20" s="879">
        <v>38.231244699999998</v>
      </c>
      <c r="DZ20" s="879">
        <v>47.768252000000004</v>
      </c>
      <c r="EA20" s="879">
        <v>55.298554500000002</v>
      </c>
      <c r="EB20" s="879">
        <v>58.470512099999993</v>
      </c>
      <c r="EC20" s="879">
        <v>840.48381309999991</v>
      </c>
      <c r="ED20" s="879">
        <v>881.29406009999991</v>
      </c>
      <c r="EE20" s="879">
        <v>1274.9989175000001</v>
      </c>
      <c r="EF20" s="879">
        <v>1312.268551895</v>
      </c>
      <c r="EG20" s="879">
        <v>1886.4125293930001</v>
      </c>
      <c r="EH20" s="879">
        <v>2356.31900499738</v>
      </c>
      <c r="EI20" s="879">
        <v>2656.52643438513</v>
      </c>
      <c r="EJ20" s="879">
        <v>261.27870849999999</v>
      </c>
      <c r="EK20" s="879">
        <v>308.50705670000002</v>
      </c>
      <c r="EL20" s="879">
        <v>416.47008169999998</v>
      </c>
      <c r="EM20" s="879">
        <v>644.82810419999998</v>
      </c>
      <c r="EN20" s="879">
        <v>966.02729290000002</v>
      </c>
      <c r="EO20" s="879">
        <v>966.80217190000008</v>
      </c>
      <c r="EP20" s="879">
        <v>989.58125719999998</v>
      </c>
      <c r="EQ20" s="879">
        <v>269.66503453299993</v>
      </c>
      <c r="ER20" s="879">
        <v>343.87106346462497</v>
      </c>
      <c r="ES20" s="879">
        <v>540.49164415056248</v>
      </c>
      <c r="ET20" s="879">
        <v>887.44457223774998</v>
      </c>
      <c r="EU20" s="879">
        <v>1739.5390005973131</v>
      </c>
      <c r="EV20" s="879">
        <v>1572.7918</v>
      </c>
      <c r="EW20" s="879">
        <v>1559.7438999999999</v>
      </c>
      <c r="EX20" s="879">
        <v>302.69337029999997</v>
      </c>
      <c r="EY20" s="879">
        <v>424.00997920000003</v>
      </c>
      <c r="EZ20" s="879">
        <v>445.14233360000003</v>
      </c>
      <c r="FA20" s="879">
        <v>436.69734949999997</v>
      </c>
      <c r="FB20" s="879">
        <v>560.20527119999997</v>
      </c>
      <c r="FC20" s="879">
        <v>543.91917710000007</v>
      </c>
      <c r="FD20" s="879">
        <f>SUM(FD18:FD19)</f>
        <v>547.32000000000005</v>
      </c>
      <c r="FE20" s="879">
        <v>562.17016509999996</v>
      </c>
      <c r="FF20" s="879">
        <v>903.79263149999997</v>
      </c>
      <c r="FG20" s="879">
        <v>1220.4581799</v>
      </c>
      <c r="FH20" s="879">
        <v>2134.2309731</v>
      </c>
      <c r="FI20" s="879">
        <v>1417.3616846</v>
      </c>
      <c r="FJ20" s="879">
        <v>1344.4330376</v>
      </c>
      <c r="FK20" s="879">
        <v>1769.5958811</v>
      </c>
      <c r="FL20" s="879">
        <v>549.63695080000002</v>
      </c>
      <c r="FM20" s="879">
        <v>776.57506790000002</v>
      </c>
      <c r="FN20" s="881">
        <v>941.26997310000002</v>
      </c>
      <c r="FO20" s="881">
        <v>1072.1567937999998</v>
      </c>
      <c r="FP20" s="881">
        <v>666.04925890000004</v>
      </c>
      <c r="FQ20" s="881">
        <v>1142.4145086000001</v>
      </c>
      <c r="FR20" s="881">
        <v>1408.6835512</v>
      </c>
      <c r="FS20" s="879">
        <v>11080.161618756796</v>
      </c>
      <c r="FT20" s="879">
        <v>19147.737398209469</v>
      </c>
      <c r="FU20" s="879">
        <v>24593.27589545212</v>
      </c>
      <c r="FV20" s="879">
        <v>26347.038414375493</v>
      </c>
      <c r="FW20" s="879">
        <v>30097.407983298894</v>
      </c>
      <c r="FX20" s="879">
        <v>26949.538023281428</v>
      </c>
      <c r="FY20" s="879">
        <v>31087.225542767086</v>
      </c>
      <c r="FZ20" s="529">
        <v>1387.267444891</v>
      </c>
      <c r="GA20" s="530">
        <v>4135.6276679000002</v>
      </c>
      <c r="GB20" s="885">
        <v>5578.5040895000002</v>
      </c>
      <c r="GC20" s="531">
        <v>4985.68411270862</v>
      </c>
      <c r="GD20" s="531">
        <v>10264.115874571649</v>
      </c>
      <c r="GE20" s="531">
        <v>10912.6095809</v>
      </c>
      <c r="GF20" s="531">
        <v>18630.0639909901</v>
      </c>
      <c r="GG20" s="531">
        <v>1933.9971501</v>
      </c>
      <c r="GH20" s="531">
        <v>1631.0617099999999</v>
      </c>
      <c r="GI20" s="531">
        <v>1882.138627</v>
      </c>
      <c r="GJ20" s="531">
        <v>1505.8964541999999</v>
      </c>
      <c r="GK20" s="531">
        <v>2043.5658572000002</v>
      </c>
      <c r="GL20" s="531">
        <v>2520.1347900999999</v>
      </c>
      <c r="GM20" s="531">
        <v>3032.7098930000002</v>
      </c>
      <c r="GN20" s="531">
        <v>3321.2645949910002</v>
      </c>
      <c r="GO20" s="531">
        <v>5766.6893779000002</v>
      </c>
      <c r="GP20" s="531">
        <v>7460.6427165000005</v>
      </c>
      <c r="GQ20" s="531">
        <v>6491.5805669086203</v>
      </c>
      <c r="GR20" s="531">
        <v>12307.681731771649</v>
      </c>
      <c r="GS20" s="531">
        <v>13432.744371000001</v>
      </c>
      <c r="GT20" s="531">
        <v>21662.773883990099</v>
      </c>
      <c r="GU20" s="879">
        <v>55.707605872999999</v>
      </c>
      <c r="GV20" s="879">
        <v>74.461438799999996</v>
      </c>
      <c r="GW20" s="879">
        <v>84.668408260000803</v>
      </c>
      <c r="GX20" s="879">
        <v>129.80291570400118</v>
      </c>
      <c r="GY20" s="879">
        <v>163.51065989599999</v>
      </c>
      <c r="GZ20" s="879">
        <v>188.8456663166086</v>
      </c>
      <c r="HA20" s="879">
        <v>81.857313700000006</v>
      </c>
      <c r="HB20" s="879">
        <v>96.904719483999997</v>
      </c>
      <c r="HC20" s="879">
        <v>125.511536730031</v>
      </c>
      <c r="HD20" s="879">
        <v>213.31173131700001</v>
      </c>
      <c r="HE20" s="879">
        <v>169.98858530000001</v>
      </c>
      <c r="HF20" s="879">
        <v>255.96162670000001</v>
      </c>
      <c r="HG20" s="879">
        <v>236.16964109999998</v>
      </c>
      <c r="HH20" s="879">
        <v>295.88320120000003</v>
      </c>
      <c r="HI20" s="879">
        <v>267.19475420000003</v>
      </c>
      <c r="HJ20" s="879">
        <v>354.44514960000004</v>
      </c>
      <c r="HK20" s="879">
        <v>446.11860159999998</v>
      </c>
      <c r="HL20" s="879">
        <v>403.69387849999998</v>
      </c>
      <c r="HM20" s="879">
        <v>56.624018763999999</v>
      </c>
      <c r="HN20" s="879">
        <v>51.656698641000006</v>
      </c>
      <c r="HO20" s="879">
        <v>85.463407955466209</v>
      </c>
      <c r="HP20" s="879">
        <v>65.174753539999799</v>
      </c>
      <c r="HQ20" s="879">
        <v>56.246574612999595</v>
      </c>
      <c r="HR20" s="879">
        <v>99.7621120430004</v>
      </c>
      <c r="HS20" s="879">
        <v>154.3477335369997</v>
      </c>
      <c r="HT20" s="879">
        <v>55.268844197999996</v>
      </c>
      <c r="HU20" s="879">
        <v>65.522766499999989</v>
      </c>
      <c r="HV20" s="879">
        <v>118.165953128</v>
      </c>
      <c r="HW20" s="879">
        <v>151.81983916900001</v>
      </c>
      <c r="HX20" s="879">
        <v>128.92047747399999</v>
      </c>
      <c r="HY20" s="879">
        <v>229.96422949499998</v>
      </c>
      <c r="HZ20" s="879">
        <v>287.44211685699997</v>
      </c>
      <c r="IA20" s="879">
        <v>25.362269699999999</v>
      </c>
      <c r="IB20" s="879">
        <v>23.927600000000002</v>
      </c>
      <c r="IC20" s="879">
        <v>22.701499999999999</v>
      </c>
      <c r="ID20" s="879">
        <f>SUM(ID18:ID19)</f>
        <v>22.32</v>
      </c>
      <c r="IE20" s="879">
        <v>499.98102283100002</v>
      </c>
      <c r="IF20" s="879">
        <v>700.32929330699994</v>
      </c>
      <c r="IG20" s="879">
        <v>1085.4933806619999</v>
      </c>
      <c r="IH20" s="879">
        <v>1604.651984525</v>
      </c>
      <c r="II20" s="879">
        <v>1594.6903634999999</v>
      </c>
      <c r="IJ20" s="879">
        <v>3144.0124991000002</v>
      </c>
      <c r="IK20" s="879">
        <v>1246.3620321469998</v>
      </c>
      <c r="IL20" s="879">
        <v>989.61440069299999</v>
      </c>
      <c r="IM20" s="879">
        <v>1237.3158380049999</v>
      </c>
      <c r="IN20" s="879">
        <v>1843.5408668754972</v>
      </c>
      <c r="IO20" s="822">
        <v>2591.1075881110005</v>
      </c>
      <c r="IP20" s="822">
        <v>2507.2703950910009</v>
      </c>
      <c r="IQ20" s="886">
        <v>3915.912627234</v>
      </c>
      <c r="IR20" s="822">
        <v>2113.1671899576081</v>
      </c>
    </row>
    <row r="21" spans="1:252" x14ac:dyDescent="0.2">
      <c r="A21" s="869" t="s">
        <v>291</v>
      </c>
      <c r="B21" s="870">
        <v>13846.059224553799</v>
      </c>
      <c r="C21" s="870">
        <v>16179.468500000001</v>
      </c>
      <c r="D21" s="870">
        <v>22448.612000000001</v>
      </c>
      <c r="E21" s="519">
        <v>23650.611700000001</v>
      </c>
      <c r="F21" s="519">
        <v>28731.940699999999</v>
      </c>
      <c r="G21" s="519">
        <v>27689.81</v>
      </c>
      <c r="H21" s="519">
        <v>27410.09</v>
      </c>
      <c r="I21" s="870">
        <v>23564.794119549999</v>
      </c>
      <c r="J21" s="870">
        <v>23733.520785274999</v>
      </c>
      <c r="K21" s="870">
        <v>27355.278300000002</v>
      </c>
      <c r="L21" s="519">
        <v>29787.749351654002</v>
      </c>
      <c r="M21" s="519">
        <v>35635.547303637999</v>
      </c>
      <c r="N21" s="519">
        <v>39477.363351213004</v>
      </c>
      <c r="O21" s="519">
        <v>41085.193297778002</v>
      </c>
      <c r="P21" s="870">
        <v>9510.9575934999993</v>
      </c>
      <c r="Q21" s="870">
        <v>12009.1180002</v>
      </c>
      <c r="R21" s="870">
        <v>12081.1288</v>
      </c>
      <c r="S21" s="519">
        <v>16082.283457</v>
      </c>
      <c r="T21" s="519">
        <v>26245.598999999998</v>
      </c>
      <c r="U21" s="519">
        <v>19513.98</v>
      </c>
      <c r="V21" s="519">
        <v>20644.112513700002</v>
      </c>
      <c r="W21" s="870">
        <v>12053.711787099999</v>
      </c>
      <c r="X21" s="870">
        <v>16917.036199999999</v>
      </c>
      <c r="Y21" s="870">
        <v>19068.673200000001</v>
      </c>
      <c r="Z21" s="519">
        <v>22785.043551300001</v>
      </c>
      <c r="AA21" s="519">
        <v>26506.629300000001</v>
      </c>
      <c r="AB21" s="519">
        <v>27810.481</v>
      </c>
      <c r="AC21" s="519">
        <v>30816.25</v>
      </c>
      <c r="AD21" s="870">
        <v>58975.522724703806</v>
      </c>
      <c r="AE21" s="871">
        <f t="shared" si="0"/>
        <v>68839.143485474997</v>
      </c>
      <c r="AF21" s="872">
        <v>80953.692299999995</v>
      </c>
      <c r="AG21" s="873">
        <v>92305.688059954002</v>
      </c>
      <c r="AH21" s="873">
        <v>117119.71630363799</v>
      </c>
      <c r="AI21" s="874">
        <v>114491.634351213</v>
      </c>
      <c r="AJ21" s="874">
        <v>119955.64581147801</v>
      </c>
      <c r="AK21" s="875">
        <v>3.4847000000000001</v>
      </c>
      <c r="AL21" s="875">
        <v>100.379927401</v>
      </c>
      <c r="AM21" s="875">
        <v>244.39257855599999</v>
      </c>
      <c r="AN21" s="875">
        <v>280.32148469800001</v>
      </c>
      <c r="AO21" s="875">
        <v>468.5007286</v>
      </c>
      <c r="AP21" s="871">
        <v>5119.8283501087699</v>
      </c>
      <c r="AQ21" s="871">
        <v>6232.5843685</v>
      </c>
      <c r="AR21" s="871">
        <v>8817.5499</v>
      </c>
      <c r="AS21" s="871">
        <v>10076.5221</v>
      </c>
      <c r="AT21" s="871">
        <v>11973.219180300001</v>
      </c>
      <c r="AU21" s="871">
        <v>14226.1803</v>
      </c>
      <c r="AV21" s="871">
        <v>14483.310100000001</v>
      </c>
      <c r="AW21" s="871">
        <v>1909.0463159989999</v>
      </c>
      <c r="AX21" s="871">
        <v>1982.7725225034601</v>
      </c>
      <c r="AY21" s="871">
        <v>2488.86391488152</v>
      </c>
      <c r="AZ21" s="871">
        <v>3133.7633811935302</v>
      </c>
      <c r="BA21" s="871">
        <v>3949.29239654915</v>
      </c>
      <c r="BB21" s="871">
        <v>4397.6659486999997</v>
      </c>
      <c r="BC21" s="871">
        <v>2309.9916180999999</v>
      </c>
      <c r="BD21" s="871">
        <v>3123.3709837000001</v>
      </c>
      <c r="BE21" s="871">
        <v>4398.6844958000001</v>
      </c>
      <c r="BF21" s="871">
        <v>5259.2610955999999</v>
      </c>
      <c r="BG21" s="871">
        <v>6619.440345</v>
      </c>
      <c r="BH21" s="871">
        <v>8092.8324880910004</v>
      </c>
      <c r="BI21" s="871">
        <v>9078.7108795000004</v>
      </c>
      <c r="BJ21" s="871">
        <v>18.800696200000001</v>
      </c>
      <c r="BK21" s="871">
        <v>86.302535972000001</v>
      </c>
      <c r="BL21" s="871">
        <v>143.110838</v>
      </c>
      <c r="BM21" s="871">
        <v>212.73000819999999</v>
      </c>
      <c r="BN21" s="871">
        <v>348.84794682199998</v>
      </c>
      <c r="BO21" s="871">
        <v>1421.3478633</v>
      </c>
      <c r="BP21" s="871">
        <v>1818.8112348</v>
      </c>
      <c r="BQ21" s="871">
        <v>2037.3411000000001</v>
      </c>
      <c r="BR21" s="871">
        <v>2698.4581504060002</v>
      </c>
      <c r="BS21" s="871">
        <v>3294.995544118</v>
      </c>
      <c r="BT21" s="871">
        <v>3860.1687266518002</v>
      </c>
      <c r="BU21" s="871">
        <v>3765.4206953378698</v>
      </c>
      <c r="BV21" s="871">
        <v>62.321199999999997</v>
      </c>
      <c r="BW21" s="871">
        <v>750.21674050000001</v>
      </c>
      <c r="BX21" s="871">
        <v>1930.4078999999999</v>
      </c>
      <c r="BY21" s="871">
        <v>3236.3026</v>
      </c>
      <c r="BZ21" s="871">
        <v>5751.8359</v>
      </c>
      <c r="CA21" s="871">
        <v>352.94959999999998</v>
      </c>
      <c r="CB21" s="871">
        <v>5070.3069999999998</v>
      </c>
      <c r="CC21" s="871">
        <v>5933.9619000000002</v>
      </c>
      <c r="CD21" s="871">
        <v>6375.1505999999999</v>
      </c>
      <c r="CE21" s="871">
        <v>8916.1550000000007</v>
      </c>
      <c r="CF21" s="871">
        <v>11231.26</v>
      </c>
      <c r="CG21" s="871">
        <v>12622.5709621721</v>
      </c>
      <c r="CH21" s="871">
        <v>9075.3688046999996</v>
      </c>
      <c r="CI21" s="871">
        <v>14913.5765381</v>
      </c>
      <c r="CJ21" s="871">
        <v>19511.2294133</v>
      </c>
      <c r="CK21" s="871">
        <v>21622.835605799999</v>
      </c>
      <c r="CL21" s="871">
        <v>24979.804611700001</v>
      </c>
      <c r="CM21" s="871">
        <v>24099.4774641</v>
      </c>
      <c r="CN21" s="871">
        <v>33066.839999999997</v>
      </c>
      <c r="CO21" s="871">
        <v>2765.1788832000002</v>
      </c>
      <c r="CP21" s="871">
        <v>4048.1828704999998</v>
      </c>
      <c r="CQ21" s="871">
        <v>4802.9943759999996</v>
      </c>
      <c r="CR21" s="871">
        <v>5778.7710742999998</v>
      </c>
      <c r="CS21" s="871">
        <v>7856.6032999999998</v>
      </c>
      <c r="CT21" s="871">
        <v>8989.0111945000008</v>
      </c>
      <c r="CU21" s="871">
        <v>9886.8422382999997</v>
      </c>
      <c r="CV21" s="871">
        <v>9.83</v>
      </c>
      <c r="CW21" s="871">
        <v>35.338607600000003</v>
      </c>
      <c r="CX21" s="871">
        <v>96.888407000000001</v>
      </c>
      <c r="CY21" s="871">
        <v>192.4213</v>
      </c>
      <c r="CZ21" s="871">
        <v>318.65989999999999</v>
      </c>
      <c r="DA21" s="871">
        <v>467.565</v>
      </c>
      <c r="DB21" s="871">
        <v>690.34500000000003</v>
      </c>
      <c r="DC21" s="871">
        <v>215.88907982800001</v>
      </c>
      <c r="DD21" s="871">
        <v>374.10614980499997</v>
      </c>
      <c r="DE21" s="871">
        <v>573.92460309850003</v>
      </c>
      <c r="DF21" s="871">
        <v>984.41970708948395</v>
      </c>
      <c r="DG21" s="871">
        <v>1571.4386254020001</v>
      </c>
      <c r="DH21" s="871">
        <v>1889.5417269488501</v>
      </c>
      <c r="DI21" s="871">
        <v>2022.0006000000001</v>
      </c>
      <c r="DJ21" s="871">
        <v>561.38279999999997</v>
      </c>
      <c r="DK21" s="871">
        <v>646.92740000000003</v>
      </c>
      <c r="DL21" s="871">
        <v>822.44529999999997</v>
      </c>
      <c r="DM21" s="871">
        <v>1112.0141917634</v>
      </c>
      <c r="DN21" s="871">
        <v>1645.6486267</v>
      </c>
      <c r="DO21" s="871">
        <v>2317.4685402</v>
      </c>
      <c r="DP21" s="871">
        <v>2900.6922272000002</v>
      </c>
      <c r="DQ21" s="871">
        <v>100.547187338</v>
      </c>
      <c r="DR21" s="871">
        <v>75.796076600000006</v>
      </c>
      <c r="DS21" s="871">
        <v>114.746659204</v>
      </c>
      <c r="DT21" s="871">
        <v>154.3703903</v>
      </c>
      <c r="DU21" s="871">
        <v>176.93</v>
      </c>
      <c r="DV21" s="871">
        <v>23.946541400000001</v>
      </c>
      <c r="DW21" s="871">
        <v>54.601515900000003</v>
      </c>
      <c r="DX21" s="871">
        <v>99.1382184</v>
      </c>
      <c r="DY21" s="871">
        <v>174.1171555</v>
      </c>
      <c r="DZ21" s="871">
        <v>271.21641519999997</v>
      </c>
      <c r="EA21" s="871">
        <v>378.80396380000002</v>
      </c>
      <c r="EB21" s="871">
        <v>480.71895069999999</v>
      </c>
      <c r="EC21" s="871">
        <v>4264.8573883999998</v>
      </c>
      <c r="ED21" s="871">
        <v>5118.4390284499996</v>
      </c>
      <c r="EE21" s="871">
        <v>6343.6086922096001</v>
      </c>
      <c r="EF21" s="871">
        <v>7453.0799160779998</v>
      </c>
      <c r="EG21" s="871">
        <v>9406.1084134299999</v>
      </c>
      <c r="EH21" s="871">
        <v>11248.7960745904</v>
      </c>
      <c r="EI21" s="871">
        <v>12413.9289692331</v>
      </c>
      <c r="EJ21" s="871">
        <v>1628.6075800000001</v>
      </c>
      <c r="EK21" s="871">
        <v>1942.0641421</v>
      </c>
      <c r="EL21" s="871">
        <v>2530.0269056000002</v>
      </c>
      <c r="EM21" s="871">
        <v>3404.9973479</v>
      </c>
      <c r="EN21" s="871">
        <v>4391.7797111999998</v>
      </c>
      <c r="EO21" s="871">
        <v>4791.9100182000002</v>
      </c>
      <c r="EP21" s="871">
        <v>5199.7591925999996</v>
      </c>
      <c r="EQ21" s="871">
        <v>1388.868653903</v>
      </c>
      <c r="ER21" s="871">
        <v>1975.6706323919</v>
      </c>
      <c r="ES21" s="871">
        <v>2879.7412200590002</v>
      </c>
      <c r="ET21" s="871">
        <v>3825.937890662</v>
      </c>
      <c r="EU21" s="871">
        <v>4773.6371537817004</v>
      </c>
      <c r="EV21" s="871">
        <v>5540.8081000000002</v>
      </c>
      <c r="EW21" s="871">
        <v>6595.3200999999999</v>
      </c>
      <c r="EX21" s="871">
        <v>4538.7992759999997</v>
      </c>
      <c r="EY21" s="871">
        <v>5085.6864108</v>
      </c>
      <c r="EZ21" s="871">
        <v>5860.3720987999995</v>
      </c>
      <c r="FA21" s="871">
        <v>6297.6692734999997</v>
      </c>
      <c r="FB21" s="871">
        <v>6919.438067</v>
      </c>
      <c r="FC21" s="871">
        <v>7890.4838258</v>
      </c>
      <c r="FD21" s="871">
        <v>8149.32</v>
      </c>
      <c r="FE21" s="871">
        <v>2160.9198102999999</v>
      </c>
      <c r="FF21" s="871">
        <v>2823.5301823</v>
      </c>
      <c r="FG21" s="871">
        <v>3999.0911111</v>
      </c>
      <c r="FH21" s="871">
        <v>7467.5557754000001</v>
      </c>
      <c r="FI21" s="871">
        <v>8307.5636228999992</v>
      </c>
      <c r="FJ21" s="871">
        <v>10318.0465671</v>
      </c>
      <c r="FK21" s="871">
        <v>12795.856245700001</v>
      </c>
      <c r="FL21" s="871">
        <v>1012.76</v>
      </c>
      <c r="FM21" s="871">
        <v>1726.8006708999999</v>
      </c>
      <c r="FN21" s="872">
        <v>1799.0228030000001</v>
      </c>
      <c r="FO21" s="872">
        <v>1938.8122758</v>
      </c>
      <c r="FP21" s="872">
        <v>1939.7089997</v>
      </c>
      <c r="FQ21" s="872">
        <v>3061.8343670999998</v>
      </c>
      <c r="FR21" s="872">
        <v>3159.616955</v>
      </c>
      <c r="FS21" s="871">
        <v>41172.994457367568</v>
      </c>
      <c r="FT21" s="871">
        <v>61059.909475759217</v>
      </c>
      <c r="FU21" s="871">
        <v>73180.038242786628</v>
      </c>
      <c r="FV21" s="871">
        <v>88808.482121465408</v>
      </c>
      <c r="FW21" s="871">
        <v>109567.36788874085</v>
      </c>
      <c r="FX21" s="871">
        <v>126685.57878898004</v>
      </c>
      <c r="FY21" s="871">
        <v>144057.36769116507</v>
      </c>
      <c r="FZ21" s="520">
        <v>3770.76484274107</v>
      </c>
      <c r="GA21" s="521">
        <v>7830.6747289000004</v>
      </c>
      <c r="GB21" s="876">
        <v>8869.3160850000004</v>
      </c>
      <c r="GC21" s="870">
        <v>7404.1037630173896</v>
      </c>
      <c r="GD21" s="870">
        <v>12770.5429468</v>
      </c>
      <c r="GE21" s="870">
        <v>19449.880125200001</v>
      </c>
      <c r="GF21" s="870">
        <v>24664.934914342899</v>
      </c>
      <c r="GG21" s="870">
        <v>4811.3143505999997</v>
      </c>
      <c r="GH21" s="870">
        <v>5239.0652481999996</v>
      </c>
      <c r="GI21" s="870">
        <v>5740.5911939999996</v>
      </c>
      <c r="GJ21" s="870">
        <v>6296.4935902999996</v>
      </c>
      <c r="GK21" s="870">
        <v>7187.1857818999997</v>
      </c>
      <c r="GL21" s="870">
        <v>7354.5568584000002</v>
      </c>
      <c r="GM21" s="870">
        <v>7440.3709630000003</v>
      </c>
      <c r="GN21" s="870">
        <v>8582.0791933410692</v>
      </c>
      <c r="GO21" s="870">
        <v>13069.7399771</v>
      </c>
      <c r="GP21" s="870">
        <v>14609.907278999999</v>
      </c>
      <c r="GQ21" s="870">
        <v>13700.597353317389</v>
      </c>
      <c r="GR21" s="870">
        <v>19957.7287287</v>
      </c>
      <c r="GS21" s="870">
        <v>26804.436983600001</v>
      </c>
      <c r="GT21" s="870">
        <v>32105.3058773429</v>
      </c>
      <c r="GU21" s="871">
        <v>122.233367204</v>
      </c>
      <c r="GV21" s="871">
        <v>128.48154930000001</v>
      </c>
      <c r="GW21" s="871">
        <v>209.67403118600001</v>
      </c>
      <c r="GX21" s="871">
        <v>385.832253584</v>
      </c>
      <c r="GY21" s="871">
        <v>567.39624920000006</v>
      </c>
      <c r="GZ21" s="871">
        <v>615.282757592606</v>
      </c>
      <c r="HA21" s="871">
        <v>188.884943698</v>
      </c>
      <c r="HB21" s="871">
        <v>267.98255469999998</v>
      </c>
      <c r="HC21" s="871">
        <v>420.81387280503202</v>
      </c>
      <c r="HD21" s="871">
        <v>543.65875430000006</v>
      </c>
      <c r="HE21" s="871">
        <v>681.18719720000001</v>
      </c>
      <c r="HF21" s="871">
        <v>847.28647720000004</v>
      </c>
      <c r="HG21" s="871">
        <v>1161.1933634</v>
      </c>
      <c r="HH21" s="871">
        <v>230.45809420000001</v>
      </c>
      <c r="HI21" s="871">
        <v>316.70260719999999</v>
      </c>
      <c r="HJ21" s="871">
        <v>384.31843079999999</v>
      </c>
      <c r="HK21" s="871">
        <v>511.93879010000001</v>
      </c>
      <c r="HL21" s="871">
        <v>674.44239530000004</v>
      </c>
      <c r="HM21" s="871">
        <v>77.928358399999993</v>
      </c>
      <c r="HN21" s="871">
        <v>89.917165387000196</v>
      </c>
      <c r="HO21" s="871">
        <v>120.200865630466</v>
      </c>
      <c r="HP21" s="871">
        <v>166.22779970900001</v>
      </c>
      <c r="HQ21" s="871">
        <v>188.271635254892</v>
      </c>
      <c r="HR21" s="871">
        <v>253.87150324300001</v>
      </c>
      <c r="HS21" s="871">
        <v>310.46545116999999</v>
      </c>
      <c r="HT21" s="871">
        <v>170.14836857700001</v>
      </c>
      <c r="HU21" s="871">
        <v>207.16490099999999</v>
      </c>
      <c r="HV21" s="871">
        <v>267.364495482</v>
      </c>
      <c r="HW21" s="871">
        <v>365.91079481100002</v>
      </c>
      <c r="HX21" s="871">
        <v>389.22214874399998</v>
      </c>
      <c r="HY21" s="871">
        <v>635.95103514000004</v>
      </c>
      <c r="HZ21" s="871">
        <v>891.09074314500003</v>
      </c>
      <c r="IA21" s="871">
        <v>24.235797000000002</v>
      </c>
      <c r="IB21" s="871">
        <v>18.846</v>
      </c>
      <c r="IC21" s="871">
        <v>18.6279</v>
      </c>
      <c r="ID21" s="871">
        <v>21.69</v>
      </c>
      <c r="IE21" s="871">
        <v>238.13</v>
      </c>
      <c r="IF21" s="871">
        <v>278.16242732900002</v>
      </c>
      <c r="IG21" s="871">
        <v>537.49306237799999</v>
      </c>
      <c r="IH21" s="871">
        <v>913.47551152200003</v>
      </c>
      <c r="II21" s="871">
        <v>1216.3703863000001</v>
      </c>
      <c r="IJ21" s="871">
        <v>1564.3045087</v>
      </c>
      <c r="IK21" s="871">
        <v>1960.7239342413</v>
      </c>
      <c r="IL21" s="871">
        <v>905.54976487500005</v>
      </c>
      <c r="IM21" s="871">
        <v>1282.1630228200002</v>
      </c>
      <c r="IN21" s="871">
        <v>1858.6722763954981</v>
      </c>
      <c r="IO21" s="825">
        <v>2735.1214786280002</v>
      </c>
      <c r="IP21" s="825">
        <v>3554.1720163828923</v>
      </c>
      <c r="IQ21" s="877">
        <v>3887.4376734830003</v>
      </c>
      <c r="IR21" s="825">
        <v>4938.7562495489055</v>
      </c>
    </row>
    <row r="22" spans="1:252" x14ac:dyDescent="0.2">
      <c r="A22" s="869" t="s">
        <v>292</v>
      </c>
      <c r="B22" s="870">
        <v>5828.8710584999999</v>
      </c>
      <c r="C22" s="870">
        <v>5525.7878000000001</v>
      </c>
      <c r="D22" s="870">
        <v>5724.9297999999999</v>
      </c>
      <c r="E22" s="519">
        <v>5108.8348999999998</v>
      </c>
      <c r="F22" s="519">
        <v>5096.3407999999999</v>
      </c>
      <c r="G22" s="519">
        <v>6867.2</v>
      </c>
      <c r="H22" s="519">
        <v>6729.26</v>
      </c>
      <c r="I22" s="870">
        <v>9304.0528451610007</v>
      </c>
      <c r="J22" s="870">
        <v>9797.5816496080006</v>
      </c>
      <c r="K22" s="870">
        <v>10970.968396022001</v>
      </c>
      <c r="L22" s="519">
        <v>11697.982438362</v>
      </c>
      <c r="M22" s="519">
        <v>13002.216263934401</v>
      </c>
      <c r="N22" s="519">
        <v>14261.213351394999</v>
      </c>
      <c r="O22" s="519">
        <v>15253.125659998001</v>
      </c>
      <c r="P22" s="870">
        <v>4895.5253026999999</v>
      </c>
      <c r="Q22" s="870">
        <v>5688.8640685999999</v>
      </c>
      <c r="R22" s="870">
        <v>6088.8968999999997</v>
      </c>
      <c r="S22" s="519">
        <v>6509.7699601000004</v>
      </c>
      <c r="T22" s="519">
        <v>6755.2588999999998</v>
      </c>
      <c r="U22" s="519">
        <v>7067.54</v>
      </c>
      <c r="V22" s="519">
        <v>7705.1599666000002</v>
      </c>
      <c r="W22" s="870">
        <v>6087.2678819000002</v>
      </c>
      <c r="X22" s="870">
        <v>7388.5477000000001</v>
      </c>
      <c r="Y22" s="870">
        <v>7197.2168000000001</v>
      </c>
      <c r="Z22" s="519">
        <v>7621.7914530999997</v>
      </c>
      <c r="AA22" s="519">
        <v>7703.2921999999999</v>
      </c>
      <c r="AB22" s="519">
        <v>8287.5619999999999</v>
      </c>
      <c r="AC22" s="519">
        <v>8088.57</v>
      </c>
      <c r="AD22" s="870">
        <v>26115.717088261001</v>
      </c>
      <c r="AE22" s="871">
        <f t="shared" si="0"/>
        <v>28400.781218207998</v>
      </c>
      <c r="AF22" s="872">
        <v>29982.011896021999</v>
      </c>
      <c r="AG22" s="873">
        <v>30938.378751561999</v>
      </c>
      <c r="AH22" s="873">
        <v>32557.108163934401</v>
      </c>
      <c r="AI22" s="874">
        <v>36483.515351394999</v>
      </c>
      <c r="AJ22" s="874">
        <v>37776.115626597995</v>
      </c>
      <c r="AK22" s="875">
        <v>0.78390000000000004</v>
      </c>
      <c r="AL22" s="875">
        <v>53.886625899999999</v>
      </c>
      <c r="AM22" s="875">
        <v>77.607686267000005</v>
      </c>
      <c r="AN22" s="875">
        <v>128.57171601100001</v>
      </c>
      <c r="AO22" s="875">
        <v>275.44929500000001</v>
      </c>
      <c r="AP22" s="871">
        <v>2599.2440999999999</v>
      </c>
      <c r="AQ22" s="871">
        <v>2961.6304476</v>
      </c>
      <c r="AR22" s="871">
        <v>3653.7085999999999</v>
      </c>
      <c r="AS22" s="871">
        <v>4484.2268562999998</v>
      </c>
      <c r="AT22" s="871">
        <v>4250.3842923000002</v>
      </c>
      <c r="AU22" s="871">
        <v>4221.3923957999996</v>
      </c>
      <c r="AV22" s="871">
        <v>4176.6509999999998</v>
      </c>
      <c r="AW22" s="871">
        <v>564.42741379999995</v>
      </c>
      <c r="AX22" s="871">
        <v>590.44277206154004</v>
      </c>
      <c r="AY22" s="871">
        <v>639.84492606706999</v>
      </c>
      <c r="AZ22" s="871">
        <v>762.42857878654002</v>
      </c>
      <c r="BA22" s="871">
        <v>937.76346090554</v>
      </c>
      <c r="BB22" s="871">
        <v>1132.2395349999999</v>
      </c>
      <c r="BC22" s="871">
        <v>1263.0025702999999</v>
      </c>
      <c r="BD22" s="871">
        <v>1586.6490444000001</v>
      </c>
      <c r="BE22" s="871">
        <v>1962.4815000000001</v>
      </c>
      <c r="BF22" s="871">
        <v>2267.1482580000002</v>
      </c>
      <c r="BG22" s="871">
        <v>2248.4046139000002</v>
      </c>
      <c r="BH22" s="871">
        <v>2404.8667024000001</v>
      </c>
      <c r="BI22" s="871">
        <v>2546.0812999999998</v>
      </c>
      <c r="BJ22" s="871">
        <v>0.60239969999999998</v>
      </c>
      <c r="BK22" s="871">
        <v>52.96706537</v>
      </c>
      <c r="BL22" s="871">
        <v>99.206303199999994</v>
      </c>
      <c r="BM22" s="871">
        <v>115.62247000000001</v>
      </c>
      <c r="BN22" s="871">
        <v>133.4271818</v>
      </c>
      <c r="BO22" s="871">
        <v>545.47291580000001</v>
      </c>
      <c r="BP22" s="871">
        <v>599.47587129999999</v>
      </c>
      <c r="BQ22" s="871">
        <v>833.71140000000003</v>
      </c>
      <c r="BR22" s="871">
        <v>985.91079509999997</v>
      </c>
      <c r="BS22" s="871">
        <v>1187.8325135</v>
      </c>
      <c r="BT22" s="871">
        <v>1306.6052897207001</v>
      </c>
      <c r="BU22" s="871">
        <v>1494.1110714332001</v>
      </c>
      <c r="BV22" s="871">
        <v>68.7971</v>
      </c>
      <c r="BW22" s="871">
        <v>527.93832050000003</v>
      </c>
      <c r="BX22" s="871">
        <v>849.51089999999999</v>
      </c>
      <c r="BY22" s="871">
        <v>1537.9835</v>
      </c>
      <c r="BZ22" s="871">
        <v>2317.7469999999998</v>
      </c>
      <c r="CA22" s="871">
        <v>227.42609999999999</v>
      </c>
      <c r="CB22" s="871">
        <v>1827.5401999999999</v>
      </c>
      <c r="CC22" s="871">
        <v>2286.4168</v>
      </c>
      <c r="CD22" s="871">
        <v>2848.8820999999998</v>
      </c>
      <c r="CE22" s="871">
        <v>3141.7076000000002</v>
      </c>
      <c r="CF22" s="871">
        <v>4330.1499999999996</v>
      </c>
      <c r="CG22" s="871">
        <v>4561.3929267740004</v>
      </c>
      <c r="CH22" s="871">
        <v>3115.7762269</v>
      </c>
      <c r="CI22" s="871">
        <v>3548.4853388000001</v>
      </c>
      <c r="CJ22" s="871">
        <v>4478.3949917</v>
      </c>
      <c r="CK22" s="871">
        <v>5635.9032083000002</v>
      </c>
      <c r="CL22" s="871">
        <v>5871.6649943000002</v>
      </c>
      <c r="CM22" s="871">
        <v>6597.3672362999996</v>
      </c>
      <c r="CN22" s="871">
        <v>8057.51</v>
      </c>
      <c r="CO22" s="871">
        <v>1508.7172733</v>
      </c>
      <c r="CP22" s="871">
        <v>1463.2778585000001</v>
      </c>
      <c r="CQ22" s="871">
        <v>1880.3686603000001</v>
      </c>
      <c r="CR22" s="871">
        <v>2038.3928787</v>
      </c>
      <c r="CS22" s="871">
        <v>2149.4405999999999</v>
      </c>
      <c r="CT22" s="871">
        <v>2537.5614559000001</v>
      </c>
      <c r="CU22" s="871">
        <v>2869.1618392999999</v>
      </c>
      <c r="CV22" s="871">
        <v>3.7042773000000002</v>
      </c>
      <c r="CW22" s="871">
        <v>48.135800600000003</v>
      </c>
      <c r="CX22" s="871">
        <v>95.729021500000002</v>
      </c>
      <c r="CY22" s="871">
        <v>167.15889999999999</v>
      </c>
      <c r="CZ22" s="871">
        <v>260.0772</v>
      </c>
      <c r="DA22" s="871">
        <v>345.17669999999998</v>
      </c>
      <c r="DB22" s="871">
        <v>446.50670000000002</v>
      </c>
      <c r="DC22" s="871">
        <v>179.81141261084699</v>
      </c>
      <c r="DD22" s="871">
        <v>264.98244882699998</v>
      </c>
      <c r="DE22" s="871">
        <v>393.48607628799999</v>
      </c>
      <c r="DF22" s="871">
        <v>580.64549034300001</v>
      </c>
      <c r="DG22" s="871">
        <v>754.29178398299996</v>
      </c>
      <c r="DH22" s="871">
        <v>728.36234950799997</v>
      </c>
      <c r="DI22" s="871">
        <v>764.96780000000001</v>
      </c>
      <c r="DJ22" s="871">
        <v>177.10059999999999</v>
      </c>
      <c r="DK22" s="871">
        <v>176.80619999999999</v>
      </c>
      <c r="DL22" s="871">
        <v>218.3698</v>
      </c>
      <c r="DM22" s="871">
        <v>352.86369999999999</v>
      </c>
      <c r="DN22" s="871">
        <v>462.35138690000002</v>
      </c>
      <c r="DO22" s="871">
        <v>501.20523909999997</v>
      </c>
      <c r="DP22" s="871">
        <v>693.56007509999995</v>
      </c>
      <c r="DQ22" s="871">
        <v>57.947211725999999</v>
      </c>
      <c r="DR22" s="871">
        <v>112.2659524</v>
      </c>
      <c r="DS22" s="871">
        <v>100.75735844499999</v>
      </c>
      <c r="DT22" s="871">
        <v>199.54678206700001</v>
      </c>
      <c r="DU22" s="871">
        <v>204.46</v>
      </c>
      <c r="DV22" s="871">
        <v>23.3039424</v>
      </c>
      <c r="DW22" s="871">
        <v>36.863242200000002</v>
      </c>
      <c r="DX22" s="871">
        <v>52.926714799999999</v>
      </c>
      <c r="DY22" s="871">
        <v>69.782094099999995</v>
      </c>
      <c r="DZ22" s="871">
        <v>103.4871582</v>
      </c>
      <c r="EA22" s="871">
        <v>169.845767</v>
      </c>
      <c r="EB22" s="871">
        <v>203.6290668</v>
      </c>
      <c r="EC22" s="871">
        <v>924.80873469999995</v>
      </c>
      <c r="ED22" s="871">
        <v>1069.6555762</v>
      </c>
      <c r="EE22" s="871">
        <v>1376.3615595871199</v>
      </c>
      <c r="EF22" s="871">
        <v>1535.4298429999999</v>
      </c>
      <c r="EG22" s="871">
        <v>1402.7089524999999</v>
      </c>
      <c r="EH22" s="871">
        <v>1938.0500161</v>
      </c>
      <c r="EI22" s="871">
        <v>2296.8242174000002</v>
      </c>
      <c r="EJ22" s="871">
        <v>844.40919010000005</v>
      </c>
      <c r="EK22" s="871">
        <v>1026.9500051</v>
      </c>
      <c r="EL22" s="871">
        <v>1117.5692229000001</v>
      </c>
      <c r="EM22" s="871">
        <v>1141.1822545</v>
      </c>
      <c r="EN22" s="871">
        <v>1216.3796026</v>
      </c>
      <c r="EO22" s="871">
        <v>1239.9177146</v>
      </c>
      <c r="EP22" s="871">
        <v>1260.3811470999999</v>
      </c>
      <c r="EQ22" s="871">
        <v>1517.5321879000001</v>
      </c>
      <c r="ER22" s="871">
        <v>1673.3492031000001</v>
      </c>
      <c r="ES22" s="871">
        <v>1558.9129058000001</v>
      </c>
      <c r="ET22" s="871">
        <v>1730.791401791</v>
      </c>
      <c r="EU22" s="871">
        <v>2390.3635570293</v>
      </c>
      <c r="EV22" s="871">
        <v>3024.7820999999999</v>
      </c>
      <c r="EW22" s="871">
        <v>3152.8906000000002</v>
      </c>
      <c r="EX22" s="871">
        <v>905.93187350000005</v>
      </c>
      <c r="EY22" s="871">
        <v>991.0491227</v>
      </c>
      <c r="EZ22" s="871">
        <v>1142.3752174000001</v>
      </c>
      <c r="FA22" s="871">
        <v>1237.4176526000001</v>
      </c>
      <c r="FB22" s="871">
        <v>1265.6762024</v>
      </c>
      <c r="FC22" s="871">
        <v>1127.8890454</v>
      </c>
      <c r="FD22" s="871">
        <v>959.88</v>
      </c>
      <c r="FE22" s="871">
        <v>1136.4162490000001</v>
      </c>
      <c r="FF22" s="871">
        <v>1643.9737222000001</v>
      </c>
      <c r="FG22" s="871">
        <v>2264.4816117999999</v>
      </c>
      <c r="FH22" s="871">
        <v>2729.1106378999998</v>
      </c>
      <c r="FI22" s="871">
        <v>2633.3605431000001</v>
      </c>
      <c r="FJ22" s="871">
        <v>3664.3077426999998</v>
      </c>
      <c r="FK22" s="871">
        <v>4541.8138542999995</v>
      </c>
      <c r="FL22" s="871">
        <v>349.6421153</v>
      </c>
      <c r="FM22" s="871">
        <v>351.87571250000002</v>
      </c>
      <c r="FN22" s="872">
        <v>590.07718069999999</v>
      </c>
      <c r="FO22" s="872">
        <v>629.84026140000003</v>
      </c>
      <c r="FP22" s="872">
        <v>789.48652879999997</v>
      </c>
      <c r="FQ22" s="872">
        <v>649.12159970000005</v>
      </c>
      <c r="FR22" s="872">
        <v>903.26084370000001</v>
      </c>
      <c r="FS22" s="871">
        <v>17303.528876635846</v>
      </c>
      <c r="FT22" s="871">
        <v>21461.35636501712</v>
      </c>
      <c r="FU22" s="871">
        <v>24673.346800268195</v>
      </c>
      <c r="FV22" s="871">
        <v>29944.172874990545</v>
      </c>
      <c r="FW22" s="871">
        <v>32192.463238329849</v>
      </c>
      <c r="FX22" s="871">
        <v>37900.565357306696</v>
      </c>
      <c r="FY22" s="871">
        <v>41859.705918707201</v>
      </c>
      <c r="FZ22" s="520">
        <v>1155.2044000000001</v>
      </c>
      <c r="GA22" s="521">
        <v>925.29947049999998</v>
      </c>
      <c r="GB22" s="876">
        <v>983.33126540000001</v>
      </c>
      <c r="GC22" s="870">
        <v>873.90427118900004</v>
      </c>
      <c r="GD22" s="870">
        <v>1120.3867568999999</v>
      </c>
      <c r="GE22" s="870">
        <v>779.38906299999996</v>
      </c>
      <c r="GF22" s="870">
        <v>949.71089908199997</v>
      </c>
      <c r="GG22" s="870">
        <v>714.12252880000005</v>
      </c>
      <c r="GH22" s="870">
        <v>614.593795</v>
      </c>
      <c r="GI22" s="870">
        <v>643.99816699999997</v>
      </c>
      <c r="GJ22" s="870">
        <v>746.87096150000002</v>
      </c>
      <c r="GK22" s="870">
        <v>818.92895699999997</v>
      </c>
      <c r="GL22" s="870">
        <v>941.85325169999999</v>
      </c>
      <c r="GM22" s="870">
        <v>955.41154200000005</v>
      </c>
      <c r="GN22" s="870">
        <v>1869.3269288000001</v>
      </c>
      <c r="GO22" s="870">
        <v>1539.8932654999999</v>
      </c>
      <c r="GP22" s="870">
        <v>1627.3294323999999</v>
      </c>
      <c r="GQ22" s="870">
        <v>1620.7752326889999</v>
      </c>
      <c r="GR22" s="870">
        <v>1939.3157139</v>
      </c>
      <c r="GS22" s="870">
        <v>1721.2423147</v>
      </c>
      <c r="GT22" s="870">
        <v>1905.122441082</v>
      </c>
      <c r="GU22" s="871">
        <v>45.336055189</v>
      </c>
      <c r="GV22" s="871">
        <v>116.6272721</v>
      </c>
      <c r="GW22" s="871">
        <v>264.95197459509802</v>
      </c>
      <c r="GX22" s="871">
        <v>380.19591884999898</v>
      </c>
      <c r="GY22" s="871">
        <v>531.69749597199996</v>
      </c>
      <c r="GZ22" s="871">
        <v>692.355184592</v>
      </c>
      <c r="HA22" s="871">
        <v>213.9684427</v>
      </c>
      <c r="HB22" s="871">
        <v>258.540864</v>
      </c>
      <c r="HC22" s="871">
        <v>402.4803556</v>
      </c>
      <c r="HD22" s="871">
        <v>588.04603029999998</v>
      </c>
      <c r="HE22" s="871">
        <v>733.62689890000001</v>
      </c>
      <c r="HF22" s="871">
        <v>1097.6833400999999</v>
      </c>
      <c r="HG22" s="871">
        <v>1529.1702081000001</v>
      </c>
      <c r="HH22" s="871">
        <v>535.27488400000004</v>
      </c>
      <c r="HI22" s="871">
        <v>502.4896857</v>
      </c>
      <c r="HJ22" s="871">
        <v>682.59774900000002</v>
      </c>
      <c r="HK22" s="871">
        <v>868.6656855</v>
      </c>
      <c r="HL22" s="871">
        <v>913.55835390000004</v>
      </c>
      <c r="HM22" s="871">
        <v>83.313571468999996</v>
      </c>
      <c r="HN22" s="871">
        <v>106.12120210800001</v>
      </c>
      <c r="HO22" s="871">
        <v>165.92371808600001</v>
      </c>
      <c r="HP22" s="871">
        <v>236.62740841300101</v>
      </c>
      <c r="HQ22" s="871">
        <v>283.99620067799998</v>
      </c>
      <c r="HR22" s="871">
        <v>366.81459452500002</v>
      </c>
      <c r="HS22" s="871">
        <v>475.98637939399799</v>
      </c>
      <c r="HT22" s="871">
        <v>265.98561683100002</v>
      </c>
      <c r="HU22" s="871">
        <v>285.53007489999999</v>
      </c>
      <c r="HV22" s="871">
        <v>297.52219035399997</v>
      </c>
      <c r="HW22" s="871">
        <v>371.088024684</v>
      </c>
      <c r="HX22" s="871">
        <v>502.16716916500002</v>
      </c>
      <c r="HY22" s="871">
        <v>686.27483785799996</v>
      </c>
      <c r="HZ22" s="871">
        <v>1091.691677644</v>
      </c>
      <c r="IA22" s="871">
        <v>1.8013565</v>
      </c>
      <c r="IB22" s="871">
        <v>1.9365000000000001</v>
      </c>
      <c r="IC22" s="871">
        <v>0.30180000000000001</v>
      </c>
      <c r="ID22" s="871"/>
      <c r="IE22" s="871">
        <v>773.87708542999997</v>
      </c>
      <c r="IF22" s="871">
        <v>1145.01582704</v>
      </c>
      <c r="IG22" s="871">
        <v>1600.0860992999999</v>
      </c>
      <c r="IH22" s="871">
        <v>2076.0879111999998</v>
      </c>
      <c r="II22" s="871">
        <v>2620.2472908</v>
      </c>
      <c r="IJ22" s="871">
        <v>5194.6396370000002</v>
      </c>
      <c r="IK22" s="871">
        <v>6202.1662812474697</v>
      </c>
      <c r="IL22" s="871">
        <v>1872.4196004300002</v>
      </c>
      <c r="IM22" s="871">
        <v>2343.033708937</v>
      </c>
      <c r="IN22" s="871">
        <v>3265.2373844399999</v>
      </c>
      <c r="IO22" s="825">
        <v>4407.2683911920994</v>
      </c>
      <c r="IP22" s="825">
        <v>5435.7283322929979</v>
      </c>
      <c r="IQ22" s="877">
        <v>7877.4117054550006</v>
      </c>
      <c r="IR22" s="825">
        <v>9991.3697309774689</v>
      </c>
    </row>
    <row r="23" spans="1:252" s="28" customFormat="1" x14ac:dyDescent="0.2">
      <c r="A23" s="880" t="s">
        <v>293</v>
      </c>
      <c r="B23" s="531">
        <v>19674.9302830538</v>
      </c>
      <c r="C23" s="531">
        <v>21705.256300000001</v>
      </c>
      <c r="D23" s="531">
        <v>28173.541799999999</v>
      </c>
      <c r="E23" s="528">
        <v>28759.446600000003</v>
      </c>
      <c r="F23" s="528">
        <v>33828.281499999997</v>
      </c>
      <c r="G23" s="528">
        <v>34557.01</v>
      </c>
      <c r="H23" s="528">
        <v>34139.35</v>
      </c>
      <c r="I23" s="531">
        <v>32868.846964711003</v>
      </c>
      <c r="J23" s="531">
        <v>33531.102434882996</v>
      </c>
      <c r="K23" s="531">
        <v>38326.246696022004</v>
      </c>
      <c r="L23" s="528">
        <v>41485.731790015998</v>
      </c>
      <c r="M23" s="528">
        <v>48637.763567572401</v>
      </c>
      <c r="N23" s="528">
        <v>53738.576702607999</v>
      </c>
      <c r="O23" s="528">
        <v>56338.318957776006</v>
      </c>
      <c r="P23" s="531">
        <v>14406.482896199999</v>
      </c>
      <c r="Q23" s="531">
        <v>17697.9820688</v>
      </c>
      <c r="R23" s="531">
        <v>18170.025699999998</v>
      </c>
      <c r="S23" s="528">
        <v>22592.0534171</v>
      </c>
      <c r="T23" s="528">
        <v>33000.857899999995</v>
      </c>
      <c r="U23" s="528">
        <v>26581.52</v>
      </c>
      <c r="V23" s="528">
        <v>28349.272480300002</v>
      </c>
      <c r="W23" s="531">
        <v>18140.979669</v>
      </c>
      <c r="X23" s="531">
        <v>24305.583899999998</v>
      </c>
      <c r="Y23" s="531">
        <v>26265.89</v>
      </c>
      <c r="Z23" s="528">
        <v>30406.8350044</v>
      </c>
      <c r="AA23" s="528">
        <v>34209.921499999997</v>
      </c>
      <c r="AB23" s="528">
        <v>36098.042999999998</v>
      </c>
      <c r="AC23" s="528">
        <f>SUM(AC21:AC22)</f>
        <v>38904.82</v>
      </c>
      <c r="AD23" s="531">
        <v>85091.239812964806</v>
      </c>
      <c r="AE23" s="879">
        <f>AE21+AE22</f>
        <v>97239.924703682991</v>
      </c>
      <c r="AF23" s="881">
        <v>110935.70419602199</v>
      </c>
      <c r="AG23" s="882">
        <v>123244.06681151601</v>
      </c>
      <c r="AH23" s="882">
        <v>149676.82446757238</v>
      </c>
      <c r="AI23" s="883">
        <v>150975.149702608</v>
      </c>
      <c r="AJ23" s="883">
        <v>157731.76143807601</v>
      </c>
      <c r="AK23" s="884">
        <v>4.2686000000000002</v>
      </c>
      <c r="AL23" s="884">
        <v>154.26655330099999</v>
      </c>
      <c r="AM23" s="884">
        <v>322.00026482300001</v>
      </c>
      <c r="AN23" s="884">
        <v>408.89320070899998</v>
      </c>
      <c r="AO23" s="884">
        <v>743.95002360000001</v>
      </c>
      <c r="AP23" s="879">
        <v>7719.0724501087698</v>
      </c>
      <c r="AQ23" s="879">
        <v>9194.2148161000005</v>
      </c>
      <c r="AR23" s="879">
        <v>12471.2585</v>
      </c>
      <c r="AS23" s="879">
        <v>14560.7489563</v>
      </c>
      <c r="AT23" s="879">
        <v>16223.6034726</v>
      </c>
      <c r="AU23" s="879">
        <v>18447.572695800001</v>
      </c>
      <c r="AV23" s="879">
        <v>18659.9611</v>
      </c>
      <c r="AW23" s="879">
        <v>2473.473729799</v>
      </c>
      <c r="AX23" s="879">
        <v>2573.215294565</v>
      </c>
      <c r="AY23" s="879">
        <v>3128.70884094859</v>
      </c>
      <c r="AZ23" s="879">
        <v>3896.1919599800704</v>
      </c>
      <c r="BA23" s="879">
        <v>4887.0558574546903</v>
      </c>
      <c r="BB23" s="879">
        <v>5529.9054836999994</v>
      </c>
      <c r="BC23" s="879">
        <v>3572.9941884</v>
      </c>
      <c r="BD23" s="879">
        <v>4710.0200280999998</v>
      </c>
      <c r="BE23" s="879">
        <v>6361.1659958</v>
      </c>
      <c r="BF23" s="879">
        <v>7526.4093536</v>
      </c>
      <c r="BG23" s="879">
        <v>8867.8449589000011</v>
      </c>
      <c r="BH23" s="879">
        <v>10497.699190491001</v>
      </c>
      <c r="BI23" s="879">
        <v>11624.7921795</v>
      </c>
      <c r="BJ23" s="879">
        <v>19.4030959</v>
      </c>
      <c r="BK23" s="879">
        <v>139.26960134199999</v>
      </c>
      <c r="BL23" s="879">
        <v>242.31714119999998</v>
      </c>
      <c r="BM23" s="879">
        <v>328.35247820000001</v>
      </c>
      <c r="BN23" s="879">
        <v>482.27512862200001</v>
      </c>
      <c r="BO23" s="879">
        <v>1966.8207791</v>
      </c>
      <c r="BP23" s="879">
        <v>2418.2871061000001</v>
      </c>
      <c r="BQ23" s="879">
        <v>2871.0525000000002</v>
      </c>
      <c r="BR23" s="879">
        <v>3684.3689455060003</v>
      </c>
      <c r="BS23" s="879">
        <v>4482.8280576180005</v>
      </c>
      <c r="BT23" s="879">
        <v>5166.7740163725002</v>
      </c>
      <c r="BU23" s="879">
        <v>5259.5317667710697</v>
      </c>
      <c r="BV23" s="879">
        <v>131.1183</v>
      </c>
      <c r="BW23" s="879">
        <v>1278.1550609999999</v>
      </c>
      <c r="BX23" s="879">
        <v>2779.9187999999999</v>
      </c>
      <c r="BY23" s="879">
        <v>4774.2861000000003</v>
      </c>
      <c r="BZ23" s="879">
        <v>8069.5828999999994</v>
      </c>
      <c r="CA23" s="879">
        <v>580.37569999999994</v>
      </c>
      <c r="CB23" s="879">
        <v>6897.8472000000002</v>
      </c>
      <c r="CC23" s="879">
        <v>8220.3787000000011</v>
      </c>
      <c r="CD23" s="879">
        <v>9224.0326999999997</v>
      </c>
      <c r="CE23" s="879">
        <v>12057.8626</v>
      </c>
      <c r="CF23" s="879">
        <v>15561.41</v>
      </c>
      <c r="CG23" s="879">
        <v>17183.963888946098</v>
      </c>
      <c r="CH23" s="879">
        <v>12191.145031599999</v>
      </c>
      <c r="CI23" s="879">
        <v>18462.061876899999</v>
      </c>
      <c r="CJ23" s="879">
        <v>23989.624404999999</v>
      </c>
      <c r="CK23" s="879">
        <v>27258.738814099997</v>
      </c>
      <c r="CL23" s="879">
        <v>30851.469606000002</v>
      </c>
      <c r="CM23" s="879">
        <v>30696.844700400001</v>
      </c>
      <c r="CN23" s="879">
        <f>SUM(CN21:CN22)</f>
        <v>41124.35</v>
      </c>
      <c r="CO23" s="879">
        <v>4273.8961565</v>
      </c>
      <c r="CP23" s="879">
        <v>5511.4607290000004</v>
      </c>
      <c r="CQ23" s="879">
        <v>6683.3630362999993</v>
      </c>
      <c r="CR23" s="879">
        <v>7817.1639529999993</v>
      </c>
      <c r="CS23" s="879">
        <v>10006.043900000001</v>
      </c>
      <c r="CT23" s="879">
        <v>11526.572650400001</v>
      </c>
      <c r="CU23" s="879">
        <v>12756.004077599999</v>
      </c>
      <c r="CV23" s="879">
        <v>13.534277299999999</v>
      </c>
      <c r="CW23" s="879">
        <v>83.474408199999999</v>
      </c>
      <c r="CX23" s="879">
        <v>192.61742850000002</v>
      </c>
      <c r="CY23" s="879">
        <v>359.58019999999999</v>
      </c>
      <c r="CZ23" s="879">
        <v>578.73710000000005</v>
      </c>
      <c r="DA23" s="879">
        <v>812.74170000000004</v>
      </c>
      <c r="DB23" s="879">
        <v>1136.8517000000002</v>
      </c>
      <c r="DC23" s="879">
        <v>395.70049243884699</v>
      </c>
      <c r="DD23" s="879">
        <v>639.08859863199996</v>
      </c>
      <c r="DE23" s="879">
        <v>967.41067938650008</v>
      </c>
      <c r="DF23" s="879">
        <v>1565.065197432484</v>
      </c>
      <c r="DG23" s="879">
        <v>2325.7304093849998</v>
      </c>
      <c r="DH23" s="879">
        <v>2617.9040764568499</v>
      </c>
      <c r="DI23" s="879">
        <v>2786.9684000000002</v>
      </c>
      <c r="DJ23" s="879">
        <v>738.48339999999996</v>
      </c>
      <c r="DK23" s="879">
        <v>823.73360000000002</v>
      </c>
      <c r="DL23" s="879">
        <v>1040.8151</v>
      </c>
      <c r="DM23" s="879">
        <v>1464.8778917633999</v>
      </c>
      <c r="DN23" s="879">
        <v>2108.0000135999999</v>
      </c>
      <c r="DO23" s="879">
        <v>2818.6737793000002</v>
      </c>
      <c r="DP23" s="879">
        <v>3594.2523023000003</v>
      </c>
      <c r="DQ23" s="879">
        <v>158.49439906399999</v>
      </c>
      <c r="DR23" s="879">
        <v>188.062029</v>
      </c>
      <c r="DS23" s="879">
        <v>215.50401764899999</v>
      </c>
      <c r="DT23" s="879">
        <v>353.91717236700003</v>
      </c>
      <c r="DU23" s="879">
        <f>SUM(DU21:DU22)</f>
        <v>381.39</v>
      </c>
      <c r="DV23" s="879">
        <v>47.250483799999998</v>
      </c>
      <c r="DW23" s="879">
        <v>91.464758100000012</v>
      </c>
      <c r="DX23" s="879">
        <v>152.06493319999998</v>
      </c>
      <c r="DY23" s="879">
        <v>243.89924959999999</v>
      </c>
      <c r="DZ23" s="879">
        <v>374.70357339999998</v>
      </c>
      <c r="EA23" s="879">
        <v>548.64973080000004</v>
      </c>
      <c r="EB23" s="879">
        <v>684.34801749999997</v>
      </c>
      <c r="EC23" s="879">
        <v>5189.6661230999998</v>
      </c>
      <c r="ED23" s="879">
        <v>6188.0946046499994</v>
      </c>
      <c r="EE23" s="879">
        <v>7719.9702517967198</v>
      </c>
      <c r="EF23" s="879">
        <v>8988.5097590779988</v>
      </c>
      <c r="EG23" s="879">
        <v>10808.817365929999</v>
      </c>
      <c r="EH23" s="879">
        <v>13186.8460906904</v>
      </c>
      <c r="EI23" s="879">
        <v>14710.753186633101</v>
      </c>
      <c r="EJ23" s="879">
        <v>2473.0167701</v>
      </c>
      <c r="EK23" s="879">
        <v>2969.0141472</v>
      </c>
      <c r="EL23" s="879">
        <v>3647.5961285000003</v>
      </c>
      <c r="EM23" s="879">
        <v>4546.1796023999996</v>
      </c>
      <c r="EN23" s="879">
        <v>5608.1593137999998</v>
      </c>
      <c r="EO23" s="879">
        <v>6031.8277328000004</v>
      </c>
      <c r="EP23" s="879">
        <v>6460.1403396999995</v>
      </c>
      <c r="EQ23" s="879">
        <v>2906.4008418029998</v>
      </c>
      <c r="ER23" s="879">
        <v>3649.0198354919003</v>
      </c>
      <c r="ES23" s="879">
        <v>4438.6541258590005</v>
      </c>
      <c r="ET23" s="879">
        <v>5556.7292924530002</v>
      </c>
      <c r="EU23" s="879">
        <v>7164.0007108110003</v>
      </c>
      <c r="EV23" s="879">
        <v>8565.5902000000006</v>
      </c>
      <c r="EW23" s="879">
        <v>9748.2106999999996</v>
      </c>
      <c r="EX23" s="879">
        <v>5444.7311494999994</v>
      </c>
      <c r="EY23" s="879">
        <v>6076.7355335000002</v>
      </c>
      <c r="EZ23" s="879">
        <v>7002.7473161999997</v>
      </c>
      <c r="FA23" s="879">
        <v>7535.0869260999998</v>
      </c>
      <c r="FB23" s="879">
        <v>8185.1142694</v>
      </c>
      <c r="FC23" s="879">
        <v>9018.3728711999993</v>
      </c>
      <c r="FD23" s="879">
        <f>SUM(FD21:FD22)</f>
        <v>9109.1999999999989</v>
      </c>
      <c r="FE23" s="879">
        <v>3297.3360592999998</v>
      </c>
      <c r="FF23" s="879">
        <v>4467.5039045000003</v>
      </c>
      <c r="FG23" s="879">
        <v>6263.5727229000004</v>
      </c>
      <c r="FH23" s="879">
        <v>10196.666413299999</v>
      </c>
      <c r="FI23" s="879">
        <v>10940.924165999999</v>
      </c>
      <c r="FJ23" s="879">
        <v>13982.354309800001</v>
      </c>
      <c r="FK23" s="879">
        <v>17337.670099999999</v>
      </c>
      <c r="FL23" s="879">
        <v>1362.4021152999999</v>
      </c>
      <c r="FM23" s="879">
        <v>2078.6763833999998</v>
      </c>
      <c r="FN23" s="881">
        <v>2389.0999836999999</v>
      </c>
      <c r="FO23" s="881">
        <v>2568.6525372000001</v>
      </c>
      <c r="FP23" s="881">
        <v>2729.1955284999999</v>
      </c>
      <c r="FQ23" s="881">
        <v>3710.9559667999997</v>
      </c>
      <c r="FR23" s="881">
        <v>4062.8777986999999</v>
      </c>
      <c r="FS23" s="879">
        <v>58476.523334003417</v>
      </c>
      <c r="FT23" s="879">
        <v>82521.265840776337</v>
      </c>
      <c r="FU23" s="879">
        <v>97853.385043054805</v>
      </c>
      <c r="FV23" s="879">
        <v>118752.65499645595</v>
      </c>
      <c r="FW23" s="879">
        <v>141759.83112707071</v>
      </c>
      <c r="FX23" s="879">
        <v>164586.14414628674</v>
      </c>
      <c r="FY23" s="879">
        <v>185917.07360987228</v>
      </c>
      <c r="FZ23" s="529">
        <v>4925.96924274107</v>
      </c>
      <c r="GA23" s="530">
        <v>8755.9741993999996</v>
      </c>
      <c r="GB23" s="885">
        <v>9852.6473504000005</v>
      </c>
      <c r="GC23" s="531">
        <v>8278.0080342063902</v>
      </c>
      <c r="GD23" s="531">
        <v>13890.9297037</v>
      </c>
      <c r="GE23" s="531">
        <v>20229.2691882</v>
      </c>
      <c r="GF23" s="531">
        <v>25614.645813424901</v>
      </c>
      <c r="GG23" s="531">
        <v>5525.4368794000002</v>
      </c>
      <c r="GH23" s="531">
        <v>5853.6590431999994</v>
      </c>
      <c r="GI23" s="531">
        <v>6384.5893609999994</v>
      </c>
      <c r="GJ23" s="531">
        <v>7043.3645517999994</v>
      </c>
      <c r="GK23" s="531">
        <v>8006.1147388999998</v>
      </c>
      <c r="GL23" s="531">
        <v>8296.4101100999997</v>
      </c>
      <c r="GM23" s="531">
        <v>8395.782505000001</v>
      </c>
      <c r="GN23" s="531">
        <v>10451.40612214107</v>
      </c>
      <c r="GO23" s="531">
        <v>14609.633242599999</v>
      </c>
      <c r="GP23" s="531">
        <v>16237.236711400001</v>
      </c>
      <c r="GQ23" s="531">
        <v>15321.37258600639</v>
      </c>
      <c r="GR23" s="531">
        <v>21897.044442599999</v>
      </c>
      <c r="GS23" s="531">
        <v>28525.679298300001</v>
      </c>
      <c r="GT23" s="531">
        <v>34010.4283184249</v>
      </c>
      <c r="GU23" s="879">
        <v>167.569422393</v>
      </c>
      <c r="GV23" s="879">
        <v>245.10882140000001</v>
      </c>
      <c r="GW23" s="879">
        <v>474.626005781098</v>
      </c>
      <c r="GX23" s="879">
        <v>766.02817243399898</v>
      </c>
      <c r="GY23" s="879">
        <v>1099.0937451720001</v>
      </c>
      <c r="GZ23" s="879">
        <v>1307.6379421846059</v>
      </c>
      <c r="HA23" s="879">
        <v>402.853386398</v>
      </c>
      <c r="HB23" s="879">
        <v>526.52341869999998</v>
      </c>
      <c r="HC23" s="879">
        <v>823.29422840503207</v>
      </c>
      <c r="HD23" s="879">
        <v>1131.7047846</v>
      </c>
      <c r="HE23" s="879">
        <v>1414.8140960999999</v>
      </c>
      <c r="HF23" s="879">
        <v>1944.9698172999999</v>
      </c>
      <c r="HG23" s="879">
        <v>2690.3635715</v>
      </c>
      <c r="HH23" s="879">
        <v>765.73297820000005</v>
      </c>
      <c r="HI23" s="879">
        <v>819.19229289999998</v>
      </c>
      <c r="HJ23" s="879">
        <v>1066.9161798</v>
      </c>
      <c r="HK23" s="879">
        <v>1380.6044756000001</v>
      </c>
      <c r="HL23" s="879">
        <v>1588.0007492</v>
      </c>
      <c r="HM23" s="879">
        <v>161.24192986899999</v>
      </c>
      <c r="HN23" s="879">
        <v>196.03836749500022</v>
      </c>
      <c r="HO23" s="879">
        <v>286.12458371646602</v>
      </c>
      <c r="HP23" s="879">
        <v>402.85520812200105</v>
      </c>
      <c r="HQ23" s="879">
        <v>472.26783593289201</v>
      </c>
      <c r="HR23" s="879">
        <v>620.68609776800008</v>
      </c>
      <c r="HS23" s="879">
        <v>786.45183056399799</v>
      </c>
      <c r="HT23" s="879">
        <v>436.13398540800006</v>
      </c>
      <c r="HU23" s="879">
        <v>492.69497589999997</v>
      </c>
      <c r="HV23" s="879">
        <v>564.88668583599997</v>
      </c>
      <c r="HW23" s="879">
        <v>736.99881949500002</v>
      </c>
      <c r="HX23" s="879">
        <v>891.38931790900006</v>
      </c>
      <c r="HY23" s="879">
        <v>1322.2258729979999</v>
      </c>
      <c r="HZ23" s="879">
        <v>1982.7824207890001</v>
      </c>
      <c r="IA23" s="879">
        <v>26.037153500000002</v>
      </c>
      <c r="IB23" s="879">
        <v>20.782499999999999</v>
      </c>
      <c r="IC23" s="879">
        <v>18.9297</v>
      </c>
      <c r="ID23" s="879">
        <f>SUM(ID21:ID22)</f>
        <v>21.69</v>
      </c>
      <c r="IE23" s="879">
        <v>1012.00708543</v>
      </c>
      <c r="IF23" s="879">
        <v>1423.1782543690001</v>
      </c>
      <c r="IG23" s="879">
        <v>2137.5791616779998</v>
      </c>
      <c r="IH23" s="879">
        <v>2989.5634227219998</v>
      </c>
      <c r="II23" s="879">
        <v>3836.6176771</v>
      </c>
      <c r="IJ23" s="879">
        <v>6758.9441457000003</v>
      </c>
      <c r="IK23" s="879">
        <v>8162.8902154887692</v>
      </c>
      <c r="IL23" s="879">
        <v>2777.9693653050003</v>
      </c>
      <c r="IM23" s="879">
        <v>3625.1967317570002</v>
      </c>
      <c r="IN23" s="879">
        <v>5123.9096608354985</v>
      </c>
      <c r="IO23" s="822">
        <v>7142.3898698200992</v>
      </c>
      <c r="IP23" s="822">
        <v>8989.9003486758902</v>
      </c>
      <c r="IQ23" s="886">
        <v>11764.849378938001</v>
      </c>
      <c r="IR23" s="822">
        <v>14930.125980526373</v>
      </c>
    </row>
    <row r="24" spans="1:252" s="28" customFormat="1" x14ac:dyDescent="0.2">
      <c r="A24" s="880" t="s">
        <v>480</v>
      </c>
      <c r="B24" s="531">
        <v>-13282.010683053799</v>
      </c>
      <c r="C24" s="531">
        <v>-14444.213300000001</v>
      </c>
      <c r="D24" s="531">
        <v>-19238.999400000001</v>
      </c>
      <c r="E24" s="531">
        <v>-20430.917200000004</v>
      </c>
      <c r="F24" s="531">
        <v>-25398.737499999996</v>
      </c>
      <c r="G24" s="531">
        <v>-26550.190000000002</v>
      </c>
      <c r="H24" s="531">
        <v>-27619.329999999998</v>
      </c>
      <c r="I24" s="531">
        <v>-15343.082863657004</v>
      </c>
      <c r="J24" s="531">
        <v>-16686.128496782996</v>
      </c>
      <c r="K24" s="531">
        <v>-18225.113411006005</v>
      </c>
      <c r="L24" s="531">
        <v>-22182.141113615005</v>
      </c>
      <c r="M24" s="531">
        <v>-26449.918099594401</v>
      </c>
      <c r="N24" s="531">
        <v>-30900.164651389998</v>
      </c>
      <c r="O24" s="531">
        <v>-33398.455535646004</v>
      </c>
      <c r="P24" s="531">
        <v>-8944.3649221999985</v>
      </c>
      <c r="Q24" s="531">
        <v>-11717.4425565</v>
      </c>
      <c r="R24" s="531">
        <v>-11641.448199999999</v>
      </c>
      <c r="S24" s="531">
        <v>-14158.9901949</v>
      </c>
      <c r="T24" s="531">
        <v>-18204.588999999996</v>
      </c>
      <c r="U24" s="531">
        <v>-17020.510000000002</v>
      </c>
      <c r="V24" s="531">
        <v>-21074.662987400003</v>
      </c>
      <c r="W24" s="531">
        <v>-13804.985197900001</v>
      </c>
      <c r="X24" s="531">
        <v>-18023.924599999998</v>
      </c>
      <c r="Y24" s="531">
        <v>-20345.972600000001</v>
      </c>
      <c r="Z24" s="531">
        <v>-24743.7207074</v>
      </c>
      <c r="AA24" s="531">
        <v>-26585.613299999997</v>
      </c>
      <c r="AB24" s="531">
        <v>-26615.037299999996</v>
      </c>
      <c r="AC24" s="531">
        <f>AC20-AC23</f>
        <v>-30324.87</v>
      </c>
      <c r="AD24" s="531">
        <v>-51374.44366681081</v>
      </c>
      <c r="AE24" s="879">
        <f>AE20-AE23</f>
        <v>-60871.708953282992</v>
      </c>
      <c r="AF24" s="881">
        <v>-69451.533611005987</v>
      </c>
      <c r="AG24" s="881">
        <v>-81515.769215915017</v>
      </c>
      <c r="AH24" s="879">
        <v>-96638.857899594383</v>
      </c>
      <c r="AI24" s="888">
        <v>-101085.90195139</v>
      </c>
      <c r="AJ24" s="888">
        <v>-112417.31852304601</v>
      </c>
      <c r="AK24" s="884">
        <v>4.9861999999999993</v>
      </c>
      <c r="AL24" s="884">
        <v>-122.80726240099999</v>
      </c>
      <c r="AM24" s="884">
        <v>-216.00446027100003</v>
      </c>
      <c r="AN24" s="884">
        <v>-333.23558483199997</v>
      </c>
      <c r="AO24" s="884">
        <v>-605.526810579825</v>
      </c>
      <c r="AP24" s="879">
        <v>-6481.3521501087698</v>
      </c>
      <c r="AQ24" s="879">
        <v>-7098.9637065000006</v>
      </c>
      <c r="AR24" s="879">
        <v>-9889.7330000000002</v>
      </c>
      <c r="AS24" s="879">
        <v>-12121.130756300001</v>
      </c>
      <c r="AT24" s="879">
        <v>-13155.8056726</v>
      </c>
      <c r="AU24" s="879">
        <v>-15506.330495800001</v>
      </c>
      <c r="AV24" s="879">
        <v>-15847.727500000001</v>
      </c>
      <c r="AW24" s="879">
        <v>-2165.9073029000001</v>
      </c>
      <c r="AX24" s="879">
        <v>-2271.4359343522356</v>
      </c>
      <c r="AY24" s="879">
        <v>-2488.4509399865351</v>
      </c>
      <c r="AZ24" s="879">
        <v>-3166.8074159358125</v>
      </c>
      <c r="BA24" s="879">
        <v>-3867.5388009801063</v>
      </c>
      <c r="BB24" s="879">
        <v>-4452.0158169999995</v>
      </c>
      <c r="BC24" s="879">
        <v>-3120.1351617999999</v>
      </c>
      <c r="BD24" s="879">
        <v>-3947.8500700999998</v>
      </c>
      <c r="BE24" s="879">
        <v>-5099.9572358000005</v>
      </c>
      <c r="BF24" s="879">
        <v>-6259.2280783999995</v>
      </c>
      <c r="BG24" s="879">
        <v>-7636.9223955000007</v>
      </c>
      <c r="BH24" s="879">
        <v>-9319.5546568910013</v>
      </c>
      <c r="BI24" s="879">
        <v>-10706.696726300001</v>
      </c>
      <c r="BJ24" s="879">
        <v>-4.2694002999999991</v>
      </c>
      <c r="BK24" s="879">
        <v>-93.689973222999981</v>
      </c>
      <c r="BL24" s="879">
        <v>-192.95677430999999</v>
      </c>
      <c r="BM24" s="879">
        <v>-258.13623360999998</v>
      </c>
      <c r="BN24" s="879">
        <v>-337.26883712200004</v>
      </c>
      <c r="BO24" s="879">
        <v>-1591.7976791000001</v>
      </c>
      <c r="BP24" s="879">
        <v>-1902.6966622</v>
      </c>
      <c r="BQ24" s="879">
        <v>-2343.7632665000001</v>
      </c>
      <c r="BR24" s="879">
        <v>-2911.8271020060001</v>
      </c>
      <c r="BS24" s="879">
        <v>-3398.6582836180005</v>
      </c>
      <c r="BT24" s="879">
        <v>-4457.7976424013004</v>
      </c>
      <c r="BU24" s="879">
        <v>-4530.3264266638962</v>
      </c>
      <c r="BV24" s="879">
        <v>-64.625399999999999</v>
      </c>
      <c r="BW24" s="879">
        <v>-987.87488748999999</v>
      </c>
      <c r="BX24" s="879">
        <v>-2449.8415999999997</v>
      </c>
      <c r="BY24" s="879">
        <v>-4302.7986000000001</v>
      </c>
      <c r="BZ24" s="879">
        <v>-7417.7152999999998</v>
      </c>
      <c r="CA24" s="879">
        <v>-467.22929999999997</v>
      </c>
      <c r="CB24" s="879">
        <v>-5195.3962000000001</v>
      </c>
      <c r="CC24" s="879">
        <v>-6234.1128000000008</v>
      </c>
      <c r="CD24" s="879">
        <v>-7064.3650999999991</v>
      </c>
      <c r="CE24" s="879">
        <v>-9081.142600000001</v>
      </c>
      <c r="CF24" s="879">
        <v>-13232.41</v>
      </c>
      <c r="CG24" s="879">
        <v>-14648.527710291488</v>
      </c>
      <c r="CH24" s="879">
        <v>-8595.1874446999991</v>
      </c>
      <c r="CI24" s="879">
        <v>-10659.9842885</v>
      </c>
      <c r="CJ24" s="879">
        <v>-13050.031961899998</v>
      </c>
      <c r="CK24" s="879">
        <v>-16853.431075599998</v>
      </c>
      <c r="CL24" s="879">
        <v>-21118.9958787</v>
      </c>
      <c r="CM24" s="879">
        <v>-23267.8907378</v>
      </c>
      <c r="CN24" s="879">
        <f>CN20-CN23</f>
        <v>-29985.379999999997</v>
      </c>
      <c r="CO24" s="879">
        <v>-2891.2949856999999</v>
      </c>
      <c r="CP24" s="879">
        <v>-4930.9531803</v>
      </c>
      <c r="CQ24" s="879">
        <v>-5324.0470834999996</v>
      </c>
      <c r="CR24" s="879">
        <v>-6753.8319513999995</v>
      </c>
      <c r="CS24" s="879">
        <v>-7331.2964000000011</v>
      </c>
      <c r="CT24" s="879">
        <v>-9422.958188300001</v>
      </c>
      <c r="CU24" s="879">
        <v>-10384.585609099999</v>
      </c>
      <c r="CV24" s="879">
        <v>-3.042625300000001</v>
      </c>
      <c r="CW24" s="879">
        <v>-70.5556488</v>
      </c>
      <c r="CX24" s="879">
        <v>-161.43342950000002</v>
      </c>
      <c r="CY24" s="879">
        <v>-313.58929999999998</v>
      </c>
      <c r="CZ24" s="879">
        <v>-524.71940000000006</v>
      </c>
      <c r="DA24" s="879">
        <v>-747.46660000000008</v>
      </c>
      <c r="DB24" s="879">
        <v>-1006.2378000000001</v>
      </c>
      <c r="DC24" s="879">
        <v>-313.40192958584703</v>
      </c>
      <c r="DD24" s="879">
        <v>-513.61749750299998</v>
      </c>
      <c r="DE24" s="879">
        <v>-787.77496685100016</v>
      </c>
      <c r="DF24" s="879">
        <v>-1360.5494712630007</v>
      </c>
      <c r="DG24" s="879">
        <v>-2046.7784999199991</v>
      </c>
      <c r="DH24" s="879">
        <v>-2325.6662032600034</v>
      </c>
      <c r="DI24" s="879">
        <v>-2495.4726000000001</v>
      </c>
      <c r="DJ24" s="879">
        <v>-663.14109999999994</v>
      </c>
      <c r="DK24" s="879">
        <v>-699.37210000000005</v>
      </c>
      <c r="DL24" s="879">
        <v>-933.17600000000004</v>
      </c>
      <c r="DM24" s="879">
        <v>-1166.0162917634</v>
      </c>
      <c r="DN24" s="879">
        <v>-1930.5048248999999</v>
      </c>
      <c r="DO24" s="879">
        <v>-2614.4693428</v>
      </c>
      <c r="DP24" s="879">
        <v>-3386.9241405000002</v>
      </c>
      <c r="DQ24" s="879">
        <v>-141.93766796</v>
      </c>
      <c r="DR24" s="879">
        <v>-120.60172560000008</v>
      </c>
      <c r="DS24" s="879">
        <v>-183.70591472199999</v>
      </c>
      <c r="DT24" s="879">
        <v>-333.25737291800004</v>
      </c>
      <c r="DU24" s="879">
        <f>DU20-DU23</f>
        <v>-354.18</v>
      </c>
      <c r="DV24" s="879">
        <v>-29.995036999999996</v>
      </c>
      <c r="DW24" s="879">
        <v>-65.069915300000005</v>
      </c>
      <c r="DX24" s="879">
        <v>-118.97279629999998</v>
      </c>
      <c r="DY24" s="879">
        <v>-205.6680049</v>
      </c>
      <c r="DZ24" s="879">
        <v>-326.93532139999996</v>
      </c>
      <c r="EA24" s="879">
        <v>-493.35117630000002</v>
      </c>
      <c r="EB24" s="879">
        <v>-625.87750540000002</v>
      </c>
      <c r="EC24" s="879">
        <v>-4349.1823100000001</v>
      </c>
      <c r="ED24" s="879">
        <v>-5306.8005445499994</v>
      </c>
      <c r="EE24" s="879">
        <v>-6444.9713342967198</v>
      </c>
      <c r="EF24" s="879">
        <v>-7676.2412071829986</v>
      </c>
      <c r="EG24" s="879">
        <v>-8922.4048365369999</v>
      </c>
      <c r="EH24" s="879">
        <v>-10830.52708569302</v>
      </c>
      <c r="EI24" s="879">
        <v>-12054.226752247971</v>
      </c>
      <c r="EJ24" s="879">
        <v>-2211.7380616</v>
      </c>
      <c r="EK24" s="879">
        <v>-2660.5070905000002</v>
      </c>
      <c r="EL24" s="879">
        <v>-3231.1260468000005</v>
      </c>
      <c r="EM24" s="879">
        <v>-3901.3514981999997</v>
      </c>
      <c r="EN24" s="879">
        <v>-4642.1320208999996</v>
      </c>
      <c r="EO24" s="879">
        <v>-5065.0255609000005</v>
      </c>
      <c r="EP24" s="879">
        <v>-5470.5590824999999</v>
      </c>
      <c r="EQ24" s="879">
        <v>-2636.7358072699999</v>
      </c>
      <c r="ER24" s="879">
        <v>-3305.1487720272753</v>
      </c>
      <c r="ES24" s="879">
        <v>-3898.162481708438</v>
      </c>
      <c r="ET24" s="879">
        <v>-4669.2847202152498</v>
      </c>
      <c r="EU24" s="879">
        <v>-5424.4617102136872</v>
      </c>
      <c r="EV24" s="879">
        <v>-6992.7984000000006</v>
      </c>
      <c r="EW24" s="879">
        <v>-8188.4668000000001</v>
      </c>
      <c r="EX24" s="879">
        <v>-5142.0377791999999</v>
      </c>
      <c r="EY24" s="879">
        <v>-5652.7255543000001</v>
      </c>
      <c r="EZ24" s="879">
        <v>-6557.6049825999999</v>
      </c>
      <c r="FA24" s="879">
        <v>-7098.3895765999996</v>
      </c>
      <c r="FB24" s="879">
        <v>-7624.9089982000005</v>
      </c>
      <c r="FC24" s="879">
        <v>-8474.4536940999988</v>
      </c>
      <c r="FD24" s="879">
        <f>FD20-FD23</f>
        <v>-8561.8799999999992</v>
      </c>
      <c r="FE24" s="879">
        <v>-2735.1658941999999</v>
      </c>
      <c r="FF24" s="879">
        <v>-3563.7112730000003</v>
      </c>
      <c r="FG24" s="879">
        <v>-5043.1145430000006</v>
      </c>
      <c r="FH24" s="879">
        <v>-8062.435440199999</v>
      </c>
      <c r="FI24" s="879">
        <v>-9523.5624813999984</v>
      </c>
      <c r="FJ24" s="879">
        <v>-12637.921272200001</v>
      </c>
      <c r="FK24" s="879">
        <v>-15568.074218899999</v>
      </c>
      <c r="FL24" s="879">
        <v>-812.76516449999986</v>
      </c>
      <c r="FM24" s="879">
        <v>-1302.1013154999998</v>
      </c>
      <c r="FN24" s="881">
        <v>-1447.8300105999999</v>
      </c>
      <c r="FO24" s="881">
        <v>-1496.4957434000003</v>
      </c>
      <c r="FP24" s="881">
        <v>-2063.1462695999999</v>
      </c>
      <c r="FQ24" s="881">
        <v>-2568.5414581999994</v>
      </c>
      <c r="FR24" s="881">
        <v>-2654.1942474999996</v>
      </c>
      <c r="FS24" s="879">
        <v>-47396.361715246618</v>
      </c>
      <c r="FT24" s="879">
        <v>-63373.528442566865</v>
      </c>
      <c r="FU24" s="879">
        <v>-73260.109147602692</v>
      </c>
      <c r="FV24" s="879">
        <v>-92405.61658208046</v>
      </c>
      <c r="FW24" s="879">
        <v>-111662.42314377181</v>
      </c>
      <c r="FX24" s="879">
        <v>-137636.6061230053</v>
      </c>
      <c r="FY24" s="879">
        <v>-154829.84806710517</v>
      </c>
      <c r="FZ24" s="529">
        <v>-3538.7017978500699</v>
      </c>
      <c r="GA24" s="530">
        <v>-4620.3465314999994</v>
      </c>
      <c r="GB24" s="885">
        <v>-4274.1432609000003</v>
      </c>
      <c r="GC24" s="531">
        <v>-3292.3239214977702</v>
      </c>
      <c r="GD24" s="531">
        <v>-3626.8138291283503</v>
      </c>
      <c r="GE24" s="531">
        <v>-9316.6596073000001</v>
      </c>
      <c r="GF24" s="531">
        <v>-6984.5818224348004</v>
      </c>
      <c r="GG24" s="531">
        <v>-3591.4397293000002</v>
      </c>
      <c r="GH24" s="531">
        <v>-4222.5973331999994</v>
      </c>
      <c r="GI24" s="531">
        <v>-4502.4507339999991</v>
      </c>
      <c r="GJ24" s="531">
        <v>-5537.4680976</v>
      </c>
      <c r="GK24" s="531">
        <v>-5962.5488816999996</v>
      </c>
      <c r="GL24" s="531">
        <v>-5776.2753199999997</v>
      </c>
      <c r="GM24" s="531">
        <v>-5363.0726120000008</v>
      </c>
      <c r="GN24" s="531">
        <v>-7130.14152715007</v>
      </c>
      <c r="GO24" s="531">
        <v>-8842.9438646999988</v>
      </c>
      <c r="GP24" s="531">
        <v>-8776.5939948999985</v>
      </c>
      <c r="GQ24" s="531">
        <v>-8829.7920190977711</v>
      </c>
      <c r="GR24" s="531">
        <v>-9589.3627108283508</v>
      </c>
      <c r="GS24" s="531">
        <v>-15092.934927300001</v>
      </c>
      <c r="GT24" s="531">
        <v>-12347.6544344348</v>
      </c>
      <c r="GU24" s="879">
        <v>-111.86181651999999</v>
      </c>
      <c r="GV24" s="879">
        <v>-170.64738260000001</v>
      </c>
      <c r="GW24" s="879">
        <v>-389.95759752109723</v>
      </c>
      <c r="GX24" s="879">
        <v>-636.2252567299978</v>
      </c>
      <c r="GY24" s="879">
        <v>-935.58308527600013</v>
      </c>
      <c r="GZ24" s="879">
        <v>-1118.7922758679972</v>
      </c>
      <c r="HA24" s="879">
        <v>-320.99607269799998</v>
      </c>
      <c r="HB24" s="879">
        <v>-429.61869921599998</v>
      </c>
      <c r="HC24" s="879">
        <v>-697.78269167500105</v>
      </c>
      <c r="HD24" s="879">
        <v>-918.39305328299997</v>
      </c>
      <c r="HE24" s="879">
        <v>-1244.8255107999998</v>
      </c>
      <c r="HF24" s="879">
        <v>-1689.0081906</v>
      </c>
      <c r="HG24" s="879">
        <v>-2454.1939304000002</v>
      </c>
      <c r="HH24" s="879">
        <v>-469.84977700000002</v>
      </c>
      <c r="HI24" s="879">
        <v>-551.99753869999995</v>
      </c>
      <c r="HJ24" s="879">
        <v>-712.47103019999997</v>
      </c>
      <c r="HK24" s="879">
        <v>-934.48587400000019</v>
      </c>
      <c r="HL24" s="879">
        <v>-1184.3068707</v>
      </c>
      <c r="HM24" s="879">
        <v>-104.61791110499999</v>
      </c>
      <c r="HN24" s="879">
        <v>-144.38166885400022</v>
      </c>
      <c r="HO24" s="879">
        <v>-200.66117576099981</v>
      </c>
      <c r="HP24" s="879">
        <v>-337.68045458200123</v>
      </c>
      <c r="HQ24" s="879">
        <v>-416.0212613198924</v>
      </c>
      <c r="HR24" s="879">
        <v>-520.92398572499974</v>
      </c>
      <c r="HS24" s="879">
        <v>-632.10409702699826</v>
      </c>
      <c r="HT24" s="879">
        <v>-380.86514121000005</v>
      </c>
      <c r="HU24" s="879">
        <v>-427.17220939999999</v>
      </c>
      <c r="HV24" s="879">
        <v>-446.72073270799996</v>
      </c>
      <c r="HW24" s="879">
        <v>-585.17898032599999</v>
      </c>
      <c r="HX24" s="879">
        <v>-762.46884043500006</v>
      </c>
      <c r="HY24" s="879">
        <v>-1092.261643503</v>
      </c>
      <c r="HZ24" s="879">
        <v>-1695.3403039320001</v>
      </c>
      <c r="IA24" s="879">
        <v>-0.67488380000000348</v>
      </c>
      <c r="IB24" s="879">
        <v>3.1451000000000029</v>
      </c>
      <c r="IC24" s="879">
        <v>3.7717999999999989</v>
      </c>
      <c r="ID24" s="879">
        <f>ID20-ID23</f>
        <v>0.62999999999999901</v>
      </c>
      <c r="IE24" s="879">
        <v>-512.02606259899994</v>
      </c>
      <c r="IF24" s="879">
        <v>-722.84896106200017</v>
      </c>
      <c r="IG24" s="879">
        <v>-1052.0857810159998</v>
      </c>
      <c r="IH24" s="879">
        <v>-1384.9114381969998</v>
      </c>
      <c r="II24" s="879">
        <v>-2241.9273136000002</v>
      </c>
      <c r="IJ24" s="879">
        <v>-3614.9316466</v>
      </c>
      <c r="IK24" s="879">
        <v>-6916.5281833417694</v>
      </c>
      <c r="IL24" s="879">
        <v>-1788.3549646120005</v>
      </c>
      <c r="IM24" s="879">
        <v>-2387.8808937520002</v>
      </c>
      <c r="IN24" s="879">
        <v>-3280.3687939600004</v>
      </c>
      <c r="IO24" s="822">
        <v>-4551.2822817090982</v>
      </c>
      <c r="IP24" s="822">
        <v>-6482.6299535848893</v>
      </c>
      <c r="IQ24" s="886">
        <v>-7848.9367517040009</v>
      </c>
      <c r="IR24" s="822">
        <v>-12816.958790568766</v>
      </c>
    </row>
    <row r="25" spans="1:252" ht="32.25" customHeight="1" x14ac:dyDescent="0.2">
      <c r="A25" s="869" t="s">
        <v>294</v>
      </c>
      <c r="B25" s="870">
        <v>304.40519999999998</v>
      </c>
      <c r="C25" s="870">
        <v>152.20259999999999</v>
      </c>
      <c r="D25" s="870">
        <v>0</v>
      </c>
      <c r="E25" s="519">
        <v>0</v>
      </c>
      <c r="F25" s="519">
        <v>631.04639999999995</v>
      </c>
      <c r="G25" s="519">
        <v>473.28</v>
      </c>
      <c r="H25" s="519">
        <v>315.52</v>
      </c>
      <c r="I25" s="870">
        <v>435.77600000000001</v>
      </c>
      <c r="J25" s="870">
        <v>221.34</v>
      </c>
      <c r="K25" s="870">
        <v>276.93200000000002</v>
      </c>
      <c r="L25" s="519">
        <v>183.46995999999999</v>
      </c>
      <c r="M25" s="519">
        <v>1730.56801</v>
      </c>
      <c r="N25" s="519">
        <v>1230.4199610000001</v>
      </c>
      <c r="O25" s="519">
        <v>820.28</v>
      </c>
      <c r="P25" s="870">
        <v>624.63939140000002</v>
      </c>
      <c r="Q25" s="870">
        <v>312.31969579999998</v>
      </c>
      <c r="R25" s="870">
        <v>0</v>
      </c>
      <c r="S25" s="519">
        <v>0</v>
      </c>
      <c r="T25" s="519">
        <v>1188.5574999999999</v>
      </c>
      <c r="U25" s="519">
        <v>891.43</v>
      </c>
      <c r="V25" s="519">
        <v>594.2787429</v>
      </c>
      <c r="W25" s="870">
        <v>0</v>
      </c>
      <c r="X25" s="870">
        <v>0</v>
      </c>
      <c r="Y25" s="870">
        <v>0</v>
      </c>
      <c r="Z25" s="519">
        <v>0</v>
      </c>
      <c r="AA25" s="519">
        <v>0</v>
      </c>
      <c r="AB25" s="519">
        <v>0</v>
      </c>
      <c r="AC25" s="519">
        <v>0</v>
      </c>
      <c r="AD25" s="870">
        <v>1364.8205914</v>
      </c>
      <c r="AE25" s="871">
        <f t="shared" si="0"/>
        <v>685.86229579999997</v>
      </c>
      <c r="AF25" s="872">
        <v>276.93200000000002</v>
      </c>
      <c r="AG25" s="873">
        <v>183.46995999999999</v>
      </c>
      <c r="AH25" s="873">
        <v>3550.17191</v>
      </c>
      <c r="AI25" s="874">
        <v>2595.1299610000001</v>
      </c>
      <c r="AJ25" s="874">
        <v>1730.0787429</v>
      </c>
      <c r="AK25" s="875">
        <v>0</v>
      </c>
      <c r="AL25" s="875">
        <v>0</v>
      </c>
      <c r="AM25" s="875">
        <v>0</v>
      </c>
      <c r="AN25" s="875">
        <v>0</v>
      </c>
      <c r="AO25" s="875">
        <v>0</v>
      </c>
      <c r="AP25" s="879">
        <v>0</v>
      </c>
      <c r="AQ25" s="871">
        <v>0</v>
      </c>
      <c r="AR25" s="871">
        <v>0</v>
      </c>
      <c r="AS25" s="871">
        <v>0</v>
      </c>
      <c r="AT25" s="871">
        <v>0</v>
      </c>
      <c r="AU25" s="871">
        <v>0</v>
      </c>
      <c r="AV25" s="871">
        <v>0</v>
      </c>
      <c r="AW25" s="871">
        <v>0</v>
      </c>
      <c r="AX25" s="871">
        <v>0</v>
      </c>
      <c r="AY25" s="871">
        <v>0</v>
      </c>
      <c r="AZ25" s="871">
        <v>0</v>
      </c>
      <c r="BA25" s="871">
        <v>0</v>
      </c>
      <c r="BB25" s="871">
        <v>0</v>
      </c>
      <c r="BC25" s="871">
        <v>0</v>
      </c>
      <c r="BD25" s="871">
        <v>0</v>
      </c>
      <c r="BE25" s="871">
        <v>0</v>
      </c>
      <c r="BF25" s="871">
        <v>0</v>
      </c>
      <c r="BG25" s="871">
        <v>0</v>
      </c>
      <c r="BH25" s="871">
        <v>0</v>
      </c>
      <c r="BI25" s="871">
        <v>0</v>
      </c>
      <c r="BJ25" s="871">
        <v>0</v>
      </c>
      <c r="BK25" s="871">
        <v>0</v>
      </c>
      <c r="BL25" s="871">
        <v>0</v>
      </c>
      <c r="BM25" s="871">
        <v>0</v>
      </c>
      <c r="BN25" s="871">
        <v>0</v>
      </c>
      <c r="BO25" s="871">
        <v>0</v>
      </c>
      <c r="BP25" s="871">
        <v>0</v>
      </c>
      <c r="BQ25" s="871">
        <v>0</v>
      </c>
      <c r="BR25" s="871">
        <v>0</v>
      </c>
      <c r="BS25" s="871">
        <v>0</v>
      </c>
      <c r="BT25" s="871">
        <v>0</v>
      </c>
      <c r="BU25" s="871">
        <v>0</v>
      </c>
      <c r="BV25" s="871">
        <v>0</v>
      </c>
      <c r="BW25" s="871">
        <v>0</v>
      </c>
      <c r="BX25" s="871">
        <v>0</v>
      </c>
      <c r="BY25" s="871">
        <v>0</v>
      </c>
      <c r="BZ25" s="871">
        <v>0</v>
      </c>
      <c r="CA25" s="871">
        <v>0</v>
      </c>
      <c r="CB25" s="871">
        <v>0</v>
      </c>
      <c r="CC25" s="871">
        <v>0</v>
      </c>
      <c r="CD25" s="871">
        <v>0</v>
      </c>
      <c r="CE25" s="871">
        <v>0</v>
      </c>
      <c r="CF25" s="871">
        <v>0</v>
      </c>
      <c r="CG25" s="871">
        <v>0</v>
      </c>
      <c r="CH25" s="871">
        <v>0</v>
      </c>
      <c r="CI25" s="871">
        <v>0</v>
      </c>
      <c r="CJ25" s="871">
        <v>0</v>
      </c>
      <c r="CK25" s="871">
        <v>0</v>
      </c>
      <c r="CL25" s="871">
        <v>0</v>
      </c>
      <c r="CM25" s="871">
        <v>0</v>
      </c>
      <c r="CN25" s="871">
        <v>0</v>
      </c>
      <c r="CO25" s="871">
        <v>0</v>
      </c>
      <c r="CP25" s="871">
        <v>0</v>
      </c>
      <c r="CQ25" s="871">
        <v>0</v>
      </c>
      <c r="CR25" s="871">
        <v>0</v>
      </c>
      <c r="CS25" s="871">
        <v>0</v>
      </c>
      <c r="CT25" s="871">
        <v>0</v>
      </c>
      <c r="CU25" s="871">
        <v>0</v>
      </c>
      <c r="CV25" s="871">
        <v>0</v>
      </c>
      <c r="CW25" s="871">
        <v>0</v>
      </c>
      <c r="CX25" s="871">
        <v>0</v>
      </c>
      <c r="CY25" s="871">
        <v>0</v>
      </c>
      <c r="CZ25" s="871">
        <v>0</v>
      </c>
      <c r="DA25" s="871">
        <v>0</v>
      </c>
      <c r="DB25" s="871">
        <v>0</v>
      </c>
      <c r="DC25" s="871">
        <v>0</v>
      </c>
      <c r="DD25" s="871">
        <v>0</v>
      </c>
      <c r="DE25" s="871">
        <v>0</v>
      </c>
      <c r="DF25" s="871">
        <v>0</v>
      </c>
      <c r="DG25" s="871">
        <v>0</v>
      </c>
      <c r="DH25" s="871">
        <v>0</v>
      </c>
      <c r="DI25" s="871">
        <v>0</v>
      </c>
      <c r="DJ25" s="871">
        <v>0</v>
      </c>
      <c r="DK25" s="871">
        <v>0</v>
      </c>
      <c r="DL25" s="871">
        <v>0</v>
      </c>
      <c r="DM25" s="871">
        <v>0</v>
      </c>
      <c r="DN25" s="871">
        <v>0</v>
      </c>
      <c r="DO25" s="871">
        <v>0</v>
      </c>
      <c r="DP25" s="871">
        <v>0</v>
      </c>
      <c r="DQ25" s="871">
        <v>0</v>
      </c>
      <c r="DR25" s="871">
        <v>0</v>
      </c>
      <c r="DS25" s="871">
        <v>0</v>
      </c>
      <c r="DT25" s="871">
        <v>0</v>
      </c>
      <c r="DU25" s="871"/>
      <c r="DV25" s="871">
        <v>0</v>
      </c>
      <c r="DW25" s="871">
        <v>0</v>
      </c>
      <c r="DX25" s="871">
        <v>0</v>
      </c>
      <c r="DY25" s="871">
        <v>0</v>
      </c>
      <c r="DZ25" s="871">
        <v>0</v>
      </c>
      <c r="EA25" s="871">
        <v>0</v>
      </c>
      <c r="EB25" s="871">
        <v>0</v>
      </c>
      <c r="EC25" s="871">
        <v>0</v>
      </c>
      <c r="ED25" s="871">
        <v>0</v>
      </c>
      <c r="EE25" s="871">
        <v>0</v>
      </c>
      <c r="EF25" s="871">
        <v>0</v>
      </c>
      <c r="EG25" s="871">
        <v>0</v>
      </c>
      <c r="EH25" s="871">
        <v>0</v>
      </c>
      <c r="EI25" s="871">
        <v>0</v>
      </c>
      <c r="EJ25" s="871">
        <v>0</v>
      </c>
      <c r="EK25" s="871">
        <v>0</v>
      </c>
      <c r="EL25" s="871">
        <v>0</v>
      </c>
      <c r="EM25" s="871">
        <v>0</v>
      </c>
      <c r="EN25" s="871">
        <v>0</v>
      </c>
      <c r="EO25" s="871">
        <v>0</v>
      </c>
      <c r="EP25" s="871">
        <v>0</v>
      </c>
      <c r="EQ25" s="871">
        <v>0</v>
      </c>
      <c r="ER25" s="871">
        <v>0</v>
      </c>
      <c r="ES25" s="871">
        <v>0</v>
      </c>
      <c r="ET25" s="871">
        <v>0</v>
      </c>
      <c r="EU25" s="871">
        <v>0</v>
      </c>
      <c r="EV25" s="871">
        <v>0</v>
      </c>
      <c r="EW25" s="871">
        <v>0</v>
      </c>
      <c r="EX25" s="871">
        <v>0</v>
      </c>
      <c r="EY25" s="871">
        <v>0</v>
      </c>
      <c r="EZ25" s="871">
        <v>0</v>
      </c>
      <c r="FA25" s="871">
        <v>0</v>
      </c>
      <c r="FB25" s="871">
        <v>0</v>
      </c>
      <c r="FC25" s="871">
        <v>0</v>
      </c>
      <c r="FD25" s="871"/>
      <c r="FE25" s="871">
        <v>0</v>
      </c>
      <c r="FF25" s="871">
        <v>0</v>
      </c>
      <c r="FG25" s="871">
        <v>0</v>
      </c>
      <c r="FH25" s="871">
        <v>0</v>
      </c>
      <c r="FI25" s="871">
        <v>0</v>
      </c>
      <c r="FJ25" s="871">
        <v>0</v>
      </c>
      <c r="FK25" s="871">
        <v>0</v>
      </c>
      <c r="FL25" s="871">
        <v>0</v>
      </c>
      <c r="FM25" s="871">
        <v>0</v>
      </c>
      <c r="FN25" s="872">
        <v>0</v>
      </c>
      <c r="FO25" s="872">
        <v>0</v>
      </c>
      <c r="FP25" s="872">
        <v>0</v>
      </c>
      <c r="FQ25" s="872">
        <v>0</v>
      </c>
      <c r="FR25" s="872">
        <v>0</v>
      </c>
      <c r="FS25" s="871">
        <v>0</v>
      </c>
      <c r="FT25" s="871">
        <v>0</v>
      </c>
      <c r="FU25" s="871">
        <v>0</v>
      </c>
      <c r="FV25" s="871">
        <v>0</v>
      </c>
      <c r="FW25" s="871">
        <v>0</v>
      </c>
      <c r="FX25" s="871">
        <v>0</v>
      </c>
      <c r="FY25" s="871">
        <v>0</v>
      </c>
      <c r="FZ25" s="520" t="s">
        <v>167</v>
      </c>
      <c r="GA25" s="520" t="s">
        <v>167</v>
      </c>
      <c r="GB25" s="520" t="s">
        <v>167</v>
      </c>
      <c r="GC25" s="520" t="s">
        <v>167</v>
      </c>
      <c r="GD25" s="520">
        <v>0</v>
      </c>
      <c r="GE25" s="520">
        <v>0</v>
      </c>
      <c r="GF25" s="520">
        <v>0</v>
      </c>
      <c r="GG25" s="520">
        <v>0</v>
      </c>
      <c r="GH25" s="871"/>
      <c r="GI25" s="871"/>
      <c r="GJ25" s="871"/>
      <c r="GK25" s="871"/>
      <c r="GL25" s="871"/>
      <c r="GM25" s="871"/>
      <c r="GN25" s="870"/>
      <c r="GO25" s="870"/>
      <c r="GP25" s="870"/>
      <c r="GQ25" s="870"/>
      <c r="GR25" s="870">
        <v>0</v>
      </c>
      <c r="GS25" s="870">
        <v>0</v>
      </c>
      <c r="GT25" s="870">
        <v>0</v>
      </c>
      <c r="GU25" s="871">
        <v>0</v>
      </c>
      <c r="GV25" s="871">
        <v>0</v>
      </c>
      <c r="GW25" s="871">
        <v>0</v>
      </c>
      <c r="GX25" s="871">
        <v>0</v>
      </c>
      <c r="GY25" s="871">
        <v>0</v>
      </c>
      <c r="GZ25" s="871">
        <v>0</v>
      </c>
      <c r="HA25" s="871">
        <v>0</v>
      </c>
      <c r="HB25" s="871">
        <v>0</v>
      </c>
      <c r="HC25" s="871">
        <v>0</v>
      </c>
      <c r="HD25" s="871">
        <v>0</v>
      </c>
      <c r="HE25" s="871">
        <v>0</v>
      </c>
      <c r="HF25" s="871">
        <v>0</v>
      </c>
      <c r="HG25" s="871">
        <v>0</v>
      </c>
      <c r="HH25" s="871">
        <v>0</v>
      </c>
      <c r="HI25" s="871">
        <v>0</v>
      </c>
      <c r="HJ25" s="871">
        <v>0</v>
      </c>
      <c r="HK25" s="871">
        <v>0</v>
      </c>
      <c r="HL25" s="871">
        <v>0</v>
      </c>
      <c r="HM25" s="871">
        <v>0</v>
      </c>
      <c r="HN25" s="871">
        <v>0</v>
      </c>
      <c r="HO25" s="871">
        <v>0</v>
      </c>
      <c r="HP25" s="871">
        <v>0</v>
      </c>
      <c r="HQ25" s="871">
        <v>0</v>
      </c>
      <c r="HR25" s="871">
        <v>0</v>
      </c>
      <c r="HS25" s="871">
        <v>0</v>
      </c>
      <c r="HT25" s="871">
        <v>0</v>
      </c>
      <c r="HU25" s="871">
        <v>0</v>
      </c>
      <c r="HV25" s="871">
        <v>0</v>
      </c>
      <c r="HW25" s="871">
        <v>0</v>
      </c>
      <c r="HX25" s="871">
        <v>0</v>
      </c>
      <c r="HY25" s="871">
        <v>0</v>
      </c>
      <c r="HZ25" s="871">
        <v>0</v>
      </c>
      <c r="IA25" s="871">
        <v>0</v>
      </c>
      <c r="IB25" s="871">
        <v>0</v>
      </c>
      <c r="IC25" s="871">
        <v>0</v>
      </c>
      <c r="ID25" s="871"/>
      <c r="IE25" s="871">
        <v>0</v>
      </c>
      <c r="IF25" s="871">
        <v>0</v>
      </c>
      <c r="IG25" s="871">
        <v>0</v>
      </c>
      <c r="IH25" s="871">
        <v>0</v>
      </c>
      <c r="II25" s="871">
        <v>0</v>
      </c>
      <c r="IJ25" s="871">
        <v>0</v>
      </c>
      <c r="IK25" s="871">
        <v>0</v>
      </c>
      <c r="IL25" s="871">
        <v>0</v>
      </c>
      <c r="IM25" s="871">
        <v>0</v>
      </c>
      <c r="IN25" s="871">
        <v>0</v>
      </c>
      <c r="IO25" s="825">
        <v>0</v>
      </c>
      <c r="IP25" s="825">
        <v>0</v>
      </c>
      <c r="IQ25" s="877">
        <v>0</v>
      </c>
      <c r="IR25" s="825">
        <v>0</v>
      </c>
    </row>
    <row r="26" spans="1:252" ht="25.5" x14ac:dyDescent="0.2">
      <c r="A26" s="869" t="s">
        <v>295</v>
      </c>
      <c r="B26" s="870">
        <v>0</v>
      </c>
      <c r="C26" s="870">
        <v>0</v>
      </c>
      <c r="D26" s="870">
        <v>0</v>
      </c>
      <c r="E26" s="519">
        <v>0</v>
      </c>
      <c r="F26" s="519">
        <v>4059.0852</v>
      </c>
      <c r="G26" s="519">
        <v>4627.58</v>
      </c>
      <c r="H26" s="519">
        <v>6308.46</v>
      </c>
      <c r="I26" s="870">
        <v>0</v>
      </c>
      <c r="J26" s="870">
        <v>0</v>
      </c>
      <c r="K26" s="870">
        <v>0</v>
      </c>
      <c r="L26" s="519">
        <v>0</v>
      </c>
      <c r="M26" s="519">
        <v>0</v>
      </c>
      <c r="N26" s="519">
        <v>0</v>
      </c>
      <c r="O26" s="519">
        <v>8.9512090682983396E-6</v>
      </c>
      <c r="P26" s="870">
        <v>0</v>
      </c>
      <c r="Q26" s="870">
        <v>0</v>
      </c>
      <c r="R26" s="870">
        <v>0</v>
      </c>
      <c r="S26" s="519">
        <v>0</v>
      </c>
      <c r="T26" s="519">
        <v>0</v>
      </c>
      <c r="U26" s="519">
        <v>0</v>
      </c>
      <c r="V26" s="519">
        <v>3501.9403440000001</v>
      </c>
      <c r="W26" s="870">
        <v>0</v>
      </c>
      <c r="X26" s="870"/>
      <c r="Y26" s="870">
        <v>0</v>
      </c>
      <c r="Z26" s="519"/>
      <c r="AA26" s="519">
        <v>0</v>
      </c>
      <c r="AB26" s="519">
        <v>0</v>
      </c>
      <c r="AC26" s="519">
        <v>1942.34</v>
      </c>
      <c r="AD26" s="870">
        <v>0</v>
      </c>
      <c r="AE26" s="871">
        <f t="shared" si="0"/>
        <v>0</v>
      </c>
      <c r="AF26" s="872">
        <v>0</v>
      </c>
      <c r="AG26" s="873">
        <v>9.9999999999999995E-8</v>
      </c>
      <c r="AH26" s="873">
        <v>4059.0852</v>
      </c>
      <c r="AI26" s="874">
        <v>4627.58</v>
      </c>
      <c r="AJ26" s="874">
        <v>11752.740352951208</v>
      </c>
      <c r="AK26" s="875">
        <v>11.9672</v>
      </c>
      <c r="AL26" s="875">
        <v>146.338697543622</v>
      </c>
      <c r="AM26" s="875"/>
      <c r="AN26" s="875">
        <v>466.67476834049899</v>
      </c>
      <c r="AO26" s="875">
        <v>849.05784580638999</v>
      </c>
      <c r="AP26" s="879">
        <v>0</v>
      </c>
      <c r="AQ26" s="871">
        <v>0</v>
      </c>
      <c r="AR26" s="871">
        <v>0</v>
      </c>
      <c r="AS26" s="871">
        <v>0</v>
      </c>
      <c r="AT26" s="871">
        <v>0</v>
      </c>
      <c r="AU26" s="871">
        <v>0</v>
      </c>
      <c r="AV26" s="871">
        <v>0</v>
      </c>
      <c r="AW26" s="871">
        <v>1054.4249657</v>
      </c>
      <c r="AX26" s="871">
        <v>1183.0602480595401</v>
      </c>
      <c r="AY26" s="871">
        <v>1275.6888344777301</v>
      </c>
      <c r="AZ26" s="871">
        <v>1272.6481871450601</v>
      </c>
      <c r="BA26" s="871">
        <v>1516.2752715588999</v>
      </c>
      <c r="BB26" s="871">
        <v>1395.99</v>
      </c>
      <c r="BC26" s="871">
        <v>0</v>
      </c>
      <c r="BD26" s="871">
        <v>0</v>
      </c>
      <c r="BE26" s="871">
        <v>0</v>
      </c>
      <c r="BF26" s="871">
        <v>0</v>
      </c>
      <c r="BG26" s="871">
        <v>0</v>
      </c>
      <c r="BH26" s="871">
        <v>0</v>
      </c>
      <c r="BI26" s="871">
        <v>0</v>
      </c>
      <c r="BJ26" s="871">
        <v>29.551504699999999</v>
      </c>
      <c r="BK26" s="871">
        <v>87.194048408</v>
      </c>
      <c r="BL26" s="871">
        <v>183.48081390799999</v>
      </c>
      <c r="BM26" s="871">
        <v>280.10037300800002</v>
      </c>
      <c r="BN26" s="871">
        <v>389.186322308</v>
      </c>
      <c r="BO26" s="871">
        <v>260.3747932</v>
      </c>
      <c r="BP26" s="871">
        <v>217.57754660000001</v>
      </c>
      <c r="BQ26" s="871">
        <v>138.94968499999999</v>
      </c>
      <c r="BR26" s="871">
        <v>21.134200205999999</v>
      </c>
      <c r="BS26" s="871">
        <v>0</v>
      </c>
      <c r="BT26" s="871">
        <v>0</v>
      </c>
      <c r="BU26" s="871">
        <v>0</v>
      </c>
      <c r="BV26" s="871">
        <v>76.353200000000001</v>
      </c>
      <c r="BW26" s="871">
        <v>346.99688170000002</v>
      </c>
      <c r="BX26" s="871">
        <v>522.24329999999998</v>
      </c>
      <c r="BY26" s="871">
        <v>638.77773200000001</v>
      </c>
      <c r="BZ26" s="871">
        <v>934.6380087</v>
      </c>
      <c r="CA26" s="871">
        <v>563.01406575669205</v>
      </c>
      <c r="CB26" s="871">
        <v>0</v>
      </c>
      <c r="CC26" s="871">
        <v>0</v>
      </c>
      <c r="CD26" s="871">
        <v>0</v>
      </c>
      <c r="CE26" s="871">
        <v>0</v>
      </c>
      <c r="CF26" s="871">
        <v>0</v>
      </c>
      <c r="CG26" s="871">
        <v>0</v>
      </c>
      <c r="CH26" s="871">
        <v>0</v>
      </c>
      <c r="CI26" s="871">
        <v>0</v>
      </c>
      <c r="CJ26" s="871">
        <v>0</v>
      </c>
      <c r="CK26" s="871">
        <v>0</v>
      </c>
      <c r="CL26" s="871">
        <v>0</v>
      </c>
      <c r="CM26" s="871">
        <v>0</v>
      </c>
      <c r="CN26" s="871">
        <v>0</v>
      </c>
      <c r="CO26" s="871">
        <v>0</v>
      </c>
      <c r="CP26" s="871">
        <v>0</v>
      </c>
      <c r="CQ26" s="871">
        <v>0</v>
      </c>
      <c r="CR26" s="871">
        <v>0</v>
      </c>
      <c r="CS26" s="871">
        <v>0</v>
      </c>
      <c r="CT26" s="871">
        <v>0</v>
      </c>
      <c r="CU26" s="871">
        <v>0</v>
      </c>
      <c r="CV26" s="871">
        <v>9.99</v>
      </c>
      <c r="CW26" s="871">
        <v>44.72</v>
      </c>
      <c r="CX26" s="871">
        <v>77.269499999999994</v>
      </c>
      <c r="CY26" s="871">
        <v>112.16889999999999</v>
      </c>
      <c r="CZ26" s="871">
        <v>140.2919</v>
      </c>
      <c r="DA26" s="871">
        <v>138.39381770035399</v>
      </c>
      <c r="DB26" s="871">
        <v>221.3785177</v>
      </c>
      <c r="DC26" s="871">
        <v>465.07782990748302</v>
      </c>
      <c r="DD26" s="871">
        <v>659.79555522628505</v>
      </c>
      <c r="DE26" s="871">
        <v>813.44518546886798</v>
      </c>
      <c r="DF26" s="871">
        <v>951.91044752010703</v>
      </c>
      <c r="DG26" s="871">
        <v>1061.51181941352</v>
      </c>
      <c r="DH26" s="871">
        <v>1011.05038036161</v>
      </c>
      <c r="DI26" s="871">
        <v>977.25929011290793</v>
      </c>
      <c r="DJ26" s="871">
        <v>38.748828000000003</v>
      </c>
      <c r="DK26" s="871">
        <v>32.446085500000002</v>
      </c>
      <c r="DL26" s="871">
        <v>27.5392853</v>
      </c>
      <c r="DM26" s="871">
        <v>26.104915523402799</v>
      </c>
      <c r="DN26" s="871">
        <v>32.115748023402801</v>
      </c>
      <c r="DO26" s="871">
        <v>12.7129208603441</v>
      </c>
      <c r="DP26" s="871">
        <v>25.171949160344099</v>
      </c>
      <c r="DQ26" s="871">
        <v>23.167866299</v>
      </c>
      <c r="DR26" s="871">
        <v>51.997440990999998</v>
      </c>
      <c r="DS26" s="871">
        <v>123.04924271199999</v>
      </c>
      <c r="DT26" s="871">
        <v>239.758315337</v>
      </c>
      <c r="DU26" s="871">
        <v>300.88</v>
      </c>
      <c r="DV26" s="871">
        <v>0</v>
      </c>
      <c r="DW26" s="871">
        <v>0</v>
      </c>
      <c r="DX26" s="871">
        <v>0</v>
      </c>
      <c r="DY26" s="871">
        <v>0</v>
      </c>
      <c r="DZ26" s="871">
        <v>58.514751699999998</v>
      </c>
      <c r="EA26" s="871">
        <v>142.32250440000001</v>
      </c>
      <c r="EB26" s="871">
        <v>238.7087732</v>
      </c>
      <c r="EC26" s="871">
        <v>0</v>
      </c>
      <c r="ED26" s="871">
        <v>0</v>
      </c>
      <c r="EE26" s="871">
        <v>0</v>
      </c>
      <c r="EF26" s="871">
        <v>0</v>
      </c>
      <c r="EG26" s="871">
        <v>0</v>
      </c>
      <c r="EH26" s="871">
        <v>0</v>
      </c>
      <c r="EI26" s="871">
        <v>0</v>
      </c>
      <c r="EJ26" s="871">
        <v>0</v>
      </c>
      <c r="EK26" s="871">
        <v>0</v>
      </c>
      <c r="EL26" s="871">
        <v>0</v>
      </c>
      <c r="EM26" s="871">
        <v>0</v>
      </c>
      <c r="EN26" s="871">
        <v>0</v>
      </c>
      <c r="EO26" s="871">
        <v>0</v>
      </c>
      <c r="EP26" s="871">
        <v>0</v>
      </c>
      <c r="EQ26" s="871">
        <v>602.13574841380898</v>
      </c>
      <c r="ER26" s="871">
        <v>449.47938067506101</v>
      </c>
      <c r="ES26" s="871">
        <v>53.7847460150602</v>
      </c>
      <c r="ET26" s="871">
        <v>0</v>
      </c>
      <c r="EU26" s="871">
        <v>0</v>
      </c>
      <c r="EV26" s="871">
        <v>0</v>
      </c>
      <c r="EW26" s="871">
        <v>0</v>
      </c>
      <c r="EX26" s="871">
        <v>0</v>
      </c>
      <c r="EY26" s="871">
        <v>0</v>
      </c>
      <c r="EZ26" s="871">
        <v>0</v>
      </c>
      <c r="FA26" s="871">
        <v>0</v>
      </c>
      <c r="FB26" s="871">
        <v>0</v>
      </c>
      <c r="FC26" s="871">
        <v>0</v>
      </c>
      <c r="FD26" s="871"/>
      <c r="FE26" s="871">
        <v>0</v>
      </c>
      <c r="FF26" s="871">
        <v>0</v>
      </c>
      <c r="FG26" s="871">
        <v>0</v>
      </c>
      <c r="FH26" s="871">
        <v>0</v>
      </c>
      <c r="FI26" s="871">
        <v>0</v>
      </c>
      <c r="FJ26" s="871">
        <v>0</v>
      </c>
      <c r="FK26" s="871">
        <v>0</v>
      </c>
      <c r="FL26" s="871">
        <v>131.2280169</v>
      </c>
      <c r="FM26" s="871">
        <v>82.244804299999998</v>
      </c>
      <c r="FN26" s="872">
        <v>0</v>
      </c>
      <c r="FO26" s="872">
        <v>0</v>
      </c>
      <c r="FP26" s="872">
        <v>0</v>
      </c>
      <c r="FQ26" s="872">
        <v>0</v>
      </c>
      <c r="FR26" s="872">
        <v>0</v>
      </c>
      <c r="FS26" s="871">
        <v>3124.9942478779844</v>
      </c>
      <c r="FT26" s="871">
        <v>2669.3236203608863</v>
      </c>
      <c r="FU26" s="871">
        <v>2527.7170072606582</v>
      </c>
      <c r="FV26" s="871">
        <v>3016.493719037192</v>
      </c>
      <c r="FW26" s="871">
        <v>3971.6051708563218</v>
      </c>
      <c r="FX26" s="871">
        <v>4325.7808120078071</v>
      </c>
      <c r="FY26" s="871">
        <v>3936.2807069876417</v>
      </c>
      <c r="FZ26" s="520" t="s">
        <v>167</v>
      </c>
      <c r="GA26" s="520" t="s">
        <v>167</v>
      </c>
      <c r="GB26" s="520" t="s">
        <v>167</v>
      </c>
      <c r="GC26" s="520" t="s">
        <v>167</v>
      </c>
      <c r="GD26" s="520">
        <v>0</v>
      </c>
      <c r="GE26" s="520">
        <v>0</v>
      </c>
      <c r="GF26" s="520">
        <v>3.5762786865234402E-10</v>
      </c>
      <c r="GG26" s="520">
        <v>0</v>
      </c>
      <c r="GH26" s="871"/>
      <c r="GI26" s="871"/>
      <c r="GJ26" s="871"/>
      <c r="GK26" s="871"/>
      <c r="GL26" s="871"/>
      <c r="GM26" s="871"/>
      <c r="GN26" s="870"/>
      <c r="GO26" s="870"/>
      <c r="GP26" s="870"/>
      <c r="GQ26" s="870"/>
      <c r="GR26" s="870">
        <v>0</v>
      </c>
      <c r="GS26" s="870">
        <v>0</v>
      </c>
      <c r="GT26" s="870">
        <v>3.5762786865234402E-10</v>
      </c>
      <c r="GU26" s="871">
        <v>101.87276933175001</v>
      </c>
      <c r="GV26" s="871">
        <v>291.09583529878802</v>
      </c>
      <c r="GW26" s="871">
        <v>545.59613663409698</v>
      </c>
      <c r="GX26" s="871">
        <v>786.75626433609705</v>
      </c>
      <c r="GY26" s="871">
        <v>984.41691022209704</v>
      </c>
      <c r="GZ26" s="871">
        <v>1295.8568219860999</v>
      </c>
      <c r="HA26" s="871">
        <v>304.02958459799999</v>
      </c>
      <c r="HB26" s="871">
        <v>301.87779051646299</v>
      </c>
      <c r="HC26" s="871">
        <v>318.12958512333802</v>
      </c>
      <c r="HD26" s="871">
        <v>261.212121387585</v>
      </c>
      <c r="HE26" s="871">
        <v>195.557800004585</v>
      </c>
      <c r="HF26" s="871">
        <v>93.328757604584993</v>
      </c>
      <c r="HG26" s="871">
        <v>81.836051499584997</v>
      </c>
      <c r="HH26" s="871">
        <v>341.08117220000003</v>
      </c>
      <c r="HI26" s="871">
        <v>208.78762739999999</v>
      </c>
      <c r="HJ26" s="871">
        <v>194.61623700000001</v>
      </c>
      <c r="HK26" s="871">
        <v>186.4015957</v>
      </c>
      <c r="HL26" s="871">
        <v>354.57140920000001</v>
      </c>
      <c r="HM26" s="871">
        <v>348.623177402235</v>
      </c>
      <c r="HN26" s="871">
        <v>483.67692412823601</v>
      </c>
      <c r="HO26" s="871">
        <v>588.62455942423605</v>
      </c>
      <c r="HP26" s="871">
        <v>754.027616854494</v>
      </c>
      <c r="HQ26" s="871">
        <v>887.74192682591001</v>
      </c>
      <c r="HR26" s="871">
        <v>1005.15087781291</v>
      </c>
      <c r="HS26" s="871">
        <v>1261.1106811965099</v>
      </c>
      <c r="HT26" s="871">
        <v>689.31974399615206</v>
      </c>
      <c r="HU26" s="871">
        <v>692.99654190015201</v>
      </c>
      <c r="HV26" s="871">
        <v>670.15657115015199</v>
      </c>
      <c r="HW26" s="871">
        <v>718.54345053824898</v>
      </c>
      <c r="HX26" s="871">
        <v>780.09562021261797</v>
      </c>
      <c r="HY26" s="871">
        <v>829.83442810358201</v>
      </c>
      <c r="HZ26" s="871">
        <v>1026.3594581110799</v>
      </c>
      <c r="IA26" s="871">
        <v>100.7708052</v>
      </c>
      <c r="IB26" s="871">
        <v>156.20689999999999</v>
      </c>
      <c r="IC26" s="871">
        <v>167.6447</v>
      </c>
      <c r="ID26" s="871">
        <v>182.55</v>
      </c>
      <c r="IE26" s="871">
        <v>358.64311384370001</v>
      </c>
      <c r="IF26" s="871">
        <v>240.69963852469999</v>
      </c>
      <c r="IG26" s="871">
        <v>70.544646665699901</v>
      </c>
      <c r="IH26" s="871">
        <v>0</v>
      </c>
      <c r="II26" s="871">
        <v>0</v>
      </c>
      <c r="IJ26" s="871">
        <v>724.53602984798795</v>
      </c>
      <c r="IK26" s="871">
        <v>1765.20471464561</v>
      </c>
      <c r="IL26" s="871">
        <v>2041.6967920400871</v>
      </c>
      <c r="IM26" s="871">
        <v>2029.9112918013009</v>
      </c>
      <c r="IN26" s="871">
        <v>2133.167434662214</v>
      </c>
      <c r="IO26" s="825">
        <v>2566.5517263144247</v>
      </c>
      <c r="IP26" s="825">
        <v>3160.9299205792099</v>
      </c>
      <c r="IQ26" s="877">
        <v>3804.9117035911622</v>
      </c>
      <c r="IR26" s="825">
        <v>5430.3677274388847</v>
      </c>
    </row>
    <row r="27" spans="1:252" s="28" customFormat="1" x14ac:dyDescent="0.2">
      <c r="A27" s="889" t="s">
        <v>190</v>
      </c>
      <c r="B27" s="532">
        <v>9169.2011765461957</v>
      </c>
      <c r="C27" s="532">
        <v>10692.099200000001</v>
      </c>
      <c r="D27" s="532">
        <v>6609.0577913592915</v>
      </c>
      <c r="E27" s="533">
        <v>3674.6313999999948</v>
      </c>
      <c r="F27" s="533">
        <v>1752.4404000000068</v>
      </c>
      <c r="G27" s="533">
        <v>8374.3033999999971</v>
      </c>
      <c r="H27" s="533">
        <v>12977.690000000002</v>
      </c>
      <c r="I27" s="532">
        <v>30446.994709081995</v>
      </c>
      <c r="J27" s="532">
        <v>35863.048200435973</v>
      </c>
      <c r="K27" s="532">
        <v>38577.477208033699</v>
      </c>
      <c r="L27" s="533">
        <v>38205.712371807997</v>
      </c>
      <c r="M27" s="533">
        <v>27702.1380185655</v>
      </c>
      <c r="N27" s="533">
        <v>37681.112820512106</v>
      </c>
      <c r="O27" s="533">
        <v>39011.530301077211</v>
      </c>
      <c r="P27" s="532">
        <v>11762.319485399999</v>
      </c>
      <c r="Q27" s="532">
        <v>11976.603279999999</v>
      </c>
      <c r="R27" s="532">
        <v>11814.062400000003</v>
      </c>
      <c r="S27" s="533">
        <v>11198.6840333</v>
      </c>
      <c r="T27" s="533">
        <v>4399.9213000000018</v>
      </c>
      <c r="U27" s="533">
        <v>8552.6214999999975</v>
      </c>
      <c r="V27" s="533">
        <v>11035.512723599993</v>
      </c>
      <c r="W27" s="532">
        <v>9867.0620187999994</v>
      </c>
      <c r="X27" s="532">
        <v>9512.2367999999988</v>
      </c>
      <c r="Y27" s="532">
        <v>9918.5118999999959</v>
      </c>
      <c r="Z27" s="533">
        <v>7298.3282782999995</v>
      </c>
      <c r="AA27" s="533">
        <v>1792.8695000000043</v>
      </c>
      <c r="AB27" s="533">
        <v>7766.1489000000074</v>
      </c>
      <c r="AC27" s="533">
        <f>AC13+AC14+AC15+AC24+AC26</f>
        <v>8103.8899999999994</v>
      </c>
      <c r="AD27" s="532">
        <v>61245.577389828199</v>
      </c>
      <c r="AE27" s="890">
        <f>AE13+AE14+AE15+AE16+AE18+AE19-AE21-AE22+AE25+AE26</f>
        <v>68043.98748043603</v>
      </c>
      <c r="AF27" s="891">
        <v>66919.109299393007</v>
      </c>
      <c r="AG27" s="891">
        <v>60377.356083407998</v>
      </c>
      <c r="AH27" s="890">
        <v>35647.369218565509</v>
      </c>
      <c r="AI27" s="890">
        <v>62374.186620512133</v>
      </c>
      <c r="AJ27" s="890">
        <v>71128.623024677203</v>
      </c>
      <c r="AK27" s="892">
        <v>136.0051</v>
      </c>
      <c r="AL27" s="892">
        <v>236.013200000149</v>
      </c>
      <c r="AM27" s="892">
        <v>546.00178014454696</v>
      </c>
      <c r="AN27" s="892">
        <v>596.03487348349904</v>
      </c>
      <c r="AO27" s="892">
        <v>1155.1852007003761</v>
      </c>
      <c r="AP27" s="890">
        <v>2789.7088498912308</v>
      </c>
      <c r="AQ27" s="890">
        <v>3534.6258659547661</v>
      </c>
      <c r="AR27" s="890">
        <v>4466.3631000000023</v>
      </c>
      <c r="AS27" s="890">
        <v>5164.0080994070177</v>
      </c>
      <c r="AT27" s="890">
        <v>5642.1066104066158</v>
      </c>
      <c r="AU27" s="890">
        <v>7524.4615401421997</v>
      </c>
      <c r="AV27" s="890">
        <v>8822.2160789770023</v>
      </c>
      <c r="AW27" s="890">
        <v>1744.3790178140002</v>
      </c>
      <c r="AX27" s="890">
        <v>1795.0977415401549</v>
      </c>
      <c r="AY27" s="890">
        <v>2019.2258989344853</v>
      </c>
      <c r="AZ27" s="890">
        <v>2010.0620786172976</v>
      </c>
      <c r="BA27" s="890">
        <v>2432.5266060580734</v>
      </c>
      <c r="BB27" s="890">
        <v>2488.1520193790002</v>
      </c>
      <c r="BC27" s="890">
        <v>852.85512299999959</v>
      </c>
      <c r="BD27" s="890">
        <v>1095.4461740000002</v>
      </c>
      <c r="BE27" s="890">
        <v>1410.3315977999989</v>
      </c>
      <c r="BF27" s="890">
        <v>1567.9006915000009</v>
      </c>
      <c r="BG27" s="890">
        <v>1674.0796165999991</v>
      </c>
      <c r="BH27" s="890">
        <v>2011.4869430999988</v>
      </c>
      <c r="BI27" s="890">
        <v>2091.2180814839994</v>
      </c>
      <c r="BJ27" s="890">
        <v>169.793385522351</v>
      </c>
      <c r="BK27" s="890">
        <v>207.26975200000001</v>
      </c>
      <c r="BL27" s="890">
        <v>305.71963789999995</v>
      </c>
      <c r="BM27" s="890">
        <v>395.29401740000003</v>
      </c>
      <c r="BN27" s="890">
        <v>513.14171188799992</v>
      </c>
      <c r="BO27" s="890">
        <v>707.95119479999983</v>
      </c>
      <c r="BP27" s="890">
        <v>814.69853079999996</v>
      </c>
      <c r="BQ27" s="890">
        <v>803.79069999999956</v>
      </c>
      <c r="BR27" s="890">
        <v>803.32286359999944</v>
      </c>
      <c r="BS27" s="890">
        <v>980.9327622819992</v>
      </c>
      <c r="BT27" s="890">
        <v>1138.2242345525992</v>
      </c>
      <c r="BU27" s="890">
        <v>1264.1421132741025</v>
      </c>
      <c r="BV27" s="890">
        <v>350.0292</v>
      </c>
      <c r="BW27" s="890">
        <v>826.18665709000015</v>
      </c>
      <c r="BX27" s="890">
        <v>1635.4058</v>
      </c>
      <c r="BY27" s="890">
        <v>1868.6098191800002</v>
      </c>
      <c r="BZ27" s="890">
        <v>2912.7814958799991</v>
      </c>
      <c r="CA27" s="890">
        <v>705.30738928269216</v>
      </c>
      <c r="CB27" s="890">
        <v>1885.7665000000002</v>
      </c>
      <c r="CC27" s="890">
        <v>2130.5191999999997</v>
      </c>
      <c r="CD27" s="890">
        <v>2304.9094000000014</v>
      </c>
      <c r="CE27" s="890">
        <v>2708.637999999999</v>
      </c>
      <c r="CF27" s="890">
        <v>3757.5537999999997</v>
      </c>
      <c r="CG27" s="890">
        <v>4106.4815450000096</v>
      </c>
      <c r="CH27" s="890">
        <v>3484.6594379000012</v>
      </c>
      <c r="CI27" s="890">
        <v>4888.8136222999992</v>
      </c>
      <c r="CJ27" s="890">
        <v>5760.0345316000012</v>
      </c>
      <c r="CK27" s="890">
        <v>6143.8818608000001</v>
      </c>
      <c r="CL27" s="890">
        <v>6190.6189068000022</v>
      </c>
      <c r="CM27" s="890">
        <v>8600.9840250999987</v>
      </c>
      <c r="CN27" s="890">
        <f>CN13+CN15+CN16+CN24</f>
        <v>9723.9500000000044</v>
      </c>
      <c r="CO27" s="890">
        <v>1258.1827727000007</v>
      </c>
      <c r="CP27" s="890">
        <v>1685.4590011999994</v>
      </c>
      <c r="CQ27" s="890">
        <v>1874.357934600002</v>
      </c>
      <c r="CR27" s="890">
        <v>2252.7136214000002</v>
      </c>
      <c r="CS27" s="890">
        <v>2455.6500999999989</v>
      </c>
      <c r="CT27" s="890">
        <v>2777.0025772000008</v>
      </c>
      <c r="CU27" s="890">
        <v>3237.4342786000016</v>
      </c>
      <c r="CV27" s="890">
        <v>135.00196789999998</v>
      </c>
      <c r="CW27" s="890">
        <v>134.99996369999997</v>
      </c>
      <c r="CX27" s="890">
        <v>175.00004969999992</v>
      </c>
      <c r="CY27" s="890">
        <v>220.53220980000003</v>
      </c>
      <c r="CZ27" s="890">
        <v>299.82740979999994</v>
      </c>
      <c r="DA27" s="890">
        <v>329.70502750035394</v>
      </c>
      <c r="DB27" s="890">
        <v>456.41442749999987</v>
      </c>
      <c r="DC27" s="890">
        <v>679.38966531963604</v>
      </c>
      <c r="DD27" s="890">
        <v>984.38962409828503</v>
      </c>
      <c r="DE27" s="890">
        <v>1184.4476633718677</v>
      </c>
      <c r="DF27" s="890">
        <v>1434.5161139986265</v>
      </c>
      <c r="DG27" s="890">
        <v>1734.4109811325211</v>
      </c>
      <c r="DH27" s="890">
        <v>1834.6728979636064</v>
      </c>
      <c r="DI27" s="890">
        <v>1834.6413999999077</v>
      </c>
      <c r="DJ27" s="890">
        <v>258.13820400000009</v>
      </c>
      <c r="DK27" s="890">
        <v>258.39979999999991</v>
      </c>
      <c r="DL27" s="890">
        <v>258.46600000000035</v>
      </c>
      <c r="DM27" s="890">
        <v>383.62940100000264</v>
      </c>
      <c r="DN27" s="890">
        <v>438.29717170040294</v>
      </c>
      <c r="DO27" s="890">
        <v>438.67923290019417</v>
      </c>
      <c r="DP27" s="890">
        <v>537.74053960034382</v>
      </c>
      <c r="DQ27" s="890">
        <v>190.05981731099996</v>
      </c>
      <c r="DR27" s="890">
        <v>190.06441549999991</v>
      </c>
      <c r="DS27" s="890">
        <v>310.0626067</v>
      </c>
      <c r="DT27" s="890">
        <v>495.80801868299994</v>
      </c>
      <c r="DU27" s="890">
        <f>DU13+DU15+DU24+DU26</f>
        <v>495.79</v>
      </c>
      <c r="DV27" s="890">
        <v>227.3895143</v>
      </c>
      <c r="DW27" s="890">
        <v>230.05344070000001</v>
      </c>
      <c r="DX27" s="890">
        <v>231.05387889999997</v>
      </c>
      <c r="DY27" s="890">
        <v>210.87843560000002</v>
      </c>
      <c r="DZ27" s="890">
        <v>207.28736480000003</v>
      </c>
      <c r="EA27" s="890">
        <v>357.22012900000004</v>
      </c>
      <c r="EB27" s="890">
        <v>442.14801160000002</v>
      </c>
      <c r="EC27" s="890">
        <v>1103.3821916000006</v>
      </c>
      <c r="ED27" s="890">
        <v>1486.9125165941803</v>
      </c>
      <c r="EE27" s="890">
        <v>1627.2914293268802</v>
      </c>
      <c r="EF27" s="890">
        <v>1796.2477185411417</v>
      </c>
      <c r="EG27" s="890">
        <v>1977.6604328785015</v>
      </c>
      <c r="EH27" s="890">
        <v>2288.6749616322813</v>
      </c>
      <c r="EI27" s="890">
        <v>2582.7727062727809</v>
      </c>
      <c r="EJ27" s="890">
        <v>570.94347319999986</v>
      </c>
      <c r="EK27" s="890">
        <v>756.68489189999991</v>
      </c>
      <c r="EL27" s="890">
        <v>1123.7565899000001</v>
      </c>
      <c r="EM27" s="890">
        <v>1234.0526658000003</v>
      </c>
      <c r="EN27" s="890">
        <v>1162.8068856000009</v>
      </c>
      <c r="EO27" s="890">
        <v>1504.0024118999991</v>
      </c>
      <c r="EP27" s="890">
        <v>1704.5376309000003</v>
      </c>
      <c r="EQ27" s="890">
        <v>1319.0940865879688</v>
      </c>
      <c r="ER27" s="890">
        <v>1547.2737364009956</v>
      </c>
      <c r="ES27" s="890">
        <v>1540.606244368573</v>
      </c>
      <c r="ET27" s="890">
        <v>1820.4756427708498</v>
      </c>
      <c r="EU27" s="890">
        <v>2130.7789296710325</v>
      </c>
      <c r="EV27" s="890">
        <v>2815.5730598169994</v>
      </c>
      <c r="EW27" s="890">
        <v>2972.6954327730018</v>
      </c>
      <c r="EX27" s="890">
        <v>950.96953340000039</v>
      </c>
      <c r="EY27" s="890">
        <v>1142.6221421999992</v>
      </c>
      <c r="EZ27" s="890">
        <v>1409.6094724000004</v>
      </c>
      <c r="FA27" s="890">
        <v>1939.3643048999993</v>
      </c>
      <c r="FB27" s="890">
        <v>1963.47775</v>
      </c>
      <c r="FC27" s="890">
        <v>2143.4795295000004</v>
      </c>
      <c r="FD27" s="890">
        <f>FD13+FD15+FD16+FD24</f>
        <v>2343.0000000000018</v>
      </c>
      <c r="FE27" s="890">
        <v>1047.3187639699997</v>
      </c>
      <c r="FF27" s="890">
        <v>1419.0768564000002</v>
      </c>
      <c r="FG27" s="890">
        <v>1767.7819177999995</v>
      </c>
      <c r="FH27" s="890">
        <v>2215.8099278000009</v>
      </c>
      <c r="FI27" s="890">
        <v>2572.8041114000007</v>
      </c>
      <c r="FJ27" s="890">
        <v>3839.5695073999977</v>
      </c>
      <c r="FK27" s="890">
        <v>4670.0284570999993</v>
      </c>
      <c r="FL27" s="890">
        <v>433.28683849999999</v>
      </c>
      <c r="FM27" s="890">
        <v>435.49777110000014</v>
      </c>
      <c r="FN27" s="891">
        <v>748.12120820000052</v>
      </c>
      <c r="FO27" s="891">
        <v>886.67839139999978</v>
      </c>
      <c r="FP27" s="891">
        <v>998.4888262000004</v>
      </c>
      <c r="FQ27" s="891">
        <v>1017.6789513000003</v>
      </c>
      <c r="FR27" s="891">
        <v>1131.9647554000003</v>
      </c>
      <c r="FS27" s="890">
        <v>19319.728512636739</v>
      </c>
      <c r="FT27" s="890">
        <v>26158.187075542726</v>
      </c>
      <c r="FU27" s="890">
        <v>29376.644919735165</v>
      </c>
      <c r="FV27" s="890">
        <v>33848.517451525113</v>
      </c>
      <c r="FW27" s="890">
        <v>38367.582290073668</v>
      </c>
      <c r="FX27" s="890">
        <v>48222.857577133742</v>
      </c>
      <c r="FY27" s="890">
        <v>52998.283866949525</v>
      </c>
      <c r="FZ27" s="534">
        <v>2625.8100929345801</v>
      </c>
      <c r="GA27" s="535">
        <v>2976.9134533779988</v>
      </c>
      <c r="GB27" s="536">
        <v>3581.3083782999984</v>
      </c>
      <c r="GC27" s="532">
        <v>3978.7242548367199</v>
      </c>
      <c r="GD27" s="532">
        <v>4085.0574123506494</v>
      </c>
      <c r="GE27" s="532">
        <v>4626.1802578189981</v>
      </c>
      <c r="GF27" s="532">
        <v>5387.5397555995596</v>
      </c>
      <c r="GG27" s="532">
        <v>3373.6541863999996</v>
      </c>
      <c r="GH27" s="532">
        <v>3921.491639599999</v>
      </c>
      <c r="GI27" s="532">
        <v>4057.4819040000011</v>
      </c>
      <c r="GJ27" s="532">
        <v>4797.1286013999998</v>
      </c>
      <c r="GK27" s="532">
        <v>5416.8644194000008</v>
      </c>
      <c r="GL27" s="532">
        <v>7007.1920501999994</v>
      </c>
      <c r="GM27" s="532">
        <v>8533.9298019999987</v>
      </c>
      <c r="GN27" s="532">
        <v>5999.4642793345793</v>
      </c>
      <c r="GO27" s="532">
        <v>6898.4050929779978</v>
      </c>
      <c r="GP27" s="532">
        <v>7638.7902822999995</v>
      </c>
      <c r="GQ27" s="532">
        <v>8775.8528562367192</v>
      </c>
      <c r="GR27" s="532">
        <v>9501.9218317506475</v>
      </c>
      <c r="GS27" s="532">
        <v>11633.372308018998</v>
      </c>
      <c r="GT27" s="532">
        <v>13921.469557599557</v>
      </c>
      <c r="GU27" s="890">
        <v>247.53125607874995</v>
      </c>
      <c r="GV27" s="890">
        <v>380.5082091997881</v>
      </c>
      <c r="GW27" s="890">
        <v>705.03320641699975</v>
      </c>
      <c r="GX27" s="890">
        <v>1061.2180219380991</v>
      </c>
      <c r="GY27" s="890">
        <v>1381.3182770760968</v>
      </c>
      <c r="GZ27" s="890">
        <v>1818.0651924231026</v>
      </c>
      <c r="HA27" s="890">
        <v>475.07000000000005</v>
      </c>
      <c r="HB27" s="890">
        <v>524.749477000463</v>
      </c>
      <c r="HC27" s="890">
        <v>594.18011980007009</v>
      </c>
      <c r="HD27" s="890">
        <v>700.88358049958504</v>
      </c>
      <c r="HE27" s="890">
        <v>780.98102679958515</v>
      </c>
      <c r="HF27" s="890">
        <v>1130.4852471995848</v>
      </c>
      <c r="HG27" s="890">
        <v>1288.7436785995849</v>
      </c>
      <c r="HH27" s="890">
        <v>615.9543799999999</v>
      </c>
      <c r="HI27" s="890">
        <v>616.12840720000008</v>
      </c>
      <c r="HJ27" s="890">
        <v>698.48033759999998</v>
      </c>
      <c r="HK27" s="890">
        <v>776.66661019999981</v>
      </c>
      <c r="HL27" s="890">
        <v>1115.5982747000003</v>
      </c>
      <c r="HM27" s="890">
        <v>435.167242697235</v>
      </c>
      <c r="HN27" s="890">
        <v>616.96213162256879</v>
      </c>
      <c r="HO27" s="890">
        <v>730.32249967541725</v>
      </c>
      <c r="HP27" s="890">
        <v>961.00118106049274</v>
      </c>
      <c r="HQ27" s="890">
        <v>1101.8310635849107</v>
      </c>
      <c r="HR27" s="890">
        <v>1314.8082845839103</v>
      </c>
      <c r="HS27" s="890">
        <v>1582.7919495973097</v>
      </c>
      <c r="HT27" s="890">
        <v>898.30503942675898</v>
      </c>
      <c r="HU27" s="890">
        <v>926.26363280015198</v>
      </c>
      <c r="HV27" s="890">
        <v>926.10754391198111</v>
      </c>
      <c r="HW27" s="890">
        <v>981.04064064729096</v>
      </c>
      <c r="HX27" s="890">
        <v>1126.0182820966579</v>
      </c>
      <c r="HY27" s="890">
        <v>1406.6534555004921</v>
      </c>
      <c r="HZ27" s="890">
        <v>1782.0110327318191</v>
      </c>
      <c r="IA27" s="890">
        <v>186.55</v>
      </c>
      <c r="IB27" s="890">
        <v>193.99540000000002</v>
      </c>
      <c r="IC27" s="890">
        <v>193.89999999999998</v>
      </c>
      <c r="ID27" s="890">
        <f>ID15+ID24+ID26</f>
        <v>193.9</v>
      </c>
      <c r="IE27" s="890">
        <v>718.74451278469996</v>
      </c>
      <c r="IF27" s="890">
        <v>1030.1352821697001</v>
      </c>
      <c r="IG27" s="890">
        <v>1280.1352821396997</v>
      </c>
      <c r="IH27" s="890">
        <v>1743.0078738040004</v>
      </c>
      <c r="II27" s="890">
        <v>2156.8866275519999</v>
      </c>
      <c r="IJ27" s="890">
        <v>4466.5721511999891</v>
      </c>
      <c r="IK27" s="890">
        <v>7115.9460279998866</v>
      </c>
      <c r="IL27" s="890">
        <v>3143.2411749086941</v>
      </c>
      <c r="IM27" s="890">
        <v>3961.770186871634</v>
      </c>
      <c r="IN27" s="890">
        <v>4609.7339923269565</v>
      </c>
      <c r="IO27" s="832">
        <v>6054.1830926283674</v>
      </c>
      <c r="IP27" s="832">
        <v>7536.5286966712529</v>
      </c>
      <c r="IQ27" s="893">
        <v>9893.7374155600719</v>
      </c>
      <c r="IR27" s="832">
        <v>13587.557881351702</v>
      </c>
    </row>
    <row r="28" spans="1:252" x14ac:dyDescent="0.2">
      <c r="A28" s="196" t="s">
        <v>504</v>
      </c>
    </row>
    <row r="29" spans="1:252" x14ac:dyDescent="0.2">
      <c r="A29" s="196" t="s">
        <v>472</v>
      </c>
    </row>
    <row r="30" spans="1:252" x14ac:dyDescent="0.2">
      <c r="A30" s="28" t="s">
        <v>131</v>
      </c>
    </row>
    <row r="31" spans="1:252" x14ac:dyDescent="0.2">
      <c r="A31" s="196" t="s">
        <v>278</v>
      </c>
    </row>
    <row r="32" spans="1:252" x14ac:dyDescent="0.2">
      <c r="A32" s="196" t="s">
        <v>479</v>
      </c>
    </row>
  </sheetData>
  <mergeCells count="39">
    <mergeCell ref="BJ3:BN3"/>
    <mergeCell ref="GG3:GM3"/>
    <mergeCell ref="FZ3:GF3"/>
    <mergeCell ref="EC3:EI3"/>
    <mergeCell ref="EJ3:EP3"/>
    <mergeCell ref="EQ3:EW3"/>
    <mergeCell ref="EX3:FD3"/>
    <mergeCell ref="BO3:BU3"/>
    <mergeCell ref="BV3:BZ3"/>
    <mergeCell ref="CA3:CG3"/>
    <mergeCell ref="CH3:CN3"/>
    <mergeCell ref="CO3:CU3"/>
    <mergeCell ref="FE3:FK3"/>
    <mergeCell ref="FL3:FR3"/>
    <mergeCell ref="FS3:FY3"/>
    <mergeCell ref="AD3:AJ3"/>
    <mergeCell ref="AW3:BB3"/>
    <mergeCell ref="AK3:AO3"/>
    <mergeCell ref="AP3:AV3"/>
    <mergeCell ref="BC3:BI3"/>
    <mergeCell ref="A3:A4"/>
    <mergeCell ref="B3:H3"/>
    <mergeCell ref="I3:O3"/>
    <mergeCell ref="P3:V3"/>
    <mergeCell ref="W3:AC3"/>
    <mergeCell ref="IL3:IR3"/>
    <mergeCell ref="CV3:DB3"/>
    <mergeCell ref="DC3:DI3"/>
    <mergeCell ref="DJ3:DP3"/>
    <mergeCell ref="DQ3:DU3"/>
    <mergeCell ref="DV3:EB3"/>
    <mergeCell ref="IA3:ID3"/>
    <mergeCell ref="IE3:IK3"/>
    <mergeCell ref="GN3:GT3"/>
    <mergeCell ref="GU3:GZ3"/>
    <mergeCell ref="HA3:HG3"/>
    <mergeCell ref="HH3:HL3"/>
    <mergeCell ref="HM3:HS3"/>
    <mergeCell ref="HT3:HZ3"/>
  </mergeCells>
  <printOptions horizontalCentered="1" verticalCentered="1"/>
  <pageMargins left="0.75" right="0.5" top="0.5" bottom="0.5" header="0.3" footer="0.32"/>
  <pageSetup paperSize="9" scale="75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0"/>
  <sheetViews>
    <sheetView showGridLines="0" zoomScale="80" zoomScaleNormal="80" zoomScaleSheetLayoutView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9.140625" defaultRowHeight="12.75" x14ac:dyDescent="0.2"/>
  <cols>
    <col min="1" max="1" width="5.7109375" style="1094" customWidth="1"/>
    <col min="2" max="2" width="42.85546875" style="1094" customWidth="1"/>
    <col min="3" max="3" width="12.140625" style="1094" customWidth="1"/>
    <col min="4" max="4" width="15" style="1094" customWidth="1"/>
    <col min="5" max="5" width="13" style="1094" customWidth="1"/>
    <col min="6" max="6" width="11.7109375" style="1094" customWidth="1"/>
    <col min="7" max="7" width="11" style="1094" customWidth="1"/>
    <col min="8" max="8" width="13.28515625" style="1094" customWidth="1"/>
    <col min="9" max="9" width="9" style="1094" customWidth="1"/>
    <col min="10" max="10" width="11.7109375" style="1094" customWidth="1"/>
    <col min="11" max="11" width="10.7109375" style="1094" customWidth="1"/>
    <col min="12" max="12" width="11.7109375" style="1094" customWidth="1"/>
    <col min="13" max="13" width="9.85546875" style="1094" customWidth="1"/>
    <col min="14" max="14" width="8.85546875" style="1094" customWidth="1"/>
    <col min="15" max="15" width="11.28515625" style="1094" customWidth="1"/>
    <col min="16" max="16" width="15" style="1094" customWidth="1"/>
    <col min="17" max="17" width="13" style="1094" customWidth="1"/>
    <col min="18" max="18" width="11.7109375" style="1094" customWidth="1"/>
    <col min="19" max="19" width="11" style="1094" customWidth="1"/>
    <col min="20" max="20" width="13.28515625" style="1094" customWidth="1"/>
    <col min="21" max="21" width="9" style="1094" customWidth="1"/>
    <col min="22" max="22" width="11.7109375" style="1094" customWidth="1"/>
    <col min="23" max="23" width="10.7109375" style="1094" customWidth="1"/>
    <col min="24" max="24" width="11.7109375" style="1094" customWidth="1"/>
    <col min="25" max="25" width="9.85546875" style="1094" customWidth="1"/>
    <col min="26" max="26" width="8.85546875" style="1094" customWidth="1"/>
    <col min="27" max="27" width="17.85546875" style="1094" customWidth="1"/>
    <col min="28" max="16384" width="9.140625" style="1094"/>
  </cols>
  <sheetData>
    <row r="1" spans="1:27" ht="27.75" customHeight="1" x14ac:dyDescent="0.2">
      <c r="A1" s="1092" t="s">
        <v>587</v>
      </c>
      <c r="B1" s="1093"/>
      <c r="C1" s="1093"/>
      <c r="D1" s="1093"/>
      <c r="E1" s="1093"/>
      <c r="F1" s="1093"/>
      <c r="G1" s="1093"/>
      <c r="H1" s="1093"/>
      <c r="I1" s="1093"/>
      <c r="J1" s="1093"/>
      <c r="K1" s="1093"/>
      <c r="L1" s="1093"/>
      <c r="M1" s="1093"/>
      <c r="N1" s="1093"/>
      <c r="O1" s="1093"/>
      <c r="P1" s="1093"/>
      <c r="Q1" s="1093"/>
      <c r="R1" s="1093"/>
      <c r="S1" s="1093"/>
      <c r="T1" s="1093"/>
      <c r="U1" s="1093"/>
      <c r="V1" s="1093"/>
      <c r="W1" s="1093"/>
      <c r="X1" s="1093"/>
      <c r="Y1" s="1093"/>
      <c r="Z1" s="1093"/>
    </row>
    <row r="2" spans="1:27" ht="15" customHeight="1" x14ac:dyDescent="0.2">
      <c r="A2" s="1095" t="s">
        <v>2</v>
      </c>
      <c r="B2" s="992" t="s">
        <v>101</v>
      </c>
      <c r="C2" s="1013" t="s">
        <v>415</v>
      </c>
      <c r="D2" s="1096"/>
      <c r="E2" s="1096"/>
      <c r="F2" s="1096"/>
      <c r="G2" s="1096"/>
      <c r="H2" s="1096"/>
      <c r="I2" s="1096"/>
      <c r="J2" s="1096"/>
      <c r="K2" s="1096"/>
      <c r="L2" s="1096"/>
      <c r="M2" s="1096"/>
      <c r="N2" s="1096"/>
      <c r="O2" s="1013" t="s">
        <v>507</v>
      </c>
      <c r="P2" s="1096"/>
      <c r="Q2" s="1096"/>
      <c r="R2" s="1096"/>
      <c r="S2" s="1096"/>
      <c r="T2" s="1096"/>
      <c r="U2" s="1096"/>
      <c r="V2" s="1096"/>
      <c r="W2" s="1096"/>
      <c r="X2" s="1096"/>
      <c r="Y2" s="1096"/>
      <c r="Z2" s="1096"/>
    </row>
    <row r="3" spans="1:27" ht="15" customHeight="1" x14ac:dyDescent="0.2">
      <c r="A3" s="1095"/>
      <c r="B3" s="1095"/>
      <c r="C3" s="1096" t="s">
        <v>588</v>
      </c>
      <c r="D3" s="1096"/>
      <c r="E3" s="1096"/>
      <c r="F3" s="1096"/>
      <c r="G3" s="1096"/>
      <c r="H3" s="1096"/>
      <c r="I3" s="1096" t="s">
        <v>589</v>
      </c>
      <c r="J3" s="1096"/>
      <c r="K3" s="1096"/>
      <c r="L3" s="1096"/>
      <c r="M3" s="1096"/>
      <c r="N3" s="1096"/>
      <c r="O3" s="1096" t="s">
        <v>588</v>
      </c>
      <c r="P3" s="1096"/>
      <c r="Q3" s="1096"/>
      <c r="R3" s="1096"/>
      <c r="S3" s="1096"/>
      <c r="T3" s="1096"/>
      <c r="U3" s="1096" t="s">
        <v>589</v>
      </c>
      <c r="V3" s="1096"/>
      <c r="W3" s="1096"/>
      <c r="X3" s="1096"/>
      <c r="Y3" s="1096"/>
      <c r="Z3" s="1096"/>
    </row>
    <row r="4" spans="1:27" s="1100" customFormat="1" ht="54" customHeight="1" x14ac:dyDescent="0.2">
      <c r="A4" s="1097"/>
      <c r="B4" s="1097"/>
      <c r="C4" s="1098" t="s">
        <v>590</v>
      </c>
      <c r="D4" s="1098" t="s">
        <v>591</v>
      </c>
      <c r="E4" s="1098" t="s">
        <v>592</v>
      </c>
      <c r="F4" s="1098" t="s">
        <v>593</v>
      </c>
      <c r="G4" s="1098" t="s">
        <v>594</v>
      </c>
      <c r="H4" s="1098" t="s">
        <v>595</v>
      </c>
      <c r="I4" s="1099" t="s">
        <v>596</v>
      </c>
      <c r="J4" s="1099" t="s">
        <v>597</v>
      </c>
      <c r="K4" s="1099" t="s">
        <v>598</v>
      </c>
      <c r="L4" s="1099" t="s">
        <v>599</v>
      </c>
      <c r="M4" s="1099" t="s">
        <v>600</v>
      </c>
      <c r="N4" s="1099" t="s">
        <v>601</v>
      </c>
      <c r="O4" s="1098" t="s">
        <v>590</v>
      </c>
      <c r="P4" s="1098" t="s">
        <v>591</v>
      </c>
      <c r="Q4" s="1098" t="s">
        <v>592</v>
      </c>
      <c r="R4" s="1098" t="s">
        <v>593</v>
      </c>
      <c r="S4" s="1098" t="s">
        <v>594</v>
      </c>
      <c r="T4" s="1098" t="s">
        <v>595</v>
      </c>
      <c r="U4" s="1099" t="s">
        <v>596</v>
      </c>
      <c r="V4" s="1099" t="s">
        <v>597</v>
      </c>
      <c r="W4" s="1099" t="s">
        <v>598</v>
      </c>
      <c r="X4" s="1099" t="s">
        <v>599</v>
      </c>
      <c r="Y4" s="1099" t="s">
        <v>600</v>
      </c>
      <c r="Z4" s="1099" t="s">
        <v>601</v>
      </c>
    </row>
    <row r="5" spans="1:27" ht="21.75" customHeight="1" x14ac:dyDescent="0.2">
      <c r="A5" s="1101"/>
      <c r="B5" s="1102" t="s">
        <v>104</v>
      </c>
      <c r="C5" s="1103"/>
      <c r="D5" s="1103"/>
      <c r="E5" s="1103"/>
      <c r="F5" s="1103"/>
      <c r="G5" s="1103"/>
      <c r="H5" s="1104"/>
      <c r="I5" s="1105"/>
      <c r="J5" s="1105"/>
      <c r="K5" s="1105"/>
      <c r="L5" s="1105"/>
      <c r="M5" s="1105"/>
      <c r="N5" s="1105"/>
      <c r="O5" s="1103"/>
      <c r="P5" s="1103"/>
      <c r="Q5" s="1103"/>
      <c r="R5" s="1103"/>
      <c r="S5" s="1103"/>
      <c r="T5" s="1104"/>
      <c r="U5" s="1105"/>
      <c r="V5" s="1105"/>
      <c r="W5" s="1105"/>
      <c r="X5" s="1105"/>
      <c r="Y5" s="1105"/>
      <c r="Z5" s="1105"/>
      <c r="AA5" s="1106"/>
    </row>
    <row r="6" spans="1:27" ht="21.75" customHeight="1" x14ac:dyDescent="0.2">
      <c r="A6" s="1107">
        <v>1</v>
      </c>
      <c r="B6" s="1108" t="s">
        <v>9</v>
      </c>
      <c r="C6" s="1103">
        <v>1044313</v>
      </c>
      <c r="D6" s="1103">
        <v>2618193</v>
      </c>
      <c r="E6" s="1103">
        <v>2939991</v>
      </c>
      <c r="F6" s="1103">
        <v>136903</v>
      </c>
      <c r="G6" s="1103">
        <v>2252</v>
      </c>
      <c r="H6" s="1104">
        <v>583360</v>
      </c>
      <c r="I6" s="1105">
        <v>57.803714365112</v>
      </c>
      <c r="J6" s="1105">
        <v>5.4545745208063563</v>
      </c>
      <c r="K6" s="1105">
        <v>2.418374750126786</v>
      </c>
      <c r="L6" s="1105">
        <v>33.027822194013517</v>
      </c>
      <c r="M6" s="1105">
        <v>0.78796159580080349</v>
      </c>
      <c r="N6" s="1105">
        <v>0.50755257414053312</v>
      </c>
      <c r="O6" s="1103">
        <v>583360</v>
      </c>
      <c r="P6" s="1103">
        <v>2885869</v>
      </c>
      <c r="Q6" s="1103">
        <v>2738562</v>
      </c>
      <c r="R6" s="1103">
        <v>250857</v>
      </c>
      <c r="S6" s="1103">
        <v>43</v>
      </c>
      <c r="T6" s="1104">
        <v>479767</v>
      </c>
      <c r="U6" s="1105">
        <v>86.280098825588027</v>
      </c>
      <c r="V6" s="1105">
        <v>8.7598893141729128</v>
      </c>
      <c r="W6" s="1105">
        <v>2.4638843305355147</v>
      </c>
      <c r="X6" s="1105">
        <v>1.5216379983363533</v>
      </c>
      <c r="Y6" s="1105">
        <v>0.55960025736134511</v>
      </c>
      <c r="Z6" s="1105">
        <v>0.41488927400584691</v>
      </c>
      <c r="AA6" s="1109"/>
    </row>
    <row r="7" spans="1:27" ht="21.75" customHeight="1" x14ac:dyDescent="0.2">
      <c r="A7" s="1107">
        <v>2</v>
      </c>
      <c r="B7" s="1108" t="s">
        <v>12</v>
      </c>
      <c r="C7" s="1103">
        <v>391756</v>
      </c>
      <c r="D7" s="1103">
        <v>4225492</v>
      </c>
      <c r="E7" s="1103">
        <v>4243654</v>
      </c>
      <c r="F7" s="1103">
        <v>22585</v>
      </c>
      <c r="G7" s="1103">
        <v>10</v>
      </c>
      <c r="H7" s="1104">
        <v>373594</v>
      </c>
      <c r="I7" s="1105">
        <v>86.513768558888174</v>
      </c>
      <c r="J7" s="1105">
        <v>7.0442594990072234</v>
      </c>
      <c r="K7" s="1105">
        <v>4.3112845674977276</v>
      </c>
      <c r="L7" s="1105">
        <v>1.4776416738970708</v>
      </c>
      <c r="M7" s="1105">
        <v>0.28242170544535439</v>
      </c>
      <c r="N7" s="1105">
        <v>0.37062399526445838</v>
      </c>
      <c r="O7" s="1103">
        <v>373594</v>
      </c>
      <c r="P7" s="1103">
        <v>7426386</v>
      </c>
      <c r="Q7" s="1103">
        <v>7257355</v>
      </c>
      <c r="R7" s="1103">
        <v>18015</v>
      </c>
      <c r="S7" s="1103">
        <v>5</v>
      </c>
      <c r="T7" s="1104">
        <v>524605</v>
      </c>
      <c r="U7" s="1105">
        <v>92.93052358607234</v>
      </c>
      <c r="V7" s="1105">
        <v>4.3039371782143769</v>
      </c>
      <c r="W7" s="1105">
        <v>1.5642613596826942</v>
      </c>
      <c r="X7" s="1105">
        <v>0.74787577567860475</v>
      </c>
      <c r="Y7" s="1105">
        <v>0.20609436909176967</v>
      </c>
      <c r="Z7" s="1105">
        <v>0.2473077312602181</v>
      </c>
      <c r="AA7" s="1109"/>
    </row>
    <row r="8" spans="1:27" ht="21.75" customHeight="1" x14ac:dyDescent="0.2">
      <c r="A8" s="1107">
        <v>3</v>
      </c>
      <c r="B8" s="1108" t="s">
        <v>14</v>
      </c>
      <c r="C8" s="1103">
        <v>324640</v>
      </c>
      <c r="D8" s="1103">
        <v>2521152</v>
      </c>
      <c r="E8" s="1103">
        <v>2359539</v>
      </c>
      <c r="F8" s="1103">
        <v>2678</v>
      </c>
      <c r="G8" s="1103">
        <v>125929</v>
      </c>
      <c r="H8" s="1104">
        <v>357646</v>
      </c>
      <c r="I8" s="1105">
        <v>91.223073659727604</v>
      </c>
      <c r="J8" s="1105">
        <v>4.6441275181296007</v>
      </c>
      <c r="K8" s="1105">
        <v>2.0430685824646253</v>
      </c>
      <c r="L8" s="1105">
        <v>1.6818539553700957</v>
      </c>
      <c r="M8" s="1105">
        <v>0.21046484080152944</v>
      </c>
      <c r="N8" s="1105">
        <v>0.19741144350654935</v>
      </c>
      <c r="O8" s="1103">
        <v>357646</v>
      </c>
      <c r="P8" s="1103">
        <v>1908418</v>
      </c>
      <c r="Q8" s="1103">
        <v>1717440</v>
      </c>
      <c r="R8" s="1103">
        <v>3230</v>
      </c>
      <c r="S8" s="1103">
        <v>203725</v>
      </c>
      <c r="T8" s="1104">
        <v>341669</v>
      </c>
      <c r="U8" s="1105">
        <v>90.178637972796722</v>
      </c>
      <c r="V8" s="1105">
        <v>5.6797326253027762</v>
      </c>
      <c r="W8" s="1105">
        <v>2.1667132476243713</v>
      </c>
      <c r="X8" s="1105">
        <v>1.4444754984162473</v>
      </c>
      <c r="Y8" s="1105">
        <v>0.2906651760760201</v>
      </c>
      <c r="Z8" s="1105">
        <v>0.23977547978386435</v>
      </c>
      <c r="AA8" s="1109"/>
    </row>
    <row r="9" spans="1:27" ht="21.75" customHeight="1" x14ac:dyDescent="0.2">
      <c r="A9" s="1107">
        <v>4</v>
      </c>
      <c r="B9" s="1108" t="s">
        <v>16</v>
      </c>
      <c r="C9" s="1103">
        <v>570894</v>
      </c>
      <c r="D9" s="1103">
        <v>7050972</v>
      </c>
      <c r="E9" s="1103">
        <v>6692551</v>
      </c>
      <c r="F9" s="1103">
        <v>254056</v>
      </c>
      <c r="G9" s="1103">
        <v>18441</v>
      </c>
      <c r="H9" s="1104">
        <v>656818</v>
      </c>
      <c r="I9" s="1105">
        <v>96.936086105283323</v>
      </c>
      <c r="J9" s="1105">
        <v>1.9698766583922931</v>
      </c>
      <c r="K9" s="1105">
        <v>0.73138030625392325</v>
      </c>
      <c r="L9" s="1105">
        <v>0.28976992480146957</v>
      </c>
      <c r="M9" s="1105">
        <v>5.0399317091494714E-2</v>
      </c>
      <c r="N9" s="1105">
        <v>2.2487688177497637E-2</v>
      </c>
      <c r="O9" s="1103">
        <v>656818</v>
      </c>
      <c r="P9" s="1103">
        <v>9149482</v>
      </c>
      <c r="Q9" s="1103">
        <v>8652285</v>
      </c>
      <c r="R9" s="1103">
        <v>191056</v>
      </c>
      <c r="S9" s="1103">
        <v>6353</v>
      </c>
      <c r="T9" s="1104">
        <v>956606</v>
      </c>
      <c r="U9" s="1105">
        <v>97.252217188869764</v>
      </c>
      <c r="V9" s="1105">
        <v>2.0132485233669488</v>
      </c>
      <c r="W9" s="1105">
        <v>0.51335572048308631</v>
      </c>
      <c r="X9" s="1105">
        <v>0.16907672366317106</v>
      </c>
      <c r="Y9" s="1105">
        <v>3.323977423304942E-2</v>
      </c>
      <c r="Z9" s="1105">
        <v>1.8862069383983538E-2</v>
      </c>
      <c r="AA9" s="1109"/>
    </row>
    <row r="10" spans="1:27" s="1100" customFormat="1" ht="24" customHeight="1" x14ac:dyDescent="0.2">
      <c r="A10" s="1110"/>
      <c r="B10" s="1111" t="s">
        <v>106</v>
      </c>
      <c r="C10" s="1112"/>
      <c r="D10" s="1112"/>
      <c r="E10" s="1112"/>
      <c r="F10" s="1112"/>
      <c r="G10" s="1112"/>
      <c r="H10" s="1113"/>
      <c r="I10" s="1112"/>
      <c r="J10" s="1112"/>
      <c r="K10" s="1112"/>
      <c r="L10" s="1112"/>
      <c r="M10" s="1112"/>
      <c r="N10" s="1112"/>
      <c r="O10" s="1112"/>
      <c r="P10" s="1112"/>
      <c r="Q10" s="1112"/>
      <c r="R10" s="1112"/>
      <c r="S10" s="1112"/>
      <c r="T10" s="1113"/>
      <c r="U10" s="1112"/>
      <c r="V10" s="1112"/>
      <c r="W10" s="1112"/>
      <c r="X10" s="1112"/>
      <c r="Y10" s="1112"/>
      <c r="Z10" s="1112"/>
      <c r="AA10" s="1109"/>
    </row>
    <row r="11" spans="1:27" ht="21.75" customHeight="1" x14ac:dyDescent="0.2">
      <c r="A11" s="1107">
        <v>5</v>
      </c>
      <c r="B11" s="1108" t="s">
        <v>18</v>
      </c>
      <c r="C11" s="1103">
        <v>12003</v>
      </c>
      <c r="D11" s="1103">
        <v>175088</v>
      </c>
      <c r="E11" s="1103">
        <v>138722</v>
      </c>
      <c r="F11" s="1103">
        <v>4271</v>
      </c>
      <c r="G11" s="1103">
        <v>38852</v>
      </c>
      <c r="H11" s="1104">
        <v>5246</v>
      </c>
      <c r="I11" s="1114">
        <v>93.647006242701224</v>
      </c>
      <c r="J11" s="1114">
        <v>2.9043698908608584</v>
      </c>
      <c r="K11" s="1114">
        <v>2.4610371822782255</v>
      </c>
      <c r="L11" s="1114">
        <v>0.9875866841596862</v>
      </c>
      <c r="M11" s="1114">
        <v>0</v>
      </c>
      <c r="N11" s="1114">
        <v>0</v>
      </c>
      <c r="O11" s="1103">
        <v>5246</v>
      </c>
      <c r="P11" s="1103">
        <v>326199</v>
      </c>
      <c r="Q11" s="1103">
        <v>242457</v>
      </c>
      <c r="R11" s="1103">
        <v>7440</v>
      </c>
      <c r="S11" s="1103">
        <v>72718</v>
      </c>
      <c r="T11" s="1104">
        <v>8830</v>
      </c>
      <c r="U11" s="1114">
        <v>97.199915861369234</v>
      </c>
      <c r="V11" s="1114">
        <v>1.6712241758332407</v>
      </c>
      <c r="W11" s="1114">
        <v>0.80137921363375775</v>
      </c>
      <c r="X11" s="1114">
        <v>0.32748074916376924</v>
      </c>
      <c r="Y11" s="1114">
        <v>0</v>
      </c>
      <c r="Z11" s="1114">
        <v>0</v>
      </c>
      <c r="AA11" s="1109"/>
    </row>
    <row r="12" spans="1:27" ht="21.75" customHeight="1" x14ac:dyDescent="0.2">
      <c r="A12" s="1107">
        <v>6</v>
      </c>
      <c r="B12" s="1108" t="s">
        <v>21</v>
      </c>
      <c r="C12" s="1103">
        <v>268125</v>
      </c>
      <c r="D12" s="1103">
        <v>3771501</v>
      </c>
      <c r="E12" s="1103">
        <v>3476673</v>
      </c>
      <c r="F12" s="1103">
        <v>40735</v>
      </c>
      <c r="G12" s="1103">
        <v>192077</v>
      </c>
      <c r="H12" s="1104">
        <v>330141</v>
      </c>
      <c r="I12" s="1105">
        <v>94.732895500957383</v>
      </c>
      <c r="J12" s="1105">
        <v>4.1902991739516482</v>
      </c>
      <c r="K12" s="1105">
        <v>0.91584684553307139</v>
      </c>
      <c r="L12" s="1105">
        <v>0.10501419029054501</v>
      </c>
      <c r="M12" s="1105">
        <v>2.4045977289207238E-2</v>
      </c>
      <c r="N12" s="1105">
        <v>3.1898311978146923E-2</v>
      </c>
      <c r="O12" s="1103">
        <v>330141</v>
      </c>
      <c r="P12" s="1103">
        <v>4562051</v>
      </c>
      <c r="Q12" s="1103">
        <v>4251001</v>
      </c>
      <c r="R12" s="1103">
        <v>83762</v>
      </c>
      <c r="S12" s="1103">
        <v>173169</v>
      </c>
      <c r="T12" s="1104">
        <v>384260</v>
      </c>
      <c r="U12" s="1105">
        <v>96.589885535195123</v>
      </c>
      <c r="V12" s="1105">
        <v>2.6186538182418682</v>
      </c>
      <c r="W12" s="1105">
        <v>0.24551864372650115</v>
      </c>
      <c r="X12" s="1105">
        <v>0.38884959095516564</v>
      </c>
      <c r="Y12" s="1105">
        <v>6.7231223892913694E-2</v>
      </c>
      <c r="Z12" s="1105">
        <v>8.986118798842907E-2</v>
      </c>
      <c r="AA12" s="1109"/>
    </row>
    <row r="13" spans="1:27" ht="21.75" customHeight="1" x14ac:dyDescent="0.2">
      <c r="A13" s="1107">
        <v>7</v>
      </c>
      <c r="B13" s="1108" t="s">
        <v>602</v>
      </c>
      <c r="C13" s="1115">
        <v>30267</v>
      </c>
      <c r="D13" s="1115">
        <v>278896</v>
      </c>
      <c r="E13" s="1115">
        <v>244308</v>
      </c>
      <c r="F13" s="1115">
        <v>6572</v>
      </c>
      <c r="G13" s="1115">
        <v>23016</v>
      </c>
      <c r="H13" s="1116">
        <v>35267</v>
      </c>
      <c r="I13" s="1115">
        <v>92.807439789118646</v>
      </c>
      <c r="J13" s="1115">
        <v>4.6531427542282691</v>
      </c>
      <c r="K13" s="1115">
        <v>1.6720696825318859</v>
      </c>
      <c r="L13" s="1115">
        <v>0.68233541267580267</v>
      </c>
      <c r="M13" s="1115">
        <v>0.10069256839726902</v>
      </c>
      <c r="N13" s="1115">
        <v>8.4319793048119582E-2</v>
      </c>
      <c r="O13" s="1115" t="s">
        <v>107</v>
      </c>
      <c r="P13" s="1115" t="s">
        <v>107</v>
      </c>
      <c r="Q13" s="1115" t="s">
        <v>107</v>
      </c>
      <c r="R13" s="1115" t="s">
        <v>107</v>
      </c>
      <c r="S13" s="1115" t="s">
        <v>107</v>
      </c>
      <c r="T13" s="1116" t="s">
        <v>107</v>
      </c>
      <c r="U13" s="1115" t="s">
        <v>107</v>
      </c>
      <c r="V13" s="1115" t="s">
        <v>107</v>
      </c>
      <c r="W13" s="1115" t="s">
        <v>107</v>
      </c>
      <c r="X13" s="1115" t="s">
        <v>107</v>
      </c>
      <c r="Y13" s="1115" t="s">
        <v>107</v>
      </c>
      <c r="Z13" s="1115" t="s">
        <v>107</v>
      </c>
      <c r="AA13" s="1109"/>
    </row>
    <row r="14" spans="1:27" ht="21.75" customHeight="1" x14ac:dyDescent="0.2">
      <c r="A14" s="1107">
        <v>8</v>
      </c>
      <c r="B14" s="1108" t="s">
        <v>27</v>
      </c>
      <c r="C14" s="1103">
        <v>62204</v>
      </c>
      <c r="D14" s="1103">
        <v>315462</v>
      </c>
      <c r="E14" s="1103">
        <v>273514</v>
      </c>
      <c r="F14" s="1103">
        <v>19672</v>
      </c>
      <c r="G14" s="1103">
        <v>16595</v>
      </c>
      <c r="H14" s="1104">
        <v>67885</v>
      </c>
      <c r="I14" s="1105">
        <v>92.940397932098534</v>
      </c>
      <c r="J14" s="1105">
        <v>4.0868109127869134</v>
      </c>
      <c r="K14" s="1105">
        <v>1.3926161000899404</v>
      </c>
      <c r="L14" s="1105">
        <v>1.2131006091095886</v>
      </c>
      <c r="M14" s="1105">
        <v>0.23216361868131064</v>
      </c>
      <c r="N14" s="1105">
        <v>0.13491082723370648</v>
      </c>
      <c r="O14" s="1103">
        <v>67885</v>
      </c>
      <c r="P14" s="1103">
        <v>478908</v>
      </c>
      <c r="Q14" s="1103">
        <v>419419</v>
      </c>
      <c r="R14" s="1103">
        <v>39574</v>
      </c>
      <c r="S14" s="1103">
        <v>10943</v>
      </c>
      <c r="T14" s="1104">
        <v>76857</v>
      </c>
      <c r="U14" s="1105">
        <v>93.232543113211378</v>
      </c>
      <c r="V14" s="1105">
        <v>4.0591866367522691</v>
      </c>
      <c r="W14" s="1105">
        <v>1.3947865976505596</v>
      </c>
      <c r="X14" s="1105">
        <v>0.9205591544493692</v>
      </c>
      <c r="Y14" s="1105">
        <v>0.26560551620217487</v>
      </c>
      <c r="Z14" s="1105">
        <v>0.12731898173425621</v>
      </c>
      <c r="AA14" s="1109"/>
    </row>
    <row r="15" spans="1:27" ht="21.75" customHeight="1" x14ac:dyDescent="0.2">
      <c r="A15" s="1107">
        <v>9</v>
      </c>
      <c r="B15" s="1108" t="s">
        <v>31</v>
      </c>
      <c r="C15" s="1103">
        <v>1093</v>
      </c>
      <c r="D15" s="1103">
        <v>29184</v>
      </c>
      <c r="E15" s="1103">
        <v>26486</v>
      </c>
      <c r="F15" s="1103">
        <v>842</v>
      </c>
      <c r="G15" s="1103">
        <v>1116</v>
      </c>
      <c r="H15" s="1104">
        <v>1833</v>
      </c>
      <c r="I15" s="1114">
        <v>97.795061541946694</v>
      </c>
      <c r="J15" s="1114">
        <v>1.8651362984218076</v>
      </c>
      <c r="K15" s="1114">
        <v>0.27939288680812502</v>
      </c>
      <c r="L15" s="1114">
        <v>6.0409272823378393E-2</v>
      </c>
      <c r="M15" s="1114">
        <v>0</v>
      </c>
      <c r="N15" s="1114">
        <v>0</v>
      </c>
      <c r="O15" s="1103">
        <v>1833</v>
      </c>
      <c r="P15" s="1103">
        <v>58503</v>
      </c>
      <c r="Q15" s="1103">
        <v>53325</v>
      </c>
      <c r="R15" s="1103">
        <v>2133</v>
      </c>
      <c r="S15" s="1103">
        <v>2133</v>
      </c>
      <c r="T15" s="1104">
        <v>2745</v>
      </c>
      <c r="U15" s="1114">
        <v>97.256446319737449</v>
      </c>
      <c r="V15" s="1114">
        <v>2.0684481950304736</v>
      </c>
      <c r="W15" s="1114">
        <v>0.61884669479606191</v>
      </c>
      <c r="X15" s="1114">
        <v>5.6258790436005623E-2</v>
      </c>
      <c r="Y15" s="1114">
        <v>0</v>
      </c>
      <c r="Z15" s="1114">
        <v>0</v>
      </c>
      <c r="AA15" s="1109"/>
    </row>
    <row r="16" spans="1:27" ht="21.75" customHeight="1" x14ac:dyDescent="0.2">
      <c r="A16" s="1107">
        <v>10</v>
      </c>
      <c r="B16" s="1108" t="s">
        <v>603</v>
      </c>
      <c r="C16" s="1103">
        <v>31331</v>
      </c>
      <c r="D16" s="1103">
        <v>262181</v>
      </c>
      <c r="E16" s="1103">
        <v>235818</v>
      </c>
      <c r="F16" s="1103">
        <v>18068</v>
      </c>
      <c r="G16" s="1103">
        <v>11867</v>
      </c>
      <c r="H16" s="1104">
        <v>27759</v>
      </c>
      <c r="I16" s="1105">
        <v>93.738815527228624</v>
      </c>
      <c r="J16" s="1105">
        <v>2.8000407093606086</v>
      </c>
      <c r="K16" s="1105">
        <v>1.2021983054728647</v>
      </c>
      <c r="L16" s="1105">
        <v>1.9612582584874776</v>
      </c>
      <c r="M16" s="1105">
        <v>0.15223604644259556</v>
      </c>
      <c r="N16" s="1105">
        <v>0.14545115300782807</v>
      </c>
      <c r="O16" s="1103">
        <v>27759</v>
      </c>
      <c r="P16" s="1103">
        <v>473084</v>
      </c>
      <c r="Q16" s="1103">
        <v>380919</v>
      </c>
      <c r="R16" s="1103">
        <v>19106</v>
      </c>
      <c r="S16" s="1103">
        <v>67636</v>
      </c>
      <c r="T16" s="1104">
        <v>33182</v>
      </c>
      <c r="U16" s="1105">
        <v>96.009387822607962</v>
      </c>
      <c r="V16" s="1105">
        <v>2.0510922269563872</v>
      </c>
      <c r="W16" s="1105">
        <v>0.89467839619446665</v>
      </c>
      <c r="X16" s="1105">
        <v>0.59198937306881516</v>
      </c>
      <c r="Y16" s="1105">
        <v>0.21631895494842734</v>
      </c>
      <c r="Z16" s="1105">
        <v>0.23653322622394787</v>
      </c>
      <c r="AA16" s="1109"/>
    </row>
    <row r="17" spans="1:27" ht="21.75" customHeight="1" x14ac:dyDescent="0.2">
      <c r="A17" s="1107">
        <v>11</v>
      </c>
      <c r="B17" s="1108" t="s">
        <v>37</v>
      </c>
      <c r="C17" s="1103">
        <v>10352</v>
      </c>
      <c r="D17" s="1103">
        <v>185609</v>
      </c>
      <c r="E17" s="1103">
        <v>159427</v>
      </c>
      <c r="F17" s="1103">
        <v>7362</v>
      </c>
      <c r="G17" s="1103">
        <v>18300</v>
      </c>
      <c r="H17" s="1104">
        <v>10872</v>
      </c>
      <c r="I17" s="1114">
        <v>94.241878728195346</v>
      </c>
      <c r="J17" s="1114">
        <v>4.2075683541683651</v>
      </c>
      <c r="K17" s="1114">
        <v>1.1654236735308323</v>
      </c>
      <c r="L17" s="1114">
        <v>0.38512924410545263</v>
      </c>
      <c r="M17" s="1114">
        <v>0</v>
      </c>
      <c r="N17" s="1114">
        <v>0</v>
      </c>
      <c r="O17" s="1103">
        <v>10872</v>
      </c>
      <c r="P17" s="1103">
        <v>315795</v>
      </c>
      <c r="Q17" s="1103">
        <v>267422</v>
      </c>
      <c r="R17" s="1103">
        <v>14280</v>
      </c>
      <c r="S17" s="1103">
        <v>23695</v>
      </c>
      <c r="T17" s="1104">
        <v>21270</v>
      </c>
      <c r="U17" s="1114">
        <v>96.085961514011558</v>
      </c>
      <c r="V17" s="1114">
        <v>2.6175856885372184</v>
      </c>
      <c r="W17" s="1114">
        <v>0.87202997509554181</v>
      </c>
      <c r="X17" s="1114">
        <v>0.40684760416121335</v>
      </c>
      <c r="Y17" s="1114">
        <v>1.7575218194464181E-2</v>
      </c>
      <c r="Z17" s="1114">
        <v>0</v>
      </c>
      <c r="AA17" s="1109"/>
    </row>
    <row r="18" spans="1:27" ht="21.75" customHeight="1" x14ac:dyDescent="0.2">
      <c r="A18" s="1107">
        <v>12</v>
      </c>
      <c r="B18" s="1108" t="s">
        <v>604</v>
      </c>
      <c r="C18" s="1103">
        <v>115410</v>
      </c>
      <c r="D18" s="1103">
        <v>2414553</v>
      </c>
      <c r="E18" s="1103">
        <v>2287556</v>
      </c>
      <c r="F18" s="1103">
        <v>31776</v>
      </c>
      <c r="G18" s="1103">
        <v>86902</v>
      </c>
      <c r="H18" s="1104">
        <v>123729</v>
      </c>
      <c r="I18" s="1105">
        <v>98.364149336671986</v>
      </c>
      <c r="J18" s="1105">
        <v>0.917398306314687</v>
      </c>
      <c r="K18" s="1105">
        <v>0.50285107774410764</v>
      </c>
      <c r="L18" s="1105">
        <v>0.16589757802650515</v>
      </c>
      <c r="M18" s="1105">
        <v>3.0469199442549166E-2</v>
      </c>
      <c r="N18" s="1105">
        <v>1.9234501800174511E-2</v>
      </c>
      <c r="O18" s="1103">
        <v>123729</v>
      </c>
      <c r="P18" s="1103">
        <v>3891395</v>
      </c>
      <c r="Q18" s="1103">
        <v>3697791</v>
      </c>
      <c r="R18" s="1103">
        <v>10776</v>
      </c>
      <c r="S18" s="1103">
        <v>157939</v>
      </c>
      <c r="T18" s="1104">
        <v>148618</v>
      </c>
      <c r="U18" s="1105">
        <v>98.485987985800165</v>
      </c>
      <c r="V18" s="1105">
        <v>1.0279650742835384</v>
      </c>
      <c r="W18" s="1105">
        <v>0.21934717240644483</v>
      </c>
      <c r="X18" s="1105">
        <v>0.20390552089071556</v>
      </c>
      <c r="Y18" s="1105">
        <v>4.0618845142951561E-2</v>
      </c>
      <c r="Z18" s="1105">
        <v>2.2175401476178615E-2</v>
      </c>
      <c r="AA18" s="1109"/>
    </row>
    <row r="19" spans="1:27" ht="21.75" customHeight="1" x14ac:dyDescent="0.2">
      <c r="A19" s="1107">
        <v>13</v>
      </c>
      <c r="B19" s="1108" t="s">
        <v>42</v>
      </c>
      <c r="C19" s="1103">
        <v>204785</v>
      </c>
      <c r="D19" s="1103">
        <v>1644943</v>
      </c>
      <c r="E19" s="1103">
        <v>1421920</v>
      </c>
      <c r="F19" s="1103">
        <v>122397</v>
      </c>
      <c r="G19" s="1103">
        <v>104268</v>
      </c>
      <c r="H19" s="1104">
        <v>201143</v>
      </c>
      <c r="I19" s="1105">
        <v>96.930488353775175</v>
      </c>
      <c r="J19" s="1105">
        <v>1.7235146843704288</v>
      </c>
      <c r="K19" s="1105">
        <v>0.56705018566445375</v>
      </c>
      <c r="L19" s="1105">
        <v>0.50080173286823448</v>
      </c>
      <c r="M19" s="1105">
        <v>0.12082254979183076</v>
      </c>
      <c r="N19" s="1105">
        <v>0.1573224935298751</v>
      </c>
      <c r="O19" s="1103">
        <v>236410</v>
      </c>
      <c r="P19" s="1103">
        <v>2326531</v>
      </c>
      <c r="Q19" s="1103">
        <v>2061255</v>
      </c>
      <c r="R19" s="1103">
        <v>145199</v>
      </c>
      <c r="S19" s="1103">
        <v>136623</v>
      </c>
      <c r="T19" s="1104">
        <v>219864</v>
      </c>
      <c r="U19" s="1105">
        <v>97.066301840383645</v>
      </c>
      <c r="V19" s="1105">
        <v>1.6899413221556772</v>
      </c>
      <c r="W19" s="1105">
        <v>0.58760318349743235</v>
      </c>
      <c r="X19" s="1105">
        <v>0.37394694009232238</v>
      </c>
      <c r="Y19" s="1105">
        <v>0.11580323637783776</v>
      </c>
      <c r="Z19" s="1105">
        <v>0.16640347749308068</v>
      </c>
      <c r="AA19" s="1109"/>
    </row>
    <row r="20" spans="1:27" ht="21.75" customHeight="1" x14ac:dyDescent="0.2">
      <c r="A20" s="1107">
        <v>14</v>
      </c>
      <c r="B20" s="1108" t="s">
        <v>45</v>
      </c>
      <c r="C20" s="1103">
        <v>87744</v>
      </c>
      <c r="D20" s="1103">
        <v>1201150</v>
      </c>
      <c r="E20" s="1103">
        <v>1148098</v>
      </c>
      <c r="F20" s="1103">
        <v>44972</v>
      </c>
      <c r="G20" s="1103">
        <v>27264</v>
      </c>
      <c r="H20" s="1104">
        <v>68560</v>
      </c>
      <c r="I20" s="1105">
        <v>82.572916249309728</v>
      </c>
      <c r="J20" s="1105">
        <v>12.547360939571362</v>
      </c>
      <c r="K20" s="1105">
        <v>3.5334962694822218</v>
      </c>
      <c r="L20" s="1105">
        <v>0.98214612341455176</v>
      </c>
      <c r="M20" s="1105">
        <v>0.17045583216763724</v>
      </c>
      <c r="N20" s="1105">
        <v>0.19362458605450059</v>
      </c>
      <c r="O20" s="1103">
        <v>68560</v>
      </c>
      <c r="P20" s="1103">
        <v>1147104</v>
      </c>
      <c r="Q20" s="1103">
        <v>1074068</v>
      </c>
      <c r="R20" s="1103">
        <v>21527</v>
      </c>
      <c r="S20" s="1103">
        <v>35480</v>
      </c>
      <c r="T20" s="1104">
        <v>84589</v>
      </c>
      <c r="U20" s="1105">
        <v>89.382702026314902</v>
      </c>
      <c r="V20" s="1105">
        <v>6.4334846583270338</v>
      </c>
      <c r="W20" s="1105">
        <v>2.2620541716166946</v>
      </c>
      <c r="X20" s="1105">
        <v>1.1689204035498684</v>
      </c>
      <c r="Y20" s="1105">
        <v>0.41701270310632099</v>
      </c>
      <c r="Z20" s="1105">
        <v>0.33582603708517528</v>
      </c>
      <c r="AA20" s="1109"/>
    </row>
    <row r="21" spans="1:27" ht="21.75" customHeight="1" x14ac:dyDescent="0.2">
      <c r="A21" s="1107">
        <v>15</v>
      </c>
      <c r="B21" s="1108" t="s">
        <v>49</v>
      </c>
      <c r="C21" s="1103">
        <v>3029</v>
      </c>
      <c r="D21" s="1103">
        <v>56349</v>
      </c>
      <c r="E21" s="1103">
        <v>46483</v>
      </c>
      <c r="F21" s="1103">
        <v>5991</v>
      </c>
      <c r="G21" s="1103">
        <v>2866</v>
      </c>
      <c r="H21" s="1104">
        <v>4038</v>
      </c>
      <c r="I21" s="1114">
        <v>96.013596368564848</v>
      </c>
      <c r="J21" s="1114">
        <v>2.8526558096508401</v>
      </c>
      <c r="K21" s="1114">
        <v>0.81965449734311469</v>
      </c>
      <c r="L21" s="1114">
        <v>0.29688273132112813</v>
      </c>
      <c r="M21" s="1114">
        <v>1.7210593120065398E-2</v>
      </c>
      <c r="N21" s="1114">
        <v>0</v>
      </c>
      <c r="O21" s="1103">
        <v>4038</v>
      </c>
      <c r="P21" s="1103">
        <v>89094</v>
      </c>
      <c r="Q21" s="1103">
        <v>76103</v>
      </c>
      <c r="R21" s="1103">
        <v>3691</v>
      </c>
      <c r="S21" s="1103">
        <v>7892</v>
      </c>
      <c r="T21" s="1104">
        <v>5446</v>
      </c>
      <c r="U21" s="1114">
        <v>96.897625586376364</v>
      </c>
      <c r="V21" s="1114">
        <v>2.2403847417316007</v>
      </c>
      <c r="W21" s="1114">
        <v>0.56502371785606353</v>
      </c>
      <c r="X21" s="1114">
        <v>0.26937177246626282</v>
      </c>
      <c r="Y21" s="1114">
        <v>2.7594181569714729E-2</v>
      </c>
      <c r="Z21" s="1114">
        <v>0</v>
      </c>
      <c r="AA21" s="1109"/>
    </row>
    <row r="22" spans="1:27" ht="21.75" customHeight="1" x14ac:dyDescent="0.2">
      <c r="A22" s="1107">
        <v>16</v>
      </c>
      <c r="B22" s="1108" t="s">
        <v>52</v>
      </c>
      <c r="C22" s="1103">
        <v>15908</v>
      </c>
      <c r="D22" s="1103">
        <v>199245</v>
      </c>
      <c r="E22" s="1103">
        <v>178575</v>
      </c>
      <c r="F22" s="1103">
        <v>12316</v>
      </c>
      <c r="G22" s="1103">
        <v>10385</v>
      </c>
      <c r="H22" s="1104">
        <v>13877</v>
      </c>
      <c r="I22" s="1105">
        <v>95.571048579028414</v>
      </c>
      <c r="J22" s="1105">
        <v>2.5994680106397872</v>
      </c>
      <c r="K22" s="1105">
        <v>1.0057398852022958</v>
      </c>
      <c r="L22" s="1105">
        <v>0.73134537309253811</v>
      </c>
      <c r="M22" s="1105">
        <v>8.5678286434271306E-2</v>
      </c>
      <c r="N22" s="1105">
        <v>6.7198656026879458E-3</v>
      </c>
      <c r="O22" s="1103">
        <v>13877</v>
      </c>
      <c r="P22" s="1103">
        <v>219658</v>
      </c>
      <c r="Q22" s="1103">
        <v>198798</v>
      </c>
      <c r="R22" s="1103">
        <v>10700</v>
      </c>
      <c r="S22" s="1103">
        <v>9515</v>
      </c>
      <c r="T22" s="1104">
        <v>14522</v>
      </c>
      <c r="U22" s="1105">
        <v>97.303795812835133</v>
      </c>
      <c r="V22" s="1105">
        <v>1.2666123401643878</v>
      </c>
      <c r="W22" s="1105">
        <v>0.61016710429682386</v>
      </c>
      <c r="X22" s="1105">
        <v>0.65393012002132822</v>
      </c>
      <c r="Y22" s="1105">
        <v>0.13732532520447893</v>
      </c>
      <c r="Z22" s="1105">
        <v>2.8169297477841831E-2</v>
      </c>
      <c r="AA22" s="1109"/>
    </row>
    <row r="23" spans="1:27" ht="21.75" customHeight="1" x14ac:dyDescent="0.2">
      <c r="A23" s="1107">
        <v>17</v>
      </c>
      <c r="B23" s="1108" t="s">
        <v>56</v>
      </c>
      <c r="C23" s="1103">
        <v>10124</v>
      </c>
      <c r="D23" s="1103">
        <v>77403</v>
      </c>
      <c r="E23" s="1103">
        <v>64667</v>
      </c>
      <c r="F23" s="1103">
        <v>2781</v>
      </c>
      <c r="G23" s="1103">
        <v>8203</v>
      </c>
      <c r="H23" s="1104">
        <v>11876</v>
      </c>
      <c r="I23" s="1105">
        <v>93.633537971453748</v>
      </c>
      <c r="J23" s="1105">
        <v>2.9303972659934745</v>
      </c>
      <c r="K23" s="1105">
        <v>1.736588986654708</v>
      </c>
      <c r="L23" s="1105">
        <v>1.3329828196761873</v>
      </c>
      <c r="M23" s="1105">
        <v>0.25979247529651905</v>
      </c>
      <c r="N23" s="1105">
        <v>0.10670048092535606</v>
      </c>
      <c r="O23" s="1103">
        <v>11876</v>
      </c>
      <c r="P23" s="1103">
        <v>139739</v>
      </c>
      <c r="Q23" s="1103">
        <v>113273</v>
      </c>
      <c r="R23" s="1103">
        <v>4617</v>
      </c>
      <c r="S23" s="1103">
        <v>15844</v>
      </c>
      <c r="T23" s="1104">
        <v>17881</v>
      </c>
      <c r="U23" s="1105">
        <v>92.343276862094243</v>
      </c>
      <c r="V23" s="1105">
        <v>5.0868256336461473</v>
      </c>
      <c r="W23" s="1105">
        <v>1.5387603400633867</v>
      </c>
      <c r="X23" s="1105">
        <v>0.73892277947966412</v>
      </c>
      <c r="Y23" s="1105">
        <v>0.19598668703044858</v>
      </c>
      <c r="Z23" s="1105">
        <v>9.6227697686121133E-2</v>
      </c>
      <c r="AA23" s="1109"/>
    </row>
    <row r="24" spans="1:27" ht="21.75" customHeight="1" x14ac:dyDescent="0.2">
      <c r="A24" s="1107">
        <v>18</v>
      </c>
      <c r="B24" s="1108" t="s">
        <v>605</v>
      </c>
      <c r="C24" s="1103">
        <v>782</v>
      </c>
      <c r="D24" s="1103">
        <v>11682</v>
      </c>
      <c r="E24" s="1103">
        <v>10368</v>
      </c>
      <c r="F24" s="1103">
        <v>67</v>
      </c>
      <c r="G24" s="1103">
        <v>1106</v>
      </c>
      <c r="H24" s="1104">
        <v>923</v>
      </c>
      <c r="I24" s="1114">
        <v>99.990354938271608</v>
      </c>
      <c r="J24" s="1114">
        <v>9.6450617283950612E-3</v>
      </c>
      <c r="K24" s="1114">
        <v>0</v>
      </c>
      <c r="L24" s="1114">
        <v>0</v>
      </c>
      <c r="M24" s="1114">
        <v>0</v>
      </c>
      <c r="N24" s="1114">
        <v>0</v>
      </c>
      <c r="O24" s="1103">
        <v>923</v>
      </c>
      <c r="P24" s="1103">
        <v>11954</v>
      </c>
      <c r="Q24" s="1103">
        <v>9708</v>
      </c>
      <c r="R24" s="1103">
        <v>910</v>
      </c>
      <c r="S24" s="1103">
        <v>1146</v>
      </c>
      <c r="T24" s="1104">
        <v>1113</v>
      </c>
      <c r="U24" s="1114">
        <v>99.989699217140497</v>
      </c>
      <c r="V24" s="1114">
        <v>1.0300782859497322E-2</v>
      </c>
      <c r="W24" s="1114">
        <v>0</v>
      </c>
      <c r="X24" s="1114">
        <v>0</v>
      </c>
      <c r="Y24" s="1114">
        <v>0</v>
      </c>
      <c r="Z24" s="1114">
        <v>0</v>
      </c>
      <c r="AA24" s="1109"/>
    </row>
    <row r="25" spans="1:27" ht="21.75" customHeight="1" x14ac:dyDescent="0.2">
      <c r="A25" s="1107">
        <v>19</v>
      </c>
      <c r="B25" s="1108" t="s">
        <v>60</v>
      </c>
      <c r="C25" s="1103">
        <v>770</v>
      </c>
      <c r="D25" s="1103">
        <v>15874</v>
      </c>
      <c r="E25" s="1103">
        <v>12692</v>
      </c>
      <c r="F25" s="1103">
        <v>483</v>
      </c>
      <c r="G25" s="1103">
        <v>235</v>
      </c>
      <c r="H25" s="1104">
        <v>3234</v>
      </c>
      <c r="I25" s="1105">
        <v>95.508982035928142</v>
      </c>
      <c r="J25" s="1105">
        <v>3.1515915537346362</v>
      </c>
      <c r="K25" s="1105">
        <v>0.4569807752915222</v>
      </c>
      <c r="L25" s="1105">
        <v>0.78789788843365904</v>
      </c>
      <c r="M25" s="1105">
        <v>9.4547746612039074E-2</v>
      </c>
      <c r="N25" s="1105">
        <v>0</v>
      </c>
      <c r="O25" s="1103">
        <v>3234</v>
      </c>
      <c r="P25" s="1103">
        <v>49950</v>
      </c>
      <c r="Q25" s="1103">
        <v>47855</v>
      </c>
      <c r="R25" s="1103">
        <v>806</v>
      </c>
      <c r="S25" s="1103">
        <v>1879</v>
      </c>
      <c r="T25" s="1104">
        <v>2644</v>
      </c>
      <c r="U25" s="1105">
        <v>93.302685194859464</v>
      </c>
      <c r="V25" s="1105">
        <v>4.8751436631490961</v>
      </c>
      <c r="W25" s="1105">
        <v>1.3666283564935744</v>
      </c>
      <c r="X25" s="1105">
        <v>0.40330164037195693</v>
      </c>
      <c r="Y25" s="1105">
        <v>5.0151499320865114E-2</v>
      </c>
      <c r="Z25" s="1105">
        <v>2.0896458050360463E-3</v>
      </c>
      <c r="AA25" s="1109"/>
    </row>
    <row r="26" spans="1:27" ht="21.75" customHeight="1" x14ac:dyDescent="0.2">
      <c r="A26" s="1107">
        <v>20</v>
      </c>
      <c r="B26" s="1108" t="s">
        <v>63</v>
      </c>
      <c r="C26" s="1103">
        <v>362527</v>
      </c>
      <c r="D26" s="1103">
        <v>1683596</v>
      </c>
      <c r="E26" s="1103">
        <v>1571462</v>
      </c>
      <c r="F26" s="1103">
        <v>50911</v>
      </c>
      <c r="G26" s="1103">
        <v>140057</v>
      </c>
      <c r="H26" s="1104">
        <v>283693</v>
      </c>
      <c r="I26" s="1105">
        <v>98.590929974762361</v>
      </c>
      <c r="J26" s="1105">
        <v>0.60415078442876757</v>
      </c>
      <c r="K26" s="1105">
        <v>0.25543092992385436</v>
      </c>
      <c r="L26" s="1105">
        <v>0.31289334390522966</v>
      </c>
      <c r="M26" s="1105">
        <v>0.11772476840038129</v>
      </c>
      <c r="N26" s="1105">
        <v>0.11887019857941203</v>
      </c>
      <c r="O26" s="1103">
        <v>283693</v>
      </c>
      <c r="P26" s="1103">
        <v>2457570</v>
      </c>
      <c r="Q26" s="1103">
        <v>2344489</v>
      </c>
      <c r="R26" s="1103">
        <v>41649</v>
      </c>
      <c r="S26" s="1103">
        <v>57292</v>
      </c>
      <c r="T26" s="1104">
        <v>297833</v>
      </c>
      <c r="U26" s="1105">
        <v>98.645333801950017</v>
      </c>
      <c r="V26" s="1105">
        <v>0.64500195991535891</v>
      </c>
      <c r="W26" s="1105">
        <v>0.22691511881693621</v>
      </c>
      <c r="X26" s="1105">
        <v>0.25536481510469872</v>
      </c>
      <c r="Y26" s="1105">
        <v>0.10923489084401761</v>
      </c>
      <c r="Z26" s="1105">
        <v>0.11814941336896867</v>
      </c>
      <c r="AA26" s="1109"/>
    </row>
    <row r="27" spans="1:27" ht="21.75" customHeight="1" x14ac:dyDescent="0.2">
      <c r="A27" s="1107">
        <v>21</v>
      </c>
      <c r="B27" s="1108" t="s">
        <v>111</v>
      </c>
      <c r="C27" s="1103">
        <v>39383</v>
      </c>
      <c r="D27" s="1103">
        <v>551487</v>
      </c>
      <c r="E27" s="1103">
        <v>529525</v>
      </c>
      <c r="F27" s="1103">
        <v>8535</v>
      </c>
      <c r="G27" s="1103">
        <v>15389</v>
      </c>
      <c r="H27" s="1104">
        <v>37421</v>
      </c>
      <c r="I27" s="1105">
        <v>97.740805438836702</v>
      </c>
      <c r="J27" s="1105">
        <v>1.2696284405835419</v>
      </c>
      <c r="K27" s="1105">
        <v>0.48080827156413769</v>
      </c>
      <c r="L27" s="1105">
        <v>0.349747415136207</v>
      </c>
      <c r="M27" s="1105">
        <v>6.9118549643548466E-2</v>
      </c>
      <c r="N27" s="1105">
        <v>8.9891884235871772E-2</v>
      </c>
      <c r="O27" s="1103">
        <v>37421</v>
      </c>
      <c r="P27" s="1103">
        <v>394812</v>
      </c>
      <c r="Q27" s="1103">
        <v>366183</v>
      </c>
      <c r="R27" s="1103">
        <v>9005</v>
      </c>
      <c r="S27" s="1103">
        <v>18807</v>
      </c>
      <c r="T27" s="1104">
        <v>38238</v>
      </c>
      <c r="U27" s="1105">
        <v>95.947654588006543</v>
      </c>
      <c r="V27" s="1105">
        <v>1.2589333748426332</v>
      </c>
      <c r="W27" s="1105">
        <v>0.79823476240022062</v>
      </c>
      <c r="X27" s="1105">
        <v>1.5893692498013288</v>
      </c>
      <c r="Y27" s="1105">
        <v>0.22174704997228162</v>
      </c>
      <c r="Z27" s="1105">
        <v>0.18406097497699239</v>
      </c>
      <c r="AA27" s="1109"/>
    </row>
    <row r="28" spans="1:27" ht="21.75" customHeight="1" x14ac:dyDescent="0.2">
      <c r="A28" s="1107">
        <v>22</v>
      </c>
      <c r="B28" s="1108" t="s">
        <v>66</v>
      </c>
      <c r="C28" s="1103">
        <v>28866</v>
      </c>
      <c r="D28" s="1103">
        <v>1749471</v>
      </c>
      <c r="E28" s="1103">
        <v>1607217</v>
      </c>
      <c r="F28" s="1103">
        <v>12321</v>
      </c>
      <c r="G28" s="1103">
        <v>111932</v>
      </c>
      <c r="H28" s="1104">
        <v>46867</v>
      </c>
      <c r="I28" s="1105">
        <v>99.749069354044906</v>
      </c>
      <c r="J28" s="1105">
        <v>0.14049129644596842</v>
      </c>
      <c r="K28" s="1105">
        <v>4.3304668877942432E-2</v>
      </c>
      <c r="L28" s="1105">
        <v>6.4459248502224661E-2</v>
      </c>
      <c r="M28" s="1105">
        <v>1.7421418514114769E-3</v>
      </c>
      <c r="N28" s="1105">
        <v>9.3329027754186279E-4</v>
      </c>
      <c r="O28" s="1103">
        <v>46867</v>
      </c>
      <c r="P28" s="1103">
        <v>1124712</v>
      </c>
      <c r="Q28" s="1103">
        <v>995174</v>
      </c>
      <c r="R28" s="1103">
        <v>15281</v>
      </c>
      <c r="S28" s="1103">
        <v>113230</v>
      </c>
      <c r="T28" s="1104">
        <v>47894</v>
      </c>
      <c r="U28" s="1105">
        <v>95.037852677019302</v>
      </c>
      <c r="V28" s="1105">
        <v>2.5523174841786465</v>
      </c>
      <c r="W28" s="1105">
        <v>1.6694567985096074</v>
      </c>
      <c r="X28" s="1105">
        <v>0.67023455194769965</v>
      </c>
      <c r="Y28" s="1105">
        <v>3.9993006248153593E-2</v>
      </c>
      <c r="Z28" s="1105">
        <v>3.0145482096598182E-2</v>
      </c>
      <c r="AA28" s="1109"/>
    </row>
    <row r="29" spans="1:27" ht="21.75" customHeight="1" x14ac:dyDescent="0.2">
      <c r="A29" s="1107">
        <v>23</v>
      </c>
      <c r="B29" s="1108" t="s">
        <v>70</v>
      </c>
      <c r="C29" s="1103">
        <v>60354</v>
      </c>
      <c r="D29" s="1103">
        <v>142020</v>
      </c>
      <c r="E29" s="1103">
        <v>125900</v>
      </c>
      <c r="F29" s="1103">
        <v>6572</v>
      </c>
      <c r="G29" s="1103">
        <v>16169</v>
      </c>
      <c r="H29" s="1104">
        <v>53733</v>
      </c>
      <c r="I29" s="1105">
        <v>85.780778395552034</v>
      </c>
      <c r="J29" s="1105">
        <v>5.8657664813343926</v>
      </c>
      <c r="K29" s="1105">
        <v>2.9475774424146151</v>
      </c>
      <c r="L29" s="1105">
        <v>3.2573471008737096</v>
      </c>
      <c r="M29" s="1105">
        <v>0.82208101667990474</v>
      </c>
      <c r="N29" s="1105">
        <v>1.3264495631453534</v>
      </c>
      <c r="O29" s="1103">
        <v>53733</v>
      </c>
      <c r="P29" s="1103">
        <v>136704</v>
      </c>
      <c r="Q29" s="1103">
        <v>117749</v>
      </c>
      <c r="R29" s="1103">
        <v>7966</v>
      </c>
      <c r="S29" s="1103">
        <v>13958</v>
      </c>
      <c r="T29" s="1104">
        <v>50764</v>
      </c>
      <c r="U29" s="1105">
        <v>85.232995609304538</v>
      </c>
      <c r="V29" s="1105">
        <v>2.8051193640710324</v>
      </c>
      <c r="W29" s="1105">
        <v>2.6310202209785221</v>
      </c>
      <c r="X29" s="1105">
        <v>4.852695139661483</v>
      </c>
      <c r="Y29" s="1105">
        <v>1.804686239373583</v>
      </c>
      <c r="Z29" s="1105">
        <v>2.6734834266108414</v>
      </c>
      <c r="AA29" s="1109"/>
    </row>
    <row r="30" spans="1:27" ht="21.75" customHeight="1" x14ac:dyDescent="0.2">
      <c r="A30" s="1107">
        <v>24</v>
      </c>
      <c r="B30" s="1108" t="s">
        <v>112</v>
      </c>
      <c r="C30" s="1103">
        <v>59831</v>
      </c>
      <c r="D30" s="1103">
        <v>1097449</v>
      </c>
      <c r="E30" s="1103">
        <v>954742</v>
      </c>
      <c r="F30" s="1103">
        <v>20909</v>
      </c>
      <c r="G30" s="1103">
        <v>120744</v>
      </c>
      <c r="H30" s="1104">
        <v>60885</v>
      </c>
      <c r="I30" s="1105">
        <v>90.777613219068613</v>
      </c>
      <c r="J30" s="1105">
        <v>4.9668915790862869</v>
      </c>
      <c r="K30" s="1105">
        <v>3.3591273872941594</v>
      </c>
      <c r="L30" s="1105">
        <v>0.80126358744037651</v>
      </c>
      <c r="M30" s="1105">
        <v>5.9283031436765117E-2</v>
      </c>
      <c r="N30" s="1105">
        <v>3.5821195673805067E-2</v>
      </c>
      <c r="O30" s="1103">
        <v>60885</v>
      </c>
      <c r="P30" s="1103">
        <v>1483598</v>
      </c>
      <c r="Q30" s="1103">
        <v>1284562</v>
      </c>
      <c r="R30" s="1103">
        <v>27123</v>
      </c>
      <c r="S30" s="1103">
        <v>158972</v>
      </c>
      <c r="T30" s="1104">
        <v>73826</v>
      </c>
      <c r="U30" s="1105">
        <v>93.546282701808096</v>
      </c>
      <c r="V30" s="1105">
        <v>3.9730273820959985</v>
      </c>
      <c r="W30" s="1105">
        <v>1.901270627653628</v>
      </c>
      <c r="X30" s="1105">
        <v>0.45128222693805359</v>
      </c>
      <c r="Y30" s="1105">
        <v>7.0763419749299755E-2</v>
      </c>
      <c r="Z30" s="1105">
        <v>5.7373641754932807E-2</v>
      </c>
      <c r="AA30" s="1109"/>
    </row>
    <row r="31" spans="1:27" ht="21.75" customHeight="1" x14ac:dyDescent="0.2">
      <c r="A31" s="1107">
        <v>25</v>
      </c>
      <c r="B31" s="1108" t="s">
        <v>76</v>
      </c>
      <c r="C31" s="1103">
        <v>17386</v>
      </c>
      <c r="D31" s="1103">
        <v>220587</v>
      </c>
      <c r="E31" s="1103">
        <v>189125</v>
      </c>
      <c r="F31" s="1103">
        <v>9879</v>
      </c>
      <c r="G31" s="1103">
        <v>14495</v>
      </c>
      <c r="H31" s="1104">
        <v>24474</v>
      </c>
      <c r="I31" s="1105">
        <v>94.002379378717777</v>
      </c>
      <c r="J31" s="1105">
        <v>4.2976867151354927</v>
      </c>
      <c r="K31" s="1105">
        <v>1.2256444150693986</v>
      </c>
      <c r="L31" s="1105">
        <v>0.34844679444811633</v>
      </c>
      <c r="M31" s="1105">
        <v>8.724388631857237E-2</v>
      </c>
      <c r="N31" s="1105">
        <v>3.8598810310641107E-2</v>
      </c>
      <c r="O31" s="1103">
        <v>24474</v>
      </c>
      <c r="P31" s="1103">
        <v>319705</v>
      </c>
      <c r="Q31" s="1103">
        <v>280967</v>
      </c>
      <c r="R31" s="1103">
        <v>13015</v>
      </c>
      <c r="S31" s="1103">
        <v>15611</v>
      </c>
      <c r="T31" s="1104">
        <v>34586</v>
      </c>
      <c r="U31" s="1105">
        <v>95.771033608929159</v>
      </c>
      <c r="V31" s="1105">
        <v>2.781465439001733</v>
      </c>
      <c r="W31" s="1105">
        <v>0.96986478839151924</v>
      </c>
      <c r="X31" s="1105">
        <v>0.37691259115839226</v>
      </c>
      <c r="Y31" s="1105">
        <v>7.6165528336067934E-2</v>
      </c>
      <c r="Z31" s="1105">
        <v>2.4558044183124707E-2</v>
      </c>
      <c r="AA31" s="1109"/>
    </row>
    <row r="32" spans="1:27" ht="21.75" customHeight="1" x14ac:dyDescent="0.2">
      <c r="A32" s="1101"/>
      <c r="B32" s="1102" t="s">
        <v>114</v>
      </c>
      <c r="C32" s="1103"/>
      <c r="D32" s="1103"/>
      <c r="E32" s="1103"/>
      <c r="F32" s="1103"/>
      <c r="G32" s="1103"/>
      <c r="H32" s="1104"/>
      <c r="I32" s="1105"/>
      <c r="J32" s="1105"/>
      <c r="K32" s="1105"/>
      <c r="L32" s="1105"/>
      <c r="M32" s="1105"/>
      <c r="N32" s="1105"/>
      <c r="O32" s="1103"/>
      <c r="P32" s="1103"/>
      <c r="Q32" s="1103"/>
      <c r="R32" s="1103"/>
      <c r="S32" s="1103"/>
      <c r="T32" s="1104"/>
      <c r="U32" s="1105"/>
      <c r="V32" s="1105"/>
      <c r="W32" s="1105"/>
      <c r="X32" s="1105"/>
      <c r="Y32" s="1105"/>
      <c r="Z32" s="1105"/>
      <c r="AA32" s="1109"/>
    </row>
    <row r="33" spans="1:27" ht="21" customHeight="1" x14ac:dyDescent="0.2">
      <c r="A33" s="1107">
        <v>26</v>
      </c>
      <c r="B33" s="1108" t="s">
        <v>606</v>
      </c>
      <c r="C33" s="1103">
        <v>8784917.1999999993</v>
      </c>
      <c r="D33" s="1103">
        <v>5469058</v>
      </c>
      <c r="E33" s="1103">
        <v>9453983</v>
      </c>
      <c r="F33" s="1103">
        <v>28347</v>
      </c>
      <c r="G33" s="1103">
        <v>1281496</v>
      </c>
      <c r="H33" s="1104">
        <v>3490149</v>
      </c>
      <c r="I33" s="1105">
        <v>69.826981918626203</v>
      </c>
      <c r="J33" s="1105">
        <v>7.5729457097606367</v>
      </c>
      <c r="K33" s="1105">
        <v>20.548714758636653</v>
      </c>
      <c r="L33" s="1105">
        <v>1.0872983376424519</v>
      </c>
      <c r="M33" s="1105">
        <v>0.94110598675711599</v>
      </c>
      <c r="N33" s="1105">
        <v>2.2953288576888706E-2</v>
      </c>
      <c r="O33" s="1103">
        <v>3490149</v>
      </c>
      <c r="P33" s="1103">
        <v>18115224</v>
      </c>
      <c r="Q33" s="1103">
        <v>17303277</v>
      </c>
      <c r="R33" s="1103">
        <v>162</v>
      </c>
      <c r="S33" s="1103">
        <v>6640</v>
      </c>
      <c r="T33" s="1104">
        <v>4295294</v>
      </c>
      <c r="U33" s="1105">
        <v>66.70986079688835</v>
      </c>
      <c r="V33" s="1105">
        <v>6.664188523364678</v>
      </c>
      <c r="W33" s="1105">
        <v>15.577534821872179</v>
      </c>
      <c r="X33" s="1105">
        <v>8.7829548125479349</v>
      </c>
      <c r="Y33" s="1105">
        <v>0</v>
      </c>
      <c r="Z33" s="1105">
        <v>2.2654610453268478</v>
      </c>
      <c r="AA33" s="1109"/>
    </row>
    <row r="34" spans="1:27" ht="18.75" customHeight="1" x14ac:dyDescent="0.2">
      <c r="A34" s="1107">
        <v>27</v>
      </c>
      <c r="B34" s="1108" t="s">
        <v>82</v>
      </c>
      <c r="C34" s="1103">
        <v>812</v>
      </c>
      <c r="D34" s="1103">
        <v>1539</v>
      </c>
      <c r="E34" s="1103">
        <v>734</v>
      </c>
      <c r="F34" s="1103">
        <v>926</v>
      </c>
      <c r="G34" s="1103">
        <v>0</v>
      </c>
      <c r="H34" s="1104">
        <v>691</v>
      </c>
      <c r="I34" s="1114">
        <v>58.310626702997268</v>
      </c>
      <c r="J34" s="1114">
        <v>20.299727520435969</v>
      </c>
      <c r="K34" s="1114">
        <v>8.0381471389645771</v>
      </c>
      <c r="L34" s="1114">
        <v>12.942779291553133</v>
      </c>
      <c r="M34" s="1114">
        <v>0.40871934604904631</v>
      </c>
      <c r="N34" s="1114">
        <v>0</v>
      </c>
      <c r="O34" s="1103">
        <v>691</v>
      </c>
      <c r="P34" s="1103">
        <v>1051</v>
      </c>
      <c r="Q34" s="1103">
        <v>681</v>
      </c>
      <c r="R34" s="1103">
        <v>669</v>
      </c>
      <c r="S34" s="1103">
        <v>2</v>
      </c>
      <c r="T34" s="1104">
        <v>390</v>
      </c>
      <c r="U34" s="1114">
        <v>55.506607929515418</v>
      </c>
      <c r="V34" s="1114">
        <v>21.58590308370044</v>
      </c>
      <c r="W34" s="1114">
        <v>11.747430249632892</v>
      </c>
      <c r="X34" s="1114">
        <v>10.13215859030837</v>
      </c>
      <c r="Y34" s="1114">
        <v>1.0279001468428781</v>
      </c>
      <c r="Z34" s="1114">
        <v>0</v>
      </c>
      <c r="AA34" s="1109"/>
    </row>
    <row r="35" spans="1:27" ht="18" customHeight="1" x14ac:dyDescent="0.2">
      <c r="A35" s="1107"/>
      <c r="B35" s="1117" t="s">
        <v>607</v>
      </c>
      <c r="C35" s="1118">
        <v>12539606.199999999</v>
      </c>
      <c r="D35" s="1118">
        <v>37970136</v>
      </c>
      <c r="E35" s="1118">
        <v>40393730</v>
      </c>
      <c r="F35" s="1118">
        <v>872927</v>
      </c>
      <c r="G35" s="1118">
        <v>2389966</v>
      </c>
      <c r="H35" s="1119">
        <v>6875714</v>
      </c>
      <c r="I35" s="1105">
        <v>85.685261054128944</v>
      </c>
      <c r="J35" s="1105">
        <v>4.6593666888400751</v>
      </c>
      <c r="K35" s="1105">
        <v>6.0670455538520454</v>
      </c>
      <c r="L35" s="1105">
        <v>3.1087993111802255</v>
      </c>
      <c r="M35" s="1105">
        <v>0.35466890529792622</v>
      </c>
      <c r="N35" s="1105">
        <v>0.12485848670078252</v>
      </c>
      <c r="O35" s="1118">
        <v>6875714</v>
      </c>
      <c r="P35" s="1118">
        <v>59493496</v>
      </c>
      <c r="Q35" s="1118">
        <v>55952118</v>
      </c>
      <c r="R35" s="1118">
        <v>942549</v>
      </c>
      <c r="S35" s="1118">
        <v>1311250</v>
      </c>
      <c r="T35" s="1119">
        <v>8163293</v>
      </c>
      <c r="U35" s="1105">
        <v>86.200148848699527</v>
      </c>
      <c r="V35" s="1105">
        <v>4.2663586032614536</v>
      </c>
      <c r="W35" s="1105">
        <v>5.5155981762835138</v>
      </c>
      <c r="X35" s="1105">
        <v>3.111830368959402</v>
      </c>
      <c r="Y35" s="1105">
        <v>0.10531683536984249</v>
      </c>
      <c r="Z35" s="1105">
        <v>0.80074716742626251</v>
      </c>
      <c r="AA35" s="1109"/>
    </row>
    <row r="36" spans="1:27" ht="19.5" customHeight="1" x14ac:dyDescent="0.2">
      <c r="A36" s="1101"/>
      <c r="B36" s="1102" t="s">
        <v>117</v>
      </c>
      <c r="C36" s="1118"/>
      <c r="D36" s="1118"/>
      <c r="E36" s="1118"/>
      <c r="F36" s="1118"/>
      <c r="G36" s="1118"/>
      <c r="H36" s="1119"/>
      <c r="I36" s="1120"/>
      <c r="J36" s="1120"/>
      <c r="K36" s="1120"/>
      <c r="L36" s="1120"/>
      <c r="M36" s="1120"/>
      <c r="N36" s="1120"/>
      <c r="O36" s="1118"/>
      <c r="P36" s="1118"/>
      <c r="Q36" s="1118"/>
      <c r="R36" s="1118"/>
      <c r="S36" s="1118"/>
      <c r="T36" s="1119"/>
      <c r="U36" s="1120"/>
      <c r="V36" s="1120"/>
      <c r="W36" s="1120"/>
      <c r="X36" s="1120"/>
      <c r="Y36" s="1120"/>
      <c r="Z36" s="1120"/>
      <c r="AA36" s="1109"/>
    </row>
    <row r="37" spans="1:27" ht="22.5" customHeight="1" x14ac:dyDescent="0.2">
      <c r="A37" s="1107">
        <v>28</v>
      </c>
      <c r="B37" s="1108" t="s">
        <v>118</v>
      </c>
      <c r="C37" s="1115">
        <v>4983</v>
      </c>
      <c r="D37" s="1115">
        <v>110137</v>
      </c>
      <c r="E37" s="1115">
        <v>96856</v>
      </c>
      <c r="F37" s="1115">
        <v>11603</v>
      </c>
      <c r="G37" s="1115" t="s">
        <v>107</v>
      </c>
      <c r="H37" s="1104">
        <v>6661</v>
      </c>
      <c r="I37" s="1114">
        <v>99.727000000000004</v>
      </c>
      <c r="J37" s="1114">
        <v>0.21199999999999999</v>
      </c>
      <c r="K37" s="1114">
        <v>5.8000000000000003E-2</v>
      </c>
      <c r="L37" s="1114">
        <v>3.0000000000000001E-3</v>
      </c>
      <c r="M37" s="1114">
        <v>0</v>
      </c>
      <c r="N37" s="1114">
        <v>0</v>
      </c>
      <c r="O37" s="1115">
        <v>6661</v>
      </c>
      <c r="P37" s="1115">
        <v>413167</v>
      </c>
      <c r="Q37" s="1115">
        <v>387276</v>
      </c>
      <c r="R37" s="1115">
        <v>25970</v>
      </c>
      <c r="S37" s="1115" t="s">
        <v>107</v>
      </c>
      <c r="T37" s="1104">
        <v>6582</v>
      </c>
      <c r="U37" s="1114">
        <v>99.411789008355797</v>
      </c>
      <c r="V37" s="1114">
        <v>0.25795556657267688</v>
      </c>
      <c r="W37" s="1114">
        <v>4.5445625342133256E-2</v>
      </c>
      <c r="X37" s="1114">
        <v>0.28480979972939197</v>
      </c>
      <c r="Y37" s="1114">
        <v>0</v>
      </c>
      <c r="Z37" s="1114">
        <v>0</v>
      </c>
      <c r="AA37" s="1109"/>
    </row>
    <row r="38" spans="1:27" ht="21.75" customHeight="1" x14ac:dyDescent="0.2">
      <c r="A38" s="1107">
        <v>29</v>
      </c>
      <c r="B38" s="1108" t="s">
        <v>412</v>
      </c>
      <c r="C38" s="1115">
        <v>112207</v>
      </c>
      <c r="D38" s="1115">
        <v>326979</v>
      </c>
      <c r="E38" s="1115">
        <v>306834</v>
      </c>
      <c r="F38" s="1115">
        <v>30451</v>
      </c>
      <c r="G38" s="1115" t="s">
        <v>107</v>
      </c>
      <c r="H38" s="1104">
        <v>101901</v>
      </c>
      <c r="I38" s="1114">
        <v>99.998000000000005</v>
      </c>
      <c r="J38" s="1114">
        <v>2E-3</v>
      </c>
      <c r="K38" s="1114">
        <v>0</v>
      </c>
      <c r="L38" s="1114">
        <v>0</v>
      </c>
      <c r="M38" s="1114">
        <v>0</v>
      </c>
      <c r="N38" s="1114">
        <v>0</v>
      </c>
      <c r="O38" s="1115">
        <v>101901</v>
      </c>
      <c r="P38" s="1115">
        <v>591736</v>
      </c>
      <c r="Q38" s="1115">
        <v>515853</v>
      </c>
      <c r="R38" s="1115">
        <v>76903</v>
      </c>
      <c r="S38" s="1115" t="s">
        <v>107</v>
      </c>
      <c r="T38" s="1104">
        <v>100881</v>
      </c>
      <c r="U38" s="1114">
        <v>99.998999999999995</v>
      </c>
      <c r="V38" s="1114">
        <v>1E-3</v>
      </c>
      <c r="W38" s="1114">
        <v>7.7541470147503256E-4</v>
      </c>
      <c r="X38" s="1114">
        <v>0</v>
      </c>
      <c r="Y38" s="1114">
        <v>0</v>
      </c>
      <c r="Z38" s="1114">
        <v>0</v>
      </c>
      <c r="AA38" s="1109"/>
    </row>
    <row r="39" spans="1:27" ht="21.75" customHeight="1" x14ac:dyDescent="0.2">
      <c r="A39" s="1107">
        <v>30</v>
      </c>
      <c r="B39" s="1108" t="s">
        <v>88</v>
      </c>
      <c r="C39" s="1115">
        <v>2299</v>
      </c>
      <c r="D39" s="1115">
        <v>246105</v>
      </c>
      <c r="E39" s="1115">
        <v>220064</v>
      </c>
      <c r="F39" s="1115">
        <v>23742</v>
      </c>
      <c r="G39" s="1115" t="s">
        <v>107</v>
      </c>
      <c r="H39" s="1104">
        <v>4598</v>
      </c>
      <c r="I39" s="1114">
        <v>99.965000000000003</v>
      </c>
      <c r="J39" s="1114">
        <v>2.7E-2</v>
      </c>
      <c r="K39" s="1114">
        <v>3.0000000000000001E-3</v>
      </c>
      <c r="L39" s="1114">
        <v>0</v>
      </c>
      <c r="M39" s="1114">
        <v>0</v>
      </c>
      <c r="N39" s="1114">
        <v>0</v>
      </c>
      <c r="O39" s="1115">
        <v>4598</v>
      </c>
      <c r="P39" s="1115">
        <v>345804</v>
      </c>
      <c r="Q39" s="1115">
        <v>310743</v>
      </c>
      <c r="R39" s="1115">
        <v>35045</v>
      </c>
      <c r="S39" s="1115" t="s">
        <v>107</v>
      </c>
      <c r="T39" s="1104">
        <v>4614</v>
      </c>
      <c r="U39" s="1114">
        <v>99.89766462961353</v>
      </c>
      <c r="V39" s="1114">
        <v>6.1787393440882021E-2</v>
      </c>
      <c r="W39" s="1114">
        <v>2.2204844517816975E-2</v>
      </c>
      <c r="X39" s="1114">
        <v>1.8343132427761848E-2</v>
      </c>
      <c r="Y39" s="1114">
        <v>0</v>
      </c>
      <c r="Z39" s="1114">
        <v>0</v>
      </c>
      <c r="AA39" s="1109"/>
    </row>
    <row r="40" spans="1:27" ht="21.75" customHeight="1" x14ac:dyDescent="0.2">
      <c r="A40" s="1107">
        <v>31</v>
      </c>
      <c r="B40" s="1108" t="s">
        <v>502</v>
      </c>
      <c r="C40" s="1115">
        <v>1082</v>
      </c>
      <c r="D40" s="1115">
        <v>140306</v>
      </c>
      <c r="E40" s="1115">
        <v>124978</v>
      </c>
      <c r="F40" s="1115">
        <v>12839</v>
      </c>
      <c r="G40" s="1115" t="s">
        <v>107</v>
      </c>
      <c r="H40" s="1104">
        <v>3571</v>
      </c>
      <c r="I40" s="1114">
        <v>99.933999999999997</v>
      </c>
      <c r="J40" s="1114">
        <v>6.4000000000000001E-2</v>
      </c>
      <c r="K40" s="1114">
        <v>2E-3</v>
      </c>
      <c r="L40" s="1114">
        <v>0</v>
      </c>
      <c r="M40" s="1114">
        <v>0</v>
      </c>
      <c r="N40" s="1114">
        <v>0</v>
      </c>
      <c r="O40" s="1115">
        <v>3571</v>
      </c>
      <c r="P40" s="1115">
        <v>299990</v>
      </c>
      <c r="Q40" s="1115">
        <v>270378</v>
      </c>
      <c r="R40" s="1115">
        <v>27196</v>
      </c>
      <c r="S40" s="1115" t="s">
        <v>107</v>
      </c>
      <c r="T40" s="1104">
        <v>5987</v>
      </c>
      <c r="U40" s="1114">
        <v>99.988904422697118</v>
      </c>
      <c r="V40" s="1114">
        <v>1.0725724726124167E-2</v>
      </c>
      <c r="W40" s="1114">
        <v>3.698525767629023E-4</v>
      </c>
      <c r="X40" s="1114">
        <v>0</v>
      </c>
      <c r="Y40" s="1114">
        <v>0</v>
      </c>
      <c r="Z40" s="1114">
        <v>0</v>
      </c>
      <c r="AA40" s="1109"/>
    </row>
    <row r="41" spans="1:27" ht="21.75" customHeight="1" x14ac:dyDescent="0.2">
      <c r="A41" s="1107">
        <v>32</v>
      </c>
      <c r="B41" s="1108" t="s">
        <v>442</v>
      </c>
      <c r="C41" s="1115">
        <v>65</v>
      </c>
      <c r="D41" s="1115">
        <v>152</v>
      </c>
      <c r="E41" s="1115">
        <v>89</v>
      </c>
      <c r="F41" s="1115">
        <v>90</v>
      </c>
      <c r="G41" s="1115" t="s">
        <v>107</v>
      </c>
      <c r="H41" s="1104">
        <v>38</v>
      </c>
      <c r="I41" s="1114"/>
      <c r="J41" s="1114"/>
      <c r="K41" s="1114"/>
      <c r="L41" s="1114"/>
      <c r="M41" s="1114"/>
      <c r="N41" s="1114"/>
      <c r="O41" s="1115">
        <v>38</v>
      </c>
      <c r="P41" s="1115">
        <v>68</v>
      </c>
      <c r="Q41" s="1115">
        <v>55</v>
      </c>
      <c r="R41" s="1115">
        <v>22</v>
      </c>
      <c r="S41" s="1115" t="s">
        <v>107</v>
      </c>
      <c r="T41" s="1104">
        <v>29</v>
      </c>
      <c r="U41" s="1114">
        <v>76.363636363636374</v>
      </c>
      <c r="V41" s="1114">
        <v>7.2727272727272725</v>
      </c>
      <c r="W41" s="1114">
        <v>7.2727272727272725</v>
      </c>
      <c r="X41" s="1114">
        <v>5.4545454545454541</v>
      </c>
      <c r="Y41" s="1114">
        <v>3.6363636363636362</v>
      </c>
      <c r="Z41" s="1114">
        <v>0</v>
      </c>
      <c r="AA41" s="1109"/>
    </row>
    <row r="42" spans="1:27" ht="21.75" customHeight="1" x14ac:dyDescent="0.2">
      <c r="A42" s="1107">
        <v>33</v>
      </c>
      <c r="B42" s="1108" t="s">
        <v>608</v>
      </c>
      <c r="C42" s="1115">
        <v>63100</v>
      </c>
      <c r="D42" s="1115">
        <v>1042247</v>
      </c>
      <c r="E42" s="1115">
        <v>847049</v>
      </c>
      <c r="F42" s="1115">
        <v>165736</v>
      </c>
      <c r="G42" s="1115" t="s">
        <v>107</v>
      </c>
      <c r="H42" s="1104">
        <v>92562</v>
      </c>
      <c r="I42" s="1114">
        <v>99.641999999999996</v>
      </c>
      <c r="J42" s="1114">
        <v>0.3</v>
      </c>
      <c r="K42" s="1114">
        <v>5.2999999999999999E-2</v>
      </c>
      <c r="L42" s="1114">
        <v>5.0000000000000001E-3</v>
      </c>
      <c r="M42" s="1114">
        <v>0</v>
      </c>
      <c r="N42" s="1114">
        <v>0</v>
      </c>
      <c r="O42" s="1115">
        <v>92562</v>
      </c>
      <c r="P42" s="1115">
        <v>1799454</v>
      </c>
      <c r="Q42" s="1115">
        <v>1470416</v>
      </c>
      <c r="R42" s="1115">
        <v>311951</v>
      </c>
      <c r="S42" s="1115" t="s">
        <v>107</v>
      </c>
      <c r="T42" s="1104">
        <v>109649</v>
      </c>
      <c r="U42" s="1114">
        <v>99.055709404685473</v>
      </c>
      <c r="V42" s="1114">
        <v>0.69701363423684182</v>
      </c>
      <c r="W42" s="1114">
        <v>0.19593094743256328</v>
      </c>
      <c r="X42" s="1114">
        <v>4.5769360507502639E-2</v>
      </c>
      <c r="Y42" s="1114">
        <v>5.5766531376154772E-3</v>
      </c>
      <c r="Z42" s="1114">
        <v>0</v>
      </c>
      <c r="AA42" s="1109"/>
    </row>
    <row r="43" spans="1:27" s="1127" customFormat="1" ht="21.75" customHeight="1" x14ac:dyDescent="0.2">
      <c r="A43" s="1121"/>
      <c r="B43" s="1122" t="s">
        <v>119</v>
      </c>
      <c r="C43" s="1123">
        <v>183736</v>
      </c>
      <c r="D43" s="1123">
        <v>1865926</v>
      </c>
      <c r="E43" s="1123">
        <v>1595870</v>
      </c>
      <c r="F43" s="1123">
        <v>244461</v>
      </c>
      <c r="G43" s="1123" t="s">
        <v>107</v>
      </c>
      <c r="H43" s="1124">
        <v>209331</v>
      </c>
      <c r="I43" s="1125">
        <v>99.781999999999996</v>
      </c>
      <c r="J43" s="1125">
        <v>0.182</v>
      </c>
      <c r="K43" s="1125">
        <v>3.3000000000000002E-2</v>
      </c>
      <c r="L43" s="1125">
        <v>3.0000000000000001E-3</v>
      </c>
      <c r="M43" s="1125">
        <v>0</v>
      </c>
      <c r="N43" s="1125">
        <v>0</v>
      </c>
      <c r="O43" s="1123">
        <v>209331</v>
      </c>
      <c r="P43" s="1123">
        <v>3450219</v>
      </c>
      <c r="Q43" s="1123">
        <v>2954721</v>
      </c>
      <c r="R43" s="1123">
        <v>477087</v>
      </c>
      <c r="S43" s="1123" t="s">
        <v>107</v>
      </c>
      <c r="T43" s="1123">
        <v>227742</v>
      </c>
      <c r="U43" s="1125">
        <v>99.440624004770669</v>
      </c>
      <c r="V43" s="1125">
        <v>0.38842922902026955</v>
      </c>
      <c r="W43" s="1125">
        <v>0.1059660116809675</v>
      </c>
      <c r="X43" s="1125">
        <v>6.2137846517488451E-2</v>
      </c>
      <c r="Y43" s="1125">
        <v>2.842908010604047E-3</v>
      </c>
      <c r="Z43" s="1125">
        <v>0</v>
      </c>
      <c r="AA43" s="1126"/>
    </row>
    <row r="44" spans="1:27" x14ac:dyDescent="0.2">
      <c r="A44" s="320" t="s">
        <v>609</v>
      </c>
      <c r="C44" s="543"/>
      <c r="D44" s="543"/>
      <c r="O44" s="543"/>
      <c r="P44" s="543"/>
      <c r="AA44" s="1109"/>
    </row>
    <row r="45" spans="1:27" x14ac:dyDescent="0.2">
      <c r="A45" s="320" t="s">
        <v>610</v>
      </c>
      <c r="C45" s="543"/>
      <c r="D45" s="543"/>
      <c r="O45" s="543"/>
      <c r="P45" s="543"/>
      <c r="AA45" s="1109"/>
    </row>
    <row r="46" spans="1:27" x14ac:dyDescent="0.2">
      <c r="A46" s="320" t="s">
        <v>504</v>
      </c>
      <c r="B46" s="1128"/>
      <c r="C46" s="1104"/>
      <c r="D46" s="1104"/>
      <c r="E46" s="1104"/>
      <c r="F46" s="1104"/>
      <c r="G46" s="1104"/>
      <c r="H46" s="1104"/>
      <c r="I46" s="1129"/>
      <c r="J46" s="1130"/>
      <c r="K46" s="1130"/>
      <c r="L46" s="1131"/>
      <c r="M46" s="1132"/>
      <c r="N46" s="1130"/>
      <c r="O46" s="1104"/>
      <c r="P46" s="1104"/>
      <c r="Q46" s="1104"/>
      <c r="R46" s="1104"/>
      <c r="S46" s="1104"/>
      <c r="T46" s="1104"/>
      <c r="U46" s="1129"/>
      <c r="V46" s="1130"/>
      <c r="W46" s="1130"/>
      <c r="X46" s="1131"/>
      <c r="Y46" s="1132"/>
      <c r="Z46" s="1130"/>
      <c r="AA46" s="1109"/>
    </row>
    <row r="47" spans="1:27" x14ac:dyDescent="0.2">
      <c r="A47" s="543"/>
      <c r="B47" s="1133"/>
      <c r="C47" s="1104"/>
      <c r="D47" s="1104"/>
      <c r="E47" s="1104"/>
      <c r="F47" s="1104"/>
      <c r="G47" s="1104"/>
      <c r="H47" s="1104"/>
      <c r="I47" s="1129"/>
      <c r="J47" s="1130"/>
      <c r="K47" s="1130"/>
      <c r="L47" s="1134"/>
      <c r="M47" s="1132"/>
      <c r="N47" s="1130"/>
      <c r="O47" s="1104"/>
      <c r="P47" s="1104"/>
      <c r="Q47" s="1104"/>
      <c r="R47" s="1104"/>
      <c r="S47" s="1104"/>
      <c r="T47" s="1104"/>
      <c r="U47" s="1129"/>
      <c r="V47" s="1130"/>
      <c r="W47" s="1130"/>
      <c r="X47" s="1134"/>
      <c r="Y47" s="1132"/>
      <c r="Z47" s="1130"/>
      <c r="AA47" s="1135"/>
    </row>
    <row r="48" spans="1:27" x14ac:dyDescent="0.2">
      <c r="A48" s="543"/>
      <c r="C48" s="543"/>
      <c r="D48" s="543"/>
      <c r="E48" s="543"/>
      <c r="F48" s="543"/>
      <c r="G48" s="543"/>
      <c r="H48" s="543"/>
      <c r="O48" s="543"/>
      <c r="P48" s="543"/>
      <c r="Q48" s="543"/>
      <c r="R48" s="543"/>
      <c r="S48" s="543"/>
      <c r="T48" s="543"/>
      <c r="AA48" s="1135"/>
    </row>
    <row r="49" spans="1:27" x14ac:dyDescent="0.2">
      <c r="A49" s="543"/>
      <c r="B49" s="1136"/>
      <c r="C49" s="543"/>
      <c r="D49" s="543"/>
      <c r="E49" s="543"/>
      <c r="F49" s="543"/>
      <c r="G49" s="543"/>
      <c r="H49" s="543"/>
      <c r="O49" s="543"/>
      <c r="P49" s="543"/>
      <c r="Q49" s="543"/>
      <c r="R49" s="543"/>
      <c r="S49" s="543"/>
      <c r="T49" s="543"/>
      <c r="AA49" s="1135"/>
    </row>
    <row r="50" spans="1:27" x14ac:dyDescent="0.2">
      <c r="A50" s="543"/>
      <c r="B50" s="543"/>
      <c r="C50" s="543"/>
      <c r="D50" s="543"/>
      <c r="O50" s="543"/>
      <c r="P50" s="543"/>
    </row>
  </sheetData>
  <mergeCells count="8">
    <mergeCell ref="A2:A4"/>
    <mergeCell ref="B2:B4"/>
    <mergeCell ref="C2:N2"/>
    <mergeCell ref="O2:Z2"/>
    <mergeCell ref="C3:H3"/>
    <mergeCell ref="I3:N3"/>
    <mergeCell ref="O3:T3"/>
    <mergeCell ref="U3:Z3"/>
  </mergeCells>
  <pageMargins left="0.7" right="0.2" top="1" bottom="0.25" header="0" footer="0"/>
  <pageSetup paperSize="9" scale="93" fitToHeight="2" orientation="landscape" r:id="rId1"/>
  <headerFooter>
    <oddFooter>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U44"/>
  <sheetViews>
    <sheetView zoomScaleNormal="100" zoomScaleSheetLayoutView="70" workbookViewId="0">
      <pane xSplit="2" ySplit="4" topLeftCell="C5" activePane="bottomRight" state="frozen"/>
      <selection activeCell="A32" sqref="A32"/>
      <selection pane="topRight" activeCell="A32" sqref="A32"/>
      <selection pane="bottomLeft" activeCell="A32" sqref="A32"/>
      <selection pane="bottomRight"/>
    </sheetView>
  </sheetViews>
  <sheetFormatPr defaultColWidth="10.7109375" defaultRowHeight="20.100000000000001" customHeight="1" x14ac:dyDescent="0.25"/>
  <cols>
    <col min="1" max="1" width="5.85546875" style="705" bestFit="1" customWidth="1"/>
    <col min="2" max="2" width="22.5703125" style="701" customWidth="1"/>
    <col min="3" max="10" width="6.28515625" style="705" customWidth="1"/>
    <col min="11" max="11" width="6.28515625" style="704" customWidth="1"/>
    <col min="12" max="19" width="6.28515625" style="705" customWidth="1"/>
    <col min="20" max="20" width="6.28515625" style="704" customWidth="1"/>
    <col min="21" max="28" width="6.28515625" style="705" customWidth="1"/>
    <col min="29" max="29" width="6.28515625" style="704" customWidth="1"/>
    <col min="30" max="37" width="6.28515625" style="705" customWidth="1"/>
    <col min="38" max="38" width="6.28515625" style="704" customWidth="1"/>
    <col min="39" max="42" width="5.5703125" style="701" bestFit="1" customWidth="1"/>
    <col min="43" max="43" width="5.5703125" style="805" customWidth="1"/>
    <col min="44" max="51" width="6.28515625" style="705" customWidth="1"/>
    <col min="52" max="52" width="6.28515625" style="704" customWidth="1"/>
    <col min="53" max="60" width="6.28515625" style="705" customWidth="1"/>
    <col min="61" max="61" width="6.28515625" style="704" customWidth="1"/>
    <col min="62" max="69" width="6.28515625" style="705" customWidth="1"/>
    <col min="70" max="70" width="6.28515625" style="704" customWidth="1"/>
    <col min="71" max="71" width="8.85546875" style="705" customWidth="1"/>
    <col min="72" max="74" width="7" style="705" customWidth="1"/>
    <col min="75" max="75" width="7" style="704" customWidth="1"/>
    <col min="76" max="83" width="6.28515625" style="705" customWidth="1"/>
    <col min="84" max="84" width="6.28515625" style="704" customWidth="1"/>
    <col min="85" max="88" width="8.5703125" style="705" customWidth="1"/>
    <col min="89" max="89" width="8.5703125" style="704" customWidth="1"/>
    <col min="90" max="97" width="6.28515625" style="705" customWidth="1"/>
    <col min="98" max="98" width="6.28515625" style="704" customWidth="1"/>
    <col min="99" max="106" width="6.28515625" style="705" customWidth="1"/>
    <col min="107" max="107" width="6.28515625" style="704" customWidth="1"/>
    <col min="108" max="115" width="6.28515625" style="705" customWidth="1"/>
    <col min="116" max="116" width="6.28515625" style="704" customWidth="1"/>
    <col min="117" max="122" width="7.42578125" style="705" customWidth="1"/>
    <col min="123" max="123" width="7.42578125" style="704" customWidth="1"/>
    <col min="124" max="131" width="6.28515625" style="701" customWidth="1"/>
    <col min="132" max="132" width="6.28515625" style="805" customWidth="1"/>
    <col min="133" max="140" width="6.28515625" style="701" customWidth="1"/>
    <col min="141" max="141" width="6.28515625" style="805" customWidth="1"/>
    <col min="142" max="146" width="7.5703125" style="705" customWidth="1"/>
    <col min="147" max="154" width="6.28515625" style="705" customWidth="1"/>
    <col min="155" max="155" width="6.28515625" style="704" customWidth="1"/>
    <col min="156" max="163" width="6.28515625" style="705" customWidth="1"/>
    <col min="164" max="164" width="6.28515625" style="704" customWidth="1"/>
    <col min="165" max="172" width="6.28515625" style="705" customWidth="1"/>
    <col min="173" max="173" width="6.28515625" style="704" customWidth="1"/>
    <col min="174" max="181" width="6.28515625" style="705" customWidth="1"/>
    <col min="182" max="182" width="6.28515625" style="704" customWidth="1"/>
    <col min="183" max="190" width="6.28515625" style="705" customWidth="1"/>
    <col min="191" max="191" width="6.28515625" style="704" customWidth="1"/>
    <col min="192" max="199" width="6.28515625" style="705" customWidth="1"/>
    <col min="200" max="200" width="6.28515625" style="704" customWidth="1"/>
    <col min="201" max="208" width="6.28515625" style="701" customWidth="1"/>
    <col min="209" max="209" width="6.28515625" style="805" customWidth="1"/>
    <col min="210" max="217" width="6.28515625" style="705" customWidth="1"/>
    <col min="218" max="218" width="6.28515625" style="704" customWidth="1"/>
    <col min="219" max="226" width="6.28515625" style="705" customWidth="1"/>
    <col min="227" max="227" width="6.28515625" style="704" customWidth="1"/>
    <col min="228" max="235" width="6.28515625" style="705" customWidth="1"/>
    <col min="236" max="236" width="6.28515625" style="704" customWidth="1"/>
    <col min="237" max="241" width="7.7109375" style="705" customWidth="1"/>
    <col min="242" max="242" width="7.7109375" style="704" customWidth="1"/>
    <col min="243" max="250" width="6.28515625" style="705" customWidth="1"/>
    <col min="251" max="251" width="6.28515625" style="704" customWidth="1"/>
    <col min="252" max="266" width="6.28515625" style="705" customWidth="1"/>
    <col min="267" max="267" width="6.28515625" style="704" customWidth="1"/>
    <col min="268" max="275" width="6.28515625" style="705" customWidth="1"/>
    <col min="276" max="276" width="6.28515625" style="704" customWidth="1"/>
    <col min="277" max="277" width="9.85546875" style="705" customWidth="1"/>
    <col min="278" max="285" width="6.28515625" style="705" customWidth="1"/>
    <col min="286" max="286" width="6.28515625" style="704" customWidth="1"/>
    <col min="287" max="294" width="6.28515625" style="705" customWidth="1"/>
    <col min="295" max="295" width="6.28515625" style="704" customWidth="1"/>
    <col min="296" max="296" width="5.5703125" style="705" bestFit="1" customWidth="1"/>
    <col min="297" max="298" width="6.5703125" style="705" bestFit="1" customWidth="1"/>
    <col min="299" max="299" width="7.28515625" style="705" bestFit="1" customWidth="1"/>
    <col min="300" max="300" width="6.5703125" style="705" bestFit="1" customWidth="1"/>
    <col min="301" max="303" width="7.28515625" style="705" customWidth="1"/>
    <col min="304" max="304" width="8.42578125" style="704" customWidth="1"/>
    <col min="305" max="16384" width="10.7109375" style="705"/>
  </cols>
  <sheetData>
    <row r="1" spans="1:305" ht="21" customHeight="1" x14ac:dyDescent="0.25">
      <c r="A1" s="700" t="s">
        <v>615</v>
      </c>
      <c r="C1" s="702"/>
      <c r="D1" s="702"/>
      <c r="E1" s="702"/>
      <c r="F1" s="702"/>
      <c r="G1" s="702"/>
      <c r="H1" s="702"/>
      <c r="I1" s="702"/>
      <c r="J1" s="702"/>
      <c r="K1" s="703"/>
      <c r="L1" s="702"/>
      <c r="M1" s="702"/>
      <c r="N1" s="702"/>
      <c r="O1" s="702"/>
      <c r="P1" s="702"/>
      <c r="Q1" s="702"/>
      <c r="R1" s="702"/>
      <c r="S1" s="702"/>
      <c r="T1" s="703"/>
      <c r="U1" s="702"/>
      <c r="V1" s="702"/>
      <c r="W1" s="702"/>
      <c r="X1" s="702"/>
      <c r="Y1" s="702"/>
      <c r="Z1" s="702"/>
      <c r="AA1" s="702"/>
      <c r="AB1" s="702"/>
      <c r="AC1" s="703"/>
      <c r="AD1" s="702"/>
      <c r="AE1" s="702"/>
      <c r="AF1" s="702"/>
      <c r="AG1" s="702"/>
      <c r="AH1" s="702"/>
      <c r="AI1" s="702"/>
      <c r="AJ1" s="702"/>
      <c r="AK1" s="702"/>
      <c r="AL1" s="703"/>
      <c r="AM1" s="702"/>
      <c r="AN1" s="702"/>
      <c r="AO1" s="702"/>
      <c r="AP1" s="702"/>
      <c r="AQ1" s="703"/>
      <c r="AR1" s="702"/>
      <c r="AS1" s="702"/>
      <c r="AT1" s="702"/>
      <c r="AU1" s="702"/>
      <c r="AV1" s="702"/>
      <c r="AW1" s="702"/>
      <c r="AX1" s="702"/>
      <c r="AY1" s="702"/>
      <c r="AZ1" s="703"/>
      <c r="BA1" s="702"/>
      <c r="BB1" s="702"/>
      <c r="BC1" s="702"/>
      <c r="BD1" s="702"/>
      <c r="BE1" s="702"/>
      <c r="BF1" s="702"/>
      <c r="BG1" s="702"/>
      <c r="BH1" s="702"/>
      <c r="BI1" s="703"/>
      <c r="BJ1" s="702"/>
      <c r="BK1" s="702"/>
      <c r="BL1" s="702"/>
      <c r="BM1" s="702"/>
      <c r="BN1" s="702"/>
      <c r="BO1" s="702"/>
      <c r="BP1" s="702"/>
      <c r="BQ1" s="702"/>
      <c r="BR1" s="703"/>
      <c r="BS1" s="702"/>
      <c r="BT1" s="702"/>
      <c r="BU1" s="702"/>
      <c r="BV1" s="702"/>
      <c r="BW1" s="703"/>
      <c r="BX1" s="702"/>
      <c r="BY1" s="702"/>
      <c r="BZ1" s="702"/>
      <c r="CA1" s="702"/>
      <c r="CB1" s="702"/>
      <c r="CC1" s="702"/>
      <c r="CD1" s="702"/>
      <c r="CE1" s="702"/>
      <c r="CF1" s="703"/>
      <c r="CG1" s="702"/>
      <c r="CH1" s="702"/>
      <c r="CI1" s="702"/>
      <c r="CJ1" s="702"/>
      <c r="CK1" s="703"/>
      <c r="CL1" s="702"/>
      <c r="CM1" s="702"/>
      <c r="CN1" s="702"/>
      <c r="CO1" s="702"/>
      <c r="CP1" s="702"/>
      <c r="CQ1" s="702"/>
      <c r="CR1" s="702"/>
      <c r="CS1" s="702"/>
      <c r="CT1" s="703"/>
      <c r="CU1" s="702"/>
      <c r="CV1" s="702"/>
      <c r="CW1" s="702"/>
      <c r="CX1" s="702"/>
      <c r="CY1" s="702"/>
      <c r="CZ1" s="702"/>
      <c r="DA1" s="702"/>
      <c r="DB1" s="702"/>
      <c r="DC1" s="703"/>
      <c r="DD1" s="702"/>
      <c r="DE1" s="702"/>
      <c r="DF1" s="702"/>
      <c r="DG1" s="702"/>
      <c r="DH1" s="702"/>
      <c r="DI1" s="702"/>
      <c r="DJ1" s="702"/>
      <c r="DK1" s="702"/>
      <c r="DL1" s="703"/>
      <c r="DM1" s="702"/>
      <c r="DN1" s="702"/>
      <c r="DO1" s="702"/>
      <c r="DP1" s="702"/>
      <c r="DQ1" s="702"/>
      <c r="DR1" s="702"/>
      <c r="DS1" s="703"/>
      <c r="DT1" s="702"/>
      <c r="DU1" s="702"/>
      <c r="DV1" s="702"/>
      <c r="DW1" s="702"/>
      <c r="DX1" s="702"/>
      <c r="DY1" s="702"/>
      <c r="DZ1" s="702"/>
      <c r="EA1" s="702"/>
      <c r="EB1" s="703"/>
      <c r="EC1" s="702"/>
      <c r="ED1" s="702"/>
      <c r="EE1" s="702"/>
      <c r="EF1" s="702"/>
      <c r="EG1" s="702"/>
      <c r="EH1" s="702"/>
      <c r="EI1" s="702"/>
      <c r="EJ1" s="702"/>
      <c r="EK1" s="703"/>
      <c r="EL1" s="702"/>
      <c r="EM1" s="702"/>
      <c r="EN1" s="702"/>
      <c r="EO1" s="702"/>
      <c r="EP1" s="702"/>
      <c r="EQ1" s="702"/>
      <c r="ER1" s="702"/>
      <c r="ES1" s="702"/>
      <c r="ET1" s="702"/>
      <c r="EU1" s="702"/>
      <c r="EV1" s="702"/>
      <c r="EW1" s="702"/>
      <c r="EX1" s="702"/>
      <c r="EY1" s="703"/>
      <c r="EZ1" s="702"/>
      <c r="FA1" s="702"/>
      <c r="FB1" s="702"/>
      <c r="FC1" s="702"/>
      <c r="FD1" s="702"/>
      <c r="FE1" s="702"/>
      <c r="FF1" s="702"/>
      <c r="FG1" s="702"/>
      <c r="FH1" s="703"/>
      <c r="FI1" s="702"/>
      <c r="FJ1" s="702"/>
      <c r="FK1" s="702"/>
      <c r="FL1" s="702"/>
      <c r="FM1" s="702"/>
      <c r="FN1" s="702"/>
      <c r="FO1" s="702"/>
      <c r="FP1" s="702"/>
      <c r="FQ1" s="703"/>
      <c r="FR1" s="702"/>
      <c r="FS1" s="702"/>
      <c r="FT1" s="702"/>
      <c r="FU1" s="702"/>
      <c r="FV1" s="702"/>
      <c r="FW1" s="702"/>
      <c r="FX1" s="702"/>
      <c r="FY1" s="702"/>
      <c r="FZ1" s="703"/>
      <c r="GA1" s="702"/>
      <c r="GB1" s="702"/>
      <c r="GC1" s="702"/>
      <c r="GD1" s="702"/>
      <c r="GE1" s="702"/>
      <c r="GF1" s="702"/>
      <c r="GG1" s="702"/>
      <c r="GH1" s="702"/>
      <c r="GI1" s="703"/>
      <c r="GJ1" s="702"/>
      <c r="GK1" s="702"/>
      <c r="GL1" s="702"/>
      <c r="GM1" s="702"/>
      <c r="GN1" s="702"/>
      <c r="GO1" s="702"/>
      <c r="GP1" s="702"/>
      <c r="GQ1" s="702"/>
      <c r="GR1" s="703"/>
      <c r="GS1" s="702"/>
      <c r="GT1" s="702"/>
      <c r="GU1" s="702"/>
      <c r="GV1" s="702"/>
      <c r="GW1" s="702"/>
      <c r="GX1" s="702"/>
      <c r="GY1" s="702"/>
      <c r="GZ1" s="702"/>
      <c r="HA1" s="703"/>
      <c r="HB1" s="702"/>
      <c r="HC1" s="702"/>
      <c r="HD1" s="702"/>
      <c r="HE1" s="702"/>
      <c r="HF1" s="702"/>
      <c r="HG1" s="702"/>
      <c r="HH1" s="702"/>
      <c r="HI1" s="702"/>
      <c r="HJ1" s="703"/>
      <c r="HK1" s="702"/>
      <c r="HL1" s="702"/>
      <c r="HM1" s="702"/>
      <c r="HN1" s="702"/>
      <c r="HO1" s="702"/>
      <c r="HP1" s="702"/>
      <c r="HQ1" s="702"/>
      <c r="HR1" s="702"/>
      <c r="HS1" s="703"/>
      <c r="HT1" s="702"/>
      <c r="HU1" s="702"/>
      <c r="HV1" s="702"/>
      <c r="HW1" s="702"/>
      <c r="HX1" s="702"/>
      <c r="HY1" s="702"/>
      <c r="HZ1" s="702"/>
      <c r="IA1" s="702"/>
      <c r="IB1" s="703"/>
      <c r="IC1" s="702"/>
      <c r="ID1" s="702"/>
      <c r="IE1" s="702"/>
      <c r="IF1" s="702"/>
      <c r="IG1" s="702"/>
      <c r="IH1" s="703"/>
      <c r="II1" s="702"/>
      <c r="IJ1" s="702"/>
      <c r="IK1" s="702"/>
      <c r="IL1" s="702"/>
      <c r="IM1" s="702"/>
      <c r="IN1" s="702"/>
      <c r="IO1" s="702"/>
      <c r="IP1" s="702"/>
      <c r="IQ1" s="703"/>
      <c r="IR1" s="702"/>
      <c r="IS1" s="702"/>
      <c r="IT1" s="702"/>
      <c r="IU1" s="702"/>
      <c r="IV1" s="702"/>
      <c r="IW1" s="702"/>
      <c r="IX1" s="702"/>
      <c r="IY1" s="702"/>
      <c r="IZ1" s="702"/>
      <c r="JA1" s="702"/>
      <c r="JB1" s="702"/>
      <c r="JC1" s="702"/>
      <c r="JD1" s="702"/>
      <c r="JE1" s="702"/>
      <c r="JF1" s="702"/>
      <c r="JG1" s="703"/>
      <c r="JH1" s="702"/>
      <c r="JI1" s="702"/>
      <c r="JJ1" s="702"/>
      <c r="JK1" s="702"/>
      <c r="JL1" s="702"/>
      <c r="JM1" s="702"/>
      <c r="JN1" s="702"/>
      <c r="JO1" s="702"/>
      <c r="JP1" s="703"/>
      <c r="JQ1" s="702"/>
      <c r="JR1" s="702"/>
      <c r="JS1" s="702"/>
      <c r="JT1" s="702"/>
      <c r="JU1" s="702"/>
      <c r="JV1" s="702"/>
      <c r="JW1" s="702"/>
      <c r="JX1" s="702"/>
      <c r="JY1" s="702"/>
      <c r="JZ1" s="703"/>
      <c r="KA1" s="702"/>
      <c r="KB1" s="702"/>
      <c r="KC1" s="702"/>
      <c r="KD1" s="702"/>
      <c r="KE1" s="702"/>
      <c r="KF1" s="702"/>
      <c r="KG1" s="702"/>
      <c r="KH1" s="702"/>
      <c r="KI1" s="703"/>
      <c r="KJ1" s="702"/>
      <c r="KK1" s="702"/>
      <c r="KL1" s="702"/>
      <c r="KM1" s="702"/>
      <c r="KN1" s="702"/>
      <c r="KO1" s="702"/>
      <c r="KP1" s="702"/>
      <c r="KQ1" s="702"/>
    </row>
    <row r="2" spans="1:305" ht="12.75" x14ac:dyDescent="0.25">
      <c r="B2" s="706" t="s">
        <v>191</v>
      </c>
      <c r="C2" s="707"/>
      <c r="D2" s="707"/>
      <c r="E2" s="707"/>
      <c r="F2" s="707"/>
      <c r="G2" s="707"/>
      <c r="H2" s="707"/>
      <c r="I2" s="707"/>
      <c r="J2" s="707"/>
      <c r="K2" s="708"/>
      <c r="L2" s="707"/>
      <c r="M2" s="707"/>
      <c r="N2" s="707"/>
      <c r="O2" s="707"/>
      <c r="P2" s="707"/>
      <c r="Q2" s="707"/>
      <c r="R2" s="707"/>
      <c r="S2" s="707"/>
      <c r="T2" s="708"/>
      <c r="U2" s="707"/>
      <c r="V2" s="707"/>
      <c r="W2" s="707"/>
      <c r="X2" s="707"/>
      <c r="Y2" s="707"/>
      <c r="Z2" s="707"/>
      <c r="AA2" s="707"/>
      <c r="AB2" s="707"/>
      <c r="AC2" s="708"/>
      <c r="AD2" s="707"/>
      <c r="AE2" s="707"/>
      <c r="AF2" s="707"/>
      <c r="AG2" s="707"/>
      <c r="AH2" s="707"/>
      <c r="AI2" s="707"/>
      <c r="AJ2" s="707"/>
      <c r="AK2" s="707"/>
      <c r="AL2" s="708"/>
      <c r="AM2" s="707"/>
      <c r="AN2" s="707"/>
      <c r="AO2" s="707"/>
      <c r="AP2" s="707"/>
      <c r="AQ2" s="708"/>
      <c r="AR2" s="707"/>
      <c r="AS2" s="707"/>
      <c r="AT2" s="707"/>
      <c r="AU2" s="707"/>
      <c r="AV2" s="707"/>
      <c r="AW2" s="707"/>
      <c r="AX2" s="707"/>
      <c r="AY2" s="707"/>
      <c r="AZ2" s="708"/>
      <c r="BA2" s="707"/>
      <c r="BB2" s="707"/>
      <c r="BC2" s="707"/>
      <c r="BD2" s="707"/>
      <c r="BE2" s="707"/>
      <c r="BF2" s="707"/>
      <c r="BG2" s="707"/>
      <c r="BH2" s="707"/>
      <c r="BI2" s="708"/>
      <c r="BJ2" s="707"/>
      <c r="BK2" s="707"/>
      <c r="BL2" s="707"/>
      <c r="BM2" s="707"/>
      <c r="BN2" s="707"/>
      <c r="BO2" s="707"/>
      <c r="BP2" s="707"/>
      <c r="BQ2" s="707"/>
      <c r="BR2" s="708"/>
      <c r="BS2" s="707"/>
      <c r="BT2" s="707"/>
      <c r="BU2" s="707"/>
      <c r="BV2" s="707"/>
      <c r="BW2" s="708"/>
      <c r="BX2" s="707"/>
      <c r="BY2" s="707"/>
      <c r="BZ2" s="707"/>
      <c r="CA2" s="707"/>
      <c r="CB2" s="707"/>
      <c r="CC2" s="707"/>
      <c r="CD2" s="707"/>
      <c r="CE2" s="707"/>
      <c r="CF2" s="708"/>
      <c r="CG2" s="707"/>
      <c r="CH2" s="707"/>
      <c r="CI2" s="707"/>
      <c r="CJ2" s="707"/>
      <c r="CK2" s="708"/>
      <c r="CL2" s="707"/>
      <c r="CM2" s="707"/>
      <c r="CN2" s="707"/>
      <c r="CO2" s="707"/>
      <c r="CP2" s="707"/>
      <c r="CQ2" s="707"/>
      <c r="CR2" s="707"/>
      <c r="CS2" s="707"/>
      <c r="CT2" s="708"/>
      <c r="CU2" s="707"/>
      <c r="CV2" s="707"/>
      <c r="CW2" s="707"/>
      <c r="CX2" s="707"/>
      <c r="CY2" s="707"/>
      <c r="CZ2" s="707"/>
      <c r="DA2" s="707"/>
      <c r="DB2" s="707"/>
      <c r="DC2" s="708"/>
      <c r="DD2" s="707"/>
      <c r="DE2" s="707"/>
      <c r="DF2" s="707"/>
      <c r="DG2" s="707"/>
      <c r="DH2" s="707"/>
      <c r="DI2" s="707"/>
      <c r="DJ2" s="707"/>
      <c r="DK2" s="707"/>
      <c r="DL2" s="708"/>
      <c r="DM2" s="707"/>
      <c r="DN2" s="707"/>
      <c r="DO2" s="707"/>
      <c r="DP2" s="707"/>
      <c r="DQ2" s="707"/>
      <c r="DR2" s="707"/>
      <c r="DS2" s="708"/>
      <c r="DT2" s="707"/>
      <c r="DU2" s="707"/>
      <c r="DV2" s="707"/>
      <c r="DW2" s="707"/>
      <c r="DX2" s="707"/>
      <c r="DY2" s="707"/>
      <c r="DZ2" s="707"/>
      <c r="EA2" s="707"/>
      <c r="EB2" s="708"/>
      <c r="EC2" s="707"/>
      <c r="ED2" s="707"/>
      <c r="EE2" s="707"/>
      <c r="EF2" s="707"/>
      <c r="EG2" s="707"/>
      <c r="EH2" s="707"/>
      <c r="EI2" s="707"/>
      <c r="EJ2" s="707"/>
      <c r="EK2" s="708"/>
      <c r="EL2" s="707"/>
      <c r="EM2" s="707"/>
      <c r="EN2" s="707"/>
      <c r="EO2" s="707"/>
      <c r="EP2" s="707"/>
      <c r="EQ2" s="707"/>
      <c r="ER2" s="707"/>
      <c r="ES2" s="707"/>
      <c r="ET2" s="707"/>
      <c r="EU2" s="707"/>
      <c r="EV2" s="707"/>
      <c r="EW2" s="707"/>
      <c r="EX2" s="707"/>
      <c r="EY2" s="708"/>
      <c r="EZ2" s="707"/>
      <c r="FA2" s="707"/>
      <c r="FB2" s="707"/>
      <c r="FC2" s="707"/>
      <c r="FD2" s="707"/>
      <c r="FE2" s="707"/>
      <c r="FF2" s="707"/>
      <c r="FG2" s="707"/>
      <c r="FH2" s="708"/>
      <c r="FI2" s="707"/>
      <c r="FJ2" s="707"/>
      <c r="FK2" s="707"/>
      <c r="FL2" s="707"/>
      <c r="FM2" s="707"/>
      <c r="FN2" s="707"/>
      <c r="FO2" s="707"/>
      <c r="FP2" s="707"/>
      <c r="FQ2" s="708"/>
      <c r="FR2" s="707"/>
      <c r="FS2" s="707"/>
      <c r="FT2" s="707"/>
      <c r="FU2" s="707"/>
      <c r="FV2" s="707"/>
      <c r="FW2" s="707"/>
      <c r="FX2" s="707"/>
      <c r="FY2" s="707"/>
      <c r="FZ2" s="708"/>
      <c r="GA2" s="707"/>
      <c r="GB2" s="707"/>
      <c r="GC2" s="707"/>
      <c r="GD2" s="707"/>
      <c r="GE2" s="707"/>
      <c r="GF2" s="707"/>
      <c r="GG2" s="707"/>
      <c r="GH2" s="707"/>
      <c r="GI2" s="708"/>
      <c r="GJ2" s="707"/>
      <c r="GK2" s="707"/>
      <c r="GL2" s="707"/>
      <c r="GM2" s="707"/>
      <c r="GN2" s="707"/>
      <c r="GO2" s="707"/>
      <c r="GP2" s="707"/>
      <c r="GQ2" s="707"/>
      <c r="GR2" s="708"/>
      <c r="GS2" s="707"/>
      <c r="GT2" s="707"/>
      <c r="GU2" s="707"/>
      <c r="GV2" s="707"/>
      <c r="GW2" s="707"/>
      <c r="GX2" s="707"/>
      <c r="GY2" s="707"/>
      <c r="GZ2" s="707"/>
      <c r="HA2" s="708"/>
      <c r="HB2" s="707"/>
      <c r="HC2" s="707"/>
      <c r="HD2" s="707"/>
      <c r="HE2" s="707"/>
      <c r="HF2" s="707"/>
      <c r="HG2" s="707"/>
      <c r="HH2" s="707"/>
      <c r="HI2" s="707"/>
      <c r="HJ2" s="708"/>
      <c r="HK2" s="707"/>
      <c r="HL2" s="707"/>
      <c r="HM2" s="707"/>
      <c r="HN2" s="707"/>
      <c r="HO2" s="707"/>
      <c r="HP2" s="707"/>
      <c r="HQ2" s="707"/>
      <c r="HR2" s="707"/>
      <c r="HS2" s="708"/>
      <c r="HT2" s="707"/>
      <c r="HU2" s="707"/>
      <c r="HV2" s="707"/>
      <c r="HW2" s="707"/>
      <c r="HX2" s="707"/>
      <c r="HY2" s="707"/>
      <c r="HZ2" s="707"/>
      <c r="IA2" s="707"/>
      <c r="IB2" s="708"/>
      <c r="IC2" s="707"/>
      <c r="ID2" s="707"/>
      <c r="IE2" s="707"/>
      <c r="IF2" s="707"/>
      <c r="IG2" s="707"/>
      <c r="IH2" s="708"/>
      <c r="II2" s="707"/>
      <c r="IJ2" s="707"/>
      <c r="IK2" s="707"/>
      <c r="IL2" s="707"/>
      <c r="IM2" s="707"/>
      <c r="IN2" s="707"/>
      <c r="IO2" s="707"/>
      <c r="IP2" s="707"/>
      <c r="IQ2" s="708"/>
      <c r="IR2" s="707"/>
      <c r="IS2" s="707"/>
      <c r="IT2" s="707"/>
      <c r="IU2" s="707"/>
      <c r="IV2" s="707"/>
      <c r="IW2" s="707"/>
      <c r="IX2" s="707"/>
      <c r="IY2" s="707"/>
      <c r="IZ2" s="707"/>
      <c r="JA2" s="707"/>
      <c r="JB2" s="707"/>
      <c r="JC2" s="707"/>
      <c r="JD2" s="707"/>
      <c r="JE2" s="707"/>
      <c r="JF2" s="707"/>
      <c r="JG2" s="708"/>
      <c r="JH2" s="707"/>
      <c r="JI2" s="707"/>
      <c r="JJ2" s="707"/>
      <c r="JK2" s="707"/>
      <c r="JL2" s="707"/>
      <c r="JM2" s="707"/>
      <c r="JN2" s="707"/>
      <c r="JO2" s="707"/>
      <c r="JP2" s="708"/>
      <c r="JQ2" s="707"/>
      <c r="JR2" s="707"/>
      <c r="JS2" s="707"/>
      <c r="JT2" s="707"/>
      <c r="JU2" s="707"/>
      <c r="JV2" s="707"/>
      <c r="JW2" s="707"/>
      <c r="JX2" s="707"/>
      <c r="JY2" s="707"/>
      <c r="JZ2" s="708"/>
      <c r="KA2" s="707"/>
      <c r="KB2" s="707"/>
      <c r="KC2" s="707"/>
      <c r="KD2" s="707"/>
      <c r="KE2" s="707"/>
      <c r="KF2" s="707"/>
      <c r="KG2" s="707"/>
      <c r="KH2" s="707"/>
      <c r="KI2" s="708"/>
      <c r="KJ2" s="702"/>
      <c r="KK2" s="702"/>
      <c r="KL2" s="702"/>
      <c r="KM2" s="702"/>
      <c r="KN2" s="702"/>
      <c r="KO2" s="702"/>
      <c r="KP2" s="702"/>
      <c r="KQ2" s="702"/>
    </row>
    <row r="3" spans="1:305" s="712" customFormat="1" ht="25.5" customHeight="1" x14ac:dyDescent="0.25">
      <c r="A3" s="709" t="s">
        <v>2</v>
      </c>
      <c r="B3" s="710" t="s">
        <v>331</v>
      </c>
      <c r="C3" s="1018" t="s">
        <v>343</v>
      </c>
      <c r="D3" s="1019"/>
      <c r="E3" s="1019"/>
      <c r="F3" s="1019"/>
      <c r="G3" s="1019"/>
      <c r="H3" s="1019"/>
      <c r="I3" s="1019"/>
      <c r="J3" s="1019"/>
      <c r="K3" s="1020"/>
      <c r="L3" s="1018" t="s">
        <v>234</v>
      </c>
      <c r="M3" s="1019"/>
      <c r="N3" s="1019"/>
      <c r="O3" s="1019"/>
      <c r="P3" s="1019"/>
      <c r="Q3" s="1019"/>
      <c r="R3" s="1019"/>
      <c r="S3" s="1019"/>
      <c r="T3" s="1020"/>
      <c r="U3" s="1018" t="s">
        <v>344</v>
      </c>
      <c r="V3" s="1019"/>
      <c r="W3" s="1019"/>
      <c r="X3" s="1019"/>
      <c r="Y3" s="1019"/>
      <c r="Z3" s="1019"/>
      <c r="AA3" s="1019"/>
      <c r="AB3" s="1019"/>
      <c r="AC3" s="1020"/>
      <c r="AD3" s="1018" t="s">
        <v>345</v>
      </c>
      <c r="AE3" s="1019"/>
      <c r="AF3" s="1019"/>
      <c r="AG3" s="1019"/>
      <c r="AH3" s="1019"/>
      <c r="AI3" s="1019"/>
      <c r="AJ3" s="1019"/>
      <c r="AK3" s="1019"/>
      <c r="AL3" s="1020"/>
      <c r="AM3" s="1018" t="s">
        <v>313</v>
      </c>
      <c r="AN3" s="1019"/>
      <c r="AO3" s="1019"/>
      <c r="AP3" s="1019"/>
      <c r="AQ3" s="1020"/>
      <c r="AR3" s="1018" t="s">
        <v>297</v>
      </c>
      <c r="AS3" s="1019"/>
      <c r="AT3" s="1019"/>
      <c r="AU3" s="1019"/>
      <c r="AV3" s="1019"/>
      <c r="AW3" s="1019"/>
      <c r="AX3" s="1019"/>
      <c r="AY3" s="1019"/>
      <c r="AZ3" s="1020"/>
      <c r="BA3" s="1018" t="s">
        <v>298</v>
      </c>
      <c r="BB3" s="1019"/>
      <c r="BC3" s="1019"/>
      <c r="BD3" s="1019"/>
      <c r="BE3" s="1019"/>
      <c r="BF3" s="1019"/>
      <c r="BG3" s="1019"/>
      <c r="BH3" s="1019"/>
      <c r="BI3" s="1020"/>
      <c r="BJ3" s="1018" t="s">
        <v>299</v>
      </c>
      <c r="BK3" s="1019"/>
      <c r="BL3" s="1019"/>
      <c r="BM3" s="1019"/>
      <c r="BN3" s="1019"/>
      <c r="BO3" s="1019"/>
      <c r="BP3" s="1019"/>
      <c r="BQ3" s="1019"/>
      <c r="BR3" s="1020"/>
      <c r="BS3" s="1018" t="s">
        <v>334</v>
      </c>
      <c r="BT3" s="1019"/>
      <c r="BU3" s="1019"/>
      <c r="BV3" s="1019"/>
      <c r="BW3" s="1020"/>
      <c r="BX3" s="1018" t="s">
        <v>301</v>
      </c>
      <c r="BY3" s="1019"/>
      <c r="BZ3" s="1019"/>
      <c r="CA3" s="1019"/>
      <c r="CB3" s="1019"/>
      <c r="CC3" s="1019"/>
      <c r="CD3" s="1019"/>
      <c r="CE3" s="1019"/>
      <c r="CF3" s="1019"/>
      <c r="CG3" s="1019" t="s">
        <v>335</v>
      </c>
      <c r="CH3" s="1019"/>
      <c r="CI3" s="1019"/>
      <c r="CJ3" s="1019"/>
      <c r="CK3" s="1020"/>
      <c r="CL3" s="1018" t="s">
        <v>336</v>
      </c>
      <c r="CM3" s="1019"/>
      <c r="CN3" s="1019"/>
      <c r="CO3" s="1019"/>
      <c r="CP3" s="1019"/>
      <c r="CQ3" s="1019"/>
      <c r="CR3" s="1019"/>
      <c r="CS3" s="1019"/>
      <c r="CT3" s="1020"/>
      <c r="CU3" s="1018" t="s">
        <v>337</v>
      </c>
      <c r="CV3" s="1019"/>
      <c r="CW3" s="1019"/>
      <c r="CX3" s="1019"/>
      <c r="CY3" s="1019"/>
      <c r="CZ3" s="1019"/>
      <c r="DA3" s="1019"/>
      <c r="DB3" s="1019"/>
      <c r="DC3" s="1020"/>
      <c r="DD3" s="1018" t="s">
        <v>305</v>
      </c>
      <c r="DE3" s="1019"/>
      <c r="DF3" s="1019"/>
      <c r="DG3" s="1019"/>
      <c r="DH3" s="1019"/>
      <c r="DI3" s="1019"/>
      <c r="DJ3" s="1019"/>
      <c r="DK3" s="1019"/>
      <c r="DL3" s="1020"/>
      <c r="DM3" s="1018" t="s">
        <v>338</v>
      </c>
      <c r="DN3" s="1019"/>
      <c r="DO3" s="1019"/>
      <c r="DP3" s="1019"/>
      <c r="DQ3" s="1019"/>
      <c r="DR3" s="1019"/>
      <c r="DS3" s="1020"/>
      <c r="DT3" s="1018" t="s">
        <v>339</v>
      </c>
      <c r="DU3" s="1019"/>
      <c r="DV3" s="1019"/>
      <c r="DW3" s="1019"/>
      <c r="DX3" s="1019"/>
      <c r="DY3" s="1019"/>
      <c r="DZ3" s="1019"/>
      <c r="EA3" s="1019"/>
      <c r="EB3" s="1020"/>
      <c r="EC3" s="1018" t="s">
        <v>318</v>
      </c>
      <c r="ED3" s="1019"/>
      <c r="EE3" s="1019"/>
      <c r="EF3" s="1019"/>
      <c r="EG3" s="1019"/>
      <c r="EH3" s="1019"/>
      <c r="EI3" s="1019"/>
      <c r="EJ3" s="1019"/>
      <c r="EK3" s="1020"/>
      <c r="EL3" s="1018" t="s">
        <v>340</v>
      </c>
      <c r="EM3" s="1019"/>
      <c r="EN3" s="1019"/>
      <c r="EO3" s="1019"/>
      <c r="EP3" s="1020"/>
      <c r="EQ3" s="1018" t="s">
        <v>308</v>
      </c>
      <c r="ER3" s="1019"/>
      <c r="ES3" s="1019"/>
      <c r="ET3" s="1019"/>
      <c r="EU3" s="1019"/>
      <c r="EV3" s="1019"/>
      <c r="EW3" s="1019"/>
      <c r="EX3" s="1019"/>
      <c r="EY3" s="1020"/>
      <c r="EZ3" s="1018" t="s">
        <v>341</v>
      </c>
      <c r="FA3" s="1019"/>
      <c r="FB3" s="1019"/>
      <c r="FC3" s="1019"/>
      <c r="FD3" s="1019"/>
      <c r="FE3" s="1019"/>
      <c r="FF3" s="1019"/>
      <c r="FG3" s="1019"/>
      <c r="FH3" s="1020"/>
      <c r="FI3" s="1018" t="s">
        <v>310</v>
      </c>
      <c r="FJ3" s="1019"/>
      <c r="FK3" s="1019"/>
      <c r="FL3" s="1019"/>
      <c r="FM3" s="1019"/>
      <c r="FN3" s="1019"/>
      <c r="FO3" s="1019"/>
      <c r="FP3" s="1019"/>
      <c r="FQ3" s="1020"/>
      <c r="FR3" s="1018" t="s">
        <v>311</v>
      </c>
      <c r="FS3" s="1019"/>
      <c r="FT3" s="1019"/>
      <c r="FU3" s="1019"/>
      <c r="FV3" s="1019"/>
      <c r="FW3" s="1019"/>
      <c r="FX3" s="1019"/>
      <c r="FY3" s="1019"/>
      <c r="FZ3" s="1020"/>
      <c r="GA3" s="1018" t="s">
        <v>342</v>
      </c>
      <c r="GB3" s="1019"/>
      <c r="GC3" s="1019"/>
      <c r="GD3" s="1019"/>
      <c r="GE3" s="1019"/>
      <c r="GF3" s="1019"/>
      <c r="GG3" s="1019"/>
      <c r="GH3" s="1019"/>
      <c r="GI3" s="1020"/>
      <c r="GJ3" s="1018" t="s">
        <v>312</v>
      </c>
      <c r="GK3" s="1019"/>
      <c r="GL3" s="1019"/>
      <c r="GM3" s="1019"/>
      <c r="GN3" s="1019"/>
      <c r="GO3" s="1019"/>
      <c r="GP3" s="1019"/>
      <c r="GQ3" s="1019"/>
      <c r="GR3" s="1020"/>
      <c r="GS3" s="1018" t="s">
        <v>320</v>
      </c>
      <c r="GT3" s="1019"/>
      <c r="GU3" s="1019"/>
      <c r="GV3" s="1019"/>
      <c r="GW3" s="1019"/>
      <c r="GX3" s="1019"/>
      <c r="GY3" s="1019"/>
      <c r="GZ3" s="1019"/>
      <c r="HA3" s="1020"/>
      <c r="HB3" s="1018" t="s">
        <v>346</v>
      </c>
      <c r="HC3" s="1019"/>
      <c r="HD3" s="1019"/>
      <c r="HE3" s="1019"/>
      <c r="HF3" s="1019"/>
      <c r="HG3" s="1019"/>
      <c r="HH3" s="1019"/>
      <c r="HI3" s="1019"/>
      <c r="HJ3" s="1020"/>
      <c r="HK3" s="1018" t="s">
        <v>347</v>
      </c>
      <c r="HL3" s="1019"/>
      <c r="HM3" s="1019"/>
      <c r="HN3" s="1019"/>
      <c r="HO3" s="1019"/>
      <c r="HP3" s="1019"/>
      <c r="HQ3" s="1019"/>
      <c r="HR3" s="1019"/>
      <c r="HS3" s="1020"/>
      <c r="HT3" s="1021" t="s">
        <v>332</v>
      </c>
      <c r="HU3" s="1022"/>
      <c r="HV3" s="1022"/>
      <c r="HW3" s="1022"/>
      <c r="HX3" s="1022"/>
      <c r="HY3" s="1022"/>
      <c r="HZ3" s="1022"/>
      <c r="IA3" s="1022"/>
      <c r="IB3" s="1023"/>
      <c r="IC3" s="1018" t="s">
        <v>328</v>
      </c>
      <c r="ID3" s="1019"/>
      <c r="IE3" s="1019"/>
      <c r="IF3" s="1019"/>
      <c r="IG3" s="1019"/>
      <c r="IH3" s="1020"/>
      <c r="II3" s="1018" t="s">
        <v>469</v>
      </c>
      <c r="IJ3" s="1019"/>
      <c r="IK3" s="1019"/>
      <c r="IL3" s="1019"/>
      <c r="IM3" s="1019"/>
      <c r="IN3" s="1019"/>
      <c r="IO3" s="1019"/>
      <c r="IP3" s="1019"/>
      <c r="IQ3" s="1020"/>
      <c r="IR3" s="1018" t="s">
        <v>481</v>
      </c>
      <c r="IS3" s="1019"/>
      <c r="IT3" s="1019"/>
      <c r="IU3" s="1019"/>
      <c r="IV3" s="1019"/>
      <c r="IW3" s="1019"/>
      <c r="IX3" s="1019"/>
      <c r="IY3" s="1018" t="s">
        <v>482</v>
      </c>
      <c r="IZ3" s="1019"/>
      <c r="JA3" s="1019"/>
      <c r="JB3" s="1019"/>
      <c r="JC3" s="1019"/>
      <c r="JD3" s="1019"/>
      <c r="JE3" s="1019"/>
      <c r="JF3" s="1019"/>
      <c r="JG3" s="1020"/>
      <c r="JH3" s="1018" t="s">
        <v>326</v>
      </c>
      <c r="JI3" s="1019"/>
      <c r="JJ3" s="1019"/>
      <c r="JK3" s="1019"/>
      <c r="JL3" s="1019"/>
      <c r="JM3" s="1019"/>
      <c r="JN3" s="1019"/>
      <c r="JO3" s="1019"/>
      <c r="JP3" s="1019"/>
      <c r="JQ3" s="711" t="s">
        <v>487</v>
      </c>
      <c r="JR3" s="1018" t="s">
        <v>327</v>
      </c>
      <c r="JS3" s="1019"/>
      <c r="JT3" s="1019"/>
      <c r="JU3" s="1019"/>
      <c r="JV3" s="1019"/>
      <c r="JW3" s="1019"/>
      <c r="JX3" s="1019"/>
      <c r="JY3" s="1019"/>
      <c r="JZ3" s="1020"/>
      <c r="KA3" s="1018" t="s">
        <v>333</v>
      </c>
      <c r="KB3" s="1019"/>
      <c r="KC3" s="1019"/>
      <c r="KD3" s="1019"/>
      <c r="KE3" s="1019"/>
      <c r="KF3" s="1019"/>
      <c r="KG3" s="1019"/>
      <c r="KH3" s="1019"/>
      <c r="KI3" s="1020"/>
      <c r="KJ3" s="1018" t="s">
        <v>120</v>
      </c>
      <c r="KK3" s="1019"/>
      <c r="KL3" s="1019"/>
      <c r="KM3" s="1019"/>
      <c r="KN3" s="1019"/>
      <c r="KO3" s="1019"/>
      <c r="KP3" s="1019"/>
      <c r="KQ3" s="1019"/>
      <c r="KR3" s="1020"/>
    </row>
    <row r="4" spans="1:305" s="712" customFormat="1" ht="16.5" customHeight="1" x14ac:dyDescent="0.25">
      <c r="A4" s="713"/>
      <c r="B4" s="714"/>
      <c r="C4" s="715">
        <v>2014</v>
      </c>
      <c r="D4" s="715">
        <v>2015</v>
      </c>
      <c r="E4" s="715">
        <v>2016</v>
      </c>
      <c r="F4" s="715">
        <v>2017</v>
      </c>
      <c r="G4" s="715">
        <v>2018</v>
      </c>
      <c r="H4" s="715">
        <v>2019</v>
      </c>
      <c r="I4" s="715">
        <v>2020</v>
      </c>
      <c r="J4" s="715">
        <v>2021</v>
      </c>
      <c r="K4" s="716">
        <v>2022</v>
      </c>
      <c r="L4" s="715">
        <v>2014</v>
      </c>
      <c r="M4" s="715">
        <v>2015</v>
      </c>
      <c r="N4" s="715">
        <v>2016</v>
      </c>
      <c r="O4" s="715">
        <v>2017</v>
      </c>
      <c r="P4" s="715">
        <v>2018</v>
      </c>
      <c r="Q4" s="715">
        <v>2019</v>
      </c>
      <c r="R4" s="715">
        <v>2020</v>
      </c>
      <c r="S4" s="715">
        <v>2021</v>
      </c>
      <c r="T4" s="716">
        <v>2022</v>
      </c>
      <c r="U4" s="715">
        <v>2014</v>
      </c>
      <c r="V4" s="715">
        <v>2015</v>
      </c>
      <c r="W4" s="715">
        <v>2016</v>
      </c>
      <c r="X4" s="715">
        <v>2017</v>
      </c>
      <c r="Y4" s="715">
        <v>2018</v>
      </c>
      <c r="Z4" s="715">
        <v>2019</v>
      </c>
      <c r="AA4" s="715">
        <v>2020</v>
      </c>
      <c r="AB4" s="715">
        <v>2021</v>
      </c>
      <c r="AC4" s="716">
        <v>2022</v>
      </c>
      <c r="AD4" s="715">
        <v>2014</v>
      </c>
      <c r="AE4" s="715">
        <v>2015</v>
      </c>
      <c r="AF4" s="715">
        <v>2016</v>
      </c>
      <c r="AG4" s="715">
        <v>2017</v>
      </c>
      <c r="AH4" s="715">
        <v>2018</v>
      </c>
      <c r="AI4" s="715">
        <v>2019</v>
      </c>
      <c r="AJ4" s="715">
        <v>2020</v>
      </c>
      <c r="AK4" s="715">
        <v>2021</v>
      </c>
      <c r="AL4" s="716">
        <v>2022</v>
      </c>
      <c r="AM4" s="717">
        <v>2018</v>
      </c>
      <c r="AN4" s="715">
        <v>2019</v>
      </c>
      <c r="AO4" s="715">
        <v>2020</v>
      </c>
      <c r="AP4" s="715">
        <v>2021</v>
      </c>
      <c r="AQ4" s="716">
        <v>2022</v>
      </c>
      <c r="AR4" s="715">
        <v>2014</v>
      </c>
      <c r="AS4" s="715">
        <v>2015</v>
      </c>
      <c r="AT4" s="715">
        <v>2016</v>
      </c>
      <c r="AU4" s="715">
        <v>2017</v>
      </c>
      <c r="AV4" s="715">
        <v>2018</v>
      </c>
      <c r="AW4" s="715">
        <v>2019</v>
      </c>
      <c r="AX4" s="715">
        <v>2020</v>
      </c>
      <c r="AY4" s="715">
        <v>2021</v>
      </c>
      <c r="AZ4" s="716">
        <v>2022</v>
      </c>
      <c r="BA4" s="715">
        <v>2014</v>
      </c>
      <c r="BB4" s="715">
        <v>2015</v>
      </c>
      <c r="BC4" s="715">
        <v>2016</v>
      </c>
      <c r="BD4" s="715">
        <v>2017</v>
      </c>
      <c r="BE4" s="715">
        <v>2018</v>
      </c>
      <c r="BF4" s="715">
        <v>2019</v>
      </c>
      <c r="BG4" s="715">
        <v>2020</v>
      </c>
      <c r="BH4" s="715">
        <v>2021</v>
      </c>
      <c r="BI4" s="716">
        <v>2022</v>
      </c>
      <c r="BJ4" s="715">
        <v>2014</v>
      </c>
      <c r="BK4" s="715">
        <v>2015</v>
      </c>
      <c r="BL4" s="715">
        <v>2016</v>
      </c>
      <c r="BM4" s="715">
        <v>2017</v>
      </c>
      <c r="BN4" s="715">
        <v>2018</v>
      </c>
      <c r="BO4" s="715">
        <v>2019</v>
      </c>
      <c r="BP4" s="715">
        <v>2020</v>
      </c>
      <c r="BQ4" s="715">
        <v>2021</v>
      </c>
      <c r="BR4" s="716">
        <v>2022</v>
      </c>
      <c r="BS4" s="715">
        <v>2018</v>
      </c>
      <c r="BT4" s="715">
        <v>2019</v>
      </c>
      <c r="BU4" s="715">
        <v>2020</v>
      </c>
      <c r="BV4" s="715">
        <v>2021</v>
      </c>
      <c r="BW4" s="716">
        <v>2022</v>
      </c>
      <c r="BX4" s="715">
        <v>2014</v>
      </c>
      <c r="BY4" s="715">
        <v>2015</v>
      </c>
      <c r="BZ4" s="715">
        <v>2016</v>
      </c>
      <c r="CA4" s="715">
        <v>2017</v>
      </c>
      <c r="CB4" s="715">
        <v>2018</v>
      </c>
      <c r="CC4" s="715">
        <v>2019</v>
      </c>
      <c r="CD4" s="715">
        <v>2020</v>
      </c>
      <c r="CE4" s="715">
        <v>2021</v>
      </c>
      <c r="CF4" s="716">
        <v>2022</v>
      </c>
      <c r="CG4" s="715">
        <v>2018</v>
      </c>
      <c r="CH4" s="715">
        <v>2019</v>
      </c>
      <c r="CI4" s="715">
        <v>2020</v>
      </c>
      <c r="CJ4" s="715">
        <v>2021</v>
      </c>
      <c r="CK4" s="716">
        <v>2022</v>
      </c>
      <c r="CL4" s="715">
        <v>2014</v>
      </c>
      <c r="CM4" s="715">
        <v>2015</v>
      </c>
      <c r="CN4" s="715">
        <v>2016</v>
      </c>
      <c r="CO4" s="715">
        <v>2017</v>
      </c>
      <c r="CP4" s="715">
        <v>2018</v>
      </c>
      <c r="CQ4" s="715">
        <v>2019</v>
      </c>
      <c r="CR4" s="715">
        <v>2020</v>
      </c>
      <c r="CS4" s="715">
        <v>2021</v>
      </c>
      <c r="CT4" s="716">
        <v>2022</v>
      </c>
      <c r="CU4" s="715">
        <v>2014</v>
      </c>
      <c r="CV4" s="715">
        <v>2015</v>
      </c>
      <c r="CW4" s="715">
        <v>2016</v>
      </c>
      <c r="CX4" s="715">
        <v>2017</v>
      </c>
      <c r="CY4" s="715">
        <v>2018</v>
      </c>
      <c r="CZ4" s="715">
        <v>2019</v>
      </c>
      <c r="DA4" s="715">
        <v>2020</v>
      </c>
      <c r="DB4" s="715">
        <v>2021</v>
      </c>
      <c r="DC4" s="716">
        <v>2022</v>
      </c>
      <c r="DD4" s="715">
        <v>2014</v>
      </c>
      <c r="DE4" s="715">
        <v>2015</v>
      </c>
      <c r="DF4" s="715">
        <v>2016</v>
      </c>
      <c r="DG4" s="715">
        <v>2017</v>
      </c>
      <c r="DH4" s="715">
        <v>2018</v>
      </c>
      <c r="DI4" s="715">
        <v>2019</v>
      </c>
      <c r="DJ4" s="715">
        <v>2020</v>
      </c>
      <c r="DK4" s="715">
        <v>2021</v>
      </c>
      <c r="DL4" s="716">
        <v>2022</v>
      </c>
      <c r="DM4" s="715">
        <v>2016</v>
      </c>
      <c r="DN4" s="715">
        <v>2017</v>
      </c>
      <c r="DO4" s="715">
        <v>2018</v>
      </c>
      <c r="DP4" s="715">
        <v>2019</v>
      </c>
      <c r="DQ4" s="715">
        <v>2020</v>
      </c>
      <c r="DR4" s="715">
        <v>2021</v>
      </c>
      <c r="DS4" s="716">
        <v>2022</v>
      </c>
      <c r="DT4" s="715">
        <v>2014</v>
      </c>
      <c r="DU4" s="715">
        <v>2015</v>
      </c>
      <c r="DV4" s="715">
        <v>2016</v>
      </c>
      <c r="DW4" s="715">
        <v>2017</v>
      </c>
      <c r="DX4" s="715">
        <v>2018</v>
      </c>
      <c r="DY4" s="715">
        <v>2019</v>
      </c>
      <c r="DZ4" s="715">
        <v>2020</v>
      </c>
      <c r="EA4" s="715">
        <v>2021</v>
      </c>
      <c r="EB4" s="716">
        <v>2022</v>
      </c>
      <c r="EC4" s="715">
        <v>2014</v>
      </c>
      <c r="ED4" s="715">
        <v>2015</v>
      </c>
      <c r="EE4" s="715">
        <v>2016</v>
      </c>
      <c r="EF4" s="715">
        <v>2017</v>
      </c>
      <c r="EG4" s="715">
        <v>2018</v>
      </c>
      <c r="EH4" s="715">
        <v>2019</v>
      </c>
      <c r="EI4" s="715">
        <v>2020</v>
      </c>
      <c r="EJ4" s="715">
        <v>2021</v>
      </c>
      <c r="EK4" s="716">
        <v>2022</v>
      </c>
      <c r="EL4" s="715">
        <v>2018</v>
      </c>
      <c r="EM4" s="715">
        <v>2019</v>
      </c>
      <c r="EN4" s="715">
        <v>2020</v>
      </c>
      <c r="EO4" s="715">
        <v>2021</v>
      </c>
      <c r="EP4" s="715">
        <v>2022</v>
      </c>
      <c r="EQ4" s="715">
        <v>2014</v>
      </c>
      <c r="ER4" s="715">
        <v>2015</v>
      </c>
      <c r="ES4" s="715">
        <v>2016</v>
      </c>
      <c r="ET4" s="715">
        <v>2017</v>
      </c>
      <c r="EU4" s="715">
        <v>2018</v>
      </c>
      <c r="EV4" s="715">
        <v>2019</v>
      </c>
      <c r="EW4" s="715">
        <v>2020</v>
      </c>
      <c r="EX4" s="715">
        <v>2021</v>
      </c>
      <c r="EY4" s="716">
        <v>2022</v>
      </c>
      <c r="EZ4" s="715">
        <v>2014</v>
      </c>
      <c r="FA4" s="715">
        <v>2015</v>
      </c>
      <c r="FB4" s="715">
        <v>2016</v>
      </c>
      <c r="FC4" s="715">
        <v>2017</v>
      </c>
      <c r="FD4" s="715">
        <v>2018</v>
      </c>
      <c r="FE4" s="715">
        <v>2019</v>
      </c>
      <c r="FF4" s="715">
        <v>2020</v>
      </c>
      <c r="FG4" s="715">
        <v>2021</v>
      </c>
      <c r="FH4" s="716">
        <v>2022</v>
      </c>
      <c r="FI4" s="715">
        <v>2014</v>
      </c>
      <c r="FJ4" s="715">
        <v>2015</v>
      </c>
      <c r="FK4" s="715">
        <v>2016</v>
      </c>
      <c r="FL4" s="715">
        <v>2017</v>
      </c>
      <c r="FM4" s="715">
        <v>2018</v>
      </c>
      <c r="FN4" s="715">
        <v>2019</v>
      </c>
      <c r="FO4" s="715">
        <v>2020</v>
      </c>
      <c r="FP4" s="715">
        <v>2021</v>
      </c>
      <c r="FQ4" s="716">
        <v>2022</v>
      </c>
      <c r="FR4" s="715">
        <v>2014</v>
      </c>
      <c r="FS4" s="715">
        <v>2015</v>
      </c>
      <c r="FT4" s="715">
        <v>2016</v>
      </c>
      <c r="FU4" s="715">
        <v>2017</v>
      </c>
      <c r="FV4" s="715">
        <v>2018</v>
      </c>
      <c r="FW4" s="715">
        <v>2019</v>
      </c>
      <c r="FX4" s="715">
        <v>2020</v>
      </c>
      <c r="FY4" s="715">
        <v>2021</v>
      </c>
      <c r="FZ4" s="716">
        <v>2022</v>
      </c>
      <c r="GA4" s="715">
        <v>2014</v>
      </c>
      <c r="GB4" s="715">
        <v>2015</v>
      </c>
      <c r="GC4" s="715">
        <v>2016</v>
      </c>
      <c r="GD4" s="715">
        <v>2017</v>
      </c>
      <c r="GE4" s="715">
        <v>2018</v>
      </c>
      <c r="GF4" s="715">
        <v>2019</v>
      </c>
      <c r="GG4" s="715">
        <v>2020</v>
      </c>
      <c r="GH4" s="715">
        <v>2021</v>
      </c>
      <c r="GI4" s="716">
        <v>2022</v>
      </c>
      <c r="GJ4" s="715">
        <v>2014</v>
      </c>
      <c r="GK4" s="715">
        <v>2015</v>
      </c>
      <c r="GL4" s="715">
        <v>2016</v>
      </c>
      <c r="GM4" s="715">
        <v>2017</v>
      </c>
      <c r="GN4" s="715">
        <v>2018</v>
      </c>
      <c r="GO4" s="715">
        <v>2019</v>
      </c>
      <c r="GP4" s="715">
        <v>2020</v>
      </c>
      <c r="GQ4" s="715">
        <v>2021</v>
      </c>
      <c r="GR4" s="716">
        <v>2022</v>
      </c>
      <c r="GS4" s="715">
        <v>2014</v>
      </c>
      <c r="GT4" s="715">
        <v>2015</v>
      </c>
      <c r="GU4" s="715">
        <v>2016</v>
      </c>
      <c r="GV4" s="715">
        <v>2017</v>
      </c>
      <c r="GW4" s="715">
        <v>2018</v>
      </c>
      <c r="GX4" s="715">
        <v>2019</v>
      </c>
      <c r="GY4" s="715">
        <v>2020</v>
      </c>
      <c r="GZ4" s="715">
        <v>2021</v>
      </c>
      <c r="HA4" s="716">
        <v>2022</v>
      </c>
      <c r="HB4" s="715">
        <v>2014</v>
      </c>
      <c r="HC4" s="715">
        <v>2015</v>
      </c>
      <c r="HD4" s="715">
        <v>2016</v>
      </c>
      <c r="HE4" s="715">
        <v>2017</v>
      </c>
      <c r="HF4" s="715">
        <v>2018</v>
      </c>
      <c r="HG4" s="715">
        <v>2019</v>
      </c>
      <c r="HH4" s="715">
        <v>2020</v>
      </c>
      <c r="HI4" s="715">
        <v>2021</v>
      </c>
      <c r="HJ4" s="716">
        <v>2022</v>
      </c>
      <c r="HK4" s="715">
        <v>2014</v>
      </c>
      <c r="HL4" s="715">
        <v>2015</v>
      </c>
      <c r="HM4" s="715">
        <v>2016</v>
      </c>
      <c r="HN4" s="715">
        <v>2017</v>
      </c>
      <c r="HO4" s="715">
        <v>2018</v>
      </c>
      <c r="HP4" s="715">
        <v>2019</v>
      </c>
      <c r="HQ4" s="715">
        <v>2020</v>
      </c>
      <c r="HR4" s="715">
        <v>2021</v>
      </c>
      <c r="HS4" s="716">
        <v>2022</v>
      </c>
      <c r="HT4" s="715">
        <v>2014</v>
      </c>
      <c r="HU4" s="715">
        <v>2015</v>
      </c>
      <c r="HV4" s="715">
        <v>2016</v>
      </c>
      <c r="HW4" s="715">
        <v>2017</v>
      </c>
      <c r="HX4" s="715">
        <v>2018</v>
      </c>
      <c r="HY4" s="715">
        <v>2019</v>
      </c>
      <c r="HZ4" s="715">
        <v>2020</v>
      </c>
      <c r="IA4" s="715">
        <v>2021</v>
      </c>
      <c r="IB4" s="716">
        <v>2022</v>
      </c>
      <c r="IC4" s="715">
        <v>2017</v>
      </c>
      <c r="ID4" s="718">
        <v>2018</v>
      </c>
      <c r="IE4" s="715">
        <v>2019</v>
      </c>
      <c r="IF4" s="715">
        <v>2020</v>
      </c>
      <c r="IG4" s="715">
        <v>2021</v>
      </c>
      <c r="IH4" s="715">
        <v>2022</v>
      </c>
      <c r="II4" s="715">
        <v>2014</v>
      </c>
      <c r="IJ4" s="715">
        <v>2015</v>
      </c>
      <c r="IK4" s="715">
        <v>2016</v>
      </c>
      <c r="IL4" s="715">
        <v>2017</v>
      </c>
      <c r="IM4" s="715">
        <v>2018</v>
      </c>
      <c r="IN4" s="715">
        <v>2019</v>
      </c>
      <c r="IO4" s="715">
        <v>2020</v>
      </c>
      <c r="IP4" s="715">
        <v>2021</v>
      </c>
      <c r="IQ4" s="715">
        <v>2022</v>
      </c>
      <c r="IR4" s="715">
        <v>2014</v>
      </c>
      <c r="IS4" s="715">
        <v>2015</v>
      </c>
      <c r="IT4" s="715">
        <v>2016</v>
      </c>
      <c r="IU4" s="715">
        <v>2017</v>
      </c>
      <c r="IV4" s="715">
        <v>2018</v>
      </c>
      <c r="IW4" s="715">
        <v>2019</v>
      </c>
      <c r="IX4" s="715">
        <v>2020</v>
      </c>
      <c r="IY4" s="715">
        <v>2014</v>
      </c>
      <c r="IZ4" s="715">
        <v>2015</v>
      </c>
      <c r="JA4" s="715">
        <v>2016</v>
      </c>
      <c r="JB4" s="715">
        <v>2017</v>
      </c>
      <c r="JC4" s="715">
        <v>2018</v>
      </c>
      <c r="JD4" s="715">
        <v>2019</v>
      </c>
      <c r="JE4" s="715">
        <v>2020</v>
      </c>
      <c r="JF4" s="715">
        <v>2021</v>
      </c>
      <c r="JG4" s="715">
        <v>2022</v>
      </c>
      <c r="JH4" s="715">
        <v>2014</v>
      </c>
      <c r="JI4" s="715">
        <v>2015</v>
      </c>
      <c r="JJ4" s="715">
        <v>2016</v>
      </c>
      <c r="JK4" s="715">
        <v>2017</v>
      </c>
      <c r="JL4" s="715">
        <v>2018</v>
      </c>
      <c r="JM4" s="715">
        <v>2019</v>
      </c>
      <c r="JN4" s="715">
        <v>2020</v>
      </c>
      <c r="JO4" s="715">
        <v>2021</v>
      </c>
      <c r="JP4" s="715">
        <v>2022</v>
      </c>
      <c r="JQ4" s="715">
        <v>2019</v>
      </c>
      <c r="JR4" s="715">
        <v>2014</v>
      </c>
      <c r="JS4" s="715">
        <v>2015</v>
      </c>
      <c r="JT4" s="715">
        <v>2016</v>
      </c>
      <c r="JU4" s="715">
        <v>2017</v>
      </c>
      <c r="JV4" s="715">
        <v>2018</v>
      </c>
      <c r="JW4" s="715">
        <v>2019</v>
      </c>
      <c r="JX4" s="715">
        <v>2020</v>
      </c>
      <c r="JY4" s="715">
        <v>2021</v>
      </c>
      <c r="JZ4" s="715">
        <v>2022</v>
      </c>
      <c r="KA4" s="715">
        <v>2014</v>
      </c>
      <c r="KB4" s="715">
        <v>2015</v>
      </c>
      <c r="KC4" s="715">
        <v>2016</v>
      </c>
      <c r="KD4" s="715">
        <v>2017</v>
      </c>
      <c r="KE4" s="715">
        <v>2018</v>
      </c>
      <c r="KF4" s="715">
        <v>2019</v>
      </c>
      <c r="KG4" s="715">
        <v>2020</v>
      </c>
      <c r="KH4" s="715">
        <v>2021</v>
      </c>
      <c r="KI4" s="715">
        <v>2022</v>
      </c>
      <c r="KJ4" s="719">
        <v>2014</v>
      </c>
      <c r="KK4" s="719">
        <v>2015</v>
      </c>
      <c r="KL4" s="719">
        <v>2016</v>
      </c>
      <c r="KM4" s="719">
        <v>2017</v>
      </c>
      <c r="KN4" s="719">
        <v>2018</v>
      </c>
      <c r="KO4" s="719">
        <v>2019</v>
      </c>
      <c r="KP4" s="719">
        <v>2020</v>
      </c>
      <c r="KQ4" s="719">
        <v>2021</v>
      </c>
      <c r="KR4" s="716">
        <v>2022</v>
      </c>
    </row>
    <row r="5" spans="1:305" s="737" customFormat="1" ht="12.75" x14ac:dyDescent="0.25">
      <c r="A5" s="720">
        <v>1</v>
      </c>
      <c r="B5" s="721" t="s">
        <v>143</v>
      </c>
      <c r="C5" s="722">
        <v>132</v>
      </c>
      <c r="D5" s="722">
        <v>84</v>
      </c>
      <c r="E5" s="723">
        <v>84</v>
      </c>
      <c r="F5" s="724">
        <v>84</v>
      </c>
      <c r="G5" s="724">
        <v>72</v>
      </c>
      <c r="H5" s="724">
        <v>84</v>
      </c>
      <c r="I5" s="724">
        <v>82</v>
      </c>
      <c r="J5" s="724">
        <v>82</v>
      </c>
      <c r="K5" s="725">
        <v>70</v>
      </c>
      <c r="L5" s="722">
        <v>144</v>
      </c>
      <c r="M5" s="722">
        <v>92</v>
      </c>
      <c r="N5" s="723">
        <v>104</v>
      </c>
      <c r="O5" s="724">
        <v>115</v>
      </c>
      <c r="P5" s="724">
        <v>117</v>
      </c>
      <c r="Q5" s="724">
        <v>119</v>
      </c>
      <c r="R5" s="724">
        <v>119</v>
      </c>
      <c r="S5" s="724">
        <v>113</v>
      </c>
      <c r="T5" s="725">
        <v>110</v>
      </c>
      <c r="U5" s="722">
        <v>141</v>
      </c>
      <c r="V5" s="722">
        <v>87</v>
      </c>
      <c r="W5" s="723">
        <v>86</v>
      </c>
      <c r="X5" s="724">
        <v>86</v>
      </c>
      <c r="Y5" s="726">
        <v>86</v>
      </c>
      <c r="Z5" s="726">
        <v>86</v>
      </c>
      <c r="AA5" s="726">
        <v>85</v>
      </c>
      <c r="AB5" s="726">
        <v>83</v>
      </c>
      <c r="AC5" s="727">
        <v>82</v>
      </c>
      <c r="AD5" s="722">
        <v>165</v>
      </c>
      <c r="AE5" s="722">
        <v>99</v>
      </c>
      <c r="AF5" s="724">
        <v>105</v>
      </c>
      <c r="AG5" s="724">
        <v>105</v>
      </c>
      <c r="AH5" s="724">
        <v>106</v>
      </c>
      <c r="AI5" s="724">
        <v>105</v>
      </c>
      <c r="AJ5" s="724">
        <v>103</v>
      </c>
      <c r="AK5" s="724">
        <v>103</v>
      </c>
      <c r="AL5" s="725">
        <v>91</v>
      </c>
      <c r="AM5" s="728">
        <v>0</v>
      </c>
      <c r="AN5" s="728">
        <v>0</v>
      </c>
      <c r="AO5" s="728">
        <v>0</v>
      </c>
      <c r="AP5" s="728">
        <v>0</v>
      </c>
      <c r="AQ5" s="729">
        <v>0</v>
      </c>
      <c r="AR5" s="722">
        <v>21</v>
      </c>
      <c r="AS5" s="722">
        <v>13</v>
      </c>
      <c r="AT5" s="723">
        <v>12</v>
      </c>
      <c r="AU5" s="723">
        <v>12</v>
      </c>
      <c r="AV5" s="723">
        <v>12</v>
      </c>
      <c r="AW5" s="723">
        <v>12</v>
      </c>
      <c r="AX5" s="723">
        <v>11</v>
      </c>
      <c r="AY5" s="723">
        <v>7</v>
      </c>
      <c r="AZ5" s="730">
        <v>7</v>
      </c>
      <c r="BA5" s="722">
        <v>4</v>
      </c>
      <c r="BB5" s="722">
        <v>3</v>
      </c>
      <c r="BC5" s="723">
        <v>4</v>
      </c>
      <c r="BD5" s="723">
        <v>3</v>
      </c>
      <c r="BE5" s="723">
        <v>4</v>
      </c>
      <c r="BF5" s="723">
        <v>4</v>
      </c>
      <c r="BG5" s="723">
        <v>7</v>
      </c>
      <c r="BH5" s="723">
        <v>7</v>
      </c>
      <c r="BI5" s="730">
        <v>0</v>
      </c>
      <c r="BJ5" s="722">
        <v>6</v>
      </c>
      <c r="BK5" s="722">
        <v>5</v>
      </c>
      <c r="BL5" s="723">
        <v>6</v>
      </c>
      <c r="BM5" s="731">
        <v>6</v>
      </c>
      <c r="BN5" s="731">
        <v>5</v>
      </c>
      <c r="BO5" s="731">
        <v>5</v>
      </c>
      <c r="BP5" s="731">
        <v>5</v>
      </c>
      <c r="BQ5" s="731">
        <v>6</v>
      </c>
      <c r="BR5" s="732">
        <v>9</v>
      </c>
      <c r="BS5" s="731">
        <v>0</v>
      </c>
      <c r="BT5" s="731">
        <v>0</v>
      </c>
      <c r="BU5" s="731">
        <v>0</v>
      </c>
      <c r="BV5" s="731">
        <v>0</v>
      </c>
      <c r="BW5" s="732">
        <v>0</v>
      </c>
      <c r="BX5" s="722">
        <v>7</v>
      </c>
      <c r="BY5" s="722">
        <v>4</v>
      </c>
      <c r="BZ5" s="723">
        <v>5</v>
      </c>
      <c r="CA5" s="731">
        <v>5</v>
      </c>
      <c r="CB5" s="731">
        <v>5</v>
      </c>
      <c r="CC5" s="731">
        <v>5</v>
      </c>
      <c r="CD5" s="731">
        <v>5</v>
      </c>
      <c r="CE5" s="731">
        <v>4</v>
      </c>
      <c r="CF5" s="732">
        <v>4</v>
      </c>
      <c r="CG5" s="731">
        <v>1</v>
      </c>
      <c r="CH5" s="731">
        <v>2</v>
      </c>
      <c r="CI5" s="731">
        <v>2</v>
      </c>
      <c r="CJ5" s="731">
        <v>2</v>
      </c>
      <c r="CK5" s="732">
        <v>2</v>
      </c>
      <c r="CL5" s="722">
        <v>8</v>
      </c>
      <c r="CM5" s="722">
        <v>5</v>
      </c>
      <c r="CN5" s="723">
        <v>5</v>
      </c>
      <c r="CO5" s="724">
        <v>5</v>
      </c>
      <c r="CP5" s="724">
        <v>5</v>
      </c>
      <c r="CQ5" s="724">
        <v>6</v>
      </c>
      <c r="CR5" s="724">
        <v>7</v>
      </c>
      <c r="CS5" s="724">
        <v>9</v>
      </c>
      <c r="CT5" s="725">
        <v>9</v>
      </c>
      <c r="CU5" s="722">
        <v>25</v>
      </c>
      <c r="CV5" s="722">
        <v>16</v>
      </c>
      <c r="CW5" s="723">
        <v>17</v>
      </c>
      <c r="CX5" s="724">
        <v>15</v>
      </c>
      <c r="CY5" s="724">
        <v>14</v>
      </c>
      <c r="CZ5" s="724">
        <v>13</v>
      </c>
      <c r="DA5" s="724">
        <v>12</v>
      </c>
      <c r="DB5" s="724">
        <v>12</v>
      </c>
      <c r="DC5" s="725">
        <v>12</v>
      </c>
      <c r="DD5" s="722">
        <v>3</v>
      </c>
      <c r="DE5" s="722">
        <v>1</v>
      </c>
      <c r="DF5" s="723">
        <v>1</v>
      </c>
      <c r="DG5" s="724">
        <v>2</v>
      </c>
      <c r="DH5" s="724">
        <v>2</v>
      </c>
      <c r="DI5" s="724">
        <v>14</v>
      </c>
      <c r="DJ5" s="724">
        <v>16</v>
      </c>
      <c r="DK5" s="724">
        <v>16</v>
      </c>
      <c r="DL5" s="725">
        <v>16</v>
      </c>
      <c r="DM5" s="723">
        <v>1</v>
      </c>
      <c r="DN5" s="723">
        <v>1</v>
      </c>
      <c r="DO5" s="723">
        <v>2</v>
      </c>
      <c r="DP5" s="723">
        <v>2</v>
      </c>
      <c r="DQ5" s="723">
        <v>1</v>
      </c>
      <c r="DR5" s="723">
        <v>1</v>
      </c>
      <c r="DS5" s="730">
        <v>1</v>
      </c>
      <c r="DT5" s="724">
        <v>2</v>
      </c>
      <c r="DU5" s="724">
        <v>2</v>
      </c>
      <c r="DV5" s="723">
        <v>2</v>
      </c>
      <c r="DW5" s="724">
        <v>2</v>
      </c>
      <c r="DX5" s="724">
        <v>5</v>
      </c>
      <c r="DY5" s="724">
        <v>5</v>
      </c>
      <c r="DZ5" s="724">
        <v>7</v>
      </c>
      <c r="EA5" s="724">
        <v>9</v>
      </c>
      <c r="EB5" s="725">
        <v>8</v>
      </c>
      <c r="EC5" s="724">
        <v>3</v>
      </c>
      <c r="ED5" s="724">
        <v>3</v>
      </c>
      <c r="EE5" s="723">
        <v>3</v>
      </c>
      <c r="EF5" s="724">
        <v>3</v>
      </c>
      <c r="EG5" s="724">
        <v>10</v>
      </c>
      <c r="EH5" s="724">
        <v>13</v>
      </c>
      <c r="EI5" s="724">
        <v>13</v>
      </c>
      <c r="EJ5" s="724">
        <v>11</v>
      </c>
      <c r="EK5" s="725">
        <v>9</v>
      </c>
      <c r="EL5" s="731">
        <v>0</v>
      </c>
      <c r="EM5" s="731">
        <v>0</v>
      </c>
      <c r="EN5" s="731">
        <v>0</v>
      </c>
      <c r="EO5" s="731">
        <v>0</v>
      </c>
      <c r="EP5" s="731">
        <v>0</v>
      </c>
      <c r="EQ5" s="722">
        <v>1</v>
      </c>
      <c r="ER5" s="722">
        <v>1</v>
      </c>
      <c r="ES5" s="723">
        <v>1</v>
      </c>
      <c r="ET5" s="724">
        <v>1</v>
      </c>
      <c r="EU5" s="724">
        <v>0</v>
      </c>
      <c r="EV5" s="724">
        <v>1</v>
      </c>
      <c r="EW5" s="724">
        <v>1</v>
      </c>
      <c r="EX5" s="724">
        <v>0</v>
      </c>
      <c r="EY5" s="725">
        <v>0</v>
      </c>
      <c r="EZ5" s="722">
        <v>12</v>
      </c>
      <c r="FA5" s="722">
        <v>6</v>
      </c>
      <c r="FB5" s="723">
        <v>6</v>
      </c>
      <c r="FC5" s="724">
        <v>6</v>
      </c>
      <c r="FD5" s="724">
        <v>6</v>
      </c>
      <c r="FE5" s="724">
        <v>6</v>
      </c>
      <c r="FF5" s="724">
        <v>6</v>
      </c>
      <c r="FG5" s="724">
        <v>6</v>
      </c>
      <c r="FH5" s="725">
        <v>6</v>
      </c>
      <c r="FI5" s="722">
        <v>12</v>
      </c>
      <c r="FJ5" s="722">
        <v>7</v>
      </c>
      <c r="FK5" s="723">
        <v>7</v>
      </c>
      <c r="FL5" s="724">
        <v>8</v>
      </c>
      <c r="FM5" s="724">
        <v>8</v>
      </c>
      <c r="FN5" s="724">
        <v>8</v>
      </c>
      <c r="FO5" s="724">
        <v>9</v>
      </c>
      <c r="FP5" s="724">
        <v>9</v>
      </c>
      <c r="FQ5" s="725">
        <v>9</v>
      </c>
      <c r="FR5" s="722">
        <v>4</v>
      </c>
      <c r="FS5" s="722">
        <v>4</v>
      </c>
      <c r="FT5" s="723">
        <v>5</v>
      </c>
      <c r="FU5" s="724">
        <v>5</v>
      </c>
      <c r="FV5" s="724">
        <v>5</v>
      </c>
      <c r="FW5" s="724">
        <v>5</v>
      </c>
      <c r="FX5" s="724">
        <v>5</v>
      </c>
      <c r="FY5" s="724">
        <v>6</v>
      </c>
      <c r="FZ5" s="725">
        <v>6</v>
      </c>
      <c r="GA5" s="722">
        <v>14</v>
      </c>
      <c r="GB5" s="722">
        <v>10</v>
      </c>
      <c r="GC5" s="723">
        <v>10</v>
      </c>
      <c r="GD5" s="724">
        <v>10</v>
      </c>
      <c r="GE5" s="724">
        <v>15</v>
      </c>
      <c r="GF5" s="724">
        <v>15</v>
      </c>
      <c r="GG5" s="724">
        <v>17</v>
      </c>
      <c r="GH5" s="724">
        <v>16</v>
      </c>
      <c r="GI5" s="725">
        <v>16</v>
      </c>
      <c r="GJ5" s="722">
        <v>4</v>
      </c>
      <c r="GK5" s="722">
        <v>2</v>
      </c>
      <c r="GL5" s="723">
        <v>4</v>
      </c>
      <c r="GM5" s="724">
        <v>8</v>
      </c>
      <c r="GN5" s="724">
        <v>8</v>
      </c>
      <c r="GO5" s="724">
        <v>13</v>
      </c>
      <c r="GP5" s="724">
        <v>13</v>
      </c>
      <c r="GQ5" s="724">
        <v>13</v>
      </c>
      <c r="GR5" s="725">
        <v>13</v>
      </c>
      <c r="GS5" s="724">
        <v>5</v>
      </c>
      <c r="GT5" s="724">
        <v>2</v>
      </c>
      <c r="GU5" s="723">
        <v>2</v>
      </c>
      <c r="GV5" s="724">
        <v>2</v>
      </c>
      <c r="GW5" s="724">
        <v>2</v>
      </c>
      <c r="GX5" s="724">
        <v>2</v>
      </c>
      <c r="GY5" s="724">
        <v>2</v>
      </c>
      <c r="GZ5" s="724">
        <v>2</v>
      </c>
      <c r="HA5" s="725">
        <v>2</v>
      </c>
      <c r="HB5" s="722">
        <v>1</v>
      </c>
      <c r="HC5" s="722">
        <v>1</v>
      </c>
      <c r="HD5" s="723">
        <v>1</v>
      </c>
      <c r="HE5" s="724">
        <v>0</v>
      </c>
      <c r="HF5" s="724">
        <v>1</v>
      </c>
      <c r="HG5" s="724">
        <v>1</v>
      </c>
      <c r="HH5" s="724">
        <v>1</v>
      </c>
      <c r="HI5" s="724">
        <v>1</v>
      </c>
      <c r="HJ5" s="725">
        <v>1</v>
      </c>
      <c r="HK5" s="722">
        <v>4</v>
      </c>
      <c r="HL5" s="722">
        <v>4</v>
      </c>
      <c r="HM5" s="723">
        <v>4</v>
      </c>
      <c r="HN5" s="724">
        <v>4</v>
      </c>
      <c r="HO5" s="724">
        <v>2</v>
      </c>
      <c r="HP5" s="724">
        <v>2</v>
      </c>
      <c r="HQ5" s="724">
        <v>2</v>
      </c>
      <c r="HR5" s="724">
        <v>2</v>
      </c>
      <c r="HS5" s="725">
        <v>2</v>
      </c>
      <c r="HT5" s="733">
        <f t="shared" ref="HT5:HU34" si="0">AR5+BA5+BJ5+BX5+CL5+CU5+DD5+DT5+EC5+EQ5+EZ5+FI5+FR5+GA5+GJ5+GS5+C5+L5+U5+AD5+HB5+HK5</f>
        <v>718</v>
      </c>
      <c r="HU5" s="733">
        <f t="shared" si="0"/>
        <v>451</v>
      </c>
      <c r="HV5" s="733">
        <f t="shared" ref="HV5:HW34" si="1">AT5+BC5+BL5+BZ5+CN5+CW5+DF5+DV5+EE5+ES5+FB5+FK5+FT5+GC5+GL5+GU5+E5+N5+W5+AF5+HD5+HM5+DM5</f>
        <v>475</v>
      </c>
      <c r="HW5" s="733">
        <f t="shared" si="1"/>
        <v>488</v>
      </c>
      <c r="HX5" s="733">
        <f t="shared" ref="HX5:HZ34" si="2">AV5+BE5+BN5+CB5+CP5+CY5+DH5+DX5+EG5+EU5+FD5+FM5+FV5+GE5+GN5+GW5+G5+P5+Y5+AH5+HF5+HO5+DO5+AM5+BS5+CG5+EL5</f>
        <v>493</v>
      </c>
      <c r="HY5" s="733">
        <f t="shared" si="2"/>
        <v>528</v>
      </c>
      <c r="HZ5" s="733">
        <f t="shared" si="2"/>
        <v>531</v>
      </c>
      <c r="IA5" s="733">
        <v>520</v>
      </c>
      <c r="IB5" s="734">
        <v>485</v>
      </c>
      <c r="IC5" s="735">
        <v>0</v>
      </c>
      <c r="ID5" s="735">
        <v>2</v>
      </c>
      <c r="IE5" s="735">
        <v>2</v>
      </c>
      <c r="IF5" s="735">
        <v>2</v>
      </c>
      <c r="IG5" s="735">
        <v>2</v>
      </c>
      <c r="IH5" s="735">
        <v>2</v>
      </c>
      <c r="II5" s="735">
        <v>3</v>
      </c>
      <c r="IJ5" s="735">
        <v>2</v>
      </c>
      <c r="IK5" s="735">
        <v>2</v>
      </c>
      <c r="IL5" s="735">
        <v>2</v>
      </c>
      <c r="IM5" s="735">
        <v>2</v>
      </c>
      <c r="IN5" s="735">
        <v>3</v>
      </c>
      <c r="IO5" s="735">
        <v>5</v>
      </c>
      <c r="IP5" s="735">
        <v>6</v>
      </c>
      <c r="IQ5" s="735">
        <v>7</v>
      </c>
      <c r="IR5" s="735">
        <v>3</v>
      </c>
      <c r="IS5" s="735">
        <v>3</v>
      </c>
      <c r="IT5" s="735">
        <v>3</v>
      </c>
      <c r="IU5" s="735">
        <v>3</v>
      </c>
      <c r="IV5" s="735">
        <v>8</v>
      </c>
      <c r="IW5" s="735">
        <v>8</v>
      </c>
      <c r="IX5" s="735">
        <v>8</v>
      </c>
      <c r="IY5" s="735">
        <v>1</v>
      </c>
      <c r="IZ5" s="735">
        <v>1</v>
      </c>
      <c r="JA5" s="735">
        <v>1</v>
      </c>
      <c r="JB5" s="735">
        <v>0</v>
      </c>
      <c r="JC5" s="735">
        <v>0</v>
      </c>
      <c r="JD5" s="735">
        <v>0</v>
      </c>
      <c r="JE5" s="735">
        <v>2</v>
      </c>
      <c r="JF5" s="735">
        <v>2</v>
      </c>
      <c r="JG5" s="735">
        <v>4</v>
      </c>
      <c r="JH5" s="735">
        <v>1</v>
      </c>
      <c r="JI5" s="735">
        <v>1</v>
      </c>
      <c r="JJ5" s="735">
        <v>0</v>
      </c>
      <c r="JK5" s="735">
        <v>0</v>
      </c>
      <c r="JL5" s="735">
        <v>0</v>
      </c>
      <c r="JM5" s="735">
        <v>0</v>
      </c>
      <c r="JN5" s="735">
        <v>0</v>
      </c>
      <c r="JO5" s="735">
        <v>4</v>
      </c>
      <c r="JP5" s="735">
        <v>8</v>
      </c>
      <c r="JQ5" s="735">
        <v>0</v>
      </c>
      <c r="JR5" s="735">
        <v>20</v>
      </c>
      <c r="JS5" s="735">
        <v>15</v>
      </c>
      <c r="JT5" s="735">
        <v>16</v>
      </c>
      <c r="JU5" s="735">
        <v>14</v>
      </c>
      <c r="JV5" s="735">
        <v>16</v>
      </c>
      <c r="JW5" s="735">
        <v>18</v>
      </c>
      <c r="JX5" s="735">
        <v>29</v>
      </c>
      <c r="JY5" s="735">
        <v>42</v>
      </c>
      <c r="JZ5" s="735">
        <v>44</v>
      </c>
      <c r="KA5" s="736">
        <v>28</v>
      </c>
      <c r="KB5" s="736">
        <v>22</v>
      </c>
      <c r="KC5" s="736">
        <v>22</v>
      </c>
      <c r="KD5" s="736">
        <v>19</v>
      </c>
      <c r="KE5" s="736">
        <v>28</v>
      </c>
      <c r="KF5" s="736">
        <v>31</v>
      </c>
      <c r="KG5" s="736">
        <v>46</v>
      </c>
      <c r="KH5" s="736">
        <v>56</v>
      </c>
      <c r="KI5" s="736">
        <v>65</v>
      </c>
      <c r="KJ5" s="736">
        <v>746</v>
      </c>
      <c r="KK5" s="736">
        <v>473</v>
      </c>
      <c r="KL5" s="736">
        <v>497</v>
      </c>
      <c r="KM5" s="736">
        <v>507</v>
      </c>
      <c r="KN5" s="736">
        <v>521</v>
      </c>
      <c r="KO5" s="736">
        <v>559</v>
      </c>
      <c r="KP5" s="736">
        <v>577</v>
      </c>
      <c r="KQ5" s="736">
        <v>576</v>
      </c>
      <c r="KR5" s="807">
        <v>550</v>
      </c>
      <c r="KS5" s="808"/>
    </row>
    <row r="6" spans="1:305" s="737" customFormat="1" ht="12.75" x14ac:dyDescent="0.25">
      <c r="A6" s="720">
        <v>2</v>
      </c>
      <c r="B6" s="721" t="s">
        <v>144</v>
      </c>
      <c r="C6" s="738">
        <v>4</v>
      </c>
      <c r="D6" s="738">
        <v>5</v>
      </c>
      <c r="E6" s="739">
        <v>5</v>
      </c>
      <c r="F6" s="740">
        <v>5</v>
      </c>
      <c r="G6" s="740">
        <v>3</v>
      </c>
      <c r="H6" s="740">
        <v>4</v>
      </c>
      <c r="I6" s="740">
        <v>3</v>
      </c>
      <c r="J6" s="740">
        <v>3</v>
      </c>
      <c r="K6" s="741">
        <v>3</v>
      </c>
      <c r="L6" s="738">
        <v>3</v>
      </c>
      <c r="M6" s="738">
        <v>3</v>
      </c>
      <c r="N6" s="739">
        <v>3</v>
      </c>
      <c r="O6" s="740">
        <v>3</v>
      </c>
      <c r="P6" s="740">
        <v>3</v>
      </c>
      <c r="Q6" s="740">
        <v>2</v>
      </c>
      <c r="R6" s="740">
        <v>1</v>
      </c>
      <c r="S6" s="740">
        <v>3</v>
      </c>
      <c r="T6" s="741">
        <v>3</v>
      </c>
      <c r="U6" s="738">
        <v>4</v>
      </c>
      <c r="V6" s="738">
        <v>4</v>
      </c>
      <c r="W6" s="739">
        <v>4</v>
      </c>
      <c r="X6" s="740">
        <v>4</v>
      </c>
      <c r="Y6" s="742">
        <v>4</v>
      </c>
      <c r="Z6" s="742">
        <v>4</v>
      </c>
      <c r="AA6" s="742">
        <v>3</v>
      </c>
      <c r="AB6" s="742">
        <v>3</v>
      </c>
      <c r="AC6" s="743">
        <v>3</v>
      </c>
      <c r="AD6" s="738">
        <v>2</v>
      </c>
      <c r="AE6" s="738">
        <v>2</v>
      </c>
      <c r="AF6" s="739">
        <v>2</v>
      </c>
      <c r="AG6" s="740">
        <v>2</v>
      </c>
      <c r="AH6" s="740">
        <v>2</v>
      </c>
      <c r="AI6" s="740">
        <v>1</v>
      </c>
      <c r="AJ6" s="740">
        <v>1</v>
      </c>
      <c r="AK6" s="740">
        <v>1</v>
      </c>
      <c r="AL6" s="741">
        <v>1</v>
      </c>
      <c r="AM6" s="744">
        <v>0</v>
      </c>
      <c r="AN6" s="744">
        <v>0</v>
      </c>
      <c r="AO6" s="744">
        <v>0</v>
      </c>
      <c r="AP6" s="744">
        <v>0</v>
      </c>
      <c r="AQ6" s="745">
        <v>0</v>
      </c>
      <c r="AR6" s="738">
        <v>0</v>
      </c>
      <c r="AS6" s="738">
        <v>0</v>
      </c>
      <c r="AT6" s="739">
        <v>0</v>
      </c>
      <c r="AU6" s="739">
        <v>0</v>
      </c>
      <c r="AV6" s="739">
        <v>0</v>
      </c>
      <c r="AW6" s="739">
        <v>0</v>
      </c>
      <c r="AX6" s="739">
        <v>0</v>
      </c>
      <c r="AY6" s="739">
        <v>0</v>
      </c>
      <c r="AZ6" s="746">
        <v>0</v>
      </c>
      <c r="BA6" s="738">
        <v>0</v>
      </c>
      <c r="BB6" s="738">
        <v>0</v>
      </c>
      <c r="BC6" s="739">
        <v>0</v>
      </c>
      <c r="BD6" s="739">
        <v>0</v>
      </c>
      <c r="BE6" s="739">
        <v>0</v>
      </c>
      <c r="BF6" s="739">
        <v>0</v>
      </c>
      <c r="BG6" s="739">
        <v>0</v>
      </c>
      <c r="BH6" s="739">
        <v>0</v>
      </c>
      <c r="BI6" s="746">
        <v>0</v>
      </c>
      <c r="BJ6" s="738">
        <v>0</v>
      </c>
      <c r="BK6" s="738">
        <v>0</v>
      </c>
      <c r="BL6" s="739">
        <v>0</v>
      </c>
      <c r="BM6" s="747">
        <v>0</v>
      </c>
      <c r="BN6" s="747">
        <v>0</v>
      </c>
      <c r="BO6" s="747">
        <v>0</v>
      </c>
      <c r="BP6" s="747">
        <v>0</v>
      </c>
      <c r="BQ6" s="747">
        <v>0</v>
      </c>
      <c r="BR6" s="748">
        <v>0</v>
      </c>
      <c r="BS6" s="747">
        <v>0</v>
      </c>
      <c r="BT6" s="747">
        <v>0</v>
      </c>
      <c r="BU6" s="747">
        <v>0</v>
      </c>
      <c r="BV6" s="747">
        <v>0</v>
      </c>
      <c r="BW6" s="748">
        <v>0</v>
      </c>
      <c r="BX6" s="738">
        <v>0</v>
      </c>
      <c r="BY6" s="738">
        <v>0</v>
      </c>
      <c r="BZ6" s="739">
        <v>0</v>
      </c>
      <c r="CA6" s="747">
        <v>0</v>
      </c>
      <c r="CB6" s="747">
        <v>0</v>
      </c>
      <c r="CC6" s="747">
        <v>0</v>
      </c>
      <c r="CD6" s="747">
        <v>0</v>
      </c>
      <c r="CE6" s="747">
        <v>0</v>
      </c>
      <c r="CF6" s="748">
        <v>1</v>
      </c>
      <c r="CG6" s="747">
        <v>0</v>
      </c>
      <c r="CH6" s="747">
        <v>0</v>
      </c>
      <c r="CI6" s="747">
        <v>0</v>
      </c>
      <c r="CJ6" s="747">
        <v>0</v>
      </c>
      <c r="CK6" s="748">
        <v>0</v>
      </c>
      <c r="CL6" s="738">
        <v>0</v>
      </c>
      <c r="CM6" s="738">
        <v>0</v>
      </c>
      <c r="CN6" s="739">
        <v>0</v>
      </c>
      <c r="CO6" s="740">
        <v>0</v>
      </c>
      <c r="CP6" s="740">
        <v>0</v>
      </c>
      <c r="CQ6" s="740">
        <v>0</v>
      </c>
      <c r="CR6" s="740">
        <v>0</v>
      </c>
      <c r="CS6" s="740">
        <v>0</v>
      </c>
      <c r="CT6" s="741">
        <v>0</v>
      </c>
      <c r="CU6" s="738">
        <v>0</v>
      </c>
      <c r="CV6" s="738">
        <v>0</v>
      </c>
      <c r="CW6" s="739">
        <v>0</v>
      </c>
      <c r="CX6" s="740">
        <v>0</v>
      </c>
      <c r="CY6" s="740">
        <v>0</v>
      </c>
      <c r="CZ6" s="740">
        <v>0</v>
      </c>
      <c r="DA6" s="740">
        <v>0</v>
      </c>
      <c r="DB6" s="740">
        <v>0</v>
      </c>
      <c r="DC6" s="741">
        <v>0</v>
      </c>
      <c r="DD6" s="738">
        <v>0</v>
      </c>
      <c r="DE6" s="738">
        <v>0</v>
      </c>
      <c r="DF6" s="739">
        <v>0</v>
      </c>
      <c r="DG6" s="740">
        <v>0</v>
      </c>
      <c r="DH6" s="740">
        <v>0</v>
      </c>
      <c r="DI6" s="740">
        <v>0</v>
      </c>
      <c r="DJ6" s="740">
        <v>0</v>
      </c>
      <c r="DK6" s="740">
        <v>0</v>
      </c>
      <c r="DL6" s="741">
        <v>0</v>
      </c>
      <c r="DM6" s="739">
        <v>0</v>
      </c>
      <c r="DN6" s="739">
        <v>0</v>
      </c>
      <c r="DO6" s="739">
        <v>0</v>
      </c>
      <c r="DP6" s="739">
        <v>0</v>
      </c>
      <c r="DQ6" s="739">
        <v>0</v>
      </c>
      <c r="DR6" s="739">
        <v>0</v>
      </c>
      <c r="DS6" s="746">
        <v>0</v>
      </c>
      <c r="DT6" s="740">
        <v>0</v>
      </c>
      <c r="DU6" s="740">
        <v>0</v>
      </c>
      <c r="DV6" s="739">
        <v>0</v>
      </c>
      <c r="DW6" s="740">
        <v>1</v>
      </c>
      <c r="DX6" s="740">
        <v>0</v>
      </c>
      <c r="DY6" s="740">
        <v>1</v>
      </c>
      <c r="DZ6" s="740">
        <v>1</v>
      </c>
      <c r="EA6" s="740">
        <v>0</v>
      </c>
      <c r="EB6" s="741">
        <v>1</v>
      </c>
      <c r="EC6" s="740">
        <v>0</v>
      </c>
      <c r="ED6" s="740">
        <v>0</v>
      </c>
      <c r="EE6" s="739">
        <v>0</v>
      </c>
      <c r="EF6" s="740">
        <v>0</v>
      </c>
      <c r="EG6" s="740">
        <v>0</v>
      </c>
      <c r="EH6" s="740">
        <v>0</v>
      </c>
      <c r="EI6" s="740">
        <v>0</v>
      </c>
      <c r="EJ6" s="740">
        <v>0</v>
      </c>
      <c r="EK6" s="741">
        <v>0</v>
      </c>
      <c r="EL6" s="747">
        <v>0</v>
      </c>
      <c r="EM6" s="747">
        <v>0</v>
      </c>
      <c r="EN6" s="747">
        <v>0</v>
      </c>
      <c r="EO6" s="747">
        <v>0</v>
      </c>
      <c r="EP6" s="747">
        <v>0</v>
      </c>
      <c r="EQ6" s="738">
        <v>0</v>
      </c>
      <c r="ER6" s="738">
        <v>0</v>
      </c>
      <c r="ES6" s="739">
        <v>0</v>
      </c>
      <c r="ET6" s="740">
        <v>0</v>
      </c>
      <c r="EU6" s="740">
        <v>0</v>
      </c>
      <c r="EV6" s="740">
        <v>0</v>
      </c>
      <c r="EW6" s="740">
        <v>0</v>
      </c>
      <c r="EX6" s="740">
        <v>0</v>
      </c>
      <c r="EY6" s="741">
        <v>0</v>
      </c>
      <c r="EZ6" s="738">
        <v>0</v>
      </c>
      <c r="FA6" s="738">
        <v>0</v>
      </c>
      <c r="FB6" s="739">
        <v>0</v>
      </c>
      <c r="FC6" s="740">
        <v>0</v>
      </c>
      <c r="FD6" s="740">
        <v>0</v>
      </c>
      <c r="FE6" s="740">
        <v>0</v>
      </c>
      <c r="FF6" s="740">
        <v>0</v>
      </c>
      <c r="FG6" s="740">
        <v>0</v>
      </c>
      <c r="FH6" s="741">
        <v>0</v>
      </c>
      <c r="FI6" s="738">
        <v>0</v>
      </c>
      <c r="FJ6" s="738">
        <v>0</v>
      </c>
      <c r="FK6" s="739">
        <v>0</v>
      </c>
      <c r="FL6" s="740">
        <v>0</v>
      </c>
      <c r="FM6" s="740">
        <v>0</v>
      </c>
      <c r="FN6" s="740">
        <v>0</v>
      </c>
      <c r="FO6" s="740">
        <v>0</v>
      </c>
      <c r="FP6" s="740">
        <v>0</v>
      </c>
      <c r="FQ6" s="741">
        <v>0</v>
      </c>
      <c r="FR6" s="738">
        <v>0</v>
      </c>
      <c r="FS6" s="738">
        <v>0</v>
      </c>
      <c r="FT6" s="739">
        <v>0</v>
      </c>
      <c r="FU6" s="740">
        <v>0</v>
      </c>
      <c r="FV6" s="740">
        <v>0</v>
      </c>
      <c r="FW6" s="740">
        <v>0</v>
      </c>
      <c r="FX6" s="740">
        <v>0</v>
      </c>
      <c r="FY6" s="740">
        <v>0</v>
      </c>
      <c r="FZ6" s="741">
        <v>0</v>
      </c>
      <c r="GA6" s="738">
        <v>0</v>
      </c>
      <c r="GB6" s="738">
        <v>0</v>
      </c>
      <c r="GC6" s="739">
        <v>0</v>
      </c>
      <c r="GD6" s="740">
        <v>0</v>
      </c>
      <c r="GE6" s="740">
        <v>0</v>
      </c>
      <c r="GF6" s="740">
        <v>0</v>
      </c>
      <c r="GG6" s="740">
        <v>0</v>
      </c>
      <c r="GH6" s="740">
        <v>0</v>
      </c>
      <c r="GI6" s="741">
        <v>0</v>
      </c>
      <c r="GJ6" s="738">
        <v>0</v>
      </c>
      <c r="GK6" s="738">
        <v>0</v>
      </c>
      <c r="GL6" s="739">
        <v>0</v>
      </c>
      <c r="GM6" s="740">
        <v>0</v>
      </c>
      <c r="GN6" s="740">
        <v>0</v>
      </c>
      <c r="GO6" s="740">
        <v>0</v>
      </c>
      <c r="GP6" s="740">
        <v>0</v>
      </c>
      <c r="GQ6" s="740">
        <v>0</v>
      </c>
      <c r="GR6" s="741">
        <v>0</v>
      </c>
      <c r="GS6" s="740">
        <v>0</v>
      </c>
      <c r="GT6" s="740">
        <v>0</v>
      </c>
      <c r="GU6" s="739">
        <v>0</v>
      </c>
      <c r="GV6" s="740">
        <v>0</v>
      </c>
      <c r="GW6" s="740">
        <v>0</v>
      </c>
      <c r="GX6" s="740">
        <v>0</v>
      </c>
      <c r="GY6" s="740">
        <v>0</v>
      </c>
      <c r="GZ6" s="740">
        <v>0</v>
      </c>
      <c r="HA6" s="741">
        <v>0</v>
      </c>
      <c r="HB6" s="738">
        <v>0</v>
      </c>
      <c r="HC6" s="738">
        <v>0</v>
      </c>
      <c r="HD6" s="739">
        <v>0</v>
      </c>
      <c r="HE6" s="740">
        <v>0</v>
      </c>
      <c r="HF6" s="740">
        <v>0</v>
      </c>
      <c r="HG6" s="740">
        <v>0</v>
      </c>
      <c r="HH6" s="740">
        <v>0</v>
      </c>
      <c r="HI6" s="740">
        <v>0</v>
      </c>
      <c r="HJ6" s="741">
        <v>0</v>
      </c>
      <c r="HK6" s="738">
        <v>0</v>
      </c>
      <c r="HL6" s="738">
        <v>0</v>
      </c>
      <c r="HM6" s="739">
        <v>0</v>
      </c>
      <c r="HN6" s="740">
        <v>0</v>
      </c>
      <c r="HO6" s="740">
        <v>0</v>
      </c>
      <c r="HP6" s="740">
        <v>0</v>
      </c>
      <c r="HQ6" s="740">
        <v>0</v>
      </c>
      <c r="HR6" s="740">
        <v>0</v>
      </c>
      <c r="HS6" s="741">
        <v>0</v>
      </c>
      <c r="HT6" s="749">
        <f t="shared" si="0"/>
        <v>13</v>
      </c>
      <c r="HU6" s="749">
        <f t="shared" si="0"/>
        <v>14</v>
      </c>
      <c r="HV6" s="749">
        <f t="shared" si="1"/>
        <v>14</v>
      </c>
      <c r="HW6" s="749">
        <f t="shared" si="1"/>
        <v>15</v>
      </c>
      <c r="HX6" s="749">
        <f t="shared" si="2"/>
        <v>12</v>
      </c>
      <c r="HY6" s="749">
        <f t="shared" si="2"/>
        <v>12</v>
      </c>
      <c r="HZ6" s="749">
        <f t="shared" si="2"/>
        <v>9</v>
      </c>
      <c r="IA6" s="749">
        <v>10</v>
      </c>
      <c r="IB6" s="750">
        <v>12</v>
      </c>
      <c r="IC6" s="751">
        <v>0</v>
      </c>
      <c r="ID6" s="751">
        <v>0</v>
      </c>
      <c r="IE6" s="751">
        <v>0</v>
      </c>
      <c r="IF6" s="751">
        <v>0</v>
      </c>
      <c r="IG6" s="751">
        <v>0</v>
      </c>
      <c r="IH6" s="751">
        <v>0</v>
      </c>
      <c r="II6" s="751">
        <v>0</v>
      </c>
      <c r="IJ6" s="751">
        <v>0</v>
      </c>
      <c r="IK6" s="751">
        <v>0</v>
      </c>
      <c r="IL6" s="751">
        <v>0</v>
      </c>
      <c r="IM6" s="751">
        <v>0</v>
      </c>
      <c r="IN6" s="751">
        <v>0</v>
      </c>
      <c r="IO6" s="751">
        <v>0</v>
      </c>
      <c r="IP6" s="751">
        <v>0</v>
      </c>
      <c r="IQ6" s="751">
        <v>0</v>
      </c>
      <c r="IR6" s="751">
        <v>0</v>
      </c>
      <c r="IS6" s="751">
        <v>0</v>
      </c>
      <c r="IT6" s="751">
        <v>0</v>
      </c>
      <c r="IU6" s="751"/>
      <c r="IV6" s="751">
        <v>0</v>
      </c>
      <c r="IW6" s="751">
        <v>0</v>
      </c>
      <c r="IX6" s="751">
        <v>0</v>
      </c>
      <c r="IY6" s="751">
        <v>0</v>
      </c>
      <c r="IZ6" s="751">
        <v>0</v>
      </c>
      <c r="JA6" s="751">
        <v>0</v>
      </c>
      <c r="JB6" s="751">
        <v>0</v>
      </c>
      <c r="JC6" s="751">
        <v>0</v>
      </c>
      <c r="JD6" s="751">
        <v>0</v>
      </c>
      <c r="JE6" s="751">
        <v>0</v>
      </c>
      <c r="JF6" s="751">
        <v>0</v>
      </c>
      <c r="JG6" s="751">
        <v>0</v>
      </c>
      <c r="JH6" s="751">
        <v>0</v>
      </c>
      <c r="JI6" s="751">
        <v>0</v>
      </c>
      <c r="JJ6" s="751">
        <v>0</v>
      </c>
      <c r="JK6" s="751">
        <v>0</v>
      </c>
      <c r="JL6" s="751">
        <v>0</v>
      </c>
      <c r="JM6" s="751">
        <v>0</v>
      </c>
      <c r="JN6" s="751">
        <v>0</v>
      </c>
      <c r="JO6" s="751">
        <v>0</v>
      </c>
      <c r="JP6" s="751">
        <v>0</v>
      </c>
      <c r="JQ6" s="751">
        <v>0</v>
      </c>
      <c r="JR6" s="751">
        <v>0</v>
      </c>
      <c r="JS6" s="751">
        <v>0</v>
      </c>
      <c r="JT6" s="751">
        <v>0</v>
      </c>
      <c r="JU6" s="751">
        <v>0</v>
      </c>
      <c r="JV6" s="751">
        <v>0</v>
      </c>
      <c r="JW6" s="751">
        <v>0</v>
      </c>
      <c r="JX6" s="751">
        <v>0</v>
      </c>
      <c r="JY6" s="751">
        <v>0</v>
      </c>
      <c r="JZ6" s="751">
        <v>0</v>
      </c>
      <c r="KA6" s="752">
        <v>0</v>
      </c>
      <c r="KB6" s="752">
        <v>0</v>
      </c>
      <c r="KC6" s="752">
        <v>0</v>
      </c>
      <c r="KD6" s="752">
        <v>0</v>
      </c>
      <c r="KE6" s="752">
        <v>0</v>
      </c>
      <c r="KF6" s="752">
        <v>0</v>
      </c>
      <c r="KG6" s="752">
        <v>0</v>
      </c>
      <c r="KH6" s="752">
        <v>0</v>
      </c>
      <c r="KI6" s="752">
        <v>0</v>
      </c>
      <c r="KJ6" s="752">
        <v>13</v>
      </c>
      <c r="KK6" s="752">
        <v>14</v>
      </c>
      <c r="KL6" s="752">
        <v>14</v>
      </c>
      <c r="KM6" s="752">
        <v>15</v>
      </c>
      <c r="KN6" s="752">
        <v>12</v>
      </c>
      <c r="KO6" s="752">
        <v>12</v>
      </c>
      <c r="KP6" s="752">
        <v>9</v>
      </c>
      <c r="KQ6" s="752">
        <v>10</v>
      </c>
      <c r="KR6" s="755">
        <v>12</v>
      </c>
      <c r="KS6" s="808"/>
    </row>
    <row r="7" spans="1:305" s="737" customFormat="1" ht="12.75" x14ac:dyDescent="0.25">
      <c r="A7" s="720">
        <v>3</v>
      </c>
      <c r="B7" s="721" t="s">
        <v>145</v>
      </c>
      <c r="C7" s="738">
        <v>49</v>
      </c>
      <c r="D7" s="738">
        <v>52</v>
      </c>
      <c r="E7" s="739">
        <v>52</v>
      </c>
      <c r="F7" s="740">
        <v>52</v>
      </c>
      <c r="G7" s="740">
        <v>47</v>
      </c>
      <c r="H7" s="740">
        <v>50</v>
      </c>
      <c r="I7" s="740">
        <v>46</v>
      </c>
      <c r="J7" s="740">
        <v>46</v>
      </c>
      <c r="K7" s="741">
        <v>46</v>
      </c>
      <c r="L7" s="738">
        <v>44</v>
      </c>
      <c r="M7" s="738">
        <v>45</v>
      </c>
      <c r="N7" s="739">
        <v>48</v>
      </c>
      <c r="O7" s="740">
        <v>51</v>
      </c>
      <c r="P7" s="740">
        <v>52</v>
      </c>
      <c r="Q7" s="740">
        <v>51</v>
      </c>
      <c r="R7" s="740">
        <v>46</v>
      </c>
      <c r="S7" s="740">
        <v>46</v>
      </c>
      <c r="T7" s="741">
        <v>46</v>
      </c>
      <c r="U7" s="738">
        <v>44</v>
      </c>
      <c r="V7" s="738">
        <v>44</v>
      </c>
      <c r="W7" s="739">
        <v>44</v>
      </c>
      <c r="X7" s="740">
        <v>44</v>
      </c>
      <c r="Y7" s="742">
        <v>44</v>
      </c>
      <c r="Z7" s="742">
        <v>44</v>
      </c>
      <c r="AA7" s="742">
        <v>42</v>
      </c>
      <c r="AB7" s="742">
        <v>46</v>
      </c>
      <c r="AC7" s="743">
        <v>46</v>
      </c>
      <c r="AD7" s="738">
        <v>57</v>
      </c>
      <c r="AE7" s="738">
        <v>58</v>
      </c>
      <c r="AF7" s="739">
        <v>59</v>
      </c>
      <c r="AG7" s="740">
        <v>59</v>
      </c>
      <c r="AH7" s="740">
        <v>59</v>
      </c>
      <c r="AI7" s="740">
        <v>59</v>
      </c>
      <c r="AJ7" s="740">
        <v>59</v>
      </c>
      <c r="AK7" s="740">
        <v>59</v>
      </c>
      <c r="AL7" s="741">
        <v>49</v>
      </c>
      <c r="AM7" s="744">
        <v>0</v>
      </c>
      <c r="AN7" s="744">
        <v>0</v>
      </c>
      <c r="AO7" s="744">
        <v>0</v>
      </c>
      <c r="AP7" s="744">
        <v>0</v>
      </c>
      <c r="AQ7" s="745">
        <v>0</v>
      </c>
      <c r="AR7" s="738">
        <v>3</v>
      </c>
      <c r="AS7" s="738">
        <v>4</v>
      </c>
      <c r="AT7" s="739">
        <v>5</v>
      </c>
      <c r="AU7" s="739">
        <v>4</v>
      </c>
      <c r="AV7" s="739">
        <v>4</v>
      </c>
      <c r="AW7" s="739">
        <v>4</v>
      </c>
      <c r="AX7" s="739">
        <v>3</v>
      </c>
      <c r="AY7" s="739">
        <v>2</v>
      </c>
      <c r="AZ7" s="746">
        <v>2</v>
      </c>
      <c r="BA7" s="738">
        <v>1</v>
      </c>
      <c r="BB7" s="738">
        <v>1</v>
      </c>
      <c r="BC7" s="739">
        <v>1</v>
      </c>
      <c r="BD7" s="739">
        <v>1</v>
      </c>
      <c r="BE7" s="739">
        <v>1</v>
      </c>
      <c r="BF7" s="739">
        <v>1</v>
      </c>
      <c r="BG7" s="739">
        <v>3</v>
      </c>
      <c r="BH7" s="739">
        <v>3</v>
      </c>
      <c r="BI7" s="746">
        <v>0</v>
      </c>
      <c r="BJ7" s="738">
        <v>2</v>
      </c>
      <c r="BK7" s="738">
        <v>2</v>
      </c>
      <c r="BL7" s="739">
        <v>2</v>
      </c>
      <c r="BM7" s="747">
        <v>2</v>
      </c>
      <c r="BN7" s="747">
        <v>2</v>
      </c>
      <c r="BO7" s="747">
        <v>2</v>
      </c>
      <c r="BP7" s="747">
        <v>2</v>
      </c>
      <c r="BQ7" s="747">
        <v>2</v>
      </c>
      <c r="BR7" s="748">
        <v>2</v>
      </c>
      <c r="BS7" s="747">
        <v>0</v>
      </c>
      <c r="BT7" s="747">
        <v>0</v>
      </c>
      <c r="BU7" s="747">
        <v>0</v>
      </c>
      <c r="BV7" s="747">
        <v>0</v>
      </c>
      <c r="BW7" s="748">
        <v>0</v>
      </c>
      <c r="BX7" s="738">
        <v>2</v>
      </c>
      <c r="BY7" s="738">
        <v>2</v>
      </c>
      <c r="BZ7" s="739">
        <v>2</v>
      </c>
      <c r="CA7" s="747">
        <v>2</v>
      </c>
      <c r="CB7" s="747">
        <v>2</v>
      </c>
      <c r="CC7" s="747">
        <v>2</v>
      </c>
      <c r="CD7" s="747">
        <v>2</v>
      </c>
      <c r="CE7" s="747">
        <v>2</v>
      </c>
      <c r="CF7" s="748">
        <v>2</v>
      </c>
      <c r="CG7" s="747">
        <v>0</v>
      </c>
      <c r="CH7" s="747">
        <v>1</v>
      </c>
      <c r="CI7" s="747">
        <v>1</v>
      </c>
      <c r="CJ7" s="747">
        <v>1</v>
      </c>
      <c r="CK7" s="748">
        <v>1</v>
      </c>
      <c r="CL7" s="738">
        <v>2</v>
      </c>
      <c r="CM7" s="738">
        <v>2</v>
      </c>
      <c r="CN7" s="739">
        <v>2</v>
      </c>
      <c r="CO7" s="740">
        <v>2</v>
      </c>
      <c r="CP7" s="740">
        <v>2</v>
      </c>
      <c r="CQ7" s="740">
        <v>2</v>
      </c>
      <c r="CR7" s="740">
        <v>2</v>
      </c>
      <c r="CS7" s="740">
        <v>3</v>
      </c>
      <c r="CT7" s="741">
        <v>3</v>
      </c>
      <c r="CU7" s="738">
        <v>2</v>
      </c>
      <c r="CV7" s="738">
        <v>3</v>
      </c>
      <c r="CW7" s="739">
        <v>3</v>
      </c>
      <c r="CX7" s="740">
        <v>4</v>
      </c>
      <c r="CY7" s="740">
        <v>4</v>
      </c>
      <c r="CZ7" s="740">
        <v>4</v>
      </c>
      <c r="DA7" s="740">
        <v>5</v>
      </c>
      <c r="DB7" s="740">
        <v>5</v>
      </c>
      <c r="DC7" s="741">
        <v>5</v>
      </c>
      <c r="DD7" s="738">
        <v>0</v>
      </c>
      <c r="DE7" s="738">
        <v>0</v>
      </c>
      <c r="DF7" s="739">
        <v>0</v>
      </c>
      <c r="DG7" s="740">
        <v>0</v>
      </c>
      <c r="DH7" s="740">
        <v>1</v>
      </c>
      <c r="DI7" s="740">
        <v>2</v>
      </c>
      <c r="DJ7" s="740">
        <v>2</v>
      </c>
      <c r="DK7" s="740">
        <v>3</v>
      </c>
      <c r="DL7" s="741">
        <v>3</v>
      </c>
      <c r="DM7" s="739">
        <v>0</v>
      </c>
      <c r="DN7" s="739">
        <v>0</v>
      </c>
      <c r="DO7" s="739">
        <v>0</v>
      </c>
      <c r="DP7" s="739">
        <v>0</v>
      </c>
      <c r="DQ7" s="739">
        <v>0</v>
      </c>
      <c r="DR7" s="739">
        <v>0</v>
      </c>
      <c r="DS7" s="746">
        <v>0</v>
      </c>
      <c r="DT7" s="740">
        <v>0</v>
      </c>
      <c r="DU7" s="740">
        <v>0</v>
      </c>
      <c r="DV7" s="739">
        <v>1</v>
      </c>
      <c r="DW7" s="740">
        <v>1</v>
      </c>
      <c r="DX7" s="740">
        <v>2</v>
      </c>
      <c r="DY7" s="740">
        <v>2</v>
      </c>
      <c r="DZ7" s="740">
        <v>2</v>
      </c>
      <c r="EA7" s="740">
        <v>2</v>
      </c>
      <c r="EB7" s="741">
        <v>2</v>
      </c>
      <c r="EC7" s="740">
        <v>0</v>
      </c>
      <c r="ED7" s="740">
        <v>0</v>
      </c>
      <c r="EE7" s="739">
        <v>0</v>
      </c>
      <c r="EF7" s="740">
        <v>0</v>
      </c>
      <c r="EG7" s="740">
        <v>0</v>
      </c>
      <c r="EH7" s="740">
        <v>1</v>
      </c>
      <c r="EI7" s="740">
        <v>1</v>
      </c>
      <c r="EJ7" s="740">
        <v>1</v>
      </c>
      <c r="EK7" s="741">
        <v>1</v>
      </c>
      <c r="EL7" s="747">
        <v>0</v>
      </c>
      <c r="EM7" s="747">
        <v>0</v>
      </c>
      <c r="EN7" s="747">
        <v>0</v>
      </c>
      <c r="EO7" s="747">
        <v>0</v>
      </c>
      <c r="EP7" s="747">
        <v>0</v>
      </c>
      <c r="EQ7" s="738">
        <v>0</v>
      </c>
      <c r="ER7" s="738">
        <v>0</v>
      </c>
      <c r="ES7" s="739">
        <v>0</v>
      </c>
      <c r="ET7" s="740">
        <v>0</v>
      </c>
      <c r="EU7" s="740">
        <v>0</v>
      </c>
      <c r="EV7" s="740">
        <v>0</v>
      </c>
      <c r="EW7" s="740">
        <v>0</v>
      </c>
      <c r="EX7" s="740">
        <v>0</v>
      </c>
      <c r="EY7" s="741">
        <v>0</v>
      </c>
      <c r="EZ7" s="738">
        <v>1</v>
      </c>
      <c r="FA7" s="738">
        <v>1</v>
      </c>
      <c r="FB7" s="739">
        <v>1</v>
      </c>
      <c r="FC7" s="740">
        <v>1</v>
      </c>
      <c r="FD7" s="740">
        <v>1</v>
      </c>
      <c r="FE7" s="740">
        <v>1</v>
      </c>
      <c r="FF7" s="740">
        <v>1</v>
      </c>
      <c r="FG7" s="740">
        <v>1</v>
      </c>
      <c r="FH7" s="741">
        <v>1</v>
      </c>
      <c r="FI7" s="738">
        <v>1</v>
      </c>
      <c r="FJ7" s="738">
        <v>1</v>
      </c>
      <c r="FK7" s="739">
        <v>1</v>
      </c>
      <c r="FL7" s="740">
        <v>1</v>
      </c>
      <c r="FM7" s="740">
        <v>2</v>
      </c>
      <c r="FN7" s="740">
        <v>2</v>
      </c>
      <c r="FO7" s="740">
        <v>2</v>
      </c>
      <c r="FP7" s="740">
        <v>2</v>
      </c>
      <c r="FQ7" s="741">
        <v>2</v>
      </c>
      <c r="FR7" s="738">
        <v>1</v>
      </c>
      <c r="FS7" s="738">
        <v>3</v>
      </c>
      <c r="FT7" s="739">
        <v>3</v>
      </c>
      <c r="FU7" s="740">
        <v>3</v>
      </c>
      <c r="FV7" s="740">
        <v>3</v>
      </c>
      <c r="FW7" s="740">
        <v>3</v>
      </c>
      <c r="FX7" s="740">
        <v>3</v>
      </c>
      <c r="FY7" s="740">
        <v>3</v>
      </c>
      <c r="FZ7" s="741">
        <v>3</v>
      </c>
      <c r="GA7" s="738">
        <v>0</v>
      </c>
      <c r="GB7" s="738">
        <v>2</v>
      </c>
      <c r="GC7" s="739">
        <v>3</v>
      </c>
      <c r="GD7" s="740">
        <v>3</v>
      </c>
      <c r="GE7" s="740">
        <v>3</v>
      </c>
      <c r="GF7" s="740">
        <v>3</v>
      </c>
      <c r="GG7" s="740">
        <v>3</v>
      </c>
      <c r="GH7" s="740">
        <v>3</v>
      </c>
      <c r="GI7" s="741">
        <v>3</v>
      </c>
      <c r="GJ7" s="738">
        <v>1</v>
      </c>
      <c r="GK7" s="738">
        <v>1</v>
      </c>
      <c r="GL7" s="739">
        <v>1</v>
      </c>
      <c r="GM7" s="740">
        <v>1</v>
      </c>
      <c r="GN7" s="740">
        <v>1</v>
      </c>
      <c r="GO7" s="740">
        <v>1</v>
      </c>
      <c r="GP7" s="740">
        <v>1</v>
      </c>
      <c r="GQ7" s="740">
        <v>1</v>
      </c>
      <c r="GR7" s="741">
        <v>1</v>
      </c>
      <c r="GS7" s="740">
        <v>1</v>
      </c>
      <c r="GT7" s="740">
        <v>1</v>
      </c>
      <c r="GU7" s="739">
        <v>1</v>
      </c>
      <c r="GV7" s="740">
        <v>1</v>
      </c>
      <c r="GW7" s="740">
        <v>1</v>
      </c>
      <c r="GX7" s="740">
        <v>1</v>
      </c>
      <c r="GY7" s="740">
        <v>1</v>
      </c>
      <c r="GZ7" s="740">
        <v>1</v>
      </c>
      <c r="HA7" s="741">
        <v>1</v>
      </c>
      <c r="HB7" s="738">
        <v>1</v>
      </c>
      <c r="HC7" s="738">
        <v>1</v>
      </c>
      <c r="HD7" s="739">
        <v>1</v>
      </c>
      <c r="HE7" s="740">
        <v>1</v>
      </c>
      <c r="HF7" s="740">
        <v>1</v>
      </c>
      <c r="HG7" s="740">
        <v>1</v>
      </c>
      <c r="HH7" s="740">
        <v>1</v>
      </c>
      <c r="HI7" s="740">
        <v>1</v>
      </c>
      <c r="HJ7" s="741">
        <v>1</v>
      </c>
      <c r="HK7" s="738">
        <v>1</v>
      </c>
      <c r="HL7" s="738">
        <v>1</v>
      </c>
      <c r="HM7" s="739">
        <v>1</v>
      </c>
      <c r="HN7" s="740">
        <v>1</v>
      </c>
      <c r="HO7" s="740">
        <v>1</v>
      </c>
      <c r="HP7" s="740">
        <v>1</v>
      </c>
      <c r="HQ7" s="740">
        <v>1</v>
      </c>
      <c r="HR7" s="740">
        <v>1</v>
      </c>
      <c r="HS7" s="741">
        <v>1</v>
      </c>
      <c r="HT7" s="749">
        <f t="shared" si="0"/>
        <v>213</v>
      </c>
      <c r="HU7" s="749">
        <f t="shared" si="0"/>
        <v>224</v>
      </c>
      <c r="HV7" s="749">
        <f t="shared" si="1"/>
        <v>231</v>
      </c>
      <c r="HW7" s="749">
        <f t="shared" si="1"/>
        <v>234</v>
      </c>
      <c r="HX7" s="749">
        <f t="shared" si="2"/>
        <v>233</v>
      </c>
      <c r="HY7" s="749">
        <f t="shared" si="2"/>
        <v>238</v>
      </c>
      <c r="HZ7" s="749">
        <f t="shared" si="2"/>
        <v>229</v>
      </c>
      <c r="IA7" s="749">
        <v>234</v>
      </c>
      <c r="IB7" s="750">
        <v>221</v>
      </c>
      <c r="IC7" s="751">
        <v>0</v>
      </c>
      <c r="ID7" s="751">
        <v>1</v>
      </c>
      <c r="IE7" s="753">
        <v>1</v>
      </c>
      <c r="IF7" s="753">
        <v>3</v>
      </c>
      <c r="IG7" s="753">
        <v>4</v>
      </c>
      <c r="IH7" s="753">
        <v>4</v>
      </c>
      <c r="II7" s="753">
        <v>0</v>
      </c>
      <c r="IJ7" s="753">
        <v>0</v>
      </c>
      <c r="IK7" s="753">
        <v>0</v>
      </c>
      <c r="IL7" s="753">
        <v>0</v>
      </c>
      <c r="IM7" s="753">
        <v>1</v>
      </c>
      <c r="IN7" s="753">
        <v>1</v>
      </c>
      <c r="IO7" s="753">
        <v>1</v>
      </c>
      <c r="IP7" s="753">
        <v>1</v>
      </c>
      <c r="IQ7" s="753">
        <v>2</v>
      </c>
      <c r="IR7" s="753">
        <v>0</v>
      </c>
      <c r="IS7" s="753">
        <v>1</v>
      </c>
      <c r="IT7" s="753">
        <v>2</v>
      </c>
      <c r="IU7" s="753">
        <v>2</v>
      </c>
      <c r="IV7" s="753">
        <v>3</v>
      </c>
      <c r="IW7" s="753">
        <v>3</v>
      </c>
      <c r="IX7" s="753">
        <v>3</v>
      </c>
      <c r="IY7" s="753">
        <v>0</v>
      </c>
      <c r="IZ7" s="753">
        <v>0</v>
      </c>
      <c r="JA7" s="753">
        <v>0</v>
      </c>
      <c r="JB7" s="753">
        <v>0</v>
      </c>
      <c r="JC7" s="753">
        <v>0</v>
      </c>
      <c r="JD7" s="753">
        <v>0</v>
      </c>
      <c r="JE7" s="753">
        <v>1</v>
      </c>
      <c r="JF7" s="753">
        <v>1</v>
      </c>
      <c r="JG7" s="753">
        <v>1</v>
      </c>
      <c r="JH7" s="753">
        <v>0</v>
      </c>
      <c r="JI7" s="753">
        <v>0</v>
      </c>
      <c r="JJ7" s="753">
        <v>0</v>
      </c>
      <c r="JK7" s="753">
        <v>0</v>
      </c>
      <c r="JL7" s="753">
        <v>0</v>
      </c>
      <c r="JM7" s="753">
        <v>0</v>
      </c>
      <c r="JN7" s="753">
        <v>0</v>
      </c>
      <c r="JO7" s="753">
        <v>2</v>
      </c>
      <c r="JP7" s="753">
        <v>3</v>
      </c>
      <c r="JQ7" s="753">
        <v>0</v>
      </c>
      <c r="JR7" s="753">
        <v>2</v>
      </c>
      <c r="JS7" s="753">
        <v>2</v>
      </c>
      <c r="JT7" s="753">
        <v>2</v>
      </c>
      <c r="JU7" s="753">
        <v>2</v>
      </c>
      <c r="JV7" s="753">
        <v>3</v>
      </c>
      <c r="JW7" s="753">
        <v>3</v>
      </c>
      <c r="JX7" s="753">
        <v>7</v>
      </c>
      <c r="JY7" s="753">
        <v>10</v>
      </c>
      <c r="JZ7" s="753">
        <v>10</v>
      </c>
      <c r="KA7" s="752">
        <v>2</v>
      </c>
      <c r="KB7" s="752">
        <v>3</v>
      </c>
      <c r="KC7" s="752">
        <v>4</v>
      </c>
      <c r="KD7" s="752">
        <v>4</v>
      </c>
      <c r="KE7" s="752">
        <v>8</v>
      </c>
      <c r="KF7" s="752">
        <v>8</v>
      </c>
      <c r="KG7" s="752">
        <v>15</v>
      </c>
      <c r="KH7" s="752">
        <v>18</v>
      </c>
      <c r="KI7" s="752">
        <v>20</v>
      </c>
      <c r="KJ7" s="752">
        <v>215</v>
      </c>
      <c r="KK7" s="752">
        <v>227</v>
      </c>
      <c r="KL7" s="752">
        <v>235</v>
      </c>
      <c r="KM7" s="752">
        <v>238</v>
      </c>
      <c r="KN7" s="752">
        <v>241</v>
      </c>
      <c r="KO7" s="752">
        <v>246</v>
      </c>
      <c r="KP7" s="752">
        <v>244</v>
      </c>
      <c r="KQ7" s="752">
        <v>252</v>
      </c>
      <c r="KR7" s="755">
        <v>241</v>
      </c>
      <c r="KS7" s="808"/>
    </row>
    <row r="8" spans="1:305" s="737" customFormat="1" ht="12.75" x14ac:dyDescent="0.25">
      <c r="A8" s="720">
        <v>4</v>
      </c>
      <c r="B8" s="721" t="s">
        <v>146</v>
      </c>
      <c r="C8" s="738">
        <v>63</v>
      </c>
      <c r="D8" s="738">
        <v>63</v>
      </c>
      <c r="E8" s="739">
        <v>63</v>
      </c>
      <c r="F8" s="740">
        <v>63</v>
      </c>
      <c r="G8" s="740">
        <v>60</v>
      </c>
      <c r="H8" s="740">
        <v>59</v>
      </c>
      <c r="I8" s="740">
        <v>49</v>
      </c>
      <c r="J8" s="740">
        <v>48</v>
      </c>
      <c r="K8" s="741">
        <v>48</v>
      </c>
      <c r="L8" s="738">
        <v>43</v>
      </c>
      <c r="M8" s="738">
        <v>43</v>
      </c>
      <c r="N8" s="739">
        <v>42</v>
      </c>
      <c r="O8" s="740">
        <v>46</v>
      </c>
      <c r="P8" s="740">
        <v>46</v>
      </c>
      <c r="Q8" s="740">
        <v>42</v>
      </c>
      <c r="R8" s="740">
        <v>36</v>
      </c>
      <c r="S8" s="740">
        <v>31</v>
      </c>
      <c r="T8" s="741">
        <v>31</v>
      </c>
      <c r="U8" s="738">
        <v>62</v>
      </c>
      <c r="V8" s="738">
        <v>62</v>
      </c>
      <c r="W8" s="739">
        <v>62</v>
      </c>
      <c r="X8" s="740">
        <v>62</v>
      </c>
      <c r="Y8" s="742">
        <v>62</v>
      </c>
      <c r="Z8" s="742">
        <v>62</v>
      </c>
      <c r="AA8" s="742">
        <v>57</v>
      </c>
      <c r="AB8" s="742">
        <v>55</v>
      </c>
      <c r="AC8" s="743">
        <v>49</v>
      </c>
      <c r="AD8" s="738">
        <v>35</v>
      </c>
      <c r="AE8" s="738">
        <v>42</v>
      </c>
      <c r="AF8" s="739">
        <v>48</v>
      </c>
      <c r="AG8" s="740">
        <v>49</v>
      </c>
      <c r="AH8" s="740">
        <v>49</v>
      </c>
      <c r="AI8" s="740">
        <v>46</v>
      </c>
      <c r="AJ8" s="740">
        <v>44</v>
      </c>
      <c r="AK8" s="740">
        <v>43</v>
      </c>
      <c r="AL8" s="741">
        <v>39</v>
      </c>
      <c r="AM8" s="744">
        <v>0</v>
      </c>
      <c r="AN8" s="744">
        <v>0</v>
      </c>
      <c r="AO8" s="744">
        <v>0</v>
      </c>
      <c r="AP8" s="744">
        <v>0</v>
      </c>
      <c r="AQ8" s="745">
        <v>0</v>
      </c>
      <c r="AR8" s="738">
        <v>4</v>
      </c>
      <c r="AS8" s="738">
        <v>7</v>
      </c>
      <c r="AT8" s="739">
        <v>7</v>
      </c>
      <c r="AU8" s="739">
        <v>7</v>
      </c>
      <c r="AV8" s="739">
        <v>7</v>
      </c>
      <c r="AW8" s="739">
        <v>7</v>
      </c>
      <c r="AX8" s="739">
        <v>7</v>
      </c>
      <c r="AY8" s="739">
        <v>6</v>
      </c>
      <c r="AZ8" s="746">
        <v>6</v>
      </c>
      <c r="BA8" s="738">
        <v>1</v>
      </c>
      <c r="BB8" s="738">
        <v>1</v>
      </c>
      <c r="BC8" s="739">
        <v>1</v>
      </c>
      <c r="BD8" s="739">
        <v>1</v>
      </c>
      <c r="BE8" s="739">
        <v>1</v>
      </c>
      <c r="BF8" s="739">
        <v>1</v>
      </c>
      <c r="BG8" s="739">
        <v>8</v>
      </c>
      <c r="BH8" s="739">
        <v>8</v>
      </c>
      <c r="BI8" s="746">
        <v>0</v>
      </c>
      <c r="BJ8" s="738">
        <v>2</v>
      </c>
      <c r="BK8" s="738">
        <v>2</v>
      </c>
      <c r="BL8" s="739">
        <v>2</v>
      </c>
      <c r="BM8" s="747">
        <v>2</v>
      </c>
      <c r="BN8" s="747">
        <v>2</v>
      </c>
      <c r="BO8" s="747">
        <v>2</v>
      </c>
      <c r="BP8" s="747">
        <v>2</v>
      </c>
      <c r="BQ8" s="747">
        <v>2</v>
      </c>
      <c r="BR8" s="748">
        <v>6</v>
      </c>
      <c r="BS8" s="747">
        <v>0</v>
      </c>
      <c r="BT8" s="747">
        <v>0</v>
      </c>
      <c r="BU8" s="747">
        <v>0</v>
      </c>
      <c r="BV8" s="747">
        <v>0</v>
      </c>
      <c r="BW8" s="748">
        <v>0</v>
      </c>
      <c r="BX8" s="738">
        <v>2</v>
      </c>
      <c r="BY8" s="738">
        <v>3</v>
      </c>
      <c r="BZ8" s="739">
        <v>4</v>
      </c>
      <c r="CA8" s="747">
        <v>4</v>
      </c>
      <c r="CB8" s="747">
        <v>4</v>
      </c>
      <c r="CC8" s="747">
        <v>4</v>
      </c>
      <c r="CD8" s="747">
        <v>4</v>
      </c>
      <c r="CE8" s="747">
        <v>4</v>
      </c>
      <c r="CF8" s="748">
        <v>4</v>
      </c>
      <c r="CG8" s="747">
        <v>0</v>
      </c>
      <c r="CH8" s="747">
        <v>1</v>
      </c>
      <c r="CI8" s="747">
        <v>1</v>
      </c>
      <c r="CJ8" s="747">
        <v>1</v>
      </c>
      <c r="CK8" s="748">
        <v>4</v>
      </c>
      <c r="CL8" s="738">
        <v>2</v>
      </c>
      <c r="CM8" s="738">
        <v>2</v>
      </c>
      <c r="CN8" s="739">
        <v>2</v>
      </c>
      <c r="CO8" s="740">
        <v>2</v>
      </c>
      <c r="CP8" s="740">
        <v>2</v>
      </c>
      <c r="CQ8" s="740">
        <v>2</v>
      </c>
      <c r="CR8" s="740">
        <v>2</v>
      </c>
      <c r="CS8" s="740">
        <v>3</v>
      </c>
      <c r="CT8" s="741">
        <v>3</v>
      </c>
      <c r="CU8" s="738">
        <v>4</v>
      </c>
      <c r="CV8" s="738">
        <v>8</v>
      </c>
      <c r="CW8" s="739">
        <v>9</v>
      </c>
      <c r="CX8" s="740">
        <v>9</v>
      </c>
      <c r="CY8" s="740">
        <v>9</v>
      </c>
      <c r="CZ8" s="740">
        <v>11</v>
      </c>
      <c r="DA8" s="740">
        <v>11</v>
      </c>
      <c r="DB8" s="740">
        <v>12</v>
      </c>
      <c r="DC8" s="741">
        <v>12</v>
      </c>
      <c r="DD8" s="738">
        <v>1</v>
      </c>
      <c r="DE8" s="738">
        <v>1</v>
      </c>
      <c r="DF8" s="739">
        <v>1</v>
      </c>
      <c r="DG8" s="740">
        <v>1</v>
      </c>
      <c r="DH8" s="740">
        <v>1</v>
      </c>
      <c r="DI8" s="740">
        <v>2</v>
      </c>
      <c r="DJ8" s="740">
        <v>2</v>
      </c>
      <c r="DK8" s="740">
        <v>3</v>
      </c>
      <c r="DL8" s="741">
        <v>3</v>
      </c>
      <c r="DM8" s="739">
        <v>0</v>
      </c>
      <c r="DN8" s="739">
        <v>0</v>
      </c>
      <c r="DO8" s="739">
        <v>0</v>
      </c>
      <c r="DP8" s="739">
        <v>0</v>
      </c>
      <c r="DQ8" s="739">
        <v>0</v>
      </c>
      <c r="DR8" s="739">
        <v>0</v>
      </c>
      <c r="DS8" s="746">
        <v>0</v>
      </c>
      <c r="DT8" s="740">
        <v>0</v>
      </c>
      <c r="DU8" s="740">
        <v>0</v>
      </c>
      <c r="DV8" s="739">
        <v>0</v>
      </c>
      <c r="DW8" s="740">
        <v>1</v>
      </c>
      <c r="DX8" s="740">
        <v>1</v>
      </c>
      <c r="DY8" s="740">
        <v>2</v>
      </c>
      <c r="DZ8" s="740">
        <v>5</v>
      </c>
      <c r="EA8" s="740">
        <v>6</v>
      </c>
      <c r="EB8" s="741">
        <v>6</v>
      </c>
      <c r="EC8" s="740">
        <v>1</v>
      </c>
      <c r="ED8" s="740">
        <v>1</v>
      </c>
      <c r="EE8" s="739">
        <v>1</v>
      </c>
      <c r="EF8" s="740">
        <v>1</v>
      </c>
      <c r="EG8" s="740">
        <v>6</v>
      </c>
      <c r="EH8" s="740">
        <v>8</v>
      </c>
      <c r="EI8" s="740">
        <v>8</v>
      </c>
      <c r="EJ8" s="740">
        <v>6</v>
      </c>
      <c r="EK8" s="741">
        <v>4</v>
      </c>
      <c r="EL8" s="747">
        <v>0</v>
      </c>
      <c r="EM8" s="747">
        <v>0</v>
      </c>
      <c r="EN8" s="747">
        <v>0</v>
      </c>
      <c r="EO8" s="747">
        <v>0</v>
      </c>
      <c r="EP8" s="748">
        <v>0</v>
      </c>
      <c r="EQ8" s="738">
        <v>0</v>
      </c>
      <c r="ER8" s="738">
        <v>0</v>
      </c>
      <c r="ES8" s="739">
        <v>0</v>
      </c>
      <c r="ET8" s="740">
        <v>0</v>
      </c>
      <c r="EU8" s="740">
        <v>0</v>
      </c>
      <c r="EV8" s="740">
        <v>0</v>
      </c>
      <c r="EW8" s="740">
        <v>0</v>
      </c>
      <c r="EX8" s="740">
        <v>0</v>
      </c>
      <c r="EY8" s="741">
        <v>0</v>
      </c>
      <c r="EZ8" s="738">
        <v>1</v>
      </c>
      <c r="FA8" s="738">
        <v>1</v>
      </c>
      <c r="FB8" s="739">
        <v>1</v>
      </c>
      <c r="FC8" s="740">
        <v>2</v>
      </c>
      <c r="FD8" s="740">
        <v>2</v>
      </c>
      <c r="FE8" s="740">
        <v>2</v>
      </c>
      <c r="FF8" s="740">
        <v>4</v>
      </c>
      <c r="FG8" s="740">
        <v>4</v>
      </c>
      <c r="FH8" s="741">
        <v>4</v>
      </c>
      <c r="FI8" s="738">
        <v>1</v>
      </c>
      <c r="FJ8" s="738">
        <v>1</v>
      </c>
      <c r="FK8" s="739">
        <v>2</v>
      </c>
      <c r="FL8" s="740">
        <v>3</v>
      </c>
      <c r="FM8" s="740">
        <v>3</v>
      </c>
      <c r="FN8" s="740">
        <v>3</v>
      </c>
      <c r="FO8" s="740">
        <v>3</v>
      </c>
      <c r="FP8" s="740">
        <v>3</v>
      </c>
      <c r="FQ8" s="741">
        <v>3</v>
      </c>
      <c r="FR8" s="738">
        <v>1</v>
      </c>
      <c r="FS8" s="738">
        <v>1</v>
      </c>
      <c r="FT8" s="739">
        <v>2</v>
      </c>
      <c r="FU8" s="740">
        <v>3</v>
      </c>
      <c r="FV8" s="740">
        <v>3</v>
      </c>
      <c r="FW8" s="740">
        <v>4</v>
      </c>
      <c r="FX8" s="740">
        <v>5</v>
      </c>
      <c r="FY8" s="740">
        <v>5</v>
      </c>
      <c r="FZ8" s="741">
        <v>5</v>
      </c>
      <c r="GA8" s="738">
        <v>0</v>
      </c>
      <c r="GB8" s="738">
        <v>2</v>
      </c>
      <c r="GC8" s="739">
        <v>3</v>
      </c>
      <c r="GD8" s="740">
        <v>4</v>
      </c>
      <c r="GE8" s="740">
        <v>5</v>
      </c>
      <c r="GF8" s="740">
        <v>5</v>
      </c>
      <c r="GG8" s="740">
        <v>11</v>
      </c>
      <c r="GH8" s="740">
        <v>11</v>
      </c>
      <c r="GI8" s="741">
        <v>11</v>
      </c>
      <c r="GJ8" s="738">
        <v>1</v>
      </c>
      <c r="GK8" s="738">
        <v>1</v>
      </c>
      <c r="GL8" s="739">
        <v>1</v>
      </c>
      <c r="GM8" s="740">
        <v>6</v>
      </c>
      <c r="GN8" s="740">
        <v>6</v>
      </c>
      <c r="GO8" s="740">
        <v>8</v>
      </c>
      <c r="GP8" s="740">
        <v>9</v>
      </c>
      <c r="GQ8" s="740">
        <v>9</v>
      </c>
      <c r="GR8" s="741">
        <v>9</v>
      </c>
      <c r="GS8" s="740">
        <v>1</v>
      </c>
      <c r="GT8" s="740">
        <v>4</v>
      </c>
      <c r="GU8" s="739">
        <v>5</v>
      </c>
      <c r="GV8" s="740">
        <v>5</v>
      </c>
      <c r="GW8" s="740">
        <v>5</v>
      </c>
      <c r="GX8" s="740">
        <v>5</v>
      </c>
      <c r="GY8" s="740">
        <v>5</v>
      </c>
      <c r="GZ8" s="740">
        <v>5</v>
      </c>
      <c r="HA8" s="741">
        <v>5</v>
      </c>
      <c r="HB8" s="738">
        <v>1</v>
      </c>
      <c r="HC8" s="738">
        <v>1</v>
      </c>
      <c r="HD8" s="739">
        <v>1</v>
      </c>
      <c r="HE8" s="740">
        <v>1</v>
      </c>
      <c r="HF8" s="740">
        <v>1</v>
      </c>
      <c r="HG8" s="740">
        <v>1</v>
      </c>
      <c r="HH8" s="740">
        <v>1</v>
      </c>
      <c r="HI8" s="740">
        <v>1</v>
      </c>
      <c r="HJ8" s="741">
        <v>1</v>
      </c>
      <c r="HK8" s="738">
        <v>0</v>
      </c>
      <c r="HL8" s="738">
        <v>0</v>
      </c>
      <c r="HM8" s="739">
        <v>0</v>
      </c>
      <c r="HN8" s="740">
        <v>0</v>
      </c>
      <c r="HO8" s="740">
        <v>0</v>
      </c>
      <c r="HP8" s="740">
        <v>0</v>
      </c>
      <c r="HQ8" s="740">
        <v>0</v>
      </c>
      <c r="HR8" s="740">
        <v>0</v>
      </c>
      <c r="HS8" s="741">
        <v>0</v>
      </c>
      <c r="HT8" s="749">
        <f t="shared" si="0"/>
        <v>226</v>
      </c>
      <c r="HU8" s="749">
        <f t="shared" si="0"/>
        <v>246</v>
      </c>
      <c r="HV8" s="749">
        <f t="shared" si="1"/>
        <v>257</v>
      </c>
      <c r="HW8" s="749">
        <f t="shared" si="1"/>
        <v>272</v>
      </c>
      <c r="HX8" s="749">
        <f t="shared" si="2"/>
        <v>275</v>
      </c>
      <c r="HY8" s="749">
        <f t="shared" si="2"/>
        <v>277</v>
      </c>
      <c r="HZ8" s="749">
        <f t="shared" si="2"/>
        <v>274</v>
      </c>
      <c r="IA8" s="749">
        <v>266</v>
      </c>
      <c r="IB8" s="750">
        <v>253</v>
      </c>
      <c r="IC8" s="751">
        <v>0</v>
      </c>
      <c r="ID8" s="751">
        <v>2</v>
      </c>
      <c r="IE8" s="753">
        <v>2</v>
      </c>
      <c r="IF8" s="753">
        <v>4</v>
      </c>
      <c r="IG8" s="753">
        <v>5</v>
      </c>
      <c r="IH8" s="753">
        <v>6</v>
      </c>
      <c r="II8" s="753">
        <v>0</v>
      </c>
      <c r="IJ8" s="753">
        <v>0</v>
      </c>
      <c r="IK8" s="753">
        <v>0</v>
      </c>
      <c r="IL8" s="753">
        <v>0</v>
      </c>
      <c r="IM8" s="753">
        <v>0</v>
      </c>
      <c r="IN8" s="753">
        <v>2</v>
      </c>
      <c r="IO8" s="753">
        <v>3</v>
      </c>
      <c r="IP8" s="753">
        <v>3</v>
      </c>
      <c r="IQ8" s="753">
        <v>3</v>
      </c>
      <c r="IR8" s="753">
        <v>1</v>
      </c>
      <c r="IS8" s="753">
        <v>1</v>
      </c>
      <c r="IT8" s="753">
        <v>1</v>
      </c>
      <c r="IU8" s="753">
        <v>1</v>
      </c>
      <c r="IV8" s="753">
        <v>1</v>
      </c>
      <c r="IW8" s="753">
        <v>2</v>
      </c>
      <c r="IX8" s="753">
        <v>3</v>
      </c>
      <c r="IY8" s="753">
        <v>0</v>
      </c>
      <c r="IZ8" s="753">
        <v>0</v>
      </c>
      <c r="JA8" s="753">
        <v>0</v>
      </c>
      <c r="JB8" s="753">
        <v>0</v>
      </c>
      <c r="JC8" s="753">
        <v>0</v>
      </c>
      <c r="JD8" s="753">
        <v>0</v>
      </c>
      <c r="JE8" s="753">
        <v>1</v>
      </c>
      <c r="JF8" s="753">
        <v>1</v>
      </c>
      <c r="JG8" s="753">
        <v>1</v>
      </c>
      <c r="JH8" s="753">
        <v>1</v>
      </c>
      <c r="JI8" s="753">
        <v>1</v>
      </c>
      <c r="JJ8" s="753">
        <v>1</v>
      </c>
      <c r="JK8" s="753">
        <v>1</v>
      </c>
      <c r="JL8" s="753">
        <v>1</v>
      </c>
      <c r="JM8" s="753">
        <v>1</v>
      </c>
      <c r="JN8" s="753">
        <v>1</v>
      </c>
      <c r="JO8" s="753">
        <v>2</v>
      </c>
      <c r="JP8" s="753">
        <v>3</v>
      </c>
      <c r="JQ8" s="753">
        <v>0</v>
      </c>
      <c r="JR8" s="753">
        <v>1</v>
      </c>
      <c r="JS8" s="753">
        <v>2</v>
      </c>
      <c r="JT8" s="753">
        <v>3</v>
      </c>
      <c r="JU8" s="753">
        <v>3</v>
      </c>
      <c r="JV8" s="753">
        <v>3</v>
      </c>
      <c r="JW8" s="753">
        <v>4</v>
      </c>
      <c r="JX8" s="753">
        <v>5</v>
      </c>
      <c r="JY8" s="753">
        <v>7</v>
      </c>
      <c r="JZ8" s="753">
        <v>7</v>
      </c>
      <c r="KA8" s="752">
        <v>3</v>
      </c>
      <c r="KB8" s="752">
        <v>4</v>
      </c>
      <c r="KC8" s="752">
        <v>5</v>
      </c>
      <c r="KD8" s="752">
        <v>5</v>
      </c>
      <c r="KE8" s="752">
        <v>7</v>
      </c>
      <c r="KF8" s="752">
        <v>11</v>
      </c>
      <c r="KG8" s="752">
        <v>17</v>
      </c>
      <c r="KH8" s="752">
        <v>18</v>
      </c>
      <c r="KI8" s="752">
        <v>20</v>
      </c>
      <c r="KJ8" s="752">
        <v>229</v>
      </c>
      <c r="KK8" s="752">
        <v>250</v>
      </c>
      <c r="KL8" s="752">
        <v>262</v>
      </c>
      <c r="KM8" s="752">
        <v>277</v>
      </c>
      <c r="KN8" s="752">
        <v>282</v>
      </c>
      <c r="KO8" s="752">
        <v>288</v>
      </c>
      <c r="KP8" s="752">
        <v>291</v>
      </c>
      <c r="KQ8" s="752">
        <v>284</v>
      </c>
      <c r="KR8" s="755">
        <v>273</v>
      </c>
      <c r="KS8" s="808"/>
    </row>
    <row r="9" spans="1:305" s="737" customFormat="1" ht="12.75" x14ac:dyDescent="0.25">
      <c r="A9" s="720">
        <v>5</v>
      </c>
      <c r="B9" s="721" t="s">
        <v>348</v>
      </c>
      <c r="C9" s="738">
        <v>24</v>
      </c>
      <c r="D9" s="738">
        <v>24</v>
      </c>
      <c r="E9" s="739">
        <v>24</v>
      </c>
      <c r="F9" s="740">
        <v>25</v>
      </c>
      <c r="G9" s="740">
        <v>22</v>
      </c>
      <c r="H9" s="740">
        <v>19</v>
      </c>
      <c r="I9" s="740">
        <v>12</v>
      </c>
      <c r="J9" s="740">
        <v>11</v>
      </c>
      <c r="K9" s="741">
        <v>11</v>
      </c>
      <c r="L9" s="738">
        <v>32</v>
      </c>
      <c r="M9" s="738">
        <v>32</v>
      </c>
      <c r="N9" s="739">
        <v>41</v>
      </c>
      <c r="O9" s="740">
        <v>42</v>
      </c>
      <c r="P9" s="740">
        <v>43</v>
      </c>
      <c r="Q9" s="740">
        <v>44</v>
      </c>
      <c r="R9" s="740">
        <v>43</v>
      </c>
      <c r="S9" s="740">
        <v>39</v>
      </c>
      <c r="T9" s="741">
        <v>38</v>
      </c>
      <c r="U9" s="738">
        <v>33</v>
      </c>
      <c r="V9" s="738">
        <v>34</v>
      </c>
      <c r="W9" s="739">
        <v>34</v>
      </c>
      <c r="X9" s="740">
        <v>34</v>
      </c>
      <c r="Y9" s="742">
        <v>34</v>
      </c>
      <c r="Z9" s="742">
        <v>34</v>
      </c>
      <c r="AA9" s="742">
        <v>31</v>
      </c>
      <c r="AB9" s="742">
        <v>33</v>
      </c>
      <c r="AC9" s="743">
        <v>33</v>
      </c>
      <c r="AD9" s="738">
        <v>17</v>
      </c>
      <c r="AE9" s="738">
        <v>20</v>
      </c>
      <c r="AF9" s="739">
        <v>24</v>
      </c>
      <c r="AG9" s="740">
        <v>26</v>
      </c>
      <c r="AH9" s="740">
        <v>26</v>
      </c>
      <c r="AI9" s="740">
        <v>26</v>
      </c>
      <c r="AJ9" s="740">
        <v>26</v>
      </c>
      <c r="AK9" s="740">
        <v>25</v>
      </c>
      <c r="AL9" s="741">
        <v>24</v>
      </c>
      <c r="AM9" s="744">
        <v>0</v>
      </c>
      <c r="AN9" s="744">
        <v>0</v>
      </c>
      <c r="AO9" s="744">
        <v>0</v>
      </c>
      <c r="AP9" s="744">
        <v>0</v>
      </c>
      <c r="AQ9" s="745">
        <v>0</v>
      </c>
      <c r="AR9" s="738">
        <v>4</v>
      </c>
      <c r="AS9" s="738">
        <v>4</v>
      </c>
      <c r="AT9" s="739">
        <v>4</v>
      </c>
      <c r="AU9" s="739">
        <v>4</v>
      </c>
      <c r="AV9" s="739">
        <v>3</v>
      </c>
      <c r="AW9" s="739">
        <v>3</v>
      </c>
      <c r="AX9" s="739">
        <v>3</v>
      </c>
      <c r="AY9" s="739">
        <v>43</v>
      </c>
      <c r="AZ9" s="746">
        <v>43</v>
      </c>
      <c r="BA9" s="738">
        <v>1</v>
      </c>
      <c r="BB9" s="738">
        <v>2</v>
      </c>
      <c r="BC9" s="739">
        <v>2</v>
      </c>
      <c r="BD9" s="739">
        <v>2</v>
      </c>
      <c r="BE9" s="739">
        <v>2</v>
      </c>
      <c r="BF9" s="739">
        <v>2</v>
      </c>
      <c r="BG9" s="739">
        <v>2</v>
      </c>
      <c r="BH9" s="739">
        <v>2</v>
      </c>
      <c r="BI9" s="746">
        <v>0</v>
      </c>
      <c r="BJ9" s="738">
        <v>3</v>
      </c>
      <c r="BK9" s="738">
        <v>3</v>
      </c>
      <c r="BL9" s="739">
        <v>3</v>
      </c>
      <c r="BM9" s="747">
        <v>3</v>
      </c>
      <c r="BN9" s="747">
        <v>3</v>
      </c>
      <c r="BO9" s="747">
        <v>3</v>
      </c>
      <c r="BP9" s="747">
        <v>3</v>
      </c>
      <c r="BQ9" s="747">
        <v>3</v>
      </c>
      <c r="BR9" s="748">
        <v>3</v>
      </c>
      <c r="BS9" s="747">
        <v>0</v>
      </c>
      <c r="BT9" s="747">
        <v>0</v>
      </c>
      <c r="BU9" s="747">
        <v>0</v>
      </c>
      <c r="BV9" s="747">
        <v>0</v>
      </c>
      <c r="BW9" s="748">
        <v>0</v>
      </c>
      <c r="BX9" s="738">
        <v>2</v>
      </c>
      <c r="BY9" s="738">
        <v>3</v>
      </c>
      <c r="BZ9" s="739">
        <v>3</v>
      </c>
      <c r="CA9" s="747">
        <v>3</v>
      </c>
      <c r="CB9" s="747">
        <v>3</v>
      </c>
      <c r="CC9" s="747">
        <v>2</v>
      </c>
      <c r="CD9" s="747">
        <v>2</v>
      </c>
      <c r="CE9" s="747">
        <v>2</v>
      </c>
      <c r="CF9" s="748">
        <v>3</v>
      </c>
      <c r="CG9" s="747">
        <v>0</v>
      </c>
      <c r="CH9" s="747">
        <v>0</v>
      </c>
      <c r="CI9" s="747">
        <v>0</v>
      </c>
      <c r="CJ9" s="747">
        <v>0</v>
      </c>
      <c r="CK9" s="748">
        <v>1</v>
      </c>
      <c r="CL9" s="738">
        <v>2</v>
      </c>
      <c r="CM9" s="738">
        <v>2</v>
      </c>
      <c r="CN9" s="739">
        <v>2</v>
      </c>
      <c r="CO9" s="740">
        <v>2</v>
      </c>
      <c r="CP9" s="740">
        <v>2</v>
      </c>
      <c r="CQ9" s="740">
        <v>2</v>
      </c>
      <c r="CR9" s="740">
        <v>2</v>
      </c>
      <c r="CS9" s="740">
        <v>4</v>
      </c>
      <c r="CT9" s="741">
        <v>4</v>
      </c>
      <c r="CU9" s="738">
        <v>5</v>
      </c>
      <c r="CV9" s="738">
        <v>6</v>
      </c>
      <c r="CW9" s="739">
        <v>6</v>
      </c>
      <c r="CX9" s="740">
        <v>6</v>
      </c>
      <c r="CY9" s="740">
        <v>7</v>
      </c>
      <c r="CZ9" s="740">
        <v>6</v>
      </c>
      <c r="DA9" s="740">
        <v>6</v>
      </c>
      <c r="DB9" s="740">
        <v>6</v>
      </c>
      <c r="DC9" s="741">
        <v>6</v>
      </c>
      <c r="DD9" s="738">
        <v>1</v>
      </c>
      <c r="DE9" s="738">
        <v>1</v>
      </c>
      <c r="DF9" s="739">
        <v>1</v>
      </c>
      <c r="DG9" s="740">
        <v>1</v>
      </c>
      <c r="DH9" s="740">
        <v>1</v>
      </c>
      <c r="DI9" s="740">
        <v>11</v>
      </c>
      <c r="DJ9" s="740">
        <v>11</v>
      </c>
      <c r="DK9" s="740">
        <v>11</v>
      </c>
      <c r="DL9" s="741">
        <v>11</v>
      </c>
      <c r="DM9" s="739">
        <v>0</v>
      </c>
      <c r="DN9" s="739">
        <v>0</v>
      </c>
      <c r="DO9" s="739">
        <v>0</v>
      </c>
      <c r="DP9" s="739">
        <v>0</v>
      </c>
      <c r="DQ9" s="739">
        <v>0</v>
      </c>
      <c r="DR9" s="739">
        <v>0</v>
      </c>
      <c r="DS9" s="746">
        <v>0</v>
      </c>
      <c r="DT9" s="740">
        <v>0</v>
      </c>
      <c r="DU9" s="740">
        <v>1</v>
      </c>
      <c r="DV9" s="739">
        <v>1</v>
      </c>
      <c r="DW9" s="740">
        <v>2</v>
      </c>
      <c r="DX9" s="740">
        <v>2</v>
      </c>
      <c r="DY9" s="740">
        <v>2</v>
      </c>
      <c r="DZ9" s="740">
        <v>2</v>
      </c>
      <c r="EA9" s="740">
        <v>2</v>
      </c>
      <c r="EB9" s="741">
        <v>2</v>
      </c>
      <c r="EC9" s="740">
        <v>6</v>
      </c>
      <c r="ED9" s="740">
        <v>6</v>
      </c>
      <c r="EE9" s="739">
        <v>6</v>
      </c>
      <c r="EF9" s="740">
        <v>6</v>
      </c>
      <c r="EG9" s="740">
        <v>7</v>
      </c>
      <c r="EH9" s="740">
        <v>9</v>
      </c>
      <c r="EI9" s="740">
        <v>9</v>
      </c>
      <c r="EJ9" s="740">
        <v>7</v>
      </c>
      <c r="EK9" s="741">
        <v>5</v>
      </c>
      <c r="EL9" s="747">
        <v>0</v>
      </c>
      <c r="EM9" s="747">
        <v>0</v>
      </c>
      <c r="EN9" s="747">
        <v>0</v>
      </c>
      <c r="EO9" s="747">
        <v>0</v>
      </c>
      <c r="EP9" s="747">
        <v>0</v>
      </c>
      <c r="EQ9" s="738">
        <v>0</v>
      </c>
      <c r="ER9" s="738">
        <v>0</v>
      </c>
      <c r="ES9" s="739">
        <v>0</v>
      </c>
      <c r="ET9" s="740">
        <v>0</v>
      </c>
      <c r="EU9" s="740">
        <v>0</v>
      </c>
      <c r="EV9" s="740">
        <v>0</v>
      </c>
      <c r="EW9" s="740">
        <v>0</v>
      </c>
      <c r="EX9" s="740">
        <v>0</v>
      </c>
      <c r="EY9" s="741">
        <v>0</v>
      </c>
      <c r="EZ9" s="738">
        <v>2</v>
      </c>
      <c r="FA9" s="738">
        <v>2</v>
      </c>
      <c r="FB9" s="739">
        <v>2</v>
      </c>
      <c r="FC9" s="740">
        <v>2</v>
      </c>
      <c r="FD9" s="740">
        <v>1</v>
      </c>
      <c r="FE9" s="740">
        <v>1</v>
      </c>
      <c r="FF9" s="740">
        <v>1</v>
      </c>
      <c r="FG9" s="740">
        <v>1</v>
      </c>
      <c r="FH9" s="741">
        <v>1</v>
      </c>
      <c r="FI9" s="738">
        <v>1</v>
      </c>
      <c r="FJ9" s="738">
        <v>1</v>
      </c>
      <c r="FK9" s="739">
        <v>1</v>
      </c>
      <c r="FL9" s="740">
        <v>1</v>
      </c>
      <c r="FM9" s="740">
        <v>2</v>
      </c>
      <c r="FN9" s="740">
        <v>1</v>
      </c>
      <c r="FO9" s="740">
        <v>1</v>
      </c>
      <c r="FP9" s="740">
        <v>1</v>
      </c>
      <c r="FQ9" s="741">
        <v>1</v>
      </c>
      <c r="FR9" s="738">
        <v>2</v>
      </c>
      <c r="FS9" s="738">
        <v>2</v>
      </c>
      <c r="FT9" s="739">
        <v>2</v>
      </c>
      <c r="FU9" s="740">
        <v>2</v>
      </c>
      <c r="FV9" s="740">
        <v>2</v>
      </c>
      <c r="FW9" s="740">
        <v>2</v>
      </c>
      <c r="FX9" s="740">
        <v>2</v>
      </c>
      <c r="FY9" s="740">
        <v>2</v>
      </c>
      <c r="FZ9" s="741">
        <v>2</v>
      </c>
      <c r="GA9" s="738">
        <v>1</v>
      </c>
      <c r="GB9" s="738">
        <v>1</v>
      </c>
      <c r="GC9" s="739">
        <v>2</v>
      </c>
      <c r="GD9" s="740">
        <v>2</v>
      </c>
      <c r="GE9" s="740">
        <v>2</v>
      </c>
      <c r="GF9" s="740">
        <v>2</v>
      </c>
      <c r="GG9" s="740">
        <v>2</v>
      </c>
      <c r="GH9" s="740">
        <v>2</v>
      </c>
      <c r="GI9" s="741">
        <v>2</v>
      </c>
      <c r="GJ9" s="738">
        <v>1</v>
      </c>
      <c r="GK9" s="738">
        <v>1</v>
      </c>
      <c r="GL9" s="739">
        <v>1</v>
      </c>
      <c r="GM9" s="740">
        <v>3</v>
      </c>
      <c r="GN9" s="740">
        <v>3</v>
      </c>
      <c r="GO9" s="740">
        <v>3</v>
      </c>
      <c r="GP9" s="740">
        <v>3</v>
      </c>
      <c r="GQ9" s="740">
        <v>3</v>
      </c>
      <c r="GR9" s="741">
        <v>3</v>
      </c>
      <c r="GS9" s="740">
        <v>1</v>
      </c>
      <c r="GT9" s="740">
        <v>1</v>
      </c>
      <c r="GU9" s="739">
        <v>1</v>
      </c>
      <c r="GV9" s="740">
        <v>1</v>
      </c>
      <c r="GW9" s="740">
        <v>1</v>
      </c>
      <c r="GX9" s="740">
        <v>1</v>
      </c>
      <c r="GY9" s="740">
        <v>1</v>
      </c>
      <c r="GZ9" s="740">
        <v>1</v>
      </c>
      <c r="HA9" s="741">
        <v>1</v>
      </c>
      <c r="HB9" s="738">
        <v>1</v>
      </c>
      <c r="HC9" s="738">
        <v>1</v>
      </c>
      <c r="HD9" s="739">
        <v>1</v>
      </c>
      <c r="HE9" s="740">
        <v>1</v>
      </c>
      <c r="HF9" s="740">
        <v>1</v>
      </c>
      <c r="HG9" s="740">
        <v>1</v>
      </c>
      <c r="HH9" s="740">
        <v>1</v>
      </c>
      <c r="HI9" s="740">
        <v>1</v>
      </c>
      <c r="HJ9" s="741">
        <v>1</v>
      </c>
      <c r="HK9" s="738">
        <v>0</v>
      </c>
      <c r="HL9" s="738">
        <v>0</v>
      </c>
      <c r="HM9" s="739">
        <v>0</v>
      </c>
      <c r="HN9" s="740">
        <v>0</v>
      </c>
      <c r="HO9" s="740">
        <v>1</v>
      </c>
      <c r="HP9" s="740">
        <v>1</v>
      </c>
      <c r="HQ9" s="740">
        <v>1</v>
      </c>
      <c r="HR9" s="740">
        <v>1</v>
      </c>
      <c r="HS9" s="741">
        <v>1</v>
      </c>
      <c r="HT9" s="749">
        <f t="shared" si="0"/>
        <v>139</v>
      </c>
      <c r="HU9" s="749">
        <f t="shared" si="0"/>
        <v>147</v>
      </c>
      <c r="HV9" s="749">
        <f t="shared" si="1"/>
        <v>161</v>
      </c>
      <c r="HW9" s="749">
        <f t="shared" si="1"/>
        <v>168</v>
      </c>
      <c r="HX9" s="749">
        <f t="shared" si="2"/>
        <v>168</v>
      </c>
      <c r="HY9" s="749">
        <f t="shared" si="2"/>
        <v>175</v>
      </c>
      <c r="HZ9" s="749">
        <f t="shared" si="2"/>
        <v>164</v>
      </c>
      <c r="IA9" s="749">
        <v>200</v>
      </c>
      <c r="IB9" s="750">
        <v>196</v>
      </c>
      <c r="IC9" s="751">
        <v>0</v>
      </c>
      <c r="ID9" s="751">
        <v>1</v>
      </c>
      <c r="IE9" s="753">
        <v>1</v>
      </c>
      <c r="IF9" s="753">
        <v>1</v>
      </c>
      <c r="IG9" s="753">
        <v>1</v>
      </c>
      <c r="IH9" s="753">
        <v>3</v>
      </c>
      <c r="II9" s="753">
        <v>0</v>
      </c>
      <c r="IJ9" s="753">
        <v>0</v>
      </c>
      <c r="IK9" s="753">
        <v>1</v>
      </c>
      <c r="IL9" s="753">
        <v>1</v>
      </c>
      <c r="IM9" s="753">
        <v>1</v>
      </c>
      <c r="IN9" s="753">
        <v>3</v>
      </c>
      <c r="IO9" s="753">
        <v>3</v>
      </c>
      <c r="IP9" s="753">
        <v>3</v>
      </c>
      <c r="IQ9" s="753">
        <v>3</v>
      </c>
      <c r="IR9" s="753">
        <v>0</v>
      </c>
      <c r="IS9" s="753">
        <v>1</v>
      </c>
      <c r="IT9" s="753">
        <v>1</v>
      </c>
      <c r="IU9" s="753">
        <v>2</v>
      </c>
      <c r="IV9" s="753">
        <v>4</v>
      </c>
      <c r="IW9" s="753">
        <v>4</v>
      </c>
      <c r="IX9" s="753">
        <v>5</v>
      </c>
      <c r="IY9" s="753">
        <v>0</v>
      </c>
      <c r="IZ9" s="753">
        <v>0</v>
      </c>
      <c r="JA9" s="753">
        <v>0</v>
      </c>
      <c r="JB9" s="753">
        <v>0</v>
      </c>
      <c r="JC9" s="753">
        <v>0</v>
      </c>
      <c r="JD9" s="753">
        <v>0</v>
      </c>
      <c r="JE9" s="753">
        <v>0</v>
      </c>
      <c r="JF9" s="753">
        <v>0</v>
      </c>
      <c r="JG9" s="753">
        <v>1</v>
      </c>
      <c r="JH9" s="753">
        <v>0</v>
      </c>
      <c r="JI9" s="753">
        <v>0</v>
      </c>
      <c r="JJ9" s="753">
        <v>0</v>
      </c>
      <c r="JK9" s="753">
        <v>0</v>
      </c>
      <c r="JL9" s="753">
        <v>0</v>
      </c>
      <c r="JM9" s="753">
        <v>0</v>
      </c>
      <c r="JN9" s="753">
        <v>0</v>
      </c>
      <c r="JO9" s="753">
        <v>1</v>
      </c>
      <c r="JP9" s="753">
        <v>2</v>
      </c>
      <c r="JQ9" s="753">
        <v>0</v>
      </c>
      <c r="JR9" s="753">
        <v>4</v>
      </c>
      <c r="JS9" s="753">
        <v>4</v>
      </c>
      <c r="JT9" s="753">
        <v>4</v>
      </c>
      <c r="JU9" s="753">
        <v>4</v>
      </c>
      <c r="JV9" s="753">
        <v>4</v>
      </c>
      <c r="JW9" s="753">
        <v>4</v>
      </c>
      <c r="JX9" s="753">
        <v>5</v>
      </c>
      <c r="JY9" s="753">
        <v>7</v>
      </c>
      <c r="JZ9" s="753">
        <v>7</v>
      </c>
      <c r="KA9" s="752">
        <v>4</v>
      </c>
      <c r="KB9" s="752">
        <v>5</v>
      </c>
      <c r="KC9" s="752">
        <v>6</v>
      </c>
      <c r="KD9" s="752">
        <v>7</v>
      </c>
      <c r="KE9" s="752">
        <v>10</v>
      </c>
      <c r="KF9" s="752">
        <v>12</v>
      </c>
      <c r="KG9" s="752">
        <v>14</v>
      </c>
      <c r="KH9" s="752">
        <v>12</v>
      </c>
      <c r="KI9" s="752">
        <v>16</v>
      </c>
      <c r="KJ9" s="752">
        <v>143</v>
      </c>
      <c r="KK9" s="752">
        <v>152</v>
      </c>
      <c r="KL9" s="752">
        <v>167</v>
      </c>
      <c r="KM9" s="752">
        <v>175</v>
      </c>
      <c r="KN9" s="752">
        <v>178</v>
      </c>
      <c r="KO9" s="752">
        <v>187</v>
      </c>
      <c r="KP9" s="752">
        <v>178</v>
      </c>
      <c r="KQ9" s="752">
        <v>212</v>
      </c>
      <c r="KR9" s="755">
        <v>212</v>
      </c>
      <c r="KS9" s="808"/>
    </row>
    <row r="10" spans="1:305" s="737" customFormat="1" ht="12.75" x14ac:dyDescent="0.25">
      <c r="A10" s="720">
        <v>6</v>
      </c>
      <c r="B10" s="721" t="s">
        <v>148</v>
      </c>
      <c r="C10" s="738">
        <v>11</v>
      </c>
      <c r="D10" s="738">
        <v>11</v>
      </c>
      <c r="E10" s="739">
        <v>11</v>
      </c>
      <c r="F10" s="740">
        <v>11</v>
      </c>
      <c r="G10" s="740">
        <v>8</v>
      </c>
      <c r="H10" s="740">
        <v>11</v>
      </c>
      <c r="I10" s="740">
        <v>9</v>
      </c>
      <c r="J10" s="740">
        <v>9</v>
      </c>
      <c r="K10" s="741">
        <v>9</v>
      </c>
      <c r="L10" s="738">
        <v>10</v>
      </c>
      <c r="M10" s="738">
        <v>10</v>
      </c>
      <c r="N10" s="739">
        <v>11</v>
      </c>
      <c r="O10" s="740">
        <v>11</v>
      </c>
      <c r="P10" s="740">
        <v>11</v>
      </c>
      <c r="Q10" s="740">
        <v>11</v>
      </c>
      <c r="R10" s="740">
        <v>10</v>
      </c>
      <c r="S10" s="740">
        <v>10</v>
      </c>
      <c r="T10" s="741">
        <v>9</v>
      </c>
      <c r="U10" s="738">
        <v>8</v>
      </c>
      <c r="V10" s="738">
        <v>8</v>
      </c>
      <c r="W10" s="739">
        <v>8</v>
      </c>
      <c r="X10" s="740">
        <v>8</v>
      </c>
      <c r="Y10" s="742">
        <v>8</v>
      </c>
      <c r="Z10" s="742">
        <v>8</v>
      </c>
      <c r="AA10" s="742">
        <v>6</v>
      </c>
      <c r="AB10" s="742">
        <v>6</v>
      </c>
      <c r="AC10" s="743">
        <v>6</v>
      </c>
      <c r="AD10" s="738">
        <v>11</v>
      </c>
      <c r="AE10" s="738">
        <v>11</v>
      </c>
      <c r="AF10" s="739">
        <v>11</v>
      </c>
      <c r="AG10" s="740">
        <v>10</v>
      </c>
      <c r="AH10" s="740">
        <v>10</v>
      </c>
      <c r="AI10" s="740">
        <v>10</v>
      </c>
      <c r="AJ10" s="740">
        <v>10</v>
      </c>
      <c r="AK10" s="740">
        <v>10</v>
      </c>
      <c r="AL10" s="741">
        <v>7</v>
      </c>
      <c r="AM10" s="744">
        <v>0</v>
      </c>
      <c r="AN10" s="744">
        <v>0</v>
      </c>
      <c r="AO10" s="744">
        <v>0</v>
      </c>
      <c r="AP10" s="744">
        <v>0</v>
      </c>
      <c r="AQ10" s="745">
        <v>0</v>
      </c>
      <c r="AR10" s="738">
        <v>3</v>
      </c>
      <c r="AS10" s="738">
        <v>4</v>
      </c>
      <c r="AT10" s="739">
        <v>4</v>
      </c>
      <c r="AU10" s="739">
        <v>4</v>
      </c>
      <c r="AV10" s="739">
        <v>4</v>
      </c>
      <c r="AW10" s="739">
        <v>4</v>
      </c>
      <c r="AX10" s="739">
        <v>3</v>
      </c>
      <c r="AY10" s="739">
        <v>3</v>
      </c>
      <c r="AZ10" s="746">
        <v>3</v>
      </c>
      <c r="BA10" s="738">
        <v>1</v>
      </c>
      <c r="BB10" s="738">
        <v>1</v>
      </c>
      <c r="BC10" s="739">
        <v>1</v>
      </c>
      <c r="BD10" s="739">
        <v>1</v>
      </c>
      <c r="BE10" s="739">
        <v>1</v>
      </c>
      <c r="BF10" s="739">
        <v>1</v>
      </c>
      <c r="BG10" s="739">
        <v>1</v>
      </c>
      <c r="BH10" s="739">
        <v>1</v>
      </c>
      <c r="BI10" s="746">
        <v>0</v>
      </c>
      <c r="BJ10" s="738">
        <v>2</v>
      </c>
      <c r="BK10" s="738">
        <v>2</v>
      </c>
      <c r="BL10" s="739">
        <v>2</v>
      </c>
      <c r="BM10" s="747">
        <v>2</v>
      </c>
      <c r="BN10" s="747">
        <v>2</v>
      </c>
      <c r="BO10" s="747">
        <v>2</v>
      </c>
      <c r="BP10" s="747">
        <v>1</v>
      </c>
      <c r="BQ10" s="747">
        <v>1</v>
      </c>
      <c r="BR10" s="748">
        <v>1</v>
      </c>
      <c r="BS10" s="747">
        <v>0</v>
      </c>
      <c r="BT10" s="747">
        <v>1</v>
      </c>
      <c r="BU10" s="747">
        <v>1</v>
      </c>
      <c r="BV10" s="747">
        <v>1</v>
      </c>
      <c r="BW10" s="748">
        <v>1</v>
      </c>
      <c r="BX10" s="738">
        <v>1</v>
      </c>
      <c r="BY10" s="738">
        <v>1</v>
      </c>
      <c r="BZ10" s="739">
        <v>1</v>
      </c>
      <c r="CA10" s="747">
        <v>1</v>
      </c>
      <c r="CB10" s="747">
        <v>1</v>
      </c>
      <c r="CC10" s="747">
        <v>1</v>
      </c>
      <c r="CD10" s="747">
        <v>1</v>
      </c>
      <c r="CE10" s="747">
        <v>1</v>
      </c>
      <c r="CF10" s="748">
        <v>1</v>
      </c>
      <c r="CG10" s="747">
        <v>1</v>
      </c>
      <c r="CH10" s="747">
        <v>1</v>
      </c>
      <c r="CI10" s="747">
        <v>1</v>
      </c>
      <c r="CJ10" s="747">
        <v>1</v>
      </c>
      <c r="CK10" s="748">
        <v>1</v>
      </c>
      <c r="CL10" s="738">
        <v>1</v>
      </c>
      <c r="CM10" s="738">
        <v>1</v>
      </c>
      <c r="CN10" s="739">
        <v>1</v>
      </c>
      <c r="CO10" s="740">
        <v>1</v>
      </c>
      <c r="CP10" s="740">
        <v>1</v>
      </c>
      <c r="CQ10" s="740">
        <v>1</v>
      </c>
      <c r="CR10" s="740">
        <v>1</v>
      </c>
      <c r="CS10" s="740">
        <v>1</v>
      </c>
      <c r="CT10" s="741">
        <v>1</v>
      </c>
      <c r="CU10" s="738">
        <v>2</v>
      </c>
      <c r="CV10" s="738">
        <v>2</v>
      </c>
      <c r="CW10" s="739">
        <v>2</v>
      </c>
      <c r="CX10" s="740">
        <v>2</v>
      </c>
      <c r="CY10" s="740">
        <v>2</v>
      </c>
      <c r="CZ10" s="740">
        <v>2</v>
      </c>
      <c r="DA10" s="740">
        <v>2</v>
      </c>
      <c r="DB10" s="740">
        <v>2</v>
      </c>
      <c r="DC10" s="741">
        <v>2</v>
      </c>
      <c r="DD10" s="738">
        <v>1</v>
      </c>
      <c r="DE10" s="738">
        <v>1</v>
      </c>
      <c r="DF10" s="739">
        <v>1</v>
      </c>
      <c r="DG10" s="740">
        <v>1</v>
      </c>
      <c r="DH10" s="740">
        <v>1</v>
      </c>
      <c r="DI10" s="740">
        <v>3</v>
      </c>
      <c r="DJ10" s="740">
        <v>3</v>
      </c>
      <c r="DK10" s="740">
        <v>3</v>
      </c>
      <c r="DL10" s="741">
        <v>3</v>
      </c>
      <c r="DM10" s="739">
        <v>0</v>
      </c>
      <c r="DN10" s="739">
        <v>0</v>
      </c>
      <c r="DO10" s="739">
        <v>0</v>
      </c>
      <c r="DP10" s="739">
        <v>0</v>
      </c>
      <c r="DQ10" s="739">
        <v>0</v>
      </c>
      <c r="DR10" s="739">
        <v>0</v>
      </c>
      <c r="DS10" s="746">
        <v>0</v>
      </c>
      <c r="DT10" s="740">
        <v>0</v>
      </c>
      <c r="DU10" s="740">
        <v>1</v>
      </c>
      <c r="DV10" s="739">
        <v>1</v>
      </c>
      <c r="DW10" s="740">
        <v>1</v>
      </c>
      <c r="DX10" s="740">
        <v>1</v>
      </c>
      <c r="DY10" s="740">
        <v>1</v>
      </c>
      <c r="DZ10" s="740">
        <v>1</v>
      </c>
      <c r="EA10" s="740">
        <v>1</v>
      </c>
      <c r="EB10" s="741">
        <v>1</v>
      </c>
      <c r="EC10" s="740">
        <v>0</v>
      </c>
      <c r="ED10" s="740">
        <v>0</v>
      </c>
      <c r="EE10" s="739">
        <v>0</v>
      </c>
      <c r="EF10" s="740">
        <v>0</v>
      </c>
      <c r="EG10" s="740">
        <v>0</v>
      </c>
      <c r="EH10" s="740">
        <v>0</v>
      </c>
      <c r="EI10" s="740">
        <v>0</v>
      </c>
      <c r="EJ10" s="740">
        <v>0</v>
      </c>
      <c r="EK10" s="741">
        <v>0</v>
      </c>
      <c r="EL10" s="747">
        <v>0</v>
      </c>
      <c r="EM10" s="747">
        <v>0</v>
      </c>
      <c r="EN10" s="747">
        <v>0</v>
      </c>
      <c r="EO10" s="747">
        <v>0</v>
      </c>
      <c r="EP10" s="747">
        <v>0</v>
      </c>
      <c r="EQ10" s="738">
        <v>0</v>
      </c>
      <c r="ER10" s="738">
        <v>0</v>
      </c>
      <c r="ES10" s="739">
        <v>0</v>
      </c>
      <c r="ET10" s="740">
        <v>0</v>
      </c>
      <c r="EU10" s="740">
        <v>0</v>
      </c>
      <c r="EV10" s="740">
        <v>0</v>
      </c>
      <c r="EW10" s="740">
        <v>0</v>
      </c>
      <c r="EX10" s="740">
        <v>0</v>
      </c>
      <c r="EY10" s="741">
        <v>0</v>
      </c>
      <c r="EZ10" s="738">
        <v>1</v>
      </c>
      <c r="FA10" s="738">
        <v>1</v>
      </c>
      <c r="FB10" s="739">
        <v>1</v>
      </c>
      <c r="FC10" s="740">
        <v>1</v>
      </c>
      <c r="FD10" s="740">
        <v>1</v>
      </c>
      <c r="FE10" s="740">
        <v>1</v>
      </c>
      <c r="FF10" s="740">
        <v>1</v>
      </c>
      <c r="FG10" s="740">
        <v>1</v>
      </c>
      <c r="FH10" s="741">
        <v>1</v>
      </c>
      <c r="FI10" s="738">
        <v>1</v>
      </c>
      <c r="FJ10" s="738">
        <v>1</v>
      </c>
      <c r="FK10" s="739">
        <v>1</v>
      </c>
      <c r="FL10" s="740">
        <v>1</v>
      </c>
      <c r="FM10" s="740">
        <v>1</v>
      </c>
      <c r="FN10" s="740">
        <v>1</v>
      </c>
      <c r="FO10" s="740">
        <v>1</v>
      </c>
      <c r="FP10" s="740">
        <v>1</v>
      </c>
      <c r="FQ10" s="741">
        <v>1</v>
      </c>
      <c r="FR10" s="738">
        <v>1</v>
      </c>
      <c r="FS10" s="738">
        <v>1</v>
      </c>
      <c r="FT10" s="739">
        <v>1</v>
      </c>
      <c r="FU10" s="740">
        <v>1</v>
      </c>
      <c r="FV10" s="740">
        <v>1</v>
      </c>
      <c r="FW10" s="740">
        <v>1</v>
      </c>
      <c r="FX10" s="740">
        <v>1</v>
      </c>
      <c r="FY10" s="740">
        <v>1</v>
      </c>
      <c r="FZ10" s="741">
        <v>1</v>
      </c>
      <c r="GA10" s="738">
        <v>1</v>
      </c>
      <c r="GB10" s="738">
        <v>1</v>
      </c>
      <c r="GC10" s="739">
        <v>0</v>
      </c>
      <c r="GD10" s="740">
        <v>0</v>
      </c>
      <c r="GE10" s="740">
        <v>0</v>
      </c>
      <c r="GF10" s="740">
        <v>0</v>
      </c>
      <c r="GG10" s="740">
        <v>0</v>
      </c>
      <c r="GH10" s="740">
        <v>0</v>
      </c>
      <c r="GI10" s="741">
        <v>1</v>
      </c>
      <c r="GJ10" s="738">
        <v>1</v>
      </c>
      <c r="GK10" s="738">
        <v>1</v>
      </c>
      <c r="GL10" s="739">
        <v>1</v>
      </c>
      <c r="GM10" s="740">
        <v>2</v>
      </c>
      <c r="GN10" s="740">
        <v>2</v>
      </c>
      <c r="GO10" s="740">
        <v>2</v>
      </c>
      <c r="GP10" s="740">
        <v>2</v>
      </c>
      <c r="GQ10" s="740">
        <v>2</v>
      </c>
      <c r="GR10" s="741">
        <v>2</v>
      </c>
      <c r="GS10" s="740">
        <v>1</v>
      </c>
      <c r="GT10" s="740">
        <v>1</v>
      </c>
      <c r="GU10" s="739">
        <v>1</v>
      </c>
      <c r="GV10" s="740">
        <v>1</v>
      </c>
      <c r="GW10" s="740">
        <v>1</v>
      </c>
      <c r="GX10" s="740">
        <v>1</v>
      </c>
      <c r="GY10" s="740">
        <v>1</v>
      </c>
      <c r="GZ10" s="740">
        <v>1</v>
      </c>
      <c r="HA10" s="741">
        <v>1</v>
      </c>
      <c r="HB10" s="738">
        <v>0</v>
      </c>
      <c r="HC10" s="738">
        <v>0</v>
      </c>
      <c r="HD10" s="739">
        <v>0</v>
      </c>
      <c r="HE10" s="740">
        <v>0</v>
      </c>
      <c r="HF10" s="740">
        <v>0</v>
      </c>
      <c r="HG10" s="740">
        <v>0</v>
      </c>
      <c r="HH10" s="740">
        <v>0</v>
      </c>
      <c r="HI10" s="740">
        <v>0</v>
      </c>
      <c r="HJ10" s="741">
        <v>0</v>
      </c>
      <c r="HK10" s="738">
        <v>0</v>
      </c>
      <c r="HL10" s="738">
        <v>0</v>
      </c>
      <c r="HM10" s="739">
        <v>0</v>
      </c>
      <c r="HN10" s="740">
        <v>0</v>
      </c>
      <c r="HO10" s="740">
        <v>0</v>
      </c>
      <c r="HP10" s="740">
        <v>0</v>
      </c>
      <c r="HQ10" s="740">
        <v>0</v>
      </c>
      <c r="HR10" s="740">
        <v>0</v>
      </c>
      <c r="HS10" s="741">
        <v>0</v>
      </c>
      <c r="HT10" s="749">
        <f t="shared" si="0"/>
        <v>57</v>
      </c>
      <c r="HU10" s="749">
        <f t="shared" si="0"/>
        <v>59</v>
      </c>
      <c r="HV10" s="749">
        <f t="shared" si="1"/>
        <v>59</v>
      </c>
      <c r="HW10" s="749">
        <f t="shared" si="1"/>
        <v>59</v>
      </c>
      <c r="HX10" s="749">
        <f t="shared" si="2"/>
        <v>57</v>
      </c>
      <c r="HY10" s="749">
        <f t="shared" si="2"/>
        <v>63</v>
      </c>
      <c r="HZ10" s="749">
        <f t="shared" si="2"/>
        <v>56</v>
      </c>
      <c r="IA10" s="749">
        <v>56</v>
      </c>
      <c r="IB10" s="750">
        <v>52</v>
      </c>
      <c r="IC10" s="751">
        <v>0</v>
      </c>
      <c r="ID10" s="751">
        <v>1</v>
      </c>
      <c r="IE10" s="753">
        <v>1</v>
      </c>
      <c r="IF10" s="753">
        <v>1</v>
      </c>
      <c r="IG10" s="753">
        <v>1</v>
      </c>
      <c r="IH10" s="753">
        <v>1</v>
      </c>
      <c r="II10" s="753">
        <v>0</v>
      </c>
      <c r="IJ10" s="753">
        <v>0</v>
      </c>
      <c r="IK10" s="753">
        <v>0</v>
      </c>
      <c r="IL10" s="753">
        <v>0</v>
      </c>
      <c r="IM10" s="753">
        <v>0</v>
      </c>
      <c r="IN10" s="753">
        <v>0</v>
      </c>
      <c r="IO10" s="753">
        <v>1</v>
      </c>
      <c r="IP10" s="753">
        <v>1</v>
      </c>
      <c r="IQ10" s="753">
        <v>1</v>
      </c>
      <c r="IR10" s="753">
        <v>0</v>
      </c>
      <c r="IS10" s="753">
        <v>0</v>
      </c>
      <c r="IT10" s="753">
        <v>1</v>
      </c>
      <c r="IU10" s="753">
        <v>1</v>
      </c>
      <c r="IV10" s="753">
        <v>1</v>
      </c>
      <c r="IW10" s="753">
        <v>1</v>
      </c>
      <c r="IX10" s="753">
        <v>1</v>
      </c>
      <c r="IY10" s="753">
        <v>0</v>
      </c>
      <c r="IZ10" s="753">
        <v>0</v>
      </c>
      <c r="JA10" s="753">
        <v>0</v>
      </c>
      <c r="JB10" s="753">
        <v>0</v>
      </c>
      <c r="JC10" s="753">
        <v>0</v>
      </c>
      <c r="JD10" s="753">
        <v>0</v>
      </c>
      <c r="JE10" s="753">
        <v>0</v>
      </c>
      <c r="JF10" s="753">
        <v>0</v>
      </c>
      <c r="JG10" s="753">
        <v>0</v>
      </c>
      <c r="JH10" s="753">
        <v>0</v>
      </c>
      <c r="JI10" s="753">
        <v>1</v>
      </c>
      <c r="JJ10" s="753">
        <v>1</v>
      </c>
      <c r="JK10" s="753">
        <v>1</v>
      </c>
      <c r="JL10" s="753">
        <v>1</v>
      </c>
      <c r="JM10" s="753">
        <v>1</v>
      </c>
      <c r="JN10" s="753">
        <v>1</v>
      </c>
      <c r="JO10" s="753">
        <v>1</v>
      </c>
      <c r="JP10" s="753">
        <v>2</v>
      </c>
      <c r="JQ10" s="753">
        <v>0</v>
      </c>
      <c r="JR10" s="753">
        <v>0</v>
      </c>
      <c r="JS10" s="753">
        <v>1</v>
      </c>
      <c r="JT10" s="753">
        <v>1</v>
      </c>
      <c r="JU10" s="753">
        <v>1</v>
      </c>
      <c r="JV10" s="753">
        <v>1</v>
      </c>
      <c r="JW10" s="753">
        <v>1</v>
      </c>
      <c r="JX10" s="753">
        <v>2</v>
      </c>
      <c r="JY10" s="753">
        <v>2</v>
      </c>
      <c r="JZ10" s="753">
        <v>2</v>
      </c>
      <c r="KA10" s="752">
        <v>0</v>
      </c>
      <c r="KB10" s="752">
        <v>2</v>
      </c>
      <c r="KC10" s="752">
        <v>3</v>
      </c>
      <c r="KD10" s="752">
        <v>3</v>
      </c>
      <c r="KE10" s="752">
        <v>4</v>
      </c>
      <c r="KF10" s="752">
        <v>4</v>
      </c>
      <c r="KG10" s="752">
        <v>6</v>
      </c>
      <c r="KH10" s="752">
        <v>5</v>
      </c>
      <c r="KI10" s="752">
        <v>6</v>
      </c>
      <c r="KJ10" s="752">
        <v>57</v>
      </c>
      <c r="KK10" s="752">
        <v>61</v>
      </c>
      <c r="KL10" s="752">
        <v>62</v>
      </c>
      <c r="KM10" s="752">
        <v>62</v>
      </c>
      <c r="KN10" s="752">
        <v>61</v>
      </c>
      <c r="KO10" s="752">
        <v>67</v>
      </c>
      <c r="KP10" s="752">
        <v>62</v>
      </c>
      <c r="KQ10" s="752">
        <v>61</v>
      </c>
      <c r="KR10" s="755">
        <v>58</v>
      </c>
      <c r="KS10" s="808"/>
    </row>
    <row r="11" spans="1:305" s="737" customFormat="1" ht="12.75" x14ac:dyDescent="0.25">
      <c r="A11" s="720">
        <v>7</v>
      </c>
      <c r="B11" s="721" t="s">
        <v>149</v>
      </c>
      <c r="C11" s="738">
        <v>91</v>
      </c>
      <c r="D11" s="738">
        <v>92</v>
      </c>
      <c r="E11" s="739">
        <v>92</v>
      </c>
      <c r="F11" s="740">
        <v>91</v>
      </c>
      <c r="G11" s="740">
        <v>70</v>
      </c>
      <c r="H11" s="740">
        <v>76</v>
      </c>
      <c r="I11" s="740">
        <v>69</v>
      </c>
      <c r="J11" s="740">
        <v>63</v>
      </c>
      <c r="K11" s="741">
        <v>58</v>
      </c>
      <c r="L11" s="738">
        <v>141</v>
      </c>
      <c r="M11" s="738">
        <v>145</v>
      </c>
      <c r="N11" s="739">
        <v>152</v>
      </c>
      <c r="O11" s="740">
        <v>177</v>
      </c>
      <c r="P11" s="740">
        <v>185</v>
      </c>
      <c r="Q11" s="740">
        <v>168</v>
      </c>
      <c r="R11" s="740">
        <v>160</v>
      </c>
      <c r="S11" s="740">
        <v>156</v>
      </c>
      <c r="T11" s="741">
        <v>155</v>
      </c>
      <c r="U11" s="738">
        <v>92</v>
      </c>
      <c r="V11" s="738">
        <v>96</v>
      </c>
      <c r="W11" s="739">
        <v>96</v>
      </c>
      <c r="X11" s="740">
        <v>96</v>
      </c>
      <c r="Y11" s="742">
        <v>96</v>
      </c>
      <c r="Z11" s="742">
        <v>94</v>
      </c>
      <c r="AA11" s="742">
        <v>88</v>
      </c>
      <c r="AB11" s="742">
        <v>89</v>
      </c>
      <c r="AC11" s="743">
        <v>85</v>
      </c>
      <c r="AD11" s="738">
        <v>96</v>
      </c>
      <c r="AE11" s="738">
        <v>98</v>
      </c>
      <c r="AF11" s="739">
        <v>101</v>
      </c>
      <c r="AG11" s="740">
        <v>105</v>
      </c>
      <c r="AH11" s="740">
        <v>105</v>
      </c>
      <c r="AI11" s="740">
        <v>102</v>
      </c>
      <c r="AJ11" s="740">
        <v>94</v>
      </c>
      <c r="AK11" s="740">
        <v>89</v>
      </c>
      <c r="AL11" s="741">
        <v>64</v>
      </c>
      <c r="AM11" s="744">
        <v>0</v>
      </c>
      <c r="AN11" s="744">
        <v>0</v>
      </c>
      <c r="AO11" s="744">
        <v>0</v>
      </c>
      <c r="AP11" s="744">
        <v>0</v>
      </c>
      <c r="AQ11" s="745">
        <v>0</v>
      </c>
      <c r="AR11" s="738">
        <v>21</v>
      </c>
      <c r="AS11" s="738">
        <v>22</v>
      </c>
      <c r="AT11" s="739">
        <v>21</v>
      </c>
      <c r="AU11" s="739">
        <v>22</v>
      </c>
      <c r="AV11" s="739">
        <v>22</v>
      </c>
      <c r="AW11" s="739">
        <v>23</v>
      </c>
      <c r="AX11" s="739">
        <v>20</v>
      </c>
      <c r="AY11" s="739">
        <v>15</v>
      </c>
      <c r="AZ11" s="746">
        <v>15</v>
      </c>
      <c r="BA11" s="738">
        <v>4</v>
      </c>
      <c r="BB11" s="738">
        <v>5</v>
      </c>
      <c r="BC11" s="739">
        <v>6</v>
      </c>
      <c r="BD11" s="739">
        <v>6</v>
      </c>
      <c r="BE11" s="739">
        <v>7</v>
      </c>
      <c r="BF11" s="739">
        <v>7</v>
      </c>
      <c r="BG11" s="739">
        <v>12</v>
      </c>
      <c r="BH11" s="739">
        <v>15</v>
      </c>
      <c r="BI11" s="746">
        <v>0</v>
      </c>
      <c r="BJ11" s="738">
        <v>8</v>
      </c>
      <c r="BK11" s="738">
        <v>8</v>
      </c>
      <c r="BL11" s="739">
        <v>8</v>
      </c>
      <c r="BM11" s="747">
        <v>8</v>
      </c>
      <c r="BN11" s="747">
        <v>7</v>
      </c>
      <c r="BO11" s="747">
        <v>7</v>
      </c>
      <c r="BP11" s="747">
        <v>7</v>
      </c>
      <c r="BQ11" s="747">
        <v>7</v>
      </c>
      <c r="BR11" s="748">
        <v>11</v>
      </c>
      <c r="BS11" s="747">
        <v>0</v>
      </c>
      <c r="BT11" s="747">
        <v>1</v>
      </c>
      <c r="BU11" s="747">
        <v>1</v>
      </c>
      <c r="BV11" s="747">
        <v>1</v>
      </c>
      <c r="BW11" s="748">
        <v>1</v>
      </c>
      <c r="BX11" s="738">
        <v>13</v>
      </c>
      <c r="BY11" s="738">
        <v>17</v>
      </c>
      <c r="BZ11" s="739">
        <v>17</v>
      </c>
      <c r="CA11" s="747">
        <v>18</v>
      </c>
      <c r="CB11" s="747">
        <v>17</v>
      </c>
      <c r="CC11" s="747">
        <v>17</v>
      </c>
      <c r="CD11" s="747">
        <v>17</v>
      </c>
      <c r="CE11" s="747">
        <v>16</v>
      </c>
      <c r="CF11" s="748">
        <v>16</v>
      </c>
      <c r="CG11" s="747">
        <v>1</v>
      </c>
      <c r="CH11" s="747">
        <v>4</v>
      </c>
      <c r="CI11" s="747">
        <v>9</v>
      </c>
      <c r="CJ11" s="747">
        <v>9</v>
      </c>
      <c r="CK11" s="748">
        <v>9</v>
      </c>
      <c r="CL11" s="738">
        <v>9</v>
      </c>
      <c r="CM11" s="738">
        <v>9</v>
      </c>
      <c r="CN11" s="739">
        <v>9</v>
      </c>
      <c r="CO11" s="740">
        <v>9</v>
      </c>
      <c r="CP11" s="740">
        <v>10</v>
      </c>
      <c r="CQ11" s="740">
        <v>14</v>
      </c>
      <c r="CR11" s="740">
        <v>14</v>
      </c>
      <c r="CS11" s="740">
        <v>19</v>
      </c>
      <c r="CT11" s="741">
        <v>19</v>
      </c>
      <c r="CU11" s="738">
        <v>22</v>
      </c>
      <c r="CV11" s="738">
        <v>22</v>
      </c>
      <c r="CW11" s="739">
        <v>22</v>
      </c>
      <c r="CX11" s="740">
        <v>22</v>
      </c>
      <c r="CY11" s="740">
        <v>22</v>
      </c>
      <c r="CZ11" s="740">
        <v>26</v>
      </c>
      <c r="DA11" s="740">
        <v>27</v>
      </c>
      <c r="DB11" s="740">
        <v>28</v>
      </c>
      <c r="DC11" s="741">
        <v>29</v>
      </c>
      <c r="DD11" s="738">
        <v>9</v>
      </c>
      <c r="DE11" s="738">
        <v>10</v>
      </c>
      <c r="DF11" s="739">
        <v>10</v>
      </c>
      <c r="DG11" s="740">
        <v>12</v>
      </c>
      <c r="DH11" s="740">
        <v>14</v>
      </c>
      <c r="DI11" s="740">
        <v>38</v>
      </c>
      <c r="DJ11" s="740">
        <v>42</v>
      </c>
      <c r="DK11" s="740">
        <v>42</v>
      </c>
      <c r="DL11" s="741">
        <v>41</v>
      </c>
      <c r="DM11" s="739">
        <v>1</v>
      </c>
      <c r="DN11" s="739">
        <v>1</v>
      </c>
      <c r="DO11" s="739">
        <v>1</v>
      </c>
      <c r="DP11" s="739">
        <v>1</v>
      </c>
      <c r="DQ11" s="739">
        <v>1</v>
      </c>
      <c r="DR11" s="739">
        <v>1</v>
      </c>
      <c r="DS11" s="746">
        <v>1</v>
      </c>
      <c r="DT11" s="740">
        <v>2</v>
      </c>
      <c r="DU11" s="740">
        <v>3</v>
      </c>
      <c r="DV11" s="739">
        <v>3</v>
      </c>
      <c r="DW11" s="740">
        <v>6</v>
      </c>
      <c r="DX11" s="740">
        <v>5</v>
      </c>
      <c r="DY11" s="740">
        <v>5</v>
      </c>
      <c r="DZ11" s="740">
        <v>6</v>
      </c>
      <c r="EA11" s="740">
        <v>6</v>
      </c>
      <c r="EB11" s="741">
        <v>6</v>
      </c>
      <c r="EC11" s="740">
        <v>5</v>
      </c>
      <c r="ED11" s="740">
        <v>5</v>
      </c>
      <c r="EE11" s="739">
        <v>5</v>
      </c>
      <c r="EF11" s="740">
        <v>5</v>
      </c>
      <c r="EG11" s="740">
        <v>8</v>
      </c>
      <c r="EH11" s="740">
        <v>11</v>
      </c>
      <c r="EI11" s="740">
        <v>11</v>
      </c>
      <c r="EJ11" s="740">
        <v>8</v>
      </c>
      <c r="EK11" s="741">
        <v>8</v>
      </c>
      <c r="EL11" s="747">
        <v>0</v>
      </c>
      <c r="EM11" s="747">
        <v>0</v>
      </c>
      <c r="EN11" s="747">
        <v>0</v>
      </c>
      <c r="EO11" s="747">
        <v>0</v>
      </c>
      <c r="EP11" s="747">
        <v>0</v>
      </c>
      <c r="EQ11" s="738">
        <v>1</v>
      </c>
      <c r="ER11" s="738">
        <v>1</v>
      </c>
      <c r="ES11" s="739">
        <v>1</v>
      </c>
      <c r="ET11" s="740">
        <v>1</v>
      </c>
      <c r="EU11" s="740">
        <v>1</v>
      </c>
      <c r="EV11" s="740">
        <v>1</v>
      </c>
      <c r="EW11" s="740">
        <v>1</v>
      </c>
      <c r="EX11" s="740">
        <v>1</v>
      </c>
      <c r="EY11" s="741">
        <v>1</v>
      </c>
      <c r="EZ11" s="738">
        <v>13</v>
      </c>
      <c r="FA11" s="738">
        <v>13</v>
      </c>
      <c r="FB11" s="739">
        <v>13</v>
      </c>
      <c r="FC11" s="740">
        <v>14</v>
      </c>
      <c r="FD11" s="740">
        <v>14</v>
      </c>
      <c r="FE11" s="740">
        <v>15</v>
      </c>
      <c r="FF11" s="740">
        <v>16</v>
      </c>
      <c r="FG11" s="740">
        <v>14</v>
      </c>
      <c r="FH11" s="741">
        <v>13</v>
      </c>
      <c r="FI11" s="738">
        <v>12</v>
      </c>
      <c r="FJ11" s="738">
        <v>12</v>
      </c>
      <c r="FK11" s="739">
        <v>12</v>
      </c>
      <c r="FL11" s="740">
        <v>12</v>
      </c>
      <c r="FM11" s="740">
        <v>12</v>
      </c>
      <c r="FN11" s="740">
        <v>13</v>
      </c>
      <c r="FO11" s="740">
        <v>16</v>
      </c>
      <c r="FP11" s="740">
        <v>16</v>
      </c>
      <c r="FQ11" s="741">
        <v>16</v>
      </c>
      <c r="FR11" s="738">
        <v>3</v>
      </c>
      <c r="FS11" s="738">
        <v>3</v>
      </c>
      <c r="FT11" s="739">
        <v>9</v>
      </c>
      <c r="FU11" s="740">
        <v>9</v>
      </c>
      <c r="FV11" s="740">
        <v>9</v>
      </c>
      <c r="FW11" s="740">
        <v>9</v>
      </c>
      <c r="FX11" s="740">
        <v>10</v>
      </c>
      <c r="FY11" s="740">
        <v>12</v>
      </c>
      <c r="FZ11" s="741">
        <v>12</v>
      </c>
      <c r="GA11" s="738">
        <v>4</v>
      </c>
      <c r="GB11" s="738">
        <v>5</v>
      </c>
      <c r="GC11" s="739">
        <v>6</v>
      </c>
      <c r="GD11" s="740">
        <v>6</v>
      </c>
      <c r="GE11" s="740">
        <v>7</v>
      </c>
      <c r="GF11" s="740">
        <v>7</v>
      </c>
      <c r="GG11" s="740">
        <v>11</v>
      </c>
      <c r="GH11" s="740">
        <v>10</v>
      </c>
      <c r="GI11" s="741">
        <v>10</v>
      </c>
      <c r="GJ11" s="738">
        <v>11</v>
      </c>
      <c r="GK11" s="738">
        <v>11</v>
      </c>
      <c r="GL11" s="739">
        <v>11</v>
      </c>
      <c r="GM11" s="740">
        <v>17</v>
      </c>
      <c r="GN11" s="740">
        <v>17</v>
      </c>
      <c r="GO11" s="740">
        <v>23</v>
      </c>
      <c r="GP11" s="740">
        <v>22</v>
      </c>
      <c r="GQ11" s="740">
        <v>22</v>
      </c>
      <c r="GR11" s="741">
        <v>22</v>
      </c>
      <c r="GS11" s="740">
        <v>5</v>
      </c>
      <c r="GT11" s="740">
        <v>5</v>
      </c>
      <c r="GU11" s="739">
        <v>5</v>
      </c>
      <c r="GV11" s="740">
        <v>5</v>
      </c>
      <c r="GW11" s="740">
        <v>5</v>
      </c>
      <c r="GX11" s="740">
        <v>5</v>
      </c>
      <c r="GY11" s="740">
        <v>5</v>
      </c>
      <c r="GZ11" s="740">
        <v>5</v>
      </c>
      <c r="HA11" s="741">
        <v>5</v>
      </c>
      <c r="HB11" s="738">
        <v>1</v>
      </c>
      <c r="HC11" s="738">
        <v>1</v>
      </c>
      <c r="HD11" s="739">
        <v>1</v>
      </c>
      <c r="HE11" s="740">
        <v>1</v>
      </c>
      <c r="HF11" s="740">
        <v>1</v>
      </c>
      <c r="HG11" s="740">
        <v>1</v>
      </c>
      <c r="HH11" s="740">
        <v>1</v>
      </c>
      <c r="HI11" s="740">
        <v>1</v>
      </c>
      <c r="HJ11" s="741">
        <v>1</v>
      </c>
      <c r="HK11" s="738">
        <v>4</v>
      </c>
      <c r="HL11" s="738">
        <v>5</v>
      </c>
      <c r="HM11" s="739">
        <v>5</v>
      </c>
      <c r="HN11" s="740">
        <v>5</v>
      </c>
      <c r="HO11" s="740">
        <v>6</v>
      </c>
      <c r="HP11" s="740">
        <v>6</v>
      </c>
      <c r="HQ11" s="740">
        <v>6</v>
      </c>
      <c r="HR11" s="740">
        <v>6</v>
      </c>
      <c r="HS11" s="741">
        <v>5</v>
      </c>
      <c r="HT11" s="749">
        <f t="shared" si="0"/>
        <v>567</v>
      </c>
      <c r="HU11" s="749">
        <f t="shared" si="0"/>
        <v>588</v>
      </c>
      <c r="HV11" s="749">
        <f t="shared" si="1"/>
        <v>606</v>
      </c>
      <c r="HW11" s="749">
        <f t="shared" si="1"/>
        <v>648</v>
      </c>
      <c r="HX11" s="749">
        <f t="shared" si="2"/>
        <v>642</v>
      </c>
      <c r="HY11" s="749">
        <f t="shared" si="2"/>
        <v>674</v>
      </c>
      <c r="HZ11" s="749">
        <f t="shared" si="2"/>
        <v>666</v>
      </c>
      <c r="IA11" s="749">
        <v>651</v>
      </c>
      <c r="IB11" s="750">
        <v>603</v>
      </c>
      <c r="IC11" s="751">
        <v>0</v>
      </c>
      <c r="ID11" s="751">
        <v>6</v>
      </c>
      <c r="IE11" s="753">
        <v>6</v>
      </c>
      <c r="IF11" s="753">
        <v>9</v>
      </c>
      <c r="IG11" s="753">
        <v>10</v>
      </c>
      <c r="IH11" s="753">
        <v>13</v>
      </c>
      <c r="II11" s="753">
        <v>4</v>
      </c>
      <c r="IJ11" s="753">
        <v>4</v>
      </c>
      <c r="IK11" s="753">
        <v>4</v>
      </c>
      <c r="IL11" s="753">
        <v>4</v>
      </c>
      <c r="IM11" s="753">
        <v>5</v>
      </c>
      <c r="IN11" s="753">
        <v>7</v>
      </c>
      <c r="IO11" s="753">
        <v>13</v>
      </c>
      <c r="IP11" s="753">
        <v>13</v>
      </c>
      <c r="IQ11" s="753">
        <v>15</v>
      </c>
      <c r="IR11" s="753">
        <v>4</v>
      </c>
      <c r="IS11" s="753">
        <v>7</v>
      </c>
      <c r="IT11" s="753">
        <v>7</v>
      </c>
      <c r="IU11" s="753">
        <v>7</v>
      </c>
      <c r="IV11" s="753">
        <v>13</v>
      </c>
      <c r="IW11" s="753">
        <v>14</v>
      </c>
      <c r="IX11" s="753">
        <v>17</v>
      </c>
      <c r="IY11" s="753">
        <v>0</v>
      </c>
      <c r="IZ11" s="753">
        <v>1</v>
      </c>
      <c r="JA11" s="753">
        <v>1</v>
      </c>
      <c r="JB11" s="753">
        <v>1</v>
      </c>
      <c r="JC11" s="753">
        <v>1</v>
      </c>
      <c r="JD11" s="753">
        <v>1</v>
      </c>
      <c r="JE11" s="753">
        <v>3</v>
      </c>
      <c r="JF11" s="753">
        <v>3</v>
      </c>
      <c r="JG11" s="753">
        <v>3</v>
      </c>
      <c r="JH11" s="753">
        <v>1</v>
      </c>
      <c r="JI11" s="753">
        <v>1</v>
      </c>
      <c r="JJ11" s="753">
        <v>1</v>
      </c>
      <c r="JK11" s="753">
        <v>1</v>
      </c>
      <c r="JL11" s="753">
        <v>2</v>
      </c>
      <c r="JM11" s="753">
        <v>2</v>
      </c>
      <c r="JN11" s="753">
        <v>3</v>
      </c>
      <c r="JO11" s="753">
        <v>11</v>
      </c>
      <c r="JP11" s="753">
        <v>15</v>
      </c>
      <c r="JQ11" s="753">
        <v>0</v>
      </c>
      <c r="JR11" s="753">
        <v>12</v>
      </c>
      <c r="JS11" s="753">
        <v>12</v>
      </c>
      <c r="JT11" s="753">
        <v>13</v>
      </c>
      <c r="JU11" s="753">
        <v>14</v>
      </c>
      <c r="JV11" s="753">
        <v>16</v>
      </c>
      <c r="JW11" s="753">
        <v>17</v>
      </c>
      <c r="JX11" s="753">
        <v>19</v>
      </c>
      <c r="JY11" s="753">
        <v>20</v>
      </c>
      <c r="JZ11" s="753">
        <v>21</v>
      </c>
      <c r="KA11" s="752">
        <v>21</v>
      </c>
      <c r="KB11" s="752">
        <v>25</v>
      </c>
      <c r="KC11" s="752">
        <v>26</v>
      </c>
      <c r="KD11" s="752">
        <v>27</v>
      </c>
      <c r="KE11" s="752">
        <v>43</v>
      </c>
      <c r="KF11" s="752">
        <v>47</v>
      </c>
      <c r="KG11" s="752">
        <v>64</v>
      </c>
      <c r="KH11" s="752">
        <v>57</v>
      </c>
      <c r="KI11" s="752">
        <v>67</v>
      </c>
      <c r="KJ11" s="752">
        <v>588</v>
      </c>
      <c r="KK11" s="752">
        <v>613</v>
      </c>
      <c r="KL11" s="752">
        <v>632</v>
      </c>
      <c r="KM11" s="752">
        <v>675</v>
      </c>
      <c r="KN11" s="752">
        <v>685</v>
      </c>
      <c r="KO11" s="752">
        <v>721</v>
      </c>
      <c r="KP11" s="752">
        <v>730</v>
      </c>
      <c r="KQ11" s="752">
        <v>708</v>
      </c>
      <c r="KR11" s="755">
        <v>670</v>
      </c>
      <c r="KS11" s="808"/>
    </row>
    <row r="12" spans="1:305" s="737" customFormat="1" ht="12.75" x14ac:dyDescent="0.25">
      <c r="A12" s="720">
        <v>8</v>
      </c>
      <c r="B12" s="721" t="s">
        <v>150</v>
      </c>
      <c r="C12" s="738">
        <v>61</v>
      </c>
      <c r="D12" s="738">
        <v>61</v>
      </c>
      <c r="E12" s="739">
        <v>61</v>
      </c>
      <c r="F12" s="740">
        <v>61</v>
      </c>
      <c r="G12" s="740">
        <v>55</v>
      </c>
      <c r="H12" s="740">
        <v>57</v>
      </c>
      <c r="I12" s="740">
        <v>56</v>
      </c>
      <c r="J12" s="740">
        <v>52</v>
      </c>
      <c r="K12" s="741">
        <v>53</v>
      </c>
      <c r="L12" s="738">
        <v>44</v>
      </c>
      <c r="M12" s="738">
        <v>56</v>
      </c>
      <c r="N12" s="739">
        <v>58</v>
      </c>
      <c r="O12" s="740">
        <v>65</v>
      </c>
      <c r="P12" s="740">
        <v>67</v>
      </c>
      <c r="Q12" s="740">
        <v>69</v>
      </c>
      <c r="R12" s="740">
        <v>70</v>
      </c>
      <c r="S12" s="740">
        <v>67</v>
      </c>
      <c r="T12" s="741">
        <v>66</v>
      </c>
      <c r="U12" s="738">
        <v>56</v>
      </c>
      <c r="V12" s="738">
        <v>57</v>
      </c>
      <c r="W12" s="739">
        <v>57</v>
      </c>
      <c r="X12" s="740">
        <v>58</v>
      </c>
      <c r="Y12" s="742">
        <v>58</v>
      </c>
      <c r="Z12" s="742">
        <v>58</v>
      </c>
      <c r="AA12" s="742">
        <v>55</v>
      </c>
      <c r="AB12" s="742">
        <v>56</v>
      </c>
      <c r="AC12" s="743">
        <v>54</v>
      </c>
      <c r="AD12" s="738">
        <v>60</v>
      </c>
      <c r="AE12" s="738">
        <v>61</v>
      </c>
      <c r="AF12" s="739">
        <v>62</v>
      </c>
      <c r="AG12" s="740">
        <v>63</v>
      </c>
      <c r="AH12" s="740">
        <v>63</v>
      </c>
      <c r="AI12" s="740">
        <v>65</v>
      </c>
      <c r="AJ12" s="740">
        <v>65</v>
      </c>
      <c r="AK12" s="740">
        <v>61</v>
      </c>
      <c r="AL12" s="741">
        <v>56</v>
      </c>
      <c r="AM12" s="744">
        <v>0</v>
      </c>
      <c r="AN12" s="744">
        <v>0</v>
      </c>
      <c r="AO12" s="744">
        <v>0</v>
      </c>
      <c r="AP12" s="744">
        <v>0</v>
      </c>
      <c r="AQ12" s="745">
        <v>0</v>
      </c>
      <c r="AR12" s="738">
        <v>5</v>
      </c>
      <c r="AS12" s="738">
        <v>6</v>
      </c>
      <c r="AT12" s="739">
        <v>6</v>
      </c>
      <c r="AU12" s="739">
        <v>5</v>
      </c>
      <c r="AV12" s="739">
        <v>5</v>
      </c>
      <c r="AW12" s="739">
        <v>5</v>
      </c>
      <c r="AX12" s="739">
        <v>4</v>
      </c>
      <c r="AY12" s="739">
        <v>4</v>
      </c>
      <c r="AZ12" s="746">
        <v>4</v>
      </c>
      <c r="BA12" s="738">
        <v>2</v>
      </c>
      <c r="BB12" s="738">
        <v>2</v>
      </c>
      <c r="BC12" s="739">
        <v>3</v>
      </c>
      <c r="BD12" s="739">
        <v>3</v>
      </c>
      <c r="BE12" s="739">
        <v>6</v>
      </c>
      <c r="BF12" s="739">
        <v>6</v>
      </c>
      <c r="BG12" s="739">
        <v>7</v>
      </c>
      <c r="BH12" s="739">
        <v>7</v>
      </c>
      <c r="BI12" s="746">
        <v>0</v>
      </c>
      <c r="BJ12" s="738">
        <v>3</v>
      </c>
      <c r="BK12" s="738">
        <v>3</v>
      </c>
      <c r="BL12" s="739">
        <v>3</v>
      </c>
      <c r="BM12" s="747">
        <v>2</v>
      </c>
      <c r="BN12" s="747">
        <v>1</v>
      </c>
      <c r="BO12" s="747">
        <v>1</v>
      </c>
      <c r="BP12" s="747">
        <v>1</v>
      </c>
      <c r="BQ12" s="747">
        <v>1</v>
      </c>
      <c r="BR12" s="748">
        <v>1</v>
      </c>
      <c r="BS12" s="747">
        <v>0</v>
      </c>
      <c r="BT12" s="747">
        <v>0</v>
      </c>
      <c r="BU12" s="747">
        <v>0</v>
      </c>
      <c r="BV12" s="747">
        <v>0</v>
      </c>
      <c r="BW12" s="748">
        <v>0</v>
      </c>
      <c r="BX12" s="738">
        <v>5</v>
      </c>
      <c r="BY12" s="738">
        <v>5</v>
      </c>
      <c r="BZ12" s="739">
        <v>5</v>
      </c>
      <c r="CA12" s="747">
        <v>2</v>
      </c>
      <c r="CB12" s="747">
        <v>2</v>
      </c>
      <c r="CC12" s="747">
        <v>2</v>
      </c>
      <c r="CD12" s="747">
        <v>2</v>
      </c>
      <c r="CE12" s="747">
        <v>2</v>
      </c>
      <c r="CF12" s="748">
        <v>2</v>
      </c>
      <c r="CG12" s="747">
        <v>1</v>
      </c>
      <c r="CH12" s="747">
        <v>1</v>
      </c>
      <c r="CI12" s="747">
        <v>1</v>
      </c>
      <c r="CJ12" s="747">
        <v>1</v>
      </c>
      <c r="CK12" s="748">
        <v>1</v>
      </c>
      <c r="CL12" s="738">
        <v>3</v>
      </c>
      <c r="CM12" s="738">
        <v>3</v>
      </c>
      <c r="CN12" s="739">
        <v>3</v>
      </c>
      <c r="CO12" s="740">
        <v>3</v>
      </c>
      <c r="CP12" s="740">
        <v>3</v>
      </c>
      <c r="CQ12" s="740">
        <v>3</v>
      </c>
      <c r="CR12" s="740">
        <v>3</v>
      </c>
      <c r="CS12" s="740">
        <v>10</v>
      </c>
      <c r="CT12" s="741">
        <v>10</v>
      </c>
      <c r="CU12" s="738">
        <v>9</v>
      </c>
      <c r="CV12" s="738">
        <v>7</v>
      </c>
      <c r="CW12" s="739">
        <v>7</v>
      </c>
      <c r="CX12" s="740">
        <v>7</v>
      </c>
      <c r="CY12" s="740">
        <v>7</v>
      </c>
      <c r="CZ12" s="740">
        <v>7</v>
      </c>
      <c r="DA12" s="740">
        <v>7</v>
      </c>
      <c r="DB12" s="740">
        <v>7</v>
      </c>
      <c r="DC12" s="741">
        <v>7</v>
      </c>
      <c r="DD12" s="738">
        <v>5</v>
      </c>
      <c r="DE12" s="738">
        <v>5</v>
      </c>
      <c r="DF12" s="739">
        <v>6</v>
      </c>
      <c r="DG12" s="740">
        <v>7</v>
      </c>
      <c r="DH12" s="740">
        <v>7</v>
      </c>
      <c r="DI12" s="740">
        <v>11</v>
      </c>
      <c r="DJ12" s="740">
        <v>13</v>
      </c>
      <c r="DK12" s="740">
        <v>13</v>
      </c>
      <c r="DL12" s="741">
        <v>12</v>
      </c>
      <c r="DM12" s="739">
        <v>0</v>
      </c>
      <c r="DN12" s="739">
        <v>0</v>
      </c>
      <c r="DO12" s="739">
        <v>0</v>
      </c>
      <c r="DP12" s="739">
        <v>1</v>
      </c>
      <c r="DQ12" s="739">
        <v>1</v>
      </c>
      <c r="DR12" s="739">
        <v>1</v>
      </c>
      <c r="DS12" s="746">
        <v>1</v>
      </c>
      <c r="DT12" s="740">
        <v>1</v>
      </c>
      <c r="DU12" s="740">
        <v>1</v>
      </c>
      <c r="DV12" s="739">
        <v>1</v>
      </c>
      <c r="DW12" s="740">
        <v>1</v>
      </c>
      <c r="DX12" s="740">
        <v>1</v>
      </c>
      <c r="DY12" s="740">
        <v>1</v>
      </c>
      <c r="DZ12" s="740">
        <v>2</v>
      </c>
      <c r="EA12" s="740">
        <v>2</v>
      </c>
      <c r="EB12" s="741">
        <v>2</v>
      </c>
      <c r="EC12" s="740">
        <v>4</v>
      </c>
      <c r="ED12" s="740">
        <v>4</v>
      </c>
      <c r="EE12" s="739">
        <v>4</v>
      </c>
      <c r="EF12" s="740">
        <v>4</v>
      </c>
      <c r="EG12" s="740">
        <v>4</v>
      </c>
      <c r="EH12" s="740">
        <v>5</v>
      </c>
      <c r="EI12" s="740">
        <v>5</v>
      </c>
      <c r="EJ12" s="740">
        <v>4</v>
      </c>
      <c r="EK12" s="741">
        <v>2</v>
      </c>
      <c r="EL12" s="747">
        <v>0</v>
      </c>
      <c r="EM12" s="747">
        <v>0</v>
      </c>
      <c r="EN12" s="747">
        <v>0</v>
      </c>
      <c r="EO12" s="747">
        <v>0</v>
      </c>
      <c r="EP12" s="747">
        <v>0</v>
      </c>
      <c r="EQ12" s="738">
        <v>0</v>
      </c>
      <c r="ER12" s="738">
        <v>0</v>
      </c>
      <c r="ES12" s="739">
        <v>0</v>
      </c>
      <c r="ET12" s="740">
        <v>0</v>
      </c>
      <c r="EU12" s="740">
        <v>0</v>
      </c>
      <c r="EV12" s="740">
        <v>0</v>
      </c>
      <c r="EW12" s="740">
        <v>0</v>
      </c>
      <c r="EX12" s="740">
        <v>0</v>
      </c>
      <c r="EY12" s="741">
        <v>0</v>
      </c>
      <c r="EZ12" s="738">
        <v>4</v>
      </c>
      <c r="FA12" s="738">
        <v>4</v>
      </c>
      <c r="FB12" s="739">
        <v>4</v>
      </c>
      <c r="FC12" s="740">
        <v>4</v>
      </c>
      <c r="FD12" s="740">
        <v>4</v>
      </c>
      <c r="FE12" s="740">
        <v>4</v>
      </c>
      <c r="FF12" s="740">
        <v>4</v>
      </c>
      <c r="FG12" s="740">
        <v>2</v>
      </c>
      <c r="FH12" s="741">
        <v>2</v>
      </c>
      <c r="FI12" s="738">
        <v>2</v>
      </c>
      <c r="FJ12" s="738">
        <v>2</v>
      </c>
      <c r="FK12" s="739">
        <v>2</v>
      </c>
      <c r="FL12" s="740">
        <v>2</v>
      </c>
      <c r="FM12" s="740">
        <v>2</v>
      </c>
      <c r="FN12" s="740">
        <v>2</v>
      </c>
      <c r="FO12" s="740">
        <v>2</v>
      </c>
      <c r="FP12" s="740">
        <v>2</v>
      </c>
      <c r="FQ12" s="741">
        <v>2</v>
      </c>
      <c r="FR12" s="738">
        <v>1</v>
      </c>
      <c r="FS12" s="738">
        <v>2</v>
      </c>
      <c r="FT12" s="739">
        <v>3</v>
      </c>
      <c r="FU12" s="740">
        <v>3</v>
      </c>
      <c r="FV12" s="740">
        <v>3</v>
      </c>
      <c r="FW12" s="740">
        <v>4</v>
      </c>
      <c r="FX12" s="740">
        <v>4</v>
      </c>
      <c r="FY12" s="740">
        <v>4</v>
      </c>
      <c r="FZ12" s="741">
        <v>4</v>
      </c>
      <c r="GA12" s="738">
        <v>3</v>
      </c>
      <c r="GB12" s="738">
        <v>3</v>
      </c>
      <c r="GC12" s="739">
        <v>3</v>
      </c>
      <c r="GD12" s="740">
        <v>3</v>
      </c>
      <c r="GE12" s="740">
        <v>3</v>
      </c>
      <c r="GF12" s="740">
        <v>3</v>
      </c>
      <c r="GG12" s="740">
        <v>3</v>
      </c>
      <c r="GH12" s="740">
        <v>3</v>
      </c>
      <c r="GI12" s="741">
        <v>3</v>
      </c>
      <c r="GJ12" s="738">
        <v>1</v>
      </c>
      <c r="GK12" s="738">
        <v>1</v>
      </c>
      <c r="GL12" s="739">
        <v>1</v>
      </c>
      <c r="GM12" s="740">
        <v>4</v>
      </c>
      <c r="GN12" s="740">
        <v>4</v>
      </c>
      <c r="GO12" s="740">
        <v>5</v>
      </c>
      <c r="GP12" s="740">
        <v>5</v>
      </c>
      <c r="GQ12" s="740">
        <v>5</v>
      </c>
      <c r="GR12" s="741">
        <v>5</v>
      </c>
      <c r="GS12" s="740">
        <v>5</v>
      </c>
      <c r="GT12" s="740">
        <v>5</v>
      </c>
      <c r="GU12" s="739">
        <v>4</v>
      </c>
      <c r="GV12" s="740">
        <v>4</v>
      </c>
      <c r="GW12" s="740">
        <v>4</v>
      </c>
      <c r="GX12" s="740">
        <v>4</v>
      </c>
      <c r="GY12" s="740">
        <v>4</v>
      </c>
      <c r="GZ12" s="740">
        <v>4</v>
      </c>
      <c r="HA12" s="741">
        <v>4</v>
      </c>
      <c r="HB12" s="738">
        <v>0</v>
      </c>
      <c r="HC12" s="738">
        <v>0</v>
      </c>
      <c r="HD12" s="739">
        <v>0</v>
      </c>
      <c r="HE12" s="740">
        <v>0</v>
      </c>
      <c r="HF12" s="740">
        <v>0</v>
      </c>
      <c r="HG12" s="740">
        <v>0</v>
      </c>
      <c r="HH12" s="740">
        <v>1</v>
      </c>
      <c r="HI12" s="740">
        <v>1</v>
      </c>
      <c r="HJ12" s="741">
        <v>1</v>
      </c>
      <c r="HK12" s="738">
        <v>3</v>
      </c>
      <c r="HL12" s="738">
        <v>3</v>
      </c>
      <c r="HM12" s="739">
        <v>3</v>
      </c>
      <c r="HN12" s="740">
        <v>3</v>
      </c>
      <c r="HO12" s="740">
        <v>3</v>
      </c>
      <c r="HP12" s="740">
        <v>3</v>
      </c>
      <c r="HQ12" s="740">
        <v>3</v>
      </c>
      <c r="HR12" s="740">
        <v>3</v>
      </c>
      <c r="HS12" s="741">
        <v>3</v>
      </c>
      <c r="HT12" s="749">
        <f t="shared" si="0"/>
        <v>277</v>
      </c>
      <c r="HU12" s="749">
        <f t="shared" si="0"/>
        <v>291</v>
      </c>
      <c r="HV12" s="749">
        <f t="shared" si="1"/>
        <v>296</v>
      </c>
      <c r="HW12" s="749">
        <f t="shared" si="1"/>
        <v>304</v>
      </c>
      <c r="HX12" s="749">
        <f t="shared" si="2"/>
        <v>303</v>
      </c>
      <c r="HY12" s="749">
        <f t="shared" si="2"/>
        <v>317</v>
      </c>
      <c r="HZ12" s="749">
        <f t="shared" si="2"/>
        <v>318</v>
      </c>
      <c r="IA12" s="749">
        <v>312</v>
      </c>
      <c r="IB12" s="750">
        <v>295</v>
      </c>
      <c r="IC12" s="751">
        <v>0</v>
      </c>
      <c r="ID12" s="751">
        <v>1</v>
      </c>
      <c r="IE12" s="753">
        <v>1</v>
      </c>
      <c r="IF12" s="753">
        <v>1</v>
      </c>
      <c r="IG12" s="753">
        <v>2</v>
      </c>
      <c r="IH12" s="753">
        <v>2</v>
      </c>
      <c r="II12" s="753">
        <v>1</v>
      </c>
      <c r="IJ12" s="753">
        <v>1</v>
      </c>
      <c r="IK12" s="753">
        <v>2</v>
      </c>
      <c r="IL12" s="753">
        <v>3</v>
      </c>
      <c r="IM12" s="753">
        <v>4</v>
      </c>
      <c r="IN12" s="753">
        <v>6</v>
      </c>
      <c r="IO12" s="753">
        <v>10</v>
      </c>
      <c r="IP12" s="753">
        <v>10</v>
      </c>
      <c r="IQ12" s="753">
        <v>13</v>
      </c>
      <c r="IR12" s="753">
        <v>2</v>
      </c>
      <c r="IS12" s="753">
        <v>4</v>
      </c>
      <c r="IT12" s="753">
        <v>6</v>
      </c>
      <c r="IU12" s="753">
        <v>6</v>
      </c>
      <c r="IV12" s="753">
        <v>6</v>
      </c>
      <c r="IW12" s="753">
        <v>9</v>
      </c>
      <c r="IX12" s="753">
        <v>11</v>
      </c>
      <c r="IY12" s="753">
        <v>0</v>
      </c>
      <c r="IZ12" s="753">
        <v>0</v>
      </c>
      <c r="JA12" s="753">
        <v>0</v>
      </c>
      <c r="JB12" s="753">
        <v>1</v>
      </c>
      <c r="JC12" s="753">
        <v>1</v>
      </c>
      <c r="JD12" s="753">
        <v>1</v>
      </c>
      <c r="JE12" s="753">
        <v>1</v>
      </c>
      <c r="JF12" s="753">
        <v>1</v>
      </c>
      <c r="JG12" s="753">
        <v>2</v>
      </c>
      <c r="JH12" s="753">
        <v>0</v>
      </c>
      <c r="JI12" s="753">
        <v>1</v>
      </c>
      <c r="JJ12" s="753">
        <v>2</v>
      </c>
      <c r="JK12" s="753">
        <v>2</v>
      </c>
      <c r="JL12" s="753">
        <v>2</v>
      </c>
      <c r="JM12" s="753">
        <v>2</v>
      </c>
      <c r="JN12" s="753">
        <v>4</v>
      </c>
      <c r="JO12" s="753">
        <v>7</v>
      </c>
      <c r="JP12" s="753">
        <v>8</v>
      </c>
      <c r="JQ12" s="753">
        <v>0</v>
      </c>
      <c r="JR12" s="753">
        <v>9</v>
      </c>
      <c r="JS12" s="753">
        <v>9</v>
      </c>
      <c r="JT12" s="753">
        <v>11</v>
      </c>
      <c r="JU12" s="753">
        <v>17</v>
      </c>
      <c r="JV12" s="753">
        <v>18</v>
      </c>
      <c r="JW12" s="753">
        <v>19</v>
      </c>
      <c r="JX12" s="753">
        <v>20</v>
      </c>
      <c r="JY12" s="753">
        <v>34</v>
      </c>
      <c r="JZ12" s="753">
        <v>37</v>
      </c>
      <c r="KA12" s="752">
        <v>12</v>
      </c>
      <c r="KB12" s="752">
        <v>15</v>
      </c>
      <c r="KC12" s="752">
        <v>21</v>
      </c>
      <c r="KD12" s="752">
        <v>29</v>
      </c>
      <c r="KE12" s="752">
        <v>32</v>
      </c>
      <c r="KF12" s="752">
        <v>38</v>
      </c>
      <c r="KG12" s="752">
        <v>47</v>
      </c>
      <c r="KH12" s="752">
        <v>54</v>
      </c>
      <c r="KI12" s="752">
        <v>62</v>
      </c>
      <c r="KJ12" s="752">
        <v>289</v>
      </c>
      <c r="KK12" s="752">
        <v>306</v>
      </c>
      <c r="KL12" s="752">
        <v>317</v>
      </c>
      <c r="KM12" s="752">
        <v>333</v>
      </c>
      <c r="KN12" s="752">
        <v>335</v>
      </c>
      <c r="KO12" s="752">
        <v>355</v>
      </c>
      <c r="KP12" s="752">
        <v>365</v>
      </c>
      <c r="KQ12" s="752">
        <v>366</v>
      </c>
      <c r="KR12" s="755">
        <v>357</v>
      </c>
      <c r="KS12" s="808"/>
    </row>
    <row r="13" spans="1:305" s="737" customFormat="1" ht="12.75" x14ac:dyDescent="0.25">
      <c r="A13" s="720">
        <v>9</v>
      </c>
      <c r="B13" s="721" t="s">
        <v>151</v>
      </c>
      <c r="C13" s="738">
        <v>24</v>
      </c>
      <c r="D13" s="738">
        <v>24</v>
      </c>
      <c r="E13" s="739">
        <v>24</v>
      </c>
      <c r="F13" s="740">
        <v>24</v>
      </c>
      <c r="G13" s="740">
        <v>25</v>
      </c>
      <c r="H13" s="740">
        <v>24</v>
      </c>
      <c r="I13" s="740">
        <v>22</v>
      </c>
      <c r="J13" s="740">
        <v>22</v>
      </c>
      <c r="K13" s="741">
        <v>22</v>
      </c>
      <c r="L13" s="738">
        <v>19</v>
      </c>
      <c r="M13" s="738">
        <v>24</v>
      </c>
      <c r="N13" s="739">
        <v>25</v>
      </c>
      <c r="O13" s="740">
        <v>27</v>
      </c>
      <c r="P13" s="740">
        <v>29</v>
      </c>
      <c r="Q13" s="740">
        <v>29</v>
      </c>
      <c r="R13" s="740">
        <v>29</v>
      </c>
      <c r="S13" s="740">
        <v>30</v>
      </c>
      <c r="T13" s="741">
        <v>30</v>
      </c>
      <c r="U13" s="738">
        <v>21</v>
      </c>
      <c r="V13" s="738">
        <v>21</v>
      </c>
      <c r="W13" s="739">
        <v>24</v>
      </c>
      <c r="X13" s="740">
        <v>25</v>
      </c>
      <c r="Y13" s="742">
        <v>25</v>
      </c>
      <c r="Z13" s="742">
        <v>26</v>
      </c>
      <c r="AA13" s="742">
        <v>26</v>
      </c>
      <c r="AB13" s="742">
        <v>26</v>
      </c>
      <c r="AC13" s="743">
        <v>25</v>
      </c>
      <c r="AD13" s="738">
        <v>14</v>
      </c>
      <c r="AE13" s="738">
        <v>14</v>
      </c>
      <c r="AF13" s="739">
        <v>15</v>
      </c>
      <c r="AG13" s="740">
        <v>17</v>
      </c>
      <c r="AH13" s="740">
        <v>17</v>
      </c>
      <c r="AI13" s="740">
        <v>17</v>
      </c>
      <c r="AJ13" s="740">
        <v>17</v>
      </c>
      <c r="AK13" s="740">
        <v>17</v>
      </c>
      <c r="AL13" s="741">
        <v>17</v>
      </c>
      <c r="AM13" s="744">
        <v>0</v>
      </c>
      <c r="AN13" s="744">
        <v>0</v>
      </c>
      <c r="AO13" s="744">
        <v>0</v>
      </c>
      <c r="AP13" s="744">
        <v>0</v>
      </c>
      <c r="AQ13" s="745">
        <v>0</v>
      </c>
      <c r="AR13" s="738">
        <v>1</v>
      </c>
      <c r="AS13" s="738">
        <v>1</v>
      </c>
      <c r="AT13" s="739">
        <v>1</v>
      </c>
      <c r="AU13" s="739">
        <v>1</v>
      </c>
      <c r="AV13" s="739">
        <v>1</v>
      </c>
      <c r="AW13" s="739">
        <v>1</v>
      </c>
      <c r="AX13" s="739">
        <v>1</v>
      </c>
      <c r="AY13" s="739">
        <v>1</v>
      </c>
      <c r="AZ13" s="746">
        <v>1</v>
      </c>
      <c r="BA13" s="738">
        <v>0</v>
      </c>
      <c r="BB13" s="738">
        <v>0</v>
      </c>
      <c r="BC13" s="739">
        <v>0</v>
      </c>
      <c r="BD13" s="739">
        <v>0</v>
      </c>
      <c r="BE13" s="739">
        <v>0</v>
      </c>
      <c r="BF13" s="739">
        <v>0</v>
      </c>
      <c r="BG13" s="739">
        <v>1</v>
      </c>
      <c r="BH13" s="739">
        <v>1</v>
      </c>
      <c r="BI13" s="746">
        <v>0</v>
      </c>
      <c r="BJ13" s="738">
        <v>0</v>
      </c>
      <c r="BK13" s="738">
        <v>0</v>
      </c>
      <c r="BL13" s="739">
        <v>0</v>
      </c>
      <c r="BM13" s="747">
        <v>0</v>
      </c>
      <c r="BN13" s="747">
        <v>0</v>
      </c>
      <c r="BO13" s="747">
        <v>0</v>
      </c>
      <c r="BP13" s="747">
        <v>0</v>
      </c>
      <c r="BQ13" s="747">
        <v>1</v>
      </c>
      <c r="BR13" s="748">
        <v>1</v>
      </c>
      <c r="BS13" s="747">
        <v>0</v>
      </c>
      <c r="BT13" s="747">
        <v>0</v>
      </c>
      <c r="BU13" s="747">
        <v>0</v>
      </c>
      <c r="BV13" s="747">
        <v>0</v>
      </c>
      <c r="BW13" s="748">
        <v>0</v>
      </c>
      <c r="BX13" s="738">
        <v>1</v>
      </c>
      <c r="BY13" s="738">
        <v>1</v>
      </c>
      <c r="BZ13" s="739">
        <v>1</v>
      </c>
      <c r="CA13" s="747">
        <v>0</v>
      </c>
      <c r="CB13" s="747">
        <v>0</v>
      </c>
      <c r="CC13" s="747">
        <v>0</v>
      </c>
      <c r="CD13" s="747">
        <v>0</v>
      </c>
      <c r="CE13" s="747">
        <v>0</v>
      </c>
      <c r="CF13" s="748">
        <v>2</v>
      </c>
      <c r="CG13" s="747">
        <v>0</v>
      </c>
      <c r="CH13" s="747">
        <v>0</v>
      </c>
      <c r="CI13" s="747">
        <v>0</v>
      </c>
      <c r="CJ13" s="747">
        <v>0</v>
      </c>
      <c r="CK13" s="748">
        <v>0</v>
      </c>
      <c r="CL13" s="738">
        <v>0</v>
      </c>
      <c r="CM13" s="738">
        <v>1</v>
      </c>
      <c r="CN13" s="739">
        <v>1</v>
      </c>
      <c r="CO13" s="740">
        <v>1</v>
      </c>
      <c r="CP13" s="740">
        <v>1</v>
      </c>
      <c r="CQ13" s="740">
        <v>1</v>
      </c>
      <c r="CR13" s="740">
        <v>1</v>
      </c>
      <c r="CS13" s="740">
        <v>1</v>
      </c>
      <c r="CT13" s="741">
        <v>1</v>
      </c>
      <c r="CU13" s="738">
        <v>2</v>
      </c>
      <c r="CV13" s="738">
        <v>2</v>
      </c>
      <c r="CW13" s="739">
        <v>3</v>
      </c>
      <c r="CX13" s="740">
        <v>4</v>
      </c>
      <c r="CY13" s="740">
        <v>4</v>
      </c>
      <c r="CZ13" s="740">
        <v>4</v>
      </c>
      <c r="DA13" s="740">
        <v>4</v>
      </c>
      <c r="DB13" s="740">
        <v>4</v>
      </c>
      <c r="DC13" s="741">
        <v>4</v>
      </c>
      <c r="DD13" s="738">
        <v>0</v>
      </c>
      <c r="DE13" s="738">
        <v>0</v>
      </c>
      <c r="DF13" s="739">
        <v>0</v>
      </c>
      <c r="DG13" s="740">
        <v>0</v>
      </c>
      <c r="DH13" s="740">
        <v>0</v>
      </c>
      <c r="DI13" s="740">
        <v>3</v>
      </c>
      <c r="DJ13" s="740">
        <v>3</v>
      </c>
      <c r="DK13" s="740">
        <v>3</v>
      </c>
      <c r="DL13" s="741">
        <v>3</v>
      </c>
      <c r="DM13" s="739">
        <v>0</v>
      </c>
      <c r="DN13" s="739">
        <v>0</v>
      </c>
      <c r="DO13" s="739">
        <v>0</v>
      </c>
      <c r="DP13" s="739">
        <v>0</v>
      </c>
      <c r="DQ13" s="739">
        <v>0</v>
      </c>
      <c r="DR13" s="739">
        <v>0</v>
      </c>
      <c r="DS13" s="746">
        <v>0</v>
      </c>
      <c r="DT13" s="740">
        <v>0</v>
      </c>
      <c r="DU13" s="740">
        <v>0</v>
      </c>
      <c r="DV13" s="739">
        <v>0</v>
      </c>
      <c r="DW13" s="740">
        <v>0</v>
      </c>
      <c r="DX13" s="740">
        <v>0</v>
      </c>
      <c r="DY13" s="740">
        <v>2</v>
      </c>
      <c r="DZ13" s="740">
        <v>3</v>
      </c>
      <c r="EA13" s="740">
        <v>3</v>
      </c>
      <c r="EB13" s="741">
        <v>3</v>
      </c>
      <c r="EC13" s="740">
        <v>0</v>
      </c>
      <c r="ED13" s="740">
        <v>0</v>
      </c>
      <c r="EE13" s="739">
        <v>0</v>
      </c>
      <c r="EF13" s="740">
        <v>0</v>
      </c>
      <c r="EG13" s="740">
        <v>0</v>
      </c>
      <c r="EH13" s="740">
        <v>0</v>
      </c>
      <c r="EI13" s="740">
        <v>1</v>
      </c>
      <c r="EJ13" s="740">
        <v>1</v>
      </c>
      <c r="EK13" s="741">
        <v>0</v>
      </c>
      <c r="EL13" s="747">
        <v>0</v>
      </c>
      <c r="EM13" s="747">
        <v>0</v>
      </c>
      <c r="EN13" s="747">
        <v>0</v>
      </c>
      <c r="EO13" s="747">
        <v>0</v>
      </c>
      <c r="EP13" s="747">
        <v>0</v>
      </c>
      <c r="EQ13" s="738">
        <v>0</v>
      </c>
      <c r="ER13" s="738">
        <v>0</v>
      </c>
      <c r="ES13" s="739">
        <v>0</v>
      </c>
      <c r="ET13" s="740">
        <v>0</v>
      </c>
      <c r="EU13" s="740">
        <v>0</v>
      </c>
      <c r="EV13" s="740">
        <v>0</v>
      </c>
      <c r="EW13" s="740">
        <v>0</v>
      </c>
      <c r="EX13" s="740">
        <v>0</v>
      </c>
      <c r="EY13" s="741">
        <v>0</v>
      </c>
      <c r="EZ13" s="738">
        <v>2</v>
      </c>
      <c r="FA13" s="738">
        <v>2</v>
      </c>
      <c r="FB13" s="739">
        <v>2</v>
      </c>
      <c r="FC13" s="740">
        <v>2</v>
      </c>
      <c r="FD13" s="740">
        <v>2</v>
      </c>
      <c r="FE13" s="740">
        <v>2</v>
      </c>
      <c r="FF13" s="740">
        <v>2</v>
      </c>
      <c r="FG13" s="740">
        <v>2</v>
      </c>
      <c r="FH13" s="741">
        <v>2</v>
      </c>
      <c r="FI13" s="738">
        <v>0</v>
      </c>
      <c r="FJ13" s="738">
        <v>0</v>
      </c>
      <c r="FK13" s="739">
        <v>0</v>
      </c>
      <c r="FL13" s="740">
        <v>0</v>
      </c>
      <c r="FM13" s="740">
        <v>0</v>
      </c>
      <c r="FN13" s="740">
        <v>1</v>
      </c>
      <c r="FO13" s="740">
        <v>1</v>
      </c>
      <c r="FP13" s="740">
        <v>1</v>
      </c>
      <c r="FQ13" s="741">
        <v>1</v>
      </c>
      <c r="FR13" s="738">
        <v>0</v>
      </c>
      <c r="FS13" s="738">
        <v>1</v>
      </c>
      <c r="FT13" s="739">
        <v>2</v>
      </c>
      <c r="FU13" s="740">
        <v>2</v>
      </c>
      <c r="FV13" s="740">
        <v>2</v>
      </c>
      <c r="FW13" s="740">
        <v>2</v>
      </c>
      <c r="FX13" s="740">
        <v>2</v>
      </c>
      <c r="FY13" s="740">
        <v>2</v>
      </c>
      <c r="FZ13" s="741">
        <v>2</v>
      </c>
      <c r="GA13" s="738">
        <v>1</v>
      </c>
      <c r="GB13" s="738">
        <v>2</v>
      </c>
      <c r="GC13" s="739">
        <v>2</v>
      </c>
      <c r="GD13" s="740">
        <v>2</v>
      </c>
      <c r="GE13" s="740">
        <v>2</v>
      </c>
      <c r="GF13" s="740">
        <v>2</v>
      </c>
      <c r="GG13" s="740">
        <v>3</v>
      </c>
      <c r="GH13" s="740">
        <v>3</v>
      </c>
      <c r="GI13" s="741">
        <v>3</v>
      </c>
      <c r="GJ13" s="738">
        <v>0</v>
      </c>
      <c r="GK13" s="738">
        <v>1</v>
      </c>
      <c r="GL13" s="739">
        <v>1</v>
      </c>
      <c r="GM13" s="740">
        <v>3</v>
      </c>
      <c r="GN13" s="740">
        <v>3</v>
      </c>
      <c r="GO13" s="740">
        <v>3</v>
      </c>
      <c r="GP13" s="740">
        <v>3</v>
      </c>
      <c r="GQ13" s="740">
        <v>3</v>
      </c>
      <c r="GR13" s="741">
        <v>3</v>
      </c>
      <c r="GS13" s="740">
        <v>0</v>
      </c>
      <c r="GT13" s="740">
        <v>0</v>
      </c>
      <c r="GU13" s="739">
        <v>0</v>
      </c>
      <c r="GV13" s="740">
        <v>0</v>
      </c>
      <c r="GW13" s="740">
        <v>0</v>
      </c>
      <c r="GX13" s="740">
        <v>0</v>
      </c>
      <c r="GY13" s="740">
        <v>0</v>
      </c>
      <c r="GZ13" s="740">
        <v>0</v>
      </c>
      <c r="HA13" s="741">
        <v>0</v>
      </c>
      <c r="HB13" s="738">
        <v>0</v>
      </c>
      <c r="HC13" s="738">
        <v>1</v>
      </c>
      <c r="HD13" s="739">
        <v>1</v>
      </c>
      <c r="HE13" s="740">
        <v>1</v>
      </c>
      <c r="HF13" s="740">
        <v>1</v>
      </c>
      <c r="HG13" s="740">
        <v>1</v>
      </c>
      <c r="HH13" s="740">
        <v>1</v>
      </c>
      <c r="HI13" s="740">
        <v>1</v>
      </c>
      <c r="HJ13" s="741">
        <v>1</v>
      </c>
      <c r="HK13" s="738">
        <v>0</v>
      </c>
      <c r="HL13" s="738">
        <v>0</v>
      </c>
      <c r="HM13" s="739">
        <v>0</v>
      </c>
      <c r="HN13" s="740">
        <v>0</v>
      </c>
      <c r="HO13" s="740">
        <v>0</v>
      </c>
      <c r="HP13" s="740">
        <v>0</v>
      </c>
      <c r="HQ13" s="740">
        <v>0</v>
      </c>
      <c r="HR13" s="740">
        <v>0</v>
      </c>
      <c r="HS13" s="741">
        <v>0</v>
      </c>
      <c r="HT13" s="749">
        <f t="shared" si="0"/>
        <v>85</v>
      </c>
      <c r="HU13" s="749">
        <f t="shared" si="0"/>
        <v>95</v>
      </c>
      <c r="HV13" s="749">
        <f t="shared" si="1"/>
        <v>102</v>
      </c>
      <c r="HW13" s="749">
        <f t="shared" si="1"/>
        <v>109</v>
      </c>
      <c r="HX13" s="749">
        <f t="shared" si="2"/>
        <v>112</v>
      </c>
      <c r="HY13" s="749">
        <f t="shared" si="2"/>
        <v>118</v>
      </c>
      <c r="HZ13" s="749">
        <f t="shared" si="2"/>
        <v>120</v>
      </c>
      <c r="IA13" s="749">
        <v>122</v>
      </c>
      <c r="IB13" s="750">
        <v>121</v>
      </c>
      <c r="IC13" s="751">
        <v>0</v>
      </c>
      <c r="ID13" s="751">
        <v>0</v>
      </c>
      <c r="IE13" s="753">
        <v>0</v>
      </c>
      <c r="IF13" s="753">
        <v>0</v>
      </c>
      <c r="IG13" s="753">
        <v>1</v>
      </c>
      <c r="IH13" s="753">
        <v>1</v>
      </c>
      <c r="II13" s="753">
        <v>0</v>
      </c>
      <c r="IJ13" s="753">
        <v>0</v>
      </c>
      <c r="IK13" s="753">
        <v>0</v>
      </c>
      <c r="IL13" s="753">
        <v>0</v>
      </c>
      <c r="IM13" s="753">
        <v>0</v>
      </c>
      <c r="IN13" s="753">
        <v>0</v>
      </c>
      <c r="IO13" s="753">
        <v>0</v>
      </c>
      <c r="IP13" s="753">
        <v>0</v>
      </c>
      <c r="IQ13" s="753">
        <v>0</v>
      </c>
      <c r="IR13" s="753">
        <v>0</v>
      </c>
      <c r="IS13" s="753">
        <v>0</v>
      </c>
      <c r="IT13" s="753">
        <v>0</v>
      </c>
      <c r="IU13" s="753"/>
      <c r="IV13" s="753">
        <v>0</v>
      </c>
      <c r="IW13" s="753">
        <v>0</v>
      </c>
      <c r="IX13" s="753">
        <v>0</v>
      </c>
      <c r="IY13" s="753">
        <v>0</v>
      </c>
      <c r="IZ13" s="753">
        <v>0</v>
      </c>
      <c r="JA13" s="753">
        <v>0</v>
      </c>
      <c r="JB13" s="753">
        <v>0</v>
      </c>
      <c r="JC13" s="753">
        <v>0</v>
      </c>
      <c r="JD13" s="753">
        <v>0</v>
      </c>
      <c r="JE13" s="753">
        <v>0</v>
      </c>
      <c r="JF13" s="753">
        <v>0</v>
      </c>
      <c r="JG13" s="753">
        <v>0</v>
      </c>
      <c r="JH13" s="753">
        <v>0</v>
      </c>
      <c r="JI13" s="753">
        <v>0</v>
      </c>
      <c r="JJ13" s="753">
        <v>0</v>
      </c>
      <c r="JK13" s="753">
        <v>0</v>
      </c>
      <c r="JL13" s="753">
        <v>0</v>
      </c>
      <c r="JM13" s="753">
        <v>0</v>
      </c>
      <c r="JN13" s="753">
        <v>0</v>
      </c>
      <c r="JO13" s="753">
        <v>0</v>
      </c>
      <c r="JP13" s="753">
        <v>0</v>
      </c>
      <c r="JQ13" s="753">
        <v>0</v>
      </c>
      <c r="JR13" s="753">
        <v>1</v>
      </c>
      <c r="JS13" s="753">
        <v>1</v>
      </c>
      <c r="JT13" s="753">
        <v>2</v>
      </c>
      <c r="JU13" s="753">
        <v>1</v>
      </c>
      <c r="JV13" s="753">
        <v>2</v>
      </c>
      <c r="JW13" s="753">
        <v>2</v>
      </c>
      <c r="JX13" s="753">
        <v>4</v>
      </c>
      <c r="JY13" s="753">
        <v>3</v>
      </c>
      <c r="JZ13" s="753">
        <v>5</v>
      </c>
      <c r="KA13" s="752">
        <v>1</v>
      </c>
      <c r="KB13" s="752">
        <v>1</v>
      </c>
      <c r="KC13" s="752">
        <v>2</v>
      </c>
      <c r="KD13" s="752">
        <v>1</v>
      </c>
      <c r="KE13" s="752">
        <v>2</v>
      </c>
      <c r="KF13" s="752">
        <v>2</v>
      </c>
      <c r="KG13" s="752">
        <v>4</v>
      </c>
      <c r="KH13" s="752">
        <v>4</v>
      </c>
      <c r="KI13" s="752">
        <v>6</v>
      </c>
      <c r="KJ13" s="752">
        <v>86</v>
      </c>
      <c r="KK13" s="752">
        <v>96</v>
      </c>
      <c r="KL13" s="752">
        <v>104</v>
      </c>
      <c r="KM13" s="752">
        <v>110</v>
      </c>
      <c r="KN13" s="752">
        <v>114</v>
      </c>
      <c r="KO13" s="752">
        <v>120</v>
      </c>
      <c r="KP13" s="752">
        <v>124</v>
      </c>
      <c r="KQ13" s="752">
        <v>126</v>
      </c>
      <c r="KR13" s="755">
        <v>127</v>
      </c>
      <c r="KS13" s="808"/>
    </row>
    <row r="14" spans="1:305" s="737" customFormat="1" ht="12.75" x14ac:dyDescent="0.2">
      <c r="A14" s="720">
        <v>10</v>
      </c>
      <c r="B14" s="721" t="s">
        <v>152</v>
      </c>
      <c r="C14" s="738">
        <v>46</v>
      </c>
      <c r="D14" s="738">
        <v>46</v>
      </c>
      <c r="E14" s="739">
        <v>46</v>
      </c>
      <c r="F14" s="740">
        <v>47</v>
      </c>
      <c r="G14" s="740">
        <v>35</v>
      </c>
      <c r="H14" s="740">
        <v>36</v>
      </c>
      <c r="I14" s="740">
        <v>34</v>
      </c>
      <c r="J14" s="740">
        <v>29</v>
      </c>
      <c r="K14" s="741">
        <v>28</v>
      </c>
      <c r="L14" s="738">
        <v>40</v>
      </c>
      <c r="M14" s="738">
        <v>40</v>
      </c>
      <c r="N14" s="739">
        <v>43</v>
      </c>
      <c r="O14" s="740">
        <v>45</v>
      </c>
      <c r="P14" s="740">
        <v>45</v>
      </c>
      <c r="Q14" s="740">
        <v>40</v>
      </c>
      <c r="R14" s="740">
        <v>34</v>
      </c>
      <c r="S14" s="740">
        <v>31</v>
      </c>
      <c r="T14" s="741">
        <v>31</v>
      </c>
      <c r="U14" s="738">
        <v>41</v>
      </c>
      <c r="V14" s="738">
        <v>41</v>
      </c>
      <c r="W14" s="739">
        <v>41</v>
      </c>
      <c r="X14" s="740">
        <v>41</v>
      </c>
      <c r="Y14" s="742">
        <v>41</v>
      </c>
      <c r="Z14" s="742">
        <v>41</v>
      </c>
      <c r="AA14" s="742">
        <v>37</v>
      </c>
      <c r="AB14" s="742">
        <v>29</v>
      </c>
      <c r="AC14" s="743">
        <v>25</v>
      </c>
      <c r="AD14" s="738">
        <v>19</v>
      </c>
      <c r="AE14" s="738">
        <v>19</v>
      </c>
      <c r="AF14" s="739">
        <v>28</v>
      </c>
      <c r="AG14" s="740">
        <v>28</v>
      </c>
      <c r="AH14" s="740">
        <v>28</v>
      </c>
      <c r="AI14" s="740">
        <v>27</v>
      </c>
      <c r="AJ14" s="740">
        <v>27</v>
      </c>
      <c r="AK14" s="740">
        <v>26</v>
      </c>
      <c r="AL14" s="741">
        <v>21</v>
      </c>
      <c r="AM14" s="744">
        <v>0</v>
      </c>
      <c r="AN14" s="744">
        <v>0</v>
      </c>
      <c r="AO14" s="744">
        <v>0</v>
      </c>
      <c r="AP14" s="744">
        <v>0</v>
      </c>
      <c r="AQ14" s="745">
        <v>0</v>
      </c>
      <c r="AR14" s="738">
        <v>4</v>
      </c>
      <c r="AS14" s="738">
        <v>4</v>
      </c>
      <c r="AT14" s="739">
        <v>4</v>
      </c>
      <c r="AU14" s="739">
        <v>5</v>
      </c>
      <c r="AV14" s="739">
        <v>5</v>
      </c>
      <c r="AW14" s="739">
        <v>5</v>
      </c>
      <c r="AX14" s="739">
        <v>5</v>
      </c>
      <c r="AY14" s="739">
        <v>4</v>
      </c>
      <c r="AZ14" s="746">
        <v>4</v>
      </c>
      <c r="BA14" s="738">
        <v>1</v>
      </c>
      <c r="BB14" s="738">
        <v>1</v>
      </c>
      <c r="BC14" s="739">
        <v>2</v>
      </c>
      <c r="BD14" s="739">
        <v>2</v>
      </c>
      <c r="BE14" s="739">
        <v>2</v>
      </c>
      <c r="BF14" s="739">
        <v>2</v>
      </c>
      <c r="BG14" s="739">
        <v>5</v>
      </c>
      <c r="BH14" s="739">
        <v>3</v>
      </c>
      <c r="BI14" s="746">
        <v>0</v>
      </c>
      <c r="BJ14" s="738">
        <v>2</v>
      </c>
      <c r="BK14" s="738">
        <v>2</v>
      </c>
      <c r="BL14" s="739">
        <v>3</v>
      </c>
      <c r="BM14" s="747">
        <v>3</v>
      </c>
      <c r="BN14" s="747">
        <v>3</v>
      </c>
      <c r="BO14" s="747">
        <v>3</v>
      </c>
      <c r="BP14" s="747">
        <v>3</v>
      </c>
      <c r="BQ14" s="747">
        <v>3</v>
      </c>
      <c r="BR14" s="748">
        <v>4</v>
      </c>
      <c r="BS14" s="747">
        <v>0</v>
      </c>
      <c r="BT14" s="747">
        <v>0</v>
      </c>
      <c r="BU14" s="747">
        <v>0</v>
      </c>
      <c r="BV14" s="747">
        <v>0</v>
      </c>
      <c r="BW14" s="748">
        <v>0</v>
      </c>
      <c r="BX14" s="738">
        <v>4</v>
      </c>
      <c r="BY14" s="738">
        <v>4</v>
      </c>
      <c r="BZ14" s="739">
        <v>4</v>
      </c>
      <c r="CA14" s="747">
        <v>4</v>
      </c>
      <c r="CB14" s="747">
        <v>4</v>
      </c>
      <c r="CC14" s="747">
        <v>4</v>
      </c>
      <c r="CD14" s="747">
        <v>4</v>
      </c>
      <c r="CE14" s="747">
        <v>4</v>
      </c>
      <c r="CF14" s="748">
        <v>5</v>
      </c>
      <c r="CG14" s="747">
        <v>1</v>
      </c>
      <c r="CH14" s="747">
        <v>1</v>
      </c>
      <c r="CI14" s="747">
        <v>2</v>
      </c>
      <c r="CJ14" s="747">
        <v>2</v>
      </c>
      <c r="CK14" s="748">
        <v>2</v>
      </c>
      <c r="CL14" s="738">
        <v>2</v>
      </c>
      <c r="CM14" s="738">
        <v>2</v>
      </c>
      <c r="CN14" s="739">
        <v>2</v>
      </c>
      <c r="CO14" s="740">
        <v>2</v>
      </c>
      <c r="CP14" s="740">
        <v>2</v>
      </c>
      <c r="CQ14" s="740">
        <v>3</v>
      </c>
      <c r="CR14" s="740">
        <v>4</v>
      </c>
      <c r="CS14" s="740">
        <v>4</v>
      </c>
      <c r="CT14" s="741">
        <v>4</v>
      </c>
      <c r="CU14" s="738">
        <v>4</v>
      </c>
      <c r="CV14" s="738">
        <v>4</v>
      </c>
      <c r="CW14" s="739">
        <v>4</v>
      </c>
      <c r="CX14" s="740">
        <v>4</v>
      </c>
      <c r="CY14" s="740">
        <v>4</v>
      </c>
      <c r="CZ14" s="740">
        <v>5</v>
      </c>
      <c r="DA14" s="740">
        <v>6</v>
      </c>
      <c r="DB14" s="740">
        <v>6</v>
      </c>
      <c r="DC14" s="741">
        <v>6</v>
      </c>
      <c r="DD14" s="738">
        <v>0</v>
      </c>
      <c r="DE14" s="738">
        <v>1</v>
      </c>
      <c r="DF14" s="739">
        <v>1</v>
      </c>
      <c r="DG14" s="740">
        <v>1</v>
      </c>
      <c r="DH14" s="740">
        <v>1</v>
      </c>
      <c r="DI14" s="740">
        <v>4</v>
      </c>
      <c r="DJ14" s="740">
        <v>4</v>
      </c>
      <c r="DK14" s="740">
        <v>4</v>
      </c>
      <c r="DL14" s="741">
        <v>4</v>
      </c>
      <c r="DM14" s="739">
        <v>0</v>
      </c>
      <c r="DN14" s="739">
        <v>0</v>
      </c>
      <c r="DO14" s="739">
        <v>0</v>
      </c>
      <c r="DP14" s="739">
        <v>0</v>
      </c>
      <c r="DQ14" s="739">
        <v>0</v>
      </c>
      <c r="DR14" s="739">
        <v>1</v>
      </c>
      <c r="DS14" s="746">
        <v>1</v>
      </c>
      <c r="DT14" s="740">
        <v>0</v>
      </c>
      <c r="DU14" s="740">
        <v>0</v>
      </c>
      <c r="DV14" s="739">
        <v>1</v>
      </c>
      <c r="DW14" s="740">
        <v>3</v>
      </c>
      <c r="DX14" s="740">
        <v>3</v>
      </c>
      <c r="DY14" s="740">
        <v>3</v>
      </c>
      <c r="DZ14" s="740">
        <v>4</v>
      </c>
      <c r="EA14" s="740">
        <v>4</v>
      </c>
      <c r="EB14" s="741">
        <v>4</v>
      </c>
      <c r="EC14" s="740">
        <v>3</v>
      </c>
      <c r="ED14" s="740">
        <v>3</v>
      </c>
      <c r="EE14" s="739">
        <v>3</v>
      </c>
      <c r="EF14" s="740">
        <v>3</v>
      </c>
      <c r="EG14" s="740">
        <v>4</v>
      </c>
      <c r="EH14" s="740">
        <v>6</v>
      </c>
      <c r="EI14" s="740">
        <v>6</v>
      </c>
      <c r="EJ14" s="740">
        <v>3</v>
      </c>
      <c r="EK14" s="741">
        <v>3</v>
      </c>
      <c r="EL14" s="747">
        <v>0</v>
      </c>
      <c r="EM14" s="747">
        <v>0</v>
      </c>
      <c r="EN14" s="747">
        <v>0</v>
      </c>
      <c r="EO14" s="747">
        <v>0</v>
      </c>
      <c r="EP14" s="747">
        <v>0</v>
      </c>
      <c r="EQ14" s="738">
        <v>0</v>
      </c>
      <c r="ER14" s="738">
        <v>0</v>
      </c>
      <c r="ES14" s="739">
        <v>0</v>
      </c>
      <c r="ET14" s="740">
        <v>0</v>
      </c>
      <c r="EU14" s="740">
        <v>0</v>
      </c>
      <c r="EV14" s="740">
        <v>0</v>
      </c>
      <c r="EW14" s="740">
        <v>0</v>
      </c>
      <c r="EX14" s="740">
        <v>0</v>
      </c>
      <c r="EY14" s="741">
        <v>0</v>
      </c>
      <c r="EZ14" s="738">
        <v>4</v>
      </c>
      <c r="FA14" s="738">
        <v>4</v>
      </c>
      <c r="FB14" s="739">
        <v>4</v>
      </c>
      <c r="FC14" s="740">
        <v>4</v>
      </c>
      <c r="FD14" s="740">
        <v>4</v>
      </c>
      <c r="FE14" s="740">
        <v>4</v>
      </c>
      <c r="FF14" s="740">
        <v>4</v>
      </c>
      <c r="FG14" s="740">
        <v>4</v>
      </c>
      <c r="FH14" s="741">
        <v>4</v>
      </c>
      <c r="FI14" s="738">
        <v>2</v>
      </c>
      <c r="FJ14" s="738">
        <v>2</v>
      </c>
      <c r="FK14" s="739">
        <v>2</v>
      </c>
      <c r="FL14" s="740">
        <v>3</v>
      </c>
      <c r="FM14" s="740">
        <v>3</v>
      </c>
      <c r="FN14" s="740">
        <v>3</v>
      </c>
      <c r="FO14" s="740">
        <v>3</v>
      </c>
      <c r="FP14" s="740">
        <v>3</v>
      </c>
      <c r="FQ14" s="741">
        <v>3</v>
      </c>
      <c r="FR14" s="738">
        <v>2</v>
      </c>
      <c r="FS14" s="738">
        <v>2</v>
      </c>
      <c r="FT14" s="739">
        <v>3</v>
      </c>
      <c r="FU14" s="740">
        <v>3</v>
      </c>
      <c r="FV14" s="740">
        <v>3</v>
      </c>
      <c r="FW14" s="740">
        <v>3</v>
      </c>
      <c r="FX14" s="740">
        <v>3</v>
      </c>
      <c r="FY14" s="740">
        <v>3</v>
      </c>
      <c r="FZ14" s="741">
        <v>3</v>
      </c>
      <c r="GA14" s="738">
        <v>1</v>
      </c>
      <c r="GB14" s="738">
        <v>3</v>
      </c>
      <c r="GC14" s="739">
        <v>3</v>
      </c>
      <c r="GD14" s="740">
        <v>3</v>
      </c>
      <c r="GE14" s="740">
        <v>3</v>
      </c>
      <c r="GF14" s="740">
        <v>4</v>
      </c>
      <c r="GG14" s="740">
        <v>5</v>
      </c>
      <c r="GH14" s="740">
        <v>5</v>
      </c>
      <c r="GI14" s="741">
        <v>5</v>
      </c>
      <c r="GJ14" s="738">
        <v>2</v>
      </c>
      <c r="GK14" s="738">
        <v>2</v>
      </c>
      <c r="GL14" s="739">
        <v>2</v>
      </c>
      <c r="GM14" s="740">
        <v>4</v>
      </c>
      <c r="GN14" s="740">
        <v>4</v>
      </c>
      <c r="GO14" s="740">
        <v>5</v>
      </c>
      <c r="GP14" s="740">
        <v>6</v>
      </c>
      <c r="GQ14" s="740">
        <v>6</v>
      </c>
      <c r="GR14" s="741">
        <v>6</v>
      </c>
      <c r="GS14" s="740">
        <v>2</v>
      </c>
      <c r="GT14" s="740">
        <v>2</v>
      </c>
      <c r="GU14" s="739">
        <v>2</v>
      </c>
      <c r="GV14" s="740">
        <v>2</v>
      </c>
      <c r="GW14" s="740">
        <v>2</v>
      </c>
      <c r="GX14" s="740">
        <v>2</v>
      </c>
      <c r="GY14" s="740">
        <v>2</v>
      </c>
      <c r="GZ14" s="740">
        <v>2</v>
      </c>
      <c r="HA14" s="741">
        <v>2</v>
      </c>
      <c r="HB14" s="738">
        <v>1</v>
      </c>
      <c r="HC14" s="738">
        <v>1</v>
      </c>
      <c r="HD14" s="739">
        <v>1</v>
      </c>
      <c r="HE14" s="740">
        <v>1</v>
      </c>
      <c r="HF14" s="740">
        <v>1</v>
      </c>
      <c r="HG14" s="740">
        <v>1</v>
      </c>
      <c r="HH14" s="740">
        <v>1</v>
      </c>
      <c r="HI14" s="740">
        <v>1</v>
      </c>
      <c r="HJ14" s="741">
        <v>1</v>
      </c>
      <c r="HK14" s="738">
        <v>0</v>
      </c>
      <c r="HL14" s="738">
        <v>0</v>
      </c>
      <c r="HM14" s="739">
        <v>0</v>
      </c>
      <c r="HN14" s="740">
        <v>0</v>
      </c>
      <c r="HO14" s="740">
        <v>0</v>
      </c>
      <c r="HP14" s="740">
        <v>0</v>
      </c>
      <c r="HQ14" s="740">
        <v>0</v>
      </c>
      <c r="HR14" s="740">
        <v>0</v>
      </c>
      <c r="HS14" s="741">
        <v>0</v>
      </c>
      <c r="HT14" s="749">
        <f t="shared" si="0"/>
        <v>180</v>
      </c>
      <c r="HU14" s="749">
        <f t="shared" si="0"/>
        <v>183</v>
      </c>
      <c r="HV14" s="749">
        <f t="shared" si="1"/>
        <v>199</v>
      </c>
      <c r="HW14" s="749">
        <f t="shared" si="1"/>
        <v>208</v>
      </c>
      <c r="HX14" s="749">
        <f t="shared" si="2"/>
        <v>198</v>
      </c>
      <c r="HY14" s="749">
        <f t="shared" si="2"/>
        <v>202</v>
      </c>
      <c r="HZ14" s="749">
        <f t="shared" si="2"/>
        <v>199</v>
      </c>
      <c r="IA14" s="749">
        <v>177</v>
      </c>
      <c r="IB14" s="750">
        <v>166</v>
      </c>
      <c r="IC14" s="751">
        <v>0</v>
      </c>
      <c r="ID14" s="751">
        <v>1</v>
      </c>
      <c r="IE14" s="754">
        <v>1</v>
      </c>
      <c r="IF14" s="754">
        <v>2</v>
      </c>
      <c r="IG14" s="754">
        <v>3</v>
      </c>
      <c r="IH14" s="754">
        <v>3</v>
      </c>
      <c r="II14" s="754">
        <v>0</v>
      </c>
      <c r="IJ14" s="754">
        <v>0</v>
      </c>
      <c r="IK14" s="754">
        <v>0</v>
      </c>
      <c r="IL14" s="754">
        <v>0</v>
      </c>
      <c r="IM14" s="754">
        <v>0</v>
      </c>
      <c r="IN14" s="754">
        <v>2</v>
      </c>
      <c r="IO14" s="754">
        <v>3</v>
      </c>
      <c r="IP14" s="754">
        <v>3</v>
      </c>
      <c r="IQ14" s="754">
        <v>3</v>
      </c>
      <c r="IR14" s="754">
        <v>0</v>
      </c>
      <c r="IS14" s="754">
        <v>1</v>
      </c>
      <c r="IT14" s="754">
        <v>1</v>
      </c>
      <c r="IU14" s="754">
        <v>1</v>
      </c>
      <c r="IV14" s="754">
        <v>2</v>
      </c>
      <c r="IW14" s="754">
        <v>3</v>
      </c>
      <c r="IX14" s="754">
        <v>3</v>
      </c>
      <c r="IY14" s="754">
        <v>0</v>
      </c>
      <c r="IZ14" s="754">
        <v>0</v>
      </c>
      <c r="JA14" s="754">
        <v>0</v>
      </c>
      <c r="JB14" s="754">
        <v>0</v>
      </c>
      <c r="JC14" s="754">
        <v>0</v>
      </c>
      <c r="JD14" s="754">
        <v>1</v>
      </c>
      <c r="JE14" s="754">
        <v>2</v>
      </c>
      <c r="JF14" s="754">
        <v>2</v>
      </c>
      <c r="JG14" s="754">
        <v>3</v>
      </c>
      <c r="JH14" s="754">
        <v>0</v>
      </c>
      <c r="JI14" s="754">
        <v>0</v>
      </c>
      <c r="JJ14" s="754">
        <v>0</v>
      </c>
      <c r="JK14" s="754">
        <v>0</v>
      </c>
      <c r="JL14" s="754">
        <v>0</v>
      </c>
      <c r="JM14" s="754">
        <v>0</v>
      </c>
      <c r="JN14" s="754">
        <v>0</v>
      </c>
      <c r="JO14" s="754">
        <v>2</v>
      </c>
      <c r="JP14" s="754">
        <v>3</v>
      </c>
      <c r="JQ14" s="754">
        <v>0</v>
      </c>
      <c r="JR14" s="754">
        <v>4</v>
      </c>
      <c r="JS14" s="754">
        <v>4</v>
      </c>
      <c r="JT14" s="754">
        <v>4</v>
      </c>
      <c r="JU14" s="754">
        <v>4</v>
      </c>
      <c r="JV14" s="754">
        <v>4</v>
      </c>
      <c r="JW14" s="754">
        <v>6</v>
      </c>
      <c r="JX14" s="754">
        <v>6</v>
      </c>
      <c r="JY14" s="754">
        <v>9</v>
      </c>
      <c r="JZ14" s="754">
        <v>10</v>
      </c>
      <c r="KA14" s="752">
        <v>4</v>
      </c>
      <c r="KB14" s="752">
        <v>5</v>
      </c>
      <c r="KC14" s="752">
        <v>5</v>
      </c>
      <c r="KD14" s="752">
        <v>5</v>
      </c>
      <c r="KE14" s="752">
        <v>7</v>
      </c>
      <c r="KF14" s="752">
        <v>13</v>
      </c>
      <c r="KG14" s="752">
        <v>16</v>
      </c>
      <c r="KH14" s="752">
        <v>19</v>
      </c>
      <c r="KI14" s="752">
        <v>22</v>
      </c>
      <c r="KJ14" s="752">
        <v>184</v>
      </c>
      <c r="KK14" s="752">
        <v>188</v>
      </c>
      <c r="KL14" s="752">
        <v>204</v>
      </c>
      <c r="KM14" s="752">
        <v>213</v>
      </c>
      <c r="KN14" s="752">
        <v>205</v>
      </c>
      <c r="KO14" s="752">
        <v>215</v>
      </c>
      <c r="KP14" s="752">
        <v>215</v>
      </c>
      <c r="KQ14" s="752">
        <v>196</v>
      </c>
      <c r="KR14" s="755">
        <v>188</v>
      </c>
      <c r="KS14" s="808"/>
    </row>
    <row r="15" spans="1:305" s="737" customFormat="1" ht="12.75" x14ac:dyDescent="0.2">
      <c r="A15" s="720">
        <v>11</v>
      </c>
      <c r="B15" s="721" t="s">
        <v>153</v>
      </c>
      <c r="C15" s="738">
        <v>100</v>
      </c>
      <c r="D15" s="738">
        <v>104</v>
      </c>
      <c r="E15" s="739">
        <v>104</v>
      </c>
      <c r="F15" s="740">
        <v>104</v>
      </c>
      <c r="G15" s="740">
        <v>101</v>
      </c>
      <c r="H15" s="740">
        <v>94</v>
      </c>
      <c r="I15" s="740">
        <v>87</v>
      </c>
      <c r="J15" s="740">
        <v>82</v>
      </c>
      <c r="K15" s="741">
        <v>65</v>
      </c>
      <c r="L15" s="738">
        <v>99</v>
      </c>
      <c r="M15" s="738">
        <v>99</v>
      </c>
      <c r="N15" s="739">
        <v>99</v>
      </c>
      <c r="O15" s="740">
        <v>107</v>
      </c>
      <c r="P15" s="740">
        <v>112</v>
      </c>
      <c r="Q15" s="740">
        <v>112</v>
      </c>
      <c r="R15" s="740">
        <v>112</v>
      </c>
      <c r="S15" s="740">
        <v>108</v>
      </c>
      <c r="T15" s="741">
        <v>104</v>
      </c>
      <c r="U15" s="738">
        <v>131</v>
      </c>
      <c r="V15" s="738">
        <v>131</v>
      </c>
      <c r="W15" s="739">
        <v>130</v>
      </c>
      <c r="X15" s="740">
        <v>130</v>
      </c>
      <c r="Y15" s="742">
        <v>130</v>
      </c>
      <c r="Z15" s="742">
        <v>128</v>
      </c>
      <c r="AA15" s="742">
        <v>116</v>
      </c>
      <c r="AB15" s="742">
        <v>114</v>
      </c>
      <c r="AC15" s="743">
        <v>108</v>
      </c>
      <c r="AD15" s="738">
        <v>131</v>
      </c>
      <c r="AE15" s="738">
        <v>147</v>
      </c>
      <c r="AF15" s="739">
        <v>154</v>
      </c>
      <c r="AG15" s="740">
        <v>164</v>
      </c>
      <c r="AH15" s="740">
        <v>164</v>
      </c>
      <c r="AI15" s="740">
        <v>163</v>
      </c>
      <c r="AJ15" s="740">
        <v>160</v>
      </c>
      <c r="AK15" s="740">
        <v>154</v>
      </c>
      <c r="AL15" s="741">
        <v>136</v>
      </c>
      <c r="AM15" s="744">
        <v>0</v>
      </c>
      <c r="AN15" s="744">
        <v>2</v>
      </c>
      <c r="AO15" s="744">
        <v>2</v>
      </c>
      <c r="AP15" s="744">
        <v>2</v>
      </c>
      <c r="AQ15" s="745">
        <v>1</v>
      </c>
      <c r="AR15" s="738">
        <v>12</v>
      </c>
      <c r="AS15" s="738">
        <v>15</v>
      </c>
      <c r="AT15" s="739">
        <v>16</v>
      </c>
      <c r="AU15" s="739">
        <v>15</v>
      </c>
      <c r="AV15" s="739">
        <v>15</v>
      </c>
      <c r="AW15" s="739">
        <v>15</v>
      </c>
      <c r="AX15" s="739">
        <v>10</v>
      </c>
      <c r="AY15" s="739">
        <v>13</v>
      </c>
      <c r="AZ15" s="746">
        <v>13</v>
      </c>
      <c r="BA15" s="738">
        <v>5</v>
      </c>
      <c r="BB15" s="738">
        <v>7</v>
      </c>
      <c r="BC15" s="739">
        <v>10</v>
      </c>
      <c r="BD15" s="739">
        <v>10</v>
      </c>
      <c r="BE15" s="739">
        <v>11</v>
      </c>
      <c r="BF15" s="739">
        <v>12</v>
      </c>
      <c r="BG15" s="739">
        <v>12</v>
      </c>
      <c r="BH15" s="739">
        <v>13</v>
      </c>
      <c r="BI15" s="746">
        <v>0</v>
      </c>
      <c r="BJ15" s="738">
        <v>6</v>
      </c>
      <c r="BK15" s="738">
        <v>6</v>
      </c>
      <c r="BL15" s="739">
        <v>8</v>
      </c>
      <c r="BM15" s="747">
        <v>7</v>
      </c>
      <c r="BN15" s="747">
        <v>7</v>
      </c>
      <c r="BO15" s="747">
        <v>7</v>
      </c>
      <c r="BP15" s="747">
        <v>23</v>
      </c>
      <c r="BQ15" s="747">
        <v>23</v>
      </c>
      <c r="BR15" s="748">
        <v>20</v>
      </c>
      <c r="BS15" s="747">
        <v>1</v>
      </c>
      <c r="BT15" s="747">
        <v>1</v>
      </c>
      <c r="BU15" s="747">
        <v>1</v>
      </c>
      <c r="BV15" s="747">
        <v>1</v>
      </c>
      <c r="BW15" s="748">
        <v>1</v>
      </c>
      <c r="BX15" s="738">
        <v>6</v>
      </c>
      <c r="BY15" s="738">
        <v>7</v>
      </c>
      <c r="BZ15" s="739">
        <v>8</v>
      </c>
      <c r="CA15" s="747">
        <v>8</v>
      </c>
      <c r="CB15" s="747">
        <v>8</v>
      </c>
      <c r="CC15" s="747">
        <v>8</v>
      </c>
      <c r="CD15" s="747">
        <v>8</v>
      </c>
      <c r="CE15" s="747">
        <v>9</v>
      </c>
      <c r="CF15" s="748">
        <v>13</v>
      </c>
      <c r="CG15" s="747">
        <v>1</v>
      </c>
      <c r="CH15" s="747">
        <v>1</v>
      </c>
      <c r="CI15" s="747">
        <v>2</v>
      </c>
      <c r="CJ15" s="747">
        <v>2</v>
      </c>
      <c r="CK15" s="748">
        <v>2</v>
      </c>
      <c r="CL15" s="738">
        <v>5</v>
      </c>
      <c r="CM15" s="738">
        <v>5</v>
      </c>
      <c r="CN15" s="739">
        <v>5</v>
      </c>
      <c r="CO15" s="740">
        <v>5</v>
      </c>
      <c r="CP15" s="740">
        <v>5</v>
      </c>
      <c r="CQ15" s="740">
        <v>7</v>
      </c>
      <c r="CR15" s="740">
        <v>9</v>
      </c>
      <c r="CS15" s="740">
        <v>14</v>
      </c>
      <c r="CT15" s="741">
        <v>14</v>
      </c>
      <c r="CU15" s="738">
        <v>19</v>
      </c>
      <c r="CV15" s="738">
        <v>18</v>
      </c>
      <c r="CW15" s="739">
        <v>18</v>
      </c>
      <c r="CX15" s="740">
        <v>14</v>
      </c>
      <c r="CY15" s="740">
        <v>14</v>
      </c>
      <c r="CZ15" s="740">
        <v>14</v>
      </c>
      <c r="DA15" s="740">
        <v>14</v>
      </c>
      <c r="DB15" s="740">
        <v>14</v>
      </c>
      <c r="DC15" s="741">
        <v>15</v>
      </c>
      <c r="DD15" s="738">
        <v>5</v>
      </c>
      <c r="DE15" s="738">
        <v>6</v>
      </c>
      <c r="DF15" s="739">
        <v>6</v>
      </c>
      <c r="DG15" s="740">
        <v>6</v>
      </c>
      <c r="DH15" s="740">
        <v>8</v>
      </c>
      <c r="DI15" s="740">
        <v>27</v>
      </c>
      <c r="DJ15" s="740">
        <v>29</v>
      </c>
      <c r="DK15" s="740">
        <v>29</v>
      </c>
      <c r="DL15" s="741">
        <v>28</v>
      </c>
      <c r="DM15" s="739">
        <v>1</v>
      </c>
      <c r="DN15" s="739">
        <v>1</v>
      </c>
      <c r="DO15" s="739">
        <v>1</v>
      </c>
      <c r="DP15" s="739">
        <v>1</v>
      </c>
      <c r="DQ15" s="739">
        <v>1</v>
      </c>
      <c r="DR15" s="739">
        <v>1</v>
      </c>
      <c r="DS15" s="746">
        <v>1</v>
      </c>
      <c r="DT15" s="740">
        <v>2</v>
      </c>
      <c r="DU15" s="740">
        <v>3</v>
      </c>
      <c r="DV15" s="739">
        <v>3</v>
      </c>
      <c r="DW15" s="740">
        <v>4</v>
      </c>
      <c r="DX15" s="740">
        <v>4</v>
      </c>
      <c r="DY15" s="740">
        <v>5</v>
      </c>
      <c r="DZ15" s="740">
        <v>11</v>
      </c>
      <c r="EA15" s="740">
        <v>11</v>
      </c>
      <c r="EB15" s="741">
        <v>11</v>
      </c>
      <c r="EC15" s="740">
        <v>2</v>
      </c>
      <c r="ED15" s="740">
        <v>3</v>
      </c>
      <c r="EE15" s="739">
        <v>3</v>
      </c>
      <c r="EF15" s="740">
        <v>3</v>
      </c>
      <c r="EG15" s="740">
        <v>6</v>
      </c>
      <c r="EH15" s="740">
        <v>12</v>
      </c>
      <c r="EI15" s="740">
        <v>12</v>
      </c>
      <c r="EJ15" s="740">
        <v>7</v>
      </c>
      <c r="EK15" s="741">
        <v>6</v>
      </c>
      <c r="EL15" s="747">
        <v>0</v>
      </c>
      <c r="EM15" s="747">
        <v>0</v>
      </c>
      <c r="EN15" s="747">
        <v>0</v>
      </c>
      <c r="EO15" s="747">
        <v>1</v>
      </c>
      <c r="EP15" s="747">
        <v>2</v>
      </c>
      <c r="EQ15" s="738">
        <v>1</v>
      </c>
      <c r="ER15" s="738">
        <v>1</v>
      </c>
      <c r="ES15" s="739">
        <v>1</v>
      </c>
      <c r="ET15" s="740">
        <v>1</v>
      </c>
      <c r="EU15" s="740">
        <v>1</v>
      </c>
      <c r="EV15" s="740">
        <v>1</v>
      </c>
      <c r="EW15" s="740">
        <v>1</v>
      </c>
      <c r="EX15" s="740">
        <v>1</v>
      </c>
      <c r="EY15" s="741">
        <v>1</v>
      </c>
      <c r="EZ15" s="738">
        <v>12</v>
      </c>
      <c r="FA15" s="738">
        <v>12</v>
      </c>
      <c r="FB15" s="739">
        <v>12</v>
      </c>
      <c r="FC15" s="740">
        <v>14</v>
      </c>
      <c r="FD15" s="740">
        <v>14</v>
      </c>
      <c r="FE15" s="740">
        <v>14</v>
      </c>
      <c r="FF15" s="740">
        <v>14</v>
      </c>
      <c r="FG15" s="740">
        <v>13</v>
      </c>
      <c r="FH15" s="741">
        <v>12</v>
      </c>
      <c r="FI15" s="738">
        <v>13</v>
      </c>
      <c r="FJ15" s="738">
        <v>12</v>
      </c>
      <c r="FK15" s="739">
        <v>12</v>
      </c>
      <c r="FL15" s="740">
        <v>12</v>
      </c>
      <c r="FM15" s="740">
        <v>14</v>
      </c>
      <c r="FN15" s="740">
        <v>16</v>
      </c>
      <c r="FO15" s="740">
        <v>16</v>
      </c>
      <c r="FP15" s="740">
        <v>16</v>
      </c>
      <c r="FQ15" s="741">
        <v>16</v>
      </c>
      <c r="FR15" s="738">
        <v>3</v>
      </c>
      <c r="FS15" s="738">
        <v>5</v>
      </c>
      <c r="FT15" s="739">
        <v>5</v>
      </c>
      <c r="FU15" s="740">
        <v>5</v>
      </c>
      <c r="FV15" s="740">
        <v>5</v>
      </c>
      <c r="FW15" s="740">
        <v>5</v>
      </c>
      <c r="FX15" s="740">
        <v>5</v>
      </c>
      <c r="FY15" s="740">
        <v>6</v>
      </c>
      <c r="FZ15" s="741">
        <v>6</v>
      </c>
      <c r="GA15" s="738">
        <v>3</v>
      </c>
      <c r="GB15" s="738">
        <v>8</v>
      </c>
      <c r="GC15" s="739">
        <v>9</v>
      </c>
      <c r="GD15" s="740">
        <v>9</v>
      </c>
      <c r="GE15" s="740">
        <v>10</v>
      </c>
      <c r="GF15" s="740">
        <v>14</v>
      </c>
      <c r="GG15" s="740">
        <v>19</v>
      </c>
      <c r="GH15" s="740">
        <v>18</v>
      </c>
      <c r="GI15" s="741">
        <v>19</v>
      </c>
      <c r="GJ15" s="738">
        <v>4</v>
      </c>
      <c r="GK15" s="738">
        <v>8</v>
      </c>
      <c r="GL15" s="739">
        <v>9</v>
      </c>
      <c r="GM15" s="740">
        <v>10</v>
      </c>
      <c r="GN15" s="740">
        <v>9</v>
      </c>
      <c r="GO15" s="740">
        <v>14</v>
      </c>
      <c r="GP15" s="740">
        <v>13</v>
      </c>
      <c r="GQ15" s="740">
        <v>11</v>
      </c>
      <c r="GR15" s="741">
        <v>11</v>
      </c>
      <c r="GS15" s="740">
        <v>7</v>
      </c>
      <c r="GT15" s="740">
        <v>7</v>
      </c>
      <c r="GU15" s="739">
        <v>7</v>
      </c>
      <c r="GV15" s="740">
        <v>7</v>
      </c>
      <c r="GW15" s="740">
        <v>7</v>
      </c>
      <c r="GX15" s="740">
        <v>7</v>
      </c>
      <c r="GY15" s="740">
        <v>7</v>
      </c>
      <c r="GZ15" s="740">
        <v>16</v>
      </c>
      <c r="HA15" s="741">
        <v>16</v>
      </c>
      <c r="HB15" s="738">
        <v>2</v>
      </c>
      <c r="HC15" s="738">
        <v>2</v>
      </c>
      <c r="HD15" s="739">
        <v>1</v>
      </c>
      <c r="HE15" s="740">
        <v>1</v>
      </c>
      <c r="HF15" s="740">
        <v>1</v>
      </c>
      <c r="HG15" s="740">
        <v>1</v>
      </c>
      <c r="HH15" s="740">
        <v>1</v>
      </c>
      <c r="HI15" s="740">
        <v>1</v>
      </c>
      <c r="HJ15" s="741">
        <v>1</v>
      </c>
      <c r="HK15" s="738">
        <v>4</v>
      </c>
      <c r="HL15" s="738">
        <v>4</v>
      </c>
      <c r="HM15" s="739">
        <v>4</v>
      </c>
      <c r="HN15" s="740">
        <v>4</v>
      </c>
      <c r="HO15" s="740">
        <v>4</v>
      </c>
      <c r="HP15" s="740">
        <v>4</v>
      </c>
      <c r="HQ15" s="740">
        <v>4</v>
      </c>
      <c r="HR15" s="740">
        <v>4</v>
      </c>
      <c r="HS15" s="741">
        <v>3</v>
      </c>
      <c r="HT15" s="749">
        <f t="shared" si="0"/>
        <v>572</v>
      </c>
      <c r="HU15" s="749">
        <f t="shared" si="0"/>
        <v>610</v>
      </c>
      <c r="HV15" s="749">
        <f t="shared" si="1"/>
        <v>625</v>
      </c>
      <c r="HW15" s="749">
        <f t="shared" si="1"/>
        <v>641</v>
      </c>
      <c r="HX15" s="749">
        <f t="shared" si="2"/>
        <v>653</v>
      </c>
      <c r="HY15" s="749">
        <f t="shared" si="2"/>
        <v>685</v>
      </c>
      <c r="HZ15" s="749">
        <f t="shared" si="2"/>
        <v>689</v>
      </c>
      <c r="IA15" s="749">
        <v>684</v>
      </c>
      <c r="IB15" s="750">
        <v>625</v>
      </c>
      <c r="IC15" s="751">
        <v>1</v>
      </c>
      <c r="ID15" s="751">
        <v>3</v>
      </c>
      <c r="IE15" s="754">
        <v>3</v>
      </c>
      <c r="IF15" s="754">
        <v>4</v>
      </c>
      <c r="IG15" s="754">
        <v>4</v>
      </c>
      <c r="IH15" s="754">
        <v>5</v>
      </c>
      <c r="II15" s="754">
        <v>5</v>
      </c>
      <c r="IJ15" s="754">
        <v>5</v>
      </c>
      <c r="IK15" s="754">
        <v>5</v>
      </c>
      <c r="IL15" s="754">
        <v>7</v>
      </c>
      <c r="IM15" s="754">
        <v>7</v>
      </c>
      <c r="IN15" s="754">
        <v>9</v>
      </c>
      <c r="IO15" s="754">
        <v>12</v>
      </c>
      <c r="IP15" s="754">
        <v>12</v>
      </c>
      <c r="IQ15" s="754">
        <v>14</v>
      </c>
      <c r="IR15" s="754">
        <v>3</v>
      </c>
      <c r="IS15" s="754">
        <v>5</v>
      </c>
      <c r="IT15" s="754">
        <v>5</v>
      </c>
      <c r="IU15" s="754">
        <v>6</v>
      </c>
      <c r="IV15" s="754">
        <v>10</v>
      </c>
      <c r="IW15" s="754">
        <v>10</v>
      </c>
      <c r="IX15" s="754">
        <v>11</v>
      </c>
      <c r="IY15" s="754">
        <v>1</v>
      </c>
      <c r="IZ15" s="754">
        <v>1</v>
      </c>
      <c r="JA15" s="754">
        <v>2</v>
      </c>
      <c r="JB15" s="754">
        <v>2</v>
      </c>
      <c r="JC15" s="754">
        <v>2</v>
      </c>
      <c r="JD15" s="754">
        <v>2</v>
      </c>
      <c r="JE15" s="754">
        <v>5</v>
      </c>
      <c r="JF15" s="754">
        <v>5</v>
      </c>
      <c r="JG15" s="754">
        <v>7</v>
      </c>
      <c r="JH15" s="754">
        <v>3</v>
      </c>
      <c r="JI15" s="754">
        <v>3</v>
      </c>
      <c r="JJ15" s="754">
        <v>3</v>
      </c>
      <c r="JK15" s="754">
        <v>3</v>
      </c>
      <c r="JL15" s="754">
        <v>3</v>
      </c>
      <c r="JM15" s="754">
        <v>3</v>
      </c>
      <c r="JN15" s="754">
        <v>3</v>
      </c>
      <c r="JO15" s="754">
        <v>8</v>
      </c>
      <c r="JP15" s="754">
        <v>10</v>
      </c>
      <c r="JQ15" s="754">
        <v>0</v>
      </c>
      <c r="JR15" s="754">
        <v>23</v>
      </c>
      <c r="JS15" s="754">
        <v>24</v>
      </c>
      <c r="JT15" s="754">
        <v>25</v>
      </c>
      <c r="JU15" s="754">
        <v>32</v>
      </c>
      <c r="JV15" s="754">
        <v>36</v>
      </c>
      <c r="JW15" s="754">
        <v>38</v>
      </c>
      <c r="JX15" s="754">
        <v>46</v>
      </c>
      <c r="JY15" s="754">
        <v>63</v>
      </c>
      <c r="JZ15" s="754">
        <v>65</v>
      </c>
      <c r="KA15" s="752">
        <v>35</v>
      </c>
      <c r="KB15" s="752">
        <v>38</v>
      </c>
      <c r="KC15" s="752">
        <v>40</v>
      </c>
      <c r="KD15" s="752">
        <v>51</v>
      </c>
      <c r="KE15" s="752">
        <v>61</v>
      </c>
      <c r="KF15" s="752">
        <v>65</v>
      </c>
      <c r="KG15" s="752">
        <v>81</v>
      </c>
      <c r="KH15" s="752">
        <v>92</v>
      </c>
      <c r="KI15" s="752">
        <v>101</v>
      </c>
      <c r="KJ15" s="752">
        <v>607</v>
      </c>
      <c r="KK15" s="752">
        <v>648</v>
      </c>
      <c r="KL15" s="752">
        <v>665</v>
      </c>
      <c r="KM15" s="752">
        <v>692</v>
      </c>
      <c r="KN15" s="752">
        <v>714</v>
      </c>
      <c r="KO15" s="752">
        <v>750</v>
      </c>
      <c r="KP15" s="752">
        <v>770</v>
      </c>
      <c r="KQ15" s="752">
        <v>776</v>
      </c>
      <c r="KR15" s="755">
        <v>726</v>
      </c>
      <c r="KS15" s="808"/>
    </row>
    <row r="16" spans="1:305" s="737" customFormat="1" ht="12.75" x14ac:dyDescent="0.2">
      <c r="A16" s="720">
        <v>12</v>
      </c>
      <c r="B16" s="721" t="s">
        <v>154</v>
      </c>
      <c r="C16" s="738">
        <v>83</v>
      </c>
      <c r="D16" s="738">
        <v>85</v>
      </c>
      <c r="E16" s="739">
        <v>85</v>
      </c>
      <c r="F16" s="740">
        <v>85</v>
      </c>
      <c r="G16" s="740">
        <v>85</v>
      </c>
      <c r="H16" s="740">
        <v>85</v>
      </c>
      <c r="I16" s="740">
        <v>83</v>
      </c>
      <c r="J16" s="740">
        <v>83</v>
      </c>
      <c r="K16" s="741">
        <v>83</v>
      </c>
      <c r="L16" s="738">
        <v>124</v>
      </c>
      <c r="M16" s="738">
        <v>130</v>
      </c>
      <c r="N16" s="739">
        <v>134</v>
      </c>
      <c r="O16" s="740">
        <v>137</v>
      </c>
      <c r="P16" s="740">
        <v>137</v>
      </c>
      <c r="Q16" s="740">
        <v>141</v>
      </c>
      <c r="R16" s="740">
        <v>143</v>
      </c>
      <c r="S16" s="740">
        <v>146</v>
      </c>
      <c r="T16" s="741">
        <v>146</v>
      </c>
      <c r="U16" s="738">
        <v>96</v>
      </c>
      <c r="V16" s="738">
        <v>98</v>
      </c>
      <c r="W16" s="739">
        <v>98</v>
      </c>
      <c r="X16" s="740">
        <v>98</v>
      </c>
      <c r="Y16" s="742">
        <v>98</v>
      </c>
      <c r="Z16" s="742">
        <v>98</v>
      </c>
      <c r="AA16" s="742">
        <v>93</v>
      </c>
      <c r="AB16" s="742">
        <v>96</v>
      </c>
      <c r="AC16" s="743">
        <v>96</v>
      </c>
      <c r="AD16" s="738">
        <v>111</v>
      </c>
      <c r="AE16" s="738">
        <v>115</v>
      </c>
      <c r="AF16" s="739">
        <v>120</v>
      </c>
      <c r="AG16" s="740">
        <v>126</v>
      </c>
      <c r="AH16" s="740">
        <v>126</v>
      </c>
      <c r="AI16" s="740">
        <v>127</v>
      </c>
      <c r="AJ16" s="740">
        <v>127</v>
      </c>
      <c r="AK16" s="740">
        <v>127</v>
      </c>
      <c r="AL16" s="741">
        <v>115</v>
      </c>
      <c r="AM16" s="744">
        <v>0</v>
      </c>
      <c r="AN16" s="744">
        <v>0</v>
      </c>
      <c r="AO16" s="744">
        <v>0</v>
      </c>
      <c r="AP16" s="744">
        <v>0</v>
      </c>
      <c r="AQ16" s="745">
        <v>0</v>
      </c>
      <c r="AR16" s="738">
        <v>9</v>
      </c>
      <c r="AS16" s="738">
        <v>9</v>
      </c>
      <c r="AT16" s="739">
        <v>9</v>
      </c>
      <c r="AU16" s="739">
        <v>9</v>
      </c>
      <c r="AV16" s="739">
        <v>10</v>
      </c>
      <c r="AW16" s="739">
        <v>10</v>
      </c>
      <c r="AX16" s="739">
        <v>8</v>
      </c>
      <c r="AY16" s="739">
        <v>7</v>
      </c>
      <c r="AZ16" s="746">
        <v>7</v>
      </c>
      <c r="BA16" s="738">
        <v>2</v>
      </c>
      <c r="BB16" s="738">
        <v>3</v>
      </c>
      <c r="BC16" s="739">
        <v>6</v>
      </c>
      <c r="BD16" s="739">
        <v>5</v>
      </c>
      <c r="BE16" s="739">
        <v>5</v>
      </c>
      <c r="BF16" s="739">
        <v>5</v>
      </c>
      <c r="BG16" s="739">
        <v>6</v>
      </c>
      <c r="BH16" s="739">
        <v>6</v>
      </c>
      <c r="BI16" s="746">
        <v>0</v>
      </c>
      <c r="BJ16" s="738">
        <v>6</v>
      </c>
      <c r="BK16" s="738">
        <v>6</v>
      </c>
      <c r="BL16" s="739">
        <v>6</v>
      </c>
      <c r="BM16" s="747">
        <v>6</v>
      </c>
      <c r="BN16" s="747">
        <v>1</v>
      </c>
      <c r="BO16" s="747">
        <v>1</v>
      </c>
      <c r="BP16" s="747">
        <v>1</v>
      </c>
      <c r="BQ16" s="747">
        <v>1</v>
      </c>
      <c r="BR16" s="748">
        <v>1</v>
      </c>
      <c r="BS16" s="747">
        <v>0</v>
      </c>
      <c r="BT16" s="747">
        <v>0</v>
      </c>
      <c r="BU16" s="747">
        <v>0</v>
      </c>
      <c r="BV16" s="747">
        <v>0</v>
      </c>
      <c r="BW16" s="748">
        <v>0</v>
      </c>
      <c r="BX16" s="738">
        <v>6</v>
      </c>
      <c r="BY16" s="738">
        <v>6</v>
      </c>
      <c r="BZ16" s="739">
        <v>6</v>
      </c>
      <c r="CA16" s="747">
        <v>6</v>
      </c>
      <c r="CB16" s="747">
        <v>6</v>
      </c>
      <c r="CC16" s="747">
        <v>6</v>
      </c>
      <c r="CD16" s="747">
        <v>6</v>
      </c>
      <c r="CE16" s="747">
        <v>6</v>
      </c>
      <c r="CF16" s="748">
        <v>7</v>
      </c>
      <c r="CG16" s="747">
        <v>0</v>
      </c>
      <c r="CH16" s="747">
        <v>0</v>
      </c>
      <c r="CI16" s="747">
        <v>1</v>
      </c>
      <c r="CJ16" s="747">
        <v>1</v>
      </c>
      <c r="CK16" s="748">
        <v>2</v>
      </c>
      <c r="CL16" s="738">
        <v>8</v>
      </c>
      <c r="CM16" s="738">
        <v>8</v>
      </c>
      <c r="CN16" s="739">
        <v>8</v>
      </c>
      <c r="CO16" s="740">
        <v>8</v>
      </c>
      <c r="CP16" s="740">
        <v>8</v>
      </c>
      <c r="CQ16" s="740">
        <v>8</v>
      </c>
      <c r="CR16" s="740">
        <v>8</v>
      </c>
      <c r="CS16" s="740">
        <v>8</v>
      </c>
      <c r="CT16" s="741">
        <v>8</v>
      </c>
      <c r="CU16" s="738">
        <v>14</v>
      </c>
      <c r="CV16" s="738">
        <v>12</v>
      </c>
      <c r="CW16" s="739">
        <v>12</v>
      </c>
      <c r="CX16" s="740">
        <v>12</v>
      </c>
      <c r="CY16" s="740">
        <v>12</v>
      </c>
      <c r="CZ16" s="740">
        <v>12</v>
      </c>
      <c r="DA16" s="740">
        <v>12</v>
      </c>
      <c r="DB16" s="740">
        <v>11</v>
      </c>
      <c r="DC16" s="741">
        <v>11</v>
      </c>
      <c r="DD16" s="738">
        <v>1</v>
      </c>
      <c r="DE16" s="738">
        <v>1</v>
      </c>
      <c r="DF16" s="739">
        <v>2</v>
      </c>
      <c r="DG16" s="740">
        <v>2</v>
      </c>
      <c r="DH16" s="740">
        <v>2</v>
      </c>
      <c r="DI16" s="740">
        <v>6</v>
      </c>
      <c r="DJ16" s="740">
        <v>6</v>
      </c>
      <c r="DK16" s="740">
        <v>6</v>
      </c>
      <c r="DL16" s="741">
        <v>6</v>
      </c>
      <c r="DM16" s="739">
        <v>0</v>
      </c>
      <c r="DN16" s="739">
        <v>0</v>
      </c>
      <c r="DO16" s="739">
        <v>0</v>
      </c>
      <c r="DP16" s="739">
        <v>0</v>
      </c>
      <c r="DQ16" s="739">
        <v>1</v>
      </c>
      <c r="DR16" s="739">
        <v>1</v>
      </c>
      <c r="DS16" s="746">
        <v>1</v>
      </c>
      <c r="DT16" s="740">
        <v>0</v>
      </c>
      <c r="DU16" s="740">
        <v>1</v>
      </c>
      <c r="DV16" s="739">
        <v>1</v>
      </c>
      <c r="DW16" s="740">
        <v>2</v>
      </c>
      <c r="DX16" s="740">
        <v>3</v>
      </c>
      <c r="DY16" s="740">
        <v>3</v>
      </c>
      <c r="DZ16" s="740">
        <v>5</v>
      </c>
      <c r="EA16" s="740">
        <v>5</v>
      </c>
      <c r="EB16" s="741">
        <v>5</v>
      </c>
      <c r="EC16" s="740">
        <v>2</v>
      </c>
      <c r="ED16" s="740">
        <v>2</v>
      </c>
      <c r="EE16" s="739">
        <v>2</v>
      </c>
      <c r="EF16" s="740">
        <v>2</v>
      </c>
      <c r="EG16" s="740">
        <v>6</v>
      </c>
      <c r="EH16" s="740">
        <v>10</v>
      </c>
      <c r="EI16" s="740">
        <v>10</v>
      </c>
      <c r="EJ16" s="740">
        <v>7</v>
      </c>
      <c r="EK16" s="741">
        <v>6</v>
      </c>
      <c r="EL16" s="747">
        <v>0</v>
      </c>
      <c r="EM16" s="747">
        <v>0</v>
      </c>
      <c r="EN16" s="747">
        <v>0</v>
      </c>
      <c r="EO16" s="747">
        <v>0</v>
      </c>
      <c r="EP16" s="747">
        <v>0</v>
      </c>
      <c r="EQ16" s="738">
        <v>0</v>
      </c>
      <c r="ER16" s="738">
        <v>0</v>
      </c>
      <c r="ES16" s="739">
        <v>0</v>
      </c>
      <c r="ET16" s="740">
        <v>0</v>
      </c>
      <c r="EU16" s="740">
        <v>0</v>
      </c>
      <c r="EV16" s="740">
        <v>0</v>
      </c>
      <c r="EW16" s="740">
        <v>0</v>
      </c>
      <c r="EX16" s="740">
        <v>0</v>
      </c>
      <c r="EY16" s="741">
        <v>0</v>
      </c>
      <c r="EZ16" s="738">
        <v>12</v>
      </c>
      <c r="FA16" s="738">
        <v>12</v>
      </c>
      <c r="FB16" s="739">
        <v>12</v>
      </c>
      <c r="FC16" s="740">
        <v>12</v>
      </c>
      <c r="FD16" s="740">
        <v>12</v>
      </c>
      <c r="FE16" s="740">
        <v>12</v>
      </c>
      <c r="FF16" s="740">
        <v>12</v>
      </c>
      <c r="FG16" s="740">
        <v>12</v>
      </c>
      <c r="FH16" s="741">
        <v>11</v>
      </c>
      <c r="FI16" s="738">
        <v>8</v>
      </c>
      <c r="FJ16" s="738">
        <v>8</v>
      </c>
      <c r="FK16" s="739">
        <v>8</v>
      </c>
      <c r="FL16" s="740">
        <v>8</v>
      </c>
      <c r="FM16" s="740">
        <v>8</v>
      </c>
      <c r="FN16" s="740">
        <v>8</v>
      </c>
      <c r="FO16" s="740">
        <v>8</v>
      </c>
      <c r="FP16" s="740">
        <v>8</v>
      </c>
      <c r="FQ16" s="741">
        <v>8</v>
      </c>
      <c r="FR16" s="738">
        <v>3</v>
      </c>
      <c r="FS16" s="738">
        <v>4</v>
      </c>
      <c r="FT16" s="739">
        <v>4</v>
      </c>
      <c r="FU16" s="740">
        <v>4</v>
      </c>
      <c r="FV16" s="740">
        <v>4</v>
      </c>
      <c r="FW16" s="740">
        <v>4</v>
      </c>
      <c r="FX16" s="740">
        <v>4</v>
      </c>
      <c r="FY16" s="740">
        <v>6</v>
      </c>
      <c r="FZ16" s="741">
        <v>6</v>
      </c>
      <c r="GA16" s="738">
        <v>4</v>
      </c>
      <c r="GB16" s="738">
        <v>5</v>
      </c>
      <c r="GC16" s="739">
        <v>5</v>
      </c>
      <c r="GD16" s="740">
        <v>4</v>
      </c>
      <c r="GE16" s="740">
        <v>4</v>
      </c>
      <c r="GF16" s="740">
        <v>4</v>
      </c>
      <c r="GG16" s="740">
        <v>4</v>
      </c>
      <c r="GH16" s="740">
        <v>4</v>
      </c>
      <c r="GI16" s="741">
        <v>4</v>
      </c>
      <c r="GJ16" s="738">
        <v>3</v>
      </c>
      <c r="GK16" s="738">
        <v>4</v>
      </c>
      <c r="GL16" s="739">
        <v>4</v>
      </c>
      <c r="GM16" s="740">
        <v>5</v>
      </c>
      <c r="GN16" s="740">
        <v>5</v>
      </c>
      <c r="GO16" s="740">
        <v>7</v>
      </c>
      <c r="GP16" s="740">
        <v>6</v>
      </c>
      <c r="GQ16" s="740">
        <v>6</v>
      </c>
      <c r="GR16" s="741">
        <v>6</v>
      </c>
      <c r="GS16" s="740">
        <v>2</v>
      </c>
      <c r="GT16" s="740">
        <v>2</v>
      </c>
      <c r="GU16" s="739">
        <v>3</v>
      </c>
      <c r="GV16" s="740">
        <v>3</v>
      </c>
      <c r="GW16" s="740">
        <v>3</v>
      </c>
      <c r="GX16" s="740">
        <v>3</v>
      </c>
      <c r="GY16" s="740">
        <v>3</v>
      </c>
      <c r="GZ16" s="740">
        <v>3</v>
      </c>
      <c r="HA16" s="741">
        <v>3</v>
      </c>
      <c r="HB16" s="738">
        <v>1</v>
      </c>
      <c r="HC16" s="738">
        <v>1</v>
      </c>
      <c r="HD16" s="739">
        <v>1</v>
      </c>
      <c r="HE16" s="740">
        <v>1</v>
      </c>
      <c r="HF16" s="740">
        <v>1</v>
      </c>
      <c r="HG16" s="740">
        <v>1</v>
      </c>
      <c r="HH16" s="740">
        <v>1</v>
      </c>
      <c r="HI16" s="740">
        <v>1</v>
      </c>
      <c r="HJ16" s="741">
        <v>1</v>
      </c>
      <c r="HK16" s="738">
        <v>1</v>
      </c>
      <c r="HL16" s="738">
        <v>2</v>
      </c>
      <c r="HM16" s="739">
        <v>2</v>
      </c>
      <c r="HN16" s="740">
        <v>2</v>
      </c>
      <c r="HO16" s="740">
        <v>2</v>
      </c>
      <c r="HP16" s="740">
        <v>2</v>
      </c>
      <c r="HQ16" s="740">
        <v>2</v>
      </c>
      <c r="HR16" s="740">
        <v>2</v>
      </c>
      <c r="HS16" s="741">
        <v>2</v>
      </c>
      <c r="HT16" s="749">
        <f t="shared" si="0"/>
        <v>496</v>
      </c>
      <c r="HU16" s="749">
        <f t="shared" si="0"/>
        <v>514</v>
      </c>
      <c r="HV16" s="749">
        <f t="shared" si="1"/>
        <v>528</v>
      </c>
      <c r="HW16" s="749">
        <f t="shared" si="1"/>
        <v>537</v>
      </c>
      <c r="HX16" s="749">
        <f t="shared" si="2"/>
        <v>538</v>
      </c>
      <c r="HY16" s="749">
        <f t="shared" si="2"/>
        <v>553</v>
      </c>
      <c r="HZ16" s="749">
        <f t="shared" si="2"/>
        <v>550</v>
      </c>
      <c r="IA16" s="749">
        <v>553</v>
      </c>
      <c r="IB16" s="750">
        <v>535</v>
      </c>
      <c r="IC16" s="751">
        <v>0</v>
      </c>
      <c r="ID16" s="751">
        <v>0</v>
      </c>
      <c r="IE16" s="754">
        <v>0</v>
      </c>
      <c r="IF16" s="754">
        <v>1</v>
      </c>
      <c r="IG16" s="754">
        <v>1</v>
      </c>
      <c r="IH16" s="754">
        <v>3</v>
      </c>
      <c r="II16" s="754">
        <v>1</v>
      </c>
      <c r="IJ16" s="754">
        <v>1</v>
      </c>
      <c r="IK16" s="754">
        <v>1</v>
      </c>
      <c r="IL16" s="754">
        <v>1</v>
      </c>
      <c r="IM16" s="754">
        <v>1</v>
      </c>
      <c r="IN16" s="754">
        <v>1</v>
      </c>
      <c r="IO16" s="754">
        <v>3</v>
      </c>
      <c r="IP16" s="754">
        <v>3</v>
      </c>
      <c r="IQ16" s="754">
        <v>4</v>
      </c>
      <c r="IR16" s="754">
        <v>2</v>
      </c>
      <c r="IS16" s="754">
        <v>2</v>
      </c>
      <c r="IT16" s="754">
        <v>3</v>
      </c>
      <c r="IU16" s="754">
        <v>6</v>
      </c>
      <c r="IV16" s="754">
        <v>7</v>
      </c>
      <c r="IW16" s="754">
        <v>7</v>
      </c>
      <c r="IX16" s="754">
        <v>7</v>
      </c>
      <c r="IY16" s="754">
        <v>0</v>
      </c>
      <c r="IZ16" s="754">
        <v>1</v>
      </c>
      <c r="JA16" s="754">
        <v>1</v>
      </c>
      <c r="JB16" s="754">
        <v>1</v>
      </c>
      <c r="JC16" s="754">
        <v>1</v>
      </c>
      <c r="JD16" s="754">
        <v>1</v>
      </c>
      <c r="JE16" s="754">
        <v>3</v>
      </c>
      <c r="JF16" s="754">
        <v>3</v>
      </c>
      <c r="JG16" s="754">
        <v>6</v>
      </c>
      <c r="JH16" s="754">
        <v>1</v>
      </c>
      <c r="JI16" s="754">
        <v>1</v>
      </c>
      <c r="JJ16" s="754">
        <v>1</v>
      </c>
      <c r="JK16" s="754">
        <v>1</v>
      </c>
      <c r="JL16" s="754">
        <v>1</v>
      </c>
      <c r="JM16" s="754">
        <v>1</v>
      </c>
      <c r="JN16" s="754">
        <v>1</v>
      </c>
      <c r="JO16" s="754">
        <v>3</v>
      </c>
      <c r="JP16" s="754">
        <v>3</v>
      </c>
      <c r="JQ16" s="754">
        <v>0</v>
      </c>
      <c r="JR16" s="754">
        <v>36</v>
      </c>
      <c r="JS16" s="754">
        <v>42</v>
      </c>
      <c r="JT16" s="754">
        <v>50</v>
      </c>
      <c r="JU16" s="754">
        <v>58</v>
      </c>
      <c r="JV16" s="754">
        <v>63</v>
      </c>
      <c r="JW16" s="754">
        <v>63</v>
      </c>
      <c r="JX16" s="754">
        <v>63</v>
      </c>
      <c r="JY16" s="754">
        <v>60</v>
      </c>
      <c r="JZ16" s="754">
        <v>60</v>
      </c>
      <c r="KA16" s="752">
        <v>40</v>
      </c>
      <c r="KB16" s="752">
        <v>47</v>
      </c>
      <c r="KC16" s="752">
        <v>56</v>
      </c>
      <c r="KD16" s="752">
        <v>67</v>
      </c>
      <c r="KE16" s="752">
        <v>73</v>
      </c>
      <c r="KF16" s="752">
        <v>73</v>
      </c>
      <c r="KG16" s="752">
        <v>78</v>
      </c>
      <c r="KH16" s="752">
        <v>70</v>
      </c>
      <c r="KI16" s="752">
        <v>76</v>
      </c>
      <c r="KJ16" s="752">
        <v>536</v>
      </c>
      <c r="KK16" s="752">
        <v>561</v>
      </c>
      <c r="KL16" s="752">
        <v>584</v>
      </c>
      <c r="KM16" s="752">
        <v>604</v>
      </c>
      <c r="KN16" s="752">
        <v>611</v>
      </c>
      <c r="KO16" s="752">
        <v>626</v>
      </c>
      <c r="KP16" s="752">
        <v>628</v>
      </c>
      <c r="KQ16" s="752">
        <v>623</v>
      </c>
      <c r="KR16" s="755">
        <v>611</v>
      </c>
      <c r="KS16" s="808"/>
    </row>
    <row r="17" spans="1:305" s="737" customFormat="1" ht="12.75" x14ac:dyDescent="0.2">
      <c r="A17" s="720">
        <v>13</v>
      </c>
      <c r="B17" s="721" t="s">
        <v>155</v>
      </c>
      <c r="C17" s="738">
        <v>99</v>
      </c>
      <c r="D17" s="738">
        <v>99</v>
      </c>
      <c r="E17" s="739">
        <v>99</v>
      </c>
      <c r="F17" s="740">
        <v>101</v>
      </c>
      <c r="G17" s="740">
        <v>75</v>
      </c>
      <c r="H17" s="740">
        <v>59</v>
      </c>
      <c r="I17" s="740">
        <v>44</v>
      </c>
      <c r="J17" s="740">
        <v>44</v>
      </c>
      <c r="K17" s="741">
        <v>41</v>
      </c>
      <c r="L17" s="738">
        <v>113</v>
      </c>
      <c r="M17" s="738">
        <v>124</v>
      </c>
      <c r="N17" s="739">
        <v>125</v>
      </c>
      <c r="O17" s="740">
        <v>126</v>
      </c>
      <c r="P17" s="740">
        <v>109</v>
      </c>
      <c r="Q17" s="740">
        <v>99</v>
      </c>
      <c r="R17" s="740">
        <v>92</v>
      </c>
      <c r="S17" s="740">
        <v>89</v>
      </c>
      <c r="T17" s="741">
        <v>89</v>
      </c>
      <c r="U17" s="738">
        <v>107</v>
      </c>
      <c r="V17" s="738">
        <v>109</v>
      </c>
      <c r="W17" s="739">
        <v>111</v>
      </c>
      <c r="X17" s="740">
        <v>111</v>
      </c>
      <c r="Y17" s="742">
        <v>111</v>
      </c>
      <c r="Z17" s="742">
        <v>111</v>
      </c>
      <c r="AA17" s="742">
        <v>82</v>
      </c>
      <c r="AB17" s="742">
        <v>77</v>
      </c>
      <c r="AC17" s="743">
        <v>77</v>
      </c>
      <c r="AD17" s="738">
        <v>69</v>
      </c>
      <c r="AE17" s="738">
        <v>80</v>
      </c>
      <c r="AF17" s="739">
        <v>87</v>
      </c>
      <c r="AG17" s="740">
        <v>90</v>
      </c>
      <c r="AH17" s="740">
        <v>91</v>
      </c>
      <c r="AI17" s="740">
        <v>84</v>
      </c>
      <c r="AJ17" s="740">
        <v>83</v>
      </c>
      <c r="AK17" s="740">
        <v>79</v>
      </c>
      <c r="AL17" s="741">
        <v>68</v>
      </c>
      <c r="AM17" s="744">
        <v>0</v>
      </c>
      <c r="AN17" s="744">
        <v>0</v>
      </c>
      <c r="AO17" s="744">
        <v>0</v>
      </c>
      <c r="AP17" s="744">
        <v>0</v>
      </c>
      <c r="AQ17" s="745">
        <v>0</v>
      </c>
      <c r="AR17" s="738">
        <v>5</v>
      </c>
      <c r="AS17" s="738">
        <v>5</v>
      </c>
      <c r="AT17" s="739">
        <v>4</v>
      </c>
      <c r="AU17" s="739">
        <v>4</v>
      </c>
      <c r="AV17" s="739">
        <v>3</v>
      </c>
      <c r="AW17" s="739">
        <v>3</v>
      </c>
      <c r="AX17" s="739">
        <v>3</v>
      </c>
      <c r="AY17" s="739">
        <v>3</v>
      </c>
      <c r="AZ17" s="746">
        <v>3</v>
      </c>
      <c r="BA17" s="738">
        <v>2</v>
      </c>
      <c r="BB17" s="738">
        <v>3</v>
      </c>
      <c r="BC17" s="739">
        <v>3</v>
      </c>
      <c r="BD17" s="739">
        <v>3</v>
      </c>
      <c r="BE17" s="739">
        <v>4</v>
      </c>
      <c r="BF17" s="739">
        <v>4</v>
      </c>
      <c r="BG17" s="739">
        <v>5</v>
      </c>
      <c r="BH17" s="739">
        <v>5</v>
      </c>
      <c r="BI17" s="746">
        <v>0</v>
      </c>
      <c r="BJ17" s="738">
        <v>4</v>
      </c>
      <c r="BK17" s="738">
        <v>4</v>
      </c>
      <c r="BL17" s="739">
        <v>4</v>
      </c>
      <c r="BM17" s="747">
        <v>4</v>
      </c>
      <c r="BN17" s="747">
        <v>1</v>
      </c>
      <c r="BO17" s="747">
        <v>3</v>
      </c>
      <c r="BP17" s="747">
        <v>3</v>
      </c>
      <c r="BQ17" s="747">
        <v>3</v>
      </c>
      <c r="BR17" s="748">
        <v>3</v>
      </c>
      <c r="BS17" s="747">
        <v>0</v>
      </c>
      <c r="BT17" s="747">
        <v>0</v>
      </c>
      <c r="BU17" s="747">
        <v>0</v>
      </c>
      <c r="BV17" s="747">
        <v>0</v>
      </c>
      <c r="BW17" s="748">
        <v>0</v>
      </c>
      <c r="BX17" s="738">
        <v>5</v>
      </c>
      <c r="BY17" s="738">
        <v>6</v>
      </c>
      <c r="BZ17" s="739">
        <v>6</v>
      </c>
      <c r="CA17" s="747">
        <v>3</v>
      </c>
      <c r="CB17" s="747">
        <v>3</v>
      </c>
      <c r="CC17" s="747">
        <v>4</v>
      </c>
      <c r="CD17" s="747">
        <v>4</v>
      </c>
      <c r="CE17" s="747">
        <v>4</v>
      </c>
      <c r="CF17" s="748">
        <v>5</v>
      </c>
      <c r="CG17" s="747">
        <v>0</v>
      </c>
      <c r="CH17" s="747">
        <v>0</v>
      </c>
      <c r="CI17" s="747">
        <v>0</v>
      </c>
      <c r="CJ17" s="747">
        <v>0</v>
      </c>
      <c r="CK17" s="748">
        <v>1</v>
      </c>
      <c r="CL17" s="738">
        <v>3</v>
      </c>
      <c r="CM17" s="738">
        <v>3</v>
      </c>
      <c r="CN17" s="739">
        <v>3</v>
      </c>
      <c r="CO17" s="740">
        <v>3</v>
      </c>
      <c r="CP17" s="740">
        <v>3</v>
      </c>
      <c r="CQ17" s="740">
        <v>3</v>
      </c>
      <c r="CR17" s="740">
        <v>3</v>
      </c>
      <c r="CS17" s="740">
        <v>9</v>
      </c>
      <c r="CT17" s="741">
        <v>9</v>
      </c>
      <c r="CU17" s="738">
        <v>11</v>
      </c>
      <c r="CV17" s="738">
        <v>9</v>
      </c>
      <c r="CW17" s="739">
        <v>9</v>
      </c>
      <c r="CX17" s="740">
        <v>10</v>
      </c>
      <c r="CY17" s="740">
        <v>12</v>
      </c>
      <c r="CZ17" s="740">
        <v>13</v>
      </c>
      <c r="DA17" s="740">
        <v>13</v>
      </c>
      <c r="DB17" s="740">
        <v>13</v>
      </c>
      <c r="DC17" s="741">
        <v>13</v>
      </c>
      <c r="DD17" s="738">
        <v>3</v>
      </c>
      <c r="DE17" s="738">
        <v>4</v>
      </c>
      <c r="DF17" s="739">
        <v>4</v>
      </c>
      <c r="DG17" s="740">
        <v>4</v>
      </c>
      <c r="DH17" s="740">
        <v>4</v>
      </c>
      <c r="DI17" s="740">
        <v>27</v>
      </c>
      <c r="DJ17" s="740">
        <v>28</v>
      </c>
      <c r="DK17" s="740">
        <v>28</v>
      </c>
      <c r="DL17" s="741">
        <v>28</v>
      </c>
      <c r="DM17" s="739">
        <v>0</v>
      </c>
      <c r="DN17" s="739">
        <v>1</v>
      </c>
      <c r="DO17" s="739">
        <v>1</v>
      </c>
      <c r="DP17" s="739">
        <v>1</v>
      </c>
      <c r="DQ17" s="739">
        <v>1</v>
      </c>
      <c r="DR17" s="739">
        <v>1</v>
      </c>
      <c r="DS17" s="746">
        <v>1</v>
      </c>
      <c r="DT17" s="740">
        <v>0</v>
      </c>
      <c r="DU17" s="740">
        <v>0</v>
      </c>
      <c r="DV17" s="739">
        <v>0</v>
      </c>
      <c r="DW17" s="740">
        <v>2</v>
      </c>
      <c r="DX17" s="740">
        <v>2</v>
      </c>
      <c r="DY17" s="740">
        <v>2</v>
      </c>
      <c r="DZ17" s="740">
        <v>2</v>
      </c>
      <c r="EA17" s="740">
        <v>2</v>
      </c>
      <c r="EB17" s="741">
        <v>2</v>
      </c>
      <c r="EC17" s="740">
        <v>7</v>
      </c>
      <c r="ED17" s="740">
        <v>7</v>
      </c>
      <c r="EE17" s="739">
        <v>7</v>
      </c>
      <c r="EF17" s="740">
        <v>7</v>
      </c>
      <c r="EG17" s="740">
        <v>9</v>
      </c>
      <c r="EH17" s="740">
        <v>11</v>
      </c>
      <c r="EI17" s="740">
        <v>11</v>
      </c>
      <c r="EJ17" s="740">
        <v>9</v>
      </c>
      <c r="EK17" s="741">
        <v>4</v>
      </c>
      <c r="EL17" s="747">
        <v>0</v>
      </c>
      <c r="EM17" s="747">
        <v>0</v>
      </c>
      <c r="EN17" s="747">
        <v>0</v>
      </c>
      <c r="EO17" s="747">
        <v>0</v>
      </c>
      <c r="EP17" s="747">
        <v>0</v>
      </c>
      <c r="EQ17" s="738">
        <v>0</v>
      </c>
      <c r="ER17" s="738">
        <v>0</v>
      </c>
      <c r="ES17" s="739">
        <v>0</v>
      </c>
      <c r="ET17" s="740">
        <v>0</v>
      </c>
      <c r="EU17" s="740">
        <v>0</v>
      </c>
      <c r="EV17" s="740">
        <v>0</v>
      </c>
      <c r="EW17" s="740">
        <v>0</v>
      </c>
      <c r="EX17" s="740">
        <v>0</v>
      </c>
      <c r="EY17" s="741">
        <v>0</v>
      </c>
      <c r="EZ17" s="738">
        <v>5</v>
      </c>
      <c r="FA17" s="738">
        <v>5</v>
      </c>
      <c r="FB17" s="739">
        <v>5</v>
      </c>
      <c r="FC17" s="740">
        <v>3</v>
      </c>
      <c r="FD17" s="740">
        <v>3</v>
      </c>
      <c r="FE17" s="740">
        <v>3</v>
      </c>
      <c r="FF17" s="740">
        <v>3</v>
      </c>
      <c r="FG17" s="740">
        <v>2</v>
      </c>
      <c r="FH17" s="741">
        <v>1</v>
      </c>
      <c r="FI17" s="738">
        <v>3</v>
      </c>
      <c r="FJ17" s="738">
        <v>4</v>
      </c>
      <c r="FK17" s="739">
        <v>4</v>
      </c>
      <c r="FL17" s="740">
        <v>4</v>
      </c>
      <c r="FM17" s="740">
        <v>4</v>
      </c>
      <c r="FN17" s="740">
        <v>4</v>
      </c>
      <c r="FO17" s="740">
        <v>4</v>
      </c>
      <c r="FP17" s="740">
        <v>4</v>
      </c>
      <c r="FQ17" s="741">
        <v>3</v>
      </c>
      <c r="FR17" s="738">
        <v>4</v>
      </c>
      <c r="FS17" s="738">
        <v>4</v>
      </c>
      <c r="FT17" s="739">
        <v>5</v>
      </c>
      <c r="FU17" s="740">
        <v>5</v>
      </c>
      <c r="FV17" s="740">
        <v>5</v>
      </c>
      <c r="FW17" s="740">
        <v>5</v>
      </c>
      <c r="FX17" s="740">
        <v>7</v>
      </c>
      <c r="FY17" s="740">
        <v>7</v>
      </c>
      <c r="FZ17" s="741">
        <v>7</v>
      </c>
      <c r="GA17" s="738">
        <v>3</v>
      </c>
      <c r="GB17" s="738">
        <v>4</v>
      </c>
      <c r="GC17" s="739">
        <v>4</v>
      </c>
      <c r="GD17" s="740">
        <v>4</v>
      </c>
      <c r="GE17" s="740">
        <v>4</v>
      </c>
      <c r="GF17" s="740">
        <v>4</v>
      </c>
      <c r="GG17" s="740">
        <v>4</v>
      </c>
      <c r="GH17" s="740">
        <v>4</v>
      </c>
      <c r="GI17" s="741">
        <v>4</v>
      </c>
      <c r="GJ17" s="738">
        <v>2</v>
      </c>
      <c r="GK17" s="738">
        <v>2</v>
      </c>
      <c r="GL17" s="739">
        <v>2</v>
      </c>
      <c r="GM17" s="740">
        <v>5</v>
      </c>
      <c r="GN17" s="740">
        <v>5</v>
      </c>
      <c r="GO17" s="740">
        <v>5</v>
      </c>
      <c r="GP17" s="740">
        <v>5</v>
      </c>
      <c r="GQ17" s="740">
        <v>4</v>
      </c>
      <c r="GR17" s="741">
        <v>4</v>
      </c>
      <c r="GS17" s="740">
        <v>4</v>
      </c>
      <c r="GT17" s="740">
        <v>4</v>
      </c>
      <c r="GU17" s="739">
        <v>5</v>
      </c>
      <c r="GV17" s="740">
        <v>5</v>
      </c>
      <c r="GW17" s="740">
        <v>5</v>
      </c>
      <c r="GX17" s="740">
        <v>5</v>
      </c>
      <c r="GY17" s="740">
        <v>5</v>
      </c>
      <c r="GZ17" s="740">
        <v>5</v>
      </c>
      <c r="HA17" s="741">
        <v>5</v>
      </c>
      <c r="HB17" s="738">
        <v>1</v>
      </c>
      <c r="HC17" s="738">
        <v>1</v>
      </c>
      <c r="HD17" s="739">
        <v>1</v>
      </c>
      <c r="HE17" s="740">
        <v>1</v>
      </c>
      <c r="HF17" s="740">
        <v>1</v>
      </c>
      <c r="HG17" s="740">
        <v>1</v>
      </c>
      <c r="HH17" s="740">
        <v>1</v>
      </c>
      <c r="HI17" s="740">
        <v>1</v>
      </c>
      <c r="HJ17" s="741">
        <v>1</v>
      </c>
      <c r="HK17" s="738">
        <v>1</v>
      </c>
      <c r="HL17" s="738">
        <v>1</v>
      </c>
      <c r="HM17" s="739">
        <v>1</v>
      </c>
      <c r="HN17" s="740">
        <v>1</v>
      </c>
      <c r="HO17" s="740">
        <v>1</v>
      </c>
      <c r="HP17" s="740">
        <v>1</v>
      </c>
      <c r="HQ17" s="740">
        <v>1</v>
      </c>
      <c r="HR17" s="740">
        <v>1</v>
      </c>
      <c r="HS17" s="741">
        <v>1</v>
      </c>
      <c r="HT17" s="749">
        <f t="shared" si="0"/>
        <v>451</v>
      </c>
      <c r="HU17" s="749">
        <f t="shared" si="0"/>
        <v>478</v>
      </c>
      <c r="HV17" s="749">
        <f t="shared" si="1"/>
        <v>489</v>
      </c>
      <c r="HW17" s="749">
        <f t="shared" si="1"/>
        <v>497</v>
      </c>
      <c r="HX17" s="749">
        <f t="shared" si="2"/>
        <v>456</v>
      </c>
      <c r="HY17" s="749">
        <f t="shared" si="2"/>
        <v>452</v>
      </c>
      <c r="HZ17" s="749">
        <f t="shared" si="2"/>
        <v>404</v>
      </c>
      <c r="IA17" s="749">
        <v>394</v>
      </c>
      <c r="IB17" s="750">
        <v>370</v>
      </c>
      <c r="IC17" s="751">
        <v>0</v>
      </c>
      <c r="ID17" s="751">
        <v>2</v>
      </c>
      <c r="IE17" s="754">
        <v>2</v>
      </c>
      <c r="IF17" s="754">
        <v>3</v>
      </c>
      <c r="IG17" s="754">
        <v>4</v>
      </c>
      <c r="IH17" s="754">
        <v>5</v>
      </c>
      <c r="II17" s="754">
        <v>1</v>
      </c>
      <c r="IJ17" s="754">
        <v>1</v>
      </c>
      <c r="IK17" s="754">
        <v>2</v>
      </c>
      <c r="IL17" s="754">
        <v>2</v>
      </c>
      <c r="IM17" s="754">
        <v>3</v>
      </c>
      <c r="IN17" s="754">
        <v>6</v>
      </c>
      <c r="IO17" s="754">
        <v>7</v>
      </c>
      <c r="IP17" s="754">
        <v>7</v>
      </c>
      <c r="IQ17" s="754">
        <v>9</v>
      </c>
      <c r="IR17" s="754">
        <v>2</v>
      </c>
      <c r="IS17" s="754">
        <v>2</v>
      </c>
      <c r="IT17" s="754">
        <v>4</v>
      </c>
      <c r="IU17" s="754">
        <v>4</v>
      </c>
      <c r="IV17" s="754">
        <v>6</v>
      </c>
      <c r="IW17" s="754">
        <v>8</v>
      </c>
      <c r="IX17" s="754">
        <v>9</v>
      </c>
      <c r="IY17" s="754">
        <v>0</v>
      </c>
      <c r="IZ17" s="754">
        <v>0</v>
      </c>
      <c r="JA17" s="754">
        <v>0</v>
      </c>
      <c r="JB17" s="754">
        <v>0</v>
      </c>
      <c r="JC17" s="754">
        <v>0</v>
      </c>
      <c r="JD17" s="754">
        <v>0</v>
      </c>
      <c r="JE17" s="754">
        <v>2</v>
      </c>
      <c r="JF17" s="754">
        <v>2</v>
      </c>
      <c r="JG17" s="754">
        <v>4</v>
      </c>
      <c r="JH17" s="754">
        <v>0</v>
      </c>
      <c r="JI17" s="754">
        <v>0</v>
      </c>
      <c r="JJ17" s="754">
        <v>0</v>
      </c>
      <c r="JK17" s="754">
        <v>0</v>
      </c>
      <c r="JL17" s="754">
        <v>0</v>
      </c>
      <c r="JM17" s="754">
        <v>0</v>
      </c>
      <c r="JN17" s="754">
        <v>4</v>
      </c>
      <c r="JO17" s="754">
        <v>6</v>
      </c>
      <c r="JP17" s="754">
        <v>6</v>
      </c>
      <c r="JQ17" s="754">
        <v>0</v>
      </c>
      <c r="JR17" s="754">
        <v>15</v>
      </c>
      <c r="JS17" s="754">
        <v>15</v>
      </c>
      <c r="JT17" s="754">
        <v>15</v>
      </c>
      <c r="JU17" s="754">
        <v>15</v>
      </c>
      <c r="JV17" s="754">
        <v>20</v>
      </c>
      <c r="JW17" s="754">
        <v>20</v>
      </c>
      <c r="JX17" s="754">
        <v>21</v>
      </c>
      <c r="JY17" s="754">
        <v>29</v>
      </c>
      <c r="JZ17" s="754">
        <v>30</v>
      </c>
      <c r="KA17" s="752">
        <v>18</v>
      </c>
      <c r="KB17" s="752">
        <v>18</v>
      </c>
      <c r="KC17" s="752">
        <v>21</v>
      </c>
      <c r="KD17" s="752">
        <v>21</v>
      </c>
      <c r="KE17" s="752">
        <v>31</v>
      </c>
      <c r="KF17" s="752">
        <v>36</v>
      </c>
      <c r="KG17" s="752">
        <v>46</v>
      </c>
      <c r="KH17" s="752">
        <v>48</v>
      </c>
      <c r="KI17" s="752">
        <v>54</v>
      </c>
      <c r="KJ17" s="752">
        <v>469</v>
      </c>
      <c r="KK17" s="752">
        <v>496</v>
      </c>
      <c r="KL17" s="752">
        <v>510</v>
      </c>
      <c r="KM17" s="752">
        <v>518</v>
      </c>
      <c r="KN17" s="752">
        <v>487</v>
      </c>
      <c r="KO17" s="752">
        <v>488</v>
      </c>
      <c r="KP17" s="752">
        <v>450</v>
      </c>
      <c r="KQ17" s="752">
        <v>442</v>
      </c>
      <c r="KR17" s="755">
        <v>424</v>
      </c>
      <c r="KS17" s="808"/>
    </row>
    <row r="18" spans="1:305" s="737" customFormat="1" ht="12.75" x14ac:dyDescent="0.2">
      <c r="A18" s="720">
        <v>14</v>
      </c>
      <c r="B18" s="721" t="s">
        <v>156</v>
      </c>
      <c r="C18" s="738">
        <v>179</v>
      </c>
      <c r="D18" s="738">
        <v>179</v>
      </c>
      <c r="E18" s="739">
        <v>180</v>
      </c>
      <c r="F18" s="740">
        <v>180</v>
      </c>
      <c r="G18" s="740">
        <v>152</v>
      </c>
      <c r="H18" s="740">
        <v>160</v>
      </c>
      <c r="I18" s="740">
        <v>147</v>
      </c>
      <c r="J18" s="740">
        <v>146</v>
      </c>
      <c r="K18" s="741">
        <v>136</v>
      </c>
      <c r="L18" s="738">
        <v>268</v>
      </c>
      <c r="M18" s="738">
        <v>296</v>
      </c>
      <c r="N18" s="739">
        <v>321</v>
      </c>
      <c r="O18" s="740">
        <v>341</v>
      </c>
      <c r="P18" s="740">
        <v>350</v>
      </c>
      <c r="Q18" s="740">
        <v>351</v>
      </c>
      <c r="R18" s="740">
        <v>347</v>
      </c>
      <c r="S18" s="740">
        <v>336</v>
      </c>
      <c r="T18" s="741">
        <v>328</v>
      </c>
      <c r="U18" s="738">
        <v>142</v>
      </c>
      <c r="V18" s="738">
        <v>147</v>
      </c>
      <c r="W18" s="739">
        <v>148</v>
      </c>
      <c r="X18" s="740">
        <v>149</v>
      </c>
      <c r="Y18" s="742">
        <v>149</v>
      </c>
      <c r="Z18" s="742">
        <v>145</v>
      </c>
      <c r="AA18" s="742">
        <v>132</v>
      </c>
      <c r="AB18" s="742">
        <v>137</v>
      </c>
      <c r="AC18" s="743">
        <v>129</v>
      </c>
      <c r="AD18" s="738">
        <v>179</v>
      </c>
      <c r="AE18" s="738">
        <v>189</v>
      </c>
      <c r="AF18" s="739">
        <v>194</v>
      </c>
      <c r="AG18" s="740">
        <v>197</v>
      </c>
      <c r="AH18" s="740">
        <v>198</v>
      </c>
      <c r="AI18" s="740">
        <v>193</v>
      </c>
      <c r="AJ18" s="740">
        <v>190</v>
      </c>
      <c r="AK18" s="740">
        <v>188</v>
      </c>
      <c r="AL18" s="741">
        <v>159</v>
      </c>
      <c r="AM18" s="744">
        <v>1</v>
      </c>
      <c r="AN18" s="744">
        <v>1</v>
      </c>
      <c r="AO18" s="744">
        <v>1</v>
      </c>
      <c r="AP18" s="744">
        <v>1</v>
      </c>
      <c r="AQ18" s="745">
        <v>1</v>
      </c>
      <c r="AR18" s="738">
        <v>28</v>
      </c>
      <c r="AS18" s="738">
        <v>32</v>
      </c>
      <c r="AT18" s="739">
        <v>34</v>
      </c>
      <c r="AU18" s="739">
        <v>36</v>
      </c>
      <c r="AV18" s="739">
        <v>41</v>
      </c>
      <c r="AW18" s="739">
        <v>41</v>
      </c>
      <c r="AX18" s="739">
        <v>32</v>
      </c>
      <c r="AY18" s="739">
        <v>34</v>
      </c>
      <c r="AZ18" s="746">
        <v>34</v>
      </c>
      <c r="BA18" s="738">
        <v>12</v>
      </c>
      <c r="BB18" s="738">
        <v>12</v>
      </c>
      <c r="BC18" s="739">
        <v>16</v>
      </c>
      <c r="BD18" s="739">
        <v>11</v>
      </c>
      <c r="BE18" s="739">
        <v>17</v>
      </c>
      <c r="BF18" s="739">
        <v>17</v>
      </c>
      <c r="BG18" s="739">
        <v>18</v>
      </c>
      <c r="BH18" s="739">
        <v>21</v>
      </c>
      <c r="BI18" s="746">
        <v>0</v>
      </c>
      <c r="BJ18" s="738">
        <v>19</v>
      </c>
      <c r="BK18" s="738">
        <v>19</v>
      </c>
      <c r="BL18" s="739">
        <v>20</v>
      </c>
      <c r="BM18" s="747">
        <v>19</v>
      </c>
      <c r="BN18" s="747">
        <v>19</v>
      </c>
      <c r="BO18" s="747">
        <v>19</v>
      </c>
      <c r="BP18" s="747">
        <v>49</v>
      </c>
      <c r="BQ18" s="747">
        <v>49</v>
      </c>
      <c r="BR18" s="748">
        <v>45</v>
      </c>
      <c r="BS18" s="747">
        <v>0</v>
      </c>
      <c r="BT18" s="747">
        <v>3</v>
      </c>
      <c r="BU18" s="747">
        <v>4</v>
      </c>
      <c r="BV18" s="747">
        <v>4</v>
      </c>
      <c r="BW18" s="748">
        <v>4</v>
      </c>
      <c r="BX18" s="738">
        <v>19</v>
      </c>
      <c r="BY18" s="738">
        <v>24</v>
      </c>
      <c r="BZ18" s="739">
        <v>24</v>
      </c>
      <c r="CA18" s="747">
        <v>22</v>
      </c>
      <c r="CB18" s="747">
        <v>22</v>
      </c>
      <c r="CC18" s="747">
        <v>22</v>
      </c>
      <c r="CD18" s="747">
        <v>21</v>
      </c>
      <c r="CE18" s="747">
        <v>21</v>
      </c>
      <c r="CF18" s="748">
        <v>22</v>
      </c>
      <c r="CG18" s="747">
        <v>2</v>
      </c>
      <c r="CH18" s="747">
        <v>3</v>
      </c>
      <c r="CI18" s="747">
        <v>4</v>
      </c>
      <c r="CJ18" s="747">
        <v>6</v>
      </c>
      <c r="CK18" s="748">
        <v>8</v>
      </c>
      <c r="CL18" s="738">
        <v>21</v>
      </c>
      <c r="CM18" s="738">
        <v>19</v>
      </c>
      <c r="CN18" s="739">
        <v>19</v>
      </c>
      <c r="CO18" s="740">
        <v>19</v>
      </c>
      <c r="CP18" s="740">
        <v>18</v>
      </c>
      <c r="CQ18" s="740">
        <v>20</v>
      </c>
      <c r="CR18" s="740">
        <v>21</v>
      </c>
      <c r="CS18" s="740">
        <v>31</v>
      </c>
      <c r="CT18" s="741">
        <v>31</v>
      </c>
      <c r="CU18" s="738">
        <v>32</v>
      </c>
      <c r="CV18" s="738">
        <v>30</v>
      </c>
      <c r="CW18" s="739">
        <v>30</v>
      </c>
      <c r="CX18" s="740">
        <v>38</v>
      </c>
      <c r="CY18" s="740">
        <v>39</v>
      </c>
      <c r="CZ18" s="740">
        <v>42</v>
      </c>
      <c r="DA18" s="740">
        <v>44</v>
      </c>
      <c r="DB18" s="740">
        <v>44</v>
      </c>
      <c r="DC18" s="741">
        <v>45</v>
      </c>
      <c r="DD18" s="738">
        <v>13</v>
      </c>
      <c r="DE18" s="738">
        <v>14</v>
      </c>
      <c r="DF18" s="739">
        <v>14</v>
      </c>
      <c r="DG18" s="740">
        <v>14</v>
      </c>
      <c r="DH18" s="740">
        <v>14</v>
      </c>
      <c r="DI18" s="740">
        <v>43</v>
      </c>
      <c r="DJ18" s="740">
        <v>46</v>
      </c>
      <c r="DK18" s="740">
        <v>45</v>
      </c>
      <c r="DL18" s="741">
        <v>44</v>
      </c>
      <c r="DM18" s="739">
        <v>3</v>
      </c>
      <c r="DN18" s="739">
        <v>3</v>
      </c>
      <c r="DO18" s="739">
        <v>5</v>
      </c>
      <c r="DP18" s="739">
        <v>5</v>
      </c>
      <c r="DQ18" s="739">
        <v>5</v>
      </c>
      <c r="DR18" s="739">
        <v>5</v>
      </c>
      <c r="DS18" s="746">
        <v>5</v>
      </c>
      <c r="DT18" s="740">
        <v>5</v>
      </c>
      <c r="DU18" s="740">
        <v>5</v>
      </c>
      <c r="DV18" s="739">
        <v>7</v>
      </c>
      <c r="DW18" s="740">
        <v>13</v>
      </c>
      <c r="DX18" s="740">
        <v>10</v>
      </c>
      <c r="DY18" s="740">
        <v>10</v>
      </c>
      <c r="DZ18" s="740">
        <v>15</v>
      </c>
      <c r="EA18" s="740">
        <v>15</v>
      </c>
      <c r="EB18" s="741">
        <v>14</v>
      </c>
      <c r="EC18" s="740">
        <v>6</v>
      </c>
      <c r="ED18" s="740">
        <v>8</v>
      </c>
      <c r="EE18" s="739">
        <v>9</v>
      </c>
      <c r="EF18" s="740">
        <v>9</v>
      </c>
      <c r="EG18" s="740">
        <v>13</v>
      </c>
      <c r="EH18" s="740">
        <v>21</v>
      </c>
      <c r="EI18" s="740">
        <v>22</v>
      </c>
      <c r="EJ18" s="740">
        <v>16</v>
      </c>
      <c r="EK18" s="741">
        <v>14</v>
      </c>
      <c r="EL18" s="747">
        <v>1</v>
      </c>
      <c r="EM18" s="747">
        <v>1</v>
      </c>
      <c r="EN18" s="747">
        <v>1</v>
      </c>
      <c r="EO18" s="747">
        <v>0</v>
      </c>
      <c r="EP18" s="747">
        <v>1</v>
      </c>
      <c r="EQ18" s="738">
        <v>2</v>
      </c>
      <c r="ER18" s="738">
        <v>2</v>
      </c>
      <c r="ES18" s="739">
        <v>2</v>
      </c>
      <c r="ET18" s="740">
        <v>2</v>
      </c>
      <c r="EU18" s="740">
        <v>2</v>
      </c>
      <c r="EV18" s="740">
        <v>2</v>
      </c>
      <c r="EW18" s="740">
        <v>2</v>
      </c>
      <c r="EX18" s="740">
        <v>3</v>
      </c>
      <c r="EY18" s="741">
        <v>3</v>
      </c>
      <c r="EZ18" s="738">
        <v>19</v>
      </c>
      <c r="FA18" s="738">
        <v>19</v>
      </c>
      <c r="FB18" s="739">
        <v>19</v>
      </c>
      <c r="FC18" s="740">
        <v>19</v>
      </c>
      <c r="FD18" s="740">
        <v>19</v>
      </c>
      <c r="FE18" s="740">
        <v>20</v>
      </c>
      <c r="FF18" s="740">
        <v>21</v>
      </c>
      <c r="FG18" s="740">
        <v>21</v>
      </c>
      <c r="FH18" s="741">
        <v>19</v>
      </c>
      <c r="FI18" s="738">
        <v>10</v>
      </c>
      <c r="FJ18" s="738">
        <v>12</v>
      </c>
      <c r="FK18" s="739">
        <v>13</v>
      </c>
      <c r="FL18" s="740">
        <v>16</v>
      </c>
      <c r="FM18" s="740">
        <v>19</v>
      </c>
      <c r="FN18" s="740">
        <v>20</v>
      </c>
      <c r="FO18" s="740">
        <v>23</v>
      </c>
      <c r="FP18" s="740">
        <v>24</v>
      </c>
      <c r="FQ18" s="741">
        <v>24</v>
      </c>
      <c r="FR18" s="738">
        <v>6</v>
      </c>
      <c r="FS18" s="738">
        <v>8</v>
      </c>
      <c r="FT18" s="739">
        <v>12</v>
      </c>
      <c r="FU18" s="740">
        <v>12</v>
      </c>
      <c r="FV18" s="740">
        <v>13</v>
      </c>
      <c r="FW18" s="740">
        <v>14</v>
      </c>
      <c r="FX18" s="740">
        <v>15</v>
      </c>
      <c r="FY18" s="740">
        <v>15</v>
      </c>
      <c r="FZ18" s="741">
        <v>15</v>
      </c>
      <c r="GA18" s="738">
        <v>10</v>
      </c>
      <c r="GB18" s="738">
        <v>10</v>
      </c>
      <c r="GC18" s="739">
        <v>13</v>
      </c>
      <c r="GD18" s="740">
        <v>14</v>
      </c>
      <c r="GE18" s="740">
        <v>17</v>
      </c>
      <c r="GF18" s="740">
        <v>17</v>
      </c>
      <c r="GG18" s="740">
        <v>21</v>
      </c>
      <c r="GH18" s="740">
        <v>19</v>
      </c>
      <c r="GI18" s="741">
        <v>19</v>
      </c>
      <c r="GJ18" s="738">
        <v>19</v>
      </c>
      <c r="GK18" s="738">
        <v>23</v>
      </c>
      <c r="GL18" s="739">
        <v>23</v>
      </c>
      <c r="GM18" s="740">
        <v>25</v>
      </c>
      <c r="GN18" s="740">
        <v>27</v>
      </c>
      <c r="GO18" s="740">
        <v>35</v>
      </c>
      <c r="GP18" s="740">
        <v>33</v>
      </c>
      <c r="GQ18" s="740">
        <v>32</v>
      </c>
      <c r="GR18" s="741">
        <v>32</v>
      </c>
      <c r="GS18" s="740">
        <v>13</v>
      </c>
      <c r="GT18" s="740">
        <v>15</v>
      </c>
      <c r="GU18" s="739">
        <v>16</v>
      </c>
      <c r="GV18" s="740">
        <v>16</v>
      </c>
      <c r="GW18" s="740">
        <v>16</v>
      </c>
      <c r="GX18" s="740">
        <v>16</v>
      </c>
      <c r="GY18" s="740">
        <v>17</v>
      </c>
      <c r="GZ18" s="740">
        <v>16</v>
      </c>
      <c r="HA18" s="741">
        <v>16</v>
      </c>
      <c r="HB18" s="738">
        <v>2</v>
      </c>
      <c r="HC18" s="738">
        <v>2</v>
      </c>
      <c r="HD18" s="739">
        <v>1</v>
      </c>
      <c r="HE18" s="740">
        <v>1</v>
      </c>
      <c r="HF18" s="740">
        <v>1</v>
      </c>
      <c r="HG18" s="740">
        <v>1</v>
      </c>
      <c r="HH18" s="740">
        <v>1</v>
      </c>
      <c r="HI18" s="740">
        <v>1</v>
      </c>
      <c r="HJ18" s="741">
        <v>1</v>
      </c>
      <c r="HK18" s="738">
        <v>12</v>
      </c>
      <c r="HL18" s="738">
        <v>12</v>
      </c>
      <c r="HM18" s="739">
        <v>12</v>
      </c>
      <c r="HN18" s="740">
        <v>12</v>
      </c>
      <c r="HO18" s="740">
        <v>12</v>
      </c>
      <c r="HP18" s="740">
        <v>12</v>
      </c>
      <c r="HQ18" s="740">
        <v>12</v>
      </c>
      <c r="HR18" s="740">
        <v>12</v>
      </c>
      <c r="HS18" s="741">
        <v>7</v>
      </c>
      <c r="HT18" s="749">
        <f t="shared" si="0"/>
        <v>1016</v>
      </c>
      <c r="HU18" s="749">
        <f t="shared" si="0"/>
        <v>1077</v>
      </c>
      <c r="HV18" s="749">
        <f t="shared" si="1"/>
        <v>1130</v>
      </c>
      <c r="HW18" s="749">
        <f t="shared" si="1"/>
        <v>1168</v>
      </c>
      <c r="HX18" s="749">
        <f t="shared" si="2"/>
        <v>1177</v>
      </c>
      <c r="HY18" s="749">
        <f t="shared" si="2"/>
        <v>1234</v>
      </c>
      <c r="HZ18" s="749">
        <f t="shared" si="2"/>
        <v>1244</v>
      </c>
      <c r="IA18" s="749">
        <v>1242</v>
      </c>
      <c r="IB18" s="750">
        <v>1156</v>
      </c>
      <c r="IC18" s="751">
        <v>3</v>
      </c>
      <c r="ID18" s="751">
        <v>12</v>
      </c>
      <c r="IE18" s="754">
        <v>13</v>
      </c>
      <c r="IF18" s="754">
        <v>14</v>
      </c>
      <c r="IG18" s="754">
        <v>15</v>
      </c>
      <c r="IH18" s="754">
        <v>15</v>
      </c>
      <c r="II18" s="754">
        <v>9</v>
      </c>
      <c r="IJ18" s="754">
        <v>10</v>
      </c>
      <c r="IK18" s="754">
        <v>11</v>
      </c>
      <c r="IL18" s="754">
        <v>12</v>
      </c>
      <c r="IM18" s="754">
        <v>14</v>
      </c>
      <c r="IN18" s="754">
        <v>22</v>
      </c>
      <c r="IO18" s="754">
        <v>29</v>
      </c>
      <c r="IP18" s="754">
        <v>30</v>
      </c>
      <c r="IQ18" s="754">
        <v>36</v>
      </c>
      <c r="IR18" s="754">
        <v>12</v>
      </c>
      <c r="IS18" s="754">
        <v>15</v>
      </c>
      <c r="IT18" s="754">
        <v>18</v>
      </c>
      <c r="IU18" s="754">
        <v>18</v>
      </c>
      <c r="IV18" s="754">
        <v>27</v>
      </c>
      <c r="IW18" s="754">
        <v>31</v>
      </c>
      <c r="IX18" s="754">
        <v>30</v>
      </c>
      <c r="IY18" s="754">
        <v>2</v>
      </c>
      <c r="IZ18" s="754">
        <v>4</v>
      </c>
      <c r="JA18" s="754">
        <v>3</v>
      </c>
      <c r="JB18" s="754">
        <v>3</v>
      </c>
      <c r="JC18" s="754">
        <v>3</v>
      </c>
      <c r="JD18" s="754">
        <v>5</v>
      </c>
      <c r="JE18" s="754">
        <v>9</v>
      </c>
      <c r="JF18" s="754">
        <v>9</v>
      </c>
      <c r="JG18" s="754">
        <v>12</v>
      </c>
      <c r="JH18" s="754">
        <v>3</v>
      </c>
      <c r="JI18" s="754">
        <v>4</v>
      </c>
      <c r="JJ18" s="754">
        <v>4</v>
      </c>
      <c r="JK18" s="754">
        <v>4</v>
      </c>
      <c r="JL18" s="754">
        <v>5</v>
      </c>
      <c r="JM18" s="754">
        <v>7</v>
      </c>
      <c r="JN18" s="754">
        <v>10</v>
      </c>
      <c r="JO18" s="754">
        <v>12</v>
      </c>
      <c r="JP18" s="754">
        <v>22</v>
      </c>
      <c r="JQ18" s="754">
        <v>1</v>
      </c>
      <c r="JR18" s="754">
        <v>26</v>
      </c>
      <c r="JS18" s="754">
        <v>30</v>
      </c>
      <c r="JT18" s="754">
        <v>35</v>
      </c>
      <c r="JU18" s="754">
        <v>36</v>
      </c>
      <c r="JV18" s="754">
        <v>52</v>
      </c>
      <c r="JW18" s="754">
        <v>54</v>
      </c>
      <c r="JX18" s="754">
        <v>65</v>
      </c>
      <c r="JY18" s="754">
        <v>92</v>
      </c>
      <c r="JZ18" s="754">
        <v>103</v>
      </c>
      <c r="KA18" s="752">
        <v>52</v>
      </c>
      <c r="KB18" s="752">
        <v>63</v>
      </c>
      <c r="KC18" s="752">
        <v>71</v>
      </c>
      <c r="KD18" s="752">
        <v>76</v>
      </c>
      <c r="KE18" s="752">
        <v>113</v>
      </c>
      <c r="KF18" s="752">
        <v>133</v>
      </c>
      <c r="KG18" s="752">
        <v>157</v>
      </c>
      <c r="KH18" s="752">
        <v>158</v>
      </c>
      <c r="KI18" s="752">
        <v>188</v>
      </c>
      <c r="KJ18" s="752">
        <v>1068</v>
      </c>
      <c r="KK18" s="752">
        <v>1140</v>
      </c>
      <c r="KL18" s="752">
        <v>1201</v>
      </c>
      <c r="KM18" s="752">
        <v>1244</v>
      </c>
      <c r="KN18" s="752">
        <v>1290</v>
      </c>
      <c r="KO18" s="752">
        <v>1367</v>
      </c>
      <c r="KP18" s="752">
        <v>1401</v>
      </c>
      <c r="KQ18" s="752">
        <v>1400</v>
      </c>
      <c r="KR18" s="755">
        <v>1344</v>
      </c>
      <c r="KS18" s="808"/>
    </row>
    <row r="19" spans="1:305" s="737" customFormat="1" ht="12.75" x14ac:dyDescent="0.2">
      <c r="A19" s="720">
        <v>15</v>
      </c>
      <c r="B19" s="721" t="s">
        <v>157</v>
      </c>
      <c r="C19" s="738">
        <v>5</v>
      </c>
      <c r="D19" s="738">
        <v>5</v>
      </c>
      <c r="E19" s="739">
        <v>5</v>
      </c>
      <c r="F19" s="740">
        <v>5</v>
      </c>
      <c r="G19" s="740">
        <v>5</v>
      </c>
      <c r="H19" s="740">
        <v>5</v>
      </c>
      <c r="I19" s="740">
        <v>3</v>
      </c>
      <c r="J19" s="740">
        <v>3</v>
      </c>
      <c r="K19" s="741">
        <v>3</v>
      </c>
      <c r="L19" s="738">
        <v>4</v>
      </c>
      <c r="M19" s="738">
        <v>4</v>
      </c>
      <c r="N19" s="739">
        <v>3</v>
      </c>
      <c r="O19" s="740">
        <v>3</v>
      </c>
      <c r="P19" s="740">
        <v>1</v>
      </c>
      <c r="Q19" s="740">
        <v>1</v>
      </c>
      <c r="R19" s="740">
        <v>1</v>
      </c>
      <c r="S19" s="740">
        <v>2</v>
      </c>
      <c r="T19" s="741">
        <v>2</v>
      </c>
      <c r="U19" s="738">
        <v>4</v>
      </c>
      <c r="V19" s="738">
        <v>4</v>
      </c>
      <c r="W19" s="739">
        <v>4</v>
      </c>
      <c r="X19" s="740">
        <v>4</v>
      </c>
      <c r="Y19" s="742">
        <v>4</v>
      </c>
      <c r="Z19" s="742">
        <v>4</v>
      </c>
      <c r="AA19" s="742">
        <v>2</v>
      </c>
      <c r="AB19" s="742">
        <v>2</v>
      </c>
      <c r="AC19" s="743">
        <v>2</v>
      </c>
      <c r="AD19" s="738">
        <v>2</v>
      </c>
      <c r="AE19" s="738">
        <v>2</v>
      </c>
      <c r="AF19" s="739">
        <v>2</v>
      </c>
      <c r="AG19" s="740">
        <v>2</v>
      </c>
      <c r="AH19" s="740">
        <v>2</v>
      </c>
      <c r="AI19" s="740">
        <v>1</v>
      </c>
      <c r="AJ19" s="740">
        <v>1</v>
      </c>
      <c r="AK19" s="740">
        <v>1</v>
      </c>
      <c r="AL19" s="741">
        <v>1</v>
      </c>
      <c r="AM19" s="744">
        <v>0</v>
      </c>
      <c r="AN19" s="744">
        <v>0</v>
      </c>
      <c r="AO19" s="744">
        <v>0</v>
      </c>
      <c r="AP19" s="744">
        <v>0</v>
      </c>
      <c r="AQ19" s="745">
        <v>0</v>
      </c>
      <c r="AR19" s="738">
        <v>0</v>
      </c>
      <c r="AS19" s="738">
        <v>0</v>
      </c>
      <c r="AT19" s="739">
        <v>0</v>
      </c>
      <c r="AU19" s="739">
        <v>0</v>
      </c>
      <c r="AV19" s="739">
        <v>0</v>
      </c>
      <c r="AW19" s="739">
        <v>0</v>
      </c>
      <c r="AX19" s="739">
        <v>0</v>
      </c>
      <c r="AY19" s="739">
        <v>0</v>
      </c>
      <c r="AZ19" s="746">
        <v>1</v>
      </c>
      <c r="BA19" s="738">
        <v>0</v>
      </c>
      <c r="BB19" s="738">
        <v>0</v>
      </c>
      <c r="BC19" s="739">
        <v>0</v>
      </c>
      <c r="BD19" s="739">
        <v>0</v>
      </c>
      <c r="BE19" s="739">
        <v>0</v>
      </c>
      <c r="BF19" s="739">
        <v>0</v>
      </c>
      <c r="BG19" s="739">
        <v>0</v>
      </c>
      <c r="BH19" s="739">
        <v>0</v>
      </c>
      <c r="BI19" s="746">
        <v>0</v>
      </c>
      <c r="BJ19" s="738">
        <v>0</v>
      </c>
      <c r="BK19" s="738">
        <v>0</v>
      </c>
      <c r="BL19" s="739">
        <v>0</v>
      </c>
      <c r="BM19" s="747">
        <v>0</v>
      </c>
      <c r="BN19" s="747">
        <v>0</v>
      </c>
      <c r="BO19" s="747">
        <v>0</v>
      </c>
      <c r="BP19" s="747">
        <v>0</v>
      </c>
      <c r="BQ19" s="747">
        <v>0</v>
      </c>
      <c r="BR19" s="748">
        <v>0</v>
      </c>
      <c r="BS19" s="747">
        <v>0</v>
      </c>
      <c r="BT19" s="747">
        <v>0</v>
      </c>
      <c r="BU19" s="747">
        <v>0</v>
      </c>
      <c r="BV19" s="747">
        <v>0</v>
      </c>
      <c r="BW19" s="748">
        <v>0</v>
      </c>
      <c r="BX19" s="738">
        <v>0</v>
      </c>
      <c r="BY19" s="738">
        <v>0</v>
      </c>
      <c r="BZ19" s="739">
        <v>0</v>
      </c>
      <c r="CA19" s="747">
        <v>0</v>
      </c>
      <c r="CB19" s="747">
        <v>0</v>
      </c>
      <c r="CC19" s="747">
        <v>0</v>
      </c>
      <c r="CD19" s="747">
        <v>0</v>
      </c>
      <c r="CE19" s="747">
        <v>0</v>
      </c>
      <c r="CF19" s="748">
        <v>0</v>
      </c>
      <c r="CG19" s="747">
        <v>0</v>
      </c>
      <c r="CH19" s="747">
        <v>0</v>
      </c>
      <c r="CI19" s="747">
        <v>0</v>
      </c>
      <c r="CJ19" s="747">
        <v>0</v>
      </c>
      <c r="CK19" s="748">
        <v>0</v>
      </c>
      <c r="CL19" s="738">
        <v>0</v>
      </c>
      <c r="CM19" s="738">
        <v>0</v>
      </c>
      <c r="CN19" s="739">
        <v>0</v>
      </c>
      <c r="CO19" s="740">
        <v>0</v>
      </c>
      <c r="CP19" s="740">
        <v>0</v>
      </c>
      <c r="CQ19" s="740">
        <v>0</v>
      </c>
      <c r="CR19" s="740">
        <v>1</v>
      </c>
      <c r="CS19" s="740">
        <v>1</v>
      </c>
      <c r="CT19" s="741">
        <v>1</v>
      </c>
      <c r="CU19" s="738">
        <v>0</v>
      </c>
      <c r="CV19" s="738">
        <v>0</v>
      </c>
      <c r="CW19" s="739">
        <v>0</v>
      </c>
      <c r="CX19" s="740">
        <v>0</v>
      </c>
      <c r="CY19" s="740">
        <v>0</v>
      </c>
      <c r="CZ19" s="740">
        <v>0</v>
      </c>
      <c r="DA19" s="740">
        <v>0</v>
      </c>
      <c r="DB19" s="740">
        <v>0</v>
      </c>
      <c r="DC19" s="741">
        <v>0</v>
      </c>
      <c r="DD19" s="738">
        <v>0</v>
      </c>
      <c r="DE19" s="738">
        <v>0</v>
      </c>
      <c r="DF19" s="739">
        <v>0</v>
      </c>
      <c r="DG19" s="740">
        <v>0</v>
      </c>
      <c r="DH19" s="740">
        <v>0</v>
      </c>
      <c r="DI19" s="740">
        <v>0</v>
      </c>
      <c r="DJ19" s="740">
        <v>0</v>
      </c>
      <c r="DK19" s="740">
        <v>0</v>
      </c>
      <c r="DL19" s="741">
        <v>0</v>
      </c>
      <c r="DM19" s="739">
        <v>0</v>
      </c>
      <c r="DN19" s="739">
        <v>0</v>
      </c>
      <c r="DO19" s="739">
        <v>0</v>
      </c>
      <c r="DP19" s="739">
        <v>0</v>
      </c>
      <c r="DQ19" s="739">
        <v>0</v>
      </c>
      <c r="DR19" s="739">
        <v>0</v>
      </c>
      <c r="DS19" s="746">
        <v>0</v>
      </c>
      <c r="DT19" s="740">
        <v>0</v>
      </c>
      <c r="DU19" s="740">
        <v>0</v>
      </c>
      <c r="DV19" s="739">
        <v>0</v>
      </c>
      <c r="DW19" s="740">
        <v>0</v>
      </c>
      <c r="DX19" s="740">
        <v>0</v>
      </c>
      <c r="DY19" s="740">
        <v>0</v>
      </c>
      <c r="DZ19" s="740">
        <v>1</v>
      </c>
      <c r="EA19" s="740">
        <v>1</v>
      </c>
      <c r="EB19" s="741">
        <v>1</v>
      </c>
      <c r="EC19" s="740">
        <v>0</v>
      </c>
      <c r="ED19" s="740">
        <v>0</v>
      </c>
      <c r="EE19" s="739">
        <v>0</v>
      </c>
      <c r="EF19" s="740">
        <v>0</v>
      </c>
      <c r="EG19" s="740">
        <v>0</v>
      </c>
      <c r="EH19" s="740">
        <v>0</v>
      </c>
      <c r="EI19" s="740">
        <v>0</v>
      </c>
      <c r="EJ19" s="740">
        <v>0</v>
      </c>
      <c r="EK19" s="741">
        <v>0</v>
      </c>
      <c r="EL19" s="747">
        <v>0</v>
      </c>
      <c r="EM19" s="747">
        <v>0</v>
      </c>
      <c r="EN19" s="747">
        <v>0</v>
      </c>
      <c r="EO19" s="747">
        <v>0</v>
      </c>
      <c r="EP19" s="747">
        <v>0</v>
      </c>
      <c r="EQ19" s="738">
        <v>0</v>
      </c>
      <c r="ER19" s="738">
        <v>0</v>
      </c>
      <c r="ES19" s="739">
        <v>0</v>
      </c>
      <c r="ET19" s="740">
        <v>0</v>
      </c>
      <c r="EU19" s="740">
        <v>0</v>
      </c>
      <c r="EV19" s="740">
        <v>0</v>
      </c>
      <c r="EW19" s="740">
        <v>0</v>
      </c>
      <c r="EX19" s="740">
        <v>0</v>
      </c>
      <c r="EY19" s="741">
        <v>0</v>
      </c>
      <c r="EZ19" s="738">
        <v>0</v>
      </c>
      <c r="FA19" s="738">
        <v>0</v>
      </c>
      <c r="FB19" s="739">
        <v>0</v>
      </c>
      <c r="FC19" s="740">
        <v>0</v>
      </c>
      <c r="FD19" s="740">
        <v>0</v>
      </c>
      <c r="FE19" s="740">
        <v>0</v>
      </c>
      <c r="FF19" s="740">
        <v>0</v>
      </c>
      <c r="FG19" s="740">
        <v>0</v>
      </c>
      <c r="FH19" s="741">
        <v>0</v>
      </c>
      <c r="FI19" s="738">
        <v>0</v>
      </c>
      <c r="FJ19" s="738">
        <v>0</v>
      </c>
      <c r="FK19" s="739">
        <v>0</v>
      </c>
      <c r="FL19" s="740">
        <v>0</v>
      </c>
      <c r="FM19" s="740">
        <v>0</v>
      </c>
      <c r="FN19" s="740">
        <v>0</v>
      </c>
      <c r="FO19" s="740">
        <v>0</v>
      </c>
      <c r="FP19" s="740">
        <v>0</v>
      </c>
      <c r="FQ19" s="741">
        <v>0</v>
      </c>
      <c r="FR19" s="738">
        <v>0</v>
      </c>
      <c r="FS19" s="738">
        <v>0</v>
      </c>
      <c r="FT19" s="739">
        <v>1</v>
      </c>
      <c r="FU19" s="740">
        <v>1</v>
      </c>
      <c r="FV19" s="740">
        <v>1</v>
      </c>
      <c r="FW19" s="740">
        <v>1</v>
      </c>
      <c r="FX19" s="740">
        <v>1</v>
      </c>
      <c r="FY19" s="740">
        <v>1</v>
      </c>
      <c r="FZ19" s="741">
        <v>1</v>
      </c>
      <c r="GA19" s="738">
        <v>0</v>
      </c>
      <c r="GB19" s="738">
        <v>0</v>
      </c>
      <c r="GC19" s="739">
        <v>0</v>
      </c>
      <c r="GD19" s="740">
        <v>0</v>
      </c>
      <c r="GE19" s="740">
        <v>0</v>
      </c>
      <c r="GF19" s="740">
        <v>0</v>
      </c>
      <c r="GG19" s="740">
        <v>0</v>
      </c>
      <c r="GH19" s="740">
        <v>0</v>
      </c>
      <c r="GI19" s="741">
        <v>0</v>
      </c>
      <c r="GJ19" s="738">
        <v>0</v>
      </c>
      <c r="GK19" s="738">
        <v>0</v>
      </c>
      <c r="GL19" s="739">
        <v>0</v>
      </c>
      <c r="GM19" s="740">
        <v>0</v>
      </c>
      <c r="GN19" s="740">
        <v>0</v>
      </c>
      <c r="GO19" s="740">
        <v>0</v>
      </c>
      <c r="GP19" s="740">
        <v>0</v>
      </c>
      <c r="GQ19" s="740">
        <v>0</v>
      </c>
      <c r="GR19" s="741">
        <v>0</v>
      </c>
      <c r="GS19" s="740">
        <v>0</v>
      </c>
      <c r="GT19" s="740">
        <v>0</v>
      </c>
      <c r="GU19" s="739">
        <v>0</v>
      </c>
      <c r="GV19" s="740">
        <v>0</v>
      </c>
      <c r="GW19" s="740">
        <v>0</v>
      </c>
      <c r="GX19" s="740">
        <v>0</v>
      </c>
      <c r="GY19" s="740">
        <v>0</v>
      </c>
      <c r="GZ19" s="740">
        <v>0</v>
      </c>
      <c r="HA19" s="741">
        <v>0</v>
      </c>
      <c r="HB19" s="738">
        <v>0</v>
      </c>
      <c r="HC19" s="738">
        <v>0</v>
      </c>
      <c r="HD19" s="739">
        <v>0</v>
      </c>
      <c r="HE19" s="740">
        <v>0</v>
      </c>
      <c r="HF19" s="740">
        <v>0</v>
      </c>
      <c r="HG19" s="740">
        <v>0</v>
      </c>
      <c r="HH19" s="740">
        <v>0</v>
      </c>
      <c r="HI19" s="740">
        <v>0</v>
      </c>
      <c r="HJ19" s="741">
        <v>0</v>
      </c>
      <c r="HK19" s="738">
        <v>0</v>
      </c>
      <c r="HL19" s="738">
        <v>0</v>
      </c>
      <c r="HM19" s="739">
        <v>0</v>
      </c>
      <c r="HN19" s="740">
        <v>0</v>
      </c>
      <c r="HO19" s="740">
        <v>0</v>
      </c>
      <c r="HP19" s="740">
        <v>0</v>
      </c>
      <c r="HQ19" s="740">
        <v>0</v>
      </c>
      <c r="HR19" s="740">
        <v>0</v>
      </c>
      <c r="HS19" s="741">
        <v>0</v>
      </c>
      <c r="HT19" s="749">
        <f t="shared" si="0"/>
        <v>15</v>
      </c>
      <c r="HU19" s="749">
        <f t="shared" si="0"/>
        <v>15</v>
      </c>
      <c r="HV19" s="749">
        <f t="shared" si="1"/>
        <v>15</v>
      </c>
      <c r="HW19" s="749">
        <f t="shared" si="1"/>
        <v>15</v>
      </c>
      <c r="HX19" s="749">
        <f t="shared" si="2"/>
        <v>13</v>
      </c>
      <c r="HY19" s="749">
        <f t="shared" si="2"/>
        <v>12</v>
      </c>
      <c r="HZ19" s="749">
        <f t="shared" si="2"/>
        <v>10</v>
      </c>
      <c r="IA19" s="749">
        <v>11</v>
      </c>
      <c r="IB19" s="750">
        <v>12</v>
      </c>
      <c r="IC19" s="751">
        <v>0</v>
      </c>
      <c r="ID19" s="751">
        <v>0</v>
      </c>
      <c r="IE19" s="754">
        <v>0</v>
      </c>
      <c r="IF19" s="754">
        <v>0</v>
      </c>
      <c r="IG19" s="754">
        <v>0</v>
      </c>
      <c r="IH19" s="754">
        <v>0</v>
      </c>
      <c r="II19" s="754">
        <v>0</v>
      </c>
      <c r="IJ19" s="754">
        <v>0</v>
      </c>
      <c r="IK19" s="754">
        <v>0</v>
      </c>
      <c r="IL19" s="754">
        <v>0</v>
      </c>
      <c r="IM19" s="754">
        <v>0</v>
      </c>
      <c r="IN19" s="754">
        <v>1</v>
      </c>
      <c r="IO19" s="754">
        <v>1</v>
      </c>
      <c r="IP19" s="754">
        <v>1</v>
      </c>
      <c r="IQ19" s="754">
        <v>1</v>
      </c>
      <c r="IR19" s="754">
        <v>0</v>
      </c>
      <c r="IS19" s="754">
        <v>0</v>
      </c>
      <c r="IT19" s="754">
        <v>0</v>
      </c>
      <c r="IU19" s="754">
        <v>0</v>
      </c>
      <c r="IV19" s="754">
        <v>0</v>
      </c>
      <c r="IW19" s="754">
        <v>0</v>
      </c>
      <c r="IX19" s="754">
        <v>0</v>
      </c>
      <c r="IY19" s="754">
        <v>0</v>
      </c>
      <c r="IZ19" s="754">
        <v>0</v>
      </c>
      <c r="JA19" s="754">
        <v>0</v>
      </c>
      <c r="JB19" s="754">
        <v>0</v>
      </c>
      <c r="JC19" s="754">
        <v>0</v>
      </c>
      <c r="JD19" s="754">
        <v>0</v>
      </c>
      <c r="JE19" s="754">
        <v>0</v>
      </c>
      <c r="JF19" s="754">
        <v>0</v>
      </c>
      <c r="JG19" s="754">
        <v>0</v>
      </c>
      <c r="JH19" s="754">
        <v>0</v>
      </c>
      <c r="JI19" s="754">
        <v>0</v>
      </c>
      <c r="JJ19" s="754">
        <v>0</v>
      </c>
      <c r="JK19" s="754">
        <v>0</v>
      </c>
      <c r="JL19" s="754">
        <v>0</v>
      </c>
      <c r="JM19" s="754">
        <v>0</v>
      </c>
      <c r="JN19" s="754">
        <v>0</v>
      </c>
      <c r="JO19" s="754">
        <v>0</v>
      </c>
      <c r="JP19" s="754">
        <v>0</v>
      </c>
      <c r="JQ19" s="754">
        <v>0</v>
      </c>
      <c r="JR19" s="754">
        <v>0</v>
      </c>
      <c r="JS19" s="754">
        <v>0</v>
      </c>
      <c r="JT19" s="754">
        <v>0</v>
      </c>
      <c r="JU19" s="754">
        <v>0</v>
      </c>
      <c r="JV19" s="754">
        <v>0</v>
      </c>
      <c r="JW19" s="754">
        <v>0</v>
      </c>
      <c r="JX19" s="754">
        <v>0</v>
      </c>
      <c r="JY19" s="754">
        <v>1</v>
      </c>
      <c r="JZ19" s="754">
        <v>1</v>
      </c>
      <c r="KA19" s="752">
        <v>0</v>
      </c>
      <c r="KB19" s="752">
        <v>0</v>
      </c>
      <c r="KC19" s="752">
        <v>0</v>
      </c>
      <c r="KD19" s="752">
        <v>0</v>
      </c>
      <c r="KE19" s="752">
        <v>0</v>
      </c>
      <c r="KF19" s="752">
        <v>1</v>
      </c>
      <c r="KG19" s="752">
        <v>1</v>
      </c>
      <c r="KH19" s="752">
        <v>2</v>
      </c>
      <c r="KI19" s="752">
        <v>2</v>
      </c>
      <c r="KJ19" s="752">
        <v>15</v>
      </c>
      <c r="KK19" s="752">
        <v>15</v>
      </c>
      <c r="KL19" s="752">
        <v>15</v>
      </c>
      <c r="KM19" s="752">
        <v>15</v>
      </c>
      <c r="KN19" s="752">
        <v>13</v>
      </c>
      <c r="KO19" s="752">
        <v>13</v>
      </c>
      <c r="KP19" s="752">
        <v>11</v>
      </c>
      <c r="KQ19" s="752">
        <v>13</v>
      </c>
      <c r="KR19" s="755">
        <v>14</v>
      </c>
      <c r="KS19" s="808"/>
    </row>
    <row r="20" spans="1:305" s="737" customFormat="1" ht="12.75" x14ac:dyDescent="0.2">
      <c r="A20" s="720">
        <v>16</v>
      </c>
      <c r="B20" s="721" t="s">
        <v>158</v>
      </c>
      <c r="C20" s="738">
        <v>6</v>
      </c>
      <c r="D20" s="738">
        <v>8</v>
      </c>
      <c r="E20" s="739">
        <v>8</v>
      </c>
      <c r="F20" s="740">
        <v>8</v>
      </c>
      <c r="G20" s="740">
        <v>8</v>
      </c>
      <c r="H20" s="740">
        <v>7</v>
      </c>
      <c r="I20" s="740">
        <v>6</v>
      </c>
      <c r="J20" s="740">
        <v>6</v>
      </c>
      <c r="K20" s="741">
        <v>6</v>
      </c>
      <c r="L20" s="738">
        <v>6</v>
      </c>
      <c r="M20" s="738">
        <v>6</v>
      </c>
      <c r="N20" s="739">
        <v>7</v>
      </c>
      <c r="O20" s="740">
        <v>7</v>
      </c>
      <c r="P20" s="740">
        <v>6</v>
      </c>
      <c r="Q20" s="740">
        <v>6</v>
      </c>
      <c r="R20" s="740">
        <v>6</v>
      </c>
      <c r="S20" s="740">
        <v>4</v>
      </c>
      <c r="T20" s="741">
        <v>4</v>
      </c>
      <c r="U20" s="738">
        <v>5</v>
      </c>
      <c r="V20" s="738">
        <v>5</v>
      </c>
      <c r="W20" s="739">
        <v>5</v>
      </c>
      <c r="X20" s="740">
        <v>5</v>
      </c>
      <c r="Y20" s="742">
        <v>5</v>
      </c>
      <c r="Z20" s="742">
        <v>5</v>
      </c>
      <c r="AA20" s="742">
        <v>4</v>
      </c>
      <c r="AB20" s="742">
        <v>2</v>
      </c>
      <c r="AC20" s="743">
        <v>2</v>
      </c>
      <c r="AD20" s="738">
        <v>6</v>
      </c>
      <c r="AE20" s="738">
        <v>6</v>
      </c>
      <c r="AF20" s="739">
        <v>6</v>
      </c>
      <c r="AG20" s="740">
        <v>8</v>
      </c>
      <c r="AH20" s="740">
        <v>8</v>
      </c>
      <c r="AI20" s="740">
        <v>8</v>
      </c>
      <c r="AJ20" s="740">
        <v>8</v>
      </c>
      <c r="AK20" s="740">
        <v>8</v>
      </c>
      <c r="AL20" s="741">
        <v>6</v>
      </c>
      <c r="AM20" s="744">
        <v>0</v>
      </c>
      <c r="AN20" s="744">
        <v>0</v>
      </c>
      <c r="AO20" s="744">
        <v>0</v>
      </c>
      <c r="AP20" s="744">
        <v>0</v>
      </c>
      <c r="AQ20" s="745">
        <v>0</v>
      </c>
      <c r="AR20" s="738">
        <v>0</v>
      </c>
      <c r="AS20" s="738">
        <v>0</v>
      </c>
      <c r="AT20" s="739">
        <v>0</v>
      </c>
      <c r="AU20" s="739">
        <v>0</v>
      </c>
      <c r="AV20" s="739">
        <v>0</v>
      </c>
      <c r="AW20" s="739">
        <v>1</v>
      </c>
      <c r="AX20" s="739">
        <v>1</v>
      </c>
      <c r="AY20" s="739">
        <v>1</v>
      </c>
      <c r="AZ20" s="746">
        <v>1</v>
      </c>
      <c r="BA20" s="738">
        <v>0</v>
      </c>
      <c r="BB20" s="738">
        <v>0</v>
      </c>
      <c r="BC20" s="739">
        <v>0</v>
      </c>
      <c r="BD20" s="739">
        <v>0</v>
      </c>
      <c r="BE20" s="739">
        <v>0</v>
      </c>
      <c r="BF20" s="739">
        <v>0</v>
      </c>
      <c r="BG20" s="739">
        <v>1</v>
      </c>
      <c r="BH20" s="739">
        <v>1</v>
      </c>
      <c r="BI20" s="746">
        <v>0</v>
      </c>
      <c r="BJ20" s="738">
        <v>0</v>
      </c>
      <c r="BK20" s="738">
        <v>0</v>
      </c>
      <c r="BL20" s="739">
        <v>0</v>
      </c>
      <c r="BM20" s="747">
        <v>0</v>
      </c>
      <c r="BN20" s="747">
        <v>0</v>
      </c>
      <c r="BO20" s="747">
        <v>0</v>
      </c>
      <c r="BP20" s="747">
        <v>0</v>
      </c>
      <c r="BQ20" s="747">
        <v>0</v>
      </c>
      <c r="BR20" s="748">
        <v>0</v>
      </c>
      <c r="BS20" s="747">
        <v>0</v>
      </c>
      <c r="BT20" s="747">
        <v>0</v>
      </c>
      <c r="BU20" s="747">
        <v>0</v>
      </c>
      <c r="BV20" s="747">
        <v>0</v>
      </c>
      <c r="BW20" s="748">
        <v>0</v>
      </c>
      <c r="BX20" s="738">
        <v>0</v>
      </c>
      <c r="BY20" s="738">
        <v>0</v>
      </c>
      <c r="BZ20" s="739">
        <v>0</v>
      </c>
      <c r="CA20" s="747">
        <v>0</v>
      </c>
      <c r="CB20" s="747">
        <v>0</v>
      </c>
      <c r="CC20" s="747">
        <v>0</v>
      </c>
      <c r="CD20" s="747">
        <v>0</v>
      </c>
      <c r="CE20" s="747">
        <v>0</v>
      </c>
      <c r="CF20" s="748">
        <v>0</v>
      </c>
      <c r="CG20" s="747">
        <v>0</v>
      </c>
      <c r="CH20" s="747">
        <v>0</v>
      </c>
      <c r="CI20" s="747">
        <v>0</v>
      </c>
      <c r="CJ20" s="747">
        <v>0</v>
      </c>
      <c r="CK20" s="748">
        <v>0</v>
      </c>
      <c r="CL20" s="738">
        <v>0</v>
      </c>
      <c r="CM20" s="738">
        <v>0</v>
      </c>
      <c r="CN20" s="739">
        <v>0</v>
      </c>
      <c r="CO20" s="740">
        <v>0</v>
      </c>
      <c r="CP20" s="740">
        <v>0</v>
      </c>
      <c r="CQ20" s="740">
        <v>0</v>
      </c>
      <c r="CR20" s="740">
        <v>0</v>
      </c>
      <c r="CS20" s="740">
        <v>0</v>
      </c>
      <c r="CT20" s="741">
        <v>0</v>
      </c>
      <c r="CU20" s="738">
        <v>1</v>
      </c>
      <c r="CV20" s="738">
        <v>1</v>
      </c>
      <c r="CW20" s="739">
        <v>1</v>
      </c>
      <c r="CX20" s="740">
        <v>1</v>
      </c>
      <c r="CY20" s="740">
        <v>1</v>
      </c>
      <c r="CZ20" s="740">
        <v>1</v>
      </c>
      <c r="DA20" s="740">
        <v>1</v>
      </c>
      <c r="DB20" s="740">
        <v>1</v>
      </c>
      <c r="DC20" s="741">
        <v>1</v>
      </c>
      <c r="DD20" s="738">
        <v>0</v>
      </c>
      <c r="DE20" s="738">
        <v>0</v>
      </c>
      <c r="DF20" s="739">
        <v>0</v>
      </c>
      <c r="DG20" s="740">
        <v>0</v>
      </c>
      <c r="DH20" s="740">
        <v>0</v>
      </c>
      <c r="DI20" s="740">
        <v>1</v>
      </c>
      <c r="DJ20" s="740">
        <v>1</v>
      </c>
      <c r="DK20" s="740">
        <v>1</v>
      </c>
      <c r="DL20" s="741">
        <v>1</v>
      </c>
      <c r="DM20" s="739">
        <v>0</v>
      </c>
      <c r="DN20" s="739">
        <v>0</v>
      </c>
      <c r="DO20" s="739">
        <v>0</v>
      </c>
      <c r="DP20" s="739">
        <v>0</v>
      </c>
      <c r="DQ20" s="739">
        <v>0</v>
      </c>
      <c r="DR20" s="739">
        <v>0</v>
      </c>
      <c r="DS20" s="746">
        <v>0</v>
      </c>
      <c r="DT20" s="740">
        <v>0</v>
      </c>
      <c r="DU20" s="740">
        <v>0</v>
      </c>
      <c r="DV20" s="739">
        <v>0</v>
      </c>
      <c r="DW20" s="740">
        <v>0</v>
      </c>
      <c r="DX20" s="740">
        <v>0</v>
      </c>
      <c r="DY20" s="740">
        <v>0</v>
      </c>
      <c r="DZ20" s="740">
        <v>1</v>
      </c>
      <c r="EA20" s="740">
        <v>1</v>
      </c>
      <c r="EB20" s="741">
        <v>1</v>
      </c>
      <c r="EC20" s="740">
        <v>0</v>
      </c>
      <c r="ED20" s="740">
        <v>0</v>
      </c>
      <c r="EE20" s="739">
        <v>0</v>
      </c>
      <c r="EF20" s="740">
        <v>0</v>
      </c>
      <c r="EG20" s="740">
        <v>0</v>
      </c>
      <c r="EH20" s="740">
        <v>0</v>
      </c>
      <c r="EI20" s="740">
        <v>0</v>
      </c>
      <c r="EJ20" s="740">
        <v>0</v>
      </c>
      <c r="EK20" s="741">
        <v>0</v>
      </c>
      <c r="EL20" s="747">
        <v>0</v>
      </c>
      <c r="EM20" s="747">
        <v>0</v>
      </c>
      <c r="EN20" s="747">
        <v>0</v>
      </c>
      <c r="EO20" s="747">
        <v>0</v>
      </c>
      <c r="EP20" s="747">
        <v>0</v>
      </c>
      <c r="EQ20" s="738">
        <v>0</v>
      </c>
      <c r="ER20" s="738">
        <v>0</v>
      </c>
      <c r="ES20" s="739">
        <v>0</v>
      </c>
      <c r="ET20" s="740">
        <v>0</v>
      </c>
      <c r="EU20" s="740">
        <v>0</v>
      </c>
      <c r="EV20" s="740">
        <v>0</v>
      </c>
      <c r="EW20" s="740">
        <v>0</v>
      </c>
      <c r="EX20" s="740">
        <v>0</v>
      </c>
      <c r="EY20" s="741">
        <v>0</v>
      </c>
      <c r="EZ20" s="738">
        <v>0</v>
      </c>
      <c r="FA20" s="738">
        <v>0</v>
      </c>
      <c r="FB20" s="739">
        <v>0</v>
      </c>
      <c r="FC20" s="740">
        <v>0</v>
      </c>
      <c r="FD20" s="740">
        <v>0</v>
      </c>
      <c r="FE20" s="740">
        <v>0</v>
      </c>
      <c r="FF20" s="740">
        <v>0</v>
      </c>
      <c r="FG20" s="740">
        <v>0</v>
      </c>
      <c r="FH20" s="741">
        <v>0</v>
      </c>
      <c r="FI20" s="738">
        <v>0</v>
      </c>
      <c r="FJ20" s="738">
        <v>0</v>
      </c>
      <c r="FK20" s="739">
        <v>0</v>
      </c>
      <c r="FL20" s="740">
        <v>0</v>
      </c>
      <c r="FM20" s="740">
        <v>0</v>
      </c>
      <c r="FN20" s="740">
        <v>0</v>
      </c>
      <c r="FO20" s="740">
        <v>0</v>
      </c>
      <c r="FP20" s="740">
        <v>0</v>
      </c>
      <c r="FQ20" s="741">
        <v>0</v>
      </c>
      <c r="FR20" s="738">
        <v>0</v>
      </c>
      <c r="FS20" s="738">
        <v>0</v>
      </c>
      <c r="FT20" s="739">
        <v>1</v>
      </c>
      <c r="FU20" s="740">
        <v>1</v>
      </c>
      <c r="FV20" s="740">
        <v>1</v>
      </c>
      <c r="FW20" s="740">
        <v>1</v>
      </c>
      <c r="FX20" s="740">
        <v>1</v>
      </c>
      <c r="FY20" s="740">
        <v>1</v>
      </c>
      <c r="FZ20" s="741">
        <v>1</v>
      </c>
      <c r="GA20" s="738">
        <v>0</v>
      </c>
      <c r="GB20" s="738">
        <v>0</v>
      </c>
      <c r="GC20" s="739">
        <v>0</v>
      </c>
      <c r="GD20" s="740">
        <v>0</v>
      </c>
      <c r="GE20" s="740">
        <v>0</v>
      </c>
      <c r="GF20" s="740">
        <v>0</v>
      </c>
      <c r="GG20" s="740">
        <v>0</v>
      </c>
      <c r="GH20" s="740">
        <v>0</v>
      </c>
      <c r="GI20" s="741">
        <v>0</v>
      </c>
      <c r="GJ20" s="738">
        <v>0</v>
      </c>
      <c r="GK20" s="738">
        <v>0</v>
      </c>
      <c r="GL20" s="739">
        <v>0</v>
      </c>
      <c r="GM20" s="740">
        <v>0</v>
      </c>
      <c r="GN20" s="740">
        <v>1</v>
      </c>
      <c r="GO20" s="740">
        <v>1</v>
      </c>
      <c r="GP20" s="740">
        <v>1</v>
      </c>
      <c r="GQ20" s="740">
        <v>1</v>
      </c>
      <c r="GR20" s="741">
        <v>1</v>
      </c>
      <c r="GS20" s="740">
        <v>0</v>
      </c>
      <c r="GT20" s="740">
        <v>0</v>
      </c>
      <c r="GU20" s="739">
        <v>0</v>
      </c>
      <c r="GV20" s="740">
        <v>0</v>
      </c>
      <c r="GW20" s="740">
        <v>0</v>
      </c>
      <c r="GX20" s="740">
        <v>0</v>
      </c>
      <c r="GY20" s="740">
        <v>0</v>
      </c>
      <c r="GZ20" s="740">
        <v>0</v>
      </c>
      <c r="HA20" s="741">
        <v>0</v>
      </c>
      <c r="HB20" s="738">
        <v>0</v>
      </c>
      <c r="HC20" s="738">
        <v>0</v>
      </c>
      <c r="HD20" s="739">
        <v>0</v>
      </c>
      <c r="HE20" s="740">
        <v>0</v>
      </c>
      <c r="HF20" s="740">
        <v>0</v>
      </c>
      <c r="HG20" s="740">
        <v>0</v>
      </c>
      <c r="HH20" s="740">
        <v>0</v>
      </c>
      <c r="HI20" s="740">
        <v>0</v>
      </c>
      <c r="HJ20" s="741">
        <v>0</v>
      </c>
      <c r="HK20" s="738">
        <v>0</v>
      </c>
      <c r="HL20" s="738">
        <v>0</v>
      </c>
      <c r="HM20" s="739">
        <v>0</v>
      </c>
      <c r="HN20" s="740">
        <v>0</v>
      </c>
      <c r="HO20" s="740">
        <v>0</v>
      </c>
      <c r="HP20" s="740">
        <v>0</v>
      </c>
      <c r="HQ20" s="740">
        <v>0</v>
      </c>
      <c r="HR20" s="740">
        <v>0</v>
      </c>
      <c r="HS20" s="741">
        <v>0</v>
      </c>
      <c r="HT20" s="749">
        <f t="shared" si="0"/>
        <v>24</v>
      </c>
      <c r="HU20" s="749">
        <f t="shared" si="0"/>
        <v>26</v>
      </c>
      <c r="HV20" s="749">
        <f t="shared" si="1"/>
        <v>28</v>
      </c>
      <c r="HW20" s="749">
        <f t="shared" si="1"/>
        <v>30</v>
      </c>
      <c r="HX20" s="749">
        <f t="shared" si="2"/>
        <v>30</v>
      </c>
      <c r="HY20" s="749">
        <f t="shared" si="2"/>
        <v>31</v>
      </c>
      <c r="HZ20" s="749">
        <f t="shared" si="2"/>
        <v>31</v>
      </c>
      <c r="IA20" s="749">
        <v>27</v>
      </c>
      <c r="IB20" s="750">
        <v>24</v>
      </c>
      <c r="IC20" s="751">
        <v>0</v>
      </c>
      <c r="ID20" s="751">
        <v>0</v>
      </c>
      <c r="IE20" s="754">
        <v>0</v>
      </c>
      <c r="IF20" s="754">
        <v>0</v>
      </c>
      <c r="IG20" s="754">
        <v>1</v>
      </c>
      <c r="IH20" s="754">
        <v>1</v>
      </c>
      <c r="II20" s="754">
        <v>0</v>
      </c>
      <c r="IJ20" s="754">
        <v>0</v>
      </c>
      <c r="IK20" s="754">
        <v>0</v>
      </c>
      <c r="IL20" s="754">
        <v>0</v>
      </c>
      <c r="IM20" s="754">
        <v>0</v>
      </c>
      <c r="IN20" s="754">
        <v>0</v>
      </c>
      <c r="IO20" s="754">
        <v>0</v>
      </c>
      <c r="IP20" s="754">
        <v>0</v>
      </c>
      <c r="IQ20" s="754">
        <v>0</v>
      </c>
      <c r="IR20" s="754">
        <v>0</v>
      </c>
      <c r="IS20" s="754">
        <v>0</v>
      </c>
      <c r="IT20" s="754">
        <v>0</v>
      </c>
      <c r="IU20" s="754">
        <v>0</v>
      </c>
      <c r="IV20" s="754">
        <v>0</v>
      </c>
      <c r="IW20" s="754">
        <v>0</v>
      </c>
      <c r="IX20" s="754">
        <v>0</v>
      </c>
      <c r="IY20" s="754">
        <v>0</v>
      </c>
      <c r="IZ20" s="754">
        <v>0</v>
      </c>
      <c r="JA20" s="754">
        <v>0</v>
      </c>
      <c r="JB20" s="754">
        <v>0</v>
      </c>
      <c r="JC20" s="754">
        <v>0</v>
      </c>
      <c r="JD20" s="754">
        <v>0</v>
      </c>
      <c r="JE20" s="754">
        <v>0</v>
      </c>
      <c r="JF20" s="754">
        <v>0</v>
      </c>
      <c r="JG20" s="754">
        <v>0</v>
      </c>
      <c r="JH20" s="754">
        <v>0</v>
      </c>
      <c r="JI20" s="754">
        <v>0</v>
      </c>
      <c r="JJ20" s="754">
        <v>0</v>
      </c>
      <c r="JK20" s="754">
        <v>0</v>
      </c>
      <c r="JL20" s="754">
        <v>0</v>
      </c>
      <c r="JM20" s="754">
        <v>0</v>
      </c>
      <c r="JN20" s="754">
        <v>0</v>
      </c>
      <c r="JO20" s="754">
        <v>0</v>
      </c>
      <c r="JP20" s="754">
        <v>0</v>
      </c>
      <c r="JQ20" s="754">
        <v>0</v>
      </c>
      <c r="JR20" s="754">
        <v>0</v>
      </c>
      <c r="JS20" s="754">
        <v>0</v>
      </c>
      <c r="JT20" s="754">
        <v>0</v>
      </c>
      <c r="JU20" s="754">
        <v>0</v>
      </c>
      <c r="JV20" s="754">
        <v>1</v>
      </c>
      <c r="JW20" s="754">
        <v>1</v>
      </c>
      <c r="JX20" s="754">
        <v>1</v>
      </c>
      <c r="JY20" s="754">
        <v>1</v>
      </c>
      <c r="JZ20" s="754">
        <v>1</v>
      </c>
      <c r="KA20" s="752">
        <v>0</v>
      </c>
      <c r="KB20" s="752">
        <v>0</v>
      </c>
      <c r="KC20" s="752">
        <v>0</v>
      </c>
      <c r="KD20" s="752">
        <v>0</v>
      </c>
      <c r="KE20" s="752">
        <v>1</v>
      </c>
      <c r="KF20" s="752">
        <v>1</v>
      </c>
      <c r="KG20" s="752">
        <v>1</v>
      </c>
      <c r="KH20" s="752">
        <v>2</v>
      </c>
      <c r="KI20" s="752">
        <v>2</v>
      </c>
      <c r="KJ20" s="752">
        <v>24</v>
      </c>
      <c r="KK20" s="752">
        <v>26</v>
      </c>
      <c r="KL20" s="752">
        <v>28</v>
      </c>
      <c r="KM20" s="752">
        <v>30</v>
      </c>
      <c r="KN20" s="752">
        <v>31</v>
      </c>
      <c r="KO20" s="752">
        <v>32</v>
      </c>
      <c r="KP20" s="752">
        <v>32</v>
      </c>
      <c r="KQ20" s="752">
        <v>29</v>
      </c>
      <c r="KR20" s="755">
        <v>26</v>
      </c>
      <c r="KS20" s="808"/>
    </row>
    <row r="21" spans="1:305" s="737" customFormat="1" ht="12.75" x14ac:dyDescent="0.2">
      <c r="A21" s="720">
        <v>17</v>
      </c>
      <c r="B21" s="721" t="s">
        <v>159</v>
      </c>
      <c r="C21" s="738">
        <v>3</v>
      </c>
      <c r="D21" s="738">
        <v>6</v>
      </c>
      <c r="E21" s="739">
        <v>6</v>
      </c>
      <c r="F21" s="740">
        <v>6</v>
      </c>
      <c r="G21" s="740">
        <v>6</v>
      </c>
      <c r="H21" s="740">
        <v>6</v>
      </c>
      <c r="I21" s="740">
        <v>5</v>
      </c>
      <c r="J21" s="740">
        <v>5</v>
      </c>
      <c r="K21" s="741">
        <v>5</v>
      </c>
      <c r="L21" s="738">
        <v>3</v>
      </c>
      <c r="M21" s="738">
        <v>3</v>
      </c>
      <c r="N21" s="739">
        <v>3</v>
      </c>
      <c r="O21" s="740">
        <v>4</v>
      </c>
      <c r="P21" s="740">
        <v>3</v>
      </c>
      <c r="Q21" s="740">
        <v>3</v>
      </c>
      <c r="R21" s="740">
        <v>3</v>
      </c>
      <c r="S21" s="740">
        <v>1</v>
      </c>
      <c r="T21" s="741">
        <v>1</v>
      </c>
      <c r="U21" s="738">
        <v>2</v>
      </c>
      <c r="V21" s="738">
        <v>2</v>
      </c>
      <c r="W21" s="739">
        <v>2</v>
      </c>
      <c r="X21" s="740">
        <v>2</v>
      </c>
      <c r="Y21" s="742">
        <v>2</v>
      </c>
      <c r="Z21" s="742">
        <v>2</v>
      </c>
      <c r="AA21" s="742">
        <v>1</v>
      </c>
      <c r="AB21" s="742">
        <v>1</v>
      </c>
      <c r="AC21" s="743">
        <v>1</v>
      </c>
      <c r="AD21" s="738">
        <v>1</v>
      </c>
      <c r="AE21" s="738">
        <v>1</v>
      </c>
      <c r="AF21" s="739">
        <v>1</v>
      </c>
      <c r="AG21" s="740">
        <v>1</v>
      </c>
      <c r="AH21" s="740">
        <v>1</v>
      </c>
      <c r="AI21" s="740">
        <v>1</v>
      </c>
      <c r="AJ21" s="740">
        <v>1</v>
      </c>
      <c r="AK21" s="740">
        <v>1</v>
      </c>
      <c r="AL21" s="741">
        <v>1</v>
      </c>
      <c r="AM21" s="744">
        <v>0</v>
      </c>
      <c r="AN21" s="744">
        <v>0</v>
      </c>
      <c r="AO21" s="744">
        <v>0</v>
      </c>
      <c r="AP21" s="744">
        <v>0</v>
      </c>
      <c r="AQ21" s="745">
        <v>0</v>
      </c>
      <c r="AR21" s="738">
        <v>0</v>
      </c>
      <c r="AS21" s="738">
        <v>0</v>
      </c>
      <c r="AT21" s="739">
        <v>0</v>
      </c>
      <c r="AU21" s="739">
        <v>0</v>
      </c>
      <c r="AV21" s="739">
        <v>0</v>
      </c>
      <c r="AW21" s="739">
        <v>0</v>
      </c>
      <c r="AX21" s="739">
        <v>0</v>
      </c>
      <c r="AY21" s="739">
        <v>0</v>
      </c>
      <c r="AZ21" s="746">
        <v>0</v>
      </c>
      <c r="BA21" s="738">
        <v>0</v>
      </c>
      <c r="BB21" s="738">
        <v>0</v>
      </c>
      <c r="BC21" s="739">
        <v>0</v>
      </c>
      <c r="BD21" s="739">
        <v>0</v>
      </c>
      <c r="BE21" s="739">
        <v>0</v>
      </c>
      <c r="BF21" s="739">
        <v>0</v>
      </c>
      <c r="BG21" s="739">
        <v>0</v>
      </c>
      <c r="BH21" s="739">
        <v>0</v>
      </c>
      <c r="BI21" s="746">
        <v>0</v>
      </c>
      <c r="BJ21" s="738">
        <v>0</v>
      </c>
      <c r="BK21" s="738">
        <v>0</v>
      </c>
      <c r="BL21" s="739">
        <v>0</v>
      </c>
      <c r="BM21" s="747">
        <v>0</v>
      </c>
      <c r="BN21" s="747">
        <v>0</v>
      </c>
      <c r="BO21" s="747">
        <v>0</v>
      </c>
      <c r="BP21" s="747">
        <v>0</v>
      </c>
      <c r="BQ21" s="747">
        <v>0</v>
      </c>
      <c r="BR21" s="748">
        <v>0</v>
      </c>
      <c r="BS21" s="747">
        <v>0</v>
      </c>
      <c r="BT21" s="747">
        <v>0</v>
      </c>
      <c r="BU21" s="747">
        <v>0</v>
      </c>
      <c r="BV21" s="747">
        <v>0</v>
      </c>
      <c r="BW21" s="748">
        <v>0</v>
      </c>
      <c r="BX21" s="738">
        <v>0</v>
      </c>
      <c r="BY21" s="738">
        <v>0</v>
      </c>
      <c r="BZ21" s="739">
        <v>0</v>
      </c>
      <c r="CA21" s="747">
        <v>0</v>
      </c>
      <c r="CB21" s="747">
        <v>0</v>
      </c>
      <c r="CC21" s="747">
        <v>0</v>
      </c>
      <c r="CD21" s="747">
        <v>0</v>
      </c>
      <c r="CE21" s="747">
        <v>0</v>
      </c>
      <c r="CF21" s="748">
        <v>0</v>
      </c>
      <c r="CG21" s="747">
        <v>0</v>
      </c>
      <c r="CH21" s="747">
        <v>0</v>
      </c>
      <c r="CI21" s="747">
        <v>0</v>
      </c>
      <c r="CJ21" s="747">
        <v>0</v>
      </c>
      <c r="CK21" s="748">
        <v>0</v>
      </c>
      <c r="CL21" s="738">
        <v>0</v>
      </c>
      <c r="CM21" s="738">
        <v>0</v>
      </c>
      <c r="CN21" s="739">
        <v>0</v>
      </c>
      <c r="CO21" s="740">
        <v>0</v>
      </c>
      <c r="CP21" s="740">
        <v>0</v>
      </c>
      <c r="CQ21" s="740">
        <v>0</v>
      </c>
      <c r="CR21" s="740">
        <v>0</v>
      </c>
      <c r="CS21" s="740">
        <v>0</v>
      </c>
      <c r="CT21" s="741">
        <v>0</v>
      </c>
      <c r="CU21" s="738">
        <v>0</v>
      </c>
      <c r="CV21" s="738">
        <v>0</v>
      </c>
      <c r="CW21" s="739">
        <v>0</v>
      </c>
      <c r="CX21" s="740">
        <v>0</v>
      </c>
      <c r="CY21" s="740">
        <v>0</v>
      </c>
      <c r="CZ21" s="740">
        <v>0</v>
      </c>
      <c r="DA21" s="740">
        <v>0</v>
      </c>
      <c r="DB21" s="740">
        <v>0</v>
      </c>
      <c r="DC21" s="741">
        <v>0</v>
      </c>
      <c r="DD21" s="738">
        <v>0</v>
      </c>
      <c r="DE21" s="738">
        <v>0</v>
      </c>
      <c r="DF21" s="739">
        <v>0</v>
      </c>
      <c r="DG21" s="740">
        <v>0</v>
      </c>
      <c r="DH21" s="740">
        <v>0</v>
      </c>
      <c r="DI21" s="740">
        <v>0</v>
      </c>
      <c r="DJ21" s="740">
        <v>0</v>
      </c>
      <c r="DK21" s="740">
        <v>0</v>
      </c>
      <c r="DL21" s="741">
        <v>0</v>
      </c>
      <c r="DM21" s="739">
        <v>0</v>
      </c>
      <c r="DN21" s="739">
        <v>0</v>
      </c>
      <c r="DO21" s="739">
        <v>0</v>
      </c>
      <c r="DP21" s="739">
        <v>0</v>
      </c>
      <c r="DQ21" s="739">
        <v>0</v>
      </c>
      <c r="DR21" s="739">
        <v>0</v>
      </c>
      <c r="DS21" s="746">
        <v>0</v>
      </c>
      <c r="DT21" s="740">
        <v>0</v>
      </c>
      <c r="DU21" s="740">
        <v>0</v>
      </c>
      <c r="DV21" s="739">
        <v>0</v>
      </c>
      <c r="DW21" s="740">
        <v>0</v>
      </c>
      <c r="DX21" s="740">
        <v>0</v>
      </c>
      <c r="DY21" s="740">
        <v>0</v>
      </c>
      <c r="DZ21" s="740">
        <v>0</v>
      </c>
      <c r="EA21" s="740">
        <v>0</v>
      </c>
      <c r="EB21" s="741">
        <v>0</v>
      </c>
      <c r="EC21" s="740">
        <v>0</v>
      </c>
      <c r="ED21" s="740">
        <v>0</v>
      </c>
      <c r="EE21" s="739">
        <v>0</v>
      </c>
      <c r="EF21" s="740">
        <v>0</v>
      </c>
      <c r="EG21" s="740">
        <v>0</v>
      </c>
      <c r="EH21" s="740">
        <v>0</v>
      </c>
      <c r="EI21" s="740">
        <v>0</v>
      </c>
      <c r="EJ21" s="740">
        <v>0</v>
      </c>
      <c r="EK21" s="741">
        <v>0</v>
      </c>
      <c r="EL21" s="747">
        <v>0</v>
      </c>
      <c r="EM21" s="747">
        <v>0</v>
      </c>
      <c r="EN21" s="747">
        <v>0</v>
      </c>
      <c r="EO21" s="747">
        <v>0</v>
      </c>
      <c r="EP21" s="747">
        <v>0</v>
      </c>
      <c r="EQ21" s="738">
        <v>0</v>
      </c>
      <c r="ER21" s="738">
        <v>0</v>
      </c>
      <c r="ES21" s="739">
        <v>0</v>
      </c>
      <c r="ET21" s="740">
        <v>0</v>
      </c>
      <c r="EU21" s="740">
        <v>0</v>
      </c>
      <c r="EV21" s="740">
        <v>0</v>
      </c>
      <c r="EW21" s="740">
        <v>0</v>
      </c>
      <c r="EX21" s="740">
        <v>0</v>
      </c>
      <c r="EY21" s="741">
        <v>0</v>
      </c>
      <c r="EZ21" s="738">
        <v>0</v>
      </c>
      <c r="FA21" s="738">
        <v>0</v>
      </c>
      <c r="FB21" s="739">
        <v>0</v>
      </c>
      <c r="FC21" s="740">
        <v>0</v>
      </c>
      <c r="FD21" s="740">
        <v>0</v>
      </c>
      <c r="FE21" s="740">
        <v>0</v>
      </c>
      <c r="FF21" s="740">
        <v>0</v>
      </c>
      <c r="FG21" s="740">
        <v>1</v>
      </c>
      <c r="FH21" s="741">
        <v>1</v>
      </c>
      <c r="FI21" s="738">
        <v>0</v>
      </c>
      <c r="FJ21" s="738">
        <v>0</v>
      </c>
      <c r="FK21" s="739">
        <v>0</v>
      </c>
      <c r="FL21" s="740">
        <v>0</v>
      </c>
      <c r="FM21" s="740">
        <v>0</v>
      </c>
      <c r="FN21" s="740">
        <v>0</v>
      </c>
      <c r="FO21" s="740">
        <v>0</v>
      </c>
      <c r="FP21" s="740">
        <v>0</v>
      </c>
      <c r="FQ21" s="741">
        <v>0</v>
      </c>
      <c r="FR21" s="738">
        <v>0</v>
      </c>
      <c r="FS21" s="738">
        <v>0</v>
      </c>
      <c r="FT21" s="739">
        <v>1</v>
      </c>
      <c r="FU21" s="740">
        <v>1</v>
      </c>
      <c r="FV21" s="740">
        <v>1</v>
      </c>
      <c r="FW21" s="740">
        <v>1</v>
      </c>
      <c r="FX21" s="740">
        <v>1</v>
      </c>
      <c r="FY21" s="740">
        <v>1</v>
      </c>
      <c r="FZ21" s="741">
        <v>1</v>
      </c>
      <c r="GA21" s="738">
        <v>0</v>
      </c>
      <c r="GB21" s="738">
        <v>0</v>
      </c>
      <c r="GC21" s="739">
        <v>0</v>
      </c>
      <c r="GD21" s="740">
        <v>0</v>
      </c>
      <c r="GE21" s="740">
        <v>0</v>
      </c>
      <c r="GF21" s="740">
        <v>0</v>
      </c>
      <c r="GG21" s="740">
        <v>0</v>
      </c>
      <c r="GH21" s="740">
        <v>0</v>
      </c>
      <c r="GI21" s="741">
        <v>0</v>
      </c>
      <c r="GJ21" s="738">
        <v>0</v>
      </c>
      <c r="GK21" s="738">
        <v>0</v>
      </c>
      <c r="GL21" s="739">
        <v>0</v>
      </c>
      <c r="GM21" s="740">
        <v>0</v>
      </c>
      <c r="GN21" s="740">
        <v>0</v>
      </c>
      <c r="GO21" s="740">
        <v>0</v>
      </c>
      <c r="GP21" s="740">
        <v>0</v>
      </c>
      <c r="GQ21" s="740">
        <v>0</v>
      </c>
      <c r="GR21" s="741">
        <v>0</v>
      </c>
      <c r="GS21" s="740">
        <v>0</v>
      </c>
      <c r="GT21" s="740">
        <v>0</v>
      </c>
      <c r="GU21" s="739">
        <v>0</v>
      </c>
      <c r="GV21" s="740">
        <v>0</v>
      </c>
      <c r="GW21" s="740">
        <v>0</v>
      </c>
      <c r="GX21" s="740">
        <v>0</v>
      </c>
      <c r="GY21" s="740">
        <v>0</v>
      </c>
      <c r="GZ21" s="740">
        <v>0</v>
      </c>
      <c r="HA21" s="741">
        <v>0</v>
      </c>
      <c r="HB21" s="738">
        <v>0</v>
      </c>
      <c r="HC21" s="738">
        <v>0</v>
      </c>
      <c r="HD21" s="739">
        <v>0</v>
      </c>
      <c r="HE21" s="740">
        <v>0</v>
      </c>
      <c r="HF21" s="740">
        <v>0</v>
      </c>
      <c r="HG21" s="740">
        <v>0</v>
      </c>
      <c r="HH21" s="740">
        <v>0</v>
      </c>
      <c r="HI21" s="740">
        <v>0</v>
      </c>
      <c r="HJ21" s="741">
        <v>0</v>
      </c>
      <c r="HK21" s="738">
        <v>0</v>
      </c>
      <c r="HL21" s="738">
        <v>0</v>
      </c>
      <c r="HM21" s="739">
        <v>0</v>
      </c>
      <c r="HN21" s="740">
        <v>0</v>
      </c>
      <c r="HO21" s="740">
        <v>0</v>
      </c>
      <c r="HP21" s="740">
        <v>0</v>
      </c>
      <c r="HQ21" s="740">
        <v>0</v>
      </c>
      <c r="HR21" s="740">
        <v>0</v>
      </c>
      <c r="HS21" s="741">
        <v>0</v>
      </c>
      <c r="HT21" s="749">
        <f t="shared" si="0"/>
        <v>9</v>
      </c>
      <c r="HU21" s="749">
        <f t="shared" si="0"/>
        <v>12</v>
      </c>
      <c r="HV21" s="749">
        <f t="shared" si="1"/>
        <v>13</v>
      </c>
      <c r="HW21" s="749">
        <f t="shared" si="1"/>
        <v>14</v>
      </c>
      <c r="HX21" s="749">
        <f t="shared" si="2"/>
        <v>13</v>
      </c>
      <c r="HY21" s="749">
        <f t="shared" si="2"/>
        <v>13</v>
      </c>
      <c r="HZ21" s="749">
        <f t="shared" si="2"/>
        <v>11</v>
      </c>
      <c r="IA21" s="749">
        <v>10</v>
      </c>
      <c r="IB21" s="750">
        <v>10</v>
      </c>
      <c r="IC21" s="751">
        <v>0</v>
      </c>
      <c r="ID21" s="751">
        <v>0</v>
      </c>
      <c r="IE21" s="754">
        <v>0</v>
      </c>
      <c r="IF21" s="754">
        <v>0</v>
      </c>
      <c r="IG21" s="754">
        <v>0</v>
      </c>
      <c r="IH21" s="754">
        <v>0</v>
      </c>
      <c r="II21" s="754">
        <v>0</v>
      </c>
      <c r="IJ21" s="754">
        <v>0</v>
      </c>
      <c r="IK21" s="754">
        <v>0</v>
      </c>
      <c r="IL21" s="754">
        <v>0</v>
      </c>
      <c r="IM21" s="754">
        <v>0</v>
      </c>
      <c r="IN21" s="754">
        <v>0</v>
      </c>
      <c r="IO21" s="754">
        <v>0</v>
      </c>
      <c r="IP21" s="754">
        <v>0</v>
      </c>
      <c r="IQ21" s="754">
        <v>0</v>
      </c>
      <c r="IR21" s="754">
        <v>0</v>
      </c>
      <c r="IS21" s="754">
        <v>0</v>
      </c>
      <c r="IT21" s="754">
        <v>0</v>
      </c>
      <c r="IU21" s="754">
        <v>0</v>
      </c>
      <c r="IV21" s="754">
        <v>0</v>
      </c>
      <c r="IW21" s="754">
        <v>0</v>
      </c>
      <c r="IX21" s="754">
        <v>0</v>
      </c>
      <c r="IY21" s="754">
        <v>0</v>
      </c>
      <c r="IZ21" s="754">
        <v>0</v>
      </c>
      <c r="JA21" s="754">
        <v>0</v>
      </c>
      <c r="JB21" s="754">
        <v>0</v>
      </c>
      <c r="JC21" s="754">
        <v>0</v>
      </c>
      <c r="JD21" s="754">
        <v>0</v>
      </c>
      <c r="JE21" s="754">
        <v>0</v>
      </c>
      <c r="JF21" s="754">
        <v>0</v>
      </c>
      <c r="JG21" s="754">
        <v>0</v>
      </c>
      <c r="JH21" s="754">
        <v>0</v>
      </c>
      <c r="JI21" s="754">
        <v>0</v>
      </c>
      <c r="JJ21" s="754">
        <v>0</v>
      </c>
      <c r="JK21" s="754">
        <v>0</v>
      </c>
      <c r="JL21" s="754">
        <v>0</v>
      </c>
      <c r="JM21" s="754">
        <v>0</v>
      </c>
      <c r="JN21" s="754">
        <v>0</v>
      </c>
      <c r="JO21" s="754">
        <v>0</v>
      </c>
      <c r="JP21" s="754">
        <v>0</v>
      </c>
      <c r="JQ21" s="754">
        <v>0</v>
      </c>
      <c r="JR21" s="754">
        <v>0</v>
      </c>
      <c r="JS21" s="754">
        <v>0</v>
      </c>
      <c r="JT21" s="754">
        <v>0</v>
      </c>
      <c r="JU21" s="754">
        <v>0</v>
      </c>
      <c r="JV21" s="754">
        <v>0</v>
      </c>
      <c r="JW21" s="754">
        <v>0</v>
      </c>
      <c r="JX21" s="754">
        <v>0</v>
      </c>
      <c r="JY21" s="754">
        <v>0</v>
      </c>
      <c r="JZ21" s="754">
        <v>0</v>
      </c>
      <c r="KA21" s="752">
        <v>0</v>
      </c>
      <c r="KB21" s="752">
        <v>0</v>
      </c>
      <c r="KC21" s="752">
        <v>0</v>
      </c>
      <c r="KD21" s="752">
        <v>0</v>
      </c>
      <c r="KE21" s="752">
        <v>0</v>
      </c>
      <c r="KF21" s="752">
        <v>0</v>
      </c>
      <c r="KG21" s="752">
        <v>0</v>
      </c>
      <c r="KH21" s="752">
        <v>0</v>
      </c>
      <c r="KI21" s="752">
        <v>0</v>
      </c>
      <c r="KJ21" s="752">
        <v>9</v>
      </c>
      <c r="KK21" s="752">
        <v>12</v>
      </c>
      <c r="KL21" s="752">
        <v>13</v>
      </c>
      <c r="KM21" s="752">
        <v>14</v>
      </c>
      <c r="KN21" s="752">
        <v>13</v>
      </c>
      <c r="KO21" s="752">
        <v>13</v>
      </c>
      <c r="KP21" s="752">
        <v>11</v>
      </c>
      <c r="KQ21" s="752">
        <v>10</v>
      </c>
      <c r="KR21" s="755">
        <v>10</v>
      </c>
      <c r="KS21" s="808"/>
    </row>
    <row r="22" spans="1:305" s="737" customFormat="1" ht="12.75" x14ac:dyDescent="0.2">
      <c r="A22" s="720">
        <v>18</v>
      </c>
      <c r="B22" s="721" t="s">
        <v>160</v>
      </c>
      <c r="C22" s="738">
        <v>4</v>
      </c>
      <c r="D22" s="738">
        <v>6</v>
      </c>
      <c r="E22" s="739">
        <v>6</v>
      </c>
      <c r="F22" s="740">
        <v>6</v>
      </c>
      <c r="G22" s="740">
        <v>5</v>
      </c>
      <c r="H22" s="740">
        <v>5</v>
      </c>
      <c r="I22" s="740">
        <v>4</v>
      </c>
      <c r="J22" s="740">
        <v>4</v>
      </c>
      <c r="K22" s="741">
        <v>4</v>
      </c>
      <c r="L22" s="738">
        <v>4</v>
      </c>
      <c r="M22" s="738">
        <v>4</v>
      </c>
      <c r="N22" s="739">
        <v>5</v>
      </c>
      <c r="O22" s="740">
        <v>6</v>
      </c>
      <c r="P22" s="740">
        <v>4</v>
      </c>
      <c r="Q22" s="740">
        <v>4</v>
      </c>
      <c r="R22" s="740">
        <v>4</v>
      </c>
      <c r="S22" s="740">
        <v>3</v>
      </c>
      <c r="T22" s="741">
        <v>3</v>
      </c>
      <c r="U22" s="738">
        <v>3</v>
      </c>
      <c r="V22" s="738">
        <v>3</v>
      </c>
      <c r="W22" s="739">
        <v>3</v>
      </c>
      <c r="X22" s="740">
        <v>3</v>
      </c>
      <c r="Y22" s="742">
        <v>3</v>
      </c>
      <c r="Z22" s="742">
        <v>3</v>
      </c>
      <c r="AA22" s="742">
        <v>3</v>
      </c>
      <c r="AB22" s="742">
        <v>3</v>
      </c>
      <c r="AC22" s="743">
        <v>3</v>
      </c>
      <c r="AD22" s="738">
        <v>1</v>
      </c>
      <c r="AE22" s="738">
        <v>1</v>
      </c>
      <c r="AF22" s="739">
        <v>1</v>
      </c>
      <c r="AG22" s="740">
        <v>1</v>
      </c>
      <c r="AH22" s="740">
        <v>1</v>
      </c>
      <c r="AI22" s="740">
        <v>1</v>
      </c>
      <c r="AJ22" s="740">
        <v>1</v>
      </c>
      <c r="AK22" s="740">
        <v>1</v>
      </c>
      <c r="AL22" s="741">
        <v>1</v>
      </c>
      <c r="AM22" s="744">
        <v>0</v>
      </c>
      <c r="AN22" s="744">
        <v>0</v>
      </c>
      <c r="AO22" s="744">
        <v>0</v>
      </c>
      <c r="AP22" s="744">
        <v>0</v>
      </c>
      <c r="AQ22" s="745">
        <v>0</v>
      </c>
      <c r="AR22" s="738">
        <v>0</v>
      </c>
      <c r="AS22" s="738">
        <v>0</v>
      </c>
      <c r="AT22" s="739">
        <v>0</v>
      </c>
      <c r="AU22" s="739">
        <v>0</v>
      </c>
      <c r="AV22" s="739">
        <v>0</v>
      </c>
      <c r="AW22" s="739">
        <v>0</v>
      </c>
      <c r="AX22" s="739">
        <v>0</v>
      </c>
      <c r="AY22" s="739">
        <v>0</v>
      </c>
      <c r="AZ22" s="746">
        <v>0</v>
      </c>
      <c r="BA22" s="738">
        <v>0</v>
      </c>
      <c r="BB22" s="738">
        <v>0</v>
      </c>
      <c r="BC22" s="739">
        <v>0</v>
      </c>
      <c r="BD22" s="739">
        <v>0</v>
      </c>
      <c r="BE22" s="739">
        <v>0</v>
      </c>
      <c r="BF22" s="739">
        <v>0</v>
      </c>
      <c r="BG22" s="739">
        <v>0</v>
      </c>
      <c r="BH22" s="739">
        <v>0</v>
      </c>
      <c r="BI22" s="746">
        <v>0</v>
      </c>
      <c r="BJ22" s="738">
        <v>0</v>
      </c>
      <c r="BK22" s="738">
        <v>0</v>
      </c>
      <c r="BL22" s="739">
        <v>0</v>
      </c>
      <c r="BM22" s="747">
        <v>0</v>
      </c>
      <c r="BN22" s="747">
        <v>0</v>
      </c>
      <c r="BO22" s="747">
        <v>0</v>
      </c>
      <c r="BP22" s="747">
        <v>0</v>
      </c>
      <c r="BQ22" s="747">
        <v>0</v>
      </c>
      <c r="BR22" s="748">
        <v>0</v>
      </c>
      <c r="BS22" s="747">
        <v>0</v>
      </c>
      <c r="BT22" s="747">
        <v>0</v>
      </c>
      <c r="BU22" s="747">
        <v>0</v>
      </c>
      <c r="BV22" s="747">
        <v>0</v>
      </c>
      <c r="BW22" s="748">
        <v>0</v>
      </c>
      <c r="BX22" s="738">
        <v>0</v>
      </c>
      <c r="BY22" s="738">
        <v>0</v>
      </c>
      <c r="BZ22" s="739">
        <v>0</v>
      </c>
      <c r="CA22" s="747">
        <v>0</v>
      </c>
      <c r="CB22" s="747">
        <v>0</v>
      </c>
      <c r="CC22" s="747">
        <v>0</v>
      </c>
      <c r="CD22" s="747">
        <v>0</v>
      </c>
      <c r="CE22" s="747">
        <v>0</v>
      </c>
      <c r="CF22" s="748">
        <v>0</v>
      </c>
      <c r="CG22" s="747">
        <v>0</v>
      </c>
      <c r="CH22" s="747">
        <v>0</v>
      </c>
      <c r="CI22" s="747">
        <v>0</v>
      </c>
      <c r="CJ22" s="747">
        <v>0</v>
      </c>
      <c r="CK22" s="748">
        <v>0</v>
      </c>
      <c r="CL22" s="738">
        <v>0</v>
      </c>
      <c r="CM22" s="738">
        <v>0</v>
      </c>
      <c r="CN22" s="739">
        <v>0</v>
      </c>
      <c r="CO22" s="740">
        <v>0</v>
      </c>
      <c r="CP22" s="740">
        <v>0</v>
      </c>
      <c r="CQ22" s="740">
        <v>0</v>
      </c>
      <c r="CR22" s="740">
        <v>0</v>
      </c>
      <c r="CS22" s="740">
        <v>0</v>
      </c>
      <c r="CT22" s="741">
        <v>0</v>
      </c>
      <c r="CU22" s="738">
        <v>0</v>
      </c>
      <c r="CV22" s="738">
        <v>0</v>
      </c>
      <c r="CW22" s="739">
        <v>0</v>
      </c>
      <c r="CX22" s="740">
        <v>0</v>
      </c>
      <c r="CY22" s="740">
        <v>0</v>
      </c>
      <c r="CZ22" s="740">
        <v>0</v>
      </c>
      <c r="DA22" s="740">
        <v>0</v>
      </c>
      <c r="DB22" s="740">
        <v>0</v>
      </c>
      <c r="DC22" s="741">
        <v>0</v>
      </c>
      <c r="DD22" s="738">
        <v>0</v>
      </c>
      <c r="DE22" s="738">
        <v>0</v>
      </c>
      <c r="DF22" s="739">
        <v>0</v>
      </c>
      <c r="DG22" s="740">
        <v>0</v>
      </c>
      <c r="DH22" s="740">
        <v>0</v>
      </c>
      <c r="DI22" s="740">
        <v>0</v>
      </c>
      <c r="DJ22" s="740">
        <v>0</v>
      </c>
      <c r="DK22" s="740">
        <v>0</v>
      </c>
      <c r="DL22" s="741">
        <v>0</v>
      </c>
      <c r="DM22" s="739">
        <v>0</v>
      </c>
      <c r="DN22" s="739">
        <v>0</v>
      </c>
      <c r="DO22" s="739">
        <v>0</v>
      </c>
      <c r="DP22" s="739">
        <v>0</v>
      </c>
      <c r="DQ22" s="739">
        <v>0</v>
      </c>
      <c r="DR22" s="739">
        <v>0</v>
      </c>
      <c r="DS22" s="746">
        <v>0</v>
      </c>
      <c r="DT22" s="740">
        <v>0</v>
      </c>
      <c r="DU22" s="740">
        <v>0</v>
      </c>
      <c r="DV22" s="739">
        <v>0</v>
      </c>
      <c r="DW22" s="740">
        <v>0</v>
      </c>
      <c r="DX22" s="740">
        <v>0</v>
      </c>
      <c r="DY22" s="740">
        <v>0</v>
      </c>
      <c r="DZ22" s="740">
        <v>0</v>
      </c>
      <c r="EA22" s="740">
        <v>0</v>
      </c>
      <c r="EB22" s="741">
        <v>0</v>
      </c>
      <c r="EC22" s="740">
        <v>0</v>
      </c>
      <c r="ED22" s="740">
        <v>0</v>
      </c>
      <c r="EE22" s="739">
        <v>0</v>
      </c>
      <c r="EF22" s="740">
        <v>0</v>
      </c>
      <c r="EG22" s="740">
        <v>0</v>
      </c>
      <c r="EH22" s="740">
        <v>0</v>
      </c>
      <c r="EI22" s="740">
        <v>0</v>
      </c>
      <c r="EJ22" s="740">
        <v>0</v>
      </c>
      <c r="EK22" s="741">
        <v>0</v>
      </c>
      <c r="EL22" s="747">
        <v>0</v>
      </c>
      <c r="EM22" s="747">
        <v>0</v>
      </c>
      <c r="EN22" s="747">
        <v>0</v>
      </c>
      <c r="EO22" s="747">
        <v>0</v>
      </c>
      <c r="EP22" s="747">
        <v>0</v>
      </c>
      <c r="EQ22" s="738">
        <v>0</v>
      </c>
      <c r="ER22" s="738">
        <v>0</v>
      </c>
      <c r="ES22" s="739">
        <v>0</v>
      </c>
      <c r="ET22" s="740">
        <v>0</v>
      </c>
      <c r="EU22" s="740">
        <v>0</v>
      </c>
      <c r="EV22" s="740">
        <v>0</v>
      </c>
      <c r="EW22" s="740">
        <v>0</v>
      </c>
      <c r="EX22" s="740">
        <v>0</v>
      </c>
      <c r="EY22" s="741">
        <v>0</v>
      </c>
      <c r="EZ22" s="738">
        <v>0</v>
      </c>
      <c r="FA22" s="738">
        <v>0</v>
      </c>
      <c r="FB22" s="739">
        <v>0</v>
      </c>
      <c r="FC22" s="740">
        <v>0</v>
      </c>
      <c r="FD22" s="740">
        <v>0</v>
      </c>
      <c r="FE22" s="740">
        <v>0</v>
      </c>
      <c r="FF22" s="740">
        <v>0</v>
      </c>
      <c r="FG22" s="740">
        <v>0</v>
      </c>
      <c r="FH22" s="741">
        <v>0</v>
      </c>
      <c r="FI22" s="738">
        <v>0</v>
      </c>
      <c r="FJ22" s="738">
        <v>0</v>
      </c>
      <c r="FK22" s="739">
        <v>0</v>
      </c>
      <c r="FL22" s="740">
        <v>0</v>
      </c>
      <c r="FM22" s="740">
        <v>0</v>
      </c>
      <c r="FN22" s="740">
        <v>0</v>
      </c>
      <c r="FO22" s="740">
        <v>0</v>
      </c>
      <c r="FP22" s="740">
        <v>0</v>
      </c>
      <c r="FQ22" s="741">
        <v>0</v>
      </c>
      <c r="FR22" s="738">
        <v>0</v>
      </c>
      <c r="FS22" s="738">
        <v>0</v>
      </c>
      <c r="FT22" s="739">
        <v>0</v>
      </c>
      <c r="FU22" s="740">
        <v>0</v>
      </c>
      <c r="FV22" s="740">
        <v>0</v>
      </c>
      <c r="FW22" s="740">
        <v>0</v>
      </c>
      <c r="FX22" s="740">
        <v>0</v>
      </c>
      <c r="FY22" s="740">
        <v>1</v>
      </c>
      <c r="FZ22" s="741">
        <v>1</v>
      </c>
      <c r="GA22" s="738">
        <v>0</v>
      </c>
      <c r="GB22" s="738">
        <v>0</v>
      </c>
      <c r="GC22" s="739">
        <v>0</v>
      </c>
      <c r="GD22" s="740">
        <v>0</v>
      </c>
      <c r="GE22" s="740">
        <v>0</v>
      </c>
      <c r="GF22" s="740">
        <v>0</v>
      </c>
      <c r="GG22" s="740">
        <v>0</v>
      </c>
      <c r="GH22" s="740">
        <v>0</v>
      </c>
      <c r="GI22" s="741">
        <v>0</v>
      </c>
      <c r="GJ22" s="738">
        <v>0</v>
      </c>
      <c r="GK22" s="738">
        <v>0</v>
      </c>
      <c r="GL22" s="739">
        <v>0</v>
      </c>
      <c r="GM22" s="740">
        <v>0</v>
      </c>
      <c r="GN22" s="740">
        <v>0</v>
      </c>
      <c r="GO22" s="740">
        <v>0</v>
      </c>
      <c r="GP22" s="740">
        <v>0</v>
      </c>
      <c r="GQ22" s="740">
        <v>0</v>
      </c>
      <c r="GR22" s="741">
        <v>0</v>
      </c>
      <c r="GS22" s="740">
        <v>0</v>
      </c>
      <c r="GT22" s="740">
        <v>0</v>
      </c>
      <c r="GU22" s="739">
        <v>0</v>
      </c>
      <c r="GV22" s="740">
        <v>0</v>
      </c>
      <c r="GW22" s="740">
        <v>0</v>
      </c>
      <c r="GX22" s="740">
        <v>0</v>
      </c>
      <c r="GY22" s="740">
        <v>0</v>
      </c>
      <c r="GZ22" s="740">
        <v>0</v>
      </c>
      <c r="HA22" s="741">
        <v>0</v>
      </c>
      <c r="HB22" s="738">
        <v>0</v>
      </c>
      <c r="HC22" s="738">
        <v>0</v>
      </c>
      <c r="HD22" s="739">
        <v>0</v>
      </c>
      <c r="HE22" s="740">
        <v>0</v>
      </c>
      <c r="HF22" s="740">
        <v>0</v>
      </c>
      <c r="HG22" s="740">
        <v>0</v>
      </c>
      <c r="HH22" s="740">
        <v>0</v>
      </c>
      <c r="HI22" s="740">
        <v>0</v>
      </c>
      <c r="HJ22" s="741">
        <v>0</v>
      </c>
      <c r="HK22" s="738">
        <v>0</v>
      </c>
      <c r="HL22" s="738">
        <v>0</v>
      </c>
      <c r="HM22" s="739">
        <v>0</v>
      </c>
      <c r="HN22" s="740">
        <v>0</v>
      </c>
      <c r="HO22" s="740">
        <v>0</v>
      </c>
      <c r="HP22" s="740">
        <v>0</v>
      </c>
      <c r="HQ22" s="740">
        <v>0</v>
      </c>
      <c r="HR22" s="740">
        <v>0</v>
      </c>
      <c r="HS22" s="741">
        <v>0</v>
      </c>
      <c r="HT22" s="749">
        <f t="shared" si="0"/>
        <v>12</v>
      </c>
      <c r="HU22" s="749">
        <f t="shared" si="0"/>
        <v>14</v>
      </c>
      <c r="HV22" s="749">
        <f t="shared" si="1"/>
        <v>15</v>
      </c>
      <c r="HW22" s="749">
        <f t="shared" si="1"/>
        <v>16</v>
      </c>
      <c r="HX22" s="749">
        <f t="shared" si="2"/>
        <v>13</v>
      </c>
      <c r="HY22" s="749">
        <f t="shared" si="2"/>
        <v>13</v>
      </c>
      <c r="HZ22" s="749">
        <f t="shared" si="2"/>
        <v>12</v>
      </c>
      <c r="IA22" s="749">
        <v>12</v>
      </c>
      <c r="IB22" s="750">
        <v>12</v>
      </c>
      <c r="IC22" s="751">
        <v>0</v>
      </c>
      <c r="ID22" s="751">
        <v>0</v>
      </c>
      <c r="IE22" s="754">
        <v>0</v>
      </c>
      <c r="IF22" s="754">
        <v>0</v>
      </c>
      <c r="IG22" s="754">
        <v>0</v>
      </c>
      <c r="IH22" s="754">
        <v>0</v>
      </c>
      <c r="II22" s="754">
        <v>0</v>
      </c>
      <c r="IJ22" s="754">
        <v>0</v>
      </c>
      <c r="IK22" s="754">
        <v>0</v>
      </c>
      <c r="IL22" s="754">
        <v>0</v>
      </c>
      <c r="IM22" s="754">
        <v>0</v>
      </c>
      <c r="IN22" s="754">
        <v>0</v>
      </c>
      <c r="IO22" s="754">
        <v>0</v>
      </c>
      <c r="IP22" s="754">
        <v>0</v>
      </c>
      <c r="IQ22" s="754">
        <v>0</v>
      </c>
      <c r="IR22" s="754">
        <v>0</v>
      </c>
      <c r="IS22" s="754">
        <v>0</v>
      </c>
      <c r="IT22" s="754">
        <v>0</v>
      </c>
      <c r="IU22" s="754">
        <v>0</v>
      </c>
      <c r="IV22" s="754">
        <v>0</v>
      </c>
      <c r="IW22" s="754">
        <v>1</v>
      </c>
      <c r="IX22" s="754">
        <v>1</v>
      </c>
      <c r="IY22" s="754">
        <v>0</v>
      </c>
      <c r="IZ22" s="754">
        <v>0</v>
      </c>
      <c r="JA22" s="754">
        <v>0</v>
      </c>
      <c r="JB22" s="754">
        <v>0</v>
      </c>
      <c r="JC22" s="754">
        <v>0</v>
      </c>
      <c r="JD22" s="754">
        <v>0</v>
      </c>
      <c r="JE22" s="754">
        <v>0</v>
      </c>
      <c r="JF22" s="754">
        <v>0</v>
      </c>
      <c r="JG22" s="754">
        <v>0</v>
      </c>
      <c r="JH22" s="754">
        <v>0</v>
      </c>
      <c r="JI22" s="754">
        <v>0</v>
      </c>
      <c r="JJ22" s="754">
        <v>0</v>
      </c>
      <c r="JK22" s="754">
        <v>0</v>
      </c>
      <c r="JL22" s="754">
        <v>0</v>
      </c>
      <c r="JM22" s="754">
        <v>0</v>
      </c>
      <c r="JN22" s="754">
        <v>0</v>
      </c>
      <c r="JO22" s="754">
        <v>0</v>
      </c>
      <c r="JP22" s="754">
        <v>0</v>
      </c>
      <c r="JQ22" s="754">
        <v>0</v>
      </c>
      <c r="JR22" s="754">
        <v>0</v>
      </c>
      <c r="JS22" s="754">
        <v>0</v>
      </c>
      <c r="JT22" s="754">
        <v>0</v>
      </c>
      <c r="JU22" s="754">
        <v>0</v>
      </c>
      <c r="JV22" s="754">
        <v>0</v>
      </c>
      <c r="JW22" s="754">
        <v>0</v>
      </c>
      <c r="JX22" s="754">
        <v>0</v>
      </c>
      <c r="JY22" s="754">
        <v>0</v>
      </c>
      <c r="JZ22" s="754">
        <v>0</v>
      </c>
      <c r="KA22" s="752">
        <v>0</v>
      </c>
      <c r="KB22" s="752">
        <v>0</v>
      </c>
      <c r="KC22" s="752">
        <v>0</v>
      </c>
      <c r="KD22" s="752">
        <v>0</v>
      </c>
      <c r="KE22" s="752">
        <v>0</v>
      </c>
      <c r="KF22" s="752">
        <v>1</v>
      </c>
      <c r="KG22" s="752">
        <v>1</v>
      </c>
      <c r="KH22" s="752">
        <v>0</v>
      </c>
      <c r="KI22" s="752">
        <v>0</v>
      </c>
      <c r="KJ22" s="752">
        <v>12</v>
      </c>
      <c r="KK22" s="752">
        <v>14</v>
      </c>
      <c r="KL22" s="752">
        <v>15</v>
      </c>
      <c r="KM22" s="752">
        <v>16</v>
      </c>
      <c r="KN22" s="752">
        <v>13</v>
      </c>
      <c r="KO22" s="752">
        <v>14</v>
      </c>
      <c r="KP22" s="752">
        <v>13</v>
      </c>
      <c r="KQ22" s="752">
        <v>12</v>
      </c>
      <c r="KR22" s="755">
        <v>12</v>
      </c>
      <c r="KS22" s="808"/>
    </row>
    <row r="23" spans="1:305" s="737" customFormat="1" ht="12.75" x14ac:dyDescent="0.2">
      <c r="A23" s="720">
        <v>19</v>
      </c>
      <c r="B23" s="721" t="s">
        <v>161</v>
      </c>
      <c r="C23" s="738">
        <v>69</v>
      </c>
      <c r="D23" s="738">
        <v>69</v>
      </c>
      <c r="E23" s="739">
        <v>69</v>
      </c>
      <c r="F23" s="740">
        <v>69</v>
      </c>
      <c r="G23" s="740">
        <v>60</v>
      </c>
      <c r="H23" s="740">
        <v>64</v>
      </c>
      <c r="I23" s="740">
        <v>48</v>
      </c>
      <c r="J23" s="740">
        <v>48</v>
      </c>
      <c r="K23" s="741">
        <v>46</v>
      </c>
      <c r="L23" s="738">
        <v>67</v>
      </c>
      <c r="M23" s="738">
        <v>69</v>
      </c>
      <c r="N23" s="739">
        <v>75</v>
      </c>
      <c r="O23" s="740">
        <v>79</v>
      </c>
      <c r="P23" s="740">
        <v>78</v>
      </c>
      <c r="Q23" s="740">
        <v>73</v>
      </c>
      <c r="R23" s="740">
        <v>70</v>
      </c>
      <c r="S23" s="740">
        <v>66</v>
      </c>
      <c r="T23" s="741">
        <v>63</v>
      </c>
      <c r="U23" s="738">
        <v>60</v>
      </c>
      <c r="V23" s="738">
        <v>61</v>
      </c>
      <c r="W23" s="739">
        <v>61</v>
      </c>
      <c r="X23" s="740">
        <v>61</v>
      </c>
      <c r="Y23" s="742">
        <v>61</v>
      </c>
      <c r="Z23" s="742">
        <v>60</v>
      </c>
      <c r="AA23" s="742">
        <v>55</v>
      </c>
      <c r="AB23" s="742">
        <v>53</v>
      </c>
      <c r="AC23" s="743">
        <v>53</v>
      </c>
      <c r="AD23" s="738">
        <v>40</v>
      </c>
      <c r="AE23" s="738">
        <v>49</v>
      </c>
      <c r="AF23" s="739">
        <v>53</v>
      </c>
      <c r="AG23" s="740">
        <v>54</v>
      </c>
      <c r="AH23" s="740">
        <v>56</v>
      </c>
      <c r="AI23" s="740">
        <v>54</v>
      </c>
      <c r="AJ23" s="740">
        <v>53</v>
      </c>
      <c r="AK23" s="740">
        <v>48</v>
      </c>
      <c r="AL23" s="741">
        <v>37</v>
      </c>
      <c r="AM23" s="744">
        <v>0</v>
      </c>
      <c r="AN23" s="744">
        <v>0</v>
      </c>
      <c r="AO23" s="744">
        <v>0</v>
      </c>
      <c r="AP23" s="744">
        <v>0</v>
      </c>
      <c r="AQ23" s="745">
        <v>0</v>
      </c>
      <c r="AR23" s="738">
        <v>6</v>
      </c>
      <c r="AS23" s="738">
        <v>6</v>
      </c>
      <c r="AT23" s="739">
        <v>6</v>
      </c>
      <c r="AU23" s="739">
        <v>6</v>
      </c>
      <c r="AV23" s="739">
        <v>6</v>
      </c>
      <c r="AW23" s="739">
        <v>6</v>
      </c>
      <c r="AX23" s="739">
        <v>5</v>
      </c>
      <c r="AY23" s="739">
        <v>3</v>
      </c>
      <c r="AZ23" s="746">
        <v>3</v>
      </c>
      <c r="BA23" s="738">
        <v>1</v>
      </c>
      <c r="BB23" s="738">
        <v>1</v>
      </c>
      <c r="BC23" s="739">
        <v>2</v>
      </c>
      <c r="BD23" s="739">
        <v>2</v>
      </c>
      <c r="BE23" s="739">
        <v>2</v>
      </c>
      <c r="BF23" s="739">
        <v>2</v>
      </c>
      <c r="BG23" s="739">
        <v>2</v>
      </c>
      <c r="BH23" s="739">
        <v>4</v>
      </c>
      <c r="BI23" s="746">
        <v>0</v>
      </c>
      <c r="BJ23" s="738">
        <v>2</v>
      </c>
      <c r="BK23" s="738">
        <v>2</v>
      </c>
      <c r="BL23" s="739">
        <v>2</v>
      </c>
      <c r="BM23" s="747">
        <v>2</v>
      </c>
      <c r="BN23" s="747">
        <v>2</v>
      </c>
      <c r="BO23" s="747">
        <v>2</v>
      </c>
      <c r="BP23" s="747">
        <v>2</v>
      </c>
      <c r="BQ23" s="747">
        <v>2</v>
      </c>
      <c r="BR23" s="748">
        <v>4</v>
      </c>
      <c r="BS23" s="747">
        <v>0</v>
      </c>
      <c r="BT23" s="747">
        <v>0</v>
      </c>
      <c r="BU23" s="747">
        <v>0</v>
      </c>
      <c r="BV23" s="747">
        <v>0</v>
      </c>
      <c r="BW23" s="748">
        <v>0</v>
      </c>
      <c r="BX23" s="738">
        <v>4</v>
      </c>
      <c r="BY23" s="738">
        <v>4</v>
      </c>
      <c r="BZ23" s="739">
        <v>4</v>
      </c>
      <c r="CA23" s="747">
        <v>4</v>
      </c>
      <c r="CB23" s="747">
        <v>4</v>
      </c>
      <c r="CC23" s="747">
        <v>4</v>
      </c>
      <c r="CD23" s="747">
        <v>4</v>
      </c>
      <c r="CE23" s="747">
        <v>4</v>
      </c>
      <c r="CF23" s="748">
        <v>4</v>
      </c>
      <c r="CG23" s="747">
        <v>0</v>
      </c>
      <c r="CH23" s="747">
        <v>1</v>
      </c>
      <c r="CI23" s="747">
        <v>1</v>
      </c>
      <c r="CJ23" s="747">
        <v>1</v>
      </c>
      <c r="CK23" s="748">
        <v>1</v>
      </c>
      <c r="CL23" s="738">
        <v>4</v>
      </c>
      <c r="CM23" s="738">
        <v>4</v>
      </c>
      <c r="CN23" s="739">
        <v>4</v>
      </c>
      <c r="CO23" s="740">
        <v>4</v>
      </c>
      <c r="CP23" s="740">
        <v>4</v>
      </c>
      <c r="CQ23" s="740">
        <v>5</v>
      </c>
      <c r="CR23" s="740">
        <v>6</v>
      </c>
      <c r="CS23" s="740">
        <v>8</v>
      </c>
      <c r="CT23" s="741">
        <v>8</v>
      </c>
      <c r="CU23" s="738">
        <v>13</v>
      </c>
      <c r="CV23" s="738">
        <v>13</v>
      </c>
      <c r="CW23" s="739">
        <v>13</v>
      </c>
      <c r="CX23" s="740">
        <v>10</v>
      </c>
      <c r="CY23" s="740">
        <v>10</v>
      </c>
      <c r="CZ23" s="740">
        <v>13</v>
      </c>
      <c r="DA23" s="740">
        <v>13</v>
      </c>
      <c r="DB23" s="740">
        <v>13</v>
      </c>
      <c r="DC23" s="741">
        <v>13</v>
      </c>
      <c r="DD23" s="738">
        <v>1</v>
      </c>
      <c r="DE23" s="738">
        <v>1</v>
      </c>
      <c r="DF23" s="739">
        <v>2</v>
      </c>
      <c r="DG23" s="740">
        <v>2</v>
      </c>
      <c r="DH23" s="740">
        <v>2</v>
      </c>
      <c r="DI23" s="740">
        <v>15</v>
      </c>
      <c r="DJ23" s="740">
        <v>15</v>
      </c>
      <c r="DK23" s="740">
        <v>15</v>
      </c>
      <c r="DL23" s="741">
        <v>15</v>
      </c>
      <c r="DM23" s="739">
        <v>0</v>
      </c>
      <c r="DN23" s="739">
        <v>0</v>
      </c>
      <c r="DO23" s="739">
        <v>0</v>
      </c>
      <c r="DP23" s="739">
        <v>0</v>
      </c>
      <c r="DQ23" s="739">
        <v>0</v>
      </c>
      <c r="DR23" s="739">
        <v>0</v>
      </c>
      <c r="DS23" s="746">
        <v>0</v>
      </c>
      <c r="DT23" s="740">
        <v>1</v>
      </c>
      <c r="DU23" s="740">
        <v>1</v>
      </c>
      <c r="DV23" s="739">
        <v>1</v>
      </c>
      <c r="DW23" s="740">
        <v>2</v>
      </c>
      <c r="DX23" s="740">
        <v>4</v>
      </c>
      <c r="DY23" s="740">
        <v>5</v>
      </c>
      <c r="DZ23" s="740">
        <v>9</v>
      </c>
      <c r="EA23" s="740">
        <v>9</v>
      </c>
      <c r="EB23" s="741">
        <v>9</v>
      </c>
      <c r="EC23" s="740">
        <v>5</v>
      </c>
      <c r="ED23" s="740">
        <v>6</v>
      </c>
      <c r="EE23" s="739">
        <v>6</v>
      </c>
      <c r="EF23" s="740">
        <v>6</v>
      </c>
      <c r="EG23" s="740">
        <v>8</v>
      </c>
      <c r="EH23" s="740">
        <v>7</v>
      </c>
      <c r="EI23" s="740">
        <v>7</v>
      </c>
      <c r="EJ23" s="740">
        <v>6</v>
      </c>
      <c r="EK23" s="741">
        <v>5</v>
      </c>
      <c r="EL23" s="747">
        <v>0</v>
      </c>
      <c r="EM23" s="747">
        <v>0</v>
      </c>
      <c r="EN23" s="747">
        <v>0</v>
      </c>
      <c r="EO23" s="747">
        <v>0</v>
      </c>
      <c r="EP23" s="747">
        <v>0</v>
      </c>
      <c r="EQ23" s="738">
        <v>0</v>
      </c>
      <c r="ER23" s="738">
        <v>0</v>
      </c>
      <c r="ES23" s="739">
        <v>0</v>
      </c>
      <c r="ET23" s="740">
        <v>0</v>
      </c>
      <c r="EU23" s="740">
        <v>0</v>
      </c>
      <c r="EV23" s="740">
        <v>0</v>
      </c>
      <c r="EW23" s="740">
        <v>0</v>
      </c>
      <c r="EX23" s="740">
        <v>0</v>
      </c>
      <c r="EY23" s="741">
        <v>0</v>
      </c>
      <c r="EZ23" s="738">
        <v>2</v>
      </c>
      <c r="FA23" s="738">
        <v>2</v>
      </c>
      <c r="FB23" s="739">
        <v>2</v>
      </c>
      <c r="FC23" s="740">
        <v>2</v>
      </c>
      <c r="FD23" s="740">
        <v>2</v>
      </c>
      <c r="FE23" s="740">
        <v>3</v>
      </c>
      <c r="FF23" s="740">
        <v>3</v>
      </c>
      <c r="FG23" s="740">
        <v>3</v>
      </c>
      <c r="FH23" s="741">
        <v>3</v>
      </c>
      <c r="FI23" s="738">
        <v>4</v>
      </c>
      <c r="FJ23" s="738">
        <v>4</v>
      </c>
      <c r="FK23" s="739">
        <v>4</v>
      </c>
      <c r="FL23" s="740">
        <v>4</v>
      </c>
      <c r="FM23" s="740">
        <v>4</v>
      </c>
      <c r="FN23" s="740">
        <v>4</v>
      </c>
      <c r="FO23" s="740">
        <v>4</v>
      </c>
      <c r="FP23" s="740">
        <v>4</v>
      </c>
      <c r="FQ23" s="741">
        <v>4</v>
      </c>
      <c r="FR23" s="738">
        <v>3</v>
      </c>
      <c r="FS23" s="738">
        <v>3</v>
      </c>
      <c r="FT23" s="739">
        <v>5</v>
      </c>
      <c r="FU23" s="740">
        <v>5</v>
      </c>
      <c r="FV23" s="740">
        <v>5</v>
      </c>
      <c r="FW23" s="740">
        <v>5</v>
      </c>
      <c r="FX23" s="740">
        <v>5</v>
      </c>
      <c r="FY23" s="740">
        <v>5</v>
      </c>
      <c r="FZ23" s="741">
        <v>5</v>
      </c>
      <c r="GA23" s="738">
        <v>0</v>
      </c>
      <c r="GB23" s="738">
        <v>1</v>
      </c>
      <c r="GC23" s="739">
        <v>3</v>
      </c>
      <c r="GD23" s="740">
        <v>4</v>
      </c>
      <c r="GE23" s="740">
        <v>4</v>
      </c>
      <c r="GF23" s="740">
        <v>4</v>
      </c>
      <c r="GG23" s="740">
        <v>9</v>
      </c>
      <c r="GH23" s="740">
        <v>9</v>
      </c>
      <c r="GI23" s="741">
        <v>9</v>
      </c>
      <c r="GJ23" s="738">
        <v>1</v>
      </c>
      <c r="GK23" s="738">
        <v>2</v>
      </c>
      <c r="GL23" s="739">
        <v>2</v>
      </c>
      <c r="GM23" s="740">
        <v>6</v>
      </c>
      <c r="GN23" s="740">
        <v>6</v>
      </c>
      <c r="GO23" s="740">
        <v>8</v>
      </c>
      <c r="GP23" s="740">
        <v>7</v>
      </c>
      <c r="GQ23" s="740">
        <v>7</v>
      </c>
      <c r="GR23" s="741">
        <v>7</v>
      </c>
      <c r="GS23" s="740">
        <v>2</v>
      </c>
      <c r="GT23" s="740">
        <v>4</v>
      </c>
      <c r="GU23" s="739">
        <v>3</v>
      </c>
      <c r="GV23" s="740">
        <v>3</v>
      </c>
      <c r="GW23" s="740">
        <v>3</v>
      </c>
      <c r="GX23" s="740">
        <v>3</v>
      </c>
      <c r="GY23" s="740">
        <v>3</v>
      </c>
      <c r="GZ23" s="740">
        <v>3</v>
      </c>
      <c r="HA23" s="741">
        <v>3</v>
      </c>
      <c r="HB23" s="738">
        <v>1</v>
      </c>
      <c r="HC23" s="738">
        <v>1</v>
      </c>
      <c r="HD23" s="739">
        <v>1</v>
      </c>
      <c r="HE23" s="740">
        <v>1</v>
      </c>
      <c r="HF23" s="740">
        <v>1</v>
      </c>
      <c r="HG23" s="740">
        <v>1</v>
      </c>
      <c r="HH23" s="740">
        <v>1</v>
      </c>
      <c r="HI23" s="740">
        <v>1</v>
      </c>
      <c r="HJ23" s="741">
        <v>1</v>
      </c>
      <c r="HK23" s="738">
        <v>1</v>
      </c>
      <c r="HL23" s="738">
        <v>1</v>
      </c>
      <c r="HM23" s="739">
        <v>1</v>
      </c>
      <c r="HN23" s="740">
        <v>1</v>
      </c>
      <c r="HO23" s="740">
        <v>1</v>
      </c>
      <c r="HP23" s="740">
        <v>1</v>
      </c>
      <c r="HQ23" s="740">
        <v>1</v>
      </c>
      <c r="HR23" s="740">
        <v>1</v>
      </c>
      <c r="HS23" s="741">
        <v>1</v>
      </c>
      <c r="HT23" s="749">
        <f t="shared" si="0"/>
        <v>287</v>
      </c>
      <c r="HU23" s="749">
        <f t="shared" si="0"/>
        <v>304</v>
      </c>
      <c r="HV23" s="749">
        <f t="shared" si="1"/>
        <v>319</v>
      </c>
      <c r="HW23" s="749">
        <f t="shared" si="1"/>
        <v>327</v>
      </c>
      <c r="HX23" s="749">
        <f t="shared" si="2"/>
        <v>323</v>
      </c>
      <c r="HY23" s="749">
        <f t="shared" si="2"/>
        <v>340</v>
      </c>
      <c r="HZ23" s="749">
        <f t="shared" si="2"/>
        <v>323</v>
      </c>
      <c r="IA23" s="749">
        <v>313</v>
      </c>
      <c r="IB23" s="750">
        <v>294</v>
      </c>
      <c r="IC23" s="751">
        <v>0</v>
      </c>
      <c r="ID23" s="751">
        <v>1</v>
      </c>
      <c r="IE23" s="754">
        <v>1</v>
      </c>
      <c r="IF23" s="754">
        <v>2</v>
      </c>
      <c r="IG23" s="754">
        <v>2</v>
      </c>
      <c r="IH23" s="754">
        <v>4</v>
      </c>
      <c r="II23" s="754">
        <v>1</v>
      </c>
      <c r="IJ23" s="754">
        <v>1</v>
      </c>
      <c r="IK23" s="754">
        <v>1</v>
      </c>
      <c r="IL23" s="754">
        <v>1</v>
      </c>
      <c r="IM23" s="754">
        <v>1</v>
      </c>
      <c r="IN23" s="754">
        <v>2</v>
      </c>
      <c r="IO23" s="754">
        <v>3</v>
      </c>
      <c r="IP23" s="754">
        <v>3</v>
      </c>
      <c r="IQ23" s="754">
        <v>5</v>
      </c>
      <c r="IR23" s="754">
        <v>1</v>
      </c>
      <c r="IS23" s="754">
        <v>1</v>
      </c>
      <c r="IT23" s="754">
        <v>1</v>
      </c>
      <c r="IU23" s="754">
        <v>1</v>
      </c>
      <c r="IV23" s="754">
        <v>3</v>
      </c>
      <c r="IW23" s="754">
        <v>6</v>
      </c>
      <c r="IX23" s="754">
        <v>7</v>
      </c>
      <c r="IY23" s="754">
        <v>0</v>
      </c>
      <c r="IZ23" s="754">
        <v>0</v>
      </c>
      <c r="JA23" s="754">
        <v>1</v>
      </c>
      <c r="JB23" s="754">
        <v>1</v>
      </c>
      <c r="JC23" s="754">
        <v>1</v>
      </c>
      <c r="JD23" s="754">
        <v>1</v>
      </c>
      <c r="JE23" s="754">
        <v>1</v>
      </c>
      <c r="JF23" s="754">
        <v>1</v>
      </c>
      <c r="JG23" s="754">
        <v>3</v>
      </c>
      <c r="JH23" s="754">
        <v>0</v>
      </c>
      <c r="JI23" s="754">
        <v>0</v>
      </c>
      <c r="JJ23" s="754">
        <v>0</v>
      </c>
      <c r="JK23" s="754">
        <v>0</v>
      </c>
      <c r="JL23" s="754">
        <v>0</v>
      </c>
      <c r="JM23" s="754">
        <v>0</v>
      </c>
      <c r="JN23" s="754">
        <v>0</v>
      </c>
      <c r="JO23" s="754">
        <v>3</v>
      </c>
      <c r="JP23" s="754">
        <v>3</v>
      </c>
      <c r="JQ23" s="754">
        <v>0</v>
      </c>
      <c r="JR23" s="754">
        <v>4</v>
      </c>
      <c r="JS23" s="754">
        <v>4</v>
      </c>
      <c r="JT23" s="754">
        <v>4</v>
      </c>
      <c r="JU23" s="754">
        <v>5</v>
      </c>
      <c r="JV23" s="754">
        <v>6</v>
      </c>
      <c r="JW23" s="754">
        <v>6</v>
      </c>
      <c r="JX23" s="754">
        <v>20</v>
      </c>
      <c r="JY23" s="754">
        <v>20</v>
      </c>
      <c r="JZ23" s="754">
        <v>25</v>
      </c>
      <c r="KA23" s="752">
        <v>6</v>
      </c>
      <c r="KB23" s="752">
        <v>6</v>
      </c>
      <c r="KC23" s="752">
        <v>7</v>
      </c>
      <c r="KD23" s="752">
        <v>8</v>
      </c>
      <c r="KE23" s="752">
        <v>12</v>
      </c>
      <c r="KF23" s="752">
        <v>16</v>
      </c>
      <c r="KG23" s="752">
        <v>33</v>
      </c>
      <c r="KH23" s="752">
        <v>29</v>
      </c>
      <c r="KI23" s="752">
        <v>40</v>
      </c>
      <c r="KJ23" s="752">
        <v>293</v>
      </c>
      <c r="KK23" s="752">
        <v>310</v>
      </c>
      <c r="KL23" s="752">
        <v>326</v>
      </c>
      <c r="KM23" s="752">
        <v>335</v>
      </c>
      <c r="KN23" s="752">
        <v>335</v>
      </c>
      <c r="KO23" s="752">
        <v>356</v>
      </c>
      <c r="KP23" s="752">
        <v>356</v>
      </c>
      <c r="KQ23" s="752">
        <v>342</v>
      </c>
      <c r="KR23" s="755">
        <v>334</v>
      </c>
      <c r="KS23" s="808"/>
    </row>
    <row r="24" spans="1:305" s="737" customFormat="1" ht="12.75" x14ac:dyDescent="0.2">
      <c r="A24" s="720">
        <v>20</v>
      </c>
      <c r="B24" s="721" t="s">
        <v>162</v>
      </c>
      <c r="C24" s="738">
        <v>107</v>
      </c>
      <c r="D24" s="738">
        <v>107</v>
      </c>
      <c r="E24" s="739">
        <v>107</v>
      </c>
      <c r="F24" s="740">
        <v>103</v>
      </c>
      <c r="G24" s="740">
        <v>96</v>
      </c>
      <c r="H24" s="740">
        <v>95</v>
      </c>
      <c r="I24" s="740">
        <v>82</v>
      </c>
      <c r="J24" s="740">
        <v>74</v>
      </c>
      <c r="K24" s="741">
        <v>65</v>
      </c>
      <c r="L24" s="738">
        <v>87</v>
      </c>
      <c r="M24" s="738">
        <v>97</v>
      </c>
      <c r="N24" s="739">
        <v>103</v>
      </c>
      <c r="O24" s="740">
        <v>104</v>
      </c>
      <c r="P24" s="740">
        <v>105</v>
      </c>
      <c r="Q24" s="740">
        <v>97</v>
      </c>
      <c r="R24" s="740">
        <v>91</v>
      </c>
      <c r="S24" s="740">
        <v>90</v>
      </c>
      <c r="T24" s="741">
        <v>89</v>
      </c>
      <c r="U24" s="738">
        <v>90</v>
      </c>
      <c r="V24" s="738">
        <v>90</v>
      </c>
      <c r="W24" s="739">
        <v>90</v>
      </c>
      <c r="X24" s="740">
        <v>92</v>
      </c>
      <c r="Y24" s="742">
        <v>92</v>
      </c>
      <c r="Z24" s="742">
        <v>92</v>
      </c>
      <c r="AA24" s="742">
        <v>92</v>
      </c>
      <c r="AB24" s="742">
        <v>86</v>
      </c>
      <c r="AC24" s="743">
        <v>80</v>
      </c>
      <c r="AD24" s="738">
        <v>94</v>
      </c>
      <c r="AE24" s="738">
        <v>96</v>
      </c>
      <c r="AF24" s="739">
        <v>97</v>
      </c>
      <c r="AG24" s="740">
        <v>97</v>
      </c>
      <c r="AH24" s="740">
        <v>98</v>
      </c>
      <c r="AI24" s="740">
        <v>98</v>
      </c>
      <c r="AJ24" s="740">
        <v>98</v>
      </c>
      <c r="AK24" s="740">
        <v>96</v>
      </c>
      <c r="AL24" s="741">
        <v>79</v>
      </c>
      <c r="AM24" s="744">
        <v>0</v>
      </c>
      <c r="AN24" s="744">
        <v>0</v>
      </c>
      <c r="AO24" s="744">
        <v>0</v>
      </c>
      <c r="AP24" s="744">
        <v>0</v>
      </c>
      <c r="AQ24" s="745">
        <v>0</v>
      </c>
      <c r="AR24" s="738">
        <v>8</v>
      </c>
      <c r="AS24" s="738">
        <v>8</v>
      </c>
      <c r="AT24" s="739">
        <v>8</v>
      </c>
      <c r="AU24" s="739">
        <v>8</v>
      </c>
      <c r="AV24" s="739">
        <v>8</v>
      </c>
      <c r="AW24" s="739">
        <v>8</v>
      </c>
      <c r="AX24" s="739">
        <v>6</v>
      </c>
      <c r="AY24" s="739">
        <v>5</v>
      </c>
      <c r="AZ24" s="746">
        <v>5</v>
      </c>
      <c r="BA24" s="738">
        <v>3</v>
      </c>
      <c r="BB24" s="738">
        <v>3</v>
      </c>
      <c r="BC24" s="739">
        <v>3</v>
      </c>
      <c r="BD24" s="739">
        <v>3</v>
      </c>
      <c r="BE24" s="739">
        <v>4</v>
      </c>
      <c r="BF24" s="739">
        <v>4</v>
      </c>
      <c r="BG24" s="739">
        <v>6</v>
      </c>
      <c r="BH24" s="739">
        <v>7</v>
      </c>
      <c r="BI24" s="746">
        <v>0</v>
      </c>
      <c r="BJ24" s="738">
        <v>2</v>
      </c>
      <c r="BK24" s="738">
        <v>2</v>
      </c>
      <c r="BL24" s="739">
        <v>2</v>
      </c>
      <c r="BM24" s="747">
        <v>2</v>
      </c>
      <c r="BN24" s="747">
        <v>0</v>
      </c>
      <c r="BO24" s="747">
        <v>0</v>
      </c>
      <c r="BP24" s="747">
        <v>1</v>
      </c>
      <c r="BQ24" s="747">
        <v>1</v>
      </c>
      <c r="BR24" s="748">
        <v>2</v>
      </c>
      <c r="BS24" s="747">
        <v>0</v>
      </c>
      <c r="BT24" s="747">
        <v>0</v>
      </c>
      <c r="BU24" s="747">
        <v>0</v>
      </c>
      <c r="BV24" s="747">
        <v>0</v>
      </c>
      <c r="BW24" s="748">
        <v>0</v>
      </c>
      <c r="BX24" s="738">
        <v>5</v>
      </c>
      <c r="BY24" s="738">
        <v>5</v>
      </c>
      <c r="BZ24" s="739">
        <v>5</v>
      </c>
      <c r="CA24" s="747">
        <v>3</v>
      </c>
      <c r="CB24" s="747">
        <v>3</v>
      </c>
      <c r="CC24" s="747">
        <v>3</v>
      </c>
      <c r="CD24" s="747">
        <v>3</v>
      </c>
      <c r="CE24" s="747">
        <v>3</v>
      </c>
      <c r="CF24" s="748">
        <v>3</v>
      </c>
      <c r="CG24" s="747">
        <v>1</v>
      </c>
      <c r="CH24" s="747">
        <v>1</v>
      </c>
      <c r="CI24" s="747">
        <v>2</v>
      </c>
      <c r="CJ24" s="747">
        <v>2</v>
      </c>
      <c r="CK24" s="748">
        <v>2</v>
      </c>
      <c r="CL24" s="738">
        <v>4</v>
      </c>
      <c r="CM24" s="738">
        <v>4</v>
      </c>
      <c r="CN24" s="739">
        <v>4</v>
      </c>
      <c r="CO24" s="740">
        <v>4</v>
      </c>
      <c r="CP24" s="740">
        <v>4</v>
      </c>
      <c r="CQ24" s="740">
        <v>4</v>
      </c>
      <c r="CR24" s="740">
        <v>4</v>
      </c>
      <c r="CS24" s="740">
        <v>6</v>
      </c>
      <c r="CT24" s="741">
        <v>6</v>
      </c>
      <c r="CU24" s="738">
        <v>15</v>
      </c>
      <c r="CV24" s="738">
        <v>15</v>
      </c>
      <c r="CW24" s="739">
        <v>15</v>
      </c>
      <c r="CX24" s="740">
        <v>13</v>
      </c>
      <c r="CY24" s="740">
        <v>12</v>
      </c>
      <c r="CZ24" s="740">
        <v>12</v>
      </c>
      <c r="DA24" s="740">
        <v>12</v>
      </c>
      <c r="DB24" s="740">
        <v>12</v>
      </c>
      <c r="DC24" s="741">
        <v>12</v>
      </c>
      <c r="DD24" s="738">
        <v>2</v>
      </c>
      <c r="DE24" s="738">
        <v>2</v>
      </c>
      <c r="DF24" s="739">
        <v>2</v>
      </c>
      <c r="DG24" s="740">
        <v>2</v>
      </c>
      <c r="DH24" s="740">
        <v>2</v>
      </c>
      <c r="DI24" s="740">
        <v>10</v>
      </c>
      <c r="DJ24" s="740">
        <v>11</v>
      </c>
      <c r="DK24" s="740">
        <v>11</v>
      </c>
      <c r="DL24" s="741">
        <v>11</v>
      </c>
      <c r="DM24" s="739">
        <v>0</v>
      </c>
      <c r="DN24" s="739">
        <v>0</v>
      </c>
      <c r="DO24" s="739">
        <v>0</v>
      </c>
      <c r="DP24" s="739">
        <v>0</v>
      </c>
      <c r="DQ24" s="739">
        <v>0</v>
      </c>
      <c r="DR24" s="739">
        <v>0</v>
      </c>
      <c r="DS24" s="746">
        <v>0</v>
      </c>
      <c r="DT24" s="740">
        <v>1</v>
      </c>
      <c r="DU24" s="740">
        <v>1</v>
      </c>
      <c r="DV24" s="739">
        <v>1</v>
      </c>
      <c r="DW24" s="740">
        <v>2</v>
      </c>
      <c r="DX24" s="740">
        <v>2</v>
      </c>
      <c r="DY24" s="740">
        <v>3</v>
      </c>
      <c r="DZ24" s="740">
        <v>3</v>
      </c>
      <c r="EA24" s="740">
        <v>3</v>
      </c>
      <c r="EB24" s="741">
        <v>3</v>
      </c>
      <c r="EC24" s="740">
        <v>2</v>
      </c>
      <c r="ED24" s="740">
        <v>3</v>
      </c>
      <c r="EE24" s="739">
        <v>3</v>
      </c>
      <c r="EF24" s="740">
        <v>3</v>
      </c>
      <c r="EG24" s="740">
        <v>3</v>
      </c>
      <c r="EH24" s="740">
        <v>4</v>
      </c>
      <c r="EI24" s="740">
        <v>4</v>
      </c>
      <c r="EJ24" s="740">
        <v>3</v>
      </c>
      <c r="EK24" s="741">
        <v>2</v>
      </c>
      <c r="EL24" s="747">
        <v>0</v>
      </c>
      <c r="EM24" s="747">
        <v>0</v>
      </c>
      <c r="EN24" s="747">
        <v>0</v>
      </c>
      <c r="EO24" s="747">
        <v>0</v>
      </c>
      <c r="EP24" s="747">
        <v>0</v>
      </c>
      <c r="EQ24" s="738">
        <v>0</v>
      </c>
      <c r="ER24" s="738">
        <v>0</v>
      </c>
      <c r="ES24" s="739">
        <v>0</v>
      </c>
      <c r="ET24" s="740">
        <v>0</v>
      </c>
      <c r="EU24" s="740">
        <v>0</v>
      </c>
      <c r="EV24" s="740">
        <v>0</v>
      </c>
      <c r="EW24" s="740">
        <v>0</v>
      </c>
      <c r="EX24" s="740">
        <v>0</v>
      </c>
      <c r="EY24" s="741">
        <v>0</v>
      </c>
      <c r="EZ24" s="738">
        <v>5</v>
      </c>
      <c r="FA24" s="738">
        <v>5</v>
      </c>
      <c r="FB24" s="739">
        <v>5</v>
      </c>
      <c r="FC24" s="740">
        <v>5</v>
      </c>
      <c r="FD24" s="740">
        <v>5</v>
      </c>
      <c r="FE24" s="740">
        <v>5</v>
      </c>
      <c r="FF24" s="740">
        <v>5</v>
      </c>
      <c r="FG24" s="740">
        <v>5</v>
      </c>
      <c r="FH24" s="741">
        <v>4</v>
      </c>
      <c r="FI24" s="738">
        <v>1</v>
      </c>
      <c r="FJ24" s="738">
        <v>1</v>
      </c>
      <c r="FK24" s="739">
        <v>1</v>
      </c>
      <c r="FL24" s="740">
        <v>2</v>
      </c>
      <c r="FM24" s="740">
        <v>2</v>
      </c>
      <c r="FN24" s="740">
        <v>3</v>
      </c>
      <c r="FO24" s="740">
        <v>3</v>
      </c>
      <c r="FP24" s="740">
        <v>3</v>
      </c>
      <c r="FQ24" s="741">
        <v>3</v>
      </c>
      <c r="FR24" s="738">
        <v>1</v>
      </c>
      <c r="FS24" s="738">
        <v>3</v>
      </c>
      <c r="FT24" s="739">
        <v>5</v>
      </c>
      <c r="FU24" s="740">
        <v>6</v>
      </c>
      <c r="FV24" s="740">
        <v>6</v>
      </c>
      <c r="FW24" s="740">
        <v>6</v>
      </c>
      <c r="FX24" s="740">
        <v>6</v>
      </c>
      <c r="FY24" s="740">
        <v>6</v>
      </c>
      <c r="FZ24" s="741">
        <v>6</v>
      </c>
      <c r="GA24" s="738">
        <v>3</v>
      </c>
      <c r="GB24" s="738">
        <v>3</v>
      </c>
      <c r="GC24" s="739">
        <v>3</v>
      </c>
      <c r="GD24" s="740">
        <v>3</v>
      </c>
      <c r="GE24" s="740">
        <v>3</v>
      </c>
      <c r="GF24" s="740">
        <v>3</v>
      </c>
      <c r="GG24" s="740">
        <v>3</v>
      </c>
      <c r="GH24" s="740">
        <v>3</v>
      </c>
      <c r="GI24" s="741">
        <v>3</v>
      </c>
      <c r="GJ24" s="738">
        <v>3</v>
      </c>
      <c r="GK24" s="738">
        <v>3</v>
      </c>
      <c r="GL24" s="739">
        <v>3</v>
      </c>
      <c r="GM24" s="740">
        <v>3</v>
      </c>
      <c r="GN24" s="740">
        <v>3</v>
      </c>
      <c r="GO24" s="740">
        <v>7</v>
      </c>
      <c r="GP24" s="740">
        <v>7</v>
      </c>
      <c r="GQ24" s="740">
        <v>7</v>
      </c>
      <c r="GR24" s="741">
        <v>7</v>
      </c>
      <c r="GS24" s="740">
        <v>3</v>
      </c>
      <c r="GT24" s="740">
        <v>3</v>
      </c>
      <c r="GU24" s="739">
        <v>3</v>
      </c>
      <c r="GV24" s="740">
        <v>3</v>
      </c>
      <c r="GW24" s="740">
        <v>3</v>
      </c>
      <c r="GX24" s="740">
        <v>3</v>
      </c>
      <c r="GY24" s="740">
        <v>3</v>
      </c>
      <c r="GZ24" s="740">
        <v>3</v>
      </c>
      <c r="HA24" s="741">
        <v>3</v>
      </c>
      <c r="HB24" s="738">
        <v>0</v>
      </c>
      <c r="HC24" s="738">
        <v>0</v>
      </c>
      <c r="HD24" s="739">
        <v>0</v>
      </c>
      <c r="HE24" s="740">
        <v>0</v>
      </c>
      <c r="HF24" s="740">
        <v>0</v>
      </c>
      <c r="HG24" s="740">
        <v>0</v>
      </c>
      <c r="HH24" s="740">
        <v>0</v>
      </c>
      <c r="HI24" s="740">
        <v>0</v>
      </c>
      <c r="HJ24" s="741">
        <v>0</v>
      </c>
      <c r="HK24" s="738">
        <v>2</v>
      </c>
      <c r="HL24" s="738">
        <v>2</v>
      </c>
      <c r="HM24" s="739">
        <v>2</v>
      </c>
      <c r="HN24" s="740">
        <v>2</v>
      </c>
      <c r="HO24" s="740">
        <v>2</v>
      </c>
      <c r="HP24" s="740">
        <v>2</v>
      </c>
      <c r="HQ24" s="740">
        <v>2</v>
      </c>
      <c r="HR24" s="740">
        <v>2</v>
      </c>
      <c r="HS24" s="741">
        <v>2</v>
      </c>
      <c r="HT24" s="749">
        <f t="shared" si="0"/>
        <v>438</v>
      </c>
      <c r="HU24" s="749">
        <f t="shared" si="0"/>
        <v>453</v>
      </c>
      <c r="HV24" s="749">
        <f t="shared" si="1"/>
        <v>462</v>
      </c>
      <c r="HW24" s="749">
        <f t="shared" si="1"/>
        <v>460</v>
      </c>
      <c r="HX24" s="749">
        <f t="shared" si="2"/>
        <v>454</v>
      </c>
      <c r="HY24" s="749">
        <f t="shared" si="2"/>
        <v>460</v>
      </c>
      <c r="HZ24" s="749">
        <f t="shared" si="2"/>
        <v>444</v>
      </c>
      <c r="IA24" s="749">
        <v>428</v>
      </c>
      <c r="IB24" s="750">
        <v>387</v>
      </c>
      <c r="IC24" s="751">
        <v>0</v>
      </c>
      <c r="ID24" s="751">
        <v>1</v>
      </c>
      <c r="IE24" s="754">
        <v>1</v>
      </c>
      <c r="IF24" s="754">
        <v>1</v>
      </c>
      <c r="IG24" s="754">
        <v>2</v>
      </c>
      <c r="IH24" s="754">
        <v>3</v>
      </c>
      <c r="II24" s="754">
        <v>2</v>
      </c>
      <c r="IJ24" s="754">
        <v>2</v>
      </c>
      <c r="IK24" s="754">
        <v>3</v>
      </c>
      <c r="IL24" s="754">
        <v>3</v>
      </c>
      <c r="IM24" s="754">
        <v>3</v>
      </c>
      <c r="IN24" s="754">
        <v>3</v>
      </c>
      <c r="IO24" s="754">
        <v>8</v>
      </c>
      <c r="IP24" s="754">
        <v>8</v>
      </c>
      <c r="IQ24" s="754">
        <v>10</v>
      </c>
      <c r="IR24" s="754">
        <v>2</v>
      </c>
      <c r="IS24" s="754">
        <v>3</v>
      </c>
      <c r="IT24" s="754">
        <v>4</v>
      </c>
      <c r="IU24" s="754">
        <v>4</v>
      </c>
      <c r="IV24" s="754">
        <v>6</v>
      </c>
      <c r="IW24" s="754">
        <v>6</v>
      </c>
      <c r="IX24" s="754">
        <v>7</v>
      </c>
      <c r="IY24" s="754">
        <v>0</v>
      </c>
      <c r="IZ24" s="754">
        <v>0</v>
      </c>
      <c r="JA24" s="754">
        <v>1</v>
      </c>
      <c r="JB24" s="754">
        <v>2</v>
      </c>
      <c r="JC24" s="754">
        <v>1</v>
      </c>
      <c r="JD24" s="754">
        <v>1</v>
      </c>
      <c r="JE24" s="754">
        <v>2</v>
      </c>
      <c r="JF24" s="754">
        <v>3</v>
      </c>
      <c r="JG24" s="754">
        <v>5</v>
      </c>
      <c r="JH24" s="754">
        <v>1</v>
      </c>
      <c r="JI24" s="754">
        <v>1</v>
      </c>
      <c r="JJ24" s="754">
        <v>1</v>
      </c>
      <c r="JK24" s="754">
        <v>1</v>
      </c>
      <c r="JL24" s="754">
        <v>1</v>
      </c>
      <c r="JM24" s="754">
        <v>1</v>
      </c>
      <c r="JN24" s="754">
        <v>3</v>
      </c>
      <c r="JO24" s="754">
        <v>3</v>
      </c>
      <c r="JP24" s="754">
        <v>4</v>
      </c>
      <c r="JQ24" s="754">
        <v>0</v>
      </c>
      <c r="JR24" s="754">
        <v>8</v>
      </c>
      <c r="JS24" s="754">
        <v>8</v>
      </c>
      <c r="JT24" s="754">
        <v>9</v>
      </c>
      <c r="JU24" s="754">
        <v>14</v>
      </c>
      <c r="JV24" s="754">
        <v>15</v>
      </c>
      <c r="JW24" s="754">
        <v>15</v>
      </c>
      <c r="JX24" s="754">
        <v>23</v>
      </c>
      <c r="JY24" s="754">
        <v>33</v>
      </c>
      <c r="JZ24" s="754">
        <v>37</v>
      </c>
      <c r="KA24" s="752">
        <v>13</v>
      </c>
      <c r="KB24" s="752">
        <v>14</v>
      </c>
      <c r="KC24" s="752">
        <v>18</v>
      </c>
      <c r="KD24" s="752">
        <v>24</v>
      </c>
      <c r="KE24" s="752">
        <v>27</v>
      </c>
      <c r="KF24" s="752">
        <v>27</v>
      </c>
      <c r="KG24" s="752">
        <v>44</v>
      </c>
      <c r="KH24" s="752">
        <v>49</v>
      </c>
      <c r="KI24" s="752">
        <v>59</v>
      </c>
      <c r="KJ24" s="752">
        <v>451</v>
      </c>
      <c r="KK24" s="752">
        <v>467</v>
      </c>
      <c r="KL24" s="752">
        <v>480</v>
      </c>
      <c r="KM24" s="752">
        <v>484</v>
      </c>
      <c r="KN24" s="752">
        <v>481</v>
      </c>
      <c r="KO24" s="752">
        <v>487</v>
      </c>
      <c r="KP24" s="752">
        <v>488</v>
      </c>
      <c r="KQ24" s="752">
        <v>477</v>
      </c>
      <c r="KR24" s="755">
        <v>446</v>
      </c>
      <c r="KS24" s="808"/>
    </row>
    <row r="25" spans="1:305" s="737" customFormat="1" ht="12.75" x14ac:dyDescent="0.2">
      <c r="A25" s="720">
        <v>21</v>
      </c>
      <c r="B25" s="721" t="s">
        <v>163</v>
      </c>
      <c r="C25" s="738">
        <v>106</v>
      </c>
      <c r="D25" s="738">
        <v>106</v>
      </c>
      <c r="E25" s="739">
        <v>106</v>
      </c>
      <c r="F25" s="740">
        <v>107</v>
      </c>
      <c r="G25" s="740">
        <v>97</v>
      </c>
      <c r="H25" s="740">
        <v>108</v>
      </c>
      <c r="I25" s="740">
        <v>99</v>
      </c>
      <c r="J25" s="740">
        <v>93</v>
      </c>
      <c r="K25" s="741">
        <v>90</v>
      </c>
      <c r="L25" s="738">
        <v>77</v>
      </c>
      <c r="M25" s="738">
        <v>87</v>
      </c>
      <c r="N25" s="739">
        <v>93</v>
      </c>
      <c r="O25" s="740">
        <v>101</v>
      </c>
      <c r="P25" s="740">
        <v>101</v>
      </c>
      <c r="Q25" s="740">
        <v>101</v>
      </c>
      <c r="R25" s="740">
        <v>99</v>
      </c>
      <c r="S25" s="740">
        <v>87</v>
      </c>
      <c r="T25" s="741">
        <v>87</v>
      </c>
      <c r="U25" s="738">
        <v>95</v>
      </c>
      <c r="V25" s="738">
        <v>101</v>
      </c>
      <c r="W25" s="739">
        <v>102</v>
      </c>
      <c r="X25" s="740">
        <v>105</v>
      </c>
      <c r="Y25" s="742">
        <v>114</v>
      </c>
      <c r="Z25" s="742">
        <v>113</v>
      </c>
      <c r="AA25" s="742">
        <v>94</v>
      </c>
      <c r="AB25" s="742">
        <v>98</v>
      </c>
      <c r="AC25" s="743">
        <v>88</v>
      </c>
      <c r="AD25" s="738">
        <v>98</v>
      </c>
      <c r="AE25" s="738">
        <v>121</v>
      </c>
      <c r="AF25" s="739">
        <v>133</v>
      </c>
      <c r="AG25" s="740">
        <v>136</v>
      </c>
      <c r="AH25" s="740">
        <v>136</v>
      </c>
      <c r="AI25" s="740">
        <v>137</v>
      </c>
      <c r="AJ25" s="740">
        <v>133</v>
      </c>
      <c r="AK25" s="740">
        <v>133</v>
      </c>
      <c r="AL25" s="741">
        <v>120</v>
      </c>
      <c r="AM25" s="744">
        <v>0</v>
      </c>
      <c r="AN25" s="744">
        <v>0</v>
      </c>
      <c r="AO25" s="744">
        <v>0</v>
      </c>
      <c r="AP25" s="744">
        <v>0</v>
      </c>
      <c r="AQ25" s="745">
        <v>0</v>
      </c>
      <c r="AR25" s="738">
        <v>3</v>
      </c>
      <c r="AS25" s="738">
        <v>4</v>
      </c>
      <c r="AT25" s="739">
        <v>4</v>
      </c>
      <c r="AU25" s="739">
        <v>5</v>
      </c>
      <c r="AV25" s="739">
        <v>5</v>
      </c>
      <c r="AW25" s="739">
        <v>5</v>
      </c>
      <c r="AX25" s="739">
        <v>3</v>
      </c>
      <c r="AY25" s="739">
        <v>3</v>
      </c>
      <c r="AZ25" s="746">
        <v>3</v>
      </c>
      <c r="BA25" s="738">
        <v>2</v>
      </c>
      <c r="BB25" s="738">
        <v>2</v>
      </c>
      <c r="BC25" s="739">
        <v>2</v>
      </c>
      <c r="BD25" s="739">
        <v>2</v>
      </c>
      <c r="BE25" s="739">
        <v>3</v>
      </c>
      <c r="BF25" s="739">
        <v>3</v>
      </c>
      <c r="BG25" s="739">
        <v>9</v>
      </c>
      <c r="BH25" s="739">
        <v>9</v>
      </c>
      <c r="BI25" s="746">
        <v>0</v>
      </c>
      <c r="BJ25" s="738">
        <v>5</v>
      </c>
      <c r="BK25" s="738">
        <v>5</v>
      </c>
      <c r="BL25" s="739">
        <v>5</v>
      </c>
      <c r="BM25" s="747">
        <v>5</v>
      </c>
      <c r="BN25" s="747">
        <v>4</v>
      </c>
      <c r="BO25" s="747">
        <v>1</v>
      </c>
      <c r="BP25" s="747">
        <v>1</v>
      </c>
      <c r="BQ25" s="747">
        <v>3</v>
      </c>
      <c r="BR25" s="748">
        <v>3</v>
      </c>
      <c r="BS25" s="747">
        <v>0</v>
      </c>
      <c r="BT25" s="747">
        <v>0</v>
      </c>
      <c r="BU25" s="747">
        <v>0</v>
      </c>
      <c r="BV25" s="747">
        <v>0</v>
      </c>
      <c r="BW25" s="748">
        <v>0</v>
      </c>
      <c r="BX25" s="738">
        <v>4</v>
      </c>
      <c r="BY25" s="738">
        <v>8</v>
      </c>
      <c r="BZ25" s="739">
        <v>7</v>
      </c>
      <c r="CA25" s="747">
        <v>7</v>
      </c>
      <c r="CB25" s="747">
        <v>7</v>
      </c>
      <c r="CC25" s="747">
        <v>6</v>
      </c>
      <c r="CD25" s="747">
        <v>6</v>
      </c>
      <c r="CE25" s="747">
        <v>6</v>
      </c>
      <c r="CF25" s="748">
        <v>6</v>
      </c>
      <c r="CG25" s="747">
        <v>0</v>
      </c>
      <c r="CH25" s="747">
        <v>1</v>
      </c>
      <c r="CI25" s="747">
        <v>1</v>
      </c>
      <c r="CJ25" s="747">
        <v>1</v>
      </c>
      <c r="CK25" s="748">
        <v>1</v>
      </c>
      <c r="CL25" s="738">
        <v>5</v>
      </c>
      <c r="CM25" s="738">
        <v>5</v>
      </c>
      <c r="CN25" s="739">
        <v>5</v>
      </c>
      <c r="CO25" s="740">
        <v>5</v>
      </c>
      <c r="CP25" s="740">
        <v>5</v>
      </c>
      <c r="CQ25" s="740">
        <v>5</v>
      </c>
      <c r="CR25" s="740">
        <v>5</v>
      </c>
      <c r="CS25" s="740">
        <v>9</v>
      </c>
      <c r="CT25" s="741">
        <v>9</v>
      </c>
      <c r="CU25" s="738">
        <v>12</v>
      </c>
      <c r="CV25" s="738">
        <v>8</v>
      </c>
      <c r="CW25" s="739">
        <v>8</v>
      </c>
      <c r="CX25" s="740">
        <v>8</v>
      </c>
      <c r="CY25" s="740">
        <v>9</v>
      </c>
      <c r="CZ25" s="740">
        <v>8</v>
      </c>
      <c r="DA25" s="740">
        <v>8</v>
      </c>
      <c r="DB25" s="740">
        <v>8</v>
      </c>
      <c r="DC25" s="741">
        <v>7</v>
      </c>
      <c r="DD25" s="738">
        <v>3</v>
      </c>
      <c r="DE25" s="738">
        <v>3</v>
      </c>
      <c r="DF25" s="739">
        <v>2</v>
      </c>
      <c r="DG25" s="740">
        <v>3</v>
      </c>
      <c r="DH25" s="740">
        <v>3</v>
      </c>
      <c r="DI25" s="740">
        <v>16</v>
      </c>
      <c r="DJ25" s="740">
        <v>17</v>
      </c>
      <c r="DK25" s="740">
        <v>18</v>
      </c>
      <c r="DL25" s="741">
        <v>18</v>
      </c>
      <c r="DM25" s="739">
        <v>0</v>
      </c>
      <c r="DN25" s="739">
        <v>0</v>
      </c>
      <c r="DO25" s="739">
        <v>0</v>
      </c>
      <c r="DP25" s="739">
        <v>1</v>
      </c>
      <c r="DQ25" s="739">
        <v>1</v>
      </c>
      <c r="DR25" s="739">
        <v>1</v>
      </c>
      <c r="DS25" s="746">
        <v>1</v>
      </c>
      <c r="DT25" s="740">
        <v>1</v>
      </c>
      <c r="DU25" s="740">
        <v>2</v>
      </c>
      <c r="DV25" s="739">
        <v>2</v>
      </c>
      <c r="DW25" s="740">
        <v>3</v>
      </c>
      <c r="DX25" s="740">
        <v>2</v>
      </c>
      <c r="DY25" s="740">
        <v>2</v>
      </c>
      <c r="DZ25" s="740">
        <v>2</v>
      </c>
      <c r="EA25" s="740">
        <v>2</v>
      </c>
      <c r="EB25" s="741">
        <v>2</v>
      </c>
      <c r="EC25" s="740">
        <v>3</v>
      </c>
      <c r="ED25" s="740">
        <v>3</v>
      </c>
      <c r="EE25" s="739">
        <v>3</v>
      </c>
      <c r="EF25" s="740">
        <v>3</v>
      </c>
      <c r="EG25" s="740">
        <v>5</v>
      </c>
      <c r="EH25" s="740">
        <v>8</v>
      </c>
      <c r="EI25" s="740">
        <v>8</v>
      </c>
      <c r="EJ25" s="740">
        <v>5</v>
      </c>
      <c r="EK25" s="741">
        <v>4</v>
      </c>
      <c r="EL25" s="747">
        <v>0</v>
      </c>
      <c r="EM25" s="747">
        <v>0</v>
      </c>
      <c r="EN25" s="747">
        <v>0</v>
      </c>
      <c r="EO25" s="747">
        <v>0</v>
      </c>
      <c r="EP25" s="747">
        <v>0</v>
      </c>
      <c r="EQ25" s="738">
        <v>0</v>
      </c>
      <c r="ER25" s="738">
        <v>0</v>
      </c>
      <c r="ES25" s="739">
        <v>0</v>
      </c>
      <c r="ET25" s="740">
        <v>0</v>
      </c>
      <c r="EU25" s="740">
        <v>1</v>
      </c>
      <c r="EV25" s="740">
        <v>1</v>
      </c>
      <c r="EW25" s="740">
        <v>1</v>
      </c>
      <c r="EX25" s="740">
        <v>1</v>
      </c>
      <c r="EY25" s="741">
        <v>1</v>
      </c>
      <c r="EZ25" s="738">
        <v>6</v>
      </c>
      <c r="FA25" s="738">
        <v>6</v>
      </c>
      <c r="FB25" s="739">
        <v>6</v>
      </c>
      <c r="FC25" s="740">
        <v>6</v>
      </c>
      <c r="FD25" s="740">
        <v>6</v>
      </c>
      <c r="FE25" s="740">
        <v>6</v>
      </c>
      <c r="FF25" s="740">
        <v>6</v>
      </c>
      <c r="FG25" s="740">
        <v>6</v>
      </c>
      <c r="FH25" s="741">
        <v>5</v>
      </c>
      <c r="FI25" s="738">
        <v>1</v>
      </c>
      <c r="FJ25" s="738">
        <v>2</v>
      </c>
      <c r="FK25" s="739">
        <v>2</v>
      </c>
      <c r="FL25" s="740">
        <v>3</v>
      </c>
      <c r="FM25" s="740">
        <v>3</v>
      </c>
      <c r="FN25" s="740">
        <v>3</v>
      </c>
      <c r="FO25" s="740">
        <v>3</v>
      </c>
      <c r="FP25" s="740">
        <v>3</v>
      </c>
      <c r="FQ25" s="741">
        <v>3</v>
      </c>
      <c r="FR25" s="738">
        <v>4</v>
      </c>
      <c r="FS25" s="738">
        <v>5</v>
      </c>
      <c r="FT25" s="739">
        <v>5</v>
      </c>
      <c r="FU25" s="740">
        <v>5</v>
      </c>
      <c r="FV25" s="740">
        <v>5</v>
      </c>
      <c r="FW25" s="740">
        <v>5</v>
      </c>
      <c r="FX25" s="740">
        <v>6</v>
      </c>
      <c r="FY25" s="740">
        <v>6</v>
      </c>
      <c r="FZ25" s="741">
        <v>6</v>
      </c>
      <c r="GA25" s="738">
        <v>13</v>
      </c>
      <c r="GB25" s="738">
        <v>13</v>
      </c>
      <c r="GC25" s="739">
        <v>14</v>
      </c>
      <c r="GD25" s="740">
        <v>13</v>
      </c>
      <c r="GE25" s="740">
        <v>13</v>
      </c>
      <c r="GF25" s="740">
        <v>13</v>
      </c>
      <c r="GG25" s="740">
        <v>13</v>
      </c>
      <c r="GH25" s="740">
        <v>13</v>
      </c>
      <c r="GI25" s="741">
        <v>13</v>
      </c>
      <c r="GJ25" s="738">
        <v>2</v>
      </c>
      <c r="GK25" s="738">
        <v>3</v>
      </c>
      <c r="GL25" s="739">
        <v>3</v>
      </c>
      <c r="GM25" s="740">
        <v>6</v>
      </c>
      <c r="GN25" s="740">
        <v>6</v>
      </c>
      <c r="GO25" s="740">
        <v>9</v>
      </c>
      <c r="GP25" s="740">
        <v>8</v>
      </c>
      <c r="GQ25" s="740">
        <v>8</v>
      </c>
      <c r="GR25" s="741">
        <v>8</v>
      </c>
      <c r="GS25" s="740">
        <v>5</v>
      </c>
      <c r="GT25" s="740">
        <v>5</v>
      </c>
      <c r="GU25" s="739">
        <v>5</v>
      </c>
      <c r="GV25" s="740">
        <v>5</v>
      </c>
      <c r="GW25" s="740">
        <v>5</v>
      </c>
      <c r="GX25" s="740">
        <v>5</v>
      </c>
      <c r="GY25" s="740">
        <v>5</v>
      </c>
      <c r="GZ25" s="740">
        <v>5</v>
      </c>
      <c r="HA25" s="741">
        <v>5</v>
      </c>
      <c r="HB25" s="738">
        <v>2</v>
      </c>
      <c r="HC25" s="738">
        <v>2</v>
      </c>
      <c r="HD25" s="739">
        <v>1</v>
      </c>
      <c r="HE25" s="740">
        <v>1</v>
      </c>
      <c r="HF25" s="740">
        <v>1</v>
      </c>
      <c r="HG25" s="740">
        <v>1</v>
      </c>
      <c r="HH25" s="740">
        <v>1</v>
      </c>
      <c r="HI25" s="740">
        <v>1</v>
      </c>
      <c r="HJ25" s="741">
        <v>1</v>
      </c>
      <c r="HK25" s="738">
        <v>2</v>
      </c>
      <c r="HL25" s="738">
        <v>2</v>
      </c>
      <c r="HM25" s="739">
        <v>2</v>
      </c>
      <c r="HN25" s="740">
        <v>2</v>
      </c>
      <c r="HO25" s="740">
        <v>2</v>
      </c>
      <c r="HP25" s="740">
        <v>2</v>
      </c>
      <c r="HQ25" s="740">
        <v>2</v>
      </c>
      <c r="HR25" s="740">
        <v>2</v>
      </c>
      <c r="HS25" s="741">
        <v>2</v>
      </c>
      <c r="HT25" s="749">
        <f t="shared" si="0"/>
        <v>449</v>
      </c>
      <c r="HU25" s="749">
        <f t="shared" si="0"/>
        <v>493</v>
      </c>
      <c r="HV25" s="749">
        <f t="shared" si="1"/>
        <v>510</v>
      </c>
      <c r="HW25" s="749">
        <f t="shared" si="1"/>
        <v>531</v>
      </c>
      <c r="HX25" s="749">
        <f t="shared" si="2"/>
        <v>533</v>
      </c>
      <c r="HY25" s="749">
        <f t="shared" si="2"/>
        <v>560</v>
      </c>
      <c r="HZ25" s="749">
        <f t="shared" si="2"/>
        <v>531</v>
      </c>
      <c r="IA25" s="749">
        <v>521</v>
      </c>
      <c r="IB25" s="750">
        <v>483</v>
      </c>
      <c r="IC25" s="751">
        <v>0</v>
      </c>
      <c r="ID25" s="751">
        <v>2</v>
      </c>
      <c r="IE25" s="754">
        <v>2</v>
      </c>
      <c r="IF25" s="754">
        <v>4</v>
      </c>
      <c r="IG25" s="754">
        <v>4</v>
      </c>
      <c r="IH25" s="754">
        <v>7</v>
      </c>
      <c r="II25" s="754">
        <v>1</v>
      </c>
      <c r="IJ25" s="754">
        <v>1</v>
      </c>
      <c r="IK25" s="754">
        <v>2</v>
      </c>
      <c r="IL25" s="754">
        <v>2</v>
      </c>
      <c r="IM25" s="754">
        <v>3</v>
      </c>
      <c r="IN25" s="754">
        <v>5</v>
      </c>
      <c r="IO25" s="754">
        <v>7</v>
      </c>
      <c r="IP25" s="754">
        <v>8</v>
      </c>
      <c r="IQ25" s="754">
        <v>12</v>
      </c>
      <c r="IR25" s="754">
        <v>2</v>
      </c>
      <c r="IS25" s="754">
        <v>4</v>
      </c>
      <c r="IT25" s="754">
        <v>4</v>
      </c>
      <c r="IU25" s="754">
        <v>5</v>
      </c>
      <c r="IV25" s="754">
        <v>6</v>
      </c>
      <c r="IW25" s="754">
        <v>9</v>
      </c>
      <c r="IX25" s="754">
        <v>8</v>
      </c>
      <c r="IY25" s="754">
        <v>0</v>
      </c>
      <c r="IZ25" s="754">
        <v>0</v>
      </c>
      <c r="JA25" s="754">
        <v>1</v>
      </c>
      <c r="JB25" s="754">
        <v>1</v>
      </c>
      <c r="JC25" s="754">
        <v>1</v>
      </c>
      <c r="JD25" s="754">
        <v>1</v>
      </c>
      <c r="JE25" s="754">
        <v>2</v>
      </c>
      <c r="JF25" s="754">
        <v>3</v>
      </c>
      <c r="JG25" s="754">
        <v>3</v>
      </c>
      <c r="JH25" s="754">
        <v>1</v>
      </c>
      <c r="JI25" s="754">
        <v>2</v>
      </c>
      <c r="JJ25" s="754">
        <v>2</v>
      </c>
      <c r="JK25" s="754">
        <v>2</v>
      </c>
      <c r="JL25" s="754">
        <v>2</v>
      </c>
      <c r="JM25" s="754">
        <v>2</v>
      </c>
      <c r="JN25" s="754">
        <v>3</v>
      </c>
      <c r="JO25" s="754">
        <v>8</v>
      </c>
      <c r="JP25" s="754">
        <v>8</v>
      </c>
      <c r="JQ25" s="754">
        <v>0</v>
      </c>
      <c r="JR25" s="754">
        <v>9</v>
      </c>
      <c r="JS25" s="754">
        <v>10</v>
      </c>
      <c r="JT25" s="754">
        <v>11</v>
      </c>
      <c r="JU25" s="754">
        <v>12</v>
      </c>
      <c r="JV25" s="754">
        <v>15</v>
      </c>
      <c r="JW25" s="754">
        <v>16</v>
      </c>
      <c r="JX25" s="754">
        <v>17</v>
      </c>
      <c r="JY25" s="754">
        <v>30</v>
      </c>
      <c r="JZ25" s="754">
        <v>36</v>
      </c>
      <c r="KA25" s="752">
        <v>13</v>
      </c>
      <c r="KB25" s="752">
        <v>17</v>
      </c>
      <c r="KC25" s="752">
        <v>20</v>
      </c>
      <c r="KD25" s="752">
        <v>22</v>
      </c>
      <c r="KE25" s="752">
        <v>29</v>
      </c>
      <c r="KF25" s="752">
        <v>35</v>
      </c>
      <c r="KG25" s="752">
        <v>41</v>
      </c>
      <c r="KH25" s="752">
        <v>53</v>
      </c>
      <c r="KI25" s="752">
        <v>66</v>
      </c>
      <c r="KJ25" s="752">
        <v>462</v>
      </c>
      <c r="KK25" s="752">
        <v>510</v>
      </c>
      <c r="KL25" s="752">
        <v>530</v>
      </c>
      <c r="KM25" s="752">
        <v>553</v>
      </c>
      <c r="KN25" s="752">
        <v>562</v>
      </c>
      <c r="KO25" s="752">
        <v>595</v>
      </c>
      <c r="KP25" s="752">
        <v>572</v>
      </c>
      <c r="KQ25" s="752">
        <v>574</v>
      </c>
      <c r="KR25" s="755">
        <v>549</v>
      </c>
      <c r="KS25" s="808"/>
    </row>
    <row r="26" spans="1:305" s="737" customFormat="1" ht="12.75" x14ac:dyDescent="0.25">
      <c r="A26" s="720">
        <v>22</v>
      </c>
      <c r="B26" s="721" t="s">
        <v>164</v>
      </c>
      <c r="C26" s="738">
        <v>1</v>
      </c>
      <c r="D26" s="738">
        <v>1</v>
      </c>
      <c r="E26" s="739">
        <v>1</v>
      </c>
      <c r="F26" s="740">
        <v>1</v>
      </c>
      <c r="G26" s="740">
        <v>1</v>
      </c>
      <c r="H26" s="740">
        <v>1</v>
      </c>
      <c r="I26" s="740">
        <v>1</v>
      </c>
      <c r="J26" s="740">
        <v>1</v>
      </c>
      <c r="K26" s="741">
        <v>1</v>
      </c>
      <c r="L26" s="738">
        <v>2</v>
      </c>
      <c r="M26" s="738">
        <v>2</v>
      </c>
      <c r="N26" s="739">
        <v>1</v>
      </c>
      <c r="O26" s="740">
        <v>2</v>
      </c>
      <c r="P26" s="740">
        <v>2</v>
      </c>
      <c r="Q26" s="740">
        <v>2</v>
      </c>
      <c r="R26" s="740">
        <v>2</v>
      </c>
      <c r="S26" s="740">
        <v>2</v>
      </c>
      <c r="T26" s="741">
        <v>2</v>
      </c>
      <c r="U26" s="738">
        <v>2</v>
      </c>
      <c r="V26" s="738">
        <v>2</v>
      </c>
      <c r="W26" s="739">
        <v>2</v>
      </c>
      <c r="X26" s="740">
        <v>2</v>
      </c>
      <c r="Y26" s="742">
        <v>2</v>
      </c>
      <c r="Z26" s="742">
        <v>2</v>
      </c>
      <c r="AA26" s="742">
        <v>1</v>
      </c>
      <c r="AB26" s="742">
        <v>1</v>
      </c>
      <c r="AC26" s="743">
        <v>1</v>
      </c>
      <c r="AD26" s="738">
        <v>1</v>
      </c>
      <c r="AE26" s="738">
        <v>1</v>
      </c>
      <c r="AF26" s="739">
        <v>1</v>
      </c>
      <c r="AG26" s="740">
        <v>1</v>
      </c>
      <c r="AH26" s="740">
        <v>1</v>
      </c>
      <c r="AI26" s="740">
        <v>1</v>
      </c>
      <c r="AJ26" s="740">
        <v>1</v>
      </c>
      <c r="AK26" s="740">
        <v>1</v>
      </c>
      <c r="AL26" s="741">
        <v>1</v>
      </c>
      <c r="AM26" s="744">
        <v>0</v>
      </c>
      <c r="AN26" s="744">
        <v>0</v>
      </c>
      <c r="AO26" s="744">
        <v>0</v>
      </c>
      <c r="AP26" s="744">
        <v>0</v>
      </c>
      <c r="AQ26" s="745">
        <v>0</v>
      </c>
      <c r="AR26" s="738">
        <v>0</v>
      </c>
      <c r="AS26" s="738">
        <v>0</v>
      </c>
      <c r="AT26" s="739">
        <v>0</v>
      </c>
      <c r="AU26" s="739">
        <v>0</v>
      </c>
      <c r="AV26" s="739">
        <v>0</v>
      </c>
      <c r="AW26" s="739">
        <v>0</v>
      </c>
      <c r="AX26" s="739">
        <v>0</v>
      </c>
      <c r="AY26" s="739">
        <v>0</v>
      </c>
      <c r="AZ26" s="746">
        <v>0</v>
      </c>
      <c r="BA26" s="738">
        <v>0</v>
      </c>
      <c r="BB26" s="738">
        <v>0</v>
      </c>
      <c r="BC26" s="739">
        <v>0</v>
      </c>
      <c r="BD26" s="739">
        <v>0</v>
      </c>
      <c r="BE26" s="739">
        <v>0</v>
      </c>
      <c r="BF26" s="739">
        <v>0</v>
      </c>
      <c r="BG26" s="739">
        <v>0</v>
      </c>
      <c r="BH26" s="739">
        <v>0</v>
      </c>
      <c r="BI26" s="746">
        <v>0</v>
      </c>
      <c r="BJ26" s="738">
        <v>1</v>
      </c>
      <c r="BK26" s="738">
        <v>1</v>
      </c>
      <c r="BL26" s="739">
        <v>1</v>
      </c>
      <c r="BM26" s="747">
        <v>1</v>
      </c>
      <c r="BN26" s="747">
        <v>1</v>
      </c>
      <c r="BO26" s="747">
        <v>1</v>
      </c>
      <c r="BP26" s="747">
        <v>1</v>
      </c>
      <c r="BQ26" s="747">
        <v>1</v>
      </c>
      <c r="BR26" s="748">
        <v>1</v>
      </c>
      <c r="BS26" s="747">
        <v>0</v>
      </c>
      <c r="BT26" s="747">
        <v>0</v>
      </c>
      <c r="BU26" s="747">
        <v>0</v>
      </c>
      <c r="BV26" s="747">
        <v>0</v>
      </c>
      <c r="BW26" s="748">
        <v>0</v>
      </c>
      <c r="BX26" s="738">
        <v>0</v>
      </c>
      <c r="BY26" s="738">
        <v>0</v>
      </c>
      <c r="BZ26" s="739">
        <v>0</v>
      </c>
      <c r="CA26" s="747">
        <v>0</v>
      </c>
      <c r="CB26" s="747">
        <v>0</v>
      </c>
      <c r="CC26" s="747">
        <v>0</v>
      </c>
      <c r="CD26" s="747">
        <v>0</v>
      </c>
      <c r="CE26" s="747">
        <v>0</v>
      </c>
      <c r="CF26" s="748">
        <v>0</v>
      </c>
      <c r="CG26" s="747">
        <v>0</v>
      </c>
      <c r="CH26" s="747">
        <v>0</v>
      </c>
      <c r="CI26" s="747">
        <v>0</v>
      </c>
      <c r="CJ26" s="747">
        <v>0</v>
      </c>
      <c r="CK26" s="748">
        <v>0</v>
      </c>
      <c r="CL26" s="738">
        <v>0</v>
      </c>
      <c r="CM26" s="738">
        <v>0</v>
      </c>
      <c r="CN26" s="739">
        <v>0</v>
      </c>
      <c r="CO26" s="740">
        <v>0</v>
      </c>
      <c r="CP26" s="740">
        <v>0</v>
      </c>
      <c r="CQ26" s="740">
        <v>0</v>
      </c>
      <c r="CR26" s="740">
        <v>0</v>
      </c>
      <c r="CS26" s="740">
        <v>0</v>
      </c>
      <c r="CT26" s="741">
        <v>0</v>
      </c>
      <c r="CU26" s="738">
        <v>1</v>
      </c>
      <c r="CV26" s="738">
        <v>1</v>
      </c>
      <c r="CW26" s="739">
        <v>1</v>
      </c>
      <c r="CX26" s="740">
        <v>1</v>
      </c>
      <c r="CY26" s="740">
        <v>1</v>
      </c>
      <c r="CZ26" s="740">
        <v>1</v>
      </c>
      <c r="DA26" s="740">
        <v>1</v>
      </c>
      <c r="DB26" s="740">
        <v>1</v>
      </c>
      <c r="DC26" s="741">
        <v>1</v>
      </c>
      <c r="DD26" s="738">
        <v>0</v>
      </c>
      <c r="DE26" s="738">
        <v>0</v>
      </c>
      <c r="DF26" s="739">
        <v>0</v>
      </c>
      <c r="DG26" s="740">
        <v>0</v>
      </c>
      <c r="DH26" s="740">
        <v>0</v>
      </c>
      <c r="DI26" s="740">
        <v>1</v>
      </c>
      <c r="DJ26" s="740">
        <v>1</v>
      </c>
      <c r="DK26" s="740">
        <v>1</v>
      </c>
      <c r="DL26" s="741">
        <v>1</v>
      </c>
      <c r="DM26" s="739">
        <v>0</v>
      </c>
      <c r="DN26" s="739">
        <v>0</v>
      </c>
      <c r="DO26" s="739">
        <v>0</v>
      </c>
      <c r="DP26" s="739">
        <v>0</v>
      </c>
      <c r="DQ26" s="739">
        <v>0</v>
      </c>
      <c r="DR26" s="739">
        <v>0</v>
      </c>
      <c r="DS26" s="746">
        <v>0</v>
      </c>
      <c r="DT26" s="740">
        <v>0</v>
      </c>
      <c r="DU26" s="740">
        <v>0</v>
      </c>
      <c r="DV26" s="739">
        <v>0</v>
      </c>
      <c r="DW26" s="740">
        <v>0</v>
      </c>
      <c r="DX26" s="740">
        <v>0</v>
      </c>
      <c r="DY26" s="740">
        <v>0</v>
      </c>
      <c r="DZ26" s="740">
        <v>0</v>
      </c>
      <c r="EA26" s="740">
        <v>0</v>
      </c>
      <c r="EB26" s="741">
        <v>0</v>
      </c>
      <c r="EC26" s="740">
        <v>0</v>
      </c>
      <c r="ED26" s="740">
        <v>0</v>
      </c>
      <c r="EE26" s="739">
        <v>0</v>
      </c>
      <c r="EF26" s="740">
        <v>0</v>
      </c>
      <c r="EG26" s="740">
        <v>0</v>
      </c>
      <c r="EH26" s="740">
        <v>0</v>
      </c>
      <c r="EI26" s="740">
        <v>0</v>
      </c>
      <c r="EJ26" s="740">
        <v>0</v>
      </c>
      <c r="EK26" s="741">
        <v>0</v>
      </c>
      <c r="EL26" s="747">
        <v>0</v>
      </c>
      <c r="EM26" s="747">
        <v>0</v>
      </c>
      <c r="EN26" s="747">
        <v>0</v>
      </c>
      <c r="EO26" s="747">
        <v>0</v>
      </c>
      <c r="EP26" s="747">
        <v>0</v>
      </c>
      <c r="EQ26" s="738">
        <v>0</v>
      </c>
      <c r="ER26" s="738">
        <v>0</v>
      </c>
      <c r="ES26" s="739">
        <v>0</v>
      </c>
      <c r="ET26" s="740">
        <v>0</v>
      </c>
      <c r="EU26" s="740">
        <v>0</v>
      </c>
      <c r="EV26" s="740">
        <v>0</v>
      </c>
      <c r="EW26" s="740">
        <v>0</v>
      </c>
      <c r="EX26" s="740">
        <v>0</v>
      </c>
      <c r="EY26" s="741">
        <v>0</v>
      </c>
      <c r="EZ26" s="738">
        <v>0</v>
      </c>
      <c r="FA26" s="738">
        <v>0</v>
      </c>
      <c r="FB26" s="739">
        <v>0</v>
      </c>
      <c r="FC26" s="740">
        <v>0</v>
      </c>
      <c r="FD26" s="740">
        <v>0</v>
      </c>
      <c r="FE26" s="740">
        <v>0</v>
      </c>
      <c r="FF26" s="740">
        <v>0</v>
      </c>
      <c r="FG26" s="740">
        <v>0</v>
      </c>
      <c r="FH26" s="741">
        <v>0</v>
      </c>
      <c r="FI26" s="738">
        <v>0</v>
      </c>
      <c r="FJ26" s="738">
        <v>0</v>
      </c>
      <c r="FK26" s="739">
        <v>0</v>
      </c>
      <c r="FL26" s="740">
        <v>0</v>
      </c>
      <c r="FM26" s="740">
        <v>0</v>
      </c>
      <c r="FN26" s="740">
        <v>0</v>
      </c>
      <c r="FO26" s="740">
        <v>0</v>
      </c>
      <c r="FP26" s="740">
        <v>0</v>
      </c>
      <c r="FQ26" s="741">
        <v>0</v>
      </c>
      <c r="FR26" s="738">
        <v>0</v>
      </c>
      <c r="FS26" s="738">
        <v>0</v>
      </c>
      <c r="FT26" s="739">
        <v>0</v>
      </c>
      <c r="FU26" s="740">
        <v>0</v>
      </c>
      <c r="FV26" s="740">
        <v>0</v>
      </c>
      <c r="FW26" s="740">
        <v>0</v>
      </c>
      <c r="FX26" s="740">
        <v>0</v>
      </c>
      <c r="FY26" s="740">
        <v>0</v>
      </c>
      <c r="FZ26" s="741">
        <v>1</v>
      </c>
      <c r="GA26" s="738">
        <v>0</v>
      </c>
      <c r="GB26" s="738">
        <v>0</v>
      </c>
      <c r="GC26" s="739">
        <v>0</v>
      </c>
      <c r="GD26" s="740">
        <v>0</v>
      </c>
      <c r="GE26" s="740">
        <v>0</v>
      </c>
      <c r="GF26" s="740">
        <v>0</v>
      </c>
      <c r="GG26" s="740">
        <v>0</v>
      </c>
      <c r="GH26" s="740">
        <v>0</v>
      </c>
      <c r="GI26" s="741">
        <v>0</v>
      </c>
      <c r="GJ26" s="738">
        <v>0</v>
      </c>
      <c r="GK26" s="738">
        <v>0</v>
      </c>
      <c r="GL26" s="739">
        <v>0</v>
      </c>
      <c r="GM26" s="740">
        <v>1</v>
      </c>
      <c r="GN26" s="740">
        <v>1</v>
      </c>
      <c r="GO26" s="740">
        <v>1</v>
      </c>
      <c r="GP26" s="740">
        <v>1</v>
      </c>
      <c r="GQ26" s="740">
        <v>1</v>
      </c>
      <c r="GR26" s="741">
        <v>1</v>
      </c>
      <c r="GS26" s="740">
        <v>0</v>
      </c>
      <c r="GT26" s="740">
        <v>0</v>
      </c>
      <c r="GU26" s="739">
        <v>0</v>
      </c>
      <c r="GV26" s="740">
        <v>0</v>
      </c>
      <c r="GW26" s="740">
        <v>0</v>
      </c>
      <c r="GX26" s="740">
        <v>0</v>
      </c>
      <c r="GY26" s="740">
        <v>0</v>
      </c>
      <c r="GZ26" s="740">
        <v>0</v>
      </c>
      <c r="HA26" s="741">
        <v>0</v>
      </c>
      <c r="HB26" s="738">
        <v>0</v>
      </c>
      <c r="HC26" s="738">
        <v>0</v>
      </c>
      <c r="HD26" s="739">
        <v>0</v>
      </c>
      <c r="HE26" s="740">
        <v>0</v>
      </c>
      <c r="HF26" s="740">
        <v>0</v>
      </c>
      <c r="HG26" s="740">
        <v>0</v>
      </c>
      <c r="HH26" s="740">
        <v>0</v>
      </c>
      <c r="HI26" s="740">
        <v>0</v>
      </c>
      <c r="HJ26" s="741">
        <v>0</v>
      </c>
      <c r="HK26" s="738">
        <v>0</v>
      </c>
      <c r="HL26" s="738">
        <v>0</v>
      </c>
      <c r="HM26" s="739">
        <v>0</v>
      </c>
      <c r="HN26" s="740">
        <v>0</v>
      </c>
      <c r="HO26" s="740">
        <v>0</v>
      </c>
      <c r="HP26" s="740">
        <v>0</v>
      </c>
      <c r="HQ26" s="740">
        <v>0</v>
      </c>
      <c r="HR26" s="740">
        <v>0</v>
      </c>
      <c r="HS26" s="741">
        <v>0</v>
      </c>
      <c r="HT26" s="749">
        <f t="shared" si="0"/>
        <v>8</v>
      </c>
      <c r="HU26" s="749">
        <f t="shared" si="0"/>
        <v>8</v>
      </c>
      <c r="HV26" s="749">
        <f t="shared" si="1"/>
        <v>7</v>
      </c>
      <c r="HW26" s="749">
        <f t="shared" si="1"/>
        <v>9</v>
      </c>
      <c r="HX26" s="749">
        <f t="shared" si="2"/>
        <v>9</v>
      </c>
      <c r="HY26" s="749">
        <f t="shared" si="2"/>
        <v>10</v>
      </c>
      <c r="HZ26" s="749">
        <f t="shared" si="2"/>
        <v>9</v>
      </c>
      <c r="IA26" s="749">
        <v>9</v>
      </c>
      <c r="IB26" s="750">
        <v>10</v>
      </c>
      <c r="IC26" s="751">
        <v>0</v>
      </c>
      <c r="ID26" s="751">
        <v>0</v>
      </c>
      <c r="IE26" s="753">
        <v>0</v>
      </c>
      <c r="IF26" s="753">
        <v>0</v>
      </c>
      <c r="IG26" s="753">
        <v>0</v>
      </c>
      <c r="IH26" s="753">
        <v>0</v>
      </c>
      <c r="II26" s="753">
        <v>0</v>
      </c>
      <c r="IJ26" s="753">
        <v>0</v>
      </c>
      <c r="IK26" s="753">
        <v>0</v>
      </c>
      <c r="IL26" s="753">
        <v>0</v>
      </c>
      <c r="IM26" s="753">
        <v>0</v>
      </c>
      <c r="IN26" s="753">
        <v>0</v>
      </c>
      <c r="IO26" s="753">
        <v>0</v>
      </c>
      <c r="IP26" s="753">
        <v>0</v>
      </c>
      <c r="IQ26" s="753">
        <v>0</v>
      </c>
      <c r="IR26" s="753">
        <v>0</v>
      </c>
      <c r="IS26" s="753">
        <v>0</v>
      </c>
      <c r="IT26" s="753">
        <v>0</v>
      </c>
      <c r="IU26" s="753">
        <v>0</v>
      </c>
      <c r="IV26" s="753">
        <v>0</v>
      </c>
      <c r="IW26" s="753">
        <v>0</v>
      </c>
      <c r="IX26" s="753">
        <v>0</v>
      </c>
      <c r="IY26" s="753">
        <v>0</v>
      </c>
      <c r="IZ26" s="753">
        <v>0</v>
      </c>
      <c r="JA26" s="753">
        <v>0</v>
      </c>
      <c r="JB26" s="753">
        <v>0</v>
      </c>
      <c r="JC26" s="753">
        <v>0</v>
      </c>
      <c r="JD26" s="753">
        <v>0</v>
      </c>
      <c r="JE26" s="753">
        <v>0</v>
      </c>
      <c r="JF26" s="753">
        <v>0</v>
      </c>
      <c r="JG26" s="753">
        <v>0</v>
      </c>
      <c r="JH26" s="753">
        <v>0</v>
      </c>
      <c r="JI26" s="753">
        <v>0</v>
      </c>
      <c r="JJ26" s="753">
        <v>0</v>
      </c>
      <c r="JK26" s="753">
        <v>0</v>
      </c>
      <c r="JL26" s="753">
        <v>0</v>
      </c>
      <c r="JM26" s="753">
        <v>0</v>
      </c>
      <c r="JN26" s="753">
        <v>0</v>
      </c>
      <c r="JO26" s="753">
        <v>0</v>
      </c>
      <c r="JP26" s="753">
        <v>0</v>
      </c>
      <c r="JQ26" s="753">
        <v>0</v>
      </c>
      <c r="JR26" s="753">
        <v>0</v>
      </c>
      <c r="JS26" s="753">
        <v>0</v>
      </c>
      <c r="JT26" s="753">
        <v>0</v>
      </c>
      <c r="JU26" s="753">
        <v>0</v>
      </c>
      <c r="JV26" s="753">
        <v>0</v>
      </c>
      <c r="JW26" s="753">
        <v>0</v>
      </c>
      <c r="JX26" s="753">
        <v>0</v>
      </c>
      <c r="JY26" s="753">
        <v>1</v>
      </c>
      <c r="JZ26" s="753">
        <v>1</v>
      </c>
      <c r="KA26" s="752">
        <v>0</v>
      </c>
      <c r="KB26" s="752">
        <v>0</v>
      </c>
      <c r="KC26" s="752">
        <v>0</v>
      </c>
      <c r="KD26" s="752">
        <v>0</v>
      </c>
      <c r="KE26" s="752">
        <v>0</v>
      </c>
      <c r="KF26" s="752">
        <v>0</v>
      </c>
      <c r="KG26" s="752">
        <v>0</v>
      </c>
      <c r="KH26" s="752">
        <v>1</v>
      </c>
      <c r="KI26" s="752">
        <v>1</v>
      </c>
      <c r="KJ26" s="752">
        <v>8</v>
      </c>
      <c r="KK26" s="752">
        <v>8</v>
      </c>
      <c r="KL26" s="752">
        <v>7</v>
      </c>
      <c r="KM26" s="752">
        <v>9</v>
      </c>
      <c r="KN26" s="752">
        <v>9</v>
      </c>
      <c r="KO26" s="752">
        <v>10</v>
      </c>
      <c r="KP26" s="752">
        <v>9</v>
      </c>
      <c r="KQ26" s="752">
        <v>10</v>
      </c>
      <c r="KR26" s="755">
        <v>11</v>
      </c>
      <c r="KS26" s="808"/>
    </row>
    <row r="27" spans="1:305" s="737" customFormat="1" ht="12.75" x14ac:dyDescent="0.25">
      <c r="A27" s="720">
        <v>23</v>
      </c>
      <c r="B27" s="721" t="s">
        <v>165</v>
      </c>
      <c r="C27" s="738">
        <v>208</v>
      </c>
      <c r="D27" s="738">
        <v>208</v>
      </c>
      <c r="E27" s="739">
        <v>208</v>
      </c>
      <c r="F27" s="740">
        <v>208</v>
      </c>
      <c r="G27" s="740">
        <v>177</v>
      </c>
      <c r="H27" s="740">
        <v>159</v>
      </c>
      <c r="I27" s="740">
        <v>128</v>
      </c>
      <c r="J27" s="740">
        <v>114</v>
      </c>
      <c r="K27" s="741">
        <v>90</v>
      </c>
      <c r="L27" s="738">
        <v>257</v>
      </c>
      <c r="M27" s="738">
        <v>269</v>
      </c>
      <c r="N27" s="739">
        <v>278</v>
      </c>
      <c r="O27" s="740">
        <v>282</v>
      </c>
      <c r="P27" s="740">
        <v>291</v>
      </c>
      <c r="Q27" s="740">
        <v>270</v>
      </c>
      <c r="R27" s="740">
        <v>261</v>
      </c>
      <c r="S27" s="740">
        <v>257</v>
      </c>
      <c r="T27" s="741">
        <v>244</v>
      </c>
      <c r="U27" s="738">
        <v>220</v>
      </c>
      <c r="V27" s="738">
        <v>220</v>
      </c>
      <c r="W27" s="739">
        <v>220</v>
      </c>
      <c r="X27" s="740">
        <v>220</v>
      </c>
      <c r="Y27" s="742">
        <v>220</v>
      </c>
      <c r="Z27" s="742">
        <v>220</v>
      </c>
      <c r="AA27" s="742">
        <v>170</v>
      </c>
      <c r="AB27" s="742">
        <v>153</v>
      </c>
      <c r="AC27" s="743">
        <v>139</v>
      </c>
      <c r="AD27" s="738">
        <v>268</v>
      </c>
      <c r="AE27" s="738">
        <v>297</v>
      </c>
      <c r="AF27" s="739">
        <v>308</v>
      </c>
      <c r="AG27" s="740">
        <v>311</v>
      </c>
      <c r="AH27" s="740">
        <v>311</v>
      </c>
      <c r="AI27" s="740">
        <v>305</v>
      </c>
      <c r="AJ27" s="740">
        <v>301</v>
      </c>
      <c r="AK27" s="740">
        <v>295</v>
      </c>
      <c r="AL27" s="741">
        <v>249</v>
      </c>
      <c r="AM27" s="744">
        <v>0</v>
      </c>
      <c r="AN27" s="744">
        <v>0</v>
      </c>
      <c r="AO27" s="744">
        <v>0</v>
      </c>
      <c r="AP27" s="744">
        <v>0</v>
      </c>
      <c r="AQ27" s="745">
        <v>0</v>
      </c>
      <c r="AR27" s="738">
        <v>16</v>
      </c>
      <c r="AS27" s="738">
        <v>17</v>
      </c>
      <c r="AT27" s="739">
        <v>18</v>
      </c>
      <c r="AU27" s="739">
        <v>18</v>
      </c>
      <c r="AV27" s="739">
        <v>18</v>
      </c>
      <c r="AW27" s="739">
        <v>18</v>
      </c>
      <c r="AX27" s="739">
        <v>13</v>
      </c>
      <c r="AY27" s="739">
        <v>8</v>
      </c>
      <c r="AZ27" s="746">
        <v>8</v>
      </c>
      <c r="BA27" s="738">
        <v>4</v>
      </c>
      <c r="BB27" s="738">
        <v>6</v>
      </c>
      <c r="BC27" s="739">
        <v>7</v>
      </c>
      <c r="BD27" s="739">
        <v>7</v>
      </c>
      <c r="BE27" s="739">
        <v>9</v>
      </c>
      <c r="BF27" s="739">
        <v>9</v>
      </c>
      <c r="BG27" s="739">
        <v>11</v>
      </c>
      <c r="BH27" s="739">
        <v>10</v>
      </c>
      <c r="BI27" s="746">
        <v>0</v>
      </c>
      <c r="BJ27" s="738">
        <v>20</v>
      </c>
      <c r="BK27" s="738">
        <v>21</v>
      </c>
      <c r="BL27" s="739">
        <v>21</v>
      </c>
      <c r="BM27" s="747">
        <v>20</v>
      </c>
      <c r="BN27" s="747">
        <v>17</v>
      </c>
      <c r="BO27" s="747">
        <v>17</v>
      </c>
      <c r="BP27" s="747">
        <v>17</v>
      </c>
      <c r="BQ27" s="747">
        <v>17</v>
      </c>
      <c r="BR27" s="748">
        <v>19</v>
      </c>
      <c r="BS27" s="747">
        <v>0</v>
      </c>
      <c r="BT27" s="747">
        <v>1</v>
      </c>
      <c r="BU27" s="747">
        <v>1</v>
      </c>
      <c r="BV27" s="747">
        <v>1</v>
      </c>
      <c r="BW27" s="748">
        <v>1</v>
      </c>
      <c r="BX27" s="738">
        <v>6</v>
      </c>
      <c r="BY27" s="738">
        <v>7</v>
      </c>
      <c r="BZ27" s="739">
        <v>8</v>
      </c>
      <c r="CA27" s="747">
        <v>8</v>
      </c>
      <c r="CB27" s="747">
        <v>8</v>
      </c>
      <c r="CC27" s="747">
        <v>8</v>
      </c>
      <c r="CD27" s="747">
        <v>8</v>
      </c>
      <c r="CE27" s="747">
        <v>7</v>
      </c>
      <c r="CF27" s="748">
        <v>7</v>
      </c>
      <c r="CG27" s="747">
        <v>1</v>
      </c>
      <c r="CH27" s="747">
        <v>2</v>
      </c>
      <c r="CI27" s="747">
        <v>2</v>
      </c>
      <c r="CJ27" s="747">
        <v>2</v>
      </c>
      <c r="CK27" s="748">
        <v>2</v>
      </c>
      <c r="CL27" s="738">
        <v>8</v>
      </c>
      <c r="CM27" s="738">
        <v>8</v>
      </c>
      <c r="CN27" s="739">
        <v>8</v>
      </c>
      <c r="CO27" s="740">
        <v>8</v>
      </c>
      <c r="CP27" s="740">
        <v>7</v>
      </c>
      <c r="CQ27" s="740">
        <v>9</v>
      </c>
      <c r="CR27" s="740">
        <v>10</v>
      </c>
      <c r="CS27" s="740">
        <v>16</v>
      </c>
      <c r="CT27" s="741">
        <v>16</v>
      </c>
      <c r="CU27" s="738">
        <v>21</v>
      </c>
      <c r="CV27" s="738">
        <v>17</v>
      </c>
      <c r="CW27" s="739">
        <v>17</v>
      </c>
      <c r="CX27" s="740">
        <v>14</v>
      </c>
      <c r="CY27" s="740">
        <v>13</v>
      </c>
      <c r="CZ27" s="740">
        <v>14</v>
      </c>
      <c r="DA27" s="740">
        <v>13</v>
      </c>
      <c r="DB27" s="740">
        <v>13</v>
      </c>
      <c r="DC27" s="741">
        <v>13</v>
      </c>
      <c r="DD27" s="738">
        <v>6</v>
      </c>
      <c r="DE27" s="738">
        <v>6</v>
      </c>
      <c r="DF27" s="739">
        <v>6</v>
      </c>
      <c r="DG27" s="740">
        <v>6</v>
      </c>
      <c r="DH27" s="740">
        <v>6</v>
      </c>
      <c r="DI27" s="740">
        <v>25</v>
      </c>
      <c r="DJ27" s="740">
        <v>25</v>
      </c>
      <c r="DK27" s="740">
        <v>25</v>
      </c>
      <c r="DL27" s="741">
        <v>27</v>
      </c>
      <c r="DM27" s="739">
        <v>1</v>
      </c>
      <c r="DN27" s="739">
        <v>1</v>
      </c>
      <c r="DO27" s="739">
        <v>1</v>
      </c>
      <c r="DP27" s="739">
        <v>1</v>
      </c>
      <c r="DQ27" s="739">
        <v>1</v>
      </c>
      <c r="DR27" s="739">
        <v>1</v>
      </c>
      <c r="DS27" s="746">
        <v>1</v>
      </c>
      <c r="DT27" s="740">
        <v>2</v>
      </c>
      <c r="DU27" s="740">
        <v>3</v>
      </c>
      <c r="DV27" s="739">
        <v>3</v>
      </c>
      <c r="DW27" s="740">
        <v>3</v>
      </c>
      <c r="DX27" s="740">
        <v>3</v>
      </c>
      <c r="DY27" s="740">
        <v>7</v>
      </c>
      <c r="DZ27" s="740">
        <v>7</v>
      </c>
      <c r="EA27" s="740">
        <v>7</v>
      </c>
      <c r="EB27" s="741">
        <v>7</v>
      </c>
      <c r="EC27" s="740">
        <v>5</v>
      </c>
      <c r="ED27" s="740">
        <v>5</v>
      </c>
      <c r="EE27" s="739">
        <v>5</v>
      </c>
      <c r="EF27" s="740">
        <v>5</v>
      </c>
      <c r="EG27" s="740">
        <v>5</v>
      </c>
      <c r="EH27" s="740">
        <v>7</v>
      </c>
      <c r="EI27" s="740">
        <v>8</v>
      </c>
      <c r="EJ27" s="740">
        <v>8</v>
      </c>
      <c r="EK27" s="741">
        <v>8</v>
      </c>
      <c r="EL27" s="747">
        <v>0</v>
      </c>
      <c r="EM27" s="747">
        <v>0</v>
      </c>
      <c r="EN27" s="747">
        <v>0</v>
      </c>
      <c r="EO27" s="747">
        <v>0</v>
      </c>
      <c r="EP27" s="747">
        <v>0</v>
      </c>
      <c r="EQ27" s="738">
        <v>1</v>
      </c>
      <c r="ER27" s="738">
        <v>1</v>
      </c>
      <c r="ES27" s="739">
        <v>1</v>
      </c>
      <c r="ET27" s="740">
        <v>1</v>
      </c>
      <c r="EU27" s="740">
        <v>1</v>
      </c>
      <c r="EV27" s="740">
        <v>1</v>
      </c>
      <c r="EW27" s="740">
        <v>1</v>
      </c>
      <c r="EX27" s="740">
        <v>1</v>
      </c>
      <c r="EY27" s="741">
        <v>1</v>
      </c>
      <c r="EZ27" s="738">
        <v>11</v>
      </c>
      <c r="FA27" s="738">
        <v>11</v>
      </c>
      <c r="FB27" s="739">
        <v>11</v>
      </c>
      <c r="FC27" s="740">
        <v>11</v>
      </c>
      <c r="FD27" s="740">
        <v>11</v>
      </c>
      <c r="FE27" s="740">
        <v>11</v>
      </c>
      <c r="FF27" s="740">
        <v>11</v>
      </c>
      <c r="FG27" s="740">
        <v>11</v>
      </c>
      <c r="FH27" s="741">
        <v>10</v>
      </c>
      <c r="FI27" s="738">
        <v>22</v>
      </c>
      <c r="FJ27" s="738">
        <v>19</v>
      </c>
      <c r="FK27" s="739">
        <v>20</v>
      </c>
      <c r="FL27" s="740">
        <v>20</v>
      </c>
      <c r="FM27" s="740">
        <v>23</v>
      </c>
      <c r="FN27" s="740">
        <v>23</v>
      </c>
      <c r="FO27" s="740">
        <v>25</v>
      </c>
      <c r="FP27" s="740">
        <v>27</v>
      </c>
      <c r="FQ27" s="741">
        <v>27</v>
      </c>
      <c r="FR27" s="738">
        <v>4</v>
      </c>
      <c r="FS27" s="738">
        <v>6</v>
      </c>
      <c r="FT27" s="739">
        <v>7</v>
      </c>
      <c r="FU27" s="740">
        <v>7</v>
      </c>
      <c r="FV27" s="740">
        <v>7</v>
      </c>
      <c r="FW27" s="740">
        <v>7</v>
      </c>
      <c r="FX27" s="740">
        <v>7</v>
      </c>
      <c r="FY27" s="740">
        <v>8</v>
      </c>
      <c r="FZ27" s="741">
        <v>8</v>
      </c>
      <c r="GA27" s="738">
        <v>10</v>
      </c>
      <c r="GB27" s="738">
        <v>14</v>
      </c>
      <c r="GC27" s="739">
        <v>16</v>
      </c>
      <c r="GD27" s="740">
        <v>16</v>
      </c>
      <c r="GE27" s="740">
        <v>20</v>
      </c>
      <c r="GF27" s="740">
        <v>23</v>
      </c>
      <c r="GG27" s="740">
        <v>24</v>
      </c>
      <c r="GH27" s="740">
        <v>24</v>
      </c>
      <c r="GI27" s="741">
        <v>24</v>
      </c>
      <c r="GJ27" s="738">
        <v>9</v>
      </c>
      <c r="GK27" s="738">
        <v>13</v>
      </c>
      <c r="GL27" s="739">
        <v>14</v>
      </c>
      <c r="GM27" s="740">
        <v>13</v>
      </c>
      <c r="GN27" s="740">
        <v>13</v>
      </c>
      <c r="GO27" s="740">
        <v>14</v>
      </c>
      <c r="GP27" s="740">
        <v>13</v>
      </c>
      <c r="GQ27" s="740">
        <v>12</v>
      </c>
      <c r="GR27" s="741">
        <v>12</v>
      </c>
      <c r="GS27" s="740">
        <v>7</v>
      </c>
      <c r="GT27" s="740">
        <v>7</v>
      </c>
      <c r="GU27" s="739">
        <v>7</v>
      </c>
      <c r="GV27" s="740">
        <v>8</v>
      </c>
      <c r="GW27" s="740">
        <v>8</v>
      </c>
      <c r="GX27" s="740">
        <v>8</v>
      </c>
      <c r="GY27" s="740">
        <v>8</v>
      </c>
      <c r="GZ27" s="740">
        <v>7</v>
      </c>
      <c r="HA27" s="741">
        <v>7</v>
      </c>
      <c r="HB27" s="738">
        <v>2</v>
      </c>
      <c r="HC27" s="738">
        <v>2</v>
      </c>
      <c r="HD27" s="739">
        <v>1</v>
      </c>
      <c r="HE27" s="740">
        <v>1</v>
      </c>
      <c r="HF27" s="740">
        <v>1</v>
      </c>
      <c r="HG27" s="740">
        <v>1</v>
      </c>
      <c r="HH27" s="740">
        <v>1</v>
      </c>
      <c r="HI27" s="740">
        <v>1</v>
      </c>
      <c r="HJ27" s="741">
        <v>1</v>
      </c>
      <c r="HK27" s="738">
        <v>11</v>
      </c>
      <c r="HL27" s="738">
        <v>12</v>
      </c>
      <c r="HM27" s="739">
        <v>12</v>
      </c>
      <c r="HN27" s="740">
        <v>12</v>
      </c>
      <c r="HO27" s="740">
        <v>12</v>
      </c>
      <c r="HP27" s="740">
        <v>12</v>
      </c>
      <c r="HQ27" s="740">
        <v>12</v>
      </c>
      <c r="HR27" s="740">
        <v>12</v>
      </c>
      <c r="HS27" s="741">
        <v>9</v>
      </c>
      <c r="HT27" s="749">
        <f t="shared" si="0"/>
        <v>1118</v>
      </c>
      <c r="HU27" s="749">
        <f t="shared" si="0"/>
        <v>1169</v>
      </c>
      <c r="HV27" s="749">
        <f t="shared" si="1"/>
        <v>1197</v>
      </c>
      <c r="HW27" s="749">
        <f t="shared" si="1"/>
        <v>1200</v>
      </c>
      <c r="HX27" s="749">
        <f t="shared" si="2"/>
        <v>1183</v>
      </c>
      <c r="HY27" s="749">
        <f t="shared" si="2"/>
        <v>1172</v>
      </c>
      <c r="HZ27" s="749">
        <f t="shared" si="2"/>
        <v>1078</v>
      </c>
      <c r="IA27" s="749">
        <v>1037</v>
      </c>
      <c r="IB27" s="750">
        <v>930</v>
      </c>
      <c r="IC27" s="751">
        <v>1</v>
      </c>
      <c r="ID27" s="751">
        <v>7</v>
      </c>
      <c r="IE27" s="753">
        <v>7</v>
      </c>
      <c r="IF27" s="753">
        <v>7</v>
      </c>
      <c r="IG27" s="753">
        <v>7</v>
      </c>
      <c r="IH27" s="753">
        <v>8</v>
      </c>
      <c r="II27" s="753">
        <v>3</v>
      </c>
      <c r="IJ27" s="753">
        <v>3</v>
      </c>
      <c r="IK27" s="753">
        <v>3</v>
      </c>
      <c r="IL27" s="753">
        <v>4</v>
      </c>
      <c r="IM27" s="753">
        <v>4</v>
      </c>
      <c r="IN27" s="753">
        <v>6</v>
      </c>
      <c r="IO27" s="753">
        <v>6</v>
      </c>
      <c r="IP27" s="753">
        <v>6</v>
      </c>
      <c r="IQ27" s="753">
        <v>7</v>
      </c>
      <c r="IR27" s="753">
        <v>5</v>
      </c>
      <c r="IS27" s="753">
        <v>9</v>
      </c>
      <c r="IT27" s="753">
        <v>10</v>
      </c>
      <c r="IU27" s="753">
        <v>10</v>
      </c>
      <c r="IV27" s="753">
        <v>13</v>
      </c>
      <c r="IW27" s="753">
        <v>13</v>
      </c>
      <c r="IX27" s="753">
        <v>12</v>
      </c>
      <c r="IY27" s="753">
        <v>1</v>
      </c>
      <c r="IZ27" s="753">
        <v>2</v>
      </c>
      <c r="JA27" s="753">
        <v>2</v>
      </c>
      <c r="JB27" s="753">
        <v>2</v>
      </c>
      <c r="JC27" s="753">
        <v>2</v>
      </c>
      <c r="JD27" s="753">
        <v>2</v>
      </c>
      <c r="JE27" s="753">
        <v>2</v>
      </c>
      <c r="JF27" s="753">
        <v>3</v>
      </c>
      <c r="JG27" s="753">
        <v>4</v>
      </c>
      <c r="JH27" s="753">
        <v>1</v>
      </c>
      <c r="JI27" s="753">
        <v>1</v>
      </c>
      <c r="JJ27" s="753">
        <v>1</v>
      </c>
      <c r="JK27" s="753">
        <v>1</v>
      </c>
      <c r="JL27" s="753">
        <v>1</v>
      </c>
      <c r="JM27" s="753">
        <v>5</v>
      </c>
      <c r="JN27" s="753">
        <v>5</v>
      </c>
      <c r="JO27" s="753">
        <v>7</v>
      </c>
      <c r="JP27" s="753">
        <v>14</v>
      </c>
      <c r="JQ27" s="753">
        <v>0</v>
      </c>
      <c r="JR27" s="753">
        <v>49</v>
      </c>
      <c r="JS27" s="753">
        <v>51</v>
      </c>
      <c r="JT27" s="753">
        <v>54</v>
      </c>
      <c r="JU27" s="753">
        <v>59</v>
      </c>
      <c r="JV27" s="753">
        <v>69</v>
      </c>
      <c r="JW27" s="753">
        <v>74</v>
      </c>
      <c r="JX27" s="753">
        <v>99</v>
      </c>
      <c r="JY27" s="753">
        <v>105</v>
      </c>
      <c r="JZ27" s="753">
        <v>108</v>
      </c>
      <c r="KA27" s="752">
        <v>59</v>
      </c>
      <c r="KB27" s="752">
        <v>66</v>
      </c>
      <c r="KC27" s="752">
        <v>70</v>
      </c>
      <c r="KD27" s="752">
        <v>77</v>
      </c>
      <c r="KE27" s="752">
        <v>96</v>
      </c>
      <c r="KF27" s="752">
        <v>107</v>
      </c>
      <c r="KG27" s="752">
        <v>131</v>
      </c>
      <c r="KH27" s="752">
        <v>128</v>
      </c>
      <c r="KI27" s="752">
        <v>141</v>
      </c>
      <c r="KJ27" s="752">
        <v>1177</v>
      </c>
      <c r="KK27" s="752">
        <v>1235</v>
      </c>
      <c r="KL27" s="752">
        <v>1267</v>
      </c>
      <c r="KM27" s="752">
        <v>1277</v>
      </c>
      <c r="KN27" s="752">
        <v>1279</v>
      </c>
      <c r="KO27" s="752">
        <v>1279</v>
      </c>
      <c r="KP27" s="752">
        <v>1209</v>
      </c>
      <c r="KQ27" s="752">
        <v>1165</v>
      </c>
      <c r="KR27" s="755">
        <v>1071</v>
      </c>
      <c r="KS27" s="808"/>
    </row>
    <row r="28" spans="1:305" s="737" customFormat="1" ht="12.75" x14ac:dyDescent="0.25">
      <c r="A28" s="720">
        <v>24</v>
      </c>
      <c r="B28" s="721" t="s">
        <v>166</v>
      </c>
      <c r="C28" s="756">
        <v>0</v>
      </c>
      <c r="D28" s="756">
        <v>50</v>
      </c>
      <c r="E28" s="739">
        <v>51</v>
      </c>
      <c r="F28" s="740">
        <v>51</v>
      </c>
      <c r="G28" s="740">
        <v>50</v>
      </c>
      <c r="H28" s="740">
        <v>50</v>
      </c>
      <c r="I28" s="740">
        <v>46</v>
      </c>
      <c r="J28" s="740">
        <v>44</v>
      </c>
      <c r="K28" s="741">
        <v>36</v>
      </c>
      <c r="L28" s="756">
        <v>0</v>
      </c>
      <c r="M28" s="756">
        <v>65</v>
      </c>
      <c r="N28" s="739">
        <v>71</v>
      </c>
      <c r="O28" s="740">
        <v>77</v>
      </c>
      <c r="P28" s="740">
        <v>78</v>
      </c>
      <c r="Q28" s="740">
        <v>80</v>
      </c>
      <c r="R28" s="740">
        <v>79</v>
      </c>
      <c r="S28" s="740">
        <v>82</v>
      </c>
      <c r="T28" s="741">
        <v>81</v>
      </c>
      <c r="U28" s="756">
        <v>0</v>
      </c>
      <c r="V28" s="756">
        <v>56</v>
      </c>
      <c r="W28" s="739">
        <v>56</v>
      </c>
      <c r="X28" s="740">
        <v>56</v>
      </c>
      <c r="Y28" s="742">
        <v>56</v>
      </c>
      <c r="Z28" s="742">
        <v>56</v>
      </c>
      <c r="AA28" s="742">
        <v>56</v>
      </c>
      <c r="AB28" s="742">
        <v>51</v>
      </c>
      <c r="AC28" s="743">
        <v>51</v>
      </c>
      <c r="AD28" s="756">
        <v>0</v>
      </c>
      <c r="AE28" s="756">
        <v>70</v>
      </c>
      <c r="AF28" s="739">
        <v>71</v>
      </c>
      <c r="AG28" s="740">
        <v>71</v>
      </c>
      <c r="AH28" s="740">
        <v>71</v>
      </c>
      <c r="AI28" s="740">
        <v>70</v>
      </c>
      <c r="AJ28" s="740">
        <v>70</v>
      </c>
      <c r="AK28" s="740">
        <v>69</v>
      </c>
      <c r="AL28" s="741">
        <v>64</v>
      </c>
      <c r="AM28" s="744">
        <v>0</v>
      </c>
      <c r="AN28" s="744">
        <v>0</v>
      </c>
      <c r="AO28" s="744">
        <v>0</v>
      </c>
      <c r="AP28" s="744">
        <v>0</v>
      </c>
      <c r="AQ28" s="745">
        <v>0</v>
      </c>
      <c r="AR28" s="756">
        <v>0</v>
      </c>
      <c r="AS28" s="756">
        <v>9</v>
      </c>
      <c r="AT28" s="739">
        <v>9</v>
      </c>
      <c r="AU28" s="739">
        <v>9</v>
      </c>
      <c r="AV28" s="739">
        <v>8</v>
      </c>
      <c r="AW28" s="739">
        <v>8</v>
      </c>
      <c r="AX28" s="739">
        <v>7</v>
      </c>
      <c r="AY28" s="739">
        <v>4</v>
      </c>
      <c r="AZ28" s="746">
        <v>4</v>
      </c>
      <c r="BA28" s="756">
        <v>0</v>
      </c>
      <c r="BB28" s="756">
        <v>3</v>
      </c>
      <c r="BC28" s="739">
        <v>4</v>
      </c>
      <c r="BD28" s="739">
        <v>4</v>
      </c>
      <c r="BE28" s="739">
        <v>4</v>
      </c>
      <c r="BF28" s="739">
        <v>4</v>
      </c>
      <c r="BG28" s="739">
        <v>5</v>
      </c>
      <c r="BH28" s="739">
        <v>6</v>
      </c>
      <c r="BI28" s="746">
        <v>0</v>
      </c>
      <c r="BJ28" s="756">
        <v>0</v>
      </c>
      <c r="BK28" s="756">
        <v>3</v>
      </c>
      <c r="BL28" s="739">
        <v>3</v>
      </c>
      <c r="BM28" s="747">
        <v>3</v>
      </c>
      <c r="BN28" s="747">
        <v>4</v>
      </c>
      <c r="BO28" s="747">
        <v>4</v>
      </c>
      <c r="BP28" s="747">
        <v>4</v>
      </c>
      <c r="BQ28" s="747">
        <v>4</v>
      </c>
      <c r="BR28" s="748">
        <v>6</v>
      </c>
      <c r="BS28" s="747">
        <v>0</v>
      </c>
      <c r="BT28" s="747">
        <v>0</v>
      </c>
      <c r="BU28" s="747">
        <v>1</v>
      </c>
      <c r="BV28" s="747">
        <v>1</v>
      </c>
      <c r="BW28" s="748">
        <v>1</v>
      </c>
      <c r="BX28" s="756">
        <v>0</v>
      </c>
      <c r="BY28" s="756">
        <v>4</v>
      </c>
      <c r="BZ28" s="739">
        <v>8</v>
      </c>
      <c r="CA28" s="747">
        <v>9</v>
      </c>
      <c r="CB28" s="747">
        <v>8</v>
      </c>
      <c r="CC28" s="747">
        <v>8</v>
      </c>
      <c r="CD28" s="747">
        <v>8</v>
      </c>
      <c r="CE28" s="747">
        <v>7</v>
      </c>
      <c r="CF28" s="748">
        <v>7</v>
      </c>
      <c r="CG28" s="747">
        <v>1</v>
      </c>
      <c r="CH28" s="747">
        <v>1</v>
      </c>
      <c r="CI28" s="747">
        <v>1</v>
      </c>
      <c r="CJ28" s="747">
        <v>1</v>
      </c>
      <c r="CK28" s="748">
        <v>1</v>
      </c>
      <c r="CL28" s="756">
        <v>0</v>
      </c>
      <c r="CM28" s="756">
        <v>3</v>
      </c>
      <c r="CN28" s="739">
        <v>3</v>
      </c>
      <c r="CO28" s="740">
        <v>3</v>
      </c>
      <c r="CP28" s="740">
        <v>3</v>
      </c>
      <c r="CQ28" s="740">
        <v>4</v>
      </c>
      <c r="CR28" s="740">
        <v>4</v>
      </c>
      <c r="CS28" s="740">
        <v>6</v>
      </c>
      <c r="CT28" s="741">
        <v>6</v>
      </c>
      <c r="CU28" s="756">
        <v>0</v>
      </c>
      <c r="CV28" s="756">
        <v>7</v>
      </c>
      <c r="CW28" s="739">
        <v>7</v>
      </c>
      <c r="CX28" s="740">
        <v>7</v>
      </c>
      <c r="CY28" s="740">
        <v>7</v>
      </c>
      <c r="CZ28" s="740">
        <v>7</v>
      </c>
      <c r="DA28" s="740">
        <v>8</v>
      </c>
      <c r="DB28" s="740">
        <v>8</v>
      </c>
      <c r="DC28" s="741">
        <v>8</v>
      </c>
      <c r="DD28" s="756">
        <v>0</v>
      </c>
      <c r="DE28" s="756">
        <v>2</v>
      </c>
      <c r="DF28" s="739">
        <v>2</v>
      </c>
      <c r="DG28" s="740">
        <v>3</v>
      </c>
      <c r="DH28" s="740">
        <v>3</v>
      </c>
      <c r="DI28" s="740">
        <v>9</v>
      </c>
      <c r="DJ28" s="740">
        <v>10</v>
      </c>
      <c r="DK28" s="740">
        <v>10</v>
      </c>
      <c r="DL28" s="741">
        <v>10</v>
      </c>
      <c r="DM28" s="739">
        <v>0</v>
      </c>
      <c r="DN28" s="739">
        <v>0</v>
      </c>
      <c r="DO28" s="739">
        <v>0</v>
      </c>
      <c r="DP28" s="739">
        <v>0</v>
      </c>
      <c r="DQ28" s="739">
        <v>1</v>
      </c>
      <c r="DR28" s="739">
        <v>1</v>
      </c>
      <c r="DS28" s="746">
        <v>1</v>
      </c>
      <c r="DT28" s="756">
        <v>0</v>
      </c>
      <c r="DU28" s="756">
        <v>1</v>
      </c>
      <c r="DV28" s="739">
        <v>1</v>
      </c>
      <c r="DW28" s="740">
        <v>1</v>
      </c>
      <c r="DX28" s="740">
        <v>1</v>
      </c>
      <c r="DY28" s="740">
        <v>2</v>
      </c>
      <c r="DZ28" s="740">
        <v>4</v>
      </c>
      <c r="EA28" s="740">
        <v>4</v>
      </c>
      <c r="EB28" s="741">
        <v>4</v>
      </c>
      <c r="EC28" s="756">
        <v>0</v>
      </c>
      <c r="ED28" s="756">
        <v>0</v>
      </c>
      <c r="EE28" s="739">
        <v>0</v>
      </c>
      <c r="EF28" s="740">
        <v>0</v>
      </c>
      <c r="EG28" s="740">
        <v>6</v>
      </c>
      <c r="EH28" s="740">
        <v>8</v>
      </c>
      <c r="EI28" s="740">
        <v>7</v>
      </c>
      <c r="EJ28" s="740">
        <v>6</v>
      </c>
      <c r="EK28" s="741">
        <v>3</v>
      </c>
      <c r="EL28" s="747">
        <v>0</v>
      </c>
      <c r="EM28" s="747">
        <v>0</v>
      </c>
      <c r="EN28" s="747">
        <v>0</v>
      </c>
      <c r="EO28" s="747">
        <v>0</v>
      </c>
      <c r="EP28" s="747">
        <v>0</v>
      </c>
      <c r="EQ28" s="756">
        <v>0</v>
      </c>
      <c r="ER28" s="756">
        <v>0</v>
      </c>
      <c r="ES28" s="739">
        <v>0</v>
      </c>
      <c r="ET28" s="740">
        <v>0</v>
      </c>
      <c r="EU28" s="740">
        <v>1</v>
      </c>
      <c r="EV28" s="740">
        <v>0</v>
      </c>
      <c r="EW28" s="740">
        <v>0</v>
      </c>
      <c r="EX28" s="740">
        <v>1</v>
      </c>
      <c r="EY28" s="741">
        <v>1</v>
      </c>
      <c r="EZ28" s="756">
        <v>0</v>
      </c>
      <c r="FA28" s="756">
        <v>6</v>
      </c>
      <c r="FB28" s="739">
        <v>6</v>
      </c>
      <c r="FC28" s="740">
        <v>6</v>
      </c>
      <c r="FD28" s="740">
        <v>6</v>
      </c>
      <c r="FE28" s="740">
        <v>6</v>
      </c>
      <c r="FF28" s="740">
        <v>6</v>
      </c>
      <c r="FG28" s="740">
        <v>5</v>
      </c>
      <c r="FH28" s="741">
        <v>3</v>
      </c>
      <c r="FI28" s="756">
        <v>0</v>
      </c>
      <c r="FJ28" s="756">
        <v>5</v>
      </c>
      <c r="FK28" s="739">
        <v>5</v>
      </c>
      <c r="FL28" s="740">
        <v>5</v>
      </c>
      <c r="FM28" s="740">
        <v>6</v>
      </c>
      <c r="FN28" s="740">
        <v>6</v>
      </c>
      <c r="FO28" s="740">
        <v>7</v>
      </c>
      <c r="FP28" s="740">
        <v>7</v>
      </c>
      <c r="FQ28" s="741">
        <v>7</v>
      </c>
      <c r="FR28" s="756">
        <v>0</v>
      </c>
      <c r="FS28" s="756">
        <v>1</v>
      </c>
      <c r="FT28" s="739">
        <v>2</v>
      </c>
      <c r="FU28" s="740">
        <v>2</v>
      </c>
      <c r="FV28" s="740">
        <v>2</v>
      </c>
      <c r="FW28" s="740">
        <v>2</v>
      </c>
      <c r="FX28" s="740">
        <v>4</v>
      </c>
      <c r="FY28" s="740">
        <v>5</v>
      </c>
      <c r="FZ28" s="741">
        <v>5</v>
      </c>
      <c r="GA28" s="756">
        <v>0</v>
      </c>
      <c r="GB28" s="756">
        <v>6</v>
      </c>
      <c r="GC28" s="739">
        <v>6</v>
      </c>
      <c r="GD28" s="740">
        <v>6</v>
      </c>
      <c r="GE28" s="740">
        <v>8</v>
      </c>
      <c r="GF28" s="740">
        <v>9</v>
      </c>
      <c r="GG28" s="740">
        <v>10</v>
      </c>
      <c r="GH28" s="740">
        <v>8</v>
      </c>
      <c r="GI28" s="741">
        <v>8</v>
      </c>
      <c r="GJ28" s="756">
        <v>0</v>
      </c>
      <c r="GK28" s="756">
        <v>2</v>
      </c>
      <c r="GL28" s="739">
        <v>2</v>
      </c>
      <c r="GM28" s="740">
        <v>4</v>
      </c>
      <c r="GN28" s="740">
        <v>4</v>
      </c>
      <c r="GO28" s="740">
        <v>8</v>
      </c>
      <c r="GP28" s="740">
        <v>7</v>
      </c>
      <c r="GQ28" s="740">
        <v>7</v>
      </c>
      <c r="GR28" s="741">
        <v>7</v>
      </c>
      <c r="GS28" s="756">
        <v>0</v>
      </c>
      <c r="GT28" s="756">
        <v>3</v>
      </c>
      <c r="GU28" s="739">
        <v>3</v>
      </c>
      <c r="GV28" s="740">
        <v>3</v>
      </c>
      <c r="GW28" s="740">
        <v>3</v>
      </c>
      <c r="GX28" s="740">
        <v>3</v>
      </c>
      <c r="GY28" s="740">
        <v>3</v>
      </c>
      <c r="GZ28" s="740">
        <v>3</v>
      </c>
      <c r="HA28" s="741">
        <v>3</v>
      </c>
      <c r="HB28" s="756">
        <v>0</v>
      </c>
      <c r="HC28" s="756">
        <v>0</v>
      </c>
      <c r="HD28" s="739">
        <v>0</v>
      </c>
      <c r="HE28" s="740">
        <v>1</v>
      </c>
      <c r="HF28" s="740">
        <v>1</v>
      </c>
      <c r="HG28" s="740">
        <v>1</v>
      </c>
      <c r="HH28" s="740">
        <v>1</v>
      </c>
      <c r="HI28" s="740">
        <v>1</v>
      </c>
      <c r="HJ28" s="741">
        <v>1</v>
      </c>
      <c r="HK28" s="756">
        <v>0</v>
      </c>
      <c r="HL28" s="756">
        <v>0</v>
      </c>
      <c r="HM28" s="739">
        <v>0</v>
      </c>
      <c r="HN28" s="740">
        <v>0</v>
      </c>
      <c r="HO28" s="740">
        <v>2</v>
      </c>
      <c r="HP28" s="740">
        <v>2</v>
      </c>
      <c r="HQ28" s="740">
        <v>2</v>
      </c>
      <c r="HR28" s="740">
        <v>2</v>
      </c>
      <c r="HS28" s="741">
        <v>1</v>
      </c>
      <c r="HT28" s="757">
        <f t="shared" si="0"/>
        <v>0</v>
      </c>
      <c r="HU28" s="757">
        <f t="shared" si="0"/>
        <v>296</v>
      </c>
      <c r="HV28" s="757">
        <f t="shared" si="1"/>
        <v>310</v>
      </c>
      <c r="HW28" s="757">
        <f t="shared" si="1"/>
        <v>321</v>
      </c>
      <c r="HX28" s="757">
        <f t="shared" si="2"/>
        <v>333</v>
      </c>
      <c r="HY28" s="757">
        <f t="shared" si="2"/>
        <v>348</v>
      </c>
      <c r="HZ28" s="757">
        <f t="shared" si="2"/>
        <v>351</v>
      </c>
      <c r="IA28" s="757">
        <v>343</v>
      </c>
      <c r="IB28" s="758">
        <v>319</v>
      </c>
      <c r="IC28" s="751">
        <v>1</v>
      </c>
      <c r="ID28" s="751">
        <v>3</v>
      </c>
      <c r="IE28" s="753">
        <v>3</v>
      </c>
      <c r="IF28" s="753">
        <v>3</v>
      </c>
      <c r="IG28" s="753">
        <v>3</v>
      </c>
      <c r="IH28" s="753">
        <v>5</v>
      </c>
      <c r="II28" s="753">
        <v>0</v>
      </c>
      <c r="IJ28" s="753">
        <v>2</v>
      </c>
      <c r="IK28" s="753">
        <v>2</v>
      </c>
      <c r="IL28" s="753">
        <v>2</v>
      </c>
      <c r="IM28" s="753">
        <v>3</v>
      </c>
      <c r="IN28" s="753">
        <v>5</v>
      </c>
      <c r="IO28" s="753">
        <v>7</v>
      </c>
      <c r="IP28" s="753">
        <v>7</v>
      </c>
      <c r="IQ28" s="753">
        <v>10</v>
      </c>
      <c r="IR28" s="753">
        <v>0</v>
      </c>
      <c r="IS28" s="753">
        <v>5</v>
      </c>
      <c r="IT28" s="753">
        <v>5</v>
      </c>
      <c r="IU28" s="753">
        <v>5</v>
      </c>
      <c r="IV28" s="753">
        <v>6</v>
      </c>
      <c r="IW28" s="753">
        <v>7</v>
      </c>
      <c r="IX28" s="753">
        <v>7</v>
      </c>
      <c r="IY28" s="753">
        <v>0</v>
      </c>
      <c r="IZ28" s="753">
        <v>0</v>
      </c>
      <c r="JA28" s="753">
        <v>0</v>
      </c>
      <c r="JB28" s="753">
        <v>1</v>
      </c>
      <c r="JC28" s="753">
        <v>1</v>
      </c>
      <c r="JD28" s="753">
        <v>2</v>
      </c>
      <c r="JE28" s="753">
        <v>2</v>
      </c>
      <c r="JF28" s="753">
        <v>2</v>
      </c>
      <c r="JG28" s="753">
        <v>3</v>
      </c>
      <c r="JH28" s="753">
        <v>0</v>
      </c>
      <c r="JI28" s="753">
        <v>0</v>
      </c>
      <c r="JJ28" s="753">
        <v>1</v>
      </c>
      <c r="JK28" s="753">
        <v>1</v>
      </c>
      <c r="JL28" s="753">
        <v>1</v>
      </c>
      <c r="JM28" s="753">
        <v>1</v>
      </c>
      <c r="JN28" s="753">
        <v>1</v>
      </c>
      <c r="JO28" s="753">
        <v>5</v>
      </c>
      <c r="JP28" s="753">
        <v>9</v>
      </c>
      <c r="JQ28" s="753">
        <v>1</v>
      </c>
      <c r="JR28" s="753">
        <v>0</v>
      </c>
      <c r="JS28" s="753">
        <v>7</v>
      </c>
      <c r="JT28" s="753">
        <v>8</v>
      </c>
      <c r="JU28" s="753">
        <v>16</v>
      </c>
      <c r="JV28" s="753">
        <v>19</v>
      </c>
      <c r="JW28" s="753">
        <v>22</v>
      </c>
      <c r="JX28" s="753">
        <v>26</v>
      </c>
      <c r="JY28" s="753">
        <v>35</v>
      </c>
      <c r="JZ28" s="753">
        <v>45</v>
      </c>
      <c r="KA28" s="752">
        <v>0</v>
      </c>
      <c r="KB28" s="752">
        <v>14</v>
      </c>
      <c r="KC28" s="752">
        <v>16</v>
      </c>
      <c r="KD28" s="752">
        <v>26</v>
      </c>
      <c r="KE28" s="752">
        <v>33</v>
      </c>
      <c r="KF28" s="752">
        <v>41</v>
      </c>
      <c r="KG28" s="752">
        <v>46</v>
      </c>
      <c r="KH28" s="752">
        <v>52</v>
      </c>
      <c r="KI28" s="752">
        <v>72</v>
      </c>
      <c r="KJ28" s="752">
        <v>0</v>
      </c>
      <c r="KK28" s="752">
        <v>310</v>
      </c>
      <c r="KL28" s="752">
        <v>326</v>
      </c>
      <c r="KM28" s="752">
        <v>347</v>
      </c>
      <c r="KN28" s="752">
        <v>366</v>
      </c>
      <c r="KO28" s="752">
        <v>389</v>
      </c>
      <c r="KP28" s="752">
        <v>397</v>
      </c>
      <c r="KQ28" s="752">
        <v>395</v>
      </c>
      <c r="KR28" s="755">
        <v>391</v>
      </c>
      <c r="KS28" s="808"/>
    </row>
    <row r="29" spans="1:305" s="737" customFormat="1" ht="12.75" x14ac:dyDescent="0.25">
      <c r="A29" s="720">
        <v>25</v>
      </c>
      <c r="B29" s="721" t="s">
        <v>168</v>
      </c>
      <c r="C29" s="738">
        <v>13</v>
      </c>
      <c r="D29" s="738">
        <v>13</v>
      </c>
      <c r="E29" s="739">
        <v>13</v>
      </c>
      <c r="F29" s="740">
        <v>13</v>
      </c>
      <c r="G29" s="740">
        <v>9</v>
      </c>
      <c r="H29" s="740">
        <v>13</v>
      </c>
      <c r="I29" s="740">
        <v>13</v>
      </c>
      <c r="J29" s="740">
        <v>13</v>
      </c>
      <c r="K29" s="741">
        <v>13</v>
      </c>
      <c r="L29" s="738">
        <v>4</v>
      </c>
      <c r="M29" s="738">
        <v>4</v>
      </c>
      <c r="N29" s="739">
        <v>4</v>
      </c>
      <c r="O29" s="740">
        <v>7</v>
      </c>
      <c r="P29" s="740">
        <v>8</v>
      </c>
      <c r="Q29" s="740">
        <v>8</v>
      </c>
      <c r="R29" s="740">
        <v>6</v>
      </c>
      <c r="S29" s="740">
        <v>7</v>
      </c>
      <c r="T29" s="741">
        <v>7</v>
      </c>
      <c r="U29" s="738">
        <v>10</v>
      </c>
      <c r="V29" s="738">
        <v>10</v>
      </c>
      <c r="W29" s="739">
        <v>10</v>
      </c>
      <c r="X29" s="740">
        <v>10</v>
      </c>
      <c r="Y29" s="742">
        <v>10</v>
      </c>
      <c r="Z29" s="742">
        <v>10</v>
      </c>
      <c r="AA29" s="742">
        <v>10</v>
      </c>
      <c r="AB29" s="742">
        <v>10</v>
      </c>
      <c r="AC29" s="743">
        <v>10</v>
      </c>
      <c r="AD29" s="738">
        <v>5</v>
      </c>
      <c r="AE29" s="738">
        <v>5</v>
      </c>
      <c r="AF29" s="739">
        <v>5</v>
      </c>
      <c r="AG29" s="740">
        <v>5</v>
      </c>
      <c r="AH29" s="740">
        <v>5</v>
      </c>
      <c r="AI29" s="740">
        <v>5</v>
      </c>
      <c r="AJ29" s="740">
        <v>5</v>
      </c>
      <c r="AK29" s="740">
        <v>5</v>
      </c>
      <c r="AL29" s="741">
        <v>4</v>
      </c>
      <c r="AM29" s="744">
        <v>0</v>
      </c>
      <c r="AN29" s="744">
        <v>0</v>
      </c>
      <c r="AO29" s="744">
        <v>0</v>
      </c>
      <c r="AP29" s="744">
        <v>0</v>
      </c>
      <c r="AQ29" s="745">
        <v>0</v>
      </c>
      <c r="AR29" s="738">
        <v>0</v>
      </c>
      <c r="AS29" s="738">
        <v>0</v>
      </c>
      <c r="AT29" s="739">
        <v>0</v>
      </c>
      <c r="AU29" s="739">
        <v>0</v>
      </c>
      <c r="AV29" s="739">
        <v>1</v>
      </c>
      <c r="AW29" s="739">
        <v>1</v>
      </c>
      <c r="AX29" s="739">
        <v>1</v>
      </c>
      <c r="AY29" s="739">
        <v>1</v>
      </c>
      <c r="AZ29" s="746">
        <v>1</v>
      </c>
      <c r="BA29" s="738">
        <v>0</v>
      </c>
      <c r="BB29" s="738">
        <v>0</v>
      </c>
      <c r="BC29" s="739">
        <v>0</v>
      </c>
      <c r="BD29" s="739">
        <v>0</v>
      </c>
      <c r="BE29" s="739">
        <v>0</v>
      </c>
      <c r="BF29" s="739">
        <v>0</v>
      </c>
      <c r="BG29" s="739">
        <v>1</v>
      </c>
      <c r="BH29" s="739">
        <v>1</v>
      </c>
      <c r="BI29" s="746">
        <v>0</v>
      </c>
      <c r="BJ29" s="738">
        <v>1</v>
      </c>
      <c r="BK29" s="738">
        <v>1</v>
      </c>
      <c r="BL29" s="739">
        <v>1</v>
      </c>
      <c r="BM29" s="747">
        <v>1</v>
      </c>
      <c r="BN29" s="747">
        <v>1</v>
      </c>
      <c r="BO29" s="747">
        <v>1</v>
      </c>
      <c r="BP29" s="747">
        <v>1</v>
      </c>
      <c r="BQ29" s="747">
        <v>1</v>
      </c>
      <c r="BR29" s="748">
        <v>1</v>
      </c>
      <c r="BS29" s="747">
        <v>0</v>
      </c>
      <c r="BT29" s="747">
        <v>0</v>
      </c>
      <c r="BU29" s="747">
        <v>0</v>
      </c>
      <c r="BV29" s="747">
        <v>0</v>
      </c>
      <c r="BW29" s="748">
        <v>0</v>
      </c>
      <c r="BX29" s="738">
        <v>1</v>
      </c>
      <c r="BY29" s="738">
        <v>1</v>
      </c>
      <c r="BZ29" s="739">
        <v>1</v>
      </c>
      <c r="CA29" s="747">
        <v>1</v>
      </c>
      <c r="CB29" s="747">
        <v>1</v>
      </c>
      <c r="CC29" s="747">
        <v>1</v>
      </c>
      <c r="CD29" s="747">
        <v>1</v>
      </c>
      <c r="CE29" s="747">
        <v>1</v>
      </c>
      <c r="CF29" s="748">
        <v>1</v>
      </c>
      <c r="CG29" s="747">
        <v>0</v>
      </c>
      <c r="CH29" s="747">
        <v>0</v>
      </c>
      <c r="CI29" s="747">
        <v>0</v>
      </c>
      <c r="CJ29" s="747">
        <v>0</v>
      </c>
      <c r="CK29" s="748">
        <v>0</v>
      </c>
      <c r="CL29" s="738">
        <v>0</v>
      </c>
      <c r="CM29" s="738">
        <v>0</v>
      </c>
      <c r="CN29" s="739">
        <v>0</v>
      </c>
      <c r="CO29" s="740">
        <v>0</v>
      </c>
      <c r="CP29" s="740">
        <v>0</v>
      </c>
      <c r="CQ29" s="740">
        <v>0</v>
      </c>
      <c r="CR29" s="740">
        <v>0</v>
      </c>
      <c r="CS29" s="740">
        <v>1</v>
      </c>
      <c r="CT29" s="741">
        <v>1</v>
      </c>
      <c r="CU29" s="738">
        <v>1</v>
      </c>
      <c r="CV29" s="738">
        <v>1</v>
      </c>
      <c r="CW29" s="739">
        <v>1</v>
      </c>
      <c r="CX29" s="740">
        <v>1</v>
      </c>
      <c r="CY29" s="740">
        <v>1</v>
      </c>
      <c r="CZ29" s="740">
        <v>0</v>
      </c>
      <c r="DA29" s="740">
        <v>0</v>
      </c>
      <c r="DB29" s="740">
        <v>1</v>
      </c>
      <c r="DC29" s="741">
        <v>1</v>
      </c>
      <c r="DD29" s="738">
        <v>0</v>
      </c>
      <c r="DE29" s="738">
        <v>0</v>
      </c>
      <c r="DF29" s="739">
        <v>0</v>
      </c>
      <c r="DG29" s="740">
        <v>0</v>
      </c>
      <c r="DH29" s="740">
        <v>0</v>
      </c>
      <c r="DI29" s="740">
        <v>1</v>
      </c>
      <c r="DJ29" s="740">
        <v>1</v>
      </c>
      <c r="DK29" s="740">
        <v>1</v>
      </c>
      <c r="DL29" s="741">
        <v>1</v>
      </c>
      <c r="DM29" s="739">
        <v>0</v>
      </c>
      <c r="DN29" s="739">
        <v>0</v>
      </c>
      <c r="DO29" s="739">
        <v>0</v>
      </c>
      <c r="DP29" s="739">
        <v>0</v>
      </c>
      <c r="DQ29" s="739">
        <v>0</v>
      </c>
      <c r="DR29" s="739">
        <v>0</v>
      </c>
      <c r="DS29" s="746">
        <v>0</v>
      </c>
      <c r="DT29" s="740">
        <v>0</v>
      </c>
      <c r="DU29" s="740">
        <v>0</v>
      </c>
      <c r="DV29" s="739">
        <v>0</v>
      </c>
      <c r="DW29" s="740">
        <v>0</v>
      </c>
      <c r="DX29" s="740">
        <v>0</v>
      </c>
      <c r="DY29" s="740">
        <v>0</v>
      </c>
      <c r="DZ29" s="740">
        <v>1</v>
      </c>
      <c r="EA29" s="740">
        <v>1</v>
      </c>
      <c r="EB29" s="741">
        <v>1</v>
      </c>
      <c r="EC29" s="740">
        <v>0</v>
      </c>
      <c r="ED29" s="740">
        <v>0</v>
      </c>
      <c r="EE29" s="739">
        <v>0</v>
      </c>
      <c r="EF29" s="740">
        <v>0</v>
      </c>
      <c r="EG29" s="740">
        <v>0</v>
      </c>
      <c r="EH29" s="740">
        <v>0</v>
      </c>
      <c r="EI29" s="740">
        <v>0</v>
      </c>
      <c r="EJ29" s="740">
        <v>0</v>
      </c>
      <c r="EK29" s="741">
        <v>0</v>
      </c>
      <c r="EL29" s="747">
        <v>0</v>
      </c>
      <c r="EM29" s="747">
        <v>0</v>
      </c>
      <c r="EN29" s="747">
        <v>0</v>
      </c>
      <c r="EO29" s="747">
        <v>0</v>
      </c>
      <c r="EP29" s="747">
        <v>0</v>
      </c>
      <c r="EQ29" s="738">
        <v>0</v>
      </c>
      <c r="ER29" s="738">
        <v>0</v>
      </c>
      <c r="ES29" s="739">
        <v>0</v>
      </c>
      <c r="ET29" s="740">
        <v>0</v>
      </c>
      <c r="EU29" s="740">
        <v>0</v>
      </c>
      <c r="EV29" s="740">
        <v>0</v>
      </c>
      <c r="EW29" s="740">
        <v>0</v>
      </c>
      <c r="EX29" s="740">
        <v>0</v>
      </c>
      <c r="EY29" s="741">
        <v>0</v>
      </c>
      <c r="EZ29" s="738">
        <v>0</v>
      </c>
      <c r="FA29" s="738">
        <v>0</v>
      </c>
      <c r="FB29" s="739">
        <v>0</v>
      </c>
      <c r="FC29" s="740">
        <v>0</v>
      </c>
      <c r="FD29" s="740">
        <v>0</v>
      </c>
      <c r="FE29" s="740">
        <v>1</v>
      </c>
      <c r="FF29" s="740">
        <v>1</v>
      </c>
      <c r="FG29" s="740">
        <v>1</v>
      </c>
      <c r="FH29" s="741">
        <v>1</v>
      </c>
      <c r="FI29" s="738">
        <v>1</v>
      </c>
      <c r="FJ29" s="738">
        <v>1</v>
      </c>
      <c r="FK29" s="739">
        <v>1</v>
      </c>
      <c r="FL29" s="740">
        <v>1</v>
      </c>
      <c r="FM29" s="740">
        <v>1</v>
      </c>
      <c r="FN29" s="740">
        <v>1</v>
      </c>
      <c r="FO29" s="740">
        <v>1</v>
      </c>
      <c r="FP29" s="740">
        <v>1</v>
      </c>
      <c r="FQ29" s="741">
        <v>1</v>
      </c>
      <c r="FR29" s="738">
        <v>0</v>
      </c>
      <c r="FS29" s="738">
        <v>0</v>
      </c>
      <c r="FT29" s="739">
        <v>1</v>
      </c>
      <c r="FU29" s="740">
        <v>1</v>
      </c>
      <c r="FV29" s="740">
        <v>1</v>
      </c>
      <c r="FW29" s="740">
        <v>1</v>
      </c>
      <c r="FX29" s="740">
        <v>1</v>
      </c>
      <c r="FY29" s="740">
        <v>1</v>
      </c>
      <c r="FZ29" s="741">
        <v>1</v>
      </c>
      <c r="GA29" s="738">
        <v>0</v>
      </c>
      <c r="GB29" s="738">
        <v>0</v>
      </c>
      <c r="GC29" s="739">
        <v>0</v>
      </c>
      <c r="GD29" s="740">
        <v>0</v>
      </c>
      <c r="GE29" s="740">
        <v>0</v>
      </c>
      <c r="GF29" s="740">
        <v>1</v>
      </c>
      <c r="GG29" s="740">
        <v>1</v>
      </c>
      <c r="GH29" s="740">
        <v>1</v>
      </c>
      <c r="GI29" s="741">
        <v>1</v>
      </c>
      <c r="GJ29" s="738">
        <v>0</v>
      </c>
      <c r="GK29" s="738">
        <v>0</v>
      </c>
      <c r="GL29" s="739">
        <v>0</v>
      </c>
      <c r="GM29" s="740">
        <v>1</v>
      </c>
      <c r="GN29" s="740">
        <v>1</v>
      </c>
      <c r="GO29" s="740">
        <v>1</v>
      </c>
      <c r="GP29" s="740">
        <v>1</v>
      </c>
      <c r="GQ29" s="740">
        <v>1</v>
      </c>
      <c r="GR29" s="741">
        <v>1</v>
      </c>
      <c r="GS29" s="740">
        <v>0</v>
      </c>
      <c r="GT29" s="740">
        <v>0</v>
      </c>
      <c r="GU29" s="739">
        <v>0</v>
      </c>
      <c r="GV29" s="740">
        <v>0</v>
      </c>
      <c r="GW29" s="740">
        <v>0</v>
      </c>
      <c r="GX29" s="740">
        <v>0</v>
      </c>
      <c r="GY29" s="740">
        <v>0</v>
      </c>
      <c r="GZ29" s="740">
        <v>0</v>
      </c>
      <c r="HA29" s="741">
        <v>0</v>
      </c>
      <c r="HB29" s="738">
        <v>0</v>
      </c>
      <c r="HC29" s="738">
        <v>0</v>
      </c>
      <c r="HD29" s="739">
        <v>0</v>
      </c>
      <c r="HE29" s="740">
        <v>0</v>
      </c>
      <c r="HF29" s="740">
        <v>0</v>
      </c>
      <c r="HG29" s="740">
        <v>0</v>
      </c>
      <c r="HH29" s="740">
        <v>0</v>
      </c>
      <c r="HI29" s="740">
        <v>0</v>
      </c>
      <c r="HJ29" s="741">
        <v>0</v>
      </c>
      <c r="HK29" s="738">
        <v>0</v>
      </c>
      <c r="HL29" s="738">
        <v>0</v>
      </c>
      <c r="HM29" s="739">
        <v>0</v>
      </c>
      <c r="HN29" s="740">
        <v>0</v>
      </c>
      <c r="HO29" s="740">
        <v>0</v>
      </c>
      <c r="HP29" s="740">
        <v>0</v>
      </c>
      <c r="HQ29" s="740">
        <v>0</v>
      </c>
      <c r="HR29" s="740">
        <v>0</v>
      </c>
      <c r="HS29" s="741">
        <v>0</v>
      </c>
      <c r="HT29" s="749">
        <f t="shared" si="0"/>
        <v>36</v>
      </c>
      <c r="HU29" s="749">
        <f t="shared" si="0"/>
        <v>36</v>
      </c>
      <c r="HV29" s="749">
        <f t="shared" si="1"/>
        <v>37</v>
      </c>
      <c r="HW29" s="749">
        <f t="shared" si="1"/>
        <v>41</v>
      </c>
      <c r="HX29" s="749">
        <f t="shared" si="2"/>
        <v>39</v>
      </c>
      <c r="HY29" s="749">
        <f t="shared" si="2"/>
        <v>45</v>
      </c>
      <c r="HZ29" s="749">
        <f t="shared" si="2"/>
        <v>45</v>
      </c>
      <c r="IA29" s="749">
        <v>48</v>
      </c>
      <c r="IB29" s="750">
        <v>46</v>
      </c>
      <c r="IC29" s="751">
        <v>0</v>
      </c>
      <c r="ID29" s="751">
        <v>0</v>
      </c>
      <c r="IE29" s="753">
        <v>0</v>
      </c>
      <c r="IF29" s="753">
        <v>0</v>
      </c>
      <c r="IG29" s="753">
        <v>0</v>
      </c>
      <c r="IH29" s="753">
        <v>0</v>
      </c>
      <c r="II29" s="753">
        <v>0</v>
      </c>
      <c r="IJ29" s="753">
        <v>0</v>
      </c>
      <c r="IK29" s="753">
        <v>0</v>
      </c>
      <c r="IL29" s="753">
        <v>0</v>
      </c>
      <c r="IM29" s="753">
        <v>0</v>
      </c>
      <c r="IN29" s="753">
        <v>0</v>
      </c>
      <c r="IO29" s="753">
        <v>0</v>
      </c>
      <c r="IP29" s="753">
        <v>0</v>
      </c>
      <c r="IQ29" s="753">
        <v>1</v>
      </c>
      <c r="IR29" s="753">
        <v>0</v>
      </c>
      <c r="IS29" s="753">
        <v>0</v>
      </c>
      <c r="IT29" s="753">
        <v>0</v>
      </c>
      <c r="IU29" s="753">
        <v>0</v>
      </c>
      <c r="IV29" s="753">
        <v>1</v>
      </c>
      <c r="IW29" s="753">
        <v>1</v>
      </c>
      <c r="IX29" s="753">
        <v>1</v>
      </c>
      <c r="IY29" s="753">
        <v>0</v>
      </c>
      <c r="IZ29" s="753">
        <v>0</v>
      </c>
      <c r="JA29" s="753">
        <v>0</v>
      </c>
      <c r="JB29" s="753">
        <v>0</v>
      </c>
      <c r="JC29" s="753">
        <v>0</v>
      </c>
      <c r="JD29" s="753">
        <v>0</v>
      </c>
      <c r="JE29" s="753">
        <v>0</v>
      </c>
      <c r="JF29" s="753">
        <v>0</v>
      </c>
      <c r="JG29" s="753">
        <v>0</v>
      </c>
      <c r="JH29" s="753">
        <v>0</v>
      </c>
      <c r="JI29" s="753">
        <v>1</v>
      </c>
      <c r="JJ29" s="753">
        <v>0</v>
      </c>
      <c r="JK29" s="753">
        <v>0</v>
      </c>
      <c r="JL29" s="753">
        <v>0</v>
      </c>
      <c r="JM29" s="753">
        <v>0</v>
      </c>
      <c r="JN29" s="753">
        <v>0</v>
      </c>
      <c r="JO29" s="753">
        <v>0</v>
      </c>
      <c r="JP29" s="753">
        <v>0</v>
      </c>
      <c r="JQ29" s="753">
        <v>0</v>
      </c>
      <c r="JR29" s="753">
        <v>0</v>
      </c>
      <c r="JS29" s="753">
        <v>0</v>
      </c>
      <c r="JT29" s="753">
        <v>0</v>
      </c>
      <c r="JU29" s="753">
        <v>0</v>
      </c>
      <c r="JV29" s="753">
        <v>1</v>
      </c>
      <c r="JW29" s="753">
        <v>1</v>
      </c>
      <c r="JX29" s="753">
        <v>1</v>
      </c>
      <c r="JY29" s="753">
        <v>1</v>
      </c>
      <c r="JZ29" s="753">
        <v>1</v>
      </c>
      <c r="KA29" s="752">
        <v>0</v>
      </c>
      <c r="KB29" s="752">
        <v>1</v>
      </c>
      <c r="KC29" s="752">
        <v>0</v>
      </c>
      <c r="KD29" s="752">
        <v>0</v>
      </c>
      <c r="KE29" s="752">
        <v>2</v>
      </c>
      <c r="KF29" s="752">
        <v>2</v>
      </c>
      <c r="KG29" s="752">
        <v>2</v>
      </c>
      <c r="KH29" s="752">
        <v>1</v>
      </c>
      <c r="KI29" s="752">
        <v>2</v>
      </c>
      <c r="KJ29" s="752">
        <v>36</v>
      </c>
      <c r="KK29" s="752">
        <v>37</v>
      </c>
      <c r="KL29" s="752">
        <v>37</v>
      </c>
      <c r="KM29" s="752">
        <v>41</v>
      </c>
      <c r="KN29" s="752">
        <v>41</v>
      </c>
      <c r="KO29" s="752">
        <v>47</v>
      </c>
      <c r="KP29" s="752">
        <v>47</v>
      </c>
      <c r="KQ29" s="752">
        <v>49</v>
      </c>
      <c r="KR29" s="755">
        <v>48</v>
      </c>
      <c r="KS29" s="808"/>
    </row>
    <row r="30" spans="1:305" s="737" customFormat="1" ht="12.75" x14ac:dyDescent="0.25">
      <c r="A30" s="720">
        <v>26</v>
      </c>
      <c r="B30" s="721" t="s">
        <v>169</v>
      </c>
      <c r="C30" s="738">
        <v>214</v>
      </c>
      <c r="D30" s="738">
        <v>214</v>
      </c>
      <c r="E30" s="739">
        <v>215</v>
      </c>
      <c r="F30" s="740">
        <v>214</v>
      </c>
      <c r="G30" s="740">
        <v>170</v>
      </c>
      <c r="H30" s="740">
        <v>153</v>
      </c>
      <c r="I30" s="740">
        <v>108</v>
      </c>
      <c r="J30" s="740">
        <v>99</v>
      </c>
      <c r="K30" s="741">
        <v>78</v>
      </c>
      <c r="L30" s="738">
        <v>239</v>
      </c>
      <c r="M30" s="738">
        <v>244</v>
      </c>
      <c r="N30" s="739">
        <v>241</v>
      </c>
      <c r="O30" s="740">
        <v>245</v>
      </c>
      <c r="P30" s="740">
        <v>237</v>
      </c>
      <c r="Q30" s="740">
        <v>224</v>
      </c>
      <c r="R30" s="740">
        <v>216</v>
      </c>
      <c r="S30" s="740">
        <v>190</v>
      </c>
      <c r="T30" s="741">
        <v>188</v>
      </c>
      <c r="U30" s="738">
        <v>218</v>
      </c>
      <c r="V30" s="738">
        <v>222</v>
      </c>
      <c r="W30" s="739">
        <v>225</v>
      </c>
      <c r="X30" s="740">
        <v>225</v>
      </c>
      <c r="Y30" s="742">
        <v>225</v>
      </c>
      <c r="Z30" s="742">
        <v>225</v>
      </c>
      <c r="AA30" s="742">
        <v>175</v>
      </c>
      <c r="AB30" s="742">
        <v>162</v>
      </c>
      <c r="AC30" s="743">
        <v>146</v>
      </c>
      <c r="AD30" s="738">
        <v>146</v>
      </c>
      <c r="AE30" s="738">
        <v>155</v>
      </c>
      <c r="AF30" s="739">
        <v>167</v>
      </c>
      <c r="AG30" s="740">
        <v>173</v>
      </c>
      <c r="AH30" s="740">
        <v>198</v>
      </c>
      <c r="AI30" s="740">
        <v>161</v>
      </c>
      <c r="AJ30" s="740">
        <v>158</v>
      </c>
      <c r="AK30" s="740">
        <v>150</v>
      </c>
      <c r="AL30" s="741">
        <v>133</v>
      </c>
      <c r="AM30" s="744">
        <v>0</v>
      </c>
      <c r="AN30" s="744">
        <v>0</v>
      </c>
      <c r="AO30" s="744">
        <v>0</v>
      </c>
      <c r="AP30" s="744">
        <v>0</v>
      </c>
      <c r="AQ30" s="745">
        <v>0</v>
      </c>
      <c r="AR30" s="738">
        <v>8</v>
      </c>
      <c r="AS30" s="738">
        <v>9</v>
      </c>
      <c r="AT30" s="739">
        <v>9</v>
      </c>
      <c r="AU30" s="739">
        <v>11</v>
      </c>
      <c r="AV30" s="739">
        <v>11</v>
      </c>
      <c r="AW30" s="739">
        <v>11</v>
      </c>
      <c r="AX30" s="739">
        <v>9</v>
      </c>
      <c r="AY30" s="739">
        <v>8</v>
      </c>
      <c r="AZ30" s="746">
        <v>8</v>
      </c>
      <c r="BA30" s="738">
        <v>5</v>
      </c>
      <c r="BB30" s="738">
        <v>5</v>
      </c>
      <c r="BC30" s="739">
        <v>6</v>
      </c>
      <c r="BD30" s="739">
        <v>6</v>
      </c>
      <c r="BE30" s="739">
        <v>10</v>
      </c>
      <c r="BF30" s="739">
        <v>9</v>
      </c>
      <c r="BG30" s="739">
        <v>11</v>
      </c>
      <c r="BH30" s="739">
        <v>12</v>
      </c>
      <c r="BI30" s="746">
        <v>0</v>
      </c>
      <c r="BJ30" s="738">
        <v>6</v>
      </c>
      <c r="BK30" s="738">
        <v>6</v>
      </c>
      <c r="BL30" s="739">
        <v>6</v>
      </c>
      <c r="BM30" s="747">
        <v>3</v>
      </c>
      <c r="BN30" s="747">
        <v>2</v>
      </c>
      <c r="BO30" s="747">
        <v>2</v>
      </c>
      <c r="BP30" s="747">
        <v>2</v>
      </c>
      <c r="BQ30" s="747">
        <v>2</v>
      </c>
      <c r="BR30" s="748">
        <v>4</v>
      </c>
      <c r="BS30" s="747">
        <v>0</v>
      </c>
      <c r="BT30" s="747">
        <v>0</v>
      </c>
      <c r="BU30" s="747">
        <v>0</v>
      </c>
      <c r="BV30" s="747">
        <v>0</v>
      </c>
      <c r="BW30" s="748">
        <v>0</v>
      </c>
      <c r="BX30" s="738">
        <v>5</v>
      </c>
      <c r="BY30" s="738">
        <v>5</v>
      </c>
      <c r="BZ30" s="739">
        <v>4</v>
      </c>
      <c r="CA30" s="747">
        <v>4</v>
      </c>
      <c r="CB30" s="747">
        <v>4</v>
      </c>
      <c r="CC30" s="747">
        <v>4</v>
      </c>
      <c r="CD30" s="747">
        <v>4</v>
      </c>
      <c r="CE30" s="747">
        <v>4</v>
      </c>
      <c r="CF30" s="748">
        <v>5</v>
      </c>
      <c r="CG30" s="747">
        <v>1</v>
      </c>
      <c r="CH30" s="747">
        <v>2</v>
      </c>
      <c r="CI30" s="747">
        <v>2</v>
      </c>
      <c r="CJ30" s="747">
        <v>1</v>
      </c>
      <c r="CK30" s="748">
        <v>1</v>
      </c>
      <c r="CL30" s="738">
        <v>8</v>
      </c>
      <c r="CM30" s="738">
        <v>8</v>
      </c>
      <c r="CN30" s="739">
        <v>8</v>
      </c>
      <c r="CO30" s="740">
        <v>8</v>
      </c>
      <c r="CP30" s="740">
        <v>8</v>
      </c>
      <c r="CQ30" s="740">
        <v>8</v>
      </c>
      <c r="CR30" s="740">
        <v>9</v>
      </c>
      <c r="CS30" s="740">
        <v>18</v>
      </c>
      <c r="CT30" s="741">
        <v>18</v>
      </c>
      <c r="CU30" s="738">
        <v>27</v>
      </c>
      <c r="CV30" s="738">
        <v>22</v>
      </c>
      <c r="CW30" s="739">
        <v>22</v>
      </c>
      <c r="CX30" s="740">
        <v>19</v>
      </c>
      <c r="CY30" s="740">
        <v>17</v>
      </c>
      <c r="CZ30" s="740">
        <v>17</v>
      </c>
      <c r="DA30" s="740">
        <v>19</v>
      </c>
      <c r="DB30" s="740">
        <v>18</v>
      </c>
      <c r="DC30" s="741">
        <v>20</v>
      </c>
      <c r="DD30" s="759">
        <v>3</v>
      </c>
      <c r="DE30" s="759">
        <v>4</v>
      </c>
      <c r="DF30" s="739">
        <v>4</v>
      </c>
      <c r="DG30" s="740">
        <v>4</v>
      </c>
      <c r="DH30" s="740">
        <v>4</v>
      </c>
      <c r="DI30" s="740">
        <v>16</v>
      </c>
      <c r="DJ30" s="740">
        <v>17</v>
      </c>
      <c r="DK30" s="740">
        <v>17</v>
      </c>
      <c r="DL30" s="741">
        <v>17</v>
      </c>
      <c r="DM30" s="739">
        <v>0</v>
      </c>
      <c r="DN30" s="739">
        <v>1</v>
      </c>
      <c r="DO30" s="739">
        <v>1</v>
      </c>
      <c r="DP30" s="739">
        <v>1</v>
      </c>
      <c r="DQ30" s="739">
        <v>1</v>
      </c>
      <c r="DR30" s="739">
        <v>1</v>
      </c>
      <c r="DS30" s="746">
        <v>1</v>
      </c>
      <c r="DT30" s="760">
        <v>0</v>
      </c>
      <c r="DU30" s="760">
        <v>0</v>
      </c>
      <c r="DV30" s="739">
        <v>0</v>
      </c>
      <c r="DW30" s="740">
        <v>1</v>
      </c>
      <c r="DX30" s="740">
        <v>2</v>
      </c>
      <c r="DY30" s="740">
        <v>3</v>
      </c>
      <c r="DZ30" s="740">
        <v>4</v>
      </c>
      <c r="EA30" s="740">
        <v>4</v>
      </c>
      <c r="EB30" s="741">
        <v>4</v>
      </c>
      <c r="EC30" s="760">
        <v>4</v>
      </c>
      <c r="ED30" s="760">
        <v>4</v>
      </c>
      <c r="EE30" s="739">
        <v>4</v>
      </c>
      <c r="EF30" s="740">
        <v>4</v>
      </c>
      <c r="EG30" s="740">
        <v>6</v>
      </c>
      <c r="EH30" s="740">
        <v>8</v>
      </c>
      <c r="EI30" s="740">
        <v>8</v>
      </c>
      <c r="EJ30" s="740">
        <v>7</v>
      </c>
      <c r="EK30" s="741">
        <v>5</v>
      </c>
      <c r="EL30" s="747">
        <v>0</v>
      </c>
      <c r="EM30" s="747">
        <v>0</v>
      </c>
      <c r="EN30" s="747">
        <v>0</v>
      </c>
      <c r="EO30" s="747">
        <v>0</v>
      </c>
      <c r="EP30" s="747">
        <v>0</v>
      </c>
      <c r="EQ30" s="738">
        <v>0</v>
      </c>
      <c r="ER30" s="738">
        <v>0</v>
      </c>
      <c r="ES30" s="739">
        <v>0</v>
      </c>
      <c r="ET30" s="740">
        <v>0</v>
      </c>
      <c r="EU30" s="740">
        <v>0</v>
      </c>
      <c r="EV30" s="740">
        <v>0</v>
      </c>
      <c r="EW30" s="740">
        <v>1</v>
      </c>
      <c r="EX30" s="740">
        <v>1</v>
      </c>
      <c r="EY30" s="741">
        <v>1</v>
      </c>
      <c r="EZ30" s="738">
        <v>8</v>
      </c>
      <c r="FA30" s="738">
        <v>8</v>
      </c>
      <c r="FB30" s="739">
        <v>8</v>
      </c>
      <c r="FC30" s="740">
        <v>8</v>
      </c>
      <c r="FD30" s="740">
        <v>8</v>
      </c>
      <c r="FE30" s="740">
        <v>8</v>
      </c>
      <c r="FF30" s="740">
        <v>8</v>
      </c>
      <c r="FG30" s="740">
        <v>8</v>
      </c>
      <c r="FH30" s="741">
        <v>7</v>
      </c>
      <c r="FI30" s="738">
        <v>4</v>
      </c>
      <c r="FJ30" s="738">
        <v>5</v>
      </c>
      <c r="FK30" s="739">
        <v>5</v>
      </c>
      <c r="FL30" s="740">
        <v>6</v>
      </c>
      <c r="FM30" s="740">
        <v>7</v>
      </c>
      <c r="FN30" s="740">
        <v>6</v>
      </c>
      <c r="FO30" s="740">
        <v>7</v>
      </c>
      <c r="FP30" s="740">
        <v>7</v>
      </c>
      <c r="FQ30" s="741">
        <v>7</v>
      </c>
      <c r="FR30" s="738">
        <v>5</v>
      </c>
      <c r="FS30" s="738">
        <v>8</v>
      </c>
      <c r="FT30" s="739">
        <v>9</v>
      </c>
      <c r="FU30" s="740">
        <v>10</v>
      </c>
      <c r="FV30" s="740">
        <v>10</v>
      </c>
      <c r="FW30" s="740">
        <v>10</v>
      </c>
      <c r="FX30" s="740">
        <v>10</v>
      </c>
      <c r="FY30" s="740">
        <v>11</v>
      </c>
      <c r="FZ30" s="741">
        <v>11</v>
      </c>
      <c r="GA30" s="738">
        <v>16</v>
      </c>
      <c r="GB30" s="738">
        <v>17</v>
      </c>
      <c r="GC30" s="739">
        <v>17</v>
      </c>
      <c r="GD30" s="740">
        <v>17</v>
      </c>
      <c r="GE30" s="740">
        <v>23</v>
      </c>
      <c r="GF30" s="740">
        <v>23</v>
      </c>
      <c r="GG30" s="740">
        <v>23</v>
      </c>
      <c r="GH30" s="740">
        <v>23</v>
      </c>
      <c r="GI30" s="741">
        <v>23</v>
      </c>
      <c r="GJ30" s="738">
        <v>4</v>
      </c>
      <c r="GK30" s="738">
        <v>6</v>
      </c>
      <c r="GL30" s="739">
        <v>6</v>
      </c>
      <c r="GM30" s="740">
        <v>11</v>
      </c>
      <c r="GN30" s="740">
        <v>11</v>
      </c>
      <c r="GO30" s="740">
        <v>16</v>
      </c>
      <c r="GP30" s="740">
        <v>16</v>
      </c>
      <c r="GQ30" s="740">
        <v>17</v>
      </c>
      <c r="GR30" s="741">
        <v>17</v>
      </c>
      <c r="GS30" s="740">
        <v>17</v>
      </c>
      <c r="GT30" s="740">
        <v>19</v>
      </c>
      <c r="GU30" s="739">
        <v>23</v>
      </c>
      <c r="GV30" s="740">
        <v>22</v>
      </c>
      <c r="GW30" s="740">
        <v>22</v>
      </c>
      <c r="GX30" s="740">
        <v>22</v>
      </c>
      <c r="GY30" s="740">
        <v>22</v>
      </c>
      <c r="GZ30" s="740">
        <v>21</v>
      </c>
      <c r="HA30" s="741">
        <v>21</v>
      </c>
      <c r="HB30" s="738">
        <v>1</v>
      </c>
      <c r="HC30" s="738">
        <v>1</v>
      </c>
      <c r="HD30" s="739">
        <v>1</v>
      </c>
      <c r="HE30" s="740">
        <v>1</v>
      </c>
      <c r="HF30" s="740">
        <v>1</v>
      </c>
      <c r="HG30" s="740">
        <v>1</v>
      </c>
      <c r="HH30" s="740">
        <v>1</v>
      </c>
      <c r="HI30" s="740">
        <v>1</v>
      </c>
      <c r="HJ30" s="741">
        <v>1</v>
      </c>
      <c r="HK30" s="738">
        <v>5</v>
      </c>
      <c r="HL30" s="738">
        <v>5</v>
      </c>
      <c r="HM30" s="739">
        <v>5</v>
      </c>
      <c r="HN30" s="740">
        <v>5</v>
      </c>
      <c r="HO30" s="740">
        <v>5</v>
      </c>
      <c r="HP30" s="740">
        <v>5</v>
      </c>
      <c r="HQ30" s="740">
        <v>5</v>
      </c>
      <c r="HR30" s="740">
        <v>5</v>
      </c>
      <c r="HS30" s="741">
        <v>5</v>
      </c>
      <c r="HT30" s="749">
        <f t="shared" si="0"/>
        <v>943</v>
      </c>
      <c r="HU30" s="749">
        <f t="shared" si="0"/>
        <v>967</v>
      </c>
      <c r="HV30" s="749">
        <f t="shared" si="1"/>
        <v>985</v>
      </c>
      <c r="HW30" s="749">
        <f t="shared" si="1"/>
        <v>998</v>
      </c>
      <c r="HX30" s="749">
        <f t="shared" si="2"/>
        <v>983</v>
      </c>
      <c r="HY30" s="749">
        <f t="shared" si="2"/>
        <v>935</v>
      </c>
      <c r="HZ30" s="749">
        <f t="shared" si="2"/>
        <v>836</v>
      </c>
      <c r="IA30" s="749">
        <v>787</v>
      </c>
      <c r="IB30" s="750">
        <v>721</v>
      </c>
      <c r="IC30" s="751">
        <v>0</v>
      </c>
      <c r="ID30" s="751">
        <v>3</v>
      </c>
      <c r="IE30" s="753">
        <v>3</v>
      </c>
      <c r="IF30" s="753">
        <v>5</v>
      </c>
      <c r="IG30" s="753">
        <v>5</v>
      </c>
      <c r="IH30" s="753">
        <v>9</v>
      </c>
      <c r="II30" s="753">
        <v>4</v>
      </c>
      <c r="IJ30" s="753">
        <v>4</v>
      </c>
      <c r="IK30" s="753">
        <v>6</v>
      </c>
      <c r="IL30" s="753">
        <v>6</v>
      </c>
      <c r="IM30" s="753">
        <v>7</v>
      </c>
      <c r="IN30" s="753">
        <v>8</v>
      </c>
      <c r="IO30" s="753">
        <v>13</v>
      </c>
      <c r="IP30" s="753">
        <v>12</v>
      </c>
      <c r="IQ30" s="753">
        <v>15</v>
      </c>
      <c r="IR30" s="753">
        <v>4</v>
      </c>
      <c r="IS30" s="753">
        <v>6</v>
      </c>
      <c r="IT30" s="753">
        <v>9</v>
      </c>
      <c r="IU30" s="753">
        <v>10</v>
      </c>
      <c r="IV30" s="753">
        <v>14</v>
      </c>
      <c r="IW30" s="753">
        <v>18</v>
      </c>
      <c r="IX30" s="753">
        <v>18</v>
      </c>
      <c r="IY30" s="753">
        <v>0</v>
      </c>
      <c r="IZ30" s="753">
        <v>0</v>
      </c>
      <c r="JA30" s="753">
        <v>1</v>
      </c>
      <c r="JB30" s="753">
        <v>2</v>
      </c>
      <c r="JC30" s="753">
        <v>2</v>
      </c>
      <c r="JD30" s="753">
        <v>2</v>
      </c>
      <c r="JE30" s="753">
        <v>3</v>
      </c>
      <c r="JF30" s="753">
        <v>4</v>
      </c>
      <c r="JG30" s="753">
        <v>6</v>
      </c>
      <c r="JH30" s="753">
        <v>1</v>
      </c>
      <c r="JI30" s="753">
        <v>0</v>
      </c>
      <c r="JJ30" s="753">
        <v>1</v>
      </c>
      <c r="JK30" s="753">
        <v>2</v>
      </c>
      <c r="JL30" s="753">
        <v>2</v>
      </c>
      <c r="JM30" s="753">
        <v>5</v>
      </c>
      <c r="JN30" s="753">
        <v>7</v>
      </c>
      <c r="JO30" s="753">
        <v>17</v>
      </c>
      <c r="JP30" s="753">
        <v>20</v>
      </c>
      <c r="JQ30" s="753">
        <v>0</v>
      </c>
      <c r="JR30" s="753">
        <v>16</v>
      </c>
      <c r="JS30" s="753">
        <v>17</v>
      </c>
      <c r="JT30" s="753">
        <v>18</v>
      </c>
      <c r="JU30" s="753">
        <v>19</v>
      </c>
      <c r="JV30" s="753">
        <v>22</v>
      </c>
      <c r="JW30" s="753">
        <v>26</v>
      </c>
      <c r="JX30" s="753">
        <v>32</v>
      </c>
      <c r="JY30" s="753">
        <v>43</v>
      </c>
      <c r="JZ30" s="753">
        <v>46</v>
      </c>
      <c r="KA30" s="752">
        <v>25</v>
      </c>
      <c r="KB30" s="752">
        <v>27</v>
      </c>
      <c r="KC30" s="752">
        <v>35</v>
      </c>
      <c r="KD30" s="752">
        <v>39</v>
      </c>
      <c r="KE30" s="752">
        <v>50</v>
      </c>
      <c r="KF30" s="752">
        <v>62</v>
      </c>
      <c r="KG30" s="752">
        <v>78</v>
      </c>
      <c r="KH30" s="752">
        <v>81</v>
      </c>
      <c r="KI30" s="752">
        <v>96</v>
      </c>
      <c r="KJ30" s="752">
        <v>968</v>
      </c>
      <c r="KK30" s="752">
        <v>994</v>
      </c>
      <c r="KL30" s="752">
        <v>1020</v>
      </c>
      <c r="KM30" s="752">
        <v>1037</v>
      </c>
      <c r="KN30" s="752">
        <v>1033</v>
      </c>
      <c r="KO30" s="752">
        <v>997</v>
      </c>
      <c r="KP30" s="752">
        <v>914</v>
      </c>
      <c r="KQ30" s="752">
        <v>868</v>
      </c>
      <c r="KR30" s="755">
        <v>817</v>
      </c>
      <c r="KS30" s="808"/>
    </row>
    <row r="31" spans="1:305" s="737" customFormat="1" ht="12.75" x14ac:dyDescent="0.25">
      <c r="A31" s="720">
        <v>27</v>
      </c>
      <c r="B31" s="721" t="s">
        <v>170</v>
      </c>
      <c r="C31" s="738">
        <v>16</v>
      </c>
      <c r="D31" s="738">
        <v>16</v>
      </c>
      <c r="E31" s="739">
        <v>16</v>
      </c>
      <c r="F31" s="740">
        <v>16</v>
      </c>
      <c r="G31" s="740">
        <v>16</v>
      </c>
      <c r="H31" s="740">
        <v>13</v>
      </c>
      <c r="I31" s="740">
        <v>11</v>
      </c>
      <c r="J31" s="740">
        <v>10</v>
      </c>
      <c r="K31" s="741">
        <v>9</v>
      </c>
      <c r="L31" s="738">
        <v>31</v>
      </c>
      <c r="M31" s="738">
        <v>32</v>
      </c>
      <c r="N31" s="739">
        <v>36</v>
      </c>
      <c r="O31" s="740">
        <v>36</v>
      </c>
      <c r="P31" s="740">
        <v>36</v>
      </c>
      <c r="Q31" s="740">
        <v>31</v>
      </c>
      <c r="R31" s="740">
        <v>30</v>
      </c>
      <c r="S31" s="740">
        <v>38</v>
      </c>
      <c r="T31" s="741">
        <v>37</v>
      </c>
      <c r="U31" s="738">
        <v>25</v>
      </c>
      <c r="V31" s="738">
        <v>26</v>
      </c>
      <c r="W31" s="739">
        <v>26</v>
      </c>
      <c r="X31" s="740">
        <v>26</v>
      </c>
      <c r="Y31" s="742">
        <v>26</v>
      </c>
      <c r="Z31" s="742">
        <v>26</v>
      </c>
      <c r="AA31" s="742">
        <v>25</v>
      </c>
      <c r="AB31" s="742">
        <v>26</v>
      </c>
      <c r="AC31" s="743">
        <v>25</v>
      </c>
      <c r="AD31" s="738">
        <v>23</v>
      </c>
      <c r="AE31" s="738">
        <v>27</v>
      </c>
      <c r="AF31" s="739">
        <v>26</v>
      </c>
      <c r="AG31" s="740">
        <v>26</v>
      </c>
      <c r="AH31" s="740">
        <v>1</v>
      </c>
      <c r="AI31" s="740">
        <v>26</v>
      </c>
      <c r="AJ31" s="740">
        <v>26</v>
      </c>
      <c r="AK31" s="740">
        <v>26</v>
      </c>
      <c r="AL31" s="741">
        <v>25</v>
      </c>
      <c r="AM31" s="744">
        <v>0</v>
      </c>
      <c r="AN31" s="744">
        <v>0</v>
      </c>
      <c r="AO31" s="744">
        <v>0</v>
      </c>
      <c r="AP31" s="744">
        <v>0</v>
      </c>
      <c r="AQ31" s="745">
        <v>0</v>
      </c>
      <c r="AR31" s="738">
        <v>1</v>
      </c>
      <c r="AS31" s="738">
        <v>1</v>
      </c>
      <c r="AT31" s="739">
        <v>1</v>
      </c>
      <c r="AU31" s="739">
        <v>1</v>
      </c>
      <c r="AV31" s="739">
        <v>2</v>
      </c>
      <c r="AW31" s="739">
        <v>2</v>
      </c>
      <c r="AX31" s="739">
        <v>2</v>
      </c>
      <c r="AY31" s="739">
        <v>2</v>
      </c>
      <c r="AZ31" s="746">
        <v>2</v>
      </c>
      <c r="BA31" s="738">
        <v>1</v>
      </c>
      <c r="BB31" s="738">
        <v>1</v>
      </c>
      <c r="BC31" s="739">
        <v>1</v>
      </c>
      <c r="BD31" s="739">
        <v>1</v>
      </c>
      <c r="BE31" s="739">
        <v>2</v>
      </c>
      <c r="BF31" s="739">
        <v>2</v>
      </c>
      <c r="BG31" s="739">
        <v>3</v>
      </c>
      <c r="BH31" s="739">
        <v>3</v>
      </c>
      <c r="BI31" s="746">
        <v>0</v>
      </c>
      <c r="BJ31" s="738">
        <v>1</v>
      </c>
      <c r="BK31" s="738">
        <v>1</v>
      </c>
      <c r="BL31" s="739">
        <v>1</v>
      </c>
      <c r="BM31" s="747">
        <v>1</v>
      </c>
      <c r="BN31" s="747">
        <v>0</v>
      </c>
      <c r="BO31" s="747">
        <v>0</v>
      </c>
      <c r="BP31" s="747">
        <v>0</v>
      </c>
      <c r="BQ31" s="747">
        <v>1</v>
      </c>
      <c r="BR31" s="748">
        <v>1</v>
      </c>
      <c r="BS31" s="747">
        <v>0</v>
      </c>
      <c r="BT31" s="747">
        <v>0</v>
      </c>
      <c r="BU31" s="747">
        <v>0</v>
      </c>
      <c r="BV31" s="747">
        <v>0</v>
      </c>
      <c r="BW31" s="748">
        <v>0</v>
      </c>
      <c r="BX31" s="738">
        <v>2</v>
      </c>
      <c r="BY31" s="738">
        <v>2</v>
      </c>
      <c r="BZ31" s="739">
        <v>2</v>
      </c>
      <c r="CA31" s="747">
        <v>2</v>
      </c>
      <c r="CB31" s="747">
        <v>2</v>
      </c>
      <c r="CC31" s="747">
        <v>2</v>
      </c>
      <c r="CD31" s="747">
        <v>2</v>
      </c>
      <c r="CE31" s="747">
        <v>2</v>
      </c>
      <c r="CF31" s="748">
        <v>2</v>
      </c>
      <c r="CG31" s="747">
        <v>0</v>
      </c>
      <c r="CH31" s="747">
        <v>1</v>
      </c>
      <c r="CI31" s="747">
        <v>1</v>
      </c>
      <c r="CJ31" s="747">
        <v>1</v>
      </c>
      <c r="CK31" s="748">
        <v>1</v>
      </c>
      <c r="CL31" s="738">
        <v>1</v>
      </c>
      <c r="CM31" s="738">
        <v>1</v>
      </c>
      <c r="CN31" s="739">
        <v>1</v>
      </c>
      <c r="CO31" s="740">
        <v>1</v>
      </c>
      <c r="CP31" s="740">
        <v>1</v>
      </c>
      <c r="CQ31" s="740">
        <v>1</v>
      </c>
      <c r="CR31" s="740">
        <v>1</v>
      </c>
      <c r="CS31" s="740">
        <v>3</v>
      </c>
      <c r="CT31" s="741">
        <v>3</v>
      </c>
      <c r="CU31" s="738">
        <v>6</v>
      </c>
      <c r="CV31" s="738">
        <v>4</v>
      </c>
      <c r="CW31" s="739">
        <v>4</v>
      </c>
      <c r="CX31" s="740">
        <v>3</v>
      </c>
      <c r="CY31" s="740">
        <v>3</v>
      </c>
      <c r="CZ31" s="740">
        <v>3</v>
      </c>
      <c r="DA31" s="740">
        <v>3</v>
      </c>
      <c r="DB31" s="740">
        <v>3</v>
      </c>
      <c r="DC31" s="741">
        <v>4</v>
      </c>
      <c r="DD31" s="759">
        <v>1</v>
      </c>
      <c r="DE31" s="759">
        <v>1</v>
      </c>
      <c r="DF31" s="739">
        <v>1</v>
      </c>
      <c r="DG31" s="740">
        <v>1</v>
      </c>
      <c r="DH31" s="740">
        <v>1</v>
      </c>
      <c r="DI31" s="740">
        <v>3</v>
      </c>
      <c r="DJ31" s="740">
        <v>3</v>
      </c>
      <c r="DK31" s="740">
        <v>3</v>
      </c>
      <c r="DL31" s="741">
        <v>3</v>
      </c>
      <c r="DM31" s="739">
        <v>0</v>
      </c>
      <c r="DN31" s="739">
        <v>0</v>
      </c>
      <c r="DO31" s="739">
        <v>0</v>
      </c>
      <c r="DP31" s="739">
        <v>0</v>
      </c>
      <c r="DQ31" s="739">
        <v>0</v>
      </c>
      <c r="DR31" s="739">
        <v>0</v>
      </c>
      <c r="DS31" s="746">
        <v>0</v>
      </c>
      <c r="DT31" s="760">
        <v>0</v>
      </c>
      <c r="DU31" s="760">
        <v>0</v>
      </c>
      <c r="DV31" s="739">
        <v>1</v>
      </c>
      <c r="DW31" s="740">
        <v>1</v>
      </c>
      <c r="DX31" s="740">
        <v>1</v>
      </c>
      <c r="DY31" s="740">
        <v>1</v>
      </c>
      <c r="DZ31" s="740">
        <v>1</v>
      </c>
      <c r="EA31" s="740">
        <v>1</v>
      </c>
      <c r="EB31" s="741">
        <v>1</v>
      </c>
      <c r="EC31" s="760">
        <v>1</v>
      </c>
      <c r="ED31" s="760">
        <v>1</v>
      </c>
      <c r="EE31" s="739">
        <v>1</v>
      </c>
      <c r="EF31" s="740">
        <v>1</v>
      </c>
      <c r="EG31" s="740">
        <v>1</v>
      </c>
      <c r="EH31" s="740">
        <v>1</v>
      </c>
      <c r="EI31" s="740">
        <v>1</v>
      </c>
      <c r="EJ31" s="740">
        <v>1</v>
      </c>
      <c r="EK31" s="741">
        <v>1</v>
      </c>
      <c r="EL31" s="747">
        <v>0</v>
      </c>
      <c r="EM31" s="747">
        <v>0</v>
      </c>
      <c r="EN31" s="747">
        <v>0</v>
      </c>
      <c r="EO31" s="747">
        <v>0</v>
      </c>
      <c r="EP31" s="747">
        <v>0</v>
      </c>
      <c r="EQ31" s="738">
        <v>0</v>
      </c>
      <c r="ER31" s="738">
        <v>0</v>
      </c>
      <c r="ES31" s="739">
        <v>0</v>
      </c>
      <c r="ET31" s="740">
        <v>0</v>
      </c>
      <c r="EU31" s="740">
        <v>0</v>
      </c>
      <c r="EV31" s="740">
        <v>0</v>
      </c>
      <c r="EW31" s="740">
        <v>0</v>
      </c>
      <c r="EX31" s="740">
        <v>0</v>
      </c>
      <c r="EY31" s="741">
        <v>0</v>
      </c>
      <c r="EZ31" s="738">
        <v>1</v>
      </c>
      <c r="FA31" s="738">
        <v>1</v>
      </c>
      <c r="FB31" s="739">
        <v>1</v>
      </c>
      <c r="FC31" s="740">
        <v>1</v>
      </c>
      <c r="FD31" s="740">
        <v>1</v>
      </c>
      <c r="FE31" s="740">
        <v>1</v>
      </c>
      <c r="FF31" s="740">
        <v>1</v>
      </c>
      <c r="FG31" s="740">
        <v>1</v>
      </c>
      <c r="FH31" s="741">
        <v>1</v>
      </c>
      <c r="FI31" s="738">
        <v>0</v>
      </c>
      <c r="FJ31" s="738">
        <v>1</v>
      </c>
      <c r="FK31" s="739">
        <v>1</v>
      </c>
      <c r="FL31" s="740">
        <v>1</v>
      </c>
      <c r="FM31" s="740">
        <v>1</v>
      </c>
      <c r="FN31" s="740">
        <v>1</v>
      </c>
      <c r="FO31" s="740">
        <v>1</v>
      </c>
      <c r="FP31" s="740">
        <v>1</v>
      </c>
      <c r="FQ31" s="741">
        <v>1</v>
      </c>
      <c r="FR31" s="738">
        <v>1</v>
      </c>
      <c r="FS31" s="738">
        <v>2</v>
      </c>
      <c r="FT31" s="739">
        <v>2</v>
      </c>
      <c r="FU31" s="740">
        <v>2</v>
      </c>
      <c r="FV31" s="740">
        <v>2</v>
      </c>
      <c r="FW31" s="740">
        <v>2</v>
      </c>
      <c r="FX31" s="740">
        <v>2</v>
      </c>
      <c r="FY31" s="740">
        <v>2</v>
      </c>
      <c r="FZ31" s="741">
        <v>2</v>
      </c>
      <c r="GA31" s="738">
        <v>2</v>
      </c>
      <c r="GB31" s="738">
        <v>2</v>
      </c>
      <c r="GC31" s="739">
        <v>2</v>
      </c>
      <c r="GD31" s="740">
        <v>2</v>
      </c>
      <c r="GE31" s="740">
        <v>2</v>
      </c>
      <c r="GF31" s="740">
        <v>4</v>
      </c>
      <c r="GG31" s="740">
        <v>4</v>
      </c>
      <c r="GH31" s="740">
        <v>4</v>
      </c>
      <c r="GI31" s="741">
        <v>4</v>
      </c>
      <c r="GJ31" s="738">
        <v>1</v>
      </c>
      <c r="GK31" s="738">
        <v>1</v>
      </c>
      <c r="GL31" s="739">
        <v>1</v>
      </c>
      <c r="GM31" s="740">
        <v>1</v>
      </c>
      <c r="GN31" s="740">
        <v>1</v>
      </c>
      <c r="GO31" s="740">
        <v>3</v>
      </c>
      <c r="GP31" s="740">
        <v>3</v>
      </c>
      <c r="GQ31" s="740">
        <v>3</v>
      </c>
      <c r="GR31" s="741">
        <v>3</v>
      </c>
      <c r="GS31" s="740">
        <v>2</v>
      </c>
      <c r="GT31" s="740">
        <v>2</v>
      </c>
      <c r="GU31" s="739">
        <v>2</v>
      </c>
      <c r="GV31" s="740">
        <v>2</v>
      </c>
      <c r="GW31" s="740">
        <v>2</v>
      </c>
      <c r="GX31" s="740">
        <v>2</v>
      </c>
      <c r="GY31" s="740">
        <v>2</v>
      </c>
      <c r="GZ31" s="740">
        <v>2</v>
      </c>
      <c r="HA31" s="741">
        <v>2</v>
      </c>
      <c r="HB31" s="738">
        <v>1</v>
      </c>
      <c r="HC31" s="738">
        <v>1</v>
      </c>
      <c r="HD31" s="739">
        <v>1</v>
      </c>
      <c r="HE31" s="740">
        <v>1</v>
      </c>
      <c r="HF31" s="740">
        <v>1</v>
      </c>
      <c r="HG31" s="740">
        <v>1</v>
      </c>
      <c r="HH31" s="740">
        <v>1</v>
      </c>
      <c r="HI31" s="740">
        <v>1</v>
      </c>
      <c r="HJ31" s="741">
        <v>1</v>
      </c>
      <c r="HK31" s="738">
        <v>0</v>
      </c>
      <c r="HL31" s="738">
        <v>0</v>
      </c>
      <c r="HM31" s="739">
        <v>0</v>
      </c>
      <c r="HN31" s="740">
        <v>0</v>
      </c>
      <c r="HO31" s="740">
        <v>0</v>
      </c>
      <c r="HP31" s="740">
        <v>0</v>
      </c>
      <c r="HQ31" s="740">
        <v>0</v>
      </c>
      <c r="HR31" s="740">
        <v>0</v>
      </c>
      <c r="HS31" s="741">
        <v>0</v>
      </c>
      <c r="HT31" s="749">
        <f t="shared" si="0"/>
        <v>117</v>
      </c>
      <c r="HU31" s="749">
        <f t="shared" si="0"/>
        <v>123</v>
      </c>
      <c r="HV31" s="749">
        <f t="shared" si="1"/>
        <v>127</v>
      </c>
      <c r="HW31" s="749">
        <f t="shared" si="1"/>
        <v>126</v>
      </c>
      <c r="HX31" s="749">
        <f t="shared" si="2"/>
        <v>102</v>
      </c>
      <c r="HY31" s="749">
        <f t="shared" si="2"/>
        <v>126</v>
      </c>
      <c r="HZ31" s="749">
        <f t="shared" si="2"/>
        <v>123</v>
      </c>
      <c r="IA31" s="749">
        <v>134</v>
      </c>
      <c r="IB31" s="750">
        <v>128</v>
      </c>
      <c r="IC31" s="751">
        <v>0</v>
      </c>
      <c r="ID31" s="751">
        <v>0</v>
      </c>
      <c r="IE31" s="753">
        <v>0</v>
      </c>
      <c r="IF31" s="753">
        <v>1</v>
      </c>
      <c r="IG31" s="753">
        <v>1</v>
      </c>
      <c r="IH31" s="753">
        <v>1</v>
      </c>
      <c r="II31" s="753">
        <v>1</v>
      </c>
      <c r="IJ31" s="753">
        <v>1</v>
      </c>
      <c r="IK31" s="753">
        <v>1</v>
      </c>
      <c r="IL31" s="753">
        <v>1</v>
      </c>
      <c r="IM31" s="753">
        <v>1</v>
      </c>
      <c r="IN31" s="753">
        <v>1</v>
      </c>
      <c r="IO31" s="753">
        <v>2</v>
      </c>
      <c r="IP31" s="753">
        <v>2</v>
      </c>
      <c r="IQ31" s="753">
        <v>3</v>
      </c>
      <c r="IR31" s="753">
        <v>0</v>
      </c>
      <c r="IS31" s="753">
        <v>1</v>
      </c>
      <c r="IT31" s="753">
        <v>1</v>
      </c>
      <c r="IU31" s="753">
        <v>2</v>
      </c>
      <c r="IV31" s="753">
        <v>3</v>
      </c>
      <c r="IW31" s="753">
        <v>3</v>
      </c>
      <c r="IX31" s="753">
        <v>3</v>
      </c>
      <c r="IY31" s="753">
        <v>0</v>
      </c>
      <c r="IZ31" s="753">
        <v>0</v>
      </c>
      <c r="JA31" s="753">
        <v>0</v>
      </c>
      <c r="JB31" s="753">
        <v>0</v>
      </c>
      <c r="JC31" s="753">
        <v>0</v>
      </c>
      <c r="JD31" s="753">
        <v>0</v>
      </c>
      <c r="JE31" s="753">
        <v>1</v>
      </c>
      <c r="JF31" s="753">
        <v>1</v>
      </c>
      <c r="JG31" s="753">
        <v>1</v>
      </c>
      <c r="JH31" s="753">
        <v>0</v>
      </c>
      <c r="JI31" s="753">
        <v>1</v>
      </c>
      <c r="JJ31" s="753">
        <v>0</v>
      </c>
      <c r="JK31" s="753">
        <v>0</v>
      </c>
      <c r="JL31" s="753">
        <v>0</v>
      </c>
      <c r="JM31" s="753">
        <v>0</v>
      </c>
      <c r="JN31" s="753">
        <v>0</v>
      </c>
      <c r="JO31" s="753">
        <v>1</v>
      </c>
      <c r="JP31" s="753">
        <v>2</v>
      </c>
      <c r="JQ31" s="753">
        <v>0</v>
      </c>
      <c r="JR31" s="753">
        <v>4</v>
      </c>
      <c r="JS31" s="753">
        <v>4</v>
      </c>
      <c r="JT31" s="753">
        <v>4</v>
      </c>
      <c r="JU31" s="753">
        <v>4</v>
      </c>
      <c r="JV31" s="753">
        <v>5</v>
      </c>
      <c r="JW31" s="753">
        <v>5</v>
      </c>
      <c r="JX31" s="753">
        <v>7</v>
      </c>
      <c r="JY31" s="753">
        <v>8</v>
      </c>
      <c r="JZ31" s="753">
        <v>10</v>
      </c>
      <c r="KA31" s="752">
        <v>5</v>
      </c>
      <c r="KB31" s="752">
        <v>7</v>
      </c>
      <c r="KC31" s="752">
        <v>6</v>
      </c>
      <c r="KD31" s="752">
        <v>7</v>
      </c>
      <c r="KE31" s="752">
        <v>9</v>
      </c>
      <c r="KF31" s="752">
        <v>9</v>
      </c>
      <c r="KG31" s="752">
        <v>14</v>
      </c>
      <c r="KH31" s="752">
        <v>13</v>
      </c>
      <c r="KI31" s="752">
        <v>17</v>
      </c>
      <c r="KJ31" s="752">
        <v>122</v>
      </c>
      <c r="KK31" s="752">
        <v>130</v>
      </c>
      <c r="KL31" s="752">
        <v>133</v>
      </c>
      <c r="KM31" s="752">
        <v>133</v>
      </c>
      <c r="KN31" s="752">
        <v>111</v>
      </c>
      <c r="KO31" s="752">
        <v>135</v>
      </c>
      <c r="KP31" s="752">
        <v>137</v>
      </c>
      <c r="KQ31" s="752">
        <v>147</v>
      </c>
      <c r="KR31" s="755">
        <v>145</v>
      </c>
      <c r="KS31" s="808"/>
    </row>
    <row r="32" spans="1:305" s="737" customFormat="1" ht="12.75" x14ac:dyDescent="0.25">
      <c r="A32" s="720">
        <v>28</v>
      </c>
      <c r="B32" s="721" t="s">
        <v>171</v>
      </c>
      <c r="C32" s="738">
        <v>147</v>
      </c>
      <c r="D32" s="738">
        <v>147</v>
      </c>
      <c r="E32" s="739">
        <v>147</v>
      </c>
      <c r="F32" s="740">
        <v>147</v>
      </c>
      <c r="G32" s="740">
        <v>126</v>
      </c>
      <c r="H32" s="740">
        <v>130</v>
      </c>
      <c r="I32" s="740">
        <v>117</v>
      </c>
      <c r="J32" s="740">
        <v>105</v>
      </c>
      <c r="K32" s="741">
        <v>98</v>
      </c>
      <c r="L32" s="738">
        <v>101</v>
      </c>
      <c r="M32" s="738">
        <v>101</v>
      </c>
      <c r="N32" s="739">
        <v>100</v>
      </c>
      <c r="O32" s="740">
        <v>98</v>
      </c>
      <c r="P32" s="740">
        <v>98</v>
      </c>
      <c r="Q32" s="740">
        <v>98</v>
      </c>
      <c r="R32" s="740">
        <v>69</v>
      </c>
      <c r="S32" s="740">
        <v>69</v>
      </c>
      <c r="T32" s="741">
        <v>69</v>
      </c>
      <c r="U32" s="738">
        <v>85</v>
      </c>
      <c r="V32" s="738">
        <v>86</v>
      </c>
      <c r="W32" s="739">
        <v>86</v>
      </c>
      <c r="X32" s="740">
        <v>86</v>
      </c>
      <c r="Y32" s="742">
        <v>86</v>
      </c>
      <c r="Z32" s="742">
        <v>86</v>
      </c>
      <c r="AA32" s="742">
        <v>48</v>
      </c>
      <c r="AB32" s="742">
        <v>43</v>
      </c>
      <c r="AC32" s="743">
        <v>43</v>
      </c>
      <c r="AD32" s="738">
        <v>80</v>
      </c>
      <c r="AE32" s="738">
        <v>99</v>
      </c>
      <c r="AF32" s="739">
        <v>91</v>
      </c>
      <c r="AG32" s="740">
        <v>96</v>
      </c>
      <c r="AH32" s="740">
        <v>96</v>
      </c>
      <c r="AI32" s="740">
        <v>88</v>
      </c>
      <c r="AJ32" s="740">
        <v>86</v>
      </c>
      <c r="AK32" s="740">
        <v>78</v>
      </c>
      <c r="AL32" s="741">
        <v>72</v>
      </c>
      <c r="AM32" s="744">
        <v>0</v>
      </c>
      <c r="AN32" s="744">
        <v>0</v>
      </c>
      <c r="AO32" s="744">
        <v>0</v>
      </c>
      <c r="AP32" s="744">
        <v>0</v>
      </c>
      <c r="AQ32" s="745">
        <v>0</v>
      </c>
      <c r="AR32" s="738">
        <v>16</v>
      </c>
      <c r="AS32" s="738">
        <v>19</v>
      </c>
      <c r="AT32" s="739">
        <v>20</v>
      </c>
      <c r="AU32" s="739">
        <v>20</v>
      </c>
      <c r="AV32" s="739">
        <v>20</v>
      </c>
      <c r="AW32" s="739">
        <v>20</v>
      </c>
      <c r="AX32" s="739">
        <v>18</v>
      </c>
      <c r="AY32" s="739">
        <v>16</v>
      </c>
      <c r="AZ32" s="746">
        <v>16</v>
      </c>
      <c r="BA32" s="738">
        <v>3</v>
      </c>
      <c r="BB32" s="738">
        <v>3</v>
      </c>
      <c r="BC32" s="739">
        <v>3</v>
      </c>
      <c r="BD32" s="739">
        <v>2</v>
      </c>
      <c r="BE32" s="739">
        <v>2</v>
      </c>
      <c r="BF32" s="739">
        <v>2</v>
      </c>
      <c r="BG32" s="739">
        <v>7</v>
      </c>
      <c r="BH32" s="739">
        <v>7</v>
      </c>
      <c r="BI32" s="746">
        <v>0</v>
      </c>
      <c r="BJ32" s="738">
        <v>3</v>
      </c>
      <c r="BK32" s="738">
        <v>3</v>
      </c>
      <c r="BL32" s="739">
        <v>3</v>
      </c>
      <c r="BM32" s="747">
        <v>3</v>
      </c>
      <c r="BN32" s="747">
        <v>3</v>
      </c>
      <c r="BO32" s="747">
        <v>3</v>
      </c>
      <c r="BP32" s="747">
        <v>3</v>
      </c>
      <c r="BQ32" s="747">
        <v>3</v>
      </c>
      <c r="BR32" s="748">
        <v>5</v>
      </c>
      <c r="BS32" s="747">
        <v>0</v>
      </c>
      <c r="BT32" s="747">
        <v>1</v>
      </c>
      <c r="BU32" s="747">
        <v>1</v>
      </c>
      <c r="BV32" s="747">
        <v>1</v>
      </c>
      <c r="BW32" s="748">
        <v>1</v>
      </c>
      <c r="BX32" s="738">
        <v>5</v>
      </c>
      <c r="BY32" s="738">
        <v>4</v>
      </c>
      <c r="BZ32" s="739">
        <v>7</v>
      </c>
      <c r="CA32" s="747">
        <v>7</v>
      </c>
      <c r="CB32" s="747">
        <v>7</v>
      </c>
      <c r="CC32" s="747">
        <v>7</v>
      </c>
      <c r="CD32" s="747">
        <v>7</v>
      </c>
      <c r="CE32" s="747">
        <v>6</v>
      </c>
      <c r="CF32" s="748">
        <v>5</v>
      </c>
      <c r="CG32" s="747">
        <v>1</v>
      </c>
      <c r="CH32" s="747">
        <v>1</v>
      </c>
      <c r="CI32" s="747">
        <v>1</v>
      </c>
      <c r="CJ32" s="747">
        <v>1</v>
      </c>
      <c r="CK32" s="748">
        <v>3</v>
      </c>
      <c r="CL32" s="738">
        <v>4</v>
      </c>
      <c r="CM32" s="738">
        <v>4</v>
      </c>
      <c r="CN32" s="739">
        <v>4</v>
      </c>
      <c r="CO32" s="740">
        <v>4</v>
      </c>
      <c r="CP32" s="740">
        <v>4</v>
      </c>
      <c r="CQ32" s="740">
        <v>5</v>
      </c>
      <c r="CR32" s="740">
        <v>5</v>
      </c>
      <c r="CS32" s="740">
        <v>10</v>
      </c>
      <c r="CT32" s="741">
        <v>10</v>
      </c>
      <c r="CU32" s="738">
        <v>14</v>
      </c>
      <c r="CV32" s="738">
        <v>14</v>
      </c>
      <c r="CW32" s="739">
        <v>15</v>
      </c>
      <c r="CX32" s="740">
        <v>15</v>
      </c>
      <c r="CY32" s="740">
        <v>16</v>
      </c>
      <c r="CZ32" s="740">
        <v>17</v>
      </c>
      <c r="DA32" s="740">
        <v>19</v>
      </c>
      <c r="DB32" s="740">
        <v>21</v>
      </c>
      <c r="DC32" s="741">
        <v>22</v>
      </c>
      <c r="DD32" s="759">
        <v>3</v>
      </c>
      <c r="DE32" s="759">
        <v>3</v>
      </c>
      <c r="DF32" s="739">
        <v>3</v>
      </c>
      <c r="DG32" s="740">
        <v>3</v>
      </c>
      <c r="DH32" s="740">
        <v>2</v>
      </c>
      <c r="DI32" s="740">
        <v>10</v>
      </c>
      <c r="DJ32" s="740">
        <v>13</v>
      </c>
      <c r="DK32" s="740">
        <v>13</v>
      </c>
      <c r="DL32" s="741">
        <v>14</v>
      </c>
      <c r="DM32" s="739">
        <v>1</v>
      </c>
      <c r="DN32" s="739">
        <v>1</v>
      </c>
      <c r="DO32" s="739">
        <v>1</v>
      </c>
      <c r="DP32" s="739">
        <v>1</v>
      </c>
      <c r="DQ32" s="739">
        <v>1</v>
      </c>
      <c r="DR32" s="739">
        <v>1</v>
      </c>
      <c r="DS32" s="746">
        <v>1</v>
      </c>
      <c r="DT32" s="760">
        <v>1</v>
      </c>
      <c r="DU32" s="760">
        <v>1</v>
      </c>
      <c r="DV32" s="739">
        <v>2</v>
      </c>
      <c r="DW32" s="740">
        <v>4</v>
      </c>
      <c r="DX32" s="740">
        <v>3</v>
      </c>
      <c r="DY32" s="740">
        <v>3</v>
      </c>
      <c r="DZ32" s="740">
        <v>7</v>
      </c>
      <c r="EA32" s="740">
        <v>8</v>
      </c>
      <c r="EB32" s="741">
        <v>8</v>
      </c>
      <c r="EC32" s="760">
        <v>9</v>
      </c>
      <c r="ED32" s="760">
        <v>10</v>
      </c>
      <c r="EE32" s="739">
        <v>10</v>
      </c>
      <c r="EF32" s="740">
        <v>10</v>
      </c>
      <c r="EG32" s="740">
        <v>13</v>
      </c>
      <c r="EH32" s="740">
        <v>14</v>
      </c>
      <c r="EI32" s="740">
        <v>14</v>
      </c>
      <c r="EJ32" s="740">
        <v>13</v>
      </c>
      <c r="EK32" s="741">
        <v>11</v>
      </c>
      <c r="EL32" s="747">
        <v>0</v>
      </c>
      <c r="EM32" s="747">
        <v>0</v>
      </c>
      <c r="EN32" s="747">
        <v>0</v>
      </c>
      <c r="EO32" s="747">
        <v>0</v>
      </c>
      <c r="EP32" s="747">
        <v>0</v>
      </c>
      <c r="EQ32" s="738">
        <v>0</v>
      </c>
      <c r="ER32" s="738">
        <v>0</v>
      </c>
      <c r="ES32" s="739">
        <v>0</v>
      </c>
      <c r="ET32" s="740">
        <v>0</v>
      </c>
      <c r="EU32" s="740">
        <v>0</v>
      </c>
      <c r="EV32" s="740">
        <v>0</v>
      </c>
      <c r="EW32" s="740">
        <v>0</v>
      </c>
      <c r="EX32" s="740">
        <v>0</v>
      </c>
      <c r="EY32" s="741">
        <v>0</v>
      </c>
      <c r="EZ32" s="738">
        <v>9</v>
      </c>
      <c r="FA32" s="738">
        <v>9</v>
      </c>
      <c r="FB32" s="739">
        <v>8</v>
      </c>
      <c r="FC32" s="740">
        <v>8</v>
      </c>
      <c r="FD32" s="740">
        <v>8</v>
      </c>
      <c r="FE32" s="740">
        <v>7</v>
      </c>
      <c r="FF32" s="740">
        <v>7</v>
      </c>
      <c r="FG32" s="740">
        <v>7</v>
      </c>
      <c r="FH32" s="741">
        <v>7</v>
      </c>
      <c r="FI32" s="738">
        <v>5</v>
      </c>
      <c r="FJ32" s="738">
        <v>7</v>
      </c>
      <c r="FK32" s="739">
        <v>7</v>
      </c>
      <c r="FL32" s="740">
        <v>7</v>
      </c>
      <c r="FM32" s="740">
        <v>7</v>
      </c>
      <c r="FN32" s="740">
        <v>9</v>
      </c>
      <c r="FO32" s="740">
        <v>10</v>
      </c>
      <c r="FP32" s="740">
        <v>10</v>
      </c>
      <c r="FQ32" s="741">
        <v>10</v>
      </c>
      <c r="FR32" s="738">
        <v>3</v>
      </c>
      <c r="FS32" s="738">
        <v>3</v>
      </c>
      <c r="FT32" s="739">
        <v>4</v>
      </c>
      <c r="FU32" s="740">
        <v>5</v>
      </c>
      <c r="FV32" s="740">
        <v>5</v>
      </c>
      <c r="FW32" s="740">
        <v>5</v>
      </c>
      <c r="FX32" s="740">
        <v>6</v>
      </c>
      <c r="FY32" s="740">
        <v>6</v>
      </c>
      <c r="FZ32" s="741">
        <v>6</v>
      </c>
      <c r="GA32" s="738">
        <v>2</v>
      </c>
      <c r="GB32" s="738">
        <v>3</v>
      </c>
      <c r="GC32" s="739">
        <v>3</v>
      </c>
      <c r="GD32" s="740">
        <v>3</v>
      </c>
      <c r="GE32" s="740">
        <v>3</v>
      </c>
      <c r="GF32" s="740">
        <v>7</v>
      </c>
      <c r="GG32" s="740">
        <v>11</v>
      </c>
      <c r="GH32" s="740">
        <v>10</v>
      </c>
      <c r="GI32" s="741">
        <v>10</v>
      </c>
      <c r="GJ32" s="738">
        <v>2</v>
      </c>
      <c r="GK32" s="738">
        <v>3</v>
      </c>
      <c r="GL32" s="739">
        <v>3</v>
      </c>
      <c r="GM32" s="740">
        <v>8</v>
      </c>
      <c r="GN32" s="740">
        <v>8</v>
      </c>
      <c r="GO32" s="740">
        <v>12</v>
      </c>
      <c r="GP32" s="740">
        <v>11</v>
      </c>
      <c r="GQ32" s="740">
        <v>11</v>
      </c>
      <c r="GR32" s="741">
        <v>11</v>
      </c>
      <c r="GS32" s="740">
        <v>7</v>
      </c>
      <c r="GT32" s="740">
        <v>7</v>
      </c>
      <c r="GU32" s="739">
        <v>7</v>
      </c>
      <c r="GV32" s="740">
        <v>7</v>
      </c>
      <c r="GW32" s="740">
        <v>7</v>
      </c>
      <c r="GX32" s="740">
        <v>7</v>
      </c>
      <c r="GY32" s="740">
        <v>7</v>
      </c>
      <c r="GZ32" s="740">
        <v>6</v>
      </c>
      <c r="HA32" s="741">
        <v>6</v>
      </c>
      <c r="HB32" s="738">
        <v>1</v>
      </c>
      <c r="HC32" s="738">
        <v>1</v>
      </c>
      <c r="HD32" s="739">
        <v>1</v>
      </c>
      <c r="HE32" s="740">
        <v>1</v>
      </c>
      <c r="HF32" s="740">
        <v>1</v>
      </c>
      <c r="HG32" s="740">
        <v>1</v>
      </c>
      <c r="HH32" s="740">
        <v>1</v>
      </c>
      <c r="HI32" s="740">
        <v>1</v>
      </c>
      <c r="HJ32" s="741">
        <v>1</v>
      </c>
      <c r="HK32" s="738">
        <v>3</v>
      </c>
      <c r="HL32" s="738">
        <v>3</v>
      </c>
      <c r="HM32" s="739">
        <v>3</v>
      </c>
      <c r="HN32" s="740">
        <v>3</v>
      </c>
      <c r="HO32" s="740">
        <v>3</v>
      </c>
      <c r="HP32" s="740">
        <v>3</v>
      </c>
      <c r="HQ32" s="740">
        <v>3</v>
      </c>
      <c r="HR32" s="740">
        <v>3</v>
      </c>
      <c r="HS32" s="741">
        <v>2</v>
      </c>
      <c r="HT32" s="749">
        <f t="shared" si="0"/>
        <v>503</v>
      </c>
      <c r="HU32" s="749">
        <f t="shared" si="0"/>
        <v>530</v>
      </c>
      <c r="HV32" s="749">
        <f t="shared" si="1"/>
        <v>528</v>
      </c>
      <c r="HW32" s="749">
        <f t="shared" si="1"/>
        <v>538</v>
      </c>
      <c r="HX32" s="749">
        <f t="shared" si="2"/>
        <v>520</v>
      </c>
      <c r="HY32" s="749">
        <f t="shared" si="2"/>
        <v>537</v>
      </c>
      <c r="HZ32" s="749">
        <f t="shared" si="2"/>
        <v>472</v>
      </c>
      <c r="IA32" s="749">
        <v>449</v>
      </c>
      <c r="IB32" s="750">
        <v>431</v>
      </c>
      <c r="IC32" s="751">
        <v>1</v>
      </c>
      <c r="ID32" s="751">
        <v>5</v>
      </c>
      <c r="IE32" s="753">
        <v>5</v>
      </c>
      <c r="IF32" s="753">
        <v>5</v>
      </c>
      <c r="IG32" s="753">
        <v>5</v>
      </c>
      <c r="IH32" s="753">
        <v>5</v>
      </c>
      <c r="II32" s="753">
        <v>2</v>
      </c>
      <c r="IJ32" s="753">
        <v>2</v>
      </c>
      <c r="IK32" s="753">
        <v>2</v>
      </c>
      <c r="IL32" s="753">
        <v>2</v>
      </c>
      <c r="IM32" s="753">
        <v>4</v>
      </c>
      <c r="IN32" s="753">
        <v>6</v>
      </c>
      <c r="IO32" s="753">
        <v>6</v>
      </c>
      <c r="IP32" s="753">
        <v>6</v>
      </c>
      <c r="IQ32" s="753">
        <v>16</v>
      </c>
      <c r="IR32" s="753">
        <v>2</v>
      </c>
      <c r="IS32" s="753">
        <v>4</v>
      </c>
      <c r="IT32" s="753">
        <v>5</v>
      </c>
      <c r="IU32" s="753">
        <v>6</v>
      </c>
      <c r="IV32" s="753">
        <v>8</v>
      </c>
      <c r="IW32" s="753">
        <v>11</v>
      </c>
      <c r="IX32" s="753">
        <v>11</v>
      </c>
      <c r="IY32" s="753">
        <v>1</v>
      </c>
      <c r="IZ32" s="753">
        <v>1</v>
      </c>
      <c r="JA32" s="753">
        <v>1</v>
      </c>
      <c r="JB32" s="753">
        <v>1</v>
      </c>
      <c r="JC32" s="753">
        <v>1</v>
      </c>
      <c r="JD32" s="753">
        <v>1</v>
      </c>
      <c r="JE32" s="753">
        <v>2</v>
      </c>
      <c r="JF32" s="753">
        <v>2</v>
      </c>
      <c r="JG32" s="753">
        <v>3</v>
      </c>
      <c r="JH32" s="753">
        <v>1</v>
      </c>
      <c r="JI32" s="753">
        <v>0</v>
      </c>
      <c r="JJ32" s="753">
        <v>1</v>
      </c>
      <c r="JK32" s="753">
        <v>1</v>
      </c>
      <c r="JL32" s="753">
        <v>1</v>
      </c>
      <c r="JM32" s="753">
        <v>1</v>
      </c>
      <c r="JN32" s="753">
        <v>1</v>
      </c>
      <c r="JO32" s="753">
        <v>4</v>
      </c>
      <c r="JP32" s="753">
        <v>9</v>
      </c>
      <c r="JQ32" s="753">
        <v>0</v>
      </c>
      <c r="JR32" s="753">
        <v>14</v>
      </c>
      <c r="JS32" s="753">
        <v>14</v>
      </c>
      <c r="JT32" s="753">
        <v>16</v>
      </c>
      <c r="JU32" s="753">
        <v>20</v>
      </c>
      <c r="JV32" s="753">
        <v>26</v>
      </c>
      <c r="JW32" s="753">
        <v>27</v>
      </c>
      <c r="JX32" s="753">
        <v>34</v>
      </c>
      <c r="JY32" s="753">
        <v>53</v>
      </c>
      <c r="JZ32" s="753">
        <v>63</v>
      </c>
      <c r="KA32" s="752">
        <v>20</v>
      </c>
      <c r="KB32" s="752">
        <v>21</v>
      </c>
      <c r="KC32" s="752">
        <v>25</v>
      </c>
      <c r="KD32" s="752">
        <v>31</v>
      </c>
      <c r="KE32" s="752">
        <v>45</v>
      </c>
      <c r="KF32" s="752">
        <v>51</v>
      </c>
      <c r="KG32" s="752">
        <v>59</v>
      </c>
      <c r="KH32" s="752">
        <v>70</v>
      </c>
      <c r="KI32" s="752">
        <v>96</v>
      </c>
      <c r="KJ32" s="752">
        <v>523</v>
      </c>
      <c r="KK32" s="752">
        <v>551</v>
      </c>
      <c r="KL32" s="752">
        <v>553</v>
      </c>
      <c r="KM32" s="752">
        <v>569</v>
      </c>
      <c r="KN32" s="752">
        <v>565</v>
      </c>
      <c r="KO32" s="752">
        <v>588</v>
      </c>
      <c r="KP32" s="752">
        <v>531</v>
      </c>
      <c r="KQ32" s="752">
        <v>519</v>
      </c>
      <c r="KR32" s="755">
        <v>527</v>
      </c>
      <c r="KS32" s="808"/>
    </row>
    <row r="33" spans="1:307" s="737" customFormat="1" ht="12.75" x14ac:dyDescent="0.25">
      <c r="A33" s="720">
        <v>29</v>
      </c>
      <c r="B33" s="761" t="s">
        <v>172</v>
      </c>
      <c r="C33" s="738">
        <v>0</v>
      </c>
      <c r="D33" s="738">
        <v>0</v>
      </c>
      <c r="E33" s="739">
        <v>0</v>
      </c>
      <c r="F33" s="740">
        <v>0</v>
      </c>
      <c r="G33" s="740">
        <v>1</v>
      </c>
      <c r="H33" s="740">
        <v>0</v>
      </c>
      <c r="I33" s="740">
        <v>0</v>
      </c>
      <c r="J33" s="740">
        <v>0</v>
      </c>
      <c r="K33" s="741">
        <v>0</v>
      </c>
      <c r="L33" s="738">
        <v>1</v>
      </c>
      <c r="M33" s="738">
        <v>1</v>
      </c>
      <c r="N33" s="739">
        <v>4</v>
      </c>
      <c r="O33" s="740">
        <v>5</v>
      </c>
      <c r="P33" s="740">
        <v>5</v>
      </c>
      <c r="Q33" s="740">
        <v>5</v>
      </c>
      <c r="R33" s="740">
        <v>5</v>
      </c>
      <c r="S33" s="740">
        <v>4</v>
      </c>
      <c r="T33" s="741">
        <v>2</v>
      </c>
      <c r="U33" s="738">
        <v>0</v>
      </c>
      <c r="V33" s="738">
        <v>0</v>
      </c>
      <c r="W33" s="739">
        <v>0</v>
      </c>
      <c r="X33" s="740">
        <v>0</v>
      </c>
      <c r="Y33" s="742">
        <v>0</v>
      </c>
      <c r="Z33" s="742">
        <v>0</v>
      </c>
      <c r="AA33" s="742">
        <v>0</v>
      </c>
      <c r="AB33" s="742">
        <v>0</v>
      </c>
      <c r="AC33" s="743">
        <v>0</v>
      </c>
      <c r="AD33" s="738">
        <v>1</v>
      </c>
      <c r="AE33" s="738">
        <v>1</v>
      </c>
      <c r="AF33" s="739">
        <v>1</v>
      </c>
      <c r="AG33" s="740">
        <v>1</v>
      </c>
      <c r="AH33" s="740">
        <v>1</v>
      </c>
      <c r="AI33" s="740">
        <v>1</v>
      </c>
      <c r="AJ33" s="740">
        <v>1</v>
      </c>
      <c r="AK33" s="740">
        <v>1</v>
      </c>
      <c r="AL33" s="741">
        <v>1</v>
      </c>
      <c r="AM33" s="762">
        <v>0</v>
      </c>
      <c r="AN33" s="762">
        <v>0</v>
      </c>
      <c r="AO33" s="762">
        <v>0</v>
      </c>
      <c r="AP33" s="762">
        <v>0</v>
      </c>
      <c r="AQ33" s="763">
        <v>0</v>
      </c>
      <c r="AR33" s="738">
        <v>1</v>
      </c>
      <c r="AS33" s="738">
        <v>1</v>
      </c>
      <c r="AT33" s="739">
        <v>1</v>
      </c>
      <c r="AU33" s="739">
        <v>1</v>
      </c>
      <c r="AV33" s="739">
        <v>1</v>
      </c>
      <c r="AW33" s="739">
        <v>1</v>
      </c>
      <c r="AX33" s="739">
        <v>1</v>
      </c>
      <c r="AY33" s="739">
        <v>1</v>
      </c>
      <c r="AZ33" s="746">
        <v>1</v>
      </c>
      <c r="BA33" s="738">
        <v>0</v>
      </c>
      <c r="BB33" s="738">
        <v>0</v>
      </c>
      <c r="BC33" s="739">
        <v>0</v>
      </c>
      <c r="BD33" s="739">
        <v>0</v>
      </c>
      <c r="BE33" s="739">
        <v>0</v>
      </c>
      <c r="BF33" s="739">
        <v>0</v>
      </c>
      <c r="BG33" s="739">
        <v>0</v>
      </c>
      <c r="BH33" s="739">
        <v>0</v>
      </c>
      <c r="BI33" s="746">
        <v>0</v>
      </c>
      <c r="BJ33" s="738">
        <v>0</v>
      </c>
      <c r="BK33" s="738">
        <v>0</v>
      </c>
      <c r="BL33" s="739">
        <v>0</v>
      </c>
      <c r="BM33" s="747">
        <v>0</v>
      </c>
      <c r="BN33" s="747">
        <v>0</v>
      </c>
      <c r="BO33" s="747">
        <v>0</v>
      </c>
      <c r="BP33" s="747">
        <v>0</v>
      </c>
      <c r="BQ33" s="747">
        <v>0</v>
      </c>
      <c r="BR33" s="748">
        <v>0</v>
      </c>
      <c r="BS33" s="747">
        <v>0</v>
      </c>
      <c r="BT33" s="747">
        <v>0</v>
      </c>
      <c r="BU33" s="747">
        <v>0</v>
      </c>
      <c r="BV33" s="747">
        <v>0</v>
      </c>
      <c r="BW33" s="748">
        <v>0</v>
      </c>
      <c r="BX33" s="738">
        <v>1</v>
      </c>
      <c r="BY33" s="738">
        <v>1</v>
      </c>
      <c r="BZ33" s="739">
        <v>1</v>
      </c>
      <c r="CA33" s="747">
        <v>1</v>
      </c>
      <c r="CB33" s="747">
        <v>1</v>
      </c>
      <c r="CC33" s="747">
        <v>1</v>
      </c>
      <c r="CD33" s="747">
        <v>1</v>
      </c>
      <c r="CE33" s="747">
        <v>1</v>
      </c>
      <c r="CF33" s="748">
        <v>1</v>
      </c>
      <c r="CG33" s="747">
        <v>0</v>
      </c>
      <c r="CH33" s="747">
        <v>0</v>
      </c>
      <c r="CI33" s="747">
        <v>1</v>
      </c>
      <c r="CJ33" s="747">
        <v>1</v>
      </c>
      <c r="CK33" s="748">
        <v>1</v>
      </c>
      <c r="CL33" s="738">
        <v>0</v>
      </c>
      <c r="CM33" s="738">
        <v>0</v>
      </c>
      <c r="CN33" s="739">
        <v>0</v>
      </c>
      <c r="CO33" s="740">
        <v>0</v>
      </c>
      <c r="CP33" s="740">
        <v>0</v>
      </c>
      <c r="CQ33" s="740">
        <v>0</v>
      </c>
      <c r="CR33" s="740">
        <v>0</v>
      </c>
      <c r="CS33" s="740">
        <v>0</v>
      </c>
      <c r="CT33" s="741">
        <v>0</v>
      </c>
      <c r="CU33" s="738">
        <v>0</v>
      </c>
      <c r="CV33" s="738">
        <v>0</v>
      </c>
      <c r="CW33" s="739">
        <v>0</v>
      </c>
      <c r="CX33" s="740">
        <v>0</v>
      </c>
      <c r="CY33" s="740">
        <v>1</v>
      </c>
      <c r="CZ33" s="740">
        <v>1</v>
      </c>
      <c r="DA33" s="740">
        <v>1</v>
      </c>
      <c r="DB33" s="740">
        <v>1</v>
      </c>
      <c r="DC33" s="741">
        <v>1</v>
      </c>
      <c r="DD33" s="759">
        <v>0</v>
      </c>
      <c r="DE33" s="759">
        <v>0</v>
      </c>
      <c r="DF33" s="739">
        <v>0</v>
      </c>
      <c r="DG33" s="740">
        <v>0</v>
      </c>
      <c r="DH33" s="740">
        <v>0</v>
      </c>
      <c r="DI33" s="740">
        <v>0</v>
      </c>
      <c r="DJ33" s="740">
        <v>0</v>
      </c>
      <c r="DK33" s="740">
        <v>0</v>
      </c>
      <c r="DL33" s="741">
        <v>0</v>
      </c>
      <c r="DM33" s="739">
        <v>0</v>
      </c>
      <c r="DN33" s="739">
        <v>0</v>
      </c>
      <c r="DO33" s="739">
        <v>0</v>
      </c>
      <c r="DP33" s="739">
        <v>0</v>
      </c>
      <c r="DQ33" s="739">
        <v>0</v>
      </c>
      <c r="DR33" s="739">
        <v>0</v>
      </c>
      <c r="DS33" s="746">
        <v>0</v>
      </c>
      <c r="DT33" s="760">
        <v>0</v>
      </c>
      <c r="DU33" s="760">
        <v>0</v>
      </c>
      <c r="DV33" s="739">
        <v>0</v>
      </c>
      <c r="DW33" s="740">
        <v>0</v>
      </c>
      <c r="DX33" s="740">
        <v>0</v>
      </c>
      <c r="DY33" s="740">
        <v>0</v>
      </c>
      <c r="DZ33" s="740">
        <v>0</v>
      </c>
      <c r="EA33" s="740">
        <v>0</v>
      </c>
      <c r="EB33" s="741">
        <v>0</v>
      </c>
      <c r="EC33" s="760">
        <v>0</v>
      </c>
      <c r="ED33" s="760">
        <v>0</v>
      </c>
      <c r="EE33" s="739">
        <v>0</v>
      </c>
      <c r="EF33" s="740">
        <v>0</v>
      </c>
      <c r="EG33" s="740">
        <v>0</v>
      </c>
      <c r="EH33" s="740">
        <v>0</v>
      </c>
      <c r="EI33" s="740">
        <v>0</v>
      </c>
      <c r="EJ33" s="740">
        <v>0</v>
      </c>
      <c r="EK33" s="741">
        <v>0</v>
      </c>
      <c r="EL33" s="747">
        <v>0</v>
      </c>
      <c r="EM33" s="747">
        <v>0</v>
      </c>
      <c r="EN33" s="747">
        <v>0</v>
      </c>
      <c r="EO33" s="747">
        <v>0</v>
      </c>
      <c r="EP33" s="747">
        <v>0</v>
      </c>
      <c r="EQ33" s="738">
        <v>0</v>
      </c>
      <c r="ER33" s="738">
        <v>0</v>
      </c>
      <c r="ES33" s="739">
        <v>0</v>
      </c>
      <c r="ET33" s="740">
        <v>0</v>
      </c>
      <c r="EU33" s="740">
        <v>0</v>
      </c>
      <c r="EV33" s="740">
        <v>0</v>
      </c>
      <c r="EW33" s="740">
        <v>0</v>
      </c>
      <c r="EX33" s="740">
        <v>0</v>
      </c>
      <c r="EY33" s="741">
        <v>0</v>
      </c>
      <c r="EZ33" s="738">
        <v>0</v>
      </c>
      <c r="FA33" s="738">
        <v>0</v>
      </c>
      <c r="FB33" s="739">
        <v>0</v>
      </c>
      <c r="FC33" s="740">
        <v>0</v>
      </c>
      <c r="FD33" s="740">
        <v>0</v>
      </c>
      <c r="FE33" s="740">
        <v>0</v>
      </c>
      <c r="FF33" s="740">
        <v>1</v>
      </c>
      <c r="FG33" s="740">
        <v>0</v>
      </c>
      <c r="FH33" s="741">
        <v>0</v>
      </c>
      <c r="FI33" s="738">
        <v>0</v>
      </c>
      <c r="FJ33" s="738">
        <v>0</v>
      </c>
      <c r="FK33" s="739">
        <v>0</v>
      </c>
      <c r="FL33" s="740">
        <v>0</v>
      </c>
      <c r="FM33" s="740">
        <v>0</v>
      </c>
      <c r="FN33" s="740">
        <v>0</v>
      </c>
      <c r="FO33" s="740">
        <v>0</v>
      </c>
      <c r="FP33" s="740">
        <v>0</v>
      </c>
      <c r="FQ33" s="741">
        <v>0</v>
      </c>
      <c r="FR33" s="738">
        <v>0</v>
      </c>
      <c r="FS33" s="738">
        <v>0</v>
      </c>
      <c r="FT33" s="739">
        <v>0</v>
      </c>
      <c r="FU33" s="740">
        <v>1</v>
      </c>
      <c r="FV33" s="740">
        <v>1</v>
      </c>
      <c r="FW33" s="740">
        <v>1</v>
      </c>
      <c r="FX33" s="740">
        <v>1</v>
      </c>
      <c r="FY33" s="740">
        <v>1</v>
      </c>
      <c r="FZ33" s="741">
        <v>1</v>
      </c>
      <c r="GA33" s="738">
        <v>0</v>
      </c>
      <c r="GB33" s="738">
        <v>0</v>
      </c>
      <c r="GC33" s="739">
        <v>0</v>
      </c>
      <c r="GD33" s="740">
        <v>0</v>
      </c>
      <c r="GE33" s="740">
        <v>0</v>
      </c>
      <c r="GF33" s="740">
        <v>0</v>
      </c>
      <c r="GG33" s="740">
        <v>0</v>
      </c>
      <c r="GH33" s="740">
        <v>0</v>
      </c>
      <c r="GI33" s="741">
        <v>0</v>
      </c>
      <c r="GJ33" s="738">
        <v>0</v>
      </c>
      <c r="GK33" s="738">
        <v>0</v>
      </c>
      <c r="GL33" s="739">
        <v>0</v>
      </c>
      <c r="GM33" s="740">
        <v>0</v>
      </c>
      <c r="GN33" s="740">
        <v>0</v>
      </c>
      <c r="GO33" s="740">
        <v>0</v>
      </c>
      <c r="GP33" s="740">
        <v>0</v>
      </c>
      <c r="GQ33" s="740">
        <v>0</v>
      </c>
      <c r="GR33" s="741">
        <v>0</v>
      </c>
      <c r="GS33" s="764">
        <v>0</v>
      </c>
      <c r="GT33" s="764">
        <v>0</v>
      </c>
      <c r="GU33" s="739">
        <v>0</v>
      </c>
      <c r="GV33" s="740">
        <v>0</v>
      </c>
      <c r="GW33" s="740">
        <v>0</v>
      </c>
      <c r="GX33" s="740">
        <v>0</v>
      </c>
      <c r="GY33" s="740">
        <v>0</v>
      </c>
      <c r="GZ33" s="740">
        <v>0</v>
      </c>
      <c r="HA33" s="741">
        <v>0</v>
      </c>
      <c r="HB33" s="738">
        <v>0</v>
      </c>
      <c r="HC33" s="738">
        <v>0</v>
      </c>
      <c r="HD33" s="739">
        <v>0</v>
      </c>
      <c r="HE33" s="740">
        <v>0</v>
      </c>
      <c r="HF33" s="740">
        <v>0</v>
      </c>
      <c r="HG33" s="740">
        <v>0</v>
      </c>
      <c r="HH33" s="740">
        <v>0</v>
      </c>
      <c r="HI33" s="740">
        <v>0</v>
      </c>
      <c r="HJ33" s="741">
        <v>0</v>
      </c>
      <c r="HK33" s="738">
        <v>0</v>
      </c>
      <c r="HL33" s="738">
        <v>0</v>
      </c>
      <c r="HM33" s="739">
        <v>0</v>
      </c>
      <c r="HN33" s="740">
        <v>0</v>
      </c>
      <c r="HO33" s="740">
        <v>0</v>
      </c>
      <c r="HP33" s="740">
        <v>0</v>
      </c>
      <c r="HQ33" s="740">
        <v>0</v>
      </c>
      <c r="HR33" s="740">
        <v>0</v>
      </c>
      <c r="HS33" s="741">
        <v>0</v>
      </c>
      <c r="HT33" s="749">
        <f t="shared" si="0"/>
        <v>4</v>
      </c>
      <c r="HU33" s="749">
        <f t="shared" si="0"/>
        <v>4</v>
      </c>
      <c r="HV33" s="749">
        <f t="shared" si="1"/>
        <v>7</v>
      </c>
      <c r="HW33" s="749">
        <f t="shared" si="1"/>
        <v>9</v>
      </c>
      <c r="HX33" s="749">
        <f t="shared" si="2"/>
        <v>11</v>
      </c>
      <c r="HY33" s="749">
        <f t="shared" si="2"/>
        <v>10</v>
      </c>
      <c r="HZ33" s="749">
        <f t="shared" si="2"/>
        <v>12</v>
      </c>
      <c r="IA33" s="749">
        <v>10</v>
      </c>
      <c r="IB33" s="750">
        <v>8</v>
      </c>
      <c r="IC33" s="751">
        <v>0</v>
      </c>
      <c r="ID33" s="751">
        <v>0</v>
      </c>
      <c r="IE33" s="753">
        <v>0</v>
      </c>
      <c r="IF33" s="753">
        <v>0</v>
      </c>
      <c r="IG33" s="753">
        <v>0</v>
      </c>
      <c r="IH33" s="753">
        <v>0</v>
      </c>
      <c r="II33" s="753">
        <v>0</v>
      </c>
      <c r="IJ33" s="753">
        <v>0</v>
      </c>
      <c r="IK33" s="753">
        <v>0</v>
      </c>
      <c r="IL33" s="753">
        <v>0</v>
      </c>
      <c r="IM33" s="753">
        <v>0</v>
      </c>
      <c r="IN33" s="753">
        <v>0</v>
      </c>
      <c r="IO33" s="753">
        <v>0</v>
      </c>
      <c r="IP33" s="753">
        <v>0</v>
      </c>
      <c r="IQ33" s="753">
        <v>0</v>
      </c>
      <c r="IR33" s="753">
        <v>0</v>
      </c>
      <c r="IS33" s="753">
        <v>0</v>
      </c>
      <c r="IT33" s="753">
        <v>0</v>
      </c>
      <c r="IU33" s="753">
        <v>0</v>
      </c>
      <c r="IV33" s="753">
        <v>0</v>
      </c>
      <c r="IW33" s="753">
        <v>0</v>
      </c>
      <c r="IX33" s="753">
        <v>0</v>
      </c>
      <c r="IY33" s="753">
        <v>0</v>
      </c>
      <c r="IZ33" s="753">
        <v>0</v>
      </c>
      <c r="JA33" s="753">
        <v>0</v>
      </c>
      <c r="JB33" s="753">
        <v>0</v>
      </c>
      <c r="JC33" s="753">
        <v>0</v>
      </c>
      <c r="JD33" s="753">
        <v>0</v>
      </c>
      <c r="JE33" s="753">
        <v>0</v>
      </c>
      <c r="JF33" s="753">
        <v>0</v>
      </c>
      <c r="JG33" s="753">
        <v>0</v>
      </c>
      <c r="JH33" s="753">
        <v>0</v>
      </c>
      <c r="JI33" s="753">
        <v>1</v>
      </c>
      <c r="JJ33" s="753">
        <v>0</v>
      </c>
      <c r="JK33" s="753">
        <v>0</v>
      </c>
      <c r="JL33" s="753">
        <v>0</v>
      </c>
      <c r="JM33" s="753">
        <v>0</v>
      </c>
      <c r="JN33" s="753">
        <v>0</v>
      </c>
      <c r="JO33" s="753">
        <v>0</v>
      </c>
      <c r="JP33" s="753">
        <v>0</v>
      </c>
      <c r="JQ33" s="753">
        <v>0</v>
      </c>
      <c r="JR33" s="753">
        <v>0</v>
      </c>
      <c r="JS33" s="753">
        <v>0</v>
      </c>
      <c r="JT33" s="753">
        <v>0</v>
      </c>
      <c r="JU33" s="753">
        <v>0</v>
      </c>
      <c r="JV33" s="753">
        <v>0</v>
      </c>
      <c r="JW33" s="753">
        <v>0</v>
      </c>
      <c r="JX33" s="753">
        <v>0</v>
      </c>
      <c r="JY33" s="753">
        <v>1</v>
      </c>
      <c r="JZ33" s="753">
        <v>1</v>
      </c>
      <c r="KA33" s="752">
        <v>0</v>
      </c>
      <c r="KB33" s="752">
        <v>1</v>
      </c>
      <c r="KC33" s="752">
        <v>0</v>
      </c>
      <c r="KD33" s="752">
        <v>0</v>
      </c>
      <c r="KE33" s="752">
        <v>0</v>
      </c>
      <c r="KF33" s="752">
        <v>0</v>
      </c>
      <c r="KG33" s="752">
        <v>0</v>
      </c>
      <c r="KH33" s="752">
        <v>1</v>
      </c>
      <c r="KI33" s="752">
        <v>1</v>
      </c>
      <c r="KJ33" s="752">
        <v>4</v>
      </c>
      <c r="KK33" s="752">
        <v>5</v>
      </c>
      <c r="KL33" s="752">
        <v>7</v>
      </c>
      <c r="KM33" s="752">
        <v>9</v>
      </c>
      <c r="KN33" s="752">
        <v>11</v>
      </c>
      <c r="KO33" s="752">
        <v>10</v>
      </c>
      <c r="KP33" s="752">
        <v>12</v>
      </c>
      <c r="KQ33" s="752">
        <v>11</v>
      </c>
      <c r="KR33" s="755">
        <v>9</v>
      </c>
      <c r="KS33" s="808"/>
    </row>
    <row r="34" spans="1:307" s="737" customFormat="1" ht="12.75" x14ac:dyDescent="0.2">
      <c r="A34" s="720">
        <v>30</v>
      </c>
      <c r="B34" s="721" t="s">
        <v>173</v>
      </c>
      <c r="C34" s="738">
        <v>10</v>
      </c>
      <c r="D34" s="738">
        <v>10</v>
      </c>
      <c r="E34" s="739">
        <v>10</v>
      </c>
      <c r="F34" s="740">
        <v>10</v>
      </c>
      <c r="G34" s="740">
        <v>10</v>
      </c>
      <c r="H34" s="740">
        <v>10</v>
      </c>
      <c r="I34" s="740">
        <v>10</v>
      </c>
      <c r="J34" s="740">
        <v>9</v>
      </c>
      <c r="K34" s="741">
        <v>8</v>
      </c>
      <c r="L34" s="738">
        <v>11</v>
      </c>
      <c r="M34" s="738">
        <v>11</v>
      </c>
      <c r="N34" s="739">
        <v>11</v>
      </c>
      <c r="O34" s="740">
        <v>11</v>
      </c>
      <c r="P34" s="740">
        <v>11</v>
      </c>
      <c r="Q34" s="740">
        <v>11</v>
      </c>
      <c r="R34" s="740">
        <v>11</v>
      </c>
      <c r="S34" s="740">
        <v>12</v>
      </c>
      <c r="T34" s="741">
        <v>12</v>
      </c>
      <c r="U34" s="738">
        <v>9</v>
      </c>
      <c r="V34" s="738">
        <v>9</v>
      </c>
      <c r="W34" s="739">
        <v>9</v>
      </c>
      <c r="X34" s="740">
        <v>9</v>
      </c>
      <c r="Y34" s="742">
        <v>9</v>
      </c>
      <c r="Z34" s="742">
        <v>9</v>
      </c>
      <c r="AA34" s="742">
        <v>6</v>
      </c>
      <c r="AB34" s="742">
        <v>9</v>
      </c>
      <c r="AC34" s="743">
        <v>9</v>
      </c>
      <c r="AD34" s="738">
        <v>8</v>
      </c>
      <c r="AE34" s="738">
        <v>10</v>
      </c>
      <c r="AF34" s="739">
        <v>8</v>
      </c>
      <c r="AG34" s="740">
        <v>8</v>
      </c>
      <c r="AH34" s="740">
        <v>8</v>
      </c>
      <c r="AI34" s="740">
        <v>8</v>
      </c>
      <c r="AJ34" s="740">
        <v>8</v>
      </c>
      <c r="AK34" s="740">
        <v>8</v>
      </c>
      <c r="AL34" s="741">
        <v>7</v>
      </c>
      <c r="AM34" s="744">
        <v>0</v>
      </c>
      <c r="AN34" s="744">
        <v>0</v>
      </c>
      <c r="AO34" s="744">
        <v>0</v>
      </c>
      <c r="AP34" s="744">
        <v>0</v>
      </c>
      <c r="AQ34" s="745">
        <v>0</v>
      </c>
      <c r="AR34" s="738">
        <v>0</v>
      </c>
      <c r="AS34" s="738">
        <v>0</v>
      </c>
      <c r="AT34" s="739">
        <v>0</v>
      </c>
      <c r="AU34" s="739">
        <v>1</v>
      </c>
      <c r="AV34" s="739">
        <v>1</v>
      </c>
      <c r="AW34" s="739">
        <v>1</v>
      </c>
      <c r="AX34" s="739">
        <v>1</v>
      </c>
      <c r="AY34" s="739">
        <v>1</v>
      </c>
      <c r="AZ34" s="746">
        <v>1</v>
      </c>
      <c r="BA34" s="738">
        <v>1</v>
      </c>
      <c r="BB34" s="738">
        <v>1</v>
      </c>
      <c r="BC34" s="739">
        <v>1</v>
      </c>
      <c r="BD34" s="739">
        <v>1</v>
      </c>
      <c r="BE34" s="739">
        <v>1</v>
      </c>
      <c r="BF34" s="739">
        <v>1</v>
      </c>
      <c r="BG34" s="739">
        <v>1</v>
      </c>
      <c r="BH34" s="739">
        <v>1</v>
      </c>
      <c r="BI34" s="746">
        <v>0</v>
      </c>
      <c r="BJ34" s="738">
        <v>1</v>
      </c>
      <c r="BK34" s="738">
        <v>1</v>
      </c>
      <c r="BL34" s="739">
        <v>1</v>
      </c>
      <c r="BM34" s="747">
        <v>1</v>
      </c>
      <c r="BN34" s="747">
        <v>1</v>
      </c>
      <c r="BO34" s="747">
        <v>1</v>
      </c>
      <c r="BP34" s="747">
        <v>1</v>
      </c>
      <c r="BQ34" s="747">
        <v>1</v>
      </c>
      <c r="BR34" s="748">
        <v>1</v>
      </c>
      <c r="BS34" s="747">
        <v>0</v>
      </c>
      <c r="BT34" s="747">
        <v>0</v>
      </c>
      <c r="BU34" s="747">
        <v>0</v>
      </c>
      <c r="BV34" s="747">
        <v>0</v>
      </c>
      <c r="BW34" s="748">
        <v>0</v>
      </c>
      <c r="BX34" s="738">
        <v>1</v>
      </c>
      <c r="BY34" s="738">
        <v>1</v>
      </c>
      <c r="BZ34" s="739">
        <v>1</v>
      </c>
      <c r="CA34" s="747">
        <v>1</v>
      </c>
      <c r="CB34" s="747">
        <v>1</v>
      </c>
      <c r="CC34" s="747">
        <v>1</v>
      </c>
      <c r="CD34" s="747">
        <v>1</v>
      </c>
      <c r="CE34" s="747">
        <v>1</v>
      </c>
      <c r="CF34" s="748">
        <v>1</v>
      </c>
      <c r="CG34" s="747">
        <v>0</v>
      </c>
      <c r="CH34" s="747">
        <v>0</v>
      </c>
      <c r="CI34" s="747">
        <v>1</v>
      </c>
      <c r="CJ34" s="747">
        <v>1</v>
      </c>
      <c r="CK34" s="748">
        <v>1</v>
      </c>
      <c r="CL34" s="738">
        <v>1</v>
      </c>
      <c r="CM34" s="738">
        <v>1</v>
      </c>
      <c r="CN34" s="739">
        <v>1</v>
      </c>
      <c r="CO34" s="740">
        <v>1</v>
      </c>
      <c r="CP34" s="740">
        <v>1</v>
      </c>
      <c r="CQ34" s="740">
        <v>1</v>
      </c>
      <c r="CR34" s="740">
        <v>1</v>
      </c>
      <c r="CS34" s="740">
        <v>1</v>
      </c>
      <c r="CT34" s="741">
        <v>1</v>
      </c>
      <c r="CU34" s="738">
        <v>1</v>
      </c>
      <c r="CV34" s="738">
        <v>1</v>
      </c>
      <c r="CW34" s="739">
        <v>1</v>
      </c>
      <c r="CX34" s="740">
        <v>1</v>
      </c>
      <c r="CY34" s="740">
        <v>1</v>
      </c>
      <c r="CZ34" s="740">
        <v>1</v>
      </c>
      <c r="DA34" s="740">
        <v>1</v>
      </c>
      <c r="DB34" s="740">
        <v>1</v>
      </c>
      <c r="DC34" s="741">
        <v>1</v>
      </c>
      <c r="DD34" s="759">
        <v>1</v>
      </c>
      <c r="DE34" s="759">
        <v>1</v>
      </c>
      <c r="DF34" s="739">
        <v>1</v>
      </c>
      <c r="DG34" s="740">
        <v>1</v>
      </c>
      <c r="DH34" s="740">
        <v>2</v>
      </c>
      <c r="DI34" s="740">
        <v>2</v>
      </c>
      <c r="DJ34" s="740">
        <v>2</v>
      </c>
      <c r="DK34" s="740">
        <v>2</v>
      </c>
      <c r="DL34" s="741">
        <v>2</v>
      </c>
      <c r="DM34" s="739">
        <v>0</v>
      </c>
      <c r="DN34" s="739">
        <v>1</v>
      </c>
      <c r="DO34" s="739">
        <v>1</v>
      </c>
      <c r="DP34" s="739">
        <v>1</v>
      </c>
      <c r="DQ34" s="739">
        <v>1</v>
      </c>
      <c r="DR34" s="739">
        <v>1</v>
      </c>
      <c r="DS34" s="746">
        <v>1</v>
      </c>
      <c r="DT34" s="760">
        <v>1</v>
      </c>
      <c r="DU34" s="760">
        <v>1</v>
      </c>
      <c r="DV34" s="739">
        <v>1</v>
      </c>
      <c r="DW34" s="740">
        <v>1</v>
      </c>
      <c r="DX34" s="740">
        <v>1</v>
      </c>
      <c r="DY34" s="740">
        <v>1</v>
      </c>
      <c r="DZ34" s="740">
        <v>1</v>
      </c>
      <c r="EA34" s="740">
        <v>1</v>
      </c>
      <c r="EB34" s="741">
        <v>1</v>
      </c>
      <c r="EC34" s="760">
        <v>1</v>
      </c>
      <c r="ED34" s="760">
        <v>1</v>
      </c>
      <c r="EE34" s="739">
        <v>1</v>
      </c>
      <c r="EF34" s="740">
        <v>1</v>
      </c>
      <c r="EG34" s="740">
        <v>1</v>
      </c>
      <c r="EH34" s="740">
        <v>1</v>
      </c>
      <c r="EI34" s="740">
        <v>1</v>
      </c>
      <c r="EJ34" s="740">
        <v>1</v>
      </c>
      <c r="EK34" s="741">
        <v>1</v>
      </c>
      <c r="EL34" s="747">
        <v>0</v>
      </c>
      <c r="EM34" s="747">
        <v>0</v>
      </c>
      <c r="EN34" s="747">
        <v>0</v>
      </c>
      <c r="EO34" s="747">
        <v>0</v>
      </c>
      <c r="EP34" s="747">
        <v>0</v>
      </c>
      <c r="EQ34" s="738">
        <v>0</v>
      </c>
      <c r="ER34" s="738">
        <v>0</v>
      </c>
      <c r="ES34" s="739">
        <v>0</v>
      </c>
      <c r="ET34" s="740">
        <v>0</v>
      </c>
      <c r="EU34" s="740">
        <v>0</v>
      </c>
      <c r="EV34" s="740">
        <v>0</v>
      </c>
      <c r="EW34" s="740">
        <v>0</v>
      </c>
      <c r="EX34" s="740">
        <v>0</v>
      </c>
      <c r="EY34" s="741">
        <v>0</v>
      </c>
      <c r="EZ34" s="738">
        <v>2</v>
      </c>
      <c r="FA34" s="738">
        <v>2</v>
      </c>
      <c r="FB34" s="739">
        <v>2</v>
      </c>
      <c r="FC34" s="740">
        <v>2</v>
      </c>
      <c r="FD34" s="740">
        <v>2</v>
      </c>
      <c r="FE34" s="740">
        <v>2</v>
      </c>
      <c r="FF34" s="740">
        <v>2</v>
      </c>
      <c r="FG34" s="740">
        <v>2</v>
      </c>
      <c r="FH34" s="741">
        <v>2</v>
      </c>
      <c r="FI34" s="738">
        <v>1</v>
      </c>
      <c r="FJ34" s="738">
        <v>1</v>
      </c>
      <c r="FK34" s="739">
        <v>1</v>
      </c>
      <c r="FL34" s="740">
        <v>1</v>
      </c>
      <c r="FM34" s="740">
        <v>1</v>
      </c>
      <c r="FN34" s="740">
        <v>1</v>
      </c>
      <c r="FO34" s="740">
        <v>2</v>
      </c>
      <c r="FP34" s="740">
        <v>2</v>
      </c>
      <c r="FQ34" s="741">
        <v>2</v>
      </c>
      <c r="FR34" s="738">
        <v>1</v>
      </c>
      <c r="FS34" s="738">
        <v>1</v>
      </c>
      <c r="FT34" s="739">
        <v>1</v>
      </c>
      <c r="FU34" s="740">
        <v>1</v>
      </c>
      <c r="FV34" s="740">
        <v>1</v>
      </c>
      <c r="FW34" s="740">
        <v>1</v>
      </c>
      <c r="FX34" s="740">
        <v>1</v>
      </c>
      <c r="FY34" s="740">
        <v>1</v>
      </c>
      <c r="FZ34" s="741">
        <v>1</v>
      </c>
      <c r="GA34" s="738">
        <v>1</v>
      </c>
      <c r="GB34" s="738">
        <v>1</v>
      </c>
      <c r="GC34" s="739">
        <v>1</v>
      </c>
      <c r="GD34" s="740">
        <v>1</v>
      </c>
      <c r="GE34" s="740">
        <v>1</v>
      </c>
      <c r="GF34" s="740">
        <v>1</v>
      </c>
      <c r="GG34" s="740">
        <v>1</v>
      </c>
      <c r="GH34" s="740">
        <v>1</v>
      </c>
      <c r="GI34" s="741">
        <v>1</v>
      </c>
      <c r="GJ34" s="738">
        <v>1</v>
      </c>
      <c r="GK34" s="738">
        <v>1</v>
      </c>
      <c r="GL34" s="739">
        <v>1</v>
      </c>
      <c r="GM34" s="740">
        <v>1</v>
      </c>
      <c r="GN34" s="740">
        <v>1</v>
      </c>
      <c r="GO34" s="740">
        <v>1</v>
      </c>
      <c r="GP34" s="740">
        <v>1</v>
      </c>
      <c r="GQ34" s="740">
        <v>1</v>
      </c>
      <c r="GR34" s="741">
        <v>1</v>
      </c>
      <c r="GS34" s="740">
        <v>1</v>
      </c>
      <c r="GT34" s="740">
        <v>1</v>
      </c>
      <c r="GU34" s="739">
        <v>0</v>
      </c>
      <c r="GV34" s="740">
        <v>2</v>
      </c>
      <c r="GW34" s="740">
        <v>2</v>
      </c>
      <c r="GX34" s="740">
        <v>2</v>
      </c>
      <c r="GY34" s="740">
        <v>2</v>
      </c>
      <c r="GZ34" s="740">
        <v>2</v>
      </c>
      <c r="HA34" s="741">
        <v>2</v>
      </c>
      <c r="HB34" s="738">
        <v>1</v>
      </c>
      <c r="HC34" s="738">
        <v>1</v>
      </c>
      <c r="HD34" s="739">
        <v>1</v>
      </c>
      <c r="HE34" s="740">
        <v>1</v>
      </c>
      <c r="HF34" s="740">
        <v>1</v>
      </c>
      <c r="HG34" s="740">
        <v>1</v>
      </c>
      <c r="HH34" s="740">
        <v>0</v>
      </c>
      <c r="HI34" s="740">
        <v>0</v>
      </c>
      <c r="HJ34" s="741">
        <v>0</v>
      </c>
      <c r="HK34" s="738">
        <v>1</v>
      </c>
      <c r="HL34" s="738">
        <v>1</v>
      </c>
      <c r="HM34" s="739">
        <v>1</v>
      </c>
      <c r="HN34" s="740">
        <v>1</v>
      </c>
      <c r="HO34" s="740">
        <v>1</v>
      </c>
      <c r="HP34" s="740">
        <v>1</v>
      </c>
      <c r="HQ34" s="740">
        <v>1</v>
      </c>
      <c r="HR34" s="740">
        <v>1</v>
      </c>
      <c r="HS34" s="741">
        <v>1</v>
      </c>
      <c r="HT34" s="749">
        <f t="shared" si="0"/>
        <v>55</v>
      </c>
      <c r="HU34" s="749">
        <f t="shared" si="0"/>
        <v>57</v>
      </c>
      <c r="HV34" s="749">
        <f t="shared" si="1"/>
        <v>54</v>
      </c>
      <c r="HW34" s="749">
        <f t="shared" si="1"/>
        <v>58</v>
      </c>
      <c r="HX34" s="749">
        <f t="shared" si="2"/>
        <v>59</v>
      </c>
      <c r="HY34" s="749">
        <f t="shared" si="2"/>
        <v>59</v>
      </c>
      <c r="HZ34" s="749">
        <f t="shared" si="2"/>
        <v>57</v>
      </c>
      <c r="IA34" s="749">
        <v>60</v>
      </c>
      <c r="IB34" s="750">
        <v>57</v>
      </c>
      <c r="IC34" s="751">
        <v>0</v>
      </c>
      <c r="ID34" s="751">
        <v>1</v>
      </c>
      <c r="IE34" s="765">
        <v>1</v>
      </c>
      <c r="IF34" s="765">
        <v>1</v>
      </c>
      <c r="IG34" s="765">
        <v>1</v>
      </c>
      <c r="IH34" s="765">
        <v>1</v>
      </c>
      <c r="II34" s="765">
        <v>1</v>
      </c>
      <c r="IJ34" s="765">
        <v>1</v>
      </c>
      <c r="IK34" s="765">
        <v>1</v>
      </c>
      <c r="IL34" s="765">
        <v>1</v>
      </c>
      <c r="IM34" s="765">
        <v>1</v>
      </c>
      <c r="IN34" s="765">
        <v>1</v>
      </c>
      <c r="IO34" s="765">
        <v>1</v>
      </c>
      <c r="IP34" s="765">
        <v>1</v>
      </c>
      <c r="IQ34" s="765">
        <v>1</v>
      </c>
      <c r="IR34" s="765">
        <v>1</v>
      </c>
      <c r="IS34" s="765">
        <v>2</v>
      </c>
      <c r="IT34" s="765">
        <v>2</v>
      </c>
      <c r="IU34" s="765">
        <v>2</v>
      </c>
      <c r="IV34" s="765">
        <v>2</v>
      </c>
      <c r="IW34" s="765">
        <v>2</v>
      </c>
      <c r="IX34" s="765">
        <v>2</v>
      </c>
      <c r="IY34" s="765">
        <v>0</v>
      </c>
      <c r="IZ34" s="765">
        <v>1</v>
      </c>
      <c r="JA34" s="765">
        <v>0</v>
      </c>
      <c r="JB34" s="765">
        <v>0</v>
      </c>
      <c r="JC34" s="765">
        <v>1</v>
      </c>
      <c r="JD34" s="765">
        <v>1</v>
      </c>
      <c r="JE34" s="765">
        <v>1</v>
      </c>
      <c r="JF34" s="765">
        <v>1</v>
      </c>
      <c r="JG34" s="765">
        <v>1</v>
      </c>
      <c r="JH34" s="765">
        <v>1</v>
      </c>
      <c r="JI34" s="765">
        <v>0</v>
      </c>
      <c r="JJ34" s="765">
        <v>1</v>
      </c>
      <c r="JK34" s="765">
        <v>1</v>
      </c>
      <c r="JL34" s="765">
        <v>1</v>
      </c>
      <c r="JM34" s="765">
        <v>1</v>
      </c>
      <c r="JN34" s="765">
        <v>1</v>
      </c>
      <c r="JO34" s="765">
        <v>1</v>
      </c>
      <c r="JP34" s="765">
        <v>1</v>
      </c>
      <c r="JQ34" s="765">
        <v>0</v>
      </c>
      <c r="JR34" s="765">
        <v>3</v>
      </c>
      <c r="JS34" s="765">
        <v>3</v>
      </c>
      <c r="JT34" s="765">
        <v>3</v>
      </c>
      <c r="JU34" s="765">
        <v>3</v>
      </c>
      <c r="JV34" s="765">
        <v>2</v>
      </c>
      <c r="JW34" s="765">
        <v>3</v>
      </c>
      <c r="JX34" s="765">
        <v>3</v>
      </c>
      <c r="JY34" s="765">
        <v>3</v>
      </c>
      <c r="JZ34" s="765">
        <v>3</v>
      </c>
      <c r="KA34" s="752">
        <v>6</v>
      </c>
      <c r="KB34" s="752">
        <v>7</v>
      </c>
      <c r="KC34" s="752">
        <v>7</v>
      </c>
      <c r="KD34" s="752">
        <v>7</v>
      </c>
      <c r="KE34" s="752">
        <v>8</v>
      </c>
      <c r="KF34" s="752">
        <v>9</v>
      </c>
      <c r="KG34" s="752">
        <v>9</v>
      </c>
      <c r="KH34" s="752">
        <v>7</v>
      </c>
      <c r="KI34" s="752">
        <v>7</v>
      </c>
      <c r="KJ34" s="752">
        <v>61</v>
      </c>
      <c r="KK34" s="752">
        <v>64</v>
      </c>
      <c r="KL34" s="752">
        <v>61</v>
      </c>
      <c r="KM34" s="752">
        <v>65</v>
      </c>
      <c r="KN34" s="752">
        <v>67</v>
      </c>
      <c r="KO34" s="752">
        <v>68</v>
      </c>
      <c r="KP34" s="752">
        <v>66</v>
      </c>
      <c r="KQ34" s="752">
        <v>67</v>
      </c>
      <c r="KR34" s="755">
        <v>64</v>
      </c>
      <c r="KS34" s="808"/>
    </row>
    <row r="35" spans="1:307" s="737" customFormat="1" ht="12.75" x14ac:dyDescent="0.2">
      <c r="A35" s="720">
        <v>31</v>
      </c>
      <c r="B35" s="721" t="s">
        <v>174</v>
      </c>
      <c r="C35" s="738">
        <v>1</v>
      </c>
      <c r="D35" s="738">
        <v>1</v>
      </c>
      <c r="E35" s="739">
        <v>1</v>
      </c>
      <c r="F35" s="740">
        <v>1</v>
      </c>
      <c r="G35" s="740">
        <v>0</v>
      </c>
      <c r="H35" s="740">
        <v>1</v>
      </c>
      <c r="I35" s="740">
        <v>1</v>
      </c>
      <c r="J35" s="740">
        <v>1</v>
      </c>
      <c r="K35" s="741">
        <v>1</v>
      </c>
      <c r="L35" s="738">
        <v>2</v>
      </c>
      <c r="M35" s="738">
        <v>2</v>
      </c>
      <c r="N35" s="739">
        <v>2</v>
      </c>
      <c r="O35" s="740">
        <v>2</v>
      </c>
      <c r="P35" s="740">
        <v>2</v>
      </c>
      <c r="Q35" s="740">
        <v>2</v>
      </c>
      <c r="R35" s="740">
        <v>2</v>
      </c>
      <c r="S35" s="740">
        <v>2</v>
      </c>
      <c r="T35" s="741">
        <v>2</v>
      </c>
      <c r="U35" s="738">
        <v>2</v>
      </c>
      <c r="V35" s="738">
        <v>2</v>
      </c>
      <c r="W35" s="739">
        <v>2</v>
      </c>
      <c r="X35" s="740">
        <v>2</v>
      </c>
      <c r="Y35" s="742">
        <v>2</v>
      </c>
      <c r="Z35" s="742">
        <v>2</v>
      </c>
      <c r="AA35" s="742">
        <v>2</v>
      </c>
      <c r="AB35" s="742">
        <v>2</v>
      </c>
      <c r="AC35" s="743">
        <v>2</v>
      </c>
      <c r="AD35" s="738">
        <v>1</v>
      </c>
      <c r="AE35" s="738">
        <v>1</v>
      </c>
      <c r="AF35" s="739">
        <v>1</v>
      </c>
      <c r="AG35" s="740">
        <v>1</v>
      </c>
      <c r="AH35" s="740">
        <v>1</v>
      </c>
      <c r="AI35" s="740">
        <v>1</v>
      </c>
      <c r="AJ35" s="740">
        <v>1</v>
      </c>
      <c r="AK35" s="740">
        <v>1</v>
      </c>
      <c r="AL35" s="741">
        <v>1</v>
      </c>
      <c r="AM35" s="744">
        <v>0</v>
      </c>
      <c r="AN35" s="744">
        <v>0</v>
      </c>
      <c r="AO35" s="744">
        <v>0</v>
      </c>
      <c r="AP35" s="744">
        <v>0</v>
      </c>
      <c r="AQ35" s="745">
        <v>0</v>
      </c>
      <c r="AR35" s="738">
        <v>0</v>
      </c>
      <c r="AS35" s="738">
        <v>0</v>
      </c>
      <c r="AT35" s="739">
        <v>0</v>
      </c>
      <c r="AU35" s="739">
        <v>0</v>
      </c>
      <c r="AV35" s="739">
        <v>0</v>
      </c>
      <c r="AW35" s="739">
        <v>0</v>
      </c>
      <c r="AX35" s="739">
        <v>0</v>
      </c>
      <c r="AY35" s="739">
        <v>0</v>
      </c>
      <c r="AZ35" s="746">
        <v>0</v>
      </c>
      <c r="BA35" s="738">
        <v>0</v>
      </c>
      <c r="BB35" s="738">
        <v>0</v>
      </c>
      <c r="BC35" s="739">
        <v>0</v>
      </c>
      <c r="BD35" s="739">
        <v>0</v>
      </c>
      <c r="BE35" s="739">
        <v>0</v>
      </c>
      <c r="BF35" s="739">
        <v>0</v>
      </c>
      <c r="BG35" s="739">
        <v>0</v>
      </c>
      <c r="BH35" s="739">
        <v>0</v>
      </c>
      <c r="BI35" s="746">
        <v>0</v>
      </c>
      <c r="BJ35" s="738">
        <v>0</v>
      </c>
      <c r="BK35" s="738">
        <v>0</v>
      </c>
      <c r="BL35" s="739">
        <v>0</v>
      </c>
      <c r="BM35" s="747">
        <v>0</v>
      </c>
      <c r="BN35" s="747">
        <v>0</v>
      </c>
      <c r="BO35" s="747">
        <v>0</v>
      </c>
      <c r="BP35" s="747">
        <v>0</v>
      </c>
      <c r="BQ35" s="747">
        <v>0</v>
      </c>
      <c r="BR35" s="748">
        <v>0</v>
      </c>
      <c r="BS35" s="747">
        <v>0</v>
      </c>
      <c r="BT35" s="747">
        <v>0</v>
      </c>
      <c r="BU35" s="747">
        <v>0</v>
      </c>
      <c r="BV35" s="747">
        <v>0</v>
      </c>
      <c r="BW35" s="748">
        <v>0</v>
      </c>
      <c r="BX35" s="738">
        <v>0</v>
      </c>
      <c r="BY35" s="738">
        <v>0</v>
      </c>
      <c r="BZ35" s="739">
        <v>0</v>
      </c>
      <c r="CA35" s="747">
        <v>0</v>
      </c>
      <c r="CB35" s="747">
        <v>0</v>
      </c>
      <c r="CC35" s="747">
        <v>0</v>
      </c>
      <c r="CD35" s="747">
        <v>0</v>
      </c>
      <c r="CE35" s="747">
        <v>0</v>
      </c>
      <c r="CF35" s="748">
        <v>0</v>
      </c>
      <c r="CG35" s="747">
        <v>0</v>
      </c>
      <c r="CH35" s="747">
        <v>0</v>
      </c>
      <c r="CI35" s="747">
        <v>0</v>
      </c>
      <c r="CJ35" s="747">
        <v>0</v>
      </c>
      <c r="CK35" s="748">
        <v>0</v>
      </c>
      <c r="CL35" s="738">
        <v>0</v>
      </c>
      <c r="CM35" s="738">
        <v>0</v>
      </c>
      <c r="CN35" s="739">
        <v>0</v>
      </c>
      <c r="CO35" s="740">
        <v>0</v>
      </c>
      <c r="CP35" s="740">
        <v>0</v>
      </c>
      <c r="CQ35" s="740">
        <v>0</v>
      </c>
      <c r="CR35" s="740">
        <v>0</v>
      </c>
      <c r="CS35" s="740">
        <v>0</v>
      </c>
      <c r="CT35" s="741">
        <v>0</v>
      </c>
      <c r="CU35" s="738">
        <v>0</v>
      </c>
      <c r="CV35" s="738">
        <v>0</v>
      </c>
      <c r="CW35" s="739">
        <v>0</v>
      </c>
      <c r="CX35" s="740">
        <v>0</v>
      </c>
      <c r="CY35" s="740">
        <v>1</v>
      </c>
      <c r="CZ35" s="740">
        <v>1</v>
      </c>
      <c r="DA35" s="740">
        <v>1</v>
      </c>
      <c r="DB35" s="740">
        <v>1</v>
      </c>
      <c r="DC35" s="741">
        <v>1</v>
      </c>
      <c r="DD35" s="759">
        <v>0</v>
      </c>
      <c r="DE35" s="759">
        <v>0</v>
      </c>
      <c r="DF35" s="739">
        <v>0</v>
      </c>
      <c r="DG35" s="740">
        <v>0</v>
      </c>
      <c r="DH35" s="740">
        <v>0</v>
      </c>
      <c r="DI35" s="740">
        <v>1</v>
      </c>
      <c r="DJ35" s="740">
        <v>1</v>
      </c>
      <c r="DK35" s="740">
        <v>1</v>
      </c>
      <c r="DL35" s="741">
        <v>1</v>
      </c>
      <c r="DM35" s="739">
        <v>0</v>
      </c>
      <c r="DN35" s="739">
        <v>0</v>
      </c>
      <c r="DO35" s="739">
        <v>0</v>
      </c>
      <c r="DP35" s="739">
        <v>0</v>
      </c>
      <c r="DQ35" s="739">
        <v>0</v>
      </c>
      <c r="DR35" s="739">
        <v>0</v>
      </c>
      <c r="DS35" s="746">
        <v>0</v>
      </c>
      <c r="DT35" s="760">
        <v>0</v>
      </c>
      <c r="DU35" s="760">
        <v>0</v>
      </c>
      <c r="DV35" s="739">
        <v>0</v>
      </c>
      <c r="DW35" s="740">
        <v>0</v>
      </c>
      <c r="DX35" s="740">
        <v>0</v>
      </c>
      <c r="DY35" s="740">
        <v>0</v>
      </c>
      <c r="DZ35" s="740">
        <v>0</v>
      </c>
      <c r="EA35" s="740">
        <v>0</v>
      </c>
      <c r="EB35" s="741">
        <v>0</v>
      </c>
      <c r="EC35" s="760">
        <v>0</v>
      </c>
      <c r="ED35" s="760">
        <v>0</v>
      </c>
      <c r="EE35" s="739">
        <v>0</v>
      </c>
      <c r="EF35" s="740">
        <v>0</v>
      </c>
      <c r="EG35" s="740">
        <v>0</v>
      </c>
      <c r="EH35" s="740">
        <v>0</v>
      </c>
      <c r="EI35" s="740">
        <v>0</v>
      </c>
      <c r="EJ35" s="740">
        <v>0</v>
      </c>
      <c r="EK35" s="741">
        <v>0</v>
      </c>
      <c r="EL35" s="747">
        <v>0</v>
      </c>
      <c r="EM35" s="747">
        <v>0</v>
      </c>
      <c r="EN35" s="747">
        <v>0</v>
      </c>
      <c r="EO35" s="747">
        <v>0</v>
      </c>
      <c r="EP35" s="747">
        <v>0</v>
      </c>
      <c r="EQ35" s="738">
        <v>0</v>
      </c>
      <c r="ER35" s="738">
        <v>0</v>
      </c>
      <c r="ES35" s="739">
        <v>0</v>
      </c>
      <c r="ET35" s="740">
        <v>0</v>
      </c>
      <c r="EU35" s="740">
        <v>0</v>
      </c>
      <c r="EV35" s="740">
        <v>0</v>
      </c>
      <c r="EW35" s="740">
        <v>0</v>
      </c>
      <c r="EX35" s="740">
        <v>0</v>
      </c>
      <c r="EY35" s="741">
        <v>0</v>
      </c>
      <c r="EZ35" s="738">
        <v>0</v>
      </c>
      <c r="FA35" s="738">
        <v>0</v>
      </c>
      <c r="FB35" s="739">
        <v>0</v>
      </c>
      <c r="FC35" s="740">
        <v>0</v>
      </c>
      <c r="FD35" s="740">
        <v>0</v>
      </c>
      <c r="FE35" s="740">
        <v>0</v>
      </c>
      <c r="FF35" s="740">
        <v>0</v>
      </c>
      <c r="FG35" s="740">
        <v>0</v>
      </c>
      <c r="FH35" s="741">
        <v>0</v>
      </c>
      <c r="FI35" s="738">
        <v>0</v>
      </c>
      <c r="FJ35" s="738">
        <v>0</v>
      </c>
      <c r="FK35" s="739">
        <v>0</v>
      </c>
      <c r="FL35" s="740">
        <v>0</v>
      </c>
      <c r="FM35" s="740">
        <v>0</v>
      </c>
      <c r="FN35" s="740">
        <v>0</v>
      </c>
      <c r="FO35" s="740">
        <v>0</v>
      </c>
      <c r="FP35" s="740">
        <v>0</v>
      </c>
      <c r="FQ35" s="741">
        <v>0</v>
      </c>
      <c r="FR35" s="738">
        <v>0</v>
      </c>
      <c r="FS35" s="738">
        <v>0</v>
      </c>
      <c r="FT35" s="739">
        <v>0</v>
      </c>
      <c r="FU35" s="740">
        <v>0</v>
      </c>
      <c r="FV35" s="740">
        <v>0</v>
      </c>
      <c r="FW35" s="740">
        <v>0</v>
      </c>
      <c r="FX35" s="740">
        <v>0</v>
      </c>
      <c r="FY35" s="740">
        <v>0</v>
      </c>
      <c r="FZ35" s="741">
        <v>0</v>
      </c>
      <c r="GA35" s="738">
        <v>0</v>
      </c>
      <c r="GB35" s="738">
        <v>0</v>
      </c>
      <c r="GC35" s="739">
        <v>0</v>
      </c>
      <c r="GD35" s="740">
        <v>0</v>
      </c>
      <c r="GE35" s="740">
        <v>0</v>
      </c>
      <c r="GF35" s="740">
        <v>0</v>
      </c>
      <c r="GG35" s="740">
        <v>0</v>
      </c>
      <c r="GH35" s="740">
        <v>0</v>
      </c>
      <c r="GI35" s="741">
        <v>0</v>
      </c>
      <c r="GJ35" s="738">
        <v>0</v>
      </c>
      <c r="GK35" s="738">
        <v>0</v>
      </c>
      <c r="GL35" s="739">
        <v>0</v>
      </c>
      <c r="GM35" s="740">
        <v>0</v>
      </c>
      <c r="GN35" s="740">
        <v>0</v>
      </c>
      <c r="GO35" s="740">
        <v>0</v>
      </c>
      <c r="GP35" s="740">
        <v>0</v>
      </c>
      <c r="GQ35" s="740">
        <v>0</v>
      </c>
      <c r="GR35" s="741">
        <v>0</v>
      </c>
      <c r="GS35" s="740">
        <v>0</v>
      </c>
      <c r="GT35" s="740">
        <v>0</v>
      </c>
      <c r="GU35" s="739">
        <v>0</v>
      </c>
      <c r="GV35" s="740">
        <v>0</v>
      </c>
      <c r="GW35" s="740">
        <v>0</v>
      </c>
      <c r="GX35" s="740">
        <v>0</v>
      </c>
      <c r="GY35" s="740">
        <v>0</v>
      </c>
      <c r="GZ35" s="740">
        <v>0</v>
      </c>
      <c r="HA35" s="741">
        <v>0</v>
      </c>
      <c r="HB35" s="738">
        <v>0</v>
      </c>
      <c r="HC35" s="738">
        <v>0</v>
      </c>
      <c r="HD35" s="739">
        <v>0</v>
      </c>
      <c r="HE35" s="740">
        <v>0</v>
      </c>
      <c r="HF35" s="740">
        <v>0</v>
      </c>
      <c r="HG35" s="740">
        <v>0</v>
      </c>
      <c r="HH35" s="740">
        <v>0</v>
      </c>
      <c r="HI35" s="740">
        <v>0</v>
      </c>
      <c r="HJ35" s="741">
        <v>0</v>
      </c>
      <c r="HK35" s="738">
        <v>0</v>
      </c>
      <c r="HL35" s="738">
        <v>0</v>
      </c>
      <c r="HM35" s="739">
        <v>0</v>
      </c>
      <c r="HN35" s="740">
        <v>0</v>
      </c>
      <c r="HO35" s="740">
        <v>0</v>
      </c>
      <c r="HP35" s="740">
        <v>0</v>
      </c>
      <c r="HQ35" s="740">
        <v>0</v>
      </c>
      <c r="HR35" s="740">
        <v>0</v>
      </c>
      <c r="HS35" s="741">
        <v>0</v>
      </c>
      <c r="HT35" s="749">
        <v>6</v>
      </c>
      <c r="HU35" s="749">
        <v>6</v>
      </c>
      <c r="HV35" s="749">
        <v>6</v>
      </c>
      <c r="HW35" s="749">
        <v>6</v>
      </c>
      <c r="HX35" s="749">
        <v>6</v>
      </c>
      <c r="HY35" s="749">
        <v>8</v>
      </c>
      <c r="HZ35" s="749">
        <v>8</v>
      </c>
      <c r="IA35" s="749">
        <v>8</v>
      </c>
      <c r="IB35" s="750">
        <v>8</v>
      </c>
      <c r="IC35" s="751">
        <v>0</v>
      </c>
      <c r="ID35" s="751">
        <v>0</v>
      </c>
      <c r="IE35" s="765">
        <v>0</v>
      </c>
      <c r="IF35" s="765">
        <v>0</v>
      </c>
      <c r="IG35" s="765">
        <v>0</v>
      </c>
      <c r="IH35" s="765">
        <v>0</v>
      </c>
      <c r="II35" s="765">
        <v>0</v>
      </c>
      <c r="IJ35" s="765">
        <v>0</v>
      </c>
      <c r="IK35" s="765">
        <v>0</v>
      </c>
      <c r="IL35" s="765">
        <v>0</v>
      </c>
      <c r="IM35" s="765">
        <v>0</v>
      </c>
      <c r="IN35" s="765">
        <v>0</v>
      </c>
      <c r="IO35" s="765">
        <v>0</v>
      </c>
      <c r="IP35" s="765">
        <v>0</v>
      </c>
      <c r="IQ35" s="765">
        <v>0</v>
      </c>
      <c r="IR35" s="765">
        <v>0</v>
      </c>
      <c r="IS35" s="765">
        <v>0</v>
      </c>
      <c r="IT35" s="765">
        <v>0</v>
      </c>
      <c r="IU35" s="765">
        <v>0</v>
      </c>
      <c r="IV35" s="765">
        <v>0</v>
      </c>
      <c r="IW35" s="765">
        <v>0</v>
      </c>
      <c r="IX35" s="765">
        <v>0</v>
      </c>
      <c r="IY35" s="765">
        <v>0</v>
      </c>
      <c r="IZ35" s="765">
        <v>0</v>
      </c>
      <c r="JA35" s="765">
        <v>0</v>
      </c>
      <c r="JB35" s="765">
        <v>0</v>
      </c>
      <c r="JC35" s="765">
        <v>0</v>
      </c>
      <c r="JD35" s="765">
        <v>0</v>
      </c>
      <c r="JE35" s="765">
        <v>0</v>
      </c>
      <c r="JF35" s="765">
        <v>0</v>
      </c>
      <c r="JG35" s="765">
        <v>0</v>
      </c>
      <c r="JH35" s="765">
        <v>0</v>
      </c>
      <c r="JI35" s="765">
        <v>6</v>
      </c>
      <c r="JJ35" s="765">
        <v>0</v>
      </c>
      <c r="JK35" s="765">
        <v>0</v>
      </c>
      <c r="JL35" s="765">
        <v>0</v>
      </c>
      <c r="JM35" s="765">
        <v>0</v>
      </c>
      <c r="JN35" s="765">
        <v>0</v>
      </c>
      <c r="JO35" s="765">
        <v>0</v>
      </c>
      <c r="JP35" s="765">
        <v>0</v>
      </c>
      <c r="JQ35" s="765">
        <v>0</v>
      </c>
      <c r="JR35" s="765">
        <v>0</v>
      </c>
      <c r="JS35" s="765">
        <v>0</v>
      </c>
      <c r="JT35" s="765">
        <v>0</v>
      </c>
      <c r="JU35" s="765">
        <v>0</v>
      </c>
      <c r="JV35" s="765">
        <v>0</v>
      </c>
      <c r="JW35" s="765">
        <v>0</v>
      </c>
      <c r="JX35" s="765">
        <v>0</v>
      </c>
      <c r="JY35" s="765">
        <v>0</v>
      </c>
      <c r="JZ35" s="765">
        <v>0</v>
      </c>
      <c r="KA35" s="752">
        <v>0</v>
      </c>
      <c r="KB35" s="752">
        <v>6</v>
      </c>
      <c r="KC35" s="752">
        <v>0</v>
      </c>
      <c r="KD35" s="752">
        <v>0</v>
      </c>
      <c r="KE35" s="752">
        <v>0</v>
      </c>
      <c r="KF35" s="752">
        <v>0</v>
      </c>
      <c r="KG35" s="752">
        <v>0</v>
      </c>
      <c r="KH35" s="752">
        <v>0</v>
      </c>
      <c r="KI35" s="752">
        <v>0</v>
      </c>
      <c r="KJ35" s="752">
        <v>6</v>
      </c>
      <c r="KK35" s="752">
        <v>12</v>
      </c>
      <c r="KL35" s="752">
        <v>6</v>
      </c>
      <c r="KM35" s="752">
        <v>6</v>
      </c>
      <c r="KN35" s="752">
        <v>6</v>
      </c>
      <c r="KO35" s="752">
        <v>8</v>
      </c>
      <c r="KP35" s="752">
        <v>8</v>
      </c>
      <c r="KQ35" s="752">
        <v>8</v>
      </c>
      <c r="KR35" s="755">
        <v>8</v>
      </c>
      <c r="KS35" s="808"/>
    </row>
    <row r="36" spans="1:307" s="737" customFormat="1" ht="12.75" x14ac:dyDescent="0.2">
      <c r="A36" s="720">
        <v>32</v>
      </c>
      <c r="B36" s="721" t="s">
        <v>175</v>
      </c>
      <c r="C36" s="738">
        <v>67</v>
      </c>
      <c r="D36" s="738">
        <v>67</v>
      </c>
      <c r="E36" s="739">
        <v>67</v>
      </c>
      <c r="F36" s="740">
        <v>67</v>
      </c>
      <c r="G36" s="740">
        <v>68</v>
      </c>
      <c r="H36" s="740">
        <v>67</v>
      </c>
      <c r="I36" s="740">
        <v>67</v>
      </c>
      <c r="J36" s="740">
        <v>61</v>
      </c>
      <c r="K36" s="741">
        <v>58</v>
      </c>
      <c r="L36" s="738">
        <v>52</v>
      </c>
      <c r="M36" s="738">
        <v>53</v>
      </c>
      <c r="N36" s="739">
        <v>55</v>
      </c>
      <c r="O36" s="740">
        <v>63</v>
      </c>
      <c r="P36" s="740">
        <v>67</v>
      </c>
      <c r="Q36" s="740">
        <v>68</v>
      </c>
      <c r="R36" s="740">
        <v>63</v>
      </c>
      <c r="S36" s="740">
        <v>63</v>
      </c>
      <c r="T36" s="741">
        <v>63</v>
      </c>
      <c r="U36" s="738">
        <v>54</v>
      </c>
      <c r="V36" s="738">
        <v>54</v>
      </c>
      <c r="W36" s="739">
        <v>55</v>
      </c>
      <c r="X36" s="740">
        <v>56</v>
      </c>
      <c r="Y36" s="742">
        <v>56</v>
      </c>
      <c r="Z36" s="742">
        <v>56</v>
      </c>
      <c r="AA36" s="742">
        <v>56</v>
      </c>
      <c r="AB36" s="742">
        <v>55</v>
      </c>
      <c r="AC36" s="743">
        <v>55</v>
      </c>
      <c r="AD36" s="738">
        <v>65</v>
      </c>
      <c r="AE36" s="738">
        <v>68</v>
      </c>
      <c r="AF36" s="739">
        <v>71</v>
      </c>
      <c r="AG36" s="740">
        <v>70</v>
      </c>
      <c r="AH36" s="740">
        <v>70</v>
      </c>
      <c r="AI36" s="740">
        <v>70</v>
      </c>
      <c r="AJ36" s="740">
        <v>70</v>
      </c>
      <c r="AK36" s="740">
        <v>70</v>
      </c>
      <c r="AL36" s="741">
        <v>57</v>
      </c>
      <c r="AM36" s="744">
        <v>0</v>
      </c>
      <c r="AN36" s="744">
        <v>0</v>
      </c>
      <c r="AO36" s="744">
        <v>0</v>
      </c>
      <c r="AP36" s="744">
        <v>0</v>
      </c>
      <c r="AQ36" s="745">
        <v>0</v>
      </c>
      <c r="AR36" s="738">
        <v>4</v>
      </c>
      <c r="AS36" s="738">
        <v>7</v>
      </c>
      <c r="AT36" s="739">
        <v>8</v>
      </c>
      <c r="AU36" s="739">
        <v>8</v>
      </c>
      <c r="AV36" s="739">
        <v>8</v>
      </c>
      <c r="AW36" s="739">
        <v>8</v>
      </c>
      <c r="AX36" s="739">
        <v>4</v>
      </c>
      <c r="AY36" s="739">
        <v>3</v>
      </c>
      <c r="AZ36" s="746">
        <v>3</v>
      </c>
      <c r="BA36" s="738">
        <v>2</v>
      </c>
      <c r="BB36" s="738">
        <v>2</v>
      </c>
      <c r="BC36" s="739">
        <v>2</v>
      </c>
      <c r="BD36" s="739">
        <v>2</v>
      </c>
      <c r="BE36" s="739">
        <v>5</v>
      </c>
      <c r="BF36" s="739">
        <v>5</v>
      </c>
      <c r="BG36" s="739">
        <v>5</v>
      </c>
      <c r="BH36" s="739">
        <v>5</v>
      </c>
      <c r="BI36" s="746">
        <v>0</v>
      </c>
      <c r="BJ36" s="738">
        <v>1</v>
      </c>
      <c r="BK36" s="738">
        <v>1</v>
      </c>
      <c r="BL36" s="739">
        <v>2</v>
      </c>
      <c r="BM36" s="747">
        <v>2</v>
      </c>
      <c r="BN36" s="747">
        <v>2</v>
      </c>
      <c r="BO36" s="747">
        <v>2</v>
      </c>
      <c r="BP36" s="747">
        <v>1</v>
      </c>
      <c r="BQ36" s="747">
        <v>1</v>
      </c>
      <c r="BR36" s="748">
        <v>1</v>
      </c>
      <c r="BS36" s="747">
        <v>1</v>
      </c>
      <c r="BT36" s="747">
        <v>1</v>
      </c>
      <c r="BU36" s="747">
        <v>1</v>
      </c>
      <c r="BV36" s="747">
        <v>1</v>
      </c>
      <c r="BW36" s="748">
        <v>1</v>
      </c>
      <c r="BX36" s="738">
        <v>2</v>
      </c>
      <c r="BY36" s="738">
        <v>2</v>
      </c>
      <c r="BZ36" s="739">
        <v>2</v>
      </c>
      <c r="CA36" s="747">
        <v>2</v>
      </c>
      <c r="CB36" s="747">
        <v>2</v>
      </c>
      <c r="CC36" s="747">
        <v>2</v>
      </c>
      <c r="CD36" s="747">
        <v>2</v>
      </c>
      <c r="CE36" s="747">
        <v>2</v>
      </c>
      <c r="CF36" s="748">
        <v>2</v>
      </c>
      <c r="CG36" s="747">
        <v>1</v>
      </c>
      <c r="CH36" s="747">
        <v>1</v>
      </c>
      <c r="CI36" s="747">
        <v>1</v>
      </c>
      <c r="CJ36" s="747">
        <v>2</v>
      </c>
      <c r="CK36" s="748">
        <v>2</v>
      </c>
      <c r="CL36" s="738">
        <v>5</v>
      </c>
      <c r="CM36" s="738">
        <v>5</v>
      </c>
      <c r="CN36" s="739">
        <v>5</v>
      </c>
      <c r="CO36" s="740">
        <v>5</v>
      </c>
      <c r="CP36" s="740">
        <v>5</v>
      </c>
      <c r="CQ36" s="740">
        <v>5</v>
      </c>
      <c r="CR36" s="740">
        <v>3</v>
      </c>
      <c r="CS36" s="740">
        <v>5</v>
      </c>
      <c r="CT36" s="741">
        <v>5</v>
      </c>
      <c r="CU36" s="738">
        <v>7</v>
      </c>
      <c r="CV36" s="738">
        <v>7</v>
      </c>
      <c r="CW36" s="739">
        <v>7</v>
      </c>
      <c r="CX36" s="740">
        <v>6</v>
      </c>
      <c r="CY36" s="740">
        <v>6</v>
      </c>
      <c r="CZ36" s="740">
        <v>6</v>
      </c>
      <c r="DA36" s="740">
        <v>6</v>
      </c>
      <c r="DB36" s="740">
        <v>6</v>
      </c>
      <c r="DC36" s="741">
        <v>7</v>
      </c>
      <c r="DD36" s="759">
        <v>10</v>
      </c>
      <c r="DE36" s="759">
        <v>10</v>
      </c>
      <c r="DF36" s="739">
        <v>10</v>
      </c>
      <c r="DG36" s="740">
        <v>10</v>
      </c>
      <c r="DH36" s="740">
        <v>10</v>
      </c>
      <c r="DI36" s="740">
        <v>12</v>
      </c>
      <c r="DJ36" s="740">
        <v>11</v>
      </c>
      <c r="DK36" s="740">
        <v>11</v>
      </c>
      <c r="DL36" s="741">
        <v>11</v>
      </c>
      <c r="DM36" s="739">
        <v>1</v>
      </c>
      <c r="DN36" s="739">
        <v>1</v>
      </c>
      <c r="DO36" s="739">
        <v>1</v>
      </c>
      <c r="DP36" s="739">
        <v>1</v>
      </c>
      <c r="DQ36" s="739">
        <v>1</v>
      </c>
      <c r="DR36" s="739">
        <v>1</v>
      </c>
      <c r="DS36" s="746">
        <v>1</v>
      </c>
      <c r="DT36" s="760">
        <v>2</v>
      </c>
      <c r="DU36" s="760">
        <v>2</v>
      </c>
      <c r="DV36" s="739">
        <v>2</v>
      </c>
      <c r="DW36" s="740">
        <v>2</v>
      </c>
      <c r="DX36" s="740">
        <v>2</v>
      </c>
      <c r="DY36" s="740">
        <v>2</v>
      </c>
      <c r="DZ36" s="740">
        <v>2</v>
      </c>
      <c r="EA36" s="740">
        <v>2</v>
      </c>
      <c r="EB36" s="741">
        <v>2</v>
      </c>
      <c r="EC36" s="760">
        <v>3</v>
      </c>
      <c r="ED36" s="760">
        <v>3</v>
      </c>
      <c r="EE36" s="739">
        <v>3</v>
      </c>
      <c r="EF36" s="740">
        <v>3</v>
      </c>
      <c r="EG36" s="740">
        <v>3</v>
      </c>
      <c r="EH36" s="740">
        <v>3</v>
      </c>
      <c r="EI36" s="740">
        <v>2</v>
      </c>
      <c r="EJ36" s="740">
        <v>2</v>
      </c>
      <c r="EK36" s="741">
        <v>2</v>
      </c>
      <c r="EL36" s="747">
        <v>0</v>
      </c>
      <c r="EM36" s="747">
        <v>1</v>
      </c>
      <c r="EN36" s="747">
        <v>1</v>
      </c>
      <c r="EO36" s="747">
        <v>1</v>
      </c>
      <c r="EP36" s="747">
        <v>1</v>
      </c>
      <c r="EQ36" s="738">
        <v>1</v>
      </c>
      <c r="ER36" s="738">
        <v>1</v>
      </c>
      <c r="ES36" s="739">
        <v>1</v>
      </c>
      <c r="ET36" s="740">
        <v>1</v>
      </c>
      <c r="EU36" s="740">
        <v>1</v>
      </c>
      <c r="EV36" s="740">
        <v>1</v>
      </c>
      <c r="EW36" s="740">
        <v>0</v>
      </c>
      <c r="EX36" s="740">
        <v>0</v>
      </c>
      <c r="EY36" s="741">
        <v>1</v>
      </c>
      <c r="EZ36" s="738">
        <v>5</v>
      </c>
      <c r="FA36" s="738">
        <v>5</v>
      </c>
      <c r="FB36" s="739">
        <v>5</v>
      </c>
      <c r="FC36" s="740">
        <v>5</v>
      </c>
      <c r="FD36" s="740">
        <v>5</v>
      </c>
      <c r="FE36" s="740">
        <v>5</v>
      </c>
      <c r="FF36" s="740">
        <v>5</v>
      </c>
      <c r="FG36" s="740">
        <v>5</v>
      </c>
      <c r="FH36" s="741">
        <v>4</v>
      </c>
      <c r="FI36" s="738">
        <v>2</v>
      </c>
      <c r="FJ36" s="738">
        <v>2</v>
      </c>
      <c r="FK36" s="739">
        <v>3</v>
      </c>
      <c r="FL36" s="740">
        <v>3</v>
      </c>
      <c r="FM36" s="740">
        <v>2</v>
      </c>
      <c r="FN36" s="740">
        <v>3</v>
      </c>
      <c r="FO36" s="740">
        <v>3</v>
      </c>
      <c r="FP36" s="740">
        <v>3</v>
      </c>
      <c r="FQ36" s="741">
        <v>3</v>
      </c>
      <c r="FR36" s="738">
        <v>1</v>
      </c>
      <c r="FS36" s="738">
        <v>2</v>
      </c>
      <c r="FT36" s="739">
        <v>2</v>
      </c>
      <c r="FU36" s="740">
        <v>2</v>
      </c>
      <c r="FV36" s="740">
        <v>2</v>
      </c>
      <c r="FW36" s="740">
        <v>2</v>
      </c>
      <c r="FX36" s="740">
        <v>3</v>
      </c>
      <c r="FY36" s="740">
        <v>5</v>
      </c>
      <c r="FZ36" s="741">
        <v>4</v>
      </c>
      <c r="GA36" s="738">
        <v>5</v>
      </c>
      <c r="GB36" s="738">
        <v>5</v>
      </c>
      <c r="GC36" s="739">
        <v>5</v>
      </c>
      <c r="GD36" s="740">
        <v>5</v>
      </c>
      <c r="GE36" s="740">
        <v>5</v>
      </c>
      <c r="GF36" s="740">
        <v>5</v>
      </c>
      <c r="GG36" s="740">
        <v>5</v>
      </c>
      <c r="GH36" s="740">
        <v>5</v>
      </c>
      <c r="GI36" s="741">
        <v>5</v>
      </c>
      <c r="GJ36" s="738">
        <v>4</v>
      </c>
      <c r="GK36" s="738">
        <v>5</v>
      </c>
      <c r="GL36" s="739">
        <v>5</v>
      </c>
      <c r="GM36" s="740">
        <v>5</v>
      </c>
      <c r="GN36" s="740">
        <v>5</v>
      </c>
      <c r="GO36" s="740">
        <v>5</v>
      </c>
      <c r="GP36" s="740">
        <v>5</v>
      </c>
      <c r="GQ36" s="740">
        <v>4</v>
      </c>
      <c r="GR36" s="741">
        <v>4</v>
      </c>
      <c r="GS36" s="740">
        <v>2</v>
      </c>
      <c r="GT36" s="740">
        <v>2</v>
      </c>
      <c r="GU36" s="739">
        <v>3</v>
      </c>
      <c r="GV36" s="740">
        <v>3</v>
      </c>
      <c r="GW36" s="740">
        <v>3</v>
      </c>
      <c r="GX36" s="740">
        <v>3</v>
      </c>
      <c r="GY36" s="740">
        <v>3</v>
      </c>
      <c r="GZ36" s="740">
        <v>3</v>
      </c>
      <c r="HA36" s="741">
        <v>3</v>
      </c>
      <c r="HB36" s="738">
        <v>1</v>
      </c>
      <c r="HC36" s="738">
        <v>1</v>
      </c>
      <c r="HD36" s="739">
        <v>1</v>
      </c>
      <c r="HE36" s="740">
        <v>1</v>
      </c>
      <c r="HF36" s="740">
        <v>1</v>
      </c>
      <c r="HG36" s="740">
        <v>1</v>
      </c>
      <c r="HH36" s="740">
        <v>1</v>
      </c>
      <c r="HI36" s="740">
        <v>1</v>
      </c>
      <c r="HJ36" s="741">
        <v>2</v>
      </c>
      <c r="HK36" s="738">
        <v>5</v>
      </c>
      <c r="HL36" s="738">
        <v>5</v>
      </c>
      <c r="HM36" s="739">
        <v>5</v>
      </c>
      <c r="HN36" s="740">
        <v>5</v>
      </c>
      <c r="HO36" s="740">
        <v>5</v>
      </c>
      <c r="HP36" s="740">
        <v>5</v>
      </c>
      <c r="HQ36" s="740">
        <v>5</v>
      </c>
      <c r="HR36" s="740">
        <v>5</v>
      </c>
      <c r="HS36" s="741">
        <v>3</v>
      </c>
      <c r="HT36" s="749">
        <f t="shared" ref="HT36:HU41" si="3">AR36+BA36+BJ36+BX36+CL36+CU36+DD36+DT36+EC36+EQ36+EZ36+FI36+FR36+GA36+GJ36+GS36+C36+L36+U36+AD36+HB36+HK36</f>
        <v>300</v>
      </c>
      <c r="HU36" s="749">
        <f t="shared" si="3"/>
        <v>309</v>
      </c>
      <c r="HV36" s="749">
        <f t="shared" ref="HV36:HW41" si="4">AT36+BC36+BL36+BZ36+CN36+CW36+DF36+DV36+EE36+ES36+FB36+FK36+FT36+GC36+GL36+GU36+E36+N36+W36+AF36+HD36+HM36+DM36</f>
        <v>320</v>
      </c>
      <c r="HW36" s="749">
        <f t="shared" si="4"/>
        <v>327</v>
      </c>
      <c r="HX36" s="749">
        <f t="shared" ref="HX36:HZ41" si="5">AV36+BE36+BN36+CB36+CP36+CY36+DH36+DX36+EG36+EU36+FD36+FM36+FV36+GE36+GN36+GW36+G36+P36+Y36+AH36+HF36+HO36+DO36+AM36+BS36+CG36+EL36</f>
        <v>336</v>
      </c>
      <c r="HY36" s="749">
        <f t="shared" si="5"/>
        <v>340</v>
      </c>
      <c r="HZ36" s="749">
        <f t="shared" si="5"/>
        <v>326</v>
      </c>
      <c r="IA36" s="749">
        <v>322</v>
      </c>
      <c r="IB36" s="750">
        <v>300</v>
      </c>
      <c r="IC36" s="751">
        <v>2</v>
      </c>
      <c r="ID36" s="751">
        <v>5</v>
      </c>
      <c r="IE36" s="765">
        <v>5</v>
      </c>
      <c r="IF36" s="765">
        <v>5</v>
      </c>
      <c r="IG36" s="765">
        <v>5</v>
      </c>
      <c r="IH36" s="765">
        <v>5</v>
      </c>
      <c r="II36" s="765">
        <v>4</v>
      </c>
      <c r="IJ36" s="765">
        <v>5</v>
      </c>
      <c r="IK36" s="765">
        <v>7</v>
      </c>
      <c r="IL36" s="765">
        <v>7</v>
      </c>
      <c r="IM36" s="765">
        <v>7</v>
      </c>
      <c r="IN36" s="765">
        <v>9</v>
      </c>
      <c r="IO36" s="765">
        <v>9</v>
      </c>
      <c r="IP36" s="765">
        <v>9</v>
      </c>
      <c r="IQ36" s="765">
        <v>11</v>
      </c>
      <c r="IR36" s="765">
        <v>6</v>
      </c>
      <c r="IS36" s="765">
        <v>6</v>
      </c>
      <c r="IT36" s="765">
        <v>6</v>
      </c>
      <c r="IU36" s="765">
        <v>6</v>
      </c>
      <c r="IV36" s="765">
        <v>6</v>
      </c>
      <c r="IW36" s="765">
        <v>7</v>
      </c>
      <c r="IX36" s="765">
        <v>7</v>
      </c>
      <c r="IY36" s="765">
        <v>1</v>
      </c>
      <c r="IZ36" s="765">
        <v>1</v>
      </c>
      <c r="JA36" s="765">
        <v>1</v>
      </c>
      <c r="JB36" s="765">
        <v>1</v>
      </c>
      <c r="JC36" s="765">
        <v>1</v>
      </c>
      <c r="JD36" s="765">
        <v>1</v>
      </c>
      <c r="JE36" s="765">
        <v>2</v>
      </c>
      <c r="JF36" s="765">
        <v>2</v>
      </c>
      <c r="JG36" s="765">
        <v>3</v>
      </c>
      <c r="JH36" s="765">
        <v>6</v>
      </c>
      <c r="JI36" s="765">
        <v>0</v>
      </c>
      <c r="JJ36" s="765">
        <v>6</v>
      </c>
      <c r="JK36" s="765">
        <v>6</v>
      </c>
      <c r="JL36" s="765">
        <v>6</v>
      </c>
      <c r="JM36" s="765">
        <v>6</v>
      </c>
      <c r="JN36" s="765">
        <v>6</v>
      </c>
      <c r="JO36" s="765">
        <v>4</v>
      </c>
      <c r="JP36" s="765">
        <v>4</v>
      </c>
      <c r="JQ36" s="765">
        <v>0</v>
      </c>
      <c r="JR36" s="765">
        <v>9</v>
      </c>
      <c r="JS36" s="765">
        <v>9</v>
      </c>
      <c r="JT36" s="765">
        <v>10</v>
      </c>
      <c r="JU36" s="765">
        <v>11</v>
      </c>
      <c r="JV36" s="765">
        <v>12</v>
      </c>
      <c r="JW36" s="765">
        <v>12</v>
      </c>
      <c r="JX36" s="765">
        <v>16</v>
      </c>
      <c r="JY36" s="765">
        <v>19</v>
      </c>
      <c r="JZ36" s="765">
        <v>23</v>
      </c>
      <c r="KA36" s="752">
        <v>26</v>
      </c>
      <c r="KB36" s="752">
        <v>21</v>
      </c>
      <c r="KC36" s="752">
        <v>30</v>
      </c>
      <c r="KD36" s="752">
        <v>33</v>
      </c>
      <c r="KE36" s="752">
        <v>37</v>
      </c>
      <c r="KF36" s="752">
        <v>40</v>
      </c>
      <c r="KG36" s="752">
        <v>45</v>
      </c>
      <c r="KH36" s="752">
        <v>39</v>
      </c>
      <c r="KI36" s="752">
        <v>46</v>
      </c>
      <c r="KJ36" s="752">
        <v>326</v>
      </c>
      <c r="KK36" s="752">
        <v>330</v>
      </c>
      <c r="KL36" s="752">
        <v>350</v>
      </c>
      <c r="KM36" s="752">
        <v>360</v>
      </c>
      <c r="KN36" s="752">
        <v>373</v>
      </c>
      <c r="KO36" s="752">
        <v>380</v>
      </c>
      <c r="KP36" s="752">
        <v>371</v>
      </c>
      <c r="KQ36" s="752">
        <v>361</v>
      </c>
      <c r="KR36" s="755">
        <v>346</v>
      </c>
      <c r="KS36" s="808"/>
    </row>
    <row r="37" spans="1:307" s="737" customFormat="1" ht="12.75" x14ac:dyDescent="0.2">
      <c r="A37" s="720">
        <v>33</v>
      </c>
      <c r="B37" s="721" t="s">
        <v>176</v>
      </c>
      <c r="C37" s="738">
        <v>23</v>
      </c>
      <c r="D37" s="738">
        <v>23</v>
      </c>
      <c r="E37" s="739">
        <v>23</v>
      </c>
      <c r="F37" s="740">
        <v>23</v>
      </c>
      <c r="G37" s="740">
        <v>20</v>
      </c>
      <c r="H37" s="740">
        <v>22</v>
      </c>
      <c r="I37" s="740">
        <v>22</v>
      </c>
      <c r="J37" s="740">
        <v>17</v>
      </c>
      <c r="K37" s="741">
        <v>17</v>
      </c>
      <c r="L37" s="738">
        <v>18</v>
      </c>
      <c r="M37" s="738">
        <v>19</v>
      </c>
      <c r="N37" s="739">
        <v>22</v>
      </c>
      <c r="O37" s="740">
        <v>23</v>
      </c>
      <c r="P37" s="740">
        <v>23</v>
      </c>
      <c r="Q37" s="740">
        <v>23</v>
      </c>
      <c r="R37" s="740">
        <v>22</v>
      </c>
      <c r="S37" s="740">
        <v>21</v>
      </c>
      <c r="T37" s="741">
        <v>21</v>
      </c>
      <c r="U37" s="738">
        <v>22</v>
      </c>
      <c r="V37" s="738">
        <v>22</v>
      </c>
      <c r="W37" s="739">
        <v>23</v>
      </c>
      <c r="X37" s="740">
        <v>24</v>
      </c>
      <c r="Y37" s="742">
        <v>24</v>
      </c>
      <c r="Z37" s="742">
        <v>24</v>
      </c>
      <c r="AA37" s="742">
        <v>24</v>
      </c>
      <c r="AB37" s="742">
        <v>22</v>
      </c>
      <c r="AC37" s="743">
        <v>20</v>
      </c>
      <c r="AD37" s="738">
        <v>20</v>
      </c>
      <c r="AE37" s="738">
        <v>20</v>
      </c>
      <c r="AF37" s="739">
        <v>22</v>
      </c>
      <c r="AG37" s="740">
        <v>22</v>
      </c>
      <c r="AH37" s="740">
        <v>22</v>
      </c>
      <c r="AI37" s="740">
        <v>18</v>
      </c>
      <c r="AJ37" s="740">
        <v>18</v>
      </c>
      <c r="AK37" s="740">
        <v>18</v>
      </c>
      <c r="AL37" s="741">
        <v>18</v>
      </c>
      <c r="AM37" s="744">
        <v>0</v>
      </c>
      <c r="AN37" s="744">
        <v>0</v>
      </c>
      <c r="AO37" s="744">
        <v>0</v>
      </c>
      <c r="AP37" s="744">
        <v>0</v>
      </c>
      <c r="AQ37" s="745">
        <v>0</v>
      </c>
      <c r="AR37" s="738">
        <v>2</v>
      </c>
      <c r="AS37" s="738">
        <v>2</v>
      </c>
      <c r="AT37" s="739">
        <v>2</v>
      </c>
      <c r="AU37" s="739">
        <v>2</v>
      </c>
      <c r="AV37" s="739">
        <v>3</v>
      </c>
      <c r="AW37" s="739">
        <v>3</v>
      </c>
      <c r="AX37" s="739">
        <v>3</v>
      </c>
      <c r="AY37" s="739">
        <v>3</v>
      </c>
      <c r="AZ37" s="746">
        <v>3</v>
      </c>
      <c r="BA37" s="738">
        <v>1</v>
      </c>
      <c r="BB37" s="738">
        <v>1</v>
      </c>
      <c r="BC37" s="739">
        <v>1</v>
      </c>
      <c r="BD37" s="739">
        <v>1</v>
      </c>
      <c r="BE37" s="739">
        <v>1</v>
      </c>
      <c r="BF37" s="739">
        <v>1</v>
      </c>
      <c r="BG37" s="739">
        <v>2</v>
      </c>
      <c r="BH37" s="739">
        <v>1</v>
      </c>
      <c r="BI37" s="746">
        <v>0</v>
      </c>
      <c r="BJ37" s="738">
        <v>0</v>
      </c>
      <c r="BK37" s="738">
        <v>0</v>
      </c>
      <c r="BL37" s="739">
        <v>0</v>
      </c>
      <c r="BM37" s="747">
        <v>0</v>
      </c>
      <c r="BN37" s="747">
        <v>0</v>
      </c>
      <c r="BO37" s="747">
        <v>0</v>
      </c>
      <c r="BP37" s="747">
        <v>0</v>
      </c>
      <c r="BQ37" s="747">
        <v>1</v>
      </c>
      <c r="BR37" s="748">
        <v>1</v>
      </c>
      <c r="BS37" s="747">
        <v>0</v>
      </c>
      <c r="BT37" s="747">
        <v>0</v>
      </c>
      <c r="BU37" s="747">
        <v>0</v>
      </c>
      <c r="BV37" s="747">
        <v>0</v>
      </c>
      <c r="BW37" s="748">
        <v>0</v>
      </c>
      <c r="BX37" s="738">
        <v>1</v>
      </c>
      <c r="BY37" s="738">
        <v>1</v>
      </c>
      <c r="BZ37" s="739">
        <v>1</v>
      </c>
      <c r="CA37" s="747">
        <v>0</v>
      </c>
      <c r="CB37" s="747">
        <v>1</v>
      </c>
      <c r="CC37" s="747">
        <v>1</v>
      </c>
      <c r="CD37" s="747">
        <v>1</v>
      </c>
      <c r="CE37" s="747">
        <v>1</v>
      </c>
      <c r="CF37" s="748">
        <v>1</v>
      </c>
      <c r="CG37" s="747">
        <v>1</v>
      </c>
      <c r="CH37" s="747">
        <v>1</v>
      </c>
      <c r="CI37" s="747">
        <v>2</v>
      </c>
      <c r="CJ37" s="747">
        <v>2</v>
      </c>
      <c r="CK37" s="748">
        <v>2</v>
      </c>
      <c r="CL37" s="738">
        <v>1</v>
      </c>
      <c r="CM37" s="738">
        <v>2</v>
      </c>
      <c r="CN37" s="739">
        <v>2</v>
      </c>
      <c r="CO37" s="740">
        <v>2</v>
      </c>
      <c r="CP37" s="740">
        <v>2</v>
      </c>
      <c r="CQ37" s="740">
        <v>2</v>
      </c>
      <c r="CR37" s="740">
        <v>2</v>
      </c>
      <c r="CS37" s="740">
        <v>2</v>
      </c>
      <c r="CT37" s="741">
        <v>2</v>
      </c>
      <c r="CU37" s="738">
        <v>2</v>
      </c>
      <c r="CV37" s="738">
        <v>2</v>
      </c>
      <c r="CW37" s="739">
        <v>2</v>
      </c>
      <c r="CX37" s="740">
        <v>2</v>
      </c>
      <c r="CY37" s="740">
        <v>3</v>
      </c>
      <c r="CZ37" s="740">
        <v>3</v>
      </c>
      <c r="DA37" s="740">
        <v>3</v>
      </c>
      <c r="DB37" s="740">
        <v>3</v>
      </c>
      <c r="DC37" s="741">
        <v>3</v>
      </c>
      <c r="DD37" s="738">
        <v>1</v>
      </c>
      <c r="DE37" s="738">
        <v>1</v>
      </c>
      <c r="DF37" s="739">
        <v>1</v>
      </c>
      <c r="DG37" s="740">
        <v>1</v>
      </c>
      <c r="DH37" s="740">
        <v>1</v>
      </c>
      <c r="DI37" s="740">
        <v>2</v>
      </c>
      <c r="DJ37" s="740">
        <v>4</v>
      </c>
      <c r="DK37" s="740">
        <v>4</v>
      </c>
      <c r="DL37" s="741">
        <v>4</v>
      </c>
      <c r="DM37" s="739">
        <v>0</v>
      </c>
      <c r="DN37" s="739">
        <v>0</v>
      </c>
      <c r="DO37" s="739">
        <v>0</v>
      </c>
      <c r="DP37" s="739">
        <v>0</v>
      </c>
      <c r="DQ37" s="739">
        <v>0</v>
      </c>
      <c r="DR37" s="739">
        <v>0</v>
      </c>
      <c r="DS37" s="746">
        <v>0</v>
      </c>
      <c r="DT37" s="740">
        <v>0</v>
      </c>
      <c r="DU37" s="740">
        <v>0</v>
      </c>
      <c r="DV37" s="739">
        <v>0</v>
      </c>
      <c r="DW37" s="740">
        <v>1</v>
      </c>
      <c r="DX37" s="740">
        <v>1</v>
      </c>
      <c r="DY37" s="740">
        <v>1</v>
      </c>
      <c r="DZ37" s="740">
        <v>2</v>
      </c>
      <c r="EA37" s="740">
        <v>2</v>
      </c>
      <c r="EB37" s="741">
        <v>2</v>
      </c>
      <c r="EC37" s="740">
        <v>0</v>
      </c>
      <c r="ED37" s="740">
        <v>0</v>
      </c>
      <c r="EE37" s="739">
        <v>0</v>
      </c>
      <c r="EF37" s="740">
        <v>0</v>
      </c>
      <c r="EG37" s="740">
        <v>0</v>
      </c>
      <c r="EH37" s="740">
        <v>0</v>
      </c>
      <c r="EI37" s="740">
        <v>0</v>
      </c>
      <c r="EJ37" s="740">
        <v>0</v>
      </c>
      <c r="EK37" s="741">
        <v>0</v>
      </c>
      <c r="EL37" s="747">
        <v>0</v>
      </c>
      <c r="EM37" s="747">
        <v>0</v>
      </c>
      <c r="EN37" s="747">
        <v>0</v>
      </c>
      <c r="EO37" s="747">
        <v>0</v>
      </c>
      <c r="EP37" s="747">
        <v>0</v>
      </c>
      <c r="EQ37" s="738">
        <v>0</v>
      </c>
      <c r="ER37" s="738">
        <v>0</v>
      </c>
      <c r="ES37" s="739">
        <v>0</v>
      </c>
      <c r="ET37" s="740">
        <v>0</v>
      </c>
      <c r="EU37" s="740">
        <v>0</v>
      </c>
      <c r="EV37" s="740">
        <v>0</v>
      </c>
      <c r="EW37" s="740">
        <v>0</v>
      </c>
      <c r="EX37" s="740">
        <v>0</v>
      </c>
      <c r="EY37" s="741">
        <v>0</v>
      </c>
      <c r="EZ37" s="738">
        <v>1</v>
      </c>
      <c r="FA37" s="738">
        <v>1</v>
      </c>
      <c r="FB37" s="739">
        <v>1</v>
      </c>
      <c r="FC37" s="740">
        <v>2</v>
      </c>
      <c r="FD37" s="740">
        <v>2</v>
      </c>
      <c r="FE37" s="740">
        <v>2</v>
      </c>
      <c r="FF37" s="740">
        <v>2</v>
      </c>
      <c r="FG37" s="740">
        <v>2</v>
      </c>
      <c r="FH37" s="741">
        <v>2</v>
      </c>
      <c r="FI37" s="738">
        <v>0</v>
      </c>
      <c r="FJ37" s="738">
        <v>0</v>
      </c>
      <c r="FK37" s="739">
        <v>0</v>
      </c>
      <c r="FL37" s="740">
        <v>0</v>
      </c>
      <c r="FM37" s="740">
        <v>0</v>
      </c>
      <c r="FN37" s="740">
        <v>0</v>
      </c>
      <c r="FO37" s="740">
        <v>0</v>
      </c>
      <c r="FP37" s="740">
        <v>0</v>
      </c>
      <c r="FQ37" s="741">
        <v>0</v>
      </c>
      <c r="FR37" s="738">
        <v>0</v>
      </c>
      <c r="FS37" s="738">
        <v>1</v>
      </c>
      <c r="FT37" s="739">
        <v>2</v>
      </c>
      <c r="FU37" s="740">
        <v>2</v>
      </c>
      <c r="FV37" s="740">
        <v>2</v>
      </c>
      <c r="FW37" s="740">
        <v>2</v>
      </c>
      <c r="FX37" s="740">
        <v>2</v>
      </c>
      <c r="FY37" s="740">
        <v>2</v>
      </c>
      <c r="FZ37" s="741">
        <v>2</v>
      </c>
      <c r="GA37" s="738">
        <v>1</v>
      </c>
      <c r="GB37" s="738">
        <v>1</v>
      </c>
      <c r="GC37" s="739">
        <v>1</v>
      </c>
      <c r="GD37" s="740">
        <v>1</v>
      </c>
      <c r="GE37" s="740">
        <v>1</v>
      </c>
      <c r="GF37" s="740">
        <v>1</v>
      </c>
      <c r="GG37" s="740">
        <v>1</v>
      </c>
      <c r="GH37" s="740">
        <v>1</v>
      </c>
      <c r="GI37" s="741">
        <v>1</v>
      </c>
      <c r="GJ37" s="738">
        <v>0</v>
      </c>
      <c r="GK37" s="738">
        <v>0</v>
      </c>
      <c r="GL37" s="739">
        <v>1</v>
      </c>
      <c r="GM37" s="740">
        <v>2</v>
      </c>
      <c r="GN37" s="740">
        <v>2</v>
      </c>
      <c r="GO37" s="740">
        <v>2</v>
      </c>
      <c r="GP37" s="740">
        <v>2</v>
      </c>
      <c r="GQ37" s="740">
        <v>2</v>
      </c>
      <c r="GR37" s="741">
        <v>2</v>
      </c>
      <c r="GS37" s="740">
        <v>1</v>
      </c>
      <c r="GT37" s="740">
        <v>1</v>
      </c>
      <c r="GU37" s="739">
        <v>1</v>
      </c>
      <c r="GV37" s="740">
        <v>1</v>
      </c>
      <c r="GW37" s="740">
        <v>1</v>
      </c>
      <c r="GX37" s="740">
        <v>1</v>
      </c>
      <c r="GY37" s="740">
        <v>1</v>
      </c>
      <c r="GZ37" s="740">
        <v>1</v>
      </c>
      <c r="HA37" s="741">
        <v>1</v>
      </c>
      <c r="HB37" s="738">
        <v>0</v>
      </c>
      <c r="HC37" s="738">
        <v>0</v>
      </c>
      <c r="HD37" s="739">
        <v>0</v>
      </c>
      <c r="HE37" s="740">
        <v>0</v>
      </c>
      <c r="HF37" s="740">
        <v>0</v>
      </c>
      <c r="HG37" s="740">
        <v>0</v>
      </c>
      <c r="HH37" s="740">
        <v>0</v>
      </c>
      <c r="HI37" s="740">
        <v>0</v>
      </c>
      <c r="HJ37" s="741">
        <v>0</v>
      </c>
      <c r="HK37" s="738">
        <v>1</v>
      </c>
      <c r="HL37" s="738">
        <v>1</v>
      </c>
      <c r="HM37" s="739">
        <v>1</v>
      </c>
      <c r="HN37" s="740">
        <v>1</v>
      </c>
      <c r="HO37" s="740">
        <v>1</v>
      </c>
      <c r="HP37" s="740">
        <v>1</v>
      </c>
      <c r="HQ37" s="740">
        <v>1</v>
      </c>
      <c r="HR37" s="740">
        <v>1</v>
      </c>
      <c r="HS37" s="741">
        <v>1</v>
      </c>
      <c r="HT37" s="749">
        <f t="shared" si="3"/>
        <v>95</v>
      </c>
      <c r="HU37" s="749">
        <f t="shared" si="3"/>
        <v>98</v>
      </c>
      <c r="HV37" s="749">
        <f t="shared" si="4"/>
        <v>106</v>
      </c>
      <c r="HW37" s="749">
        <f t="shared" si="4"/>
        <v>110</v>
      </c>
      <c r="HX37" s="749">
        <f t="shared" si="5"/>
        <v>111</v>
      </c>
      <c r="HY37" s="749">
        <f t="shared" si="5"/>
        <v>110</v>
      </c>
      <c r="HZ37" s="749">
        <f t="shared" si="5"/>
        <v>114</v>
      </c>
      <c r="IA37" s="749">
        <v>106</v>
      </c>
      <c r="IB37" s="750">
        <v>103</v>
      </c>
      <c r="IC37" s="751">
        <v>0</v>
      </c>
      <c r="ID37" s="751">
        <v>0</v>
      </c>
      <c r="IE37" s="754">
        <v>0</v>
      </c>
      <c r="IF37" s="754">
        <v>1</v>
      </c>
      <c r="IG37" s="754">
        <v>1</v>
      </c>
      <c r="IH37" s="754">
        <v>1</v>
      </c>
      <c r="II37" s="754">
        <v>0</v>
      </c>
      <c r="IJ37" s="754">
        <v>0</v>
      </c>
      <c r="IK37" s="754">
        <v>0</v>
      </c>
      <c r="IL37" s="754">
        <v>0</v>
      </c>
      <c r="IM37" s="754">
        <v>1</v>
      </c>
      <c r="IN37" s="754">
        <v>1</v>
      </c>
      <c r="IO37" s="754">
        <v>2</v>
      </c>
      <c r="IP37" s="754">
        <v>2</v>
      </c>
      <c r="IQ37" s="754">
        <v>4</v>
      </c>
      <c r="IR37" s="754">
        <v>0</v>
      </c>
      <c r="IS37" s="754">
        <v>0</v>
      </c>
      <c r="IT37" s="754">
        <v>1</v>
      </c>
      <c r="IU37" s="754">
        <v>1</v>
      </c>
      <c r="IV37" s="754">
        <v>1</v>
      </c>
      <c r="IW37" s="754">
        <v>1</v>
      </c>
      <c r="IX37" s="754">
        <v>1</v>
      </c>
      <c r="IY37" s="754">
        <v>0</v>
      </c>
      <c r="IZ37" s="754">
        <v>0</v>
      </c>
      <c r="JA37" s="754">
        <v>0</v>
      </c>
      <c r="JB37" s="754">
        <v>0</v>
      </c>
      <c r="JC37" s="754">
        <v>0</v>
      </c>
      <c r="JD37" s="754">
        <v>0</v>
      </c>
      <c r="JE37" s="754">
        <v>0</v>
      </c>
      <c r="JF37" s="754">
        <v>0</v>
      </c>
      <c r="JG37" s="754">
        <v>0</v>
      </c>
      <c r="JH37" s="754">
        <v>0</v>
      </c>
      <c r="JI37" s="754">
        <v>0</v>
      </c>
      <c r="JJ37" s="754">
        <v>0</v>
      </c>
      <c r="JK37" s="754">
        <v>0</v>
      </c>
      <c r="JL37" s="754">
        <v>0</v>
      </c>
      <c r="JM37" s="754">
        <v>0</v>
      </c>
      <c r="JN37" s="754">
        <v>0</v>
      </c>
      <c r="JO37" s="754">
        <v>1</v>
      </c>
      <c r="JP37" s="754">
        <v>1</v>
      </c>
      <c r="JQ37" s="754">
        <v>0</v>
      </c>
      <c r="JR37" s="754">
        <v>1</v>
      </c>
      <c r="JS37" s="754">
        <v>1</v>
      </c>
      <c r="JT37" s="754">
        <v>1</v>
      </c>
      <c r="JU37" s="754">
        <v>2</v>
      </c>
      <c r="JV37" s="754">
        <v>2</v>
      </c>
      <c r="JW37" s="754">
        <v>2</v>
      </c>
      <c r="JX37" s="754">
        <v>2</v>
      </c>
      <c r="JY37" s="754">
        <v>3</v>
      </c>
      <c r="JZ37" s="754">
        <v>3</v>
      </c>
      <c r="KA37" s="752">
        <v>1</v>
      </c>
      <c r="KB37" s="752">
        <v>1</v>
      </c>
      <c r="KC37" s="752">
        <v>2</v>
      </c>
      <c r="KD37" s="752">
        <v>3</v>
      </c>
      <c r="KE37" s="752">
        <v>4</v>
      </c>
      <c r="KF37" s="752">
        <v>4</v>
      </c>
      <c r="KG37" s="752">
        <v>6</v>
      </c>
      <c r="KH37" s="752">
        <v>7</v>
      </c>
      <c r="KI37" s="752">
        <v>9</v>
      </c>
      <c r="KJ37" s="752">
        <v>96</v>
      </c>
      <c r="KK37" s="752">
        <v>99</v>
      </c>
      <c r="KL37" s="752">
        <v>108</v>
      </c>
      <c r="KM37" s="752">
        <v>113</v>
      </c>
      <c r="KN37" s="752">
        <v>115</v>
      </c>
      <c r="KO37" s="752">
        <v>114</v>
      </c>
      <c r="KP37" s="752">
        <v>120</v>
      </c>
      <c r="KQ37" s="752">
        <v>113</v>
      </c>
      <c r="KR37" s="755">
        <v>112</v>
      </c>
      <c r="KS37" s="808"/>
    </row>
    <row r="38" spans="1:307" s="737" customFormat="1" ht="12.75" x14ac:dyDescent="0.2">
      <c r="A38" s="720">
        <v>34</v>
      </c>
      <c r="B38" s="721" t="s">
        <v>177</v>
      </c>
      <c r="C38" s="738"/>
      <c r="D38" s="738"/>
      <c r="E38" s="739"/>
      <c r="F38" s="740"/>
      <c r="G38" s="740"/>
      <c r="H38" s="740"/>
      <c r="I38" s="740">
        <v>0</v>
      </c>
      <c r="J38" s="740">
        <v>2</v>
      </c>
      <c r="K38" s="741">
        <v>2</v>
      </c>
      <c r="L38" s="738"/>
      <c r="M38" s="738"/>
      <c r="N38" s="739"/>
      <c r="O38" s="740"/>
      <c r="P38" s="740"/>
      <c r="Q38" s="740"/>
      <c r="R38" s="740">
        <v>0</v>
      </c>
      <c r="S38" s="740">
        <v>1</v>
      </c>
      <c r="T38" s="741">
        <v>1</v>
      </c>
      <c r="U38" s="738"/>
      <c r="V38" s="738"/>
      <c r="W38" s="739"/>
      <c r="X38" s="740"/>
      <c r="Y38" s="742"/>
      <c r="Z38" s="742"/>
      <c r="AA38" s="742">
        <v>0</v>
      </c>
      <c r="AB38" s="742">
        <v>0</v>
      </c>
      <c r="AC38" s="743">
        <v>0</v>
      </c>
      <c r="AD38" s="738"/>
      <c r="AE38" s="738"/>
      <c r="AF38" s="739"/>
      <c r="AG38" s="740"/>
      <c r="AH38" s="740"/>
      <c r="AI38" s="740"/>
      <c r="AJ38" s="740">
        <v>0</v>
      </c>
      <c r="AK38" s="740">
        <v>0</v>
      </c>
      <c r="AL38" s="741">
        <v>0</v>
      </c>
      <c r="AM38" s="744"/>
      <c r="AN38" s="744"/>
      <c r="AO38" s="744">
        <v>0</v>
      </c>
      <c r="AP38" s="744">
        <v>0</v>
      </c>
      <c r="AQ38" s="745">
        <v>0</v>
      </c>
      <c r="AR38" s="738"/>
      <c r="AS38" s="738"/>
      <c r="AT38" s="739"/>
      <c r="AU38" s="739"/>
      <c r="AV38" s="739"/>
      <c r="AW38" s="739"/>
      <c r="AX38" s="739">
        <v>0</v>
      </c>
      <c r="AY38" s="739">
        <v>0</v>
      </c>
      <c r="AZ38" s="746">
        <v>0</v>
      </c>
      <c r="BA38" s="738"/>
      <c r="BB38" s="738"/>
      <c r="BC38" s="739"/>
      <c r="BD38" s="739"/>
      <c r="BE38" s="739"/>
      <c r="BF38" s="739"/>
      <c r="BG38" s="739">
        <v>0</v>
      </c>
      <c r="BH38" s="739">
        <v>0</v>
      </c>
      <c r="BI38" s="746">
        <v>0</v>
      </c>
      <c r="BJ38" s="738"/>
      <c r="BK38" s="738"/>
      <c r="BL38" s="739"/>
      <c r="BM38" s="747"/>
      <c r="BN38" s="747"/>
      <c r="BO38" s="747"/>
      <c r="BP38" s="747">
        <v>0</v>
      </c>
      <c r="BQ38" s="747">
        <v>0</v>
      </c>
      <c r="BR38" s="748">
        <v>0</v>
      </c>
      <c r="BS38" s="747"/>
      <c r="BT38" s="747"/>
      <c r="BU38" s="747">
        <v>0</v>
      </c>
      <c r="BV38" s="747">
        <v>0</v>
      </c>
      <c r="BW38" s="748">
        <v>0</v>
      </c>
      <c r="BX38" s="738"/>
      <c r="BY38" s="738"/>
      <c r="BZ38" s="739"/>
      <c r="CA38" s="747"/>
      <c r="CB38" s="747"/>
      <c r="CC38" s="747"/>
      <c r="CD38" s="747">
        <v>0</v>
      </c>
      <c r="CE38" s="747">
        <v>0</v>
      </c>
      <c r="CF38" s="748">
        <v>0</v>
      </c>
      <c r="CG38" s="747"/>
      <c r="CH38" s="747"/>
      <c r="CI38" s="747">
        <v>0</v>
      </c>
      <c r="CJ38" s="747">
        <v>0</v>
      </c>
      <c r="CK38" s="748">
        <v>0</v>
      </c>
      <c r="CL38" s="738"/>
      <c r="CM38" s="738"/>
      <c r="CN38" s="739"/>
      <c r="CO38" s="740"/>
      <c r="CP38" s="740"/>
      <c r="CQ38" s="740"/>
      <c r="CR38" s="740">
        <v>0</v>
      </c>
      <c r="CS38" s="740">
        <v>0</v>
      </c>
      <c r="CT38" s="741">
        <v>0</v>
      </c>
      <c r="CU38" s="738"/>
      <c r="CV38" s="738"/>
      <c r="CW38" s="739"/>
      <c r="CX38" s="740"/>
      <c r="CY38" s="740"/>
      <c r="CZ38" s="740"/>
      <c r="DA38" s="740">
        <v>0</v>
      </c>
      <c r="DB38" s="740">
        <v>0</v>
      </c>
      <c r="DC38" s="741">
        <v>0</v>
      </c>
      <c r="DD38" s="738"/>
      <c r="DE38" s="738"/>
      <c r="DF38" s="739"/>
      <c r="DG38" s="740"/>
      <c r="DH38" s="740"/>
      <c r="DI38" s="740"/>
      <c r="DJ38" s="740">
        <v>0</v>
      </c>
      <c r="DK38" s="740">
        <v>0</v>
      </c>
      <c r="DL38" s="741">
        <v>0</v>
      </c>
      <c r="DM38" s="739"/>
      <c r="DN38" s="739"/>
      <c r="DO38" s="739"/>
      <c r="DP38" s="739"/>
      <c r="DQ38" s="739">
        <v>0</v>
      </c>
      <c r="DR38" s="739">
        <v>0</v>
      </c>
      <c r="DS38" s="746">
        <v>0</v>
      </c>
      <c r="DT38" s="740"/>
      <c r="DU38" s="740"/>
      <c r="DV38" s="739"/>
      <c r="DW38" s="740"/>
      <c r="DX38" s="740"/>
      <c r="DY38" s="740"/>
      <c r="DZ38" s="740">
        <v>0</v>
      </c>
      <c r="EA38" s="740">
        <v>0</v>
      </c>
      <c r="EB38" s="741">
        <v>0</v>
      </c>
      <c r="EC38" s="740"/>
      <c r="ED38" s="740"/>
      <c r="EE38" s="739"/>
      <c r="EF38" s="740"/>
      <c r="EG38" s="740"/>
      <c r="EH38" s="740"/>
      <c r="EI38" s="740">
        <v>0</v>
      </c>
      <c r="EJ38" s="740">
        <v>0</v>
      </c>
      <c r="EK38" s="741">
        <v>0</v>
      </c>
      <c r="EL38" s="747"/>
      <c r="EM38" s="747"/>
      <c r="EN38" s="747">
        <v>0</v>
      </c>
      <c r="EO38" s="747">
        <v>0</v>
      </c>
      <c r="EP38" s="747">
        <v>0</v>
      </c>
      <c r="EQ38" s="738"/>
      <c r="ER38" s="738"/>
      <c r="ES38" s="739"/>
      <c r="ET38" s="740"/>
      <c r="EU38" s="740"/>
      <c r="EV38" s="740"/>
      <c r="EW38" s="740">
        <v>0</v>
      </c>
      <c r="EX38" s="740">
        <v>0</v>
      </c>
      <c r="EY38" s="741">
        <v>0</v>
      </c>
      <c r="EZ38" s="738"/>
      <c r="FA38" s="738"/>
      <c r="FB38" s="739"/>
      <c r="FC38" s="740"/>
      <c r="FD38" s="740"/>
      <c r="FE38" s="740"/>
      <c r="FF38" s="740">
        <v>0</v>
      </c>
      <c r="FG38" s="740">
        <v>0</v>
      </c>
      <c r="FH38" s="741">
        <v>0</v>
      </c>
      <c r="FI38" s="738"/>
      <c r="FJ38" s="738"/>
      <c r="FK38" s="739"/>
      <c r="FL38" s="740"/>
      <c r="FM38" s="740"/>
      <c r="FN38" s="740"/>
      <c r="FO38" s="740">
        <v>0</v>
      </c>
      <c r="FP38" s="740">
        <v>0</v>
      </c>
      <c r="FQ38" s="741">
        <v>0</v>
      </c>
      <c r="FR38" s="738"/>
      <c r="FS38" s="738"/>
      <c r="FT38" s="739"/>
      <c r="FU38" s="740"/>
      <c r="FV38" s="740"/>
      <c r="FW38" s="740"/>
      <c r="FX38" s="740">
        <v>0</v>
      </c>
      <c r="FY38" s="740">
        <v>0</v>
      </c>
      <c r="FZ38" s="741">
        <v>0</v>
      </c>
      <c r="GA38" s="738"/>
      <c r="GB38" s="738"/>
      <c r="GC38" s="739"/>
      <c r="GD38" s="740"/>
      <c r="GE38" s="740"/>
      <c r="GF38" s="740"/>
      <c r="GG38" s="740">
        <v>0</v>
      </c>
      <c r="GH38" s="740">
        <v>0</v>
      </c>
      <c r="GI38" s="741">
        <v>0</v>
      </c>
      <c r="GJ38" s="738"/>
      <c r="GK38" s="738"/>
      <c r="GL38" s="739"/>
      <c r="GM38" s="740"/>
      <c r="GN38" s="740"/>
      <c r="GO38" s="740"/>
      <c r="GP38" s="740">
        <v>0</v>
      </c>
      <c r="GQ38" s="740">
        <v>0</v>
      </c>
      <c r="GR38" s="741">
        <v>0</v>
      </c>
      <c r="GS38" s="740"/>
      <c r="GT38" s="740"/>
      <c r="GU38" s="739"/>
      <c r="GV38" s="740"/>
      <c r="GW38" s="740"/>
      <c r="GX38" s="740"/>
      <c r="GY38" s="740">
        <v>0</v>
      </c>
      <c r="GZ38" s="740">
        <v>0</v>
      </c>
      <c r="HA38" s="741">
        <v>0</v>
      </c>
      <c r="HB38" s="738"/>
      <c r="HC38" s="738"/>
      <c r="HD38" s="739"/>
      <c r="HE38" s="740"/>
      <c r="HF38" s="740"/>
      <c r="HG38" s="740"/>
      <c r="HH38" s="740">
        <v>0</v>
      </c>
      <c r="HI38" s="740">
        <v>0</v>
      </c>
      <c r="HJ38" s="741">
        <v>0</v>
      </c>
      <c r="HK38" s="738"/>
      <c r="HL38" s="738"/>
      <c r="HM38" s="739"/>
      <c r="HN38" s="740"/>
      <c r="HO38" s="740"/>
      <c r="HP38" s="740"/>
      <c r="HQ38" s="740">
        <v>0</v>
      </c>
      <c r="HR38" s="740">
        <v>0</v>
      </c>
      <c r="HS38" s="741">
        <v>0</v>
      </c>
      <c r="HT38" s="749">
        <f t="shared" si="3"/>
        <v>0</v>
      </c>
      <c r="HU38" s="749">
        <f t="shared" si="3"/>
        <v>0</v>
      </c>
      <c r="HV38" s="749">
        <f t="shared" si="4"/>
        <v>0</v>
      </c>
      <c r="HW38" s="749">
        <f t="shared" si="4"/>
        <v>0</v>
      </c>
      <c r="HX38" s="749">
        <f t="shared" si="5"/>
        <v>0</v>
      </c>
      <c r="HY38" s="749">
        <f t="shared" si="5"/>
        <v>0</v>
      </c>
      <c r="HZ38" s="749">
        <f t="shared" si="5"/>
        <v>0</v>
      </c>
      <c r="IA38" s="749">
        <v>3</v>
      </c>
      <c r="IB38" s="750">
        <v>3</v>
      </c>
      <c r="IC38" s="751"/>
      <c r="ID38" s="751"/>
      <c r="IE38" s="754"/>
      <c r="IF38" s="754">
        <v>0</v>
      </c>
      <c r="IG38" s="754">
        <v>0</v>
      </c>
      <c r="IH38" s="754">
        <v>0</v>
      </c>
      <c r="II38" s="754"/>
      <c r="IJ38" s="754"/>
      <c r="IK38" s="754"/>
      <c r="IL38" s="754"/>
      <c r="IM38" s="754"/>
      <c r="IN38" s="754"/>
      <c r="IO38" s="754">
        <v>0</v>
      </c>
      <c r="IP38" s="754">
        <v>0</v>
      </c>
      <c r="IQ38" s="754">
        <v>0</v>
      </c>
      <c r="IR38" s="754"/>
      <c r="IS38" s="754"/>
      <c r="IT38" s="754"/>
      <c r="IU38" s="754"/>
      <c r="IV38" s="754"/>
      <c r="IW38" s="754"/>
      <c r="IX38" s="754">
        <v>0</v>
      </c>
      <c r="IY38" s="754"/>
      <c r="IZ38" s="754"/>
      <c r="JA38" s="754"/>
      <c r="JB38" s="754"/>
      <c r="JC38" s="754"/>
      <c r="JD38" s="754"/>
      <c r="JE38" s="754">
        <v>0</v>
      </c>
      <c r="JF38" s="754">
        <v>0</v>
      </c>
      <c r="JG38" s="754">
        <v>0</v>
      </c>
      <c r="JH38" s="754"/>
      <c r="JI38" s="754"/>
      <c r="JJ38" s="754"/>
      <c r="JK38" s="754"/>
      <c r="JL38" s="754"/>
      <c r="JM38" s="754"/>
      <c r="JN38" s="754">
        <v>0</v>
      </c>
      <c r="JO38" s="754">
        <v>0</v>
      </c>
      <c r="JP38" s="754">
        <v>0</v>
      </c>
      <c r="JQ38" s="754"/>
      <c r="JR38" s="754"/>
      <c r="JS38" s="754"/>
      <c r="JT38" s="754"/>
      <c r="JU38" s="754"/>
      <c r="JV38" s="754"/>
      <c r="JW38" s="754"/>
      <c r="JX38" s="754">
        <v>0</v>
      </c>
      <c r="JY38" s="754">
        <v>0</v>
      </c>
      <c r="JZ38" s="754">
        <v>0</v>
      </c>
      <c r="KA38" s="752">
        <v>0</v>
      </c>
      <c r="KB38" s="752">
        <v>0</v>
      </c>
      <c r="KC38" s="752">
        <v>0</v>
      </c>
      <c r="KD38" s="752">
        <v>0</v>
      </c>
      <c r="KE38" s="752">
        <v>0</v>
      </c>
      <c r="KF38" s="752">
        <v>0</v>
      </c>
      <c r="KG38" s="752">
        <v>0</v>
      </c>
      <c r="KH38" s="752"/>
      <c r="KI38" s="752">
        <v>0</v>
      </c>
      <c r="KJ38" s="752">
        <v>0</v>
      </c>
      <c r="KK38" s="752">
        <v>0</v>
      </c>
      <c r="KL38" s="752">
        <v>0</v>
      </c>
      <c r="KM38" s="752">
        <v>0</v>
      </c>
      <c r="KN38" s="752">
        <v>0</v>
      </c>
      <c r="KO38" s="752">
        <v>0</v>
      </c>
      <c r="KP38" s="752">
        <v>0</v>
      </c>
      <c r="KQ38" s="752">
        <v>3</v>
      </c>
      <c r="KR38" s="755">
        <v>3</v>
      </c>
      <c r="KS38" s="808"/>
    </row>
    <row r="39" spans="1:307" s="737" customFormat="1" ht="12.75" x14ac:dyDescent="0.2">
      <c r="A39" s="720">
        <v>35</v>
      </c>
      <c r="B39" s="721" t="s">
        <v>178</v>
      </c>
      <c r="C39" s="738">
        <v>0</v>
      </c>
      <c r="D39" s="738">
        <v>0</v>
      </c>
      <c r="E39" s="739">
        <v>0</v>
      </c>
      <c r="F39" s="740">
        <v>0</v>
      </c>
      <c r="G39" s="740">
        <v>0</v>
      </c>
      <c r="H39" s="740">
        <v>0</v>
      </c>
      <c r="I39" s="740">
        <v>0</v>
      </c>
      <c r="J39" s="740">
        <v>0</v>
      </c>
      <c r="K39" s="741">
        <v>0</v>
      </c>
      <c r="L39" s="738">
        <v>1</v>
      </c>
      <c r="M39" s="738">
        <v>1</v>
      </c>
      <c r="N39" s="739">
        <v>1</v>
      </c>
      <c r="O39" s="740">
        <v>1</v>
      </c>
      <c r="P39" s="740">
        <v>1</v>
      </c>
      <c r="Q39" s="740">
        <v>2</v>
      </c>
      <c r="R39" s="740">
        <v>2</v>
      </c>
      <c r="S39" s="740">
        <v>1</v>
      </c>
      <c r="T39" s="741">
        <v>1</v>
      </c>
      <c r="U39" s="738">
        <v>0</v>
      </c>
      <c r="V39" s="738">
        <v>0</v>
      </c>
      <c r="W39" s="739">
        <v>0</v>
      </c>
      <c r="X39" s="740">
        <v>0</v>
      </c>
      <c r="Y39" s="742">
        <v>0</v>
      </c>
      <c r="Z39" s="742">
        <v>0</v>
      </c>
      <c r="AA39" s="742">
        <v>0</v>
      </c>
      <c r="AB39" s="742">
        <v>0</v>
      </c>
      <c r="AC39" s="743">
        <v>0</v>
      </c>
      <c r="AD39" s="738">
        <v>0</v>
      </c>
      <c r="AE39" s="738">
        <v>0</v>
      </c>
      <c r="AF39" s="739">
        <v>0</v>
      </c>
      <c r="AG39" s="740">
        <v>0</v>
      </c>
      <c r="AH39" s="740">
        <v>0</v>
      </c>
      <c r="AI39" s="740">
        <v>0</v>
      </c>
      <c r="AJ39" s="740">
        <v>0</v>
      </c>
      <c r="AK39" s="740">
        <v>0</v>
      </c>
      <c r="AL39" s="741">
        <v>0</v>
      </c>
      <c r="AM39" s="744">
        <v>0</v>
      </c>
      <c r="AN39" s="744">
        <v>0</v>
      </c>
      <c r="AO39" s="744">
        <v>0</v>
      </c>
      <c r="AP39" s="744">
        <v>0</v>
      </c>
      <c r="AQ39" s="745">
        <v>0</v>
      </c>
      <c r="AR39" s="738">
        <v>0</v>
      </c>
      <c r="AS39" s="738">
        <v>0</v>
      </c>
      <c r="AT39" s="739">
        <v>0</v>
      </c>
      <c r="AU39" s="739">
        <v>0</v>
      </c>
      <c r="AV39" s="739">
        <v>0</v>
      </c>
      <c r="AW39" s="739">
        <v>0</v>
      </c>
      <c r="AX39" s="739">
        <v>0</v>
      </c>
      <c r="AY39" s="739">
        <v>0</v>
      </c>
      <c r="AZ39" s="746">
        <v>0</v>
      </c>
      <c r="BA39" s="738">
        <v>0</v>
      </c>
      <c r="BB39" s="738">
        <v>0</v>
      </c>
      <c r="BC39" s="739">
        <v>0</v>
      </c>
      <c r="BD39" s="739">
        <v>0</v>
      </c>
      <c r="BE39" s="739">
        <v>0</v>
      </c>
      <c r="BF39" s="739">
        <v>0</v>
      </c>
      <c r="BG39" s="739">
        <v>0</v>
      </c>
      <c r="BH39" s="739">
        <v>0</v>
      </c>
      <c r="BI39" s="746">
        <v>0</v>
      </c>
      <c r="BJ39" s="738">
        <v>0</v>
      </c>
      <c r="BK39" s="738">
        <v>0</v>
      </c>
      <c r="BL39" s="739">
        <v>0</v>
      </c>
      <c r="BM39" s="747">
        <v>0</v>
      </c>
      <c r="BN39" s="747">
        <v>0</v>
      </c>
      <c r="BO39" s="747">
        <v>0</v>
      </c>
      <c r="BP39" s="747">
        <v>0</v>
      </c>
      <c r="BQ39" s="747">
        <v>0</v>
      </c>
      <c r="BR39" s="748">
        <v>0</v>
      </c>
      <c r="BS39" s="747">
        <v>0</v>
      </c>
      <c r="BT39" s="747">
        <v>0</v>
      </c>
      <c r="BU39" s="747">
        <v>0</v>
      </c>
      <c r="BV39" s="747">
        <v>0</v>
      </c>
      <c r="BW39" s="748">
        <v>0</v>
      </c>
      <c r="BX39" s="738">
        <v>0</v>
      </c>
      <c r="BY39" s="738">
        <v>0</v>
      </c>
      <c r="BZ39" s="739">
        <v>0</v>
      </c>
      <c r="CA39" s="747">
        <v>0</v>
      </c>
      <c r="CB39" s="747">
        <v>0</v>
      </c>
      <c r="CC39" s="747">
        <v>0</v>
      </c>
      <c r="CD39" s="747">
        <v>0</v>
      </c>
      <c r="CE39" s="747">
        <v>0</v>
      </c>
      <c r="CF39" s="748">
        <v>0</v>
      </c>
      <c r="CG39" s="747">
        <v>0</v>
      </c>
      <c r="CH39" s="747">
        <v>0</v>
      </c>
      <c r="CI39" s="747">
        <v>0</v>
      </c>
      <c r="CJ39" s="747">
        <v>0</v>
      </c>
      <c r="CK39" s="748">
        <v>0</v>
      </c>
      <c r="CL39" s="738">
        <v>0</v>
      </c>
      <c r="CM39" s="738">
        <v>0</v>
      </c>
      <c r="CN39" s="739">
        <v>0</v>
      </c>
      <c r="CO39" s="740">
        <v>0</v>
      </c>
      <c r="CP39" s="740">
        <v>0</v>
      </c>
      <c r="CQ39" s="740">
        <v>0</v>
      </c>
      <c r="CR39" s="740">
        <v>0</v>
      </c>
      <c r="CS39" s="740">
        <v>0</v>
      </c>
      <c r="CT39" s="741">
        <v>0</v>
      </c>
      <c r="CU39" s="738">
        <v>0</v>
      </c>
      <c r="CV39" s="738">
        <v>0</v>
      </c>
      <c r="CW39" s="739">
        <v>0</v>
      </c>
      <c r="CX39" s="740">
        <v>0</v>
      </c>
      <c r="CY39" s="740">
        <v>0</v>
      </c>
      <c r="CZ39" s="740">
        <v>0</v>
      </c>
      <c r="DA39" s="740">
        <v>0</v>
      </c>
      <c r="DB39" s="740">
        <v>0</v>
      </c>
      <c r="DC39" s="741">
        <v>0</v>
      </c>
      <c r="DD39" s="759">
        <v>0</v>
      </c>
      <c r="DE39" s="759">
        <v>0</v>
      </c>
      <c r="DF39" s="739">
        <v>0</v>
      </c>
      <c r="DG39" s="740">
        <v>0</v>
      </c>
      <c r="DH39" s="740">
        <v>0</v>
      </c>
      <c r="DI39" s="740">
        <v>0</v>
      </c>
      <c r="DJ39" s="740">
        <v>0</v>
      </c>
      <c r="DK39" s="740">
        <v>0</v>
      </c>
      <c r="DL39" s="741">
        <v>0</v>
      </c>
      <c r="DM39" s="739">
        <v>0</v>
      </c>
      <c r="DN39" s="739">
        <v>0</v>
      </c>
      <c r="DO39" s="739">
        <v>0</v>
      </c>
      <c r="DP39" s="739">
        <v>0</v>
      </c>
      <c r="DQ39" s="739">
        <v>0</v>
      </c>
      <c r="DR39" s="739">
        <v>0</v>
      </c>
      <c r="DS39" s="746">
        <v>0</v>
      </c>
      <c r="DT39" s="760">
        <v>0</v>
      </c>
      <c r="DU39" s="760">
        <v>0</v>
      </c>
      <c r="DV39" s="739">
        <v>0</v>
      </c>
      <c r="DW39" s="740">
        <v>0</v>
      </c>
      <c r="DX39" s="740">
        <v>0</v>
      </c>
      <c r="DY39" s="740">
        <v>0</v>
      </c>
      <c r="DZ39" s="740">
        <v>0</v>
      </c>
      <c r="EA39" s="740">
        <v>0</v>
      </c>
      <c r="EB39" s="741">
        <v>0</v>
      </c>
      <c r="EC39" s="760">
        <v>0</v>
      </c>
      <c r="ED39" s="760">
        <v>0</v>
      </c>
      <c r="EE39" s="739">
        <v>0</v>
      </c>
      <c r="EF39" s="740">
        <v>0</v>
      </c>
      <c r="EG39" s="740">
        <v>0</v>
      </c>
      <c r="EH39" s="740">
        <v>0</v>
      </c>
      <c r="EI39" s="740">
        <v>0</v>
      </c>
      <c r="EJ39" s="740">
        <v>0</v>
      </c>
      <c r="EK39" s="741">
        <v>0</v>
      </c>
      <c r="EL39" s="747">
        <v>0</v>
      </c>
      <c r="EM39" s="747">
        <v>0</v>
      </c>
      <c r="EN39" s="747">
        <v>0</v>
      </c>
      <c r="EO39" s="747">
        <v>0</v>
      </c>
      <c r="EP39" s="747">
        <v>0</v>
      </c>
      <c r="EQ39" s="738">
        <v>0</v>
      </c>
      <c r="ER39" s="738">
        <v>0</v>
      </c>
      <c r="ES39" s="739">
        <v>0</v>
      </c>
      <c r="ET39" s="740">
        <v>0</v>
      </c>
      <c r="EU39" s="740">
        <v>0</v>
      </c>
      <c r="EV39" s="740">
        <v>0</v>
      </c>
      <c r="EW39" s="740">
        <v>0</v>
      </c>
      <c r="EX39" s="740">
        <v>0</v>
      </c>
      <c r="EY39" s="741">
        <v>0</v>
      </c>
      <c r="EZ39" s="738">
        <v>0</v>
      </c>
      <c r="FA39" s="738">
        <v>0</v>
      </c>
      <c r="FB39" s="739">
        <v>0</v>
      </c>
      <c r="FC39" s="740">
        <v>0</v>
      </c>
      <c r="FD39" s="740">
        <v>0</v>
      </c>
      <c r="FE39" s="740">
        <v>0</v>
      </c>
      <c r="FF39" s="740">
        <v>0</v>
      </c>
      <c r="FG39" s="740">
        <v>0</v>
      </c>
      <c r="FH39" s="741">
        <v>0</v>
      </c>
      <c r="FI39" s="738">
        <v>0</v>
      </c>
      <c r="FJ39" s="738">
        <v>0</v>
      </c>
      <c r="FK39" s="739">
        <v>0</v>
      </c>
      <c r="FL39" s="740">
        <v>0</v>
      </c>
      <c r="FM39" s="740">
        <v>0</v>
      </c>
      <c r="FN39" s="740">
        <v>0</v>
      </c>
      <c r="FO39" s="740">
        <v>0</v>
      </c>
      <c r="FP39" s="740">
        <v>0</v>
      </c>
      <c r="FQ39" s="741">
        <v>0</v>
      </c>
      <c r="FR39" s="738">
        <v>0</v>
      </c>
      <c r="FS39" s="738">
        <v>0</v>
      </c>
      <c r="FT39" s="739">
        <v>0</v>
      </c>
      <c r="FU39" s="740">
        <v>0</v>
      </c>
      <c r="FV39" s="740">
        <v>0</v>
      </c>
      <c r="FW39" s="740">
        <v>0</v>
      </c>
      <c r="FX39" s="740">
        <v>0</v>
      </c>
      <c r="FY39" s="740">
        <v>0</v>
      </c>
      <c r="FZ39" s="741">
        <v>0</v>
      </c>
      <c r="GA39" s="738">
        <v>0</v>
      </c>
      <c r="GB39" s="738">
        <v>0</v>
      </c>
      <c r="GC39" s="739">
        <v>0</v>
      </c>
      <c r="GD39" s="740">
        <v>0</v>
      </c>
      <c r="GE39" s="740">
        <v>0</v>
      </c>
      <c r="GF39" s="740">
        <v>0</v>
      </c>
      <c r="GG39" s="740">
        <v>0</v>
      </c>
      <c r="GH39" s="740">
        <v>0</v>
      </c>
      <c r="GI39" s="741">
        <v>0</v>
      </c>
      <c r="GJ39" s="738">
        <v>0</v>
      </c>
      <c r="GK39" s="738">
        <v>0</v>
      </c>
      <c r="GL39" s="739">
        <v>0</v>
      </c>
      <c r="GM39" s="740">
        <v>0</v>
      </c>
      <c r="GN39" s="740">
        <v>0</v>
      </c>
      <c r="GO39" s="740">
        <v>0</v>
      </c>
      <c r="GP39" s="740">
        <v>0</v>
      </c>
      <c r="GQ39" s="740">
        <v>0</v>
      </c>
      <c r="GR39" s="741">
        <v>0</v>
      </c>
      <c r="GS39" s="740">
        <v>0</v>
      </c>
      <c r="GT39" s="740">
        <v>0</v>
      </c>
      <c r="GU39" s="739">
        <v>0</v>
      </c>
      <c r="GV39" s="740">
        <v>0</v>
      </c>
      <c r="GW39" s="740">
        <v>0</v>
      </c>
      <c r="GX39" s="740">
        <v>0</v>
      </c>
      <c r="GY39" s="740">
        <v>0</v>
      </c>
      <c r="GZ39" s="740">
        <v>0</v>
      </c>
      <c r="HA39" s="741">
        <v>0</v>
      </c>
      <c r="HB39" s="738">
        <v>0</v>
      </c>
      <c r="HC39" s="738">
        <v>0</v>
      </c>
      <c r="HD39" s="739">
        <v>0</v>
      </c>
      <c r="HE39" s="740">
        <v>0</v>
      </c>
      <c r="HF39" s="740">
        <v>0</v>
      </c>
      <c r="HG39" s="740">
        <v>0</v>
      </c>
      <c r="HH39" s="740">
        <v>0</v>
      </c>
      <c r="HI39" s="740">
        <v>0</v>
      </c>
      <c r="HJ39" s="741">
        <v>0</v>
      </c>
      <c r="HK39" s="738">
        <v>0</v>
      </c>
      <c r="HL39" s="738">
        <v>0</v>
      </c>
      <c r="HM39" s="739">
        <v>0</v>
      </c>
      <c r="HN39" s="740">
        <v>0</v>
      </c>
      <c r="HO39" s="740">
        <v>0</v>
      </c>
      <c r="HP39" s="740">
        <v>0</v>
      </c>
      <c r="HQ39" s="740">
        <v>0</v>
      </c>
      <c r="HR39" s="740">
        <v>0</v>
      </c>
      <c r="HS39" s="741">
        <v>0</v>
      </c>
      <c r="HT39" s="749">
        <f t="shared" si="3"/>
        <v>1</v>
      </c>
      <c r="HU39" s="749">
        <f t="shared" si="3"/>
        <v>1</v>
      </c>
      <c r="HV39" s="749">
        <f t="shared" si="4"/>
        <v>1</v>
      </c>
      <c r="HW39" s="749">
        <f t="shared" si="4"/>
        <v>1</v>
      </c>
      <c r="HX39" s="749">
        <f t="shared" si="5"/>
        <v>1</v>
      </c>
      <c r="HY39" s="749">
        <f t="shared" si="5"/>
        <v>2</v>
      </c>
      <c r="HZ39" s="749">
        <f t="shared" si="5"/>
        <v>2</v>
      </c>
      <c r="IA39" s="749">
        <v>1</v>
      </c>
      <c r="IB39" s="750">
        <v>1</v>
      </c>
      <c r="IC39" s="751">
        <v>0</v>
      </c>
      <c r="ID39" s="751">
        <v>0</v>
      </c>
      <c r="IE39" s="765">
        <v>0</v>
      </c>
      <c r="IF39" s="765">
        <v>0</v>
      </c>
      <c r="IG39" s="765">
        <v>0</v>
      </c>
      <c r="IH39" s="765">
        <v>0</v>
      </c>
      <c r="II39" s="765">
        <v>0</v>
      </c>
      <c r="IJ39" s="765">
        <v>0</v>
      </c>
      <c r="IK39" s="765">
        <v>0</v>
      </c>
      <c r="IL39" s="765">
        <v>0</v>
      </c>
      <c r="IM39" s="765">
        <v>0</v>
      </c>
      <c r="IN39" s="765">
        <v>0</v>
      </c>
      <c r="IO39" s="765">
        <v>0</v>
      </c>
      <c r="IP39" s="765">
        <v>0</v>
      </c>
      <c r="IQ39" s="765">
        <v>0</v>
      </c>
      <c r="IR39" s="765">
        <v>0</v>
      </c>
      <c r="IS39" s="765">
        <v>0</v>
      </c>
      <c r="IT39" s="765">
        <v>0</v>
      </c>
      <c r="IU39" s="765">
        <v>0</v>
      </c>
      <c r="IV39" s="765">
        <v>0</v>
      </c>
      <c r="IW39" s="765">
        <v>0</v>
      </c>
      <c r="IX39" s="765">
        <v>0</v>
      </c>
      <c r="IY39" s="765">
        <v>0</v>
      </c>
      <c r="IZ39" s="765">
        <v>0</v>
      </c>
      <c r="JA39" s="765">
        <v>0</v>
      </c>
      <c r="JB39" s="765">
        <v>0</v>
      </c>
      <c r="JC39" s="765">
        <v>0</v>
      </c>
      <c r="JD39" s="765">
        <v>0</v>
      </c>
      <c r="JE39" s="765">
        <v>0</v>
      </c>
      <c r="JF39" s="765">
        <v>0</v>
      </c>
      <c r="JG39" s="765">
        <v>0</v>
      </c>
      <c r="JH39" s="765">
        <v>0</v>
      </c>
      <c r="JI39" s="765">
        <v>0</v>
      </c>
      <c r="JJ39" s="765">
        <v>0</v>
      </c>
      <c r="JK39" s="765">
        <v>0</v>
      </c>
      <c r="JL39" s="765">
        <v>0</v>
      </c>
      <c r="JM39" s="765">
        <v>0</v>
      </c>
      <c r="JN39" s="765">
        <v>0</v>
      </c>
      <c r="JO39" s="765">
        <v>0</v>
      </c>
      <c r="JP39" s="765">
        <v>0</v>
      </c>
      <c r="JQ39" s="765">
        <v>0</v>
      </c>
      <c r="JR39" s="765">
        <v>0</v>
      </c>
      <c r="JS39" s="765">
        <v>0</v>
      </c>
      <c r="JT39" s="765">
        <v>0</v>
      </c>
      <c r="JU39" s="765">
        <v>0</v>
      </c>
      <c r="JV39" s="765">
        <v>0</v>
      </c>
      <c r="JW39" s="765">
        <v>0</v>
      </c>
      <c r="JX39" s="765">
        <v>0</v>
      </c>
      <c r="JY39" s="765">
        <v>0</v>
      </c>
      <c r="JZ39" s="765">
        <v>0</v>
      </c>
      <c r="KA39" s="752">
        <v>0</v>
      </c>
      <c r="KB39" s="752">
        <v>0</v>
      </c>
      <c r="KC39" s="752">
        <v>0</v>
      </c>
      <c r="KD39" s="752">
        <v>0</v>
      </c>
      <c r="KE39" s="752">
        <v>0</v>
      </c>
      <c r="KF39" s="752">
        <v>0</v>
      </c>
      <c r="KG39" s="752">
        <v>0</v>
      </c>
      <c r="KH39" s="752">
        <v>0</v>
      </c>
      <c r="KI39" s="752">
        <v>0</v>
      </c>
      <c r="KJ39" s="752">
        <v>1</v>
      </c>
      <c r="KK39" s="752">
        <v>1</v>
      </c>
      <c r="KL39" s="752">
        <v>1</v>
      </c>
      <c r="KM39" s="752">
        <v>1</v>
      </c>
      <c r="KN39" s="752">
        <v>1</v>
      </c>
      <c r="KO39" s="752">
        <v>2</v>
      </c>
      <c r="KP39" s="752">
        <v>2</v>
      </c>
      <c r="KQ39" s="752">
        <v>1</v>
      </c>
      <c r="KR39" s="755">
        <v>1</v>
      </c>
      <c r="KS39" s="808"/>
    </row>
    <row r="40" spans="1:307" s="737" customFormat="1" ht="12.75" x14ac:dyDescent="0.2">
      <c r="A40" s="720">
        <v>36</v>
      </c>
      <c r="B40" s="721" t="s">
        <v>179</v>
      </c>
      <c r="C40" s="738">
        <v>6</v>
      </c>
      <c r="D40" s="738">
        <v>6</v>
      </c>
      <c r="E40" s="739">
        <v>6</v>
      </c>
      <c r="F40" s="740">
        <v>6</v>
      </c>
      <c r="G40" s="740">
        <v>7</v>
      </c>
      <c r="H40" s="740">
        <v>7</v>
      </c>
      <c r="I40" s="740">
        <v>9</v>
      </c>
      <c r="J40" s="740">
        <v>8</v>
      </c>
      <c r="K40" s="741">
        <v>7</v>
      </c>
      <c r="L40" s="738">
        <v>6</v>
      </c>
      <c r="M40" s="738">
        <v>8</v>
      </c>
      <c r="N40" s="739">
        <v>8</v>
      </c>
      <c r="O40" s="740">
        <v>8</v>
      </c>
      <c r="P40" s="740">
        <v>9</v>
      </c>
      <c r="Q40" s="740">
        <v>8</v>
      </c>
      <c r="R40" s="740">
        <v>8</v>
      </c>
      <c r="S40" s="740">
        <v>7</v>
      </c>
      <c r="T40" s="741">
        <v>6</v>
      </c>
      <c r="U40" s="738">
        <v>1</v>
      </c>
      <c r="V40" s="738">
        <v>1</v>
      </c>
      <c r="W40" s="739">
        <v>1</v>
      </c>
      <c r="X40" s="740">
        <v>1</v>
      </c>
      <c r="Y40" s="742">
        <v>1</v>
      </c>
      <c r="Z40" s="742">
        <v>1</v>
      </c>
      <c r="AA40" s="742">
        <v>1</v>
      </c>
      <c r="AB40" s="742">
        <v>2</v>
      </c>
      <c r="AC40" s="743">
        <v>2</v>
      </c>
      <c r="AD40" s="738">
        <v>6</v>
      </c>
      <c r="AE40" s="738">
        <v>7</v>
      </c>
      <c r="AF40" s="739">
        <v>7</v>
      </c>
      <c r="AG40" s="740">
        <v>7</v>
      </c>
      <c r="AH40" s="740">
        <v>7</v>
      </c>
      <c r="AI40" s="740">
        <v>7</v>
      </c>
      <c r="AJ40" s="740">
        <v>7</v>
      </c>
      <c r="AK40" s="740">
        <v>7</v>
      </c>
      <c r="AL40" s="741">
        <v>5</v>
      </c>
      <c r="AM40" s="744">
        <v>0</v>
      </c>
      <c r="AN40" s="744">
        <v>0</v>
      </c>
      <c r="AO40" s="744">
        <v>0</v>
      </c>
      <c r="AP40" s="744">
        <v>0</v>
      </c>
      <c r="AQ40" s="745">
        <v>0</v>
      </c>
      <c r="AR40" s="738">
        <v>1</v>
      </c>
      <c r="AS40" s="738">
        <v>1</v>
      </c>
      <c r="AT40" s="739">
        <v>1</v>
      </c>
      <c r="AU40" s="739">
        <v>1</v>
      </c>
      <c r="AV40" s="739">
        <v>1</v>
      </c>
      <c r="AW40" s="739">
        <v>1</v>
      </c>
      <c r="AX40" s="739">
        <v>1</v>
      </c>
      <c r="AY40" s="739">
        <v>1</v>
      </c>
      <c r="AZ40" s="746">
        <v>1</v>
      </c>
      <c r="BA40" s="738">
        <v>0</v>
      </c>
      <c r="BB40" s="738">
        <v>0</v>
      </c>
      <c r="BC40" s="739">
        <v>0</v>
      </c>
      <c r="BD40" s="739">
        <v>0</v>
      </c>
      <c r="BE40" s="739">
        <v>0</v>
      </c>
      <c r="BF40" s="739">
        <v>0</v>
      </c>
      <c r="BG40" s="739">
        <v>1</v>
      </c>
      <c r="BH40" s="739">
        <v>1</v>
      </c>
      <c r="BI40" s="746">
        <v>0</v>
      </c>
      <c r="BJ40" s="738">
        <v>1</v>
      </c>
      <c r="BK40" s="738">
        <v>1</v>
      </c>
      <c r="BL40" s="739">
        <v>1</v>
      </c>
      <c r="BM40" s="747">
        <v>1</v>
      </c>
      <c r="BN40" s="747">
        <v>1</v>
      </c>
      <c r="BO40" s="747">
        <v>1</v>
      </c>
      <c r="BP40" s="747">
        <v>1</v>
      </c>
      <c r="BQ40" s="747">
        <v>1</v>
      </c>
      <c r="BR40" s="748">
        <v>1</v>
      </c>
      <c r="BS40" s="747">
        <v>0</v>
      </c>
      <c r="BT40" s="747">
        <v>0</v>
      </c>
      <c r="BU40" s="747">
        <v>0</v>
      </c>
      <c r="BV40" s="747">
        <v>0</v>
      </c>
      <c r="BW40" s="748">
        <v>0</v>
      </c>
      <c r="BX40" s="738">
        <v>1</v>
      </c>
      <c r="BY40" s="738">
        <v>1</v>
      </c>
      <c r="BZ40" s="739">
        <v>1</v>
      </c>
      <c r="CA40" s="747">
        <v>1</v>
      </c>
      <c r="CB40" s="747">
        <v>1</v>
      </c>
      <c r="CC40" s="747">
        <v>1</v>
      </c>
      <c r="CD40" s="747">
        <v>1</v>
      </c>
      <c r="CE40" s="747">
        <v>1</v>
      </c>
      <c r="CF40" s="748">
        <v>1</v>
      </c>
      <c r="CG40" s="747">
        <v>0</v>
      </c>
      <c r="CH40" s="747">
        <v>0</v>
      </c>
      <c r="CI40" s="747">
        <v>0</v>
      </c>
      <c r="CJ40" s="747">
        <v>0</v>
      </c>
      <c r="CK40" s="748">
        <v>0</v>
      </c>
      <c r="CL40" s="738">
        <v>1</v>
      </c>
      <c r="CM40" s="738">
        <v>1</v>
      </c>
      <c r="CN40" s="739">
        <v>1</v>
      </c>
      <c r="CO40" s="740">
        <v>1</v>
      </c>
      <c r="CP40" s="740">
        <v>1</v>
      </c>
      <c r="CQ40" s="740">
        <v>1</v>
      </c>
      <c r="CR40" s="740">
        <v>1</v>
      </c>
      <c r="CS40" s="740">
        <v>1</v>
      </c>
      <c r="CT40" s="741">
        <v>1</v>
      </c>
      <c r="CU40" s="738">
        <v>1</v>
      </c>
      <c r="CV40" s="738">
        <v>1</v>
      </c>
      <c r="CW40" s="739">
        <v>1</v>
      </c>
      <c r="CX40" s="740">
        <v>1</v>
      </c>
      <c r="CY40" s="740">
        <v>1</v>
      </c>
      <c r="CZ40" s="740">
        <v>1</v>
      </c>
      <c r="DA40" s="740">
        <v>1</v>
      </c>
      <c r="DB40" s="740">
        <v>1</v>
      </c>
      <c r="DC40" s="741">
        <v>1</v>
      </c>
      <c r="DD40" s="759">
        <v>0</v>
      </c>
      <c r="DE40" s="759">
        <v>0</v>
      </c>
      <c r="DF40" s="739">
        <v>1</v>
      </c>
      <c r="DG40" s="740">
        <v>1</v>
      </c>
      <c r="DH40" s="740">
        <v>1</v>
      </c>
      <c r="DI40" s="740">
        <v>1</v>
      </c>
      <c r="DJ40" s="740">
        <v>1</v>
      </c>
      <c r="DK40" s="740">
        <v>1</v>
      </c>
      <c r="DL40" s="741">
        <v>1</v>
      </c>
      <c r="DM40" s="739">
        <v>0</v>
      </c>
      <c r="DN40" s="739">
        <v>0</v>
      </c>
      <c r="DO40" s="739">
        <v>0</v>
      </c>
      <c r="DP40" s="739">
        <v>0</v>
      </c>
      <c r="DQ40" s="739">
        <v>0</v>
      </c>
      <c r="DR40" s="739">
        <v>0</v>
      </c>
      <c r="DS40" s="746">
        <v>0</v>
      </c>
      <c r="DT40" s="760">
        <v>0</v>
      </c>
      <c r="DU40" s="760">
        <v>0</v>
      </c>
      <c r="DV40" s="739">
        <v>0</v>
      </c>
      <c r="DW40" s="740">
        <v>0</v>
      </c>
      <c r="DX40" s="740">
        <v>0</v>
      </c>
      <c r="DY40" s="740">
        <v>1</v>
      </c>
      <c r="DZ40" s="740">
        <v>1</v>
      </c>
      <c r="EA40" s="740">
        <v>1</v>
      </c>
      <c r="EB40" s="741">
        <v>1</v>
      </c>
      <c r="EC40" s="760">
        <v>1</v>
      </c>
      <c r="ED40" s="760">
        <v>1</v>
      </c>
      <c r="EE40" s="739">
        <v>1</v>
      </c>
      <c r="EF40" s="740">
        <v>1</v>
      </c>
      <c r="EG40" s="740">
        <v>1</v>
      </c>
      <c r="EH40" s="740">
        <v>1</v>
      </c>
      <c r="EI40" s="740">
        <v>1</v>
      </c>
      <c r="EJ40" s="740">
        <v>1</v>
      </c>
      <c r="EK40" s="741">
        <v>1</v>
      </c>
      <c r="EL40" s="747">
        <v>0</v>
      </c>
      <c r="EM40" s="747">
        <v>0</v>
      </c>
      <c r="EN40" s="747">
        <v>0</v>
      </c>
      <c r="EO40" s="747">
        <v>0</v>
      </c>
      <c r="EP40" s="747">
        <v>0</v>
      </c>
      <c r="EQ40" s="738">
        <v>0</v>
      </c>
      <c r="ER40" s="738">
        <v>0</v>
      </c>
      <c r="ES40" s="739">
        <v>0</v>
      </c>
      <c r="ET40" s="740">
        <v>0</v>
      </c>
      <c r="EU40" s="740">
        <v>0</v>
      </c>
      <c r="EV40" s="740">
        <v>0</v>
      </c>
      <c r="EW40" s="740">
        <v>0</v>
      </c>
      <c r="EX40" s="740">
        <v>0</v>
      </c>
      <c r="EY40" s="741">
        <v>0</v>
      </c>
      <c r="EZ40" s="738">
        <v>1</v>
      </c>
      <c r="FA40" s="738">
        <v>1</v>
      </c>
      <c r="FB40" s="739">
        <v>1</v>
      </c>
      <c r="FC40" s="740">
        <v>1</v>
      </c>
      <c r="FD40" s="740">
        <v>1</v>
      </c>
      <c r="FE40" s="740">
        <v>1</v>
      </c>
      <c r="FF40" s="740">
        <v>1</v>
      </c>
      <c r="FG40" s="740">
        <v>1</v>
      </c>
      <c r="FH40" s="741">
        <v>1</v>
      </c>
      <c r="FI40" s="738">
        <v>1</v>
      </c>
      <c r="FJ40" s="738">
        <v>1</v>
      </c>
      <c r="FK40" s="739">
        <v>1</v>
      </c>
      <c r="FL40" s="740">
        <v>1</v>
      </c>
      <c r="FM40" s="740">
        <v>1</v>
      </c>
      <c r="FN40" s="740">
        <v>1</v>
      </c>
      <c r="FO40" s="740">
        <v>1</v>
      </c>
      <c r="FP40" s="740">
        <v>1</v>
      </c>
      <c r="FQ40" s="741">
        <v>1</v>
      </c>
      <c r="FR40" s="738">
        <v>1</v>
      </c>
      <c r="FS40" s="738">
        <v>1</v>
      </c>
      <c r="FT40" s="739">
        <v>1</v>
      </c>
      <c r="FU40" s="740">
        <v>1</v>
      </c>
      <c r="FV40" s="740">
        <v>1</v>
      </c>
      <c r="FW40" s="740">
        <v>1</v>
      </c>
      <c r="FX40" s="740">
        <v>1</v>
      </c>
      <c r="FY40" s="740">
        <v>1</v>
      </c>
      <c r="FZ40" s="741">
        <v>1</v>
      </c>
      <c r="GA40" s="738">
        <v>1</v>
      </c>
      <c r="GB40" s="738">
        <v>1</v>
      </c>
      <c r="GC40" s="739">
        <v>1</v>
      </c>
      <c r="GD40" s="740">
        <v>1</v>
      </c>
      <c r="GE40" s="740">
        <v>1</v>
      </c>
      <c r="GF40" s="740">
        <v>1</v>
      </c>
      <c r="GG40" s="740">
        <v>1</v>
      </c>
      <c r="GH40" s="740">
        <v>1</v>
      </c>
      <c r="GI40" s="741">
        <v>1</v>
      </c>
      <c r="GJ40" s="738">
        <v>1</v>
      </c>
      <c r="GK40" s="738">
        <v>1</v>
      </c>
      <c r="GL40" s="739">
        <v>1</v>
      </c>
      <c r="GM40" s="740">
        <v>1</v>
      </c>
      <c r="GN40" s="740">
        <v>1</v>
      </c>
      <c r="GO40" s="740">
        <v>1</v>
      </c>
      <c r="GP40" s="740">
        <v>1</v>
      </c>
      <c r="GQ40" s="740">
        <v>1</v>
      </c>
      <c r="GR40" s="741">
        <v>1</v>
      </c>
      <c r="GS40" s="740">
        <v>0</v>
      </c>
      <c r="GT40" s="740">
        <v>0</v>
      </c>
      <c r="GU40" s="739">
        <v>2</v>
      </c>
      <c r="GV40" s="740">
        <v>0</v>
      </c>
      <c r="GW40" s="740">
        <v>0</v>
      </c>
      <c r="GX40" s="740">
        <v>0</v>
      </c>
      <c r="GY40" s="740">
        <v>0</v>
      </c>
      <c r="GZ40" s="740">
        <v>0</v>
      </c>
      <c r="HA40" s="741">
        <v>0</v>
      </c>
      <c r="HB40" s="738">
        <v>0</v>
      </c>
      <c r="HC40" s="738">
        <v>0</v>
      </c>
      <c r="HD40" s="739">
        <v>0</v>
      </c>
      <c r="HE40" s="740">
        <v>0</v>
      </c>
      <c r="HF40" s="740">
        <v>0</v>
      </c>
      <c r="HG40" s="740">
        <v>0</v>
      </c>
      <c r="HH40" s="740">
        <v>0</v>
      </c>
      <c r="HI40" s="740">
        <v>0</v>
      </c>
      <c r="HJ40" s="741">
        <v>0</v>
      </c>
      <c r="HK40" s="738">
        <v>0</v>
      </c>
      <c r="HL40" s="738">
        <v>0</v>
      </c>
      <c r="HM40" s="739">
        <v>0</v>
      </c>
      <c r="HN40" s="740">
        <v>0</v>
      </c>
      <c r="HO40" s="740">
        <v>0</v>
      </c>
      <c r="HP40" s="740">
        <v>0</v>
      </c>
      <c r="HQ40" s="740">
        <v>0</v>
      </c>
      <c r="HR40" s="740">
        <v>0</v>
      </c>
      <c r="HS40" s="741">
        <v>0</v>
      </c>
      <c r="HT40" s="749">
        <f t="shared" si="3"/>
        <v>30</v>
      </c>
      <c r="HU40" s="749">
        <f t="shared" si="3"/>
        <v>33</v>
      </c>
      <c r="HV40" s="749">
        <f t="shared" si="4"/>
        <v>36</v>
      </c>
      <c r="HW40" s="749">
        <f t="shared" si="4"/>
        <v>34</v>
      </c>
      <c r="HX40" s="749">
        <f t="shared" si="5"/>
        <v>36</v>
      </c>
      <c r="HY40" s="749">
        <f t="shared" si="5"/>
        <v>36</v>
      </c>
      <c r="HZ40" s="749">
        <f t="shared" si="5"/>
        <v>39</v>
      </c>
      <c r="IA40" s="749">
        <v>38</v>
      </c>
      <c r="IB40" s="750">
        <v>33</v>
      </c>
      <c r="IC40" s="751">
        <v>0</v>
      </c>
      <c r="ID40" s="751">
        <v>0</v>
      </c>
      <c r="IE40" s="765">
        <v>0</v>
      </c>
      <c r="IF40" s="765">
        <v>0</v>
      </c>
      <c r="IG40" s="765">
        <v>0</v>
      </c>
      <c r="IH40" s="765">
        <v>0</v>
      </c>
      <c r="II40" s="765">
        <v>0</v>
      </c>
      <c r="IJ40" s="765">
        <v>0</v>
      </c>
      <c r="IK40" s="765">
        <v>0</v>
      </c>
      <c r="IL40" s="765">
        <v>0</v>
      </c>
      <c r="IM40" s="765">
        <v>1</v>
      </c>
      <c r="IN40" s="765">
        <v>1</v>
      </c>
      <c r="IO40" s="765">
        <v>1</v>
      </c>
      <c r="IP40" s="765">
        <v>1</v>
      </c>
      <c r="IQ40" s="765">
        <v>1</v>
      </c>
      <c r="IR40" s="765">
        <v>0</v>
      </c>
      <c r="IS40" s="765">
        <v>0</v>
      </c>
      <c r="IT40" s="765">
        <v>1</v>
      </c>
      <c r="IU40" s="765">
        <v>1</v>
      </c>
      <c r="IV40" s="765">
        <v>1</v>
      </c>
      <c r="IW40" s="765">
        <v>1</v>
      </c>
      <c r="IX40" s="765">
        <v>1</v>
      </c>
      <c r="IY40" s="765">
        <v>0</v>
      </c>
      <c r="IZ40" s="765">
        <v>0</v>
      </c>
      <c r="JA40" s="765">
        <v>0</v>
      </c>
      <c r="JB40" s="765">
        <v>0</v>
      </c>
      <c r="JC40" s="765">
        <v>0</v>
      </c>
      <c r="JD40" s="765">
        <v>0</v>
      </c>
      <c r="JE40" s="765">
        <v>0</v>
      </c>
      <c r="JF40" s="765">
        <v>0</v>
      </c>
      <c r="JG40" s="765">
        <v>1</v>
      </c>
      <c r="JH40" s="765">
        <v>0</v>
      </c>
      <c r="JI40" s="765">
        <v>0</v>
      </c>
      <c r="JJ40" s="765">
        <v>0</v>
      </c>
      <c r="JK40" s="765">
        <v>0</v>
      </c>
      <c r="JL40" s="765">
        <v>0</v>
      </c>
      <c r="JM40" s="765">
        <v>1</v>
      </c>
      <c r="JN40" s="765">
        <v>1</v>
      </c>
      <c r="JO40" s="765">
        <v>1</v>
      </c>
      <c r="JP40" s="765">
        <v>1</v>
      </c>
      <c r="JQ40" s="765">
        <v>0</v>
      </c>
      <c r="JR40" s="765">
        <v>1</v>
      </c>
      <c r="JS40" s="765">
        <v>1</v>
      </c>
      <c r="JT40" s="765">
        <v>1</v>
      </c>
      <c r="JU40" s="765">
        <v>1</v>
      </c>
      <c r="JV40" s="765">
        <v>1</v>
      </c>
      <c r="JW40" s="765">
        <v>1</v>
      </c>
      <c r="JX40" s="765">
        <v>2</v>
      </c>
      <c r="JY40" s="765">
        <v>2</v>
      </c>
      <c r="JZ40" s="765">
        <v>2</v>
      </c>
      <c r="KA40" s="752">
        <v>1</v>
      </c>
      <c r="KB40" s="752">
        <v>1</v>
      </c>
      <c r="KC40" s="752">
        <v>2</v>
      </c>
      <c r="KD40" s="752">
        <v>2</v>
      </c>
      <c r="KE40" s="752">
        <v>3</v>
      </c>
      <c r="KF40" s="752">
        <v>4</v>
      </c>
      <c r="KG40" s="752">
        <v>5</v>
      </c>
      <c r="KH40" s="752">
        <v>4</v>
      </c>
      <c r="KI40" s="752">
        <v>5</v>
      </c>
      <c r="KJ40" s="752">
        <v>31</v>
      </c>
      <c r="KK40" s="752">
        <v>34</v>
      </c>
      <c r="KL40" s="752">
        <v>38</v>
      </c>
      <c r="KM40" s="752">
        <v>36</v>
      </c>
      <c r="KN40" s="752">
        <v>39</v>
      </c>
      <c r="KO40" s="752">
        <v>40</v>
      </c>
      <c r="KP40" s="752">
        <v>44</v>
      </c>
      <c r="KQ40" s="752">
        <v>42</v>
      </c>
      <c r="KR40" s="755">
        <v>38</v>
      </c>
      <c r="KS40" s="808"/>
    </row>
    <row r="41" spans="1:307" s="781" customFormat="1" ht="12.75" x14ac:dyDescent="0.25">
      <c r="A41" s="766"/>
      <c r="B41" s="767" t="s">
        <v>129</v>
      </c>
      <c r="C41" s="72">
        <v>1972</v>
      </c>
      <c r="D41" s="72">
        <v>1992</v>
      </c>
      <c r="E41" s="768">
        <v>1995</v>
      </c>
      <c r="F41" s="769">
        <v>1994</v>
      </c>
      <c r="G41" s="769">
        <v>1742</v>
      </c>
      <c r="H41" s="769">
        <v>1734</v>
      </c>
      <c r="I41" s="769">
        <v>1523</v>
      </c>
      <c r="J41" s="769">
        <v>1437</v>
      </c>
      <c r="K41" s="770">
        <v>1310</v>
      </c>
      <c r="L41" s="72">
        <v>2097</v>
      </c>
      <c r="M41" s="72">
        <v>2221</v>
      </c>
      <c r="N41" s="768">
        <v>2329</v>
      </c>
      <c r="O41" s="769">
        <v>2457</v>
      </c>
      <c r="P41" s="769">
        <v>2472</v>
      </c>
      <c r="Q41" s="769">
        <v>2395</v>
      </c>
      <c r="R41" s="769">
        <v>2292</v>
      </c>
      <c r="S41" s="769">
        <v>2214</v>
      </c>
      <c r="T41" s="770">
        <v>2171</v>
      </c>
      <c r="U41" s="72">
        <v>1885</v>
      </c>
      <c r="V41" s="72">
        <v>1915</v>
      </c>
      <c r="W41" s="768">
        <v>1925</v>
      </c>
      <c r="X41" s="769">
        <v>1935</v>
      </c>
      <c r="Y41" s="771">
        <v>1944</v>
      </c>
      <c r="Z41" s="771">
        <v>1935</v>
      </c>
      <c r="AA41" s="771">
        <v>1678</v>
      </c>
      <c r="AB41" s="771">
        <v>1631</v>
      </c>
      <c r="AC41" s="772">
        <v>1550</v>
      </c>
      <c r="AD41" s="72">
        <v>1832</v>
      </c>
      <c r="AE41" s="72">
        <v>1992</v>
      </c>
      <c r="AF41" s="768">
        <v>2082</v>
      </c>
      <c r="AG41" s="769">
        <v>2132</v>
      </c>
      <c r="AH41" s="769">
        <v>2138</v>
      </c>
      <c r="AI41" s="769">
        <v>2086</v>
      </c>
      <c r="AJ41" s="769">
        <v>2053</v>
      </c>
      <c r="AK41" s="769">
        <v>1999</v>
      </c>
      <c r="AL41" s="770">
        <v>1729</v>
      </c>
      <c r="AM41" s="773">
        <v>1</v>
      </c>
      <c r="AN41" s="773">
        <v>3</v>
      </c>
      <c r="AO41" s="773">
        <v>3</v>
      </c>
      <c r="AP41" s="773">
        <v>3</v>
      </c>
      <c r="AQ41" s="774">
        <v>2</v>
      </c>
      <c r="AR41" s="72">
        <v>186</v>
      </c>
      <c r="AS41" s="72">
        <v>210</v>
      </c>
      <c r="AT41" s="775">
        <v>214</v>
      </c>
      <c r="AU41" s="72">
        <v>219</v>
      </c>
      <c r="AV41" s="72">
        <v>225</v>
      </c>
      <c r="AW41" s="72">
        <v>227</v>
      </c>
      <c r="AX41" s="72">
        <v>185</v>
      </c>
      <c r="AY41" s="72">
        <v>202</v>
      </c>
      <c r="AZ41" s="776">
        <v>203</v>
      </c>
      <c r="BA41" s="72">
        <v>59</v>
      </c>
      <c r="BB41" s="72">
        <v>69</v>
      </c>
      <c r="BC41" s="775">
        <v>87</v>
      </c>
      <c r="BD41" s="72">
        <v>79</v>
      </c>
      <c r="BE41" s="72">
        <v>104</v>
      </c>
      <c r="BF41" s="72">
        <v>104</v>
      </c>
      <c r="BG41" s="72">
        <v>152</v>
      </c>
      <c r="BH41" s="72">
        <v>160</v>
      </c>
      <c r="BI41" s="776">
        <v>0</v>
      </c>
      <c r="BJ41" s="72">
        <v>107</v>
      </c>
      <c r="BK41" s="72">
        <v>110</v>
      </c>
      <c r="BL41" s="775">
        <v>116</v>
      </c>
      <c r="BM41" s="72">
        <v>109</v>
      </c>
      <c r="BN41" s="72">
        <v>91</v>
      </c>
      <c r="BO41" s="72">
        <v>90</v>
      </c>
      <c r="BP41" s="72">
        <v>135</v>
      </c>
      <c r="BQ41" s="72">
        <v>141</v>
      </c>
      <c r="BR41" s="776">
        <v>157</v>
      </c>
      <c r="BS41" s="72">
        <v>2</v>
      </c>
      <c r="BT41" s="72">
        <v>9</v>
      </c>
      <c r="BU41" s="72">
        <v>11</v>
      </c>
      <c r="BV41" s="72">
        <v>11</v>
      </c>
      <c r="BW41" s="776">
        <v>11</v>
      </c>
      <c r="BX41" s="72">
        <v>111</v>
      </c>
      <c r="BY41" s="72">
        <v>129</v>
      </c>
      <c r="BZ41" s="775">
        <v>138</v>
      </c>
      <c r="CA41" s="72">
        <v>128</v>
      </c>
      <c r="CB41" s="72">
        <v>127</v>
      </c>
      <c r="CC41" s="72">
        <v>126</v>
      </c>
      <c r="CD41" s="72">
        <v>125</v>
      </c>
      <c r="CE41" s="72">
        <v>121</v>
      </c>
      <c r="CF41" s="776">
        <v>133</v>
      </c>
      <c r="CG41" s="72">
        <v>15</v>
      </c>
      <c r="CH41" s="72">
        <v>27</v>
      </c>
      <c r="CI41" s="72">
        <v>40</v>
      </c>
      <c r="CJ41" s="72">
        <v>42</v>
      </c>
      <c r="CK41" s="776">
        <v>52</v>
      </c>
      <c r="CL41" s="72">
        <v>108</v>
      </c>
      <c r="CM41" s="72">
        <v>108</v>
      </c>
      <c r="CN41" s="775">
        <v>108</v>
      </c>
      <c r="CO41" s="72">
        <v>108</v>
      </c>
      <c r="CP41" s="72">
        <v>107</v>
      </c>
      <c r="CQ41" s="72">
        <v>122</v>
      </c>
      <c r="CR41" s="72">
        <v>129</v>
      </c>
      <c r="CS41" s="72">
        <v>203</v>
      </c>
      <c r="CT41" s="776">
        <v>203</v>
      </c>
      <c r="CU41" s="72">
        <v>273</v>
      </c>
      <c r="CV41" s="72">
        <v>253</v>
      </c>
      <c r="CW41" s="775">
        <v>257</v>
      </c>
      <c r="CX41" s="72">
        <v>249</v>
      </c>
      <c r="CY41" s="72">
        <v>253</v>
      </c>
      <c r="CZ41" s="72">
        <v>265</v>
      </c>
      <c r="DA41" s="72">
        <v>273</v>
      </c>
      <c r="DB41" s="72">
        <v>276</v>
      </c>
      <c r="DC41" s="776">
        <v>283</v>
      </c>
      <c r="DD41" s="777">
        <v>73</v>
      </c>
      <c r="DE41" s="777">
        <v>79</v>
      </c>
      <c r="DF41" s="775">
        <v>82</v>
      </c>
      <c r="DG41" s="72">
        <v>88</v>
      </c>
      <c r="DH41" s="72">
        <v>93</v>
      </c>
      <c r="DI41" s="72">
        <v>316</v>
      </c>
      <c r="DJ41" s="72">
        <v>338</v>
      </c>
      <c r="DK41" s="72">
        <v>340</v>
      </c>
      <c r="DL41" s="776">
        <v>339</v>
      </c>
      <c r="DM41" s="775">
        <v>9</v>
      </c>
      <c r="DN41" s="72">
        <v>12</v>
      </c>
      <c r="DO41" s="72">
        <v>15</v>
      </c>
      <c r="DP41" s="72">
        <v>17</v>
      </c>
      <c r="DQ41" s="72">
        <v>18</v>
      </c>
      <c r="DR41" s="72">
        <v>19</v>
      </c>
      <c r="DS41" s="776">
        <v>19</v>
      </c>
      <c r="DT41" s="778">
        <v>21</v>
      </c>
      <c r="DU41" s="778">
        <v>29</v>
      </c>
      <c r="DV41" s="775">
        <v>35</v>
      </c>
      <c r="DW41" s="72">
        <v>60</v>
      </c>
      <c r="DX41" s="72">
        <v>61</v>
      </c>
      <c r="DY41" s="72">
        <v>75</v>
      </c>
      <c r="DZ41" s="72">
        <v>112</v>
      </c>
      <c r="EA41" s="72">
        <v>115</v>
      </c>
      <c r="EB41" s="776">
        <v>114</v>
      </c>
      <c r="EC41" s="778">
        <v>73</v>
      </c>
      <c r="ED41" s="778">
        <v>79</v>
      </c>
      <c r="EE41" s="775">
        <v>80</v>
      </c>
      <c r="EF41" s="769">
        <v>80</v>
      </c>
      <c r="EG41" s="769">
        <v>125</v>
      </c>
      <c r="EH41" s="769">
        <v>169</v>
      </c>
      <c r="EI41" s="769">
        <v>170</v>
      </c>
      <c r="EJ41" s="769">
        <v>133</v>
      </c>
      <c r="EK41" s="770">
        <v>105</v>
      </c>
      <c r="EL41" s="72">
        <v>1</v>
      </c>
      <c r="EM41" s="72">
        <v>2</v>
      </c>
      <c r="EN41" s="72">
        <v>2</v>
      </c>
      <c r="EO41" s="72">
        <v>2</v>
      </c>
      <c r="EP41" s="72">
        <v>4</v>
      </c>
      <c r="EQ41" s="72">
        <v>7</v>
      </c>
      <c r="ER41" s="72">
        <v>7</v>
      </c>
      <c r="ES41" s="775">
        <v>7</v>
      </c>
      <c r="ET41" s="769">
        <v>7</v>
      </c>
      <c r="EU41" s="769">
        <v>8</v>
      </c>
      <c r="EV41" s="769">
        <v>8</v>
      </c>
      <c r="EW41" s="769">
        <v>8</v>
      </c>
      <c r="EX41" s="769">
        <v>9</v>
      </c>
      <c r="EY41" s="770">
        <v>10</v>
      </c>
      <c r="EZ41" s="72">
        <v>139</v>
      </c>
      <c r="FA41" s="72">
        <v>139</v>
      </c>
      <c r="FB41" s="775">
        <v>138</v>
      </c>
      <c r="FC41" s="769">
        <v>141</v>
      </c>
      <c r="FD41" s="769">
        <v>140</v>
      </c>
      <c r="FE41" s="769">
        <v>143</v>
      </c>
      <c r="FF41" s="769">
        <v>148</v>
      </c>
      <c r="FG41" s="769">
        <v>141</v>
      </c>
      <c r="FH41" s="770">
        <v>128</v>
      </c>
      <c r="FI41" s="72">
        <v>108</v>
      </c>
      <c r="FJ41" s="72">
        <v>112</v>
      </c>
      <c r="FK41" s="775">
        <v>116</v>
      </c>
      <c r="FL41" s="769">
        <v>125</v>
      </c>
      <c r="FM41" s="769">
        <v>136</v>
      </c>
      <c r="FN41" s="769">
        <v>143</v>
      </c>
      <c r="FO41" s="769">
        <v>156</v>
      </c>
      <c r="FP41" s="769">
        <v>159</v>
      </c>
      <c r="FQ41" s="770">
        <v>158</v>
      </c>
      <c r="FR41" s="72">
        <v>55</v>
      </c>
      <c r="FS41" s="72">
        <v>76</v>
      </c>
      <c r="FT41" s="775">
        <v>105</v>
      </c>
      <c r="FU41" s="769">
        <v>110</v>
      </c>
      <c r="FV41" s="769">
        <v>111</v>
      </c>
      <c r="FW41" s="769">
        <v>114</v>
      </c>
      <c r="FX41" s="769">
        <v>124</v>
      </c>
      <c r="FY41" s="769">
        <v>136</v>
      </c>
      <c r="FZ41" s="770">
        <v>136</v>
      </c>
      <c r="GA41" s="72">
        <v>99</v>
      </c>
      <c r="GB41" s="72">
        <v>123</v>
      </c>
      <c r="GC41" s="775">
        <v>135</v>
      </c>
      <c r="GD41" s="769">
        <v>136</v>
      </c>
      <c r="GE41" s="769">
        <v>159</v>
      </c>
      <c r="GF41" s="769">
        <v>175</v>
      </c>
      <c r="GG41" s="769">
        <v>209</v>
      </c>
      <c r="GH41" s="769">
        <v>201</v>
      </c>
      <c r="GI41" s="770">
        <v>203</v>
      </c>
      <c r="GJ41" s="72">
        <v>78</v>
      </c>
      <c r="GK41" s="72">
        <v>98</v>
      </c>
      <c r="GL41" s="775">
        <v>103</v>
      </c>
      <c r="GM41" s="769">
        <v>156</v>
      </c>
      <c r="GN41" s="769">
        <v>158</v>
      </c>
      <c r="GO41" s="769">
        <v>213</v>
      </c>
      <c r="GP41" s="769">
        <v>205</v>
      </c>
      <c r="GQ41" s="769">
        <v>200</v>
      </c>
      <c r="GR41" s="770">
        <v>200</v>
      </c>
      <c r="GS41" s="769">
        <v>94</v>
      </c>
      <c r="GT41" s="769">
        <v>103</v>
      </c>
      <c r="GU41" s="775">
        <v>111</v>
      </c>
      <c r="GV41" s="769">
        <v>111</v>
      </c>
      <c r="GW41" s="769">
        <v>111</v>
      </c>
      <c r="GX41" s="769">
        <v>111</v>
      </c>
      <c r="GY41" s="769">
        <v>112</v>
      </c>
      <c r="GZ41" s="769">
        <v>117</v>
      </c>
      <c r="HA41" s="770">
        <v>117</v>
      </c>
      <c r="HB41" s="72">
        <v>22</v>
      </c>
      <c r="HC41" s="72">
        <v>23</v>
      </c>
      <c r="HD41" s="775">
        <v>19</v>
      </c>
      <c r="HE41" s="769">
        <v>19</v>
      </c>
      <c r="HF41" s="769">
        <v>20</v>
      </c>
      <c r="HG41" s="769">
        <v>20</v>
      </c>
      <c r="HH41" s="769">
        <v>20</v>
      </c>
      <c r="HI41" s="769">
        <v>20</v>
      </c>
      <c r="HJ41" s="770">
        <v>21</v>
      </c>
      <c r="HK41" s="72">
        <v>61</v>
      </c>
      <c r="HL41" s="72">
        <v>64</v>
      </c>
      <c r="HM41" s="775">
        <v>64</v>
      </c>
      <c r="HN41" s="769">
        <v>64</v>
      </c>
      <c r="HO41" s="769">
        <v>66</v>
      </c>
      <c r="HP41" s="769">
        <v>66</v>
      </c>
      <c r="HQ41" s="769">
        <v>66</v>
      </c>
      <c r="HR41" s="769">
        <v>66</v>
      </c>
      <c r="HS41" s="770">
        <v>52</v>
      </c>
      <c r="HT41" s="769">
        <f t="shared" si="3"/>
        <v>9460</v>
      </c>
      <c r="HU41" s="769">
        <f t="shared" si="3"/>
        <v>9931</v>
      </c>
      <c r="HV41" s="769">
        <f t="shared" si="4"/>
        <v>10255</v>
      </c>
      <c r="HW41" s="769">
        <f t="shared" si="4"/>
        <v>10519</v>
      </c>
      <c r="HX41" s="769">
        <f t="shared" si="5"/>
        <v>10425</v>
      </c>
      <c r="HY41" s="769">
        <f t="shared" si="5"/>
        <v>10695</v>
      </c>
      <c r="HZ41" s="769">
        <f t="shared" si="5"/>
        <v>10287</v>
      </c>
      <c r="IA41" s="769">
        <v>10098</v>
      </c>
      <c r="IB41" s="770">
        <v>9410</v>
      </c>
      <c r="IC41" s="779">
        <v>9</v>
      </c>
      <c r="ID41" s="779">
        <v>60</v>
      </c>
      <c r="IE41" s="779">
        <v>61</v>
      </c>
      <c r="IF41" s="779">
        <v>80</v>
      </c>
      <c r="IG41" s="779">
        <v>90</v>
      </c>
      <c r="IH41" s="779">
        <v>113</v>
      </c>
      <c r="II41" s="779">
        <v>43</v>
      </c>
      <c r="IJ41" s="779">
        <v>46</v>
      </c>
      <c r="IK41" s="779">
        <v>56</v>
      </c>
      <c r="IL41" s="779">
        <v>61</v>
      </c>
      <c r="IM41" s="779">
        <v>74</v>
      </c>
      <c r="IN41" s="779">
        <v>111</v>
      </c>
      <c r="IO41" s="779">
        <v>156</v>
      </c>
      <c r="IP41" s="779">
        <v>158</v>
      </c>
      <c r="IQ41" s="779">
        <v>207</v>
      </c>
      <c r="IR41" s="779">
        <v>52</v>
      </c>
      <c r="IS41" s="779">
        <v>83</v>
      </c>
      <c r="IT41" s="779">
        <v>101</v>
      </c>
      <c r="IU41" s="779">
        <v>110</v>
      </c>
      <c r="IV41" s="779">
        <v>158</v>
      </c>
      <c r="IW41" s="779">
        <v>186</v>
      </c>
      <c r="IX41" s="779">
        <v>194</v>
      </c>
      <c r="IY41" s="779">
        <v>7</v>
      </c>
      <c r="IZ41" s="779">
        <v>13</v>
      </c>
      <c r="JA41" s="779">
        <v>16</v>
      </c>
      <c r="JB41" s="779">
        <v>19</v>
      </c>
      <c r="JC41" s="779">
        <v>19</v>
      </c>
      <c r="JD41" s="779">
        <v>23</v>
      </c>
      <c r="JE41" s="779">
        <v>47</v>
      </c>
      <c r="JF41" s="779">
        <v>51</v>
      </c>
      <c r="JG41" s="779">
        <v>77</v>
      </c>
      <c r="JH41" s="779">
        <v>22</v>
      </c>
      <c r="JI41" s="779">
        <v>26</v>
      </c>
      <c r="JJ41" s="779">
        <v>27</v>
      </c>
      <c r="JK41" s="779">
        <v>28</v>
      </c>
      <c r="JL41" s="779">
        <v>30</v>
      </c>
      <c r="JM41" s="779">
        <v>40</v>
      </c>
      <c r="JN41" s="779">
        <v>55</v>
      </c>
      <c r="JO41" s="779">
        <v>114</v>
      </c>
      <c r="JP41" s="779">
        <v>161</v>
      </c>
      <c r="JQ41" s="779">
        <v>2</v>
      </c>
      <c r="JR41" s="779">
        <v>271</v>
      </c>
      <c r="JS41" s="779">
        <v>290</v>
      </c>
      <c r="JT41" s="779">
        <v>320</v>
      </c>
      <c r="JU41" s="779">
        <v>367</v>
      </c>
      <c r="JV41" s="779">
        <v>434</v>
      </c>
      <c r="JW41" s="779">
        <v>460</v>
      </c>
      <c r="JX41" s="779">
        <v>575</v>
      </c>
      <c r="JY41" s="779">
        <v>737</v>
      </c>
      <c r="JZ41" s="779">
        <v>807</v>
      </c>
      <c r="KA41" s="780">
        <v>395</v>
      </c>
      <c r="KB41" s="780">
        <v>458</v>
      </c>
      <c r="KC41" s="780">
        <v>520</v>
      </c>
      <c r="KD41" s="780">
        <v>594</v>
      </c>
      <c r="KE41" s="780">
        <v>775</v>
      </c>
      <c r="KF41" s="780">
        <v>883</v>
      </c>
      <c r="KG41" s="780">
        <v>1107</v>
      </c>
      <c r="KH41" s="780">
        <v>1150</v>
      </c>
      <c r="KI41" s="780">
        <v>1365</v>
      </c>
      <c r="KJ41" s="780">
        <v>9855</v>
      </c>
      <c r="KK41" s="780">
        <v>10389</v>
      </c>
      <c r="KL41" s="780">
        <v>10775</v>
      </c>
      <c r="KM41" s="780">
        <v>11113</v>
      </c>
      <c r="KN41" s="780">
        <v>11200</v>
      </c>
      <c r="KO41" s="780">
        <v>11578</v>
      </c>
      <c r="KP41" s="780">
        <v>11394</v>
      </c>
      <c r="KQ41" s="780">
        <v>11248</v>
      </c>
      <c r="KR41" s="774">
        <v>10775</v>
      </c>
      <c r="KS41" s="808"/>
      <c r="KT41" s="737"/>
      <c r="KU41" s="737"/>
    </row>
    <row r="42" spans="1:307" s="795" customFormat="1" ht="12.75" x14ac:dyDescent="0.25">
      <c r="A42" s="782"/>
      <c r="B42" s="782"/>
      <c r="C42" s="783"/>
      <c r="D42" s="783"/>
      <c r="E42" s="784"/>
      <c r="F42" s="785"/>
      <c r="G42" s="785"/>
      <c r="H42" s="785"/>
      <c r="I42" s="785"/>
      <c r="J42" s="785"/>
      <c r="K42" s="786"/>
      <c r="L42" s="783"/>
      <c r="M42" s="783"/>
      <c r="N42" s="784"/>
      <c r="O42" s="785"/>
      <c r="P42" s="785"/>
      <c r="Q42" s="785"/>
      <c r="R42" s="785"/>
      <c r="S42" s="785"/>
      <c r="T42" s="786"/>
      <c r="U42" s="783"/>
      <c r="V42" s="783"/>
      <c r="W42" s="784"/>
      <c r="X42" s="785"/>
      <c r="Y42" s="787"/>
      <c r="Z42" s="787"/>
      <c r="AA42" s="787"/>
      <c r="AB42" s="787"/>
      <c r="AC42" s="788"/>
      <c r="AD42" s="783"/>
      <c r="AE42" s="783"/>
      <c r="AF42" s="784"/>
      <c r="AG42" s="785"/>
      <c r="AH42" s="785"/>
      <c r="AI42" s="785"/>
      <c r="AJ42" s="785"/>
      <c r="AK42" s="785"/>
      <c r="AL42" s="786"/>
      <c r="AM42" s="782"/>
      <c r="AN42" s="782"/>
      <c r="AO42" s="782"/>
      <c r="AP42" s="782"/>
      <c r="AQ42" s="789"/>
      <c r="AR42" s="782"/>
      <c r="AS42" s="782"/>
      <c r="AT42" s="782"/>
      <c r="AU42" s="782"/>
      <c r="AV42" s="782"/>
      <c r="AW42" s="782"/>
      <c r="AX42" s="782"/>
      <c r="AY42" s="782"/>
      <c r="AZ42" s="789"/>
      <c r="BA42" s="782"/>
      <c r="BB42" s="782"/>
      <c r="BC42" s="782"/>
      <c r="BD42" s="782"/>
      <c r="BE42" s="782"/>
      <c r="BF42" s="782"/>
      <c r="BG42" s="782"/>
      <c r="BH42" s="782"/>
      <c r="BI42" s="789"/>
      <c r="BJ42" s="782"/>
      <c r="BK42" s="782"/>
      <c r="BL42" s="782"/>
      <c r="BM42" s="782"/>
      <c r="BN42" s="782"/>
      <c r="BO42" s="782"/>
      <c r="BP42" s="782"/>
      <c r="BQ42" s="782"/>
      <c r="BR42" s="789"/>
      <c r="BS42" s="782"/>
      <c r="BT42" s="782"/>
      <c r="BU42" s="782"/>
      <c r="BV42" s="782"/>
      <c r="BW42" s="789"/>
      <c r="BX42" s="782"/>
      <c r="BY42" s="782"/>
      <c r="BZ42" s="782"/>
      <c r="CA42" s="782"/>
      <c r="CB42" s="782"/>
      <c r="CC42" s="782"/>
      <c r="CD42" s="782"/>
      <c r="CE42" s="782"/>
      <c r="CF42" s="789"/>
      <c r="CG42" s="782"/>
      <c r="CH42" s="782"/>
      <c r="CI42" s="782"/>
      <c r="CJ42" s="782"/>
      <c r="CK42" s="789"/>
      <c r="CL42" s="782"/>
      <c r="CM42" s="782"/>
      <c r="CN42" s="782"/>
      <c r="CO42" s="783"/>
      <c r="CP42" s="783"/>
      <c r="CQ42" s="783"/>
      <c r="CR42" s="783"/>
      <c r="CS42" s="783"/>
      <c r="CT42" s="790"/>
      <c r="CU42" s="783"/>
      <c r="CV42" s="783"/>
      <c r="CW42" s="791"/>
      <c r="CX42" s="783"/>
      <c r="CY42" s="783"/>
      <c r="CZ42" s="783"/>
      <c r="DA42" s="783"/>
      <c r="DB42" s="783"/>
      <c r="DC42" s="790"/>
      <c r="DD42" s="792"/>
      <c r="DE42" s="792"/>
      <c r="DF42" s="791"/>
      <c r="DG42" s="783"/>
      <c r="DH42" s="783"/>
      <c r="DI42" s="783"/>
      <c r="DJ42" s="783"/>
      <c r="DK42" s="783"/>
      <c r="DL42" s="790"/>
      <c r="DM42" s="791"/>
      <c r="DN42" s="783"/>
      <c r="DO42" s="783"/>
      <c r="DP42" s="783"/>
      <c r="DQ42" s="783"/>
      <c r="DR42" s="783"/>
      <c r="DS42" s="790"/>
      <c r="DT42" s="793"/>
      <c r="DU42" s="793"/>
      <c r="DV42" s="791"/>
      <c r="DW42" s="783"/>
      <c r="DX42" s="783"/>
      <c r="DY42" s="783"/>
      <c r="DZ42" s="783"/>
      <c r="EA42" s="783"/>
      <c r="EB42" s="790"/>
      <c r="EC42" s="793"/>
      <c r="ED42" s="793"/>
      <c r="EE42" s="791"/>
      <c r="EF42" s="785"/>
      <c r="EG42" s="785"/>
      <c r="EH42" s="785"/>
      <c r="EI42" s="785"/>
      <c r="EJ42" s="785"/>
      <c r="EK42" s="786"/>
      <c r="EL42" s="783"/>
      <c r="EM42" s="783"/>
      <c r="EN42" s="783"/>
      <c r="EO42" s="783"/>
      <c r="EP42" s="783"/>
      <c r="EQ42" s="783"/>
      <c r="ER42" s="783"/>
      <c r="ES42" s="791"/>
      <c r="ET42" s="785"/>
      <c r="EU42" s="785"/>
      <c r="EV42" s="785"/>
      <c r="EW42" s="785"/>
      <c r="EX42" s="785"/>
      <c r="EY42" s="786"/>
      <c r="EZ42" s="783"/>
      <c r="FA42" s="783"/>
      <c r="FB42" s="791"/>
      <c r="FC42" s="785"/>
      <c r="FD42" s="785"/>
      <c r="FE42" s="785"/>
      <c r="FF42" s="785"/>
      <c r="FG42" s="785"/>
      <c r="FH42" s="786"/>
      <c r="FI42" s="783"/>
      <c r="FJ42" s="783"/>
      <c r="FK42" s="791"/>
      <c r="FL42" s="785"/>
      <c r="FM42" s="785"/>
      <c r="FN42" s="785"/>
      <c r="FO42" s="785"/>
      <c r="FP42" s="785"/>
      <c r="FQ42" s="786"/>
      <c r="FR42" s="783"/>
      <c r="FS42" s="783"/>
      <c r="FT42" s="791"/>
      <c r="FU42" s="785"/>
      <c r="FV42" s="785"/>
      <c r="FW42" s="785"/>
      <c r="FX42" s="785"/>
      <c r="FY42" s="785"/>
      <c r="FZ42" s="786"/>
      <c r="GA42" s="783"/>
      <c r="GB42" s="783"/>
      <c r="GC42" s="791"/>
      <c r="GD42" s="785"/>
      <c r="GE42" s="785"/>
      <c r="GF42" s="785"/>
      <c r="GG42" s="785"/>
      <c r="GH42" s="785"/>
      <c r="GI42" s="786"/>
      <c r="GJ42" s="783"/>
      <c r="GK42" s="783"/>
      <c r="GL42" s="791"/>
      <c r="GM42" s="785"/>
      <c r="GN42" s="785"/>
      <c r="GO42" s="785"/>
      <c r="GP42" s="785"/>
      <c r="GQ42" s="785"/>
      <c r="GR42" s="786"/>
      <c r="GS42" s="785"/>
      <c r="GT42" s="785"/>
      <c r="GU42" s="791"/>
      <c r="GV42" s="785"/>
      <c r="GW42" s="785"/>
      <c r="GX42" s="785"/>
      <c r="GY42" s="785"/>
      <c r="GZ42" s="785"/>
      <c r="HA42" s="786"/>
      <c r="HB42" s="783"/>
      <c r="HC42" s="783"/>
      <c r="HD42" s="791"/>
      <c r="HE42" s="785"/>
      <c r="HF42" s="785"/>
      <c r="HG42" s="785"/>
      <c r="HH42" s="785"/>
      <c r="HI42" s="785"/>
      <c r="HJ42" s="786"/>
      <c r="HK42" s="783"/>
      <c r="HL42" s="783"/>
      <c r="HM42" s="791"/>
      <c r="HN42" s="785"/>
      <c r="HO42" s="785"/>
      <c r="HP42" s="785"/>
      <c r="HQ42" s="785"/>
      <c r="HR42" s="785"/>
      <c r="HS42" s="786"/>
      <c r="HT42" s="785"/>
      <c r="HU42" s="785"/>
      <c r="HV42" s="785"/>
      <c r="HW42" s="785"/>
      <c r="HX42" s="785"/>
      <c r="HY42" s="785"/>
      <c r="HZ42" s="785"/>
      <c r="IA42" s="785"/>
      <c r="IB42" s="786"/>
      <c r="IC42" s="794"/>
      <c r="ID42" s="794"/>
      <c r="IE42" s="794"/>
      <c r="IF42" s="794"/>
      <c r="IG42" s="794"/>
      <c r="II42" s="783"/>
      <c r="IJ42" s="783"/>
      <c r="IK42" s="791"/>
      <c r="IL42" s="796"/>
      <c r="IM42" s="796"/>
      <c r="IN42" s="796"/>
      <c r="IO42" s="796"/>
      <c r="IP42" s="796"/>
      <c r="IQ42" s="797"/>
      <c r="IR42" s="783"/>
      <c r="IS42" s="783"/>
      <c r="IT42" s="791"/>
      <c r="IU42" s="794"/>
      <c r="IV42" s="794"/>
      <c r="IW42" s="794"/>
      <c r="IX42" s="794"/>
      <c r="IY42" s="783"/>
      <c r="IZ42" s="783"/>
      <c r="JA42" s="791"/>
      <c r="JB42" s="794"/>
      <c r="JC42" s="794"/>
      <c r="JD42" s="794"/>
      <c r="JE42" s="794"/>
      <c r="JF42" s="794"/>
      <c r="JG42" s="798"/>
      <c r="JH42" s="783"/>
      <c r="JI42" s="783"/>
      <c r="JJ42" s="791"/>
      <c r="JK42" s="794"/>
      <c r="JL42" s="794"/>
      <c r="JM42" s="794"/>
      <c r="JN42" s="794"/>
      <c r="JO42" s="794"/>
      <c r="JP42" s="798"/>
      <c r="JQ42" s="796"/>
      <c r="JR42" s="783"/>
      <c r="JS42" s="783"/>
      <c r="JT42" s="791"/>
      <c r="JU42" s="796"/>
      <c r="JV42" s="796"/>
      <c r="JW42" s="796"/>
      <c r="JX42" s="796"/>
      <c r="JY42" s="796"/>
      <c r="JZ42" s="797"/>
      <c r="KA42" s="783"/>
      <c r="KB42" s="783"/>
      <c r="KC42" s="791"/>
      <c r="KD42" s="796"/>
      <c r="KE42" s="796"/>
      <c r="KF42" s="796"/>
      <c r="KG42" s="796"/>
      <c r="KH42" s="796"/>
      <c r="KI42" s="797"/>
      <c r="KJ42" s="783"/>
      <c r="KK42" s="783"/>
      <c r="KL42" s="784"/>
      <c r="KM42" s="799"/>
      <c r="KO42" s="800"/>
      <c r="KP42" s="800"/>
      <c r="KQ42" s="800"/>
      <c r="KR42" s="801"/>
    </row>
    <row r="43" spans="1:307" ht="20.100000000000001" customHeight="1" x14ac:dyDescent="0.25">
      <c r="B43" s="802"/>
      <c r="C43" s="803"/>
      <c r="D43" s="803"/>
      <c r="E43" s="803"/>
      <c r="F43" s="803"/>
      <c r="G43" s="803"/>
      <c r="H43" s="803"/>
      <c r="I43" s="803"/>
      <c r="J43" s="803"/>
      <c r="K43" s="804"/>
      <c r="L43" s="803"/>
      <c r="M43" s="803"/>
      <c r="N43" s="803"/>
      <c r="O43" s="803"/>
      <c r="P43" s="803"/>
      <c r="Q43" s="803"/>
      <c r="R43" s="803"/>
      <c r="S43" s="803"/>
      <c r="T43" s="804"/>
      <c r="U43" s="803"/>
      <c r="V43" s="803"/>
      <c r="W43" s="803"/>
      <c r="X43" s="803"/>
      <c r="Y43" s="803"/>
      <c r="Z43" s="803"/>
      <c r="AA43" s="803"/>
      <c r="AB43" s="803"/>
      <c r="AC43" s="804"/>
      <c r="AD43" s="803"/>
      <c r="AE43" s="803"/>
      <c r="AF43" s="803"/>
      <c r="AG43" s="803"/>
      <c r="AH43" s="803"/>
      <c r="AI43" s="803"/>
      <c r="AJ43" s="803"/>
      <c r="AK43" s="803"/>
      <c r="AL43" s="804"/>
      <c r="AR43" s="803"/>
      <c r="AS43" s="803"/>
      <c r="AT43" s="803"/>
      <c r="AU43" s="803"/>
      <c r="AV43" s="803"/>
      <c r="AW43" s="803"/>
      <c r="AX43" s="803"/>
      <c r="AY43" s="803"/>
      <c r="AZ43" s="804"/>
      <c r="BA43" s="803"/>
      <c r="BB43" s="803"/>
      <c r="BC43" s="803"/>
      <c r="BD43" s="803"/>
      <c r="BE43" s="803"/>
      <c r="BF43" s="803"/>
      <c r="BG43" s="803"/>
      <c r="BH43" s="803"/>
      <c r="BI43" s="804"/>
      <c r="BJ43" s="803"/>
      <c r="BK43" s="803"/>
      <c r="BL43" s="803"/>
      <c r="BM43" s="803"/>
      <c r="BN43" s="803"/>
      <c r="BO43" s="803"/>
      <c r="BP43" s="803"/>
      <c r="BQ43" s="803"/>
      <c r="BR43" s="804"/>
      <c r="BS43" s="803"/>
      <c r="BT43" s="803"/>
      <c r="BU43" s="803"/>
      <c r="BV43" s="803"/>
      <c r="BW43" s="804"/>
      <c r="BX43" s="803"/>
      <c r="BY43" s="803"/>
      <c r="BZ43" s="803"/>
      <c r="CA43" s="803"/>
      <c r="CB43" s="803"/>
      <c r="CC43" s="803"/>
      <c r="CD43" s="803"/>
      <c r="CE43" s="803"/>
      <c r="CF43" s="804"/>
      <c r="CG43" s="803"/>
      <c r="CH43" s="803"/>
      <c r="CI43" s="803"/>
      <c r="CJ43" s="803"/>
      <c r="CK43" s="804"/>
      <c r="CL43" s="803"/>
      <c r="CM43" s="803"/>
      <c r="CN43" s="803"/>
      <c r="CO43" s="803"/>
      <c r="CP43" s="803"/>
      <c r="CQ43" s="803"/>
      <c r="CR43" s="803"/>
      <c r="CS43" s="803"/>
      <c r="CT43" s="804"/>
      <c r="CU43" s="803"/>
      <c r="CV43" s="803"/>
      <c r="CW43" s="803"/>
      <c r="CX43" s="803"/>
      <c r="CY43" s="803"/>
      <c r="CZ43" s="803"/>
      <c r="DA43" s="803"/>
      <c r="DB43" s="803"/>
      <c r="DC43" s="804"/>
      <c r="DD43" s="803"/>
      <c r="DE43" s="803"/>
      <c r="DF43" s="803"/>
      <c r="DG43" s="803"/>
      <c r="DH43" s="803"/>
      <c r="DI43" s="803"/>
      <c r="DJ43" s="803"/>
      <c r="DK43" s="803"/>
      <c r="DL43" s="804"/>
      <c r="DM43" s="803"/>
      <c r="DN43" s="803"/>
      <c r="DO43" s="803"/>
      <c r="DP43" s="803"/>
      <c r="DQ43" s="803"/>
      <c r="DR43" s="803"/>
      <c r="DS43" s="804"/>
      <c r="EL43" s="803"/>
      <c r="EM43" s="803"/>
      <c r="EN43" s="803"/>
      <c r="EO43" s="803"/>
      <c r="EP43" s="803"/>
      <c r="EQ43" s="803"/>
      <c r="ER43" s="803"/>
      <c r="ES43" s="803"/>
      <c r="ET43" s="803"/>
      <c r="EU43" s="803"/>
      <c r="EV43" s="803"/>
      <c r="EW43" s="803"/>
      <c r="EX43" s="803"/>
      <c r="EY43" s="804"/>
      <c r="EZ43" s="803"/>
      <c r="FA43" s="803"/>
      <c r="FB43" s="803"/>
      <c r="FC43" s="803"/>
      <c r="FD43" s="803"/>
      <c r="FE43" s="803"/>
      <c r="FF43" s="803"/>
      <c r="FG43" s="803"/>
      <c r="FH43" s="804"/>
      <c r="FI43" s="803"/>
      <c r="FJ43" s="803"/>
      <c r="FK43" s="803"/>
      <c r="FL43" s="803"/>
      <c r="FM43" s="803"/>
      <c r="FN43" s="803"/>
      <c r="FO43" s="803"/>
      <c r="FP43" s="803"/>
      <c r="FQ43" s="804"/>
      <c r="FR43" s="803"/>
      <c r="FS43" s="803"/>
      <c r="FT43" s="803"/>
      <c r="FU43" s="803"/>
      <c r="FV43" s="803"/>
      <c r="FW43" s="803"/>
      <c r="FX43" s="803"/>
      <c r="FY43" s="803"/>
      <c r="FZ43" s="804"/>
      <c r="GA43" s="803"/>
      <c r="GB43" s="803"/>
      <c r="GC43" s="803"/>
      <c r="GD43" s="803"/>
      <c r="GE43" s="803"/>
      <c r="GF43" s="803"/>
      <c r="GG43" s="803"/>
      <c r="GH43" s="803"/>
      <c r="GI43" s="804"/>
      <c r="GJ43" s="803"/>
      <c r="GK43" s="803"/>
      <c r="GL43" s="803"/>
      <c r="GM43" s="803"/>
      <c r="GN43" s="803"/>
      <c r="GO43" s="803"/>
      <c r="GP43" s="803"/>
      <c r="GQ43" s="803"/>
      <c r="GR43" s="804"/>
      <c r="HB43" s="803"/>
      <c r="HC43" s="803"/>
      <c r="HD43" s="803"/>
      <c r="HE43" s="803"/>
      <c r="HF43" s="803"/>
      <c r="HG43" s="803"/>
      <c r="HH43" s="803"/>
      <c r="HI43" s="803"/>
      <c r="HJ43" s="804"/>
      <c r="HK43" s="803"/>
      <c r="HL43" s="803"/>
      <c r="HM43" s="803"/>
      <c r="HN43" s="803"/>
      <c r="HO43" s="803"/>
      <c r="HP43" s="803"/>
      <c r="HQ43" s="803"/>
      <c r="HR43" s="803"/>
      <c r="HS43" s="804"/>
      <c r="HT43" s="803"/>
      <c r="HU43" s="803"/>
      <c r="HV43" s="803"/>
      <c r="HW43" s="803"/>
      <c r="HX43" s="803"/>
      <c r="HY43" s="803"/>
      <c r="HZ43" s="803"/>
      <c r="IA43" s="803"/>
      <c r="IB43" s="804"/>
      <c r="IC43" s="803"/>
      <c r="ID43" s="803"/>
      <c r="IE43" s="803"/>
      <c r="IF43" s="803"/>
      <c r="IG43" s="803"/>
      <c r="IH43" s="804"/>
      <c r="II43" s="803"/>
      <c r="IJ43" s="803"/>
      <c r="IK43" s="803"/>
      <c r="IL43" s="803"/>
      <c r="IM43" s="803"/>
      <c r="IN43" s="803"/>
      <c r="IO43" s="803"/>
      <c r="IP43" s="803"/>
      <c r="IQ43" s="804"/>
      <c r="IR43" s="803"/>
      <c r="IS43" s="803"/>
      <c r="IT43" s="803"/>
      <c r="IU43" s="803"/>
      <c r="IV43" s="803"/>
      <c r="IW43" s="803"/>
      <c r="IX43" s="803"/>
      <c r="IY43" s="803"/>
      <c r="IZ43" s="803"/>
      <c r="JA43" s="803"/>
      <c r="JB43" s="803"/>
      <c r="JC43" s="803"/>
      <c r="JD43" s="803"/>
      <c r="JE43" s="803"/>
      <c r="JF43" s="803"/>
      <c r="JG43" s="804"/>
      <c r="JH43" s="803"/>
      <c r="JI43" s="803"/>
      <c r="JJ43" s="803"/>
      <c r="JK43" s="803"/>
      <c r="JL43" s="803"/>
      <c r="JM43" s="803"/>
      <c r="JN43" s="803"/>
      <c r="JO43" s="803"/>
      <c r="JP43" s="804"/>
      <c r="JQ43" s="803"/>
      <c r="JR43" s="803"/>
      <c r="JS43" s="803"/>
      <c r="JT43" s="803"/>
      <c r="JU43" s="803"/>
      <c r="JV43" s="803"/>
      <c r="JW43" s="803"/>
      <c r="JX43" s="803"/>
      <c r="JY43" s="803"/>
      <c r="JZ43" s="804"/>
      <c r="KA43" s="803"/>
      <c r="KB43" s="803"/>
      <c r="KC43" s="803"/>
      <c r="KD43" s="803"/>
      <c r="KE43" s="803"/>
      <c r="KF43" s="803"/>
      <c r="KG43" s="803"/>
      <c r="KH43" s="803"/>
      <c r="KI43" s="804"/>
      <c r="KJ43" s="803"/>
      <c r="KK43" s="803"/>
    </row>
    <row r="44" spans="1:307" ht="20.100000000000001" customHeight="1" x14ac:dyDescent="0.25">
      <c r="JK44" s="806"/>
    </row>
  </sheetData>
  <mergeCells count="36">
    <mergeCell ref="CL3:CT3"/>
    <mergeCell ref="C3:K3"/>
    <mergeCell ref="L3:T3"/>
    <mergeCell ref="U3:AC3"/>
    <mergeCell ref="AD3:AL3"/>
    <mergeCell ref="AM3:AQ3"/>
    <mergeCell ref="AR3:AZ3"/>
    <mergeCell ref="BA3:BI3"/>
    <mergeCell ref="BJ3:BR3"/>
    <mergeCell ref="BS3:BW3"/>
    <mergeCell ref="BX3:CF3"/>
    <mergeCell ref="CG3:CK3"/>
    <mergeCell ref="GJ3:GR3"/>
    <mergeCell ref="CU3:DC3"/>
    <mergeCell ref="DD3:DL3"/>
    <mergeCell ref="DM3:DS3"/>
    <mergeCell ref="DT3:EB3"/>
    <mergeCell ref="EC3:EK3"/>
    <mergeCell ref="EL3:EP3"/>
    <mergeCell ref="EQ3:EY3"/>
    <mergeCell ref="EZ3:FH3"/>
    <mergeCell ref="FI3:FQ3"/>
    <mergeCell ref="FR3:FZ3"/>
    <mergeCell ref="GA3:GI3"/>
    <mergeCell ref="KJ3:KR3"/>
    <mergeCell ref="GS3:HA3"/>
    <mergeCell ref="HB3:HJ3"/>
    <mergeCell ref="HK3:HS3"/>
    <mergeCell ref="HT3:IB3"/>
    <mergeCell ref="IC3:IH3"/>
    <mergeCell ref="II3:IQ3"/>
    <mergeCell ref="IR3:IX3"/>
    <mergeCell ref="IY3:JG3"/>
    <mergeCell ref="JH3:JP3"/>
    <mergeCell ref="JR3:JZ3"/>
    <mergeCell ref="KA3:KI3"/>
  </mergeCells>
  <dataValidations count="1">
    <dataValidation type="whole" operator="greaterThanOrEqual" allowBlank="1" showInputMessage="1" showErrorMessage="1" errorTitle="Error" error="Please enter valid number" promptTitle=" " sqref="IE14:IG24 IE37:IG38">
      <formula1>0</formula1>
    </dataValidation>
  </dataValidations>
  <printOptions horizontalCentered="1"/>
  <pageMargins left="0.23622047244094499" right="0.23622047244094499" top="0.55118110236220497" bottom="0.15748031496063" header="0.511811023622047" footer="0.15748031496063"/>
  <pageSetup paperSize="9" scale="89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48"/>
  <sheetViews>
    <sheetView zoomScale="80" zoomScaleNormal="80" zoomScaleSheetLayoutView="85" workbookViewId="0">
      <pane xSplit="2" ySplit="4" topLeftCell="C5" activePane="bottomRight" state="frozen"/>
      <selection activeCell="A32" sqref="A32"/>
      <selection pane="topRight" activeCell="A32" sqref="A32"/>
      <selection pane="bottomLeft" activeCell="A32" sqref="A32"/>
      <selection pane="bottomRight"/>
    </sheetView>
  </sheetViews>
  <sheetFormatPr defaultRowHeight="12.75" x14ac:dyDescent="0.25"/>
  <cols>
    <col min="1" max="1" width="5.5703125" style="904" customWidth="1"/>
    <col min="2" max="2" width="36.5703125" style="904" customWidth="1"/>
    <col min="3" max="4" width="7.7109375" style="685" customWidth="1"/>
    <col min="5" max="14" width="7.7109375" style="904" customWidth="1"/>
    <col min="15" max="16" width="7.7109375" style="685" customWidth="1"/>
    <col min="17" max="26" width="7.7109375" style="904" customWidth="1"/>
    <col min="27" max="16384" width="9.140625" style="904"/>
  </cols>
  <sheetData>
    <row r="1" spans="1:26" ht="23.25" customHeight="1" x14ac:dyDescent="0.25">
      <c r="A1" s="903" t="s">
        <v>616</v>
      </c>
      <c r="C1" s="905"/>
      <c r="D1" s="905"/>
      <c r="E1" s="905"/>
      <c r="F1" s="905"/>
      <c r="G1" s="905"/>
      <c r="H1" s="905"/>
      <c r="I1" s="905"/>
      <c r="J1" s="905"/>
      <c r="K1" s="905"/>
      <c r="L1" s="905"/>
      <c r="M1" s="905"/>
      <c r="N1" s="905"/>
      <c r="O1" s="905"/>
      <c r="P1" s="905"/>
      <c r="Q1" s="905"/>
      <c r="R1" s="905"/>
      <c r="S1" s="905"/>
      <c r="T1" s="905"/>
      <c r="U1" s="905"/>
      <c r="V1" s="905"/>
      <c r="W1" s="905"/>
      <c r="X1" s="905"/>
      <c r="Y1" s="905"/>
      <c r="Z1" s="905"/>
    </row>
    <row r="2" spans="1:26" ht="26.25" customHeight="1" x14ac:dyDescent="0.2">
      <c r="A2" s="1027" t="s">
        <v>2</v>
      </c>
      <c r="B2" s="1027" t="s">
        <v>101</v>
      </c>
      <c r="C2" s="1028" t="s">
        <v>489</v>
      </c>
      <c r="D2" s="1029"/>
      <c r="E2" s="1029"/>
      <c r="F2" s="1029"/>
      <c r="G2" s="1029"/>
      <c r="H2" s="1029"/>
      <c r="I2" s="1029"/>
      <c r="J2" s="1029"/>
      <c r="K2" s="1029"/>
      <c r="L2" s="1029"/>
      <c r="M2" s="1029"/>
      <c r="N2" s="1030"/>
      <c r="O2" s="1025" t="s">
        <v>533</v>
      </c>
      <c r="P2" s="1026"/>
      <c r="Q2" s="1026"/>
      <c r="R2" s="1026"/>
      <c r="S2" s="1026"/>
      <c r="T2" s="1026"/>
      <c r="U2" s="1026"/>
      <c r="V2" s="1026"/>
      <c r="W2" s="1026"/>
      <c r="X2" s="1026"/>
      <c r="Y2" s="1026"/>
      <c r="Z2" s="1026"/>
    </row>
    <row r="3" spans="1:26" ht="15.75" customHeight="1" x14ac:dyDescent="0.25">
      <c r="A3" s="1027"/>
      <c r="B3" s="1027"/>
      <c r="C3" s="1024" t="s">
        <v>87</v>
      </c>
      <c r="D3" s="1024"/>
      <c r="E3" s="1024" t="s">
        <v>20</v>
      </c>
      <c r="F3" s="1024"/>
      <c r="G3" s="1024" t="s">
        <v>99</v>
      </c>
      <c r="H3" s="1024"/>
      <c r="I3" s="1024" t="s">
        <v>103</v>
      </c>
      <c r="J3" s="1024"/>
      <c r="K3" s="1024" t="s">
        <v>415</v>
      </c>
      <c r="L3" s="1024"/>
      <c r="M3" s="1024" t="s">
        <v>507</v>
      </c>
      <c r="N3" s="1024"/>
      <c r="O3" s="1024" t="s">
        <v>87</v>
      </c>
      <c r="P3" s="1024"/>
      <c r="Q3" s="1024" t="s">
        <v>20</v>
      </c>
      <c r="R3" s="1024"/>
      <c r="S3" s="1024" t="s">
        <v>99</v>
      </c>
      <c r="T3" s="1024"/>
      <c r="U3" s="1024" t="s">
        <v>103</v>
      </c>
      <c r="V3" s="1024"/>
      <c r="W3" s="1024" t="s">
        <v>415</v>
      </c>
      <c r="X3" s="1024"/>
      <c r="Y3" s="1024" t="s">
        <v>507</v>
      </c>
      <c r="Z3" s="1024"/>
    </row>
    <row r="4" spans="1:26" ht="23.25" customHeight="1" x14ac:dyDescent="0.25">
      <c r="A4" s="1027"/>
      <c r="B4" s="1027"/>
      <c r="C4" s="717" t="s">
        <v>490</v>
      </c>
      <c r="D4" s="717" t="s">
        <v>491</v>
      </c>
      <c r="E4" s="717" t="s">
        <v>490</v>
      </c>
      <c r="F4" s="717" t="s">
        <v>491</v>
      </c>
      <c r="G4" s="717" t="s">
        <v>490</v>
      </c>
      <c r="H4" s="717" t="s">
        <v>491</v>
      </c>
      <c r="I4" s="717" t="s">
        <v>490</v>
      </c>
      <c r="J4" s="717" t="s">
        <v>491</v>
      </c>
      <c r="K4" s="717" t="s">
        <v>490</v>
      </c>
      <c r="L4" s="717" t="s">
        <v>491</v>
      </c>
      <c r="M4" s="717" t="s">
        <v>490</v>
      </c>
      <c r="N4" s="717" t="s">
        <v>491</v>
      </c>
      <c r="O4" s="717" t="s">
        <v>490</v>
      </c>
      <c r="P4" s="717" t="s">
        <v>491</v>
      </c>
      <c r="Q4" s="717" t="s">
        <v>490</v>
      </c>
      <c r="R4" s="717" t="s">
        <v>491</v>
      </c>
      <c r="S4" s="717" t="s">
        <v>490</v>
      </c>
      <c r="T4" s="717" t="s">
        <v>491</v>
      </c>
      <c r="U4" s="717" t="s">
        <v>490</v>
      </c>
      <c r="V4" s="717" t="s">
        <v>491</v>
      </c>
      <c r="W4" s="717" t="s">
        <v>490</v>
      </c>
      <c r="X4" s="717" t="s">
        <v>491</v>
      </c>
      <c r="Y4" s="717" t="s">
        <v>490</v>
      </c>
      <c r="Z4" s="717" t="s">
        <v>491</v>
      </c>
    </row>
    <row r="5" spans="1:26" x14ac:dyDescent="0.25">
      <c r="A5" s="546"/>
      <c r="B5" s="906" t="s">
        <v>104</v>
      </c>
      <c r="C5" s="907"/>
      <c r="D5" s="907"/>
      <c r="E5" s="907"/>
      <c r="F5" s="907"/>
      <c r="G5" s="907"/>
      <c r="H5" s="907"/>
      <c r="I5" s="907"/>
      <c r="J5" s="907"/>
      <c r="K5" s="907"/>
      <c r="L5" s="907"/>
      <c r="M5" s="908"/>
      <c r="N5" s="908"/>
      <c r="O5" s="908"/>
      <c r="P5" s="907"/>
      <c r="Q5" s="907"/>
      <c r="R5" s="907"/>
      <c r="S5" s="907"/>
      <c r="T5" s="907"/>
      <c r="U5" s="907"/>
      <c r="V5" s="907"/>
      <c r="W5" s="907"/>
      <c r="X5" s="907"/>
      <c r="Y5" s="908"/>
      <c r="Z5" s="908"/>
    </row>
    <row r="6" spans="1:26" ht="12" customHeight="1" x14ac:dyDescent="0.25">
      <c r="A6" s="909">
        <v>1</v>
      </c>
      <c r="B6" s="909" t="s">
        <v>9</v>
      </c>
      <c r="C6" s="910">
        <v>7</v>
      </c>
      <c r="D6" s="910">
        <v>11</v>
      </c>
      <c r="E6" s="910">
        <v>7</v>
      </c>
      <c r="F6" s="910">
        <v>12.89</v>
      </c>
      <c r="G6" s="910">
        <v>7</v>
      </c>
      <c r="H6" s="910">
        <v>10.27</v>
      </c>
      <c r="I6" s="910">
        <v>7.0000000000000009</v>
      </c>
      <c r="J6" s="910">
        <v>15.4</v>
      </c>
      <c r="K6" s="910">
        <v>7.0000000000000009</v>
      </c>
      <c r="L6" s="910">
        <v>14.27</v>
      </c>
      <c r="M6" s="911">
        <v>7</v>
      </c>
      <c r="N6" s="911">
        <v>7.04</v>
      </c>
      <c r="O6" s="910">
        <v>5</v>
      </c>
      <c r="P6" s="910">
        <v>6.5</v>
      </c>
      <c r="Q6" s="910">
        <v>5</v>
      </c>
      <c r="R6" s="910">
        <v>14.85</v>
      </c>
      <c r="S6" s="910">
        <v>5</v>
      </c>
      <c r="T6" s="910">
        <v>12.23</v>
      </c>
      <c r="U6" s="910">
        <v>5</v>
      </c>
      <c r="V6" s="910">
        <v>7.6300000000000008</v>
      </c>
      <c r="W6" s="910">
        <v>5</v>
      </c>
      <c r="X6" s="910">
        <v>25.36</v>
      </c>
      <c r="Y6" s="911">
        <v>5</v>
      </c>
      <c r="Z6" s="911">
        <v>7.96</v>
      </c>
    </row>
    <row r="7" spans="1:26" ht="12" customHeight="1" x14ac:dyDescent="0.25">
      <c r="A7" s="909">
        <v>2</v>
      </c>
      <c r="B7" s="909" t="s">
        <v>12</v>
      </c>
      <c r="C7" s="910">
        <v>7</v>
      </c>
      <c r="D7" s="910">
        <v>15.04</v>
      </c>
      <c r="E7" s="910">
        <v>7</v>
      </c>
      <c r="F7" s="910">
        <v>18.399999999999999</v>
      </c>
      <c r="G7" s="910">
        <v>7</v>
      </c>
      <c r="H7" s="910">
        <v>17.399999999999999</v>
      </c>
      <c r="I7" s="910">
        <v>7.0000000000000009</v>
      </c>
      <c r="J7" s="910">
        <v>14.374906624569178</v>
      </c>
      <c r="K7" s="910">
        <v>7.0000000000000009</v>
      </c>
      <c r="L7" s="910">
        <v>15.870000000000001</v>
      </c>
      <c r="M7" s="911">
        <v>7</v>
      </c>
      <c r="N7" s="911">
        <v>13.61</v>
      </c>
      <c r="O7" s="910">
        <v>5</v>
      </c>
      <c r="P7" s="910">
        <v>343.1</v>
      </c>
      <c r="Q7" s="910">
        <v>5</v>
      </c>
      <c r="R7" s="910">
        <v>73.62</v>
      </c>
      <c r="S7" s="910">
        <v>5</v>
      </c>
      <c r="T7" s="910">
        <v>24.86</v>
      </c>
      <c r="U7" s="910">
        <v>5</v>
      </c>
      <c r="V7" s="910">
        <v>54.862437006532396</v>
      </c>
      <c r="W7" s="910">
        <v>5</v>
      </c>
      <c r="X7" s="910">
        <v>78.47</v>
      </c>
      <c r="Y7" s="911">
        <v>5</v>
      </c>
      <c r="Z7" s="911">
        <v>361.3</v>
      </c>
    </row>
    <row r="8" spans="1:26" ht="12" customHeight="1" x14ac:dyDescent="0.25">
      <c r="A8" s="909">
        <v>3</v>
      </c>
      <c r="B8" s="909" t="s">
        <v>14</v>
      </c>
      <c r="C8" s="910">
        <v>7</v>
      </c>
      <c r="D8" s="910">
        <v>14.28</v>
      </c>
      <c r="E8" s="910">
        <v>7</v>
      </c>
      <c r="F8" s="910">
        <v>15.93</v>
      </c>
      <c r="G8" s="910">
        <v>7</v>
      </c>
      <c r="H8" s="910">
        <v>24.08</v>
      </c>
      <c r="I8" s="910">
        <v>7.0000000000000009</v>
      </c>
      <c r="J8" s="910">
        <v>14.986528859668796</v>
      </c>
      <c r="K8" s="910">
        <v>7.0000000000000009</v>
      </c>
      <c r="L8" s="910">
        <v>8.8921888625348302</v>
      </c>
      <c r="M8" s="911">
        <v>7</v>
      </c>
      <c r="N8" s="911">
        <v>7.09</v>
      </c>
      <c r="O8" s="910">
        <v>5</v>
      </c>
      <c r="P8" s="910">
        <v>39.6</v>
      </c>
      <c r="Q8" s="910">
        <v>5</v>
      </c>
      <c r="R8" s="910">
        <v>73.290000000000006</v>
      </c>
      <c r="S8" s="910">
        <v>5</v>
      </c>
      <c r="T8" s="910">
        <v>75.2</v>
      </c>
      <c r="U8" s="910">
        <v>5</v>
      </c>
      <c r="V8" s="910">
        <v>12.738826340882692</v>
      </c>
      <c r="W8" s="910">
        <v>5</v>
      </c>
      <c r="X8" s="910">
        <v>30.711259349802312</v>
      </c>
      <c r="Y8" s="911">
        <v>5</v>
      </c>
      <c r="Z8" s="911">
        <v>32.21</v>
      </c>
    </row>
    <row r="9" spans="1:26" ht="12" customHeight="1" x14ac:dyDescent="0.25">
      <c r="A9" s="909">
        <v>4</v>
      </c>
      <c r="B9" s="909" t="s">
        <v>16</v>
      </c>
      <c r="C9" s="910">
        <v>7</v>
      </c>
      <c r="D9" s="910">
        <v>16.68</v>
      </c>
      <c r="E9" s="910">
        <v>7</v>
      </c>
      <c r="F9" s="910">
        <v>16.64</v>
      </c>
      <c r="G9" s="910">
        <v>7</v>
      </c>
      <c r="H9" s="910">
        <v>14</v>
      </c>
      <c r="I9" s="910">
        <v>7.0000000000000009</v>
      </c>
      <c r="J9" s="910">
        <v>16.130025595072588</v>
      </c>
      <c r="K9" s="910">
        <v>7.0000000000000009</v>
      </c>
      <c r="L9" s="910">
        <v>8.91</v>
      </c>
      <c r="M9" s="911">
        <v>7</v>
      </c>
      <c r="N9" s="911">
        <v>7.58</v>
      </c>
      <c r="O9" s="910">
        <v>5</v>
      </c>
      <c r="P9" s="910">
        <v>76.5</v>
      </c>
      <c r="Q9" s="910">
        <v>5</v>
      </c>
      <c r="R9" s="910">
        <v>74.34</v>
      </c>
      <c r="S9" s="910">
        <v>5</v>
      </c>
      <c r="T9" s="910">
        <v>91.17</v>
      </c>
      <c r="U9" s="910">
        <v>5</v>
      </c>
      <c r="V9" s="910">
        <v>21.93</v>
      </c>
      <c r="W9" s="910">
        <v>5</v>
      </c>
      <c r="X9" s="910">
        <v>56.999999999999993</v>
      </c>
      <c r="Y9" s="911">
        <v>5</v>
      </c>
      <c r="Z9" s="911">
        <v>45.84</v>
      </c>
    </row>
    <row r="10" spans="1:26" ht="12" customHeight="1" x14ac:dyDescent="0.25">
      <c r="A10" s="909"/>
      <c r="B10" s="906" t="s">
        <v>106</v>
      </c>
      <c r="C10" s="910"/>
      <c r="D10" s="910"/>
      <c r="E10" s="910"/>
      <c r="F10" s="910"/>
      <c r="G10" s="910"/>
      <c r="H10" s="910"/>
      <c r="I10" s="910"/>
      <c r="J10" s="910"/>
      <c r="K10" s="910"/>
      <c r="L10" s="910"/>
      <c r="M10" s="911"/>
      <c r="N10" s="911"/>
      <c r="O10" s="910"/>
      <c r="P10" s="910"/>
      <c r="Q10" s="910"/>
      <c r="R10" s="910"/>
      <c r="S10" s="910"/>
      <c r="T10" s="910"/>
      <c r="U10" s="910"/>
      <c r="V10" s="910"/>
      <c r="W10" s="910"/>
      <c r="X10" s="910"/>
      <c r="Y10" s="911"/>
      <c r="Z10" s="911"/>
    </row>
    <row r="11" spans="1:26" ht="12" customHeight="1" x14ac:dyDescent="0.25">
      <c r="A11" s="909">
        <v>5</v>
      </c>
      <c r="B11" s="909" t="s">
        <v>18</v>
      </c>
      <c r="C11" s="910" t="s">
        <v>107</v>
      </c>
      <c r="D11" s="910" t="s">
        <v>107</v>
      </c>
      <c r="E11" s="910" t="s">
        <v>130</v>
      </c>
      <c r="F11" s="910" t="s">
        <v>130</v>
      </c>
      <c r="G11" s="910">
        <v>2</v>
      </c>
      <c r="H11" s="910">
        <v>19</v>
      </c>
      <c r="I11" s="910">
        <v>3</v>
      </c>
      <c r="J11" s="910">
        <v>19.946621418960294</v>
      </c>
      <c r="K11" s="910">
        <v>5</v>
      </c>
      <c r="L11" s="910">
        <v>6</v>
      </c>
      <c r="M11" s="911">
        <v>5</v>
      </c>
      <c r="N11" s="911">
        <v>19</v>
      </c>
      <c r="O11" s="910" t="s">
        <v>107</v>
      </c>
      <c r="P11" s="910" t="s">
        <v>107</v>
      </c>
      <c r="Q11" s="910" t="s">
        <v>130</v>
      </c>
      <c r="R11" s="910" t="s">
        <v>130</v>
      </c>
      <c r="S11" s="910">
        <v>0.5</v>
      </c>
      <c r="T11" s="910">
        <v>2974</v>
      </c>
      <c r="U11" s="910">
        <v>1</v>
      </c>
      <c r="V11" s="910">
        <v>35.988967877502589</v>
      </c>
      <c r="W11" s="910">
        <v>1.5</v>
      </c>
      <c r="X11" s="910">
        <v>8</v>
      </c>
      <c r="Y11" s="911">
        <v>2</v>
      </c>
      <c r="Z11" s="911">
        <v>60</v>
      </c>
    </row>
    <row r="12" spans="1:26" ht="12" customHeight="1" x14ac:dyDescent="0.25">
      <c r="A12" s="909">
        <v>6</v>
      </c>
      <c r="B12" s="909" t="s">
        <v>21</v>
      </c>
      <c r="C12" s="910">
        <v>7</v>
      </c>
      <c r="D12" s="910">
        <v>9.56</v>
      </c>
      <c r="E12" s="910">
        <v>7</v>
      </c>
      <c r="F12" s="910">
        <v>9.69</v>
      </c>
      <c r="G12" s="910">
        <v>7</v>
      </c>
      <c r="H12" s="910">
        <v>8.09</v>
      </c>
      <c r="I12" s="910">
        <v>7.0000000000000009</v>
      </c>
      <c r="J12" s="910">
        <v>7.9205901589224066</v>
      </c>
      <c r="K12" s="910">
        <v>7.0000000000000009</v>
      </c>
      <c r="L12" s="910">
        <v>20.51</v>
      </c>
      <c r="M12" s="911">
        <v>7</v>
      </c>
      <c r="N12" s="911">
        <v>12.59</v>
      </c>
      <c r="O12" s="910">
        <v>5</v>
      </c>
      <c r="P12" s="910">
        <v>39.5</v>
      </c>
      <c r="Q12" s="910">
        <v>5</v>
      </c>
      <c r="R12" s="910">
        <v>45.88</v>
      </c>
      <c r="S12" s="910">
        <v>5</v>
      </c>
      <c r="T12" s="910">
        <v>28.15</v>
      </c>
      <c r="U12" s="910">
        <v>5</v>
      </c>
      <c r="V12" s="910">
        <v>20.628373475807859</v>
      </c>
      <c r="W12" s="910">
        <v>5</v>
      </c>
      <c r="X12" s="910">
        <v>22.03</v>
      </c>
      <c r="Y12" s="911">
        <v>5</v>
      </c>
      <c r="Z12" s="911">
        <v>8.7200000000000006</v>
      </c>
    </row>
    <row r="13" spans="1:26" ht="12" customHeight="1" x14ac:dyDescent="0.25">
      <c r="A13" s="909">
        <v>7</v>
      </c>
      <c r="B13" s="909" t="s">
        <v>25</v>
      </c>
      <c r="C13" s="910">
        <v>7</v>
      </c>
      <c r="D13" s="910">
        <v>7.73</v>
      </c>
      <c r="E13" s="910">
        <v>7</v>
      </c>
      <c r="F13" s="910">
        <v>28.82</v>
      </c>
      <c r="G13" s="910">
        <v>7</v>
      </c>
      <c r="H13" s="910">
        <v>32.11</v>
      </c>
      <c r="I13" s="910">
        <v>7.0000000000000009</v>
      </c>
      <c r="J13" s="910">
        <v>34.119929206935559</v>
      </c>
      <c r="K13" s="910">
        <v>7.0000000000000009</v>
      </c>
      <c r="L13" s="910">
        <v>31.85</v>
      </c>
      <c r="M13" s="911" t="s">
        <v>130</v>
      </c>
      <c r="N13" s="911" t="s">
        <v>130</v>
      </c>
      <c r="O13" s="910">
        <v>4.5</v>
      </c>
      <c r="P13" s="910">
        <v>15</v>
      </c>
      <c r="Q13" s="910">
        <v>5</v>
      </c>
      <c r="R13" s="910">
        <v>303.57</v>
      </c>
      <c r="S13" s="910">
        <v>5</v>
      </c>
      <c r="T13" s="910">
        <v>8.66</v>
      </c>
      <c r="U13" s="910">
        <v>5</v>
      </c>
      <c r="V13" s="910">
        <v>5.5332091615748844</v>
      </c>
      <c r="W13" s="910">
        <v>5</v>
      </c>
      <c r="X13" s="910">
        <v>7.4499999999999993</v>
      </c>
      <c r="Y13" s="911" t="s">
        <v>130</v>
      </c>
      <c r="Z13" s="911" t="s">
        <v>130</v>
      </c>
    </row>
    <row r="14" spans="1:26" ht="12" customHeight="1" x14ac:dyDescent="0.25">
      <c r="A14" s="909">
        <v>8</v>
      </c>
      <c r="B14" s="909" t="s">
        <v>27</v>
      </c>
      <c r="C14" s="910">
        <v>7</v>
      </c>
      <c r="D14" s="910">
        <v>16.12</v>
      </c>
      <c r="E14" s="910">
        <v>7</v>
      </c>
      <c r="F14" s="910">
        <v>18</v>
      </c>
      <c r="G14" s="910">
        <v>7</v>
      </c>
      <c r="H14" s="910">
        <v>16</v>
      </c>
      <c r="I14" s="910">
        <v>7.0000000000000009</v>
      </c>
      <c r="J14" s="910">
        <v>29.333002299450996</v>
      </c>
      <c r="K14" s="910">
        <v>7.0000000000000009</v>
      </c>
      <c r="L14" s="910">
        <v>25</v>
      </c>
      <c r="M14" s="911">
        <v>7</v>
      </c>
      <c r="N14" s="911">
        <v>27</v>
      </c>
      <c r="O14" s="910">
        <v>5</v>
      </c>
      <c r="P14" s="910">
        <v>11.9</v>
      </c>
      <c r="Q14" s="910">
        <v>5</v>
      </c>
      <c r="R14" s="910">
        <v>17</v>
      </c>
      <c r="S14" s="910">
        <v>5</v>
      </c>
      <c r="T14" s="910">
        <v>18</v>
      </c>
      <c r="U14" s="910">
        <v>5</v>
      </c>
      <c r="V14" s="910">
        <v>60.951442951151499</v>
      </c>
      <c r="W14" s="910">
        <v>5</v>
      </c>
      <c r="X14" s="910">
        <v>10</v>
      </c>
      <c r="Y14" s="911">
        <v>5</v>
      </c>
      <c r="Z14" s="911">
        <v>9</v>
      </c>
    </row>
    <row r="15" spans="1:26" ht="12" customHeight="1" x14ac:dyDescent="0.25">
      <c r="A15" s="909">
        <v>9</v>
      </c>
      <c r="B15" s="909" t="s">
        <v>31</v>
      </c>
      <c r="C15" s="912" t="s">
        <v>107</v>
      </c>
      <c r="D15" s="912" t="s">
        <v>107</v>
      </c>
      <c r="E15" s="912" t="s">
        <v>130</v>
      </c>
      <c r="F15" s="912" t="s">
        <v>130</v>
      </c>
      <c r="G15" s="912">
        <v>2</v>
      </c>
      <c r="H15" s="912">
        <v>9.3699999999999992</v>
      </c>
      <c r="I15" s="912">
        <v>3</v>
      </c>
      <c r="J15" s="912">
        <v>5.2031798196917878</v>
      </c>
      <c r="K15" s="912">
        <v>5</v>
      </c>
      <c r="L15" s="912">
        <v>5.19</v>
      </c>
      <c r="M15" s="913">
        <v>5</v>
      </c>
      <c r="N15" s="913">
        <v>7.62</v>
      </c>
      <c r="O15" s="912" t="s">
        <v>107</v>
      </c>
      <c r="P15" s="912" t="s">
        <v>107</v>
      </c>
      <c r="Q15" s="912" t="s">
        <v>130</v>
      </c>
      <c r="R15" s="912" t="s">
        <v>130</v>
      </c>
      <c r="S15" s="912">
        <v>0.5</v>
      </c>
      <c r="T15" s="912">
        <v>1.76</v>
      </c>
      <c r="U15" s="912">
        <v>1</v>
      </c>
      <c r="V15" s="912">
        <v>1.2109176333825773</v>
      </c>
      <c r="W15" s="912">
        <v>1.5</v>
      </c>
      <c r="X15" s="912">
        <v>14.92</v>
      </c>
      <c r="Y15" s="913">
        <v>2</v>
      </c>
      <c r="Z15" s="913">
        <v>18.329999999999998</v>
      </c>
    </row>
    <row r="16" spans="1:26" ht="12" customHeight="1" x14ac:dyDescent="0.25">
      <c r="A16" s="909">
        <v>10</v>
      </c>
      <c r="B16" s="909" t="s">
        <v>33</v>
      </c>
      <c r="C16" s="910">
        <v>7</v>
      </c>
      <c r="D16" s="910">
        <v>34.65</v>
      </c>
      <c r="E16" s="910">
        <v>7</v>
      </c>
      <c r="F16" s="910">
        <v>29.44</v>
      </c>
      <c r="G16" s="910">
        <v>7</v>
      </c>
      <c r="H16" s="910">
        <v>31.39</v>
      </c>
      <c r="I16" s="910">
        <v>7.0000000000000009</v>
      </c>
      <c r="J16" s="910">
        <v>39.338100412869764</v>
      </c>
      <c r="K16" s="910">
        <v>7.0000000000000009</v>
      </c>
      <c r="L16" s="910">
        <v>35.370000000000005</v>
      </c>
      <c r="M16" s="911">
        <v>7</v>
      </c>
      <c r="N16" s="911">
        <v>25.28</v>
      </c>
      <c r="O16" s="910">
        <v>5</v>
      </c>
      <c r="P16" s="910">
        <v>12.9</v>
      </c>
      <c r="Q16" s="910">
        <v>5</v>
      </c>
      <c r="R16" s="910">
        <v>8.44</v>
      </c>
      <c r="S16" s="910">
        <v>5</v>
      </c>
      <c r="T16" s="910">
        <v>8.17</v>
      </c>
      <c r="U16" s="910">
        <v>5</v>
      </c>
      <c r="V16" s="910">
        <v>6.4677811052321292</v>
      </c>
      <c r="W16" s="910">
        <v>5</v>
      </c>
      <c r="X16" s="910">
        <v>22.363269724070079</v>
      </c>
      <c r="Y16" s="911">
        <v>5</v>
      </c>
      <c r="Z16" s="911">
        <v>10.25</v>
      </c>
    </row>
    <row r="17" spans="1:26" ht="12" customHeight="1" x14ac:dyDescent="0.25">
      <c r="A17" s="909">
        <v>11</v>
      </c>
      <c r="B17" s="909" t="s">
        <v>37</v>
      </c>
      <c r="C17" s="912" t="s">
        <v>107</v>
      </c>
      <c r="D17" s="912" t="s">
        <v>107</v>
      </c>
      <c r="E17" s="912" t="s">
        <v>130</v>
      </c>
      <c r="F17" s="912" t="s">
        <v>130</v>
      </c>
      <c r="G17" s="912">
        <v>2</v>
      </c>
      <c r="H17" s="912">
        <v>5.69</v>
      </c>
      <c r="I17" s="912">
        <v>3</v>
      </c>
      <c r="J17" s="912">
        <v>9.3016415327005539</v>
      </c>
      <c r="K17" s="912">
        <v>5</v>
      </c>
      <c r="L17" s="912">
        <v>8.25</v>
      </c>
      <c r="M17" s="913">
        <v>5</v>
      </c>
      <c r="N17" s="913">
        <v>8.24</v>
      </c>
      <c r="O17" s="912" t="s">
        <v>107</v>
      </c>
      <c r="P17" s="912" t="s">
        <v>107</v>
      </c>
      <c r="Q17" s="912" t="s">
        <v>130</v>
      </c>
      <c r="R17" s="912" t="s">
        <v>130</v>
      </c>
      <c r="S17" s="912">
        <v>0.5</v>
      </c>
      <c r="T17" s="912">
        <v>1.65</v>
      </c>
      <c r="U17" s="912">
        <v>1</v>
      </c>
      <c r="V17" s="912">
        <v>1.1372226297621664</v>
      </c>
      <c r="W17" s="912">
        <v>1.5</v>
      </c>
      <c r="X17" s="912">
        <v>2.58</v>
      </c>
      <c r="Y17" s="913">
        <v>2</v>
      </c>
      <c r="Z17" s="913">
        <v>2.14</v>
      </c>
    </row>
    <row r="18" spans="1:26" ht="12" customHeight="1" x14ac:dyDescent="0.25">
      <c r="A18" s="909">
        <v>12</v>
      </c>
      <c r="B18" s="909" t="s">
        <v>108</v>
      </c>
      <c r="C18" s="910">
        <v>5</v>
      </c>
      <c r="D18" s="910">
        <v>11.09</v>
      </c>
      <c r="E18" s="910" t="s">
        <v>107</v>
      </c>
      <c r="F18" s="910" t="s">
        <v>107</v>
      </c>
      <c r="G18" s="910" t="s">
        <v>107</v>
      </c>
      <c r="H18" s="910" t="s">
        <v>107</v>
      </c>
      <c r="I18" s="910" t="s">
        <v>107</v>
      </c>
      <c r="J18" s="910" t="s">
        <v>107</v>
      </c>
      <c r="K18" s="910" t="s">
        <v>107</v>
      </c>
      <c r="L18" s="910" t="s">
        <v>107</v>
      </c>
      <c r="M18" s="911" t="s">
        <v>107</v>
      </c>
      <c r="N18" s="911" t="s">
        <v>107</v>
      </c>
      <c r="O18" s="910">
        <v>3</v>
      </c>
      <c r="P18" s="910">
        <v>4.0999999999999996</v>
      </c>
      <c r="Q18" s="910" t="s">
        <v>107</v>
      </c>
      <c r="R18" s="910" t="s">
        <v>107</v>
      </c>
      <c r="S18" s="910" t="s">
        <v>107</v>
      </c>
      <c r="T18" s="910" t="s">
        <v>107</v>
      </c>
      <c r="U18" s="910" t="s">
        <v>107</v>
      </c>
      <c r="V18" s="910" t="s">
        <v>107</v>
      </c>
      <c r="W18" s="910" t="s">
        <v>107</v>
      </c>
      <c r="X18" s="910" t="s">
        <v>107</v>
      </c>
      <c r="Y18" s="911" t="s">
        <v>107</v>
      </c>
      <c r="Z18" s="911" t="s">
        <v>107</v>
      </c>
    </row>
    <row r="19" spans="1:26" ht="12" customHeight="1" x14ac:dyDescent="0.25">
      <c r="A19" s="909"/>
      <c r="B19" s="909" t="s">
        <v>109</v>
      </c>
      <c r="C19" s="910">
        <v>7</v>
      </c>
      <c r="D19" s="910">
        <v>38.51</v>
      </c>
      <c r="E19" s="910">
        <v>5</v>
      </c>
      <c r="F19" s="910">
        <v>35.9</v>
      </c>
      <c r="G19" s="910">
        <v>6</v>
      </c>
      <c r="H19" s="910">
        <v>30.9</v>
      </c>
      <c r="I19" s="910">
        <v>7.0000000000000009</v>
      </c>
      <c r="J19" s="910">
        <v>30.727421787207128</v>
      </c>
      <c r="K19" s="910">
        <v>7.0000000000000009</v>
      </c>
      <c r="L19" s="910">
        <v>28.299999999999997</v>
      </c>
      <c r="M19" s="911">
        <v>7</v>
      </c>
      <c r="N19" s="911">
        <v>27.4</v>
      </c>
      <c r="O19" s="910">
        <v>5</v>
      </c>
      <c r="P19" s="910">
        <v>52.6</v>
      </c>
      <c r="Q19" s="910">
        <v>3.5</v>
      </c>
      <c r="R19" s="910">
        <v>36</v>
      </c>
      <c r="S19" s="910">
        <v>4</v>
      </c>
      <c r="T19" s="910">
        <v>18.399999999999999</v>
      </c>
      <c r="U19" s="910">
        <v>4.5</v>
      </c>
      <c r="V19" s="910">
        <v>20.412303152707505</v>
      </c>
      <c r="W19" s="910">
        <v>5</v>
      </c>
      <c r="X19" s="910">
        <v>12.6</v>
      </c>
      <c r="Y19" s="911">
        <v>5</v>
      </c>
      <c r="Z19" s="911">
        <v>12.5</v>
      </c>
    </row>
    <row r="20" spans="1:26" ht="12" customHeight="1" x14ac:dyDescent="0.25">
      <c r="A20" s="909">
        <v>13</v>
      </c>
      <c r="B20" s="909" t="s">
        <v>42</v>
      </c>
      <c r="C20" s="910">
        <v>7</v>
      </c>
      <c r="D20" s="910">
        <v>22.41</v>
      </c>
      <c r="E20" s="910">
        <v>7</v>
      </c>
      <c r="F20" s="910">
        <v>22</v>
      </c>
      <c r="G20" s="910">
        <v>7</v>
      </c>
      <c r="H20" s="910">
        <v>20</v>
      </c>
      <c r="I20" s="910">
        <v>7.0000000000000009</v>
      </c>
      <c r="J20" s="910">
        <v>7.0650589956763543</v>
      </c>
      <c r="K20" s="910">
        <v>7.0000000000000009</v>
      </c>
      <c r="L20" s="910">
        <v>8.83</v>
      </c>
      <c r="M20" s="911">
        <v>7</v>
      </c>
      <c r="N20" s="911">
        <v>11.94</v>
      </c>
      <c r="O20" s="910">
        <v>5</v>
      </c>
      <c r="P20" s="910">
        <v>52.2</v>
      </c>
      <c r="Q20" s="910">
        <v>5</v>
      </c>
      <c r="R20" s="910">
        <v>9</v>
      </c>
      <c r="S20" s="910">
        <v>5</v>
      </c>
      <c r="T20" s="910">
        <v>7</v>
      </c>
      <c r="U20" s="910">
        <v>5</v>
      </c>
      <c r="V20" s="910">
        <v>5.707427259148198</v>
      </c>
      <c r="W20" s="910">
        <v>5</v>
      </c>
      <c r="X20" s="910">
        <v>8.7800000000000011</v>
      </c>
      <c r="Y20" s="911">
        <v>5</v>
      </c>
      <c r="Z20" s="911">
        <v>8.48</v>
      </c>
    </row>
    <row r="21" spans="1:26" ht="12" customHeight="1" x14ac:dyDescent="0.25">
      <c r="A21" s="909">
        <v>14</v>
      </c>
      <c r="B21" s="909" t="s">
        <v>45</v>
      </c>
      <c r="C21" s="910">
        <v>7</v>
      </c>
      <c r="D21" s="910">
        <v>29.27</v>
      </c>
      <c r="E21" s="910">
        <v>7</v>
      </c>
      <c r="F21" s="910">
        <v>27.01</v>
      </c>
      <c r="G21" s="910">
        <v>7</v>
      </c>
      <c r="H21" s="910">
        <v>34.1</v>
      </c>
      <c r="I21" s="910">
        <v>7.0000000000000009</v>
      </c>
      <c r="J21" s="910">
        <v>32.567370353099676</v>
      </c>
      <c r="K21" s="910">
        <v>7.0000000000000009</v>
      </c>
      <c r="L21" s="910">
        <v>29.32</v>
      </c>
      <c r="M21" s="911">
        <v>7</v>
      </c>
      <c r="N21" s="911">
        <v>22.89</v>
      </c>
      <c r="O21" s="910">
        <v>5</v>
      </c>
      <c r="P21" s="910">
        <v>38.1</v>
      </c>
      <c r="Q21" s="910">
        <v>5</v>
      </c>
      <c r="R21" s="910">
        <v>40.880000000000003</v>
      </c>
      <c r="S21" s="910">
        <v>5</v>
      </c>
      <c r="T21" s="910">
        <v>39.21</v>
      </c>
      <c r="U21" s="910">
        <v>5</v>
      </c>
      <c r="V21" s="910">
        <v>11.693995585631505</v>
      </c>
      <c r="W21" s="910">
        <v>5</v>
      </c>
      <c r="X21" s="910">
        <v>9.73</v>
      </c>
      <c r="Y21" s="911">
        <v>5</v>
      </c>
      <c r="Z21" s="911">
        <v>10.89</v>
      </c>
    </row>
    <row r="22" spans="1:26" ht="12" customHeight="1" x14ac:dyDescent="0.25">
      <c r="A22" s="909">
        <v>15</v>
      </c>
      <c r="B22" s="909" t="s">
        <v>49</v>
      </c>
      <c r="C22" s="910">
        <v>2</v>
      </c>
      <c r="D22" s="910">
        <v>10.75</v>
      </c>
      <c r="E22" s="910">
        <v>3</v>
      </c>
      <c r="F22" s="910">
        <v>6</v>
      </c>
      <c r="G22" s="910">
        <v>5</v>
      </c>
      <c r="H22" s="910">
        <v>5.21</v>
      </c>
      <c r="I22" s="910">
        <v>5</v>
      </c>
      <c r="J22" s="910">
        <v>5.4536459934082586</v>
      </c>
      <c r="K22" s="910">
        <v>5</v>
      </c>
      <c r="L22" s="910">
        <v>10.89</v>
      </c>
      <c r="M22" s="911">
        <v>5</v>
      </c>
      <c r="N22" s="911">
        <v>13.16</v>
      </c>
      <c r="O22" s="910">
        <v>0.5</v>
      </c>
      <c r="P22" s="910">
        <v>1.5</v>
      </c>
      <c r="Q22" s="910">
        <v>1</v>
      </c>
      <c r="R22" s="910">
        <v>1.7</v>
      </c>
      <c r="S22" s="910">
        <v>1.5</v>
      </c>
      <c r="T22" s="910">
        <v>18</v>
      </c>
      <c r="U22" s="910">
        <v>2</v>
      </c>
      <c r="V22" s="910">
        <v>13.504708900563081</v>
      </c>
      <c r="W22" s="910">
        <v>2.5</v>
      </c>
      <c r="X22" s="910">
        <v>3.94</v>
      </c>
      <c r="Y22" s="911">
        <v>3</v>
      </c>
      <c r="Z22" s="911">
        <v>10.23</v>
      </c>
    </row>
    <row r="23" spans="1:26" ht="12" customHeight="1" x14ac:dyDescent="0.25">
      <c r="A23" s="909">
        <v>16</v>
      </c>
      <c r="B23" s="909" t="s">
        <v>52</v>
      </c>
      <c r="C23" s="910">
        <v>5</v>
      </c>
      <c r="D23" s="910">
        <v>5.5</v>
      </c>
      <c r="E23" s="910">
        <v>5</v>
      </c>
      <c r="F23" s="910">
        <v>7.56</v>
      </c>
      <c r="G23" s="910">
        <v>5</v>
      </c>
      <c r="H23" s="910">
        <v>8.2200000000000006</v>
      </c>
      <c r="I23" s="910">
        <v>5</v>
      </c>
      <c r="J23" s="910">
        <v>13.017340197964353</v>
      </c>
      <c r="K23" s="910">
        <v>6</v>
      </c>
      <c r="L23" s="910">
        <v>14.299999999999999</v>
      </c>
      <c r="M23" s="911">
        <v>7</v>
      </c>
      <c r="N23" s="911">
        <v>14.1</v>
      </c>
      <c r="O23" s="910">
        <v>2</v>
      </c>
      <c r="P23" s="910">
        <v>4.4000000000000004</v>
      </c>
      <c r="Q23" s="910">
        <v>2.5</v>
      </c>
      <c r="R23" s="910">
        <v>3.16</v>
      </c>
      <c r="S23" s="910">
        <v>3</v>
      </c>
      <c r="T23" s="910">
        <v>3.65</v>
      </c>
      <c r="U23" s="910">
        <v>3.5000000000000004</v>
      </c>
      <c r="V23" s="910">
        <v>4.3077772807647463</v>
      </c>
      <c r="W23" s="910">
        <v>4</v>
      </c>
      <c r="X23" s="910">
        <v>4.97</v>
      </c>
      <c r="Y23" s="911">
        <v>4.5</v>
      </c>
      <c r="Z23" s="911">
        <v>6.15</v>
      </c>
    </row>
    <row r="24" spans="1:26" ht="12" customHeight="1" x14ac:dyDescent="0.25">
      <c r="A24" s="909">
        <v>17</v>
      </c>
      <c r="B24" s="909" t="s">
        <v>56</v>
      </c>
      <c r="C24" s="910">
        <v>5</v>
      </c>
      <c r="D24" s="910">
        <v>58.62</v>
      </c>
      <c r="E24" s="910">
        <v>5</v>
      </c>
      <c r="F24" s="910">
        <v>59.52</v>
      </c>
      <c r="G24" s="910">
        <v>5</v>
      </c>
      <c r="H24" s="910">
        <v>58.24</v>
      </c>
      <c r="I24" s="910">
        <v>5</v>
      </c>
      <c r="J24" s="910">
        <v>65.253961449310651</v>
      </c>
      <c r="K24" s="910">
        <v>6</v>
      </c>
      <c r="L24" s="910">
        <v>60.47</v>
      </c>
      <c r="M24" s="911">
        <v>7</v>
      </c>
      <c r="N24" s="911">
        <v>33.94</v>
      </c>
      <c r="O24" s="910">
        <v>2</v>
      </c>
      <c r="P24" s="910">
        <v>5</v>
      </c>
      <c r="Q24" s="910">
        <v>2.5</v>
      </c>
      <c r="R24" s="910">
        <v>5.7</v>
      </c>
      <c r="S24" s="910">
        <v>3</v>
      </c>
      <c r="T24" s="910">
        <v>4.7</v>
      </c>
      <c r="U24" s="910">
        <v>3.5000000000000004</v>
      </c>
      <c r="V24" s="910">
        <v>7.9758847290046422</v>
      </c>
      <c r="W24" s="910">
        <v>4</v>
      </c>
      <c r="X24" s="910">
        <v>7.71</v>
      </c>
      <c r="Y24" s="911">
        <v>4.5</v>
      </c>
      <c r="Z24" s="911">
        <v>7.56</v>
      </c>
    </row>
    <row r="25" spans="1:26" ht="12" customHeight="1" x14ac:dyDescent="0.25">
      <c r="A25" s="909">
        <v>18</v>
      </c>
      <c r="B25" s="909" t="s">
        <v>417</v>
      </c>
      <c r="C25" s="912" t="s">
        <v>107</v>
      </c>
      <c r="D25" s="912" t="s">
        <v>107</v>
      </c>
      <c r="E25" s="912" t="s">
        <v>130</v>
      </c>
      <c r="F25" s="912" t="s">
        <v>130</v>
      </c>
      <c r="G25" s="912">
        <v>2</v>
      </c>
      <c r="H25" s="912">
        <v>8.91</v>
      </c>
      <c r="I25" s="912">
        <v>3</v>
      </c>
      <c r="J25" s="912">
        <v>10.042088203221642</v>
      </c>
      <c r="K25" s="912">
        <v>5</v>
      </c>
      <c r="L25" s="912">
        <v>12.709999999999999</v>
      </c>
      <c r="M25" s="913">
        <v>5</v>
      </c>
      <c r="N25" s="913">
        <v>17.09</v>
      </c>
      <c r="O25" s="912" t="s">
        <v>107</v>
      </c>
      <c r="P25" s="912" t="s">
        <v>107</v>
      </c>
      <c r="Q25" s="912" t="s">
        <v>130</v>
      </c>
      <c r="R25" s="912" t="s">
        <v>130</v>
      </c>
      <c r="S25" s="912">
        <v>0.5</v>
      </c>
      <c r="T25" s="912">
        <v>2.1</v>
      </c>
      <c r="U25" s="912">
        <v>1</v>
      </c>
      <c r="V25" s="912">
        <v>1.2685877920415174</v>
      </c>
      <c r="W25" s="912">
        <v>1.5</v>
      </c>
      <c r="X25" s="912">
        <v>1.7399999999999998</v>
      </c>
      <c r="Y25" s="913">
        <v>2</v>
      </c>
      <c r="Z25" s="913">
        <v>3.6</v>
      </c>
    </row>
    <row r="26" spans="1:26" ht="12" customHeight="1" x14ac:dyDescent="0.25">
      <c r="A26" s="909">
        <v>19</v>
      </c>
      <c r="B26" s="909" t="s">
        <v>60</v>
      </c>
      <c r="C26" s="910">
        <v>6</v>
      </c>
      <c r="D26" s="910">
        <v>12.56</v>
      </c>
      <c r="E26" s="910">
        <v>7</v>
      </c>
      <c r="F26" s="910">
        <v>8.44</v>
      </c>
      <c r="G26" s="910">
        <v>7</v>
      </c>
      <c r="H26" s="910">
        <v>7.2</v>
      </c>
      <c r="I26" s="910">
        <v>7.0000000000000009</v>
      </c>
      <c r="J26" s="910">
        <v>7.1304201023292961</v>
      </c>
      <c r="K26" s="910">
        <v>7.0000000000000009</v>
      </c>
      <c r="L26" s="910">
        <v>11</v>
      </c>
      <c r="M26" s="911">
        <v>7</v>
      </c>
      <c r="N26" s="911">
        <v>8.5500000000000007</v>
      </c>
      <c r="O26" s="910">
        <v>4</v>
      </c>
      <c r="P26" s="910">
        <v>18.100000000000001</v>
      </c>
      <c r="Q26" s="910">
        <v>4.5</v>
      </c>
      <c r="R26" s="910">
        <v>29.01</v>
      </c>
      <c r="S26" s="910">
        <v>5</v>
      </c>
      <c r="T26" s="910">
        <v>9.1999999999999993</v>
      </c>
      <c r="U26" s="910">
        <v>5</v>
      </c>
      <c r="V26" s="910">
        <v>12.052911212137809</v>
      </c>
      <c r="W26" s="910">
        <v>5</v>
      </c>
      <c r="X26" s="910">
        <v>5</v>
      </c>
      <c r="Y26" s="911">
        <v>5</v>
      </c>
      <c r="Z26" s="911">
        <v>5.5</v>
      </c>
    </row>
    <row r="27" spans="1:26" ht="12" customHeight="1" x14ac:dyDescent="0.25">
      <c r="A27" s="909">
        <v>20</v>
      </c>
      <c r="B27" s="909" t="s">
        <v>63</v>
      </c>
      <c r="C27" s="910">
        <v>7</v>
      </c>
      <c r="D27" s="910">
        <v>31.83</v>
      </c>
      <c r="E27" s="910">
        <v>7</v>
      </c>
      <c r="F27" s="910">
        <v>26.41</v>
      </c>
      <c r="G27" s="910">
        <v>7</v>
      </c>
      <c r="H27" s="910">
        <v>26.67</v>
      </c>
      <c r="I27" s="910">
        <v>7.0000000000000009</v>
      </c>
      <c r="J27" s="910">
        <v>25.694491850600471</v>
      </c>
      <c r="K27" s="910">
        <v>7.0000000000000009</v>
      </c>
      <c r="L27" s="910">
        <v>31.569999999999997</v>
      </c>
      <c r="M27" s="911">
        <v>7</v>
      </c>
      <c r="N27" s="911">
        <v>33.51</v>
      </c>
      <c r="O27" s="910">
        <v>5</v>
      </c>
      <c r="P27" s="910">
        <v>10.6</v>
      </c>
      <c r="Q27" s="910">
        <v>5</v>
      </c>
      <c r="R27" s="910">
        <v>25.8</v>
      </c>
      <c r="S27" s="910">
        <v>5</v>
      </c>
      <c r="T27" s="910">
        <v>13.32</v>
      </c>
      <c r="U27" s="910">
        <v>5</v>
      </c>
      <c r="V27" s="910">
        <v>7.3348666567722596</v>
      </c>
      <c r="W27" s="910">
        <v>5</v>
      </c>
      <c r="X27" s="910">
        <v>30.29</v>
      </c>
      <c r="Y27" s="911">
        <v>5</v>
      </c>
      <c r="Z27" s="911">
        <v>74.5</v>
      </c>
    </row>
    <row r="28" spans="1:26" ht="12" customHeight="1" x14ac:dyDescent="0.25">
      <c r="A28" s="909">
        <v>21</v>
      </c>
      <c r="B28" s="909" t="s">
        <v>111</v>
      </c>
      <c r="C28" s="910">
        <v>7</v>
      </c>
      <c r="D28" s="910">
        <v>9.06</v>
      </c>
      <c r="E28" s="910">
        <v>7</v>
      </c>
      <c r="F28" s="910">
        <v>8.7200000000000006</v>
      </c>
      <c r="G28" s="910">
        <v>7</v>
      </c>
      <c r="H28" s="910">
        <v>18.440000000000001</v>
      </c>
      <c r="I28" s="910">
        <v>7.0000000000000009</v>
      </c>
      <c r="J28" s="910">
        <v>27.857400841915471</v>
      </c>
      <c r="K28" s="910">
        <v>7.0000000000000009</v>
      </c>
      <c r="L28" s="910">
        <v>12.45</v>
      </c>
      <c r="M28" s="911">
        <v>7</v>
      </c>
      <c r="N28" s="911">
        <v>9.7899999999999991</v>
      </c>
      <c r="O28" s="910">
        <v>5</v>
      </c>
      <c r="P28" s="910">
        <v>7.2</v>
      </c>
      <c r="Q28" s="910">
        <v>5</v>
      </c>
      <c r="R28" s="910">
        <v>14.77</v>
      </c>
      <c r="S28" s="910">
        <v>5</v>
      </c>
      <c r="T28" s="910">
        <v>6.24</v>
      </c>
      <c r="U28" s="910">
        <v>5</v>
      </c>
      <c r="V28" s="910">
        <v>6.3213559170626539</v>
      </c>
      <c r="W28" s="910">
        <v>5</v>
      </c>
      <c r="X28" s="910">
        <v>9.98</v>
      </c>
      <c r="Y28" s="911">
        <v>5</v>
      </c>
      <c r="Z28" s="911">
        <v>32.53</v>
      </c>
    </row>
    <row r="29" spans="1:26" ht="12" customHeight="1" x14ac:dyDescent="0.25">
      <c r="A29" s="909">
        <v>22</v>
      </c>
      <c r="B29" s="909" t="s">
        <v>66</v>
      </c>
      <c r="C29" s="910">
        <v>5</v>
      </c>
      <c r="D29" s="910">
        <v>38.79</v>
      </c>
      <c r="E29" s="910">
        <v>6</v>
      </c>
      <c r="F29" s="910">
        <v>37</v>
      </c>
      <c r="G29" s="910">
        <v>7</v>
      </c>
      <c r="H29" s="910">
        <v>32</v>
      </c>
      <c r="I29" s="910">
        <v>7.0000000000000009</v>
      </c>
      <c r="J29" s="910">
        <v>25.326707110790554</v>
      </c>
      <c r="K29" s="910">
        <v>7.0000000000000009</v>
      </c>
      <c r="L29" s="910">
        <v>26.1</v>
      </c>
      <c r="M29" s="911">
        <v>7</v>
      </c>
      <c r="N29" s="911">
        <v>51.89</v>
      </c>
      <c r="O29" s="910">
        <v>3.5</v>
      </c>
      <c r="P29" s="910">
        <v>27.3</v>
      </c>
      <c r="Q29" s="910">
        <v>4</v>
      </c>
      <c r="R29" s="910">
        <v>5.79</v>
      </c>
      <c r="S29" s="910">
        <v>4.5</v>
      </c>
      <c r="T29" s="910">
        <v>23.69</v>
      </c>
      <c r="U29" s="910">
        <v>5</v>
      </c>
      <c r="V29" s="910">
        <v>37.801971105842313</v>
      </c>
      <c r="W29" s="910">
        <v>5</v>
      </c>
      <c r="X29" s="910">
        <v>61</v>
      </c>
      <c r="Y29" s="911">
        <v>5</v>
      </c>
      <c r="Z29" s="911">
        <v>30.19</v>
      </c>
    </row>
    <row r="30" spans="1:26" ht="12" customHeight="1" x14ac:dyDescent="0.25">
      <c r="A30" s="909">
        <v>23</v>
      </c>
      <c r="B30" s="909" t="s">
        <v>70</v>
      </c>
      <c r="C30" s="910">
        <v>7</v>
      </c>
      <c r="D30" s="910">
        <v>15.98</v>
      </c>
      <c r="E30" s="910">
        <v>7</v>
      </c>
      <c r="F30" s="910">
        <v>7.32</v>
      </c>
      <c r="G30" s="910">
        <v>7</v>
      </c>
      <c r="H30" s="910">
        <v>8.25</v>
      </c>
      <c r="I30" s="910">
        <v>7.0000000000000009</v>
      </c>
      <c r="J30" s="910">
        <v>9.0278807457191057</v>
      </c>
      <c r="K30" s="910">
        <v>7.0000000000000009</v>
      </c>
      <c r="L30" s="910">
        <v>9.91</v>
      </c>
      <c r="M30" s="911">
        <v>7</v>
      </c>
      <c r="N30" s="911">
        <v>8.8800000000000008</v>
      </c>
      <c r="O30" s="910">
        <v>4.5</v>
      </c>
      <c r="P30" s="910">
        <v>14</v>
      </c>
      <c r="Q30" s="910">
        <v>5</v>
      </c>
      <c r="R30" s="910">
        <v>10.84</v>
      </c>
      <c r="S30" s="910">
        <v>5</v>
      </c>
      <c r="T30" s="910">
        <v>24.84</v>
      </c>
      <c r="U30" s="910">
        <v>5</v>
      </c>
      <c r="V30" s="910">
        <v>16.619999999999997</v>
      </c>
      <c r="W30" s="910">
        <v>5</v>
      </c>
      <c r="X30" s="910">
        <v>8.3699999999999992</v>
      </c>
      <c r="Y30" s="911">
        <v>5</v>
      </c>
      <c r="Z30" s="911">
        <v>12.21</v>
      </c>
    </row>
    <row r="31" spans="1:26" ht="12" customHeight="1" x14ac:dyDescent="0.25">
      <c r="A31" s="909">
        <v>24</v>
      </c>
      <c r="B31" s="909" t="s">
        <v>112</v>
      </c>
      <c r="C31" s="910">
        <v>7</v>
      </c>
      <c r="D31" s="910">
        <v>19.579999999999998</v>
      </c>
      <c r="E31" s="910">
        <v>7</v>
      </c>
      <c r="F31" s="910">
        <v>20.41</v>
      </c>
      <c r="G31" s="910">
        <v>7</v>
      </c>
      <c r="H31" s="910">
        <v>29.04</v>
      </c>
      <c r="I31" s="910">
        <v>7.0000000000000009</v>
      </c>
      <c r="J31" s="910">
        <v>20.495266867364666</v>
      </c>
      <c r="K31" s="910">
        <v>7.0000000000000009</v>
      </c>
      <c r="L31" s="910">
        <v>13.03</v>
      </c>
      <c r="M31" s="911">
        <v>7</v>
      </c>
      <c r="N31" s="911">
        <v>7.61</v>
      </c>
      <c r="O31" s="910">
        <v>5</v>
      </c>
      <c r="P31" s="910">
        <v>22</v>
      </c>
      <c r="Q31" s="910">
        <v>5</v>
      </c>
      <c r="R31" s="910">
        <v>39.14</v>
      </c>
      <c r="S31" s="910">
        <v>5</v>
      </c>
      <c r="T31" s="910">
        <v>39.32</v>
      </c>
      <c r="U31" s="910">
        <v>5</v>
      </c>
      <c r="V31" s="910">
        <v>30.221806828641068</v>
      </c>
      <c r="W31" s="910">
        <v>5</v>
      </c>
      <c r="X31" s="910">
        <v>6.370000000000001</v>
      </c>
      <c r="Y31" s="911">
        <v>5</v>
      </c>
      <c r="Z31" s="911">
        <v>5.19</v>
      </c>
    </row>
    <row r="32" spans="1:26" ht="12" customHeight="1" x14ac:dyDescent="0.25">
      <c r="A32" s="909">
        <v>25</v>
      </c>
      <c r="B32" s="909" t="s">
        <v>76</v>
      </c>
      <c r="C32" s="910">
        <v>7</v>
      </c>
      <c r="D32" s="910">
        <v>41.83</v>
      </c>
      <c r="E32" s="910">
        <v>7</v>
      </c>
      <c r="F32" s="910">
        <v>56.31</v>
      </c>
      <c r="G32" s="910">
        <v>7</v>
      </c>
      <c r="H32" s="910">
        <v>61.38</v>
      </c>
      <c r="I32" s="910">
        <v>7.0000000000000009</v>
      </c>
      <c r="J32" s="910">
        <v>51.879147459413588</v>
      </c>
      <c r="K32" s="910">
        <v>7.0000000000000009</v>
      </c>
      <c r="L32" s="910">
        <v>44.58</v>
      </c>
      <c r="M32" s="911">
        <v>7</v>
      </c>
      <c r="N32" s="911">
        <v>42.39</v>
      </c>
      <c r="O32" s="910">
        <v>4.5</v>
      </c>
      <c r="P32" s="910">
        <v>37.5</v>
      </c>
      <c r="Q32" s="910">
        <v>5</v>
      </c>
      <c r="R32" s="910">
        <v>91.17</v>
      </c>
      <c r="S32" s="910">
        <v>5</v>
      </c>
      <c r="T32" s="910">
        <v>19.66</v>
      </c>
      <c r="U32" s="910">
        <v>5</v>
      </c>
      <c r="V32" s="910">
        <v>189.63474107454778</v>
      </c>
      <c r="W32" s="910">
        <v>5</v>
      </c>
      <c r="X32" s="910">
        <v>5.66</v>
      </c>
      <c r="Y32" s="911">
        <v>5</v>
      </c>
      <c r="Z32" s="911">
        <v>180.96</v>
      </c>
    </row>
    <row r="33" spans="1:26" ht="12" customHeight="1" x14ac:dyDescent="0.25">
      <c r="A33" s="909"/>
      <c r="B33" s="906" t="s">
        <v>488</v>
      </c>
      <c r="C33" s="910"/>
      <c r="D33" s="910"/>
      <c r="E33" s="910"/>
      <c r="F33" s="910"/>
      <c r="G33" s="910"/>
      <c r="H33" s="910"/>
      <c r="I33" s="910"/>
      <c r="J33" s="910"/>
      <c r="K33" s="910"/>
      <c r="L33" s="910"/>
      <c r="M33" s="911"/>
      <c r="N33" s="911"/>
      <c r="O33" s="910"/>
      <c r="P33" s="910"/>
      <c r="Q33" s="910"/>
      <c r="R33" s="910"/>
      <c r="S33" s="910"/>
      <c r="T33" s="910"/>
      <c r="U33" s="910"/>
      <c r="V33" s="910"/>
      <c r="W33" s="910"/>
      <c r="X33" s="910"/>
      <c r="Y33" s="911"/>
      <c r="Z33" s="911"/>
    </row>
    <row r="34" spans="1:26" ht="12" customHeight="1" x14ac:dyDescent="0.25">
      <c r="A34" s="909">
        <v>26</v>
      </c>
      <c r="B34" s="909" t="s">
        <v>118</v>
      </c>
      <c r="C34" s="910" t="s">
        <v>130</v>
      </c>
      <c r="D34" s="910" t="s">
        <v>130</v>
      </c>
      <c r="E34" s="910">
        <v>1</v>
      </c>
      <c r="F34" s="910">
        <v>1.44</v>
      </c>
      <c r="G34" s="910">
        <v>1.5</v>
      </c>
      <c r="H34" s="910">
        <v>3.3300000000000005</v>
      </c>
      <c r="I34" s="910">
        <v>2.5</v>
      </c>
      <c r="J34" s="910">
        <v>14.05</v>
      </c>
      <c r="K34" s="910">
        <v>2.5</v>
      </c>
      <c r="L34" s="910">
        <v>20.65</v>
      </c>
      <c r="M34" s="911">
        <v>2.5</v>
      </c>
      <c r="N34" s="911">
        <v>5.53</v>
      </c>
      <c r="O34" s="910" t="s">
        <v>130</v>
      </c>
      <c r="P34" s="910" t="s">
        <v>130</v>
      </c>
      <c r="Q34" s="910">
        <v>0.5</v>
      </c>
      <c r="R34" s="910">
        <v>28.58</v>
      </c>
      <c r="S34" s="910">
        <v>1</v>
      </c>
      <c r="T34" s="910">
        <v>1.6400000000000001</v>
      </c>
      <c r="U34" s="910">
        <v>1.5</v>
      </c>
      <c r="V34" s="910">
        <v>5.13</v>
      </c>
      <c r="W34" s="910">
        <v>2</v>
      </c>
      <c r="X34" s="910">
        <v>5.9700000000000006</v>
      </c>
      <c r="Y34" s="911">
        <v>2.5</v>
      </c>
      <c r="Z34" s="911">
        <v>4.13</v>
      </c>
    </row>
    <row r="35" spans="1:26" x14ac:dyDescent="0.25">
      <c r="A35" s="909">
        <v>27</v>
      </c>
      <c r="B35" s="909" t="s">
        <v>412</v>
      </c>
      <c r="C35" s="910">
        <v>2.5</v>
      </c>
      <c r="D35" s="910">
        <v>6.74</v>
      </c>
      <c r="E35" s="910">
        <v>2.5</v>
      </c>
      <c r="F35" s="910">
        <v>9.1</v>
      </c>
      <c r="G35" s="910">
        <v>2.5</v>
      </c>
      <c r="H35" s="910">
        <v>8.1</v>
      </c>
      <c r="I35" s="910">
        <v>3</v>
      </c>
      <c r="J35" s="910">
        <v>9</v>
      </c>
      <c r="K35" s="910">
        <v>3.5000000000000004</v>
      </c>
      <c r="L35" s="910">
        <v>12.22</v>
      </c>
      <c r="M35" s="911">
        <v>3.5</v>
      </c>
      <c r="N35" s="911">
        <v>13.53</v>
      </c>
      <c r="O35" s="910">
        <v>2.5</v>
      </c>
      <c r="P35" s="910">
        <v>2.77</v>
      </c>
      <c r="Q35" s="910">
        <v>3</v>
      </c>
      <c r="R35" s="910">
        <v>25.8</v>
      </c>
      <c r="S35" s="910">
        <v>3.5000000000000004</v>
      </c>
      <c r="T35" s="910">
        <v>57.8</v>
      </c>
      <c r="U35" s="910">
        <v>4</v>
      </c>
      <c r="V35" s="910">
        <v>28.000000000000004</v>
      </c>
      <c r="W35" s="910">
        <v>4.5</v>
      </c>
      <c r="X35" s="910">
        <v>30.659999999999997</v>
      </c>
      <c r="Y35" s="911">
        <v>5</v>
      </c>
      <c r="Z35" s="911">
        <v>47.28</v>
      </c>
    </row>
    <row r="36" spans="1:26" x14ac:dyDescent="0.2">
      <c r="A36" s="909">
        <v>28</v>
      </c>
      <c r="B36" s="909" t="s">
        <v>423</v>
      </c>
      <c r="C36" s="910">
        <v>3.5</v>
      </c>
      <c r="D36" s="910">
        <v>3.79</v>
      </c>
      <c r="E36" s="910">
        <v>3.5</v>
      </c>
      <c r="F36" s="910">
        <v>4.3</v>
      </c>
      <c r="G36" s="910">
        <v>3.5000000000000004</v>
      </c>
      <c r="H36" s="910">
        <v>3.8600000000000003</v>
      </c>
      <c r="I36" s="910">
        <v>3.5000000000000004</v>
      </c>
      <c r="J36" s="910">
        <v>4.5199999999999996</v>
      </c>
      <c r="K36" s="910">
        <v>0</v>
      </c>
      <c r="L36" s="910">
        <v>0</v>
      </c>
      <c r="M36" s="914" t="s">
        <v>130</v>
      </c>
      <c r="N36" s="914" t="s">
        <v>130</v>
      </c>
      <c r="O36" s="910">
        <v>4.5</v>
      </c>
      <c r="P36" s="910">
        <v>5.54</v>
      </c>
      <c r="Q36" s="910">
        <v>5</v>
      </c>
      <c r="R36" s="910">
        <v>6</v>
      </c>
      <c r="S36" s="910">
        <v>5</v>
      </c>
      <c r="T36" s="910">
        <v>12.36</v>
      </c>
      <c r="U36" s="910">
        <v>5</v>
      </c>
      <c r="V36" s="910">
        <v>6.17</v>
      </c>
      <c r="W36" s="910">
        <v>0</v>
      </c>
      <c r="X36" s="910">
        <v>0</v>
      </c>
      <c r="Y36" s="914" t="s">
        <v>130</v>
      </c>
      <c r="Z36" s="914" t="s">
        <v>130</v>
      </c>
    </row>
    <row r="37" spans="1:26" ht="15" customHeight="1" x14ac:dyDescent="0.25">
      <c r="A37" s="909">
        <v>29</v>
      </c>
      <c r="B37" s="909" t="s">
        <v>88</v>
      </c>
      <c r="C37" s="910">
        <v>2.5</v>
      </c>
      <c r="D37" s="910">
        <v>14.62</v>
      </c>
      <c r="E37" s="910">
        <v>2.5</v>
      </c>
      <c r="F37" s="910">
        <v>16.78</v>
      </c>
      <c r="G37" s="910">
        <v>2.5</v>
      </c>
      <c r="H37" s="910">
        <v>18.079999999999998</v>
      </c>
      <c r="I37" s="910">
        <v>2.5</v>
      </c>
      <c r="J37" s="910">
        <v>18.96</v>
      </c>
      <c r="K37" s="910">
        <v>2.5</v>
      </c>
      <c r="L37" s="910">
        <v>22.96</v>
      </c>
      <c r="M37" s="911">
        <v>3</v>
      </c>
      <c r="N37" s="911">
        <v>24.37</v>
      </c>
      <c r="O37" s="910">
        <v>1.5</v>
      </c>
      <c r="P37" s="910">
        <v>1.86</v>
      </c>
      <c r="Q37" s="910">
        <v>1.5</v>
      </c>
      <c r="R37" s="910">
        <v>2.68</v>
      </c>
      <c r="S37" s="910">
        <v>2.5</v>
      </c>
      <c r="T37" s="910">
        <v>2.83</v>
      </c>
      <c r="U37" s="910">
        <v>3</v>
      </c>
      <c r="V37" s="910">
        <v>4.01</v>
      </c>
      <c r="W37" s="910">
        <v>3.5000000000000004</v>
      </c>
      <c r="X37" s="910">
        <v>6.21</v>
      </c>
      <c r="Y37" s="911">
        <v>4</v>
      </c>
      <c r="Z37" s="911">
        <v>4.13</v>
      </c>
    </row>
    <row r="38" spans="1:26" x14ac:dyDescent="0.25">
      <c r="A38" s="909">
        <v>30</v>
      </c>
      <c r="B38" s="909" t="s">
        <v>502</v>
      </c>
      <c r="C38" s="910">
        <v>2.5</v>
      </c>
      <c r="D38" s="910">
        <v>6.17</v>
      </c>
      <c r="E38" s="910">
        <v>3</v>
      </c>
      <c r="F38" s="910">
        <v>5.25</v>
      </c>
      <c r="G38" s="910">
        <v>3.5000000000000004</v>
      </c>
      <c r="H38" s="910">
        <v>5.47</v>
      </c>
      <c r="I38" s="910">
        <v>3.5000000000000004</v>
      </c>
      <c r="J38" s="910">
        <v>6.01</v>
      </c>
      <c r="K38" s="910">
        <v>3.5000000000000004</v>
      </c>
      <c r="L38" s="910">
        <v>7.9399999999999995</v>
      </c>
      <c r="M38" s="911">
        <v>3.5</v>
      </c>
      <c r="N38" s="911">
        <v>9.4700000000000006</v>
      </c>
      <c r="O38" s="910">
        <v>3.5</v>
      </c>
      <c r="P38" s="910">
        <v>9.67</v>
      </c>
      <c r="Q38" s="910">
        <v>4</v>
      </c>
      <c r="R38" s="910">
        <v>4.07</v>
      </c>
      <c r="S38" s="910">
        <v>4.5</v>
      </c>
      <c r="T38" s="910">
        <v>4.7</v>
      </c>
      <c r="U38" s="910">
        <v>5</v>
      </c>
      <c r="V38" s="910">
        <v>5.42</v>
      </c>
      <c r="W38" s="910">
        <v>5</v>
      </c>
      <c r="X38" s="910">
        <v>5.2200000000000006</v>
      </c>
      <c r="Y38" s="911">
        <v>5</v>
      </c>
      <c r="Z38" s="911">
        <v>5.14</v>
      </c>
    </row>
    <row r="39" spans="1:26" x14ac:dyDescent="0.2">
      <c r="A39" s="909">
        <v>31</v>
      </c>
      <c r="B39" s="909" t="s">
        <v>494</v>
      </c>
      <c r="C39" s="914"/>
      <c r="D39" s="914"/>
      <c r="E39" s="914"/>
      <c r="F39" s="914"/>
      <c r="G39" s="914" t="s">
        <v>130</v>
      </c>
      <c r="H39" s="914" t="s">
        <v>130</v>
      </c>
      <c r="I39" s="914" t="s">
        <v>130</v>
      </c>
      <c r="J39" s="914" t="s">
        <v>130</v>
      </c>
      <c r="K39" s="914" t="s">
        <v>130</v>
      </c>
      <c r="L39" s="914" t="s">
        <v>130</v>
      </c>
      <c r="M39" s="914" t="s">
        <v>130</v>
      </c>
      <c r="N39" s="914" t="s">
        <v>130</v>
      </c>
      <c r="O39" s="914"/>
      <c r="P39" s="914"/>
      <c r="Q39" s="914"/>
      <c r="R39" s="914"/>
      <c r="S39" s="914" t="s">
        <v>130</v>
      </c>
      <c r="T39" s="914" t="s">
        <v>130</v>
      </c>
      <c r="U39" s="914" t="s">
        <v>130</v>
      </c>
      <c r="V39" s="914" t="s">
        <v>130</v>
      </c>
      <c r="W39" s="914" t="s">
        <v>130</v>
      </c>
      <c r="X39" s="914" t="s">
        <v>130</v>
      </c>
      <c r="Y39" s="914" t="s">
        <v>130</v>
      </c>
      <c r="Z39" s="914" t="s">
        <v>130</v>
      </c>
    </row>
    <row r="40" spans="1:26" x14ac:dyDescent="0.2">
      <c r="A40" s="915">
        <v>32</v>
      </c>
      <c r="B40" s="915" t="s">
        <v>95</v>
      </c>
      <c r="C40" s="916">
        <v>3.5</v>
      </c>
      <c r="D40" s="916">
        <v>12.34</v>
      </c>
      <c r="E40" s="916">
        <v>3.5</v>
      </c>
      <c r="F40" s="916">
        <v>13.81</v>
      </c>
      <c r="G40" s="916">
        <v>3.5000000000000004</v>
      </c>
      <c r="H40" s="916">
        <v>15.07</v>
      </c>
      <c r="I40" s="916">
        <v>3.5000000000000004</v>
      </c>
      <c r="J40" s="916">
        <v>16.189999999999998</v>
      </c>
      <c r="K40" s="916">
        <v>3.5000000000000004</v>
      </c>
      <c r="L40" s="916">
        <v>17.09</v>
      </c>
      <c r="M40" s="916">
        <v>3.5</v>
      </c>
      <c r="N40" s="916">
        <v>18.59</v>
      </c>
      <c r="O40" s="916">
        <v>5</v>
      </c>
      <c r="P40" s="916">
        <v>22.72</v>
      </c>
      <c r="Q40" s="916">
        <v>5</v>
      </c>
      <c r="R40" s="916">
        <v>15.78</v>
      </c>
      <c r="S40" s="916">
        <v>5</v>
      </c>
      <c r="T40" s="916">
        <v>14.78</v>
      </c>
      <c r="U40" s="916">
        <v>5</v>
      </c>
      <c r="V40" s="916">
        <v>12.45</v>
      </c>
      <c r="W40" s="916">
        <v>5</v>
      </c>
      <c r="X40" s="916">
        <v>12.53</v>
      </c>
      <c r="Y40" s="916">
        <v>5</v>
      </c>
      <c r="Z40" s="916">
        <v>9.59</v>
      </c>
    </row>
    <row r="41" spans="1:26" x14ac:dyDescent="0.2">
      <c r="A41" s="538" t="s">
        <v>418</v>
      </c>
      <c r="B41" s="917"/>
      <c r="C41" s="918"/>
      <c r="D41" s="918"/>
      <c r="E41" s="918"/>
      <c r="F41" s="918"/>
      <c r="G41" s="918"/>
      <c r="H41" s="918"/>
      <c r="I41" s="918"/>
      <c r="J41" s="918"/>
      <c r="K41" s="918"/>
      <c r="L41" s="918"/>
      <c r="M41" s="918"/>
      <c r="N41" s="918"/>
      <c r="O41" s="918"/>
      <c r="P41" s="918"/>
      <c r="Q41" s="918"/>
      <c r="R41" s="918"/>
      <c r="S41" s="918"/>
      <c r="T41" s="918"/>
      <c r="U41" s="918"/>
      <c r="V41" s="918"/>
      <c r="W41" s="918"/>
      <c r="X41" s="918"/>
      <c r="Y41" s="918"/>
      <c r="Z41" s="918"/>
    </row>
    <row r="42" spans="1:26" x14ac:dyDescent="0.2">
      <c r="A42" s="538" t="s">
        <v>419</v>
      </c>
      <c r="B42" s="917"/>
      <c r="C42" s="918"/>
      <c r="D42" s="918"/>
      <c r="E42" s="918"/>
      <c r="F42" s="918"/>
      <c r="G42" s="918"/>
      <c r="H42" s="918"/>
      <c r="I42" s="918"/>
      <c r="J42" s="918"/>
      <c r="K42" s="918"/>
      <c r="L42" s="918"/>
      <c r="M42" s="918"/>
      <c r="N42" s="918"/>
      <c r="O42" s="918"/>
      <c r="P42" s="918"/>
      <c r="Q42" s="918"/>
      <c r="R42" s="918"/>
      <c r="S42" s="918"/>
      <c r="T42" s="918"/>
      <c r="U42" s="918"/>
      <c r="V42" s="918"/>
      <c r="W42" s="918"/>
      <c r="X42" s="918"/>
      <c r="Y42" s="918"/>
      <c r="Z42" s="918"/>
    </row>
    <row r="43" spans="1:26" x14ac:dyDescent="0.2">
      <c r="A43" s="919" t="s">
        <v>495</v>
      </c>
      <c r="C43" s="920"/>
      <c r="D43" s="921"/>
      <c r="E43" s="920"/>
      <c r="F43" s="921"/>
      <c r="G43" s="922"/>
      <c r="H43" s="922"/>
      <c r="I43" s="922"/>
      <c r="J43" s="923"/>
      <c r="K43" s="922"/>
      <c r="L43" s="923"/>
      <c r="M43" s="923"/>
      <c r="N43" s="923"/>
      <c r="O43" s="920"/>
      <c r="P43" s="921"/>
      <c r="Q43" s="920"/>
      <c r="R43" s="921"/>
      <c r="S43" s="922"/>
      <c r="T43" s="922"/>
      <c r="U43" s="922"/>
      <c r="V43" s="923"/>
      <c r="W43" s="922"/>
      <c r="X43" s="923"/>
      <c r="Y43" s="923"/>
      <c r="Z43" s="923"/>
    </row>
    <row r="44" spans="1:26" x14ac:dyDescent="0.25">
      <c r="A44" s="903" t="s">
        <v>131</v>
      </c>
    </row>
    <row r="45" spans="1:26" x14ac:dyDescent="0.25">
      <c r="A45" s="904" t="s">
        <v>492</v>
      </c>
    </row>
    <row r="46" spans="1:26" x14ac:dyDescent="0.25">
      <c r="A46" s="904" t="s">
        <v>493</v>
      </c>
      <c r="C46" s="904"/>
      <c r="D46" s="904"/>
      <c r="O46" s="904"/>
      <c r="P46" s="904"/>
    </row>
    <row r="48" spans="1:26" x14ac:dyDescent="0.2">
      <c r="B48" s="924"/>
    </row>
  </sheetData>
  <mergeCells count="16">
    <mergeCell ref="I3:J3"/>
    <mergeCell ref="K3:L3"/>
    <mergeCell ref="O3:P3"/>
    <mergeCell ref="M3:N3"/>
    <mergeCell ref="C2:N2"/>
    <mergeCell ref="A2:A4"/>
    <mergeCell ref="B2:B4"/>
    <mergeCell ref="C3:D3"/>
    <mergeCell ref="E3:F3"/>
    <mergeCell ref="G3:H3"/>
    <mergeCell ref="Y3:Z3"/>
    <mergeCell ref="O2:Z2"/>
    <mergeCell ref="Q3:R3"/>
    <mergeCell ref="S3:T3"/>
    <mergeCell ref="U3:V3"/>
    <mergeCell ref="W3:X3"/>
  </mergeCells>
  <pageMargins left="0.7" right="0.7" top="0.75" bottom="0.75" header="0.3" footer="0.3"/>
  <pageSetup paperSize="9" scale="15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K48"/>
  <sheetViews>
    <sheetView zoomScale="90" zoomScaleNormal="90" workbookViewId="0">
      <pane xSplit="2" ySplit="3" topLeftCell="C4" activePane="bottomRight" state="frozen"/>
      <selection activeCell="A32" sqref="A32"/>
      <selection pane="topRight" activeCell="A32" sqref="A32"/>
      <selection pane="bottomLeft" activeCell="A32" sqref="A32"/>
      <selection pane="bottomRight"/>
    </sheetView>
  </sheetViews>
  <sheetFormatPr defaultRowHeight="12.75" x14ac:dyDescent="0.25"/>
  <cols>
    <col min="1" max="1" width="6.7109375" style="399" customWidth="1"/>
    <col min="2" max="2" width="38" style="397" customWidth="1"/>
    <col min="3" max="19" width="10.7109375" style="397" customWidth="1"/>
    <col min="20" max="20" width="12.140625" style="397" customWidth="1"/>
    <col min="21" max="21" width="11.28515625" style="397" bestFit="1" customWidth="1"/>
    <col min="22" max="24" width="10.7109375" style="397" customWidth="1"/>
    <col min="25" max="25" width="12.140625" style="397" customWidth="1"/>
    <col min="26" max="26" width="11.7109375" style="397" customWidth="1"/>
    <col min="27" max="29" width="10.7109375" style="397" customWidth="1"/>
    <col min="30" max="30" width="12.85546875" style="397" customWidth="1"/>
    <col min="31" max="31" width="12.140625" style="397" customWidth="1"/>
    <col min="32" max="34" width="10.7109375" style="397" customWidth="1"/>
    <col min="35" max="35" width="12.7109375" style="397" customWidth="1"/>
    <col min="36" max="36" width="12.140625" style="397" customWidth="1"/>
    <col min="37" max="37" width="10.7109375" style="397" customWidth="1"/>
    <col min="38" max="16384" width="9.140625" style="397"/>
  </cols>
  <sheetData>
    <row r="1" spans="1:141" s="73" customFormat="1" ht="22.5" customHeight="1" x14ac:dyDescent="0.25">
      <c r="A1" s="393" t="s">
        <v>617</v>
      </c>
      <c r="B1" s="394"/>
      <c r="C1" s="394"/>
      <c r="D1" s="394"/>
      <c r="E1" s="394"/>
      <c r="F1" s="394"/>
      <c r="G1" s="394"/>
      <c r="H1" s="394"/>
      <c r="I1" s="394"/>
      <c r="J1" s="394"/>
      <c r="K1" s="394"/>
      <c r="L1" s="394"/>
      <c r="M1" s="394"/>
      <c r="N1" s="394"/>
      <c r="O1" s="394"/>
      <c r="P1" s="394"/>
      <c r="Q1" s="394"/>
      <c r="R1" s="394"/>
      <c r="S1" s="394"/>
      <c r="T1" s="394"/>
      <c r="U1" s="394"/>
      <c r="V1" s="394"/>
    </row>
    <row r="2" spans="1:141" s="395" customFormat="1" ht="15" customHeight="1" x14ac:dyDescent="0.25">
      <c r="A2" s="1035" t="s">
        <v>2</v>
      </c>
      <c r="B2" s="1035" t="s">
        <v>101</v>
      </c>
      <c r="C2" s="1037" t="s">
        <v>91</v>
      </c>
      <c r="D2" s="1038"/>
      <c r="E2" s="1039"/>
      <c r="F2" s="1037" t="s">
        <v>102</v>
      </c>
      <c r="G2" s="1038"/>
      <c r="H2" s="1039"/>
      <c r="I2" s="1037" t="s">
        <v>51</v>
      </c>
      <c r="J2" s="1038"/>
      <c r="K2" s="1039"/>
      <c r="L2" s="1037" t="s">
        <v>87</v>
      </c>
      <c r="M2" s="1038"/>
      <c r="N2" s="1039"/>
      <c r="O2" s="1037" t="s">
        <v>20</v>
      </c>
      <c r="P2" s="1038"/>
      <c r="Q2" s="1039"/>
      <c r="R2" s="1031" t="s">
        <v>99</v>
      </c>
      <c r="S2" s="1032"/>
      <c r="T2" s="1032"/>
      <c r="U2" s="1032"/>
      <c r="V2" s="1033"/>
      <c r="W2" s="1031" t="s">
        <v>103</v>
      </c>
      <c r="X2" s="1032"/>
      <c r="Y2" s="1032"/>
      <c r="Z2" s="1032"/>
      <c r="AA2" s="1033"/>
      <c r="AB2" s="1031" t="s">
        <v>415</v>
      </c>
      <c r="AC2" s="1032"/>
      <c r="AD2" s="1032"/>
      <c r="AE2" s="1032"/>
      <c r="AF2" s="1033"/>
      <c r="AG2" s="1034" t="s">
        <v>507</v>
      </c>
      <c r="AH2" s="1034"/>
      <c r="AI2" s="1034"/>
      <c r="AJ2" s="1034"/>
      <c r="AK2" s="1034"/>
    </row>
    <row r="3" spans="1:141" s="73" customFormat="1" ht="51" customHeight="1" x14ac:dyDescent="0.25">
      <c r="A3" s="1036"/>
      <c r="B3" s="1036"/>
      <c r="C3" s="925" t="s">
        <v>350</v>
      </c>
      <c r="D3" s="925" t="s">
        <v>351</v>
      </c>
      <c r="E3" s="925" t="s">
        <v>352</v>
      </c>
      <c r="F3" s="925" t="s">
        <v>350</v>
      </c>
      <c r="G3" s="926" t="s">
        <v>351</v>
      </c>
      <c r="H3" s="926" t="s">
        <v>352</v>
      </c>
      <c r="I3" s="925" t="s">
        <v>350</v>
      </c>
      <c r="J3" s="925" t="s">
        <v>351</v>
      </c>
      <c r="K3" s="925" t="s">
        <v>352</v>
      </c>
      <c r="L3" s="925" t="s">
        <v>350</v>
      </c>
      <c r="M3" s="925" t="s">
        <v>351</v>
      </c>
      <c r="N3" s="925" t="s">
        <v>352</v>
      </c>
      <c r="O3" s="925" t="s">
        <v>350</v>
      </c>
      <c r="P3" s="925" t="s">
        <v>351</v>
      </c>
      <c r="Q3" s="925" t="s">
        <v>352</v>
      </c>
      <c r="R3" s="925" t="s">
        <v>350</v>
      </c>
      <c r="S3" s="925" t="s">
        <v>351</v>
      </c>
      <c r="T3" s="925" t="s">
        <v>353</v>
      </c>
      <c r="U3" s="925" t="s">
        <v>354</v>
      </c>
      <c r="V3" s="925" t="s">
        <v>355</v>
      </c>
      <c r="W3" s="925" t="s">
        <v>350</v>
      </c>
      <c r="X3" s="925" t="s">
        <v>351</v>
      </c>
      <c r="Y3" s="925" t="s">
        <v>353</v>
      </c>
      <c r="Z3" s="925" t="s">
        <v>354</v>
      </c>
      <c r="AA3" s="925" t="s">
        <v>355</v>
      </c>
      <c r="AB3" s="925" t="s">
        <v>350</v>
      </c>
      <c r="AC3" s="925" t="s">
        <v>351</v>
      </c>
      <c r="AD3" s="925" t="s">
        <v>353</v>
      </c>
      <c r="AE3" s="925" t="s">
        <v>354</v>
      </c>
      <c r="AF3" s="925" t="s">
        <v>355</v>
      </c>
      <c r="AG3" s="925" t="s">
        <v>350</v>
      </c>
      <c r="AH3" s="925" t="s">
        <v>351</v>
      </c>
      <c r="AI3" s="925" t="s">
        <v>353</v>
      </c>
      <c r="AJ3" s="925" t="s">
        <v>354</v>
      </c>
      <c r="AK3" s="925" t="s">
        <v>355</v>
      </c>
    </row>
    <row r="4" spans="1:141" s="396" customFormat="1" ht="15" customHeight="1" x14ac:dyDescent="0.25">
      <c r="A4" s="382"/>
      <c r="B4" s="400" t="s">
        <v>104</v>
      </c>
      <c r="C4" s="74"/>
      <c r="D4" s="74"/>
      <c r="E4" s="74"/>
      <c r="F4" s="80"/>
      <c r="G4" s="80"/>
      <c r="H4" s="80"/>
      <c r="I4" s="74"/>
      <c r="J4" s="74"/>
      <c r="K4" s="74"/>
      <c r="L4" s="81"/>
      <c r="M4" s="81"/>
      <c r="N4" s="81"/>
      <c r="O4" s="81"/>
      <c r="P4" s="81"/>
      <c r="Q4" s="81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</row>
    <row r="5" spans="1:141" ht="15" customHeight="1" x14ac:dyDescent="0.25">
      <c r="A5" s="384">
        <v>1</v>
      </c>
      <c r="B5" s="401" t="s">
        <v>9</v>
      </c>
      <c r="C5" s="381">
        <v>370</v>
      </c>
      <c r="D5" s="381">
        <v>4954</v>
      </c>
      <c r="E5" s="381">
        <v>5068</v>
      </c>
      <c r="F5" s="75">
        <v>256</v>
      </c>
      <c r="G5" s="75">
        <v>4740</v>
      </c>
      <c r="H5" s="75">
        <v>4821</v>
      </c>
      <c r="I5" s="381">
        <v>175</v>
      </c>
      <c r="J5" s="381">
        <v>4933</v>
      </c>
      <c r="K5" s="381">
        <v>4928</v>
      </c>
      <c r="L5" s="388">
        <v>180</v>
      </c>
      <c r="M5" s="388">
        <v>4680</v>
      </c>
      <c r="N5" s="388">
        <v>4671</v>
      </c>
      <c r="O5" s="388">
        <v>189</v>
      </c>
      <c r="P5" s="388">
        <v>5571</v>
      </c>
      <c r="Q5" s="388">
        <v>5591</v>
      </c>
      <c r="R5" s="389">
        <v>169</v>
      </c>
      <c r="S5" s="389">
        <v>4739</v>
      </c>
      <c r="T5" s="390">
        <v>0</v>
      </c>
      <c r="U5" s="390">
        <v>4739</v>
      </c>
      <c r="V5" s="390">
        <v>4891</v>
      </c>
      <c r="W5" s="390">
        <v>17</v>
      </c>
      <c r="X5" s="390">
        <v>4752</v>
      </c>
      <c r="Y5" s="390">
        <v>0</v>
      </c>
      <c r="Z5" s="390">
        <v>4752</v>
      </c>
      <c r="AA5" s="390">
        <v>4662</v>
      </c>
      <c r="AB5" s="390">
        <v>107</v>
      </c>
      <c r="AC5" s="390">
        <v>4560</v>
      </c>
      <c r="AD5" s="390">
        <v>0</v>
      </c>
      <c r="AE5" s="390">
        <v>4560</v>
      </c>
      <c r="AF5" s="390">
        <v>4524</v>
      </c>
      <c r="AG5" s="390">
        <v>143</v>
      </c>
      <c r="AH5" s="390">
        <v>7957</v>
      </c>
      <c r="AI5" s="390">
        <v>0</v>
      </c>
      <c r="AJ5" s="390">
        <v>7957</v>
      </c>
      <c r="AK5" s="390">
        <v>7716</v>
      </c>
    </row>
    <row r="6" spans="1:141" ht="15" customHeight="1" x14ac:dyDescent="0.25">
      <c r="A6" s="384">
        <v>2</v>
      </c>
      <c r="B6" s="401" t="s">
        <v>12</v>
      </c>
      <c r="C6" s="381">
        <v>102</v>
      </c>
      <c r="D6" s="381">
        <v>3610</v>
      </c>
      <c r="E6" s="381">
        <v>3613</v>
      </c>
      <c r="F6" s="75">
        <v>99</v>
      </c>
      <c r="G6" s="75">
        <v>3204</v>
      </c>
      <c r="H6" s="75">
        <v>3201</v>
      </c>
      <c r="I6" s="381">
        <v>102</v>
      </c>
      <c r="J6" s="381">
        <v>4087</v>
      </c>
      <c r="K6" s="381">
        <v>4050</v>
      </c>
      <c r="L6" s="388">
        <v>139</v>
      </c>
      <c r="M6" s="388">
        <v>4208</v>
      </c>
      <c r="N6" s="388">
        <v>4312</v>
      </c>
      <c r="O6" s="388">
        <v>35</v>
      </c>
      <c r="P6" s="388">
        <v>4820</v>
      </c>
      <c r="Q6" s="388">
        <v>4852</v>
      </c>
      <c r="R6" s="389">
        <v>3</v>
      </c>
      <c r="S6" s="389">
        <v>5178</v>
      </c>
      <c r="T6" s="390">
        <v>14</v>
      </c>
      <c r="U6" s="390">
        <v>5164</v>
      </c>
      <c r="V6" s="390">
        <v>5137</v>
      </c>
      <c r="W6" s="390">
        <v>30</v>
      </c>
      <c r="X6" s="390">
        <v>5587</v>
      </c>
      <c r="Y6" s="390">
        <v>103</v>
      </c>
      <c r="Z6" s="390">
        <v>5484</v>
      </c>
      <c r="AA6" s="390">
        <v>5497</v>
      </c>
      <c r="AB6" s="390">
        <v>17</v>
      </c>
      <c r="AC6" s="390">
        <v>5133</v>
      </c>
      <c r="AD6" s="390">
        <v>145</v>
      </c>
      <c r="AE6" s="390">
        <v>4988</v>
      </c>
      <c r="AF6" s="390">
        <v>4977</v>
      </c>
      <c r="AG6" s="390">
        <v>28</v>
      </c>
      <c r="AH6" s="390">
        <v>5398</v>
      </c>
      <c r="AI6" s="390">
        <v>93</v>
      </c>
      <c r="AJ6" s="390">
        <v>5305</v>
      </c>
      <c r="AK6" s="390">
        <v>5322</v>
      </c>
    </row>
    <row r="7" spans="1:141" ht="15" customHeight="1" x14ac:dyDescent="0.25">
      <c r="A7" s="384">
        <v>3</v>
      </c>
      <c r="B7" s="401" t="s">
        <v>14</v>
      </c>
      <c r="C7" s="381">
        <v>281</v>
      </c>
      <c r="D7" s="381">
        <v>2789</v>
      </c>
      <c r="E7" s="381">
        <v>3004</v>
      </c>
      <c r="F7" s="75">
        <v>66</v>
      </c>
      <c r="G7" s="75">
        <v>2165</v>
      </c>
      <c r="H7" s="75">
        <v>2172</v>
      </c>
      <c r="I7" s="381">
        <v>59</v>
      </c>
      <c r="J7" s="381">
        <v>2555</v>
      </c>
      <c r="K7" s="381">
        <v>2485</v>
      </c>
      <c r="L7" s="388">
        <v>129</v>
      </c>
      <c r="M7" s="388">
        <v>2673</v>
      </c>
      <c r="N7" s="388">
        <v>2672</v>
      </c>
      <c r="O7" s="388">
        <v>130</v>
      </c>
      <c r="P7" s="388">
        <v>2743</v>
      </c>
      <c r="Q7" s="388">
        <v>2121</v>
      </c>
      <c r="R7" s="389">
        <v>752</v>
      </c>
      <c r="S7" s="389">
        <v>2733</v>
      </c>
      <c r="T7" s="390">
        <v>99</v>
      </c>
      <c r="U7" s="390">
        <v>2634</v>
      </c>
      <c r="V7" s="390">
        <v>3359</v>
      </c>
      <c r="W7" s="390">
        <v>27</v>
      </c>
      <c r="X7" s="390">
        <v>2965</v>
      </c>
      <c r="Y7" s="390">
        <v>71</v>
      </c>
      <c r="Z7" s="390">
        <v>2894</v>
      </c>
      <c r="AA7" s="390">
        <v>2872</v>
      </c>
      <c r="AB7" s="390">
        <v>49</v>
      </c>
      <c r="AC7" s="390">
        <v>3652</v>
      </c>
      <c r="AD7" s="390">
        <v>126</v>
      </c>
      <c r="AE7" s="390">
        <v>3526</v>
      </c>
      <c r="AF7" s="390">
        <v>3538</v>
      </c>
      <c r="AG7" s="390">
        <v>37</v>
      </c>
      <c r="AH7" s="390">
        <v>4338</v>
      </c>
      <c r="AI7" s="390">
        <v>106</v>
      </c>
      <c r="AJ7" s="390">
        <v>4232</v>
      </c>
      <c r="AK7" s="390">
        <v>4209</v>
      </c>
    </row>
    <row r="8" spans="1:141" ht="15" customHeight="1" x14ac:dyDescent="0.25">
      <c r="A8" s="384">
        <v>4</v>
      </c>
      <c r="B8" s="401" t="s">
        <v>16</v>
      </c>
      <c r="C8" s="381">
        <v>342</v>
      </c>
      <c r="D8" s="381">
        <v>6197</v>
      </c>
      <c r="E8" s="381">
        <v>6321</v>
      </c>
      <c r="F8" s="75">
        <v>218</v>
      </c>
      <c r="G8" s="75">
        <v>5705</v>
      </c>
      <c r="H8" s="75">
        <v>5868</v>
      </c>
      <c r="I8" s="381">
        <v>55</v>
      </c>
      <c r="J8" s="381">
        <v>6221</v>
      </c>
      <c r="K8" s="381">
        <v>6254</v>
      </c>
      <c r="L8" s="388">
        <v>22</v>
      </c>
      <c r="M8" s="388">
        <v>7484</v>
      </c>
      <c r="N8" s="388">
        <v>7394</v>
      </c>
      <c r="O8" s="388">
        <v>112</v>
      </c>
      <c r="P8" s="388">
        <v>9425</v>
      </c>
      <c r="Q8" s="388">
        <v>9212</v>
      </c>
      <c r="R8" s="389">
        <v>325</v>
      </c>
      <c r="S8" s="389">
        <v>8404</v>
      </c>
      <c r="T8" s="390">
        <v>0</v>
      </c>
      <c r="U8" s="390">
        <v>8404</v>
      </c>
      <c r="V8" s="390">
        <v>8464</v>
      </c>
      <c r="W8" s="390">
        <v>265</v>
      </c>
      <c r="X8" s="390">
        <v>9820</v>
      </c>
      <c r="Y8" s="390">
        <v>0</v>
      </c>
      <c r="Z8" s="390">
        <v>9820</v>
      </c>
      <c r="AA8" s="390">
        <v>9624</v>
      </c>
      <c r="AB8" s="390">
        <v>461</v>
      </c>
      <c r="AC8" s="390">
        <v>7981</v>
      </c>
      <c r="AD8" s="390">
        <v>0</v>
      </c>
      <c r="AE8" s="390">
        <v>7981</v>
      </c>
      <c r="AF8" s="390">
        <v>8309</v>
      </c>
      <c r="AG8" s="390">
        <v>133</v>
      </c>
      <c r="AH8" s="390">
        <v>6118</v>
      </c>
      <c r="AI8" s="390">
        <v>0</v>
      </c>
      <c r="AJ8" s="390">
        <v>6118</v>
      </c>
      <c r="AK8" s="390">
        <v>6209</v>
      </c>
    </row>
    <row r="9" spans="1:141" s="398" customFormat="1" ht="15" customHeight="1" x14ac:dyDescent="0.25">
      <c r="A9" s="382"/>
      <c r="B9" s="400" t="s">
        <v>105</v>
      </c>
      <c r="C9" s="74">
        <v>1095</v>
      </c>
      <c r="D9" s="74">
        <v>17550</v>
      </c>
      <c r="E9" s="74">
        <v>18006</v>
      </c>
      <c r="F9" s="80">
        <f>SUM(F5:F8)</f>
        <v>639</v>
      </c>
      <c r="G9" s="80">
        <f>SUM(G5:G8)</f>
        <v>15814</v>
      </c>
      <c r="H9" s="80">
        <f>SUM(H5:H8)</f>
        <v>16062</v>
      </c>
      <c r="I9" s="74">
        <v>391</v>
      </c>
      <c r="J9" s="74">
        <v>17796</v>
      </c>
      <c r="K9" s="74">
        <v>17717</v>
      </c>
      <c r="L9" s="81">
        <v>470</v>
      </c>
      <c r="M9" s="81">
        <v>19045</v>
      </c>
      <c r="N9" s="81">
        <v>19049</v>
      </c>
      <c r="O9" s="81">
        <v>466</v>
      </c>
      <c r="P9" s="81">
        <v>22559</v>
      </c>
      <c r="Q9" s="81">
        <v>21776</v>
      </c>
      <c r="R9" s="82">
        <f>SUM(R5:R8)</f>
        <v>1249</v>
      </c>
      <c r="S9" s="82">
        <f t="shared" ref="S9:AA9" si="0">SUM(S5:S8)</f>
        <v>21054</v>
      </c>
      <c r="T9" s="82">
        <f t="shared" si="0"/>
        <v>113</v>
      </c>
      <c r="U9" s="82">
        <f t="shared" si="0"/>
        <v>20941</v>
      </c>
      <c r="V9" s="82">
        <f t="shared" si="0"/>
        <v>21851</v>
      </c>
      <c r="W9" s="82">
        <f t="shared" si="0"/>
        <v>339</v>
      </c>
      <c r="X9" s="82">
        <f t="shared" si="0"/>
        <v>23124</v>
      </c>
      <c r="Y9" s="82">
        <f t="shared" si="0"/>
        <v>174</v>
      </c>
      <c r="Z9" s="82">
        <f t="shared" si="0"/>
        <v>22950</v>
      </c>
      <c r="AA9" s="82">
        <f t="shared" si="0"/>
        <v>22655</v>
      </c>
      <c r="AB9" s="82">
        <v>634</v>
      </c>
      <c r="AC9" s="82">
        <v>21326</v>
      </c>
      <c r="AD9" s="82">
        <v>271</v>
      </c>
      <c r="AE9" s="82">
        <v>21055</v>
      </c>
      <c r="AF9" s="82">
        <v>21348</v>
      </c>
      <c r="AG9" s="82">
        <v>341</v>
      </c>
      <c r="AH9" s="82">
        <v>23811</v>
      </c>
      <c r="AI9" s="82">
        <v>199</v>
      </c>
      <c r="AJ9" s="82">
        <v>23612</v>
      </c>
      <c r="AK9" s="82">
        <v>23456</v>
      </c>
      <c r="AL9" s="397"/>
    </row>
    <row r="10" spans="1:141" s="76" customFormat="1" x14ac:dyDescent="0.25">
      <c r="A10" s="383"/>
      <c r="B10" s="402" t="s">
        <v>106</v>
      </c>
      <c r="C10" s="105"/>
      <c r="D10" s="105"/>
      <c r="E10" s="105"/>
      <c r="F10" s="105"/>
      <c r="G10" s="106"/>
      <c r="H10" s="106"/>
      <c r="I10" s="105"/>
      <c r="J10" s="105"/>
      <c r="K10" s="105"/>
      <c r="L10" s="105"/>
      <c r="M10" s="105"/>
      <c r="N10" s="105"/>
      <c r="O10" s="105"/>
      <c r="P10" s="105"/>
      <c r="Q10" s="105"/>
      <c r="R10" s="389"/>
      <c r="S10" s="389"/>
      <c r="T10" s="389"/>
      <c r="U10" s="389"/>
      <c r="V10" s="389"/>
      <c r="W10" s="390"/>
      <c r="X10" s="390"/>
      <c r="Y10" s="390"/>
      <c r="Z10" s="390"/>
      <c r="AA10" s="390"/>
      <c r="AB10" s="390"/>
      <c r="AC10" s="390"/>
      <c r="AD10" s="390"/>
      <c r="AE10" s="390"/>
      <c r="AF10" s="390"/>
      <c r="AG10" s="390"/>
      <c r="AH10" s="390"/>
      <c r="AI10" s="390"/>
      <c r="AJ10" s="390"/>
      <c r="AK10" s="390"/>
      <c r="AL10" s="397"/>
    </row>
    <row r="11" spans="1:141" s="77" customFormat="1" x14ac:dyDescent="0.25">
      <c r="A11" s="391">
        <v>5</v>
      </c>
      <c r="B11" s="405" t="s">
        <v>18</v>
      </c>
      <c r="C11" s="105"/>
      <c r="D11" s="105"/>
      <c r="E11" s="105"/>
      <c r="F11" s="105"/>
      <c r="G11" s="106"/>
      <c r="H11" s="106"/>
      <c r="I11" s="105"/>
      <c r="J11" s="105"/>
      <c r="K11" s="105"/>
      <c r="L11" s="105"/>
      <c r="M11" s="105"/>
      <c r="N11" s="105"/>
      <c r="O11" s="105"/>
      <c r="P11" s="105"/>
      <c r="Q11" s="105"/>
      <c r="R11" s="389">
        <v>0</v>
      </c>
      <c r="S11" s="389">
        <v>11</v>
      </c>
      <c r="T11" s="389">
        <v>0</v>
      </c>
      <c r="U11" s="389">
        <v>11</v>
      </c>
      <c r="V11" s="389">
        <v>11</v>
      </c>
      <c r="W11" s="390">
        <v>0</v>
      </c>
      <c r="X11" s="390">
        <v>622</v>
      </c>
      <c r="Y11" s="390">
        <v>2</v>
      </c>
      <c r="Z11" s="390">
        <v>620</v>
      </c>
      <c r="AA11" s="390">
        <v>620</v>
      </c>
      <c r="AB11" s="390">
        <v>0</v>
      </c>
      <c r="AC11" s="390">
        <v>238</v>
      </c>
      <c r="AD11" s="390">
        <v>11</v>
      </c>
      <c r="AE11" s="390">
        <v>227</v>
      </c>
      <c r="AF11" s="390">
        <v>225</v>
      </c>
      <c r="AG11" s="390">
        <v>2</v>
      </c>
      <c r="AH11" s="390">
        <v>383</v>
      </c>
      <c r="AI11" s="390">
        <v>15</v>
      </c>
      <c r="AJ11" s="390">
        <v>368</v>
      </c>
      <c r="AK11" s="390">
        <v>352</v>
      </c>
      <c r="AL11" s="397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  <c r="BE11" s="76"/>
      <c r="BF11" s="76"/>
      <c r="BG11" s="76"/>
      <c r="BH11" s="76"/>
      <c r="BI11" s="76"/>
      <c r="BJ11" s="76"/>
      <c r="BK11" s="76"/>
      <c r="BL11" s="76"/>
      <c r="BM11" s="76"/>
      <c r="BN11" s="76"/>
      <c r="BO11" s="76"/>
      <c r="BP11" s="76"/>
      <c r="BQ11" s="76"/>
      <c r="BR11" s="76"/>
      <c r="BS11" s="76"/>
      <c r="BT11" s="76"/>
      <c r="BU11" s="76"/>
      <c r="BV11" s="76"/>
      <c r="BW11" s="76"/>
      <c r="BX11" s="76"/>
      <c r="BY11" s="76"/>
      <c r="BZ11" s="76"/>
      <c r="CA11" s="76"/>
      <c r="CB11" s="76"/>
      <c r="CC11" s="76"/>
      <c r="CD11" s="76"/>
      <c r="CE11" s="76"/>
      <c r="CF11" s="76"/>
      <c r="CG11" s="76"/>
      <c r="CH11" s="76"/>
      <c r="CI11" s="76"/>
      <c r="CJ11" s="76"/>
      <c r="CK11" s="76"/>
      <c r="CL11" s="76"/>
      <c r="CM11" s="76"/>
      <c r="CN11" s="76"/>
      <c r="CO11" s="76"/>
      <c r="CP11" s="76"/>
      <c r="CQ11" s="76"/>
      <c r="CR11" s="76"/>
      <c r="CS11" s="76"/>
      <c r="CT11" s="76"/>
      <c r="CU11" s="76"/>
      <c r="CV11" s="76"/>
      <c r="CW11" s="76"/>
      <c r="CX11" s="76"/>
      <c r="CY11" s="76"/>
      <c r="CZ11" s="76"/>
      <c r="DA11" s="76"/>
      <c r="DB11" s="76"/>
      <c r="DC11" s="76"/>
      <c r="DD11" s="76"/>
      <c r="DE11" s="76"/>
      <c r="DF11" s="76"/>
      <c r="DG11" s="76"/>
      <c r="DH11" s="76"/>
      <c r="DI11" s="76"/>
      <c r="DJ11" s="76"/>
      <c r="DK11" s="76"/>
      <c r="DL11" s="76"/>
      <c r="DM11" s="76"/>
      <c r="DN11" s="76"/>
      <c r="DO11" s="76"/>
      <c r="DP11" s="76"/>
      <c r="DQ11" s="76"/>
      <c r="DR11" s="76"/>
      <c r="DS11" s="76"/>
      <c r="DT11" s="76"/>
      <c r="DU11" s="76"/>
      <c r="DV11" s="76"/>
      <c r="DW11" s="76"/>
      <c r="DX11" s="76"/>
      <c r="DY11" s="76"/>
      <c r="DZ11" s="76"/>
      <c r="EA11" s="76"/>
      <c r="EB11" s="76"/>
      <c r="EC11" s="76"/>
      <c r="ED11" s="76"/>
      <c r="EE11" s="76"/>
      <c r="EF11" s="76"/>
      <c r="EG11" s="76"/>
      <c r="EH11" s="76"/>
      <c r="EI11" s="76"/>
      <c r="EJ11" s="76"/>
      <c r="EK11" s="76"/>
    </row>
    <row r="12" spans="1:141" ht="15" customHeight="1" x14ac:dyDescent="0.25">
      <c r="A12" s="384">
        <v>6</v>
      </c>
      <c r="B12" s="406" t="s">
        <v>21</v>
      </c>
      <c r="C12" s="381">
        <v>2</v>
      </c>
      <c r="D12" s="381">
        <v>6361</v>
      </c>
      <c r="E12" s="381">
        <v>6358</v>
      </c>
      <c r="F12" s="75">
        <v>5</v>
      </c>
      <c r="G12" s="75">
        <v>4770</v>
      </c>
      <c r="H12" s="75">
        <v>4571</v>
      </c>
      <c r="I12" s="381">
        <v>204</v>
      </c>
      <c r="J12" s="381">
        <v>1756</v>
      </c>
      <c r="K12" s="381">
        <v>1911</v>
      </c>
      <c r="L12" s="388">
        <v>49</v>
      </c>
      <c r="M12" s="388">
        <v>917</v>
      </c>
      <c r="N12" s="388">
        <v>959</v>
      </c>
      <c r="O12" s="388">
        <v>7</v>
      </c>
      <c r="P12" s="388">
        <v>914</v>
      </c>
      <c r="Q12" s="388">
        <v>919</v>
      </c>
      <c r="R12" s="389">
        <v>2</v>
      </c>
      <c r="S12" s="389">
        <v>1113</v>
      </c>
      <c r="T12" s="390">
        <v>61</v>
      </c>
      <c r="U12" s="390">
        <v>1052</v>
      </c>
      <c r="V12" s="390">
        <v>1052</v>
      </c>
      <c r="W12" s="390">
        <v>2</v>
      </c>
      <c r="X12" s="390">
        <v>1630</v>
      </c>
      <c r="Y12" s="390">
        <v>78</v>
      </c>
      <c r="Z12" s="390">
        <v>1552</v>
      </c>
      <c r="AA12" s="390">
        <v>1553</v>
      </c>
      <c r="AB12" s="390">
        <v>1</v>
      </c>
      <c r="AC12" s="390">
        <v>1785</v>
      </c>
      <c r="AD12" s="390">
        <v>35</v>
      </c>
      <c r="AE12" s="390">
        <v>1750</v>
      </c>
      <c r="AF12" s="390">
        <v>1742</v>
      </c>
      <c r="AG12" s="390">
        <v>9</v>
      </c>
      <c r="AH12" s="390">
        <v>2370</v>
      </c>
      <c r="AI12" s="390">
        <v>24</v>
      </c>
      <c r="AJ12" s="390">
        <v>2346</v>
      </c>
      <c r="AK12" s="390">
        <v>1579</v>
      </c>
    </row>
    <row r="13" spans="1:141" ht="15" customHeight="1" x14ac:dyDescent="0.25">
      <c r="A13" s="384">
        <v>7</v>
      </c>
      <c r="B13" s="406" t="s">
        <v>25</v>
      </c>
      <c r="C13" s="381">
        <v>0</v>
      </c>
      <c r="D13" s="381">
        <v>5356</v>
      </c>
      <c r="E13" s="381">
        <v>5356</v>
      </c>
      <c r="F13" s="75">
        <v>0</v>
      </c>
      <c r="G13" s="75">
        <v>4586</v>
      </c>
      <c r="H13" s="75">
        <v>4481</v>
      </c>
      <c r="I13" s="381">
        <v>105</v>
      </c>
      <c r="J13" s="381">
        <v>4198</v>
      </c>
      <c r="K13" s="381">
        <v>4266</v>
      </c>
      <c r="L13" s="388">
        <v>37</v>
      </c>
      <c r="M13" s="388">
        <v>3579</v>
      </c>
      <c r="N13" s="388">
        <v>3609</v>
      </c>
      <c r="O13" s="388">
        <v>7</v>
      </c>
      <c r="P13" s="388">
        <v>1943</v>
      </c>
      <c r="Q13" s="388">
        <v>1944</v>
      </c>
      <c r="R13" s="389">
        <v>6</v>
      </c>
      <c r="S13" s="389">
        <v>1423</v>
      </c>
      <c r="T13" s="390">
        <v>73</v>
      </c>
      <c r="U13" s="390">
        <v>1350</v>
      </c>
      <c r="V13" s="390">
        <v>1352</v>
      </c>
      <c r="W13" s="390">
        <v>4</v>
      </c>
      <c r="X13" s="390">
        <v>1019</v>
      </c>
      <c r="Y13" s="390">
        <v>52</v>
      </c>
      <c r="Z13" s="390">
        <v>967</v>
      </c>
      <c r="AA13" s="390">
        <v>971</v>
      </c>
      <c r="AB13" s="390">
        <v>0</v>
      </c>
      <c r="AC13" s="390">
        <v>1186</v>
      </c>
      <c r="AD13" s="390">
        <v>119</v>
      </c>
      <c r="AE13" s="390">
        <v>1067</v>
      </c>
      <c r="AF13" s="390">
        <v>1041</v>
      </c>
      <c r="AG13" s="390">
        <v>26</v>
      </c>
      <c r="AH13" s="390">
        <v>863</v>
      </c>
      <c r="AI13" s="390">
        <v>66</v>
      </c>
      <c r="AJ13" s="390">
        <v>797</v>
      </c>
      <c r="AK13" s="390">
        <v>823</v>
      </c>
    </row>
    <row r="14" spans="1:141" ht="15" customHeight="1" x14ac:dyDescent="0.25">
      <c r="A14" s="384">
        <v>8</v>
      </c>
      <c r="B14" s="406" t="s">
        <v>27</v>
      </c>
      <c r="C14" s="381">
        <v>5</v>
      </c>
      <c r="D14" s="381">
        <v>2847</v>
      </c>
      <c r="E14" s="381">
        <v>2842</v>
      </c>
      <c r="F14" s="75">
        <v>10</v>
      </c>
      <c r="G14" s="75">
        <v>2508</v>
      </c>
      <c r="H14" s="75">
        <v>2415</v>
      </c>
      <c r="I14" s="381">
        <v>103</v>
      </c>
      <c r="J14" s="381">
        <v>2163</v>
      </c>
      <c r="K14" s="381">
        <v>2256</v>
      </c>
      <c r="L14" s="388">
        <v>10</v>
      </c>
      <c r="M14" s="388">
        <v>1670</v>
      </c>
      <c r="N14" s="388">
        <v>1677</v>
      </c>
      <c r="O14" s="388">
        <v>3</v>
      </c>
      <c r="P14" s="388">
        <v>439</v>
      </c>
      <c r="Q14" s="388">
        <v>440</v>
      </c>
      <c r="R14" s="389">
        <v>2</v>
      </c>
      <c r="S14" s="389">
        <v>237</v>
      </c>
      <c r="T14" s="390">
        <v>4</v>
      </c>
      <c r="U14" s="390">
        <v>233</v>
      </c>
      <c r="V14" s="390">
        <v>235</v>
      </c>
      <c r="W14" s="390">
        <v>0</v>
      </c>
      <c r="X14" s="390">
        <v>272</v>
      </c>
      <c r="Y14" s="390">
        <v>4</v>
      </c>
      <c r="Z14" s="390">
        <v>268</v>
      </c>
      <c r="AA14" s="390">
        <v>268</v>
      </c>
      <c r="AB14" s="390">
        <v>0</v>
      </c>
      <c r="AC14" s="390">
        <v>627</v>
      </c>
      <c r="AD14" s="390">
        <v>1</v>
      </c>
      <c r="AE14" s="390">
        <v>626</v>
      </c>
      <c r="AF14" s="390">
        <v>473</v>
      </c>
      <c r="AG14" s="390">
        <v>153</v>
      </c>
      <c r="AH14" s="390">
        <v>1375</v>
      </c>
      <c r="AI14" s="390">
        <v>15</v>
      </c>
      <c r="AJ14" s="390">
        <v>1360</v>
      </c>
      <c r="AK14" s="390">
        <v>1449</v>
      </c>
    </row>
    <row r="15" spans="1:141" ht="15" customHeight="1" x14ac:dyDescent="0.25">
      <c r="A15" s="384">
        <v>9</v>
      </c>
      <c r="B15" s="406" t="s">
        <v>31</v>
      </c>
      <c r="C15" s="381"/>
      <c r="D15" s="381"/>
      <c r="E15" s="381"/>
      <c r="F15" s="75"/>
      <c r="G15" s="75"/>
      <c r="H15" s="75"/>
      <c r="I15" s="381"/>
      <c r="J15" s="381"/>
      <c r="K15" s="381"/>
      <c r="L15" s="388"/>
      <c r="M15" s="388"/>
      <c r="N15" s="388"/>
      <c r="O15" s="388"/>
      <c r="P15" s="388"/>
      <c r="Q15" s="388"/>
      <c r="R15" s="389">
        <v>0</v>
      </c>
      <c r="S15" s="389">
        <v>4</v>
      </c>
      <c r="T15" s="390">
        <v>1</v>
      </c>
      <c r="U15" s="390">
        <v>3</v>
      </c>
      <c r="V15" s="390">
        <v>3</v>
      </c>
      <c r="W15" s="390">
        <v>0</v>
      </c>
      <c r="X15" s="390">
        <v>23</v>
      </c>
      <c r="Y15" s="390">
        <v>0</v>
      </c>
      <c r="Z15" s="390">
        <v>23</v>
      </c>
      <c r="AA15" s="390">
        <v>23</v>
      </c>
      <c r="AB15" s="390">
        <v>0</v>
      </c>
      <c r="AC15" s="390">
        <v>109</v>
      </c>
      <c r="AD15" s="390">
        <v>2</v>
      </c>
      <c r="AE15" s="390">
        <v>107</v>
      </c>
      <c r="AF15" s="390">
        <v>104</v>
      </c>
      <c r="AG15" s="390">
        <v>3</v>
      </c>
      <c r="AH15" s="390">
        <v>186</v>
      </c>
      <c r="AI15" s="390">
        <v>7</v>
      </c>
      <c r="AJ15" s="390">
        <v>179</v>
      </c>
      <c r="AK15" s="390">
        <v>175</v>
      </c>
    </row>
    <row r="16" spans="1:141" ht="15" customHeight="1" x14ac:dyDescent="0.25">
      <c r="A16" s="384">
        <v>10</v>
      </c>
      <c r="B16" s="406" t="s">
        <v>33</v>
      </c>
      <c r="C16" s="381">
        <v>0</v>
      </c>
      <c r="D16" s="381">
        <v>4229</v>
      </c>
      <c r="E16" s="381">
        <v>4229</v>
      </c>
      <c r="F16" s="75">
        <v>0</v>
      </c>
      <c r="G16" s="75">
        <v>3727</v>
      </c>
      <c r="H16" s="75">
        <v>3727</v>
      </c>
      <c r="I16" s="381">
        <v>0</v>
      </c>
      <c r="J16" s="381">
        <v>4251</v>
      </c>
      <c r="K16" s="381">
        <v>4250</v>
      </c>
      <c r="L16" s="388">
        <v>1</v>
      </c>
      <c r="M16" s="388">
        <v>2075</v>
      </c>
      <c r="N16" s="388">
        <v>2073</v>
      </c>
      <c r="O16" s="388">
        <v>3</v>
      </c>
      <c r="P16" s="388">
        <v>1113</v>
      </c>
      <c r="Q16" s="388">
        <v>1113</v>
      </c>
      <c r="R16" s="389">
        <v>3</v>
      </c>
      <c r="S16" s="389">
        <v>622</v>
      </c>
      <c r="T16" s="390">
        <v>20</v>
      </c>
      <c r="U16" s="390">
        <v>602</v>
      </c>
      <c r="V16" s="390">
        <v>605</v>
      </c>
      <c r="W16" s="390">
        <v>0</v>
      </c>
      <c r="X16" s="390">
        <v>549</v>
      </c>
      <c r="Y16" s="390">
        <v>35</v>
      </c>
      <c r="Z16" s="390">
        <v>514</v>
      </c>
      <c r="AA16" s="390">
        <v>514</v>
      </c>
      <c r="AB16" s="390">
        <v>0</v>
      </c>
      <c r="AC16" s="390">
        <v>714</v>
      </c>
      <c r="AD16" s="390">
        <v>44</v>
      </c>
      <c r="AE16" s="390">
        <v>670</v>
      </c>
      <c r="AF16" s="390">
        <v>669</v>
      </c>
      <c r="AG16" s="390">
        <v>1</v>
      </c>
      <c r="AH16" s="390">
        <v>825</v>
      </c>
      <c r="AI16" s="390">
        <v>38</v>
      </c>
      <c r="AJ16" s="390">
        <v>787</v>
      </c>
      <c r="AK16" s="390">
        <v>788</v>
      </c>
    </row>
    <row r="17" spans="1:37" ht="15" customHeight="1" x14ac:dyDescent="0.25">
      <c r="A17" s="384">
        <v>11</v>
      </c>
      <c r="B17" s="406" t="s">
        <v>37</v>
      </c>
      <c r="C17" s="381"/>
      <c r="D17" s="381"/>
      <c r="E17" s="381"/>
      <c r="F17" s="75"/>
      <c r="G17" s="75"/>
      <c r="H17" s="75"/>
      <c r="I17" s="381"/>
      <c r="J17" s="381"/>
      <c r="K17" s="381"/>
      <c r="L17" s="388"/>
      <c r="M17" s="388"/>
      <c r="N17" s="388"/>
      <c r="O17" s="388"/>
      <c r="P17" s="388"/>
      <c r="Q17" s="388"/>
      <c r="R17" s="389">
        <v>0</v>
      </c>
      <c r="S17" s="389">
        <v>117</v>
      </c>
      <c r="T17" s="390">
        <v>0</v>
      </c>
      <c r="U17" s="390">
        <v>117</v>
      </c>
      <c r="V17" s="390">
        <v>117</v>
      </c>
      <c r="W17" s="390">
        <v>0</v>
      </c>
      <c r="X17" s="390">
        <v>134</v>
      </c>
      <c r="Y17" s="390">
        <v>0</v>
      </c>
      <c r="Z17" s="390">
        <v>134</v>
      </c>
      <c r="AA17" s="390">
        <v>133</v>
      </c>
      <c r="AB17" s="390">
        <v>1</v>
      </c>
      <c r="AC17" s="390">
        <v>332</v>
      </c>
      <c r="AD17" s="390">
        <v>8</v>
      </c>
      <c r="AE17" s="390">
        <v>324</v>
      </c>
      <c r="AF17" s="390">
        <v>324</v>
      </c>
      <c r="AG17" s="390">
        <v>1</v>
      </c>
      <c r="AH17" s="390">
        <v>475</v>
      </c>
      <c r="AI17" s="390">
        <v>0</v>
      </c>
      <c r="AJ17" s="390">
        <v>475</v>
      </c>
      <c r="AK17" s="390">
        <v>474</v>
      </c>
    </row>
    <row r="18" spans="1:37" ht="15" customHeight="1" x14ac:dyDescent="0.25">
      <c r="A18" s="384">
        <v>12</v>
      </c>
      <c r="B18" s="381" t="s">
        <v>462</v>
      </c>
      <c r="C18" s="381">
        <v>1</v>
      </c>
      <c r="D18" s="381">
        <v>1173</v>
      </c>
      <c r="E18" s="381">
        <v>1172</v>
      </c>
      <c r="F18" s="75">
        <v>2</v>
      </c>
      <c r="G18" s="75">
        <v>2086</v>
      </c>
      <c r="H18" s="75">
        <v>2065</v>
      </c>
      <c r="I18" s="381">
        <v>23</v>
      </c>
      <c r="J18" s="381">
        <v>2879</v>
      </c>
      <c r="K18" s="381">
        <v>2886</v>
      </c>
      <c r="L18" s="388">
        <v>16</v>
      </c>
      <c r="M18" s="388">
        <v>2900</v>
      </c>
      <c r="N18" s="388">
        <v>2916</v>
      </c>
      <c r="O18" s="388">
        <v>0</v>
      </c>
      <c r="P18" s="388">
        <v>1037</v>
      </c>
      <c r="Q18" s="388">
        <v>1037</v>
      </c>
      <c r="R18" s="389">
        <v>0</v>
      </c>
      <c r="S18" s="389">
        <v>1093</v>
      </c>
      <c r="T18" s="390">
        <v>23</v>
      </c>
      <c r="U18" s="390">
        <v>1070</v>
      </c>
      <c r="V18" s="390">
        <v>1070</v>
      </c>
      <c r="W18" s="390">
        <v>0</v>
      </c>
      <c r="X18" s="390">
        <v>1227</v>
      </c>
      <c r="Y18" s="390">
        <v>25</v>
      </c>
      <c r="Z18" s="390">
        <v>1202</v>
      </c>
      <c r="AA18" s="390">
        <v>1202</v>
      </c>
      <c r="AB18" s="390">
        <v>0</v>
      </c>
      <c r="AC18" s="390">
        <v>2550</v>
      </c>
      <c r="AD18" s="390">
        <v>91</v>
      </c>
      <c r="AE18" s="390">
        <v>2459</v>
      </c>
      <c r="AF18" s="390">
        <v>2453</v>
      </c>
      <c r="AG18" s="390">
        <v>6</v>
      </c>
      <c r="AH18" s="390">
        <v>4400</v>
      </c>
      <c r="AI18" s="390">
        <v>143</v>
      </c>
      <c r="AJ18" s="390">
        <v>4257</v>
      </c>
      <c r="AK18" s="390">
        <v>4263</v>
      </c>
    </row>
    <row r="19" spans="1:37" ht="15" customHeight="1" x14ac:dyDescent="0.25">
      <c r="A19" s="384"/>
      <c r="B19" s="381" t="s">
        <v>465</v>
      </c>
      <c r="C19" s="381">
        <v>1</v>
      </c>
      <c r="D19" s="381">
        <v>148</v>
      </c>
      <c r="E19" s="381">
        <v>148</v>
      </c>
      <c r="F19" s="75">
        <v>1</v>
      </c>
      <c r="G19" s="75">
        <v>431</v>
      </c>
      <c r="H19" s="75">
        <v>427</v>
      </c>
      <c r="I19" s="381">
        <v>5</v>
      </c>
      <c r="J19" s="381">
        <v>335</v>
      </c>
      <c r="K19" s="381">
        <v>340</v>
      </c>
      <c r="L19" s="388">
        <v>0</v>
      </c>
      <c r="M19" s="388">
        <v>409</v>
      </c>
      <c r="N19" s="388">
        <v>409</v>
      </c>
      <c r="O19" s="388">
        <v>0</v>
      </c>
      <c r="P19" s="388">
        <v>137</v>
      </c>
      <c r="Q19" s="388">
        <v>137</v>
      </c>
      <c r="R19" s="389">
        <v>0</v>
      </c>
      <c r="S19" s="389">
        <v>5</v>
      </c>
      <c r="T19" s="390">
        <v>0</v>
      </c>
      <c r="U19" s="390">
        <v>5</v>
      </c>
      <c r="V19" s="390">
        <v>5</v>
      </c>
      <c r="W19" s="390">
        <v>0</v>
      </c>
      <c r="X19" s="390">
        <v>4</v>
      </c>
      <c r="Y19" s="390">
        <v>0</v>
      </c>
      <c r="Z19" s="390">
        <v>4</v>
      </c>
      <c r="AA19" s="390">
        <v>4</v>
      </c>
      <c r="AB19" s="390">
        <v>0</v>
      </c>
      <c r="AC19" s="390">
        <v>1</v>
      </c>
      <c r="AD19" s="390">
        <v>0</v>
      </c>
      <c r="AE19" s="390">
        <v>1</v>
      </c>
      <c r="AF19" s="390">
        <v>1</v>
      </c>
      <c r="AG19" s="390">
        <v>0</v>
      </c>
      <c r="AH19" s="390">
        <v>2</v>
      </c>
      <c r="AI19" s="390">
        <v>0</v>
      </c>
      <c r="AJ19" s="390">
        <v>2</v>
      </c>
      <c r="AK19" s="390">
        <v>2</v>
      </c>
    </row>
    <row r="20" spans="1:37" ht="15" customHeight="1" x14ac:dyDescent="0.25">
      <c r="A20" s="384">
        <v>13</v>
      </c>
      <c r="B20" s="381" t="s">
        <v>42</v>
      </c>
      <c r="C20" s="381">
        <v>25</v>
      </c>
      <c r="D20" s="381">
        <v>6854</v>
      </c>
      <c r="E20" s="381">
        <v>6855</v>
      </c>
      <c r="F20" s="75">
        <v>24</v>
      </c>
      <c r="G20" s="75">
        <v>5930</v>
      </c>
      <c r="H20" s="75">
        <v>5582</v>
      </c>
      <c r="I20" s="381">
        <v>372</v>
      </c>
      <c r="J20" s="381">
        <v>4974</v>
      </c>
      <c r="K20" s="381">
        <v>5256</v>
      </c>
      <c r="L20" s="388">
        <v>90</v>
      </c>
      <c r="M20" s="388">
        <v>3587</v>
      </c>
      <c r="N20" s="388">
        <v>3589</v>
      </c>
      <c r="O20" s="388">
        <v>88</v>
      </c>
      <c r="P20" s="388">
        <v>3037</v>
      </c>
      <c r="Q20" s="388">
        <v>3091</v>
      </c>
      <c r="R20" s="389">
        <v>34</v>
      </c>
      <c r="S20" s="389">
        <v>2976</v>
      </c>
      <c r="T20" s="390">
        <v>47</v>
      </c>
      <c r="U20" s="390">
        <v>2929</v>
      </c>
      <c r="V20" s="390">
        <v>2889</v>
      </c>
      <c r="W20" s="390">
        <v>74</v>
      </c>
      <c r="X20" s="390">
        <v>2916</v>
      </c>
      <c r="Y20" s="390">
        <v>43</v>
      </c>
      <c r="Z20" s="390">
        <v>2873</v>
      </c>
      <c r="AA20" s="390">
        <v>2946</v>
      </c>
      <c r="AB20" s="390">
        <v>1</v>
      </c>
      <c r="AC20" s="390">
        <v>2783</v>
      </c>
      <c r="AD20" s="390">
        <v>31</v>
      </c>
      <c r="AE20" s="390">
        <v>2752</v>
      </c>
      <c r="AF20" s="390">
        <v>2718</v>
      </c>
      <c r="AG20" s="390">
        <v>35</v>
      </c>
      <c r="AH20" s="390">
        <v>2965</v>
      </c>
      <c r="AI20" s="390">
        <v>1</v>
      </c>
      <c r="AJ20" s="390">
        <v>2964</v>
      </c>
      <c r="AK20" s="390">
        <v>2975</v>
      </c>
    </row>
    <row r="21" spans="1:37" ht="15" customHeight="1" x14ac:dyDescent="0.25">
      <c r="A21" s="384">
        <v>14</v>
      </c>
      <c r="B21" s="381" t="s">
        <v>45</v>
      </c>
      <c r="C21" s="381">
        <v>4</v>
      </c>
      <c r="D21" s="381">
        <v>3373</v>
      </c>
      <c r="E21" s="381">
        <v>3368</v>
      </c>
      <c r="F21" s="75">
        <v>9</v>
      </c>
      <c r="G21" s="75">
        <v>2043</v>
      </c>
      <c r="H21" s="75">
        <v>1889</v>
      </c>
      <c r="I21" s="381">
        <v>163</v>
      </c>
      <c r="J21" s="381">
        <v>1355</v>
      </c>
      <c r="K21" s="381">
        <v>1517</v>
      </c>
      <c r="L21" s="388">
        <v>1</v>
      </c>
      <c r="M21" s="388">
        <v>1781</v>
      </c>
      <c r="N21" s="388">
        <v>1781</v>
      </c>
      <c r="O21" s="388">
        <v>1</v>
      </c>
      <c r="P21" s="388">
        <v>1044</v>
      </c>
      <c r="Q21" s="388">
        <v>1029</v>
      </c>
      <c r="R21" s="389">
        <v>16</v>
      </c>
      <c r="S21" s="389">
        <v>722</v>
      </c>
      <c r="T21" s="390">
        <v>15</v>
      </c>
      <c r="U21" s="390">
        <v>707</v>
      </c>
      <c r="V21" s="390">
        <v>722</v>
      </c>
      <c r="W21" s="390">
        <v>1</v>
      </c>
      <c r="X21" s="390">
        <v>969</v>
      </c>
      <c r="Y21" s="390">
        <v>1</v>
      </c>
      <c r="Z21" s="390">
        <v>968</v>
      </c>
      <c r="AA21" s="390">
        <v>962</v>
      </c>
      <c r="AB21" s="390">
        <v>7</v>
      </c>
      <c r="AC21" s="390">
        <v>980</v>
      </c>
      <c r="AD21" s="390">
        <v>0</v>
      </c>
      <c r="AE21" s="390">
        <v>980</v>
      </c>
      <c r="AF21" s="390">
        <v>953</v>
      </c>
      <c r="AG21" s="390">
        <v>34</v>
      </c>
      <c r="AH21" s="390">
        <v>1578</v>
      </c>
      <c r="AI21" s="390">
        <v>0</v>
      </c>
      <c r="AJ21" s="390">
        <v>1578</v>
      </c>
      <c r="AK21" s="390">
        <v>1486</v>
      </c>
    </row>
    <row r="22" spans="1:37" ht="15" customHeight="1" x14ac:dyDescent="0.25">
      <c r="A22" s="384">
        <v>15</v>
      </c>
      <c r="B22" s="381" t="s">
        <v>49</v>
      </c>
      <c r="C22" s="78" t="s">
        <v>167</v>
      </c>
      <c r="D22" s="78" t="s">
        <v>167</v>
      </c>
      <c r="E22" s="78" t="s">
        <v>167</v>
      </c>
      <c r="F22" s="78" t="s">
        <v>167</v>
      </c>
      <c r="G22" s="78" t="s">
        <v>167</v>
      </c>
      <c r="H22" s="78" t="s">
        <v>167</v>
      </c>
      <c r="I22" s="78" t="s">
        <v>167</v>
      </c>
      <c r="J22" s="78" t="s">
        <v>167</v>
      </c>
      <c r="K22" s="78" t="s">
        <v>167</v>
      </c>
      <c r="L22" s="78" t="s">
        <v>167</v>
      </c>
      <c r="M22" s="388">
        <v>25</v>
      </c>
      <c r="N22" s="388">
        <v>23</v>
      </c>
      <c r="O22" s="78">
        <v>2</v>
      </c>
      <c r="P22" s="388">
        <v>63</v>
      </c>
      <c r="Q22" s="388">
        <v>65</v>
      </c>
      <c r="R22" s="389">
        <v>0</v>
      </c>
      <c r="S22" s="389">
        <v>73</v>
      </c>
      <c r="T22" s="390">
        <v>2</v>
      </c>
      <c r="U22" s="390">
        <v>71</v>
      </c>
      <c r="V22" s="390">
        <v>69</v>
      </c>
      <c r="W22" s="390">
        <v>2</v>
      </c>
      <c r="X22" s="390">
        <v>104</v>
      </c>
      <c r="Y22" s="390">
        <v>6</v>
      </c>
      <c r="Z22" s="390">
        <v>98</v>
      </c>
      <c r="AA22" s="390">
        <v>100</v>
      </c>
      <c r="AB22" s="390">
        <v>0</v>
      </c>
      <c r="AC22" s="390">
        <v>119</v>
      </c>
      <c r="AD22" s="390">
        <v>9</v>
      </c>
      <c r="AE22" s="390">
        <v>110</v>
      </c>
      <c r="AF22" s="390">
        <v>110</v>
      </c>
      <c r="AG22" s="390">
        <v>0</v>
      </c>
      <c r="AH22" s="390">
        <v>255</v>
      </c>
      <c r="AI22" s="390">
        <v>43</v>
      </c>
      <c r="AJ22" s="390">
        <v>212</v>
      </c>
      <c r="AK22" s="390">
        <v>212</v>
      </c>
    </row>
    <row r="23" spans="1:37" ht="15" customHeight="1" x14ac:dyDescent="0.25">
      <c r="A23" s="384">
        <v>16</v>
      </c>
      <c r="B23" s="381" t="s">
        <v>52</v>
      </c>
      <c r="C23" s="381">
        <v>0</v>
      </c>
      <c r="D23" s="392">
        <v>88</v>
      </c>
      <c r="E23" s="392">
        <v>88</v>
      </c>
      <c r="F23" s="75">
        <v>0</v>
      </c>
      <c r="G23" s="75">
        <v>356</v>
      </c>
      <c r="H23" s="75">
        <v>350</v>
      </c>
      <c r="I23" s="381">
        <v>6</v>
      </c>
      <c r="J23" s="381">
        <v>524</v>
      </c>
      <c r="K23" s="381">
        <v>527</v>
      </c>
      <c r="L23" s="388">
        <v>3</v>
      </c>
      <c r="M23" s="388">
        <v>315</v>
      </c>
      <c r="N23" s="388">
        <v>315</v>
      </c>
      <c r="O23" s="388">
        <v>3</v>
      </c>
      <c r="P23" s="388">
        <v>257</v>
      </c>
      <c r="Q23" s="388">
        <v>260</v>
      </c>
      <c r="R23" s="389">
        <v>0</v>
      </c>
      <c r="S23" s="389">
        <v>291</v>
      </c>
      <c r="T23" s="390">
        <v>0</v>
      </c>
      <c r="U23" s="390">
        <v>291</v>
      </c>
      <c r="V23" s="390">
        <v>291</v>
      </c>
      <c r="W23" s="390">
        <v>0</v>
      </c>
      <c r="X23" s="390">
        <v>367</v>
      </c>
      <c r="Y23" s="390">
        <v>1</v>
      </c>
      <c r="Z23" s="390">
        <v>366</v>
      </c>
      <c r="AA23" s="390">
        <v>366</v>
      </c>
      <c r="AB23" s="390">
        <v>0</v>
      </c>
      <c r="AC23" s="390">
        <v>574</v>
      </c>
      <c r="AD23" s="390">
        <v>0</v>
      </c>
      <c r="AE23" s="390">
        <v>574</v>
      </c>
      <c r="AF23" s="390">
        <v>573</v>
      </c>
      <c r="AG23" s="390">
        <v>1</v>
      </c>
      <c r="AH23" s="390">
        <v>475</v>
      </c>
      <c r="AI23" s="390">
        <v>1</v>
      </c>
      <c r="AJ23" s="390">
        <v>474</v>
      </c>
      <c r="AK23" s="390">
        <v>475</v>
      </c>
    </row>
    <row r="24" spans="1:37" ht="15" customHeight="1" x14ac:dyDescent="0.25">
      <c r="A24" s="384">
        <v>17</v>
      </c>
      <c r="B24" s="404" t="s">
        <v>56</v>
      </c>
      <c r="C24" s="381">
        <v>0</v>
      </c>
      <c r="D24" s="381">
        <v>43</v>
      </c>
      <c r="E24" s="381">
        <v>43</v>
      </c>
      <c r="F24" s="75">
        <v>0</v>
      </c>
      <c r="G24" s="75">
        <v>101</v>
      </c>
      <c r="H24" s="75">
        <v>92</v>
      </c>
      <c r="I24" s="381">
        <v>9</v>
      </c>
      <c r="J24" s="381">
        <v>151</v>
      </c>
      <c r="K24" s="381">
        <v>160</v>
      </c>
      <c r="L24" s="388">
        <v>0</v>
      </c>
      <c r="M24" s="388">
        <v>113</v>
      </c>
      <c r="N24" s="388">
        <v>96</v>
      </c>
      <c r="O24" s="388">
        <v>17</v>
      </c>
      <c r="P24" s="388">
        <v>94</v>
      </c>
      <c r="Q24" s="388">
        <v>62</v>
      </c>
      <c r="R24" s="389">
        <v>49</v>
      </c>
      <c r="S24" s="389">
        <v>82</v>
      </c>
      <c r="T24" s="390">
        <v>2</v>
      </c>
      <c r="U24" s="390">
        <v>80</v>
      </c>
      <c r="V24" s="390">
        <v>129</v>
      </c>
      <c r="W24" s="390">
        <v>0</v>
      </c>
      <c r="X24" s="390">
        <v>95</v>
      </c>
      <c r="Y24" s="390">
        <v>5</v>
      </c>
      <c r="Z24" s="390">
        <v>90</v>
      </c>
      <c r="AA24" s="390">
        <v>85</v>
      </c>
      <c r="AB24" s="390">
        <v>5</v>
      </c>
      <c r="AC24" s="390">
        <v>136</v>
      </c>
      <c r="AD24" s="390">
        <v>13</v>
      </c>
      <c r="AE24" s="390">
        <v>123</v>
      </c>
      <c r="AF24" s="390">
        <v>128</v>
      </c>
      <c r="AG24" s="390">
        <v>0</v>
      </c>
      <c r="AH24" s="390">
        <v>308</v>
      </c>
      <c r="AI24" s="390">
        <v>16</v>
      </c>
      <c r="AJ24" s="390">
        <v>292</v>
      </c>
      <c r="AK24" s="390">
        <v>292</v>
      </c>
    </row>
    <row r="25" spans="1:37" ht="15" customHeight="1" x14ac:dyDescent="0.25">
      <c r="A25" s="384">
        <v>18</v>
      </c>
      <c r="B25" s="381" t="s">
        <v>417</v>
      </c>
      <c r="C25" s="381"/>
      <c r="D25" s="381"/>
      <c r="E25" s="381"/>
      <c r="F25" s="75"/>
      <c r="G25" s="75"/>
      <c r="H25" s="75"/>
      <c r="I25" s="381"/>
      <c r="J25" s="381"/>
      <c r="K25" s="381"/>
      <c r="L25" s="388"/>
      <c r="M25" s="388"/>
      <c r="N25" s="388"/>
      <c r="O25" s="388"/>
      <c r="P25" s="388"/>
      <c r="Q25" s="388"/>
      <c r="R25" s="389">
        <v>0</v>
      </c>
      <c r="S25" s="389">
        <v>12</v>
      </c>
      <c r="T25" s="390">
        <v>0</v>
      </c>
      <c r="U25" s="390">
        <v>12</v>
      </c>
      <c r="V25" s="390">
        <v>12</v>
      </c>
      <c r="W25" s="390">
        <v>0</v>
      </c>
      <c r="X25" s="390">
        <v>59</v>
      </c>
      <c r="Y25" s="390">
        <v>2</v>
      </c>
      <c r="Z25" s="390">
        <v>57</v>
      </c>
      <c r="AA25" s="390">
        <v>57</v>
      </c>
      <c r="AB25" s="390">
        <v>0</v>
      </c>
      <c r="AC25" s="390">
        <v>30</v>
      </c>
      <c r="AD25" s="390">
        <v>0</v>
      </c>
      <c r="AE25" s="390">
        <v>30</v>
      </c>
      <c r="AF25" s="390">
        <v>30</v>
      </c>
      <c r="AG25" s="390">
        <v>0</v>
      </c>
      <c r="AH25" s="390">
        <v>99</v>
      </c>
      <c r="AI25" s="390">
        <v>2</v>
      </c>
      <c r="AJ25" s="390">
        <v>97</v>
      </c>
      <c r="AK25" s="390">
        <v>97</v>
      </c>
    </row>
    <row r="26" spans="1:37" ht="15" customHeight="1" x14ac:dyDescent="0.25">
      <c r="A26" s="384">
        <v>19</v>
      </c>
      <c r="B26" s="381" t="s">
        <v>60</v>
      </c>
      <c r="C26" s="381">
        <v>0</v>
      </c>
      <c r="D26" s="381">
        <v>0</v>
      </c>
      <c r="E26" s="381">
        <v>0</v>
      </c>
      <c r="F26" s="75">
        <v>0</v>
      </c>
      <c r="G26" s="75">
        <v>0</v>
      </c>
      <c r="H26" s="75">
        <v>0</v>
      </c>
      <c r="I26" s="381">
        <v>0</v>
      </c>
      <c r="J26" s="381">
        <v>0</v>
      </c>
      <c r="K26" s="381">
        <v>0</v>
      </c>
      <c r="L26" s="388">
        <v>0</v>
      </c>
      <c r="M26" s="388">
        <v>0</v>
      </c>
      <c r="N26" s="388">
        <v>0</v>
      </c>
      <c r="O26" s="388">
        <v>0</v>
      </c>
      <c r="P26" s="388">
        <v>1</v>
      </c>
      <c r="Q26" s="388">
        <v>0</v>
      </c>
      <c r="R26" s="389">
        <v>1</v>
      </c>
      <c r="S26" s="389">
        <v>1</v>
      </c>
      <c r="T26" s="390">
        <v>0</v>
      </c>
      <c r="U26" s="390">
        <v>1</v>
      </c>
      <c r="V26" s="390">
        <v>2</v>
      </c>
      <c r="W26" s="390">
        <v>0</v>
      </c>
      <c r="X26" s="390">
        <v>4</v>
      </c>
      <c r="Y26" s="390">
        <v>0</v>
      </c>
      <c r="Z26" s="390">
        <v>4</v>
      </c>
      <c r="AA26" s="390">
        <v>0</v>
      </c>
      <c r="AB26" s="390">
        <v>4</v>
      </c>
      <c r="AC26" s="390">
        <v>18</v>
      </c>
      <c r="AD26" s="390">
        <v>0</v>
      </c>
      <c r="AE26" s="390">
        <v>18</v>
      </c>
      <c r="AF26" s="390">
        <v>18</v>
      </c>
      <c r="AG26" s="390">
        <v>4</v>
      </c>
      <c r="AH26" s="390">
        <v>88</v>
      </c>
      <c r="AI26" s="390">
        <v>0</v>
      </c>
      <c r="AJ26" s="390">
        <v>88</v>
      </c>
      <c r="AK26" s="390">
        <v>88</v>
      </c>
    </row>
    <row r="27" spans="1:37" ht="15" customHeight="1" x14ac:dyDescent="0.25">
      <c r="A27" s="384">
        <v>20</v>
      </c>
      <c r="B27" s="381" t="s">
        <v>63</v>
      </c>
      <c r="C27" s="381">
        <v>60</v>
      </c>
      <c r="D27" s="381">
        <v>2598</v>
      </c>
      <c r="E27" s="381">
        <v>2618</v>
      </c>
      <c r="F27" s="75">
        <v>40</v>
      </c>
      <c r="G27" s="75">
        <v>1762</v>
      </c>
      <c r="H27" s="75">
        <v>1735</v>
      </c>
      <c r="I27" s="381">
        <v>67</v>
      </c>
      <c r="J27" s="381">
        <v>1500</v>
      </c>
      <c r="K27" s="381">
        <v>1521</v>
      </c>
      <c r="L27" s="388">
        <v>46</v>
      </c>
      <c r="M27" s="388">
        <v>1287</v>
      </c>
      <c r="N27" s="388">
        <v>1324</v>
      </c>
      <c r="O27" s="388">
        <v>9</v>
      </c>
      <c r="P27" s="388">
        <v>454</v>
      </c>
      <c r="Q27" s="388">
        <v>456</v>
      </c>
      <c r="R27" s="389">
        <v>7</v>
      </c>
      <c r="S27" s="389">
        <v>600</v>
      </c>
      <c r="T27" s="390">
        <v>0</v>
      </c>
      <c r="U27" s="390">
        <v>600</v>
      </c>
      <c r="V27" s="390">
        <v>607</v>
      </c>
      <c r="W27" s="390">
        <v>0</v>
      </c>
      <c r="X27" s="390">
        <v>663</v>
      </c>
      <c r="Y27" s="390">
        <v>0</v>
      </c>
      <c r="Z27" s="390">
        <v>663</v>
      </c>
      <c r="AA27" s="390">
        <v>662</v>
      </c>
      <c r="AB27" s="390">
        <v>1</v>
      </c>
      <c r="AC27" s="390">
        <v>1289</v>
      </c>
      <c r="AD27" s="390">
        <v>0</v>
      </c>
      <c r="AE27" s="390">
        <v>1289</v>
      </c>
      <c r="AF27" s="390">
        <v>1269</v>
      </c>
      <c r="AG27" s="390">
        <v>21</v>
      </c>
      <c r="AH27" s="390">
        <v>1944</v>
      </c>
      <c r="AI27" s="390">
        <v>11</v>
      </c>
      <c r="AJ27" s="390">
        <v>1933</v>
      </c>
      <c r="AK27" s="390">
        <v>1954</v>
      </c>
    </row>
    <row r="28" spans="1:37" ht="15" customHeight="1" x14ac:dyDescent="0.25">
      <c r="A28" s="384">
        <v>21</v>
      </c>
      <c r="B28" s="381" t="s">
        <v>111</v>
      </c>
      <c r="C28" s="381">
        <v>4</v>
      </c>
      <c r="D28" s="381">
        <v>2915</v>
      </c>
      <c r="E28" s="381">
        <v>2917</v>
      </c>
      <c r="F28" s="75">
        <v>2</v>
      </c>
      <c r="G28" s="75">
        <v>4976</v>
      </c>
      <c r="H28" s="75">
        <v>4912</v>
      </c>
      <c r="I28" s="381">
        <v>66</v>
      </c>
      <c r="J28" s="381">
        <v>2551</v>
      </c>
      <c r="K28" s="381">
        <v>2595</v>
      </c>
      <c r="L28" s="388">
        <v>22</v>
      </c>
      <c r="M28" s="388">
        <v>808</v>
      </c>
      <c r="N28" s="388">
        <v>824</v>
      </c>
      <c r="O28" s="388">
        <v>6</v>
      </c>
      <c r="P28" s="388">
        <v>778</v>
      </c>
      <c r="Q28" s="388">
        <v>782</v>
      </c>
      <c r="R28" s="389">
        <v>2</v>
      </c>
      <c r="S28" s="389">
        <v>566</v>
      </c>
      <c r="T28" s="390">
        <v>28</v>
      </c>
      <c r="U28" s="390">
        <v>538</v>
      </c>
      <c r="V28" s="390">
        <v>530</v>
      </c>
      <c r="W28" s="390">
        <v>10</v>
      </c>
      <c r="X28" s="390">
        <v>581</v>
      </c>
      <c r="Y28" s="390">
        <v>19</v>
      </c>
      <c r="Z28" s="390">
        <v>562</v>
      </c>
      <c r="AA28" s="390">
        <v>572</v>
      </c>
      <c r="AB28" s="390">
        <v>0</v>
      </c>
      <c r="AC28" s="390">
        <v>920</v>
      </c>
      <c r="AD28" s="390">
        <v>41</v>
      </c>
      <c r="AE28" s="390">
        <v>879</v>
      </c>
      <c r="AF28" s="390">
        <v>868</v>
      </c>
      <c r="AG28" s="390">
        <v>11</v>
      </c>
      <c r="AH28" s="390">
        <v>963</v>
      </c>
      <c r="AI28" s="390">
        <v>18</v>
      </c>
      <c r="AJ28" s="390">
        <v>945</v>
      </c>
      <c r="AK28" s="390">
        <v>956</v>
      </c>
    </row>
    <row r="29" spans="1:37" ht="15" customHeight="1" x14ac:dyDescent="0.25">
      <c r="A29" s="384">
        <v>22</v>
      </c>
      <c r="B29" s="381" t="s">
        <v>66</v>
      </c>
      <c r="C29" s="381">
        <v>10</v>
      </c>
      <c r="D29" s="381">
        <v>881</v>
      </c>
      <c r="E29" s="381">
        <v>849</v>
      </c>
      <c r="F29" s="75">
        <v>42</v>
      </c>
      <c r="G29" s="75">
        <v>1325</v>
      </c>
      <c r="H29" s="75">
        <v>1050</v>
      </c>
      <c r="I29" s="381">
        <v>317</v>
      </c>
      <c r="J29" s="381">
        <v>1136</v>
      </c>
      <c r="K29" s="381">
        <v>1392</v>
      </c>
      <c r="L29" s="388">
        <v>61</v>
      </c>
      <c r="M29" s="388">
        <v>1117</v>
      </c>
      <c r="N29" s="388">
        <v>1123</v>
      </c>
      <c r="O29" s="388">
        <v>55</v>
      </c>
      <c r="P29" s="388">
        <v>671</v>
      </c>
      <c r="Q29" s="388">
        <v>697</v>
      </c>
      <c r="R29" s="389">
        <v>29</v>
      </c>
      <c r="S29" s="389">
        <v>481</v>
      </c>
      <c r="T29" s="390">
        <v>10</v>
      </c>
      <c r="U29" s="390">
        <v>471</v>
      </c>
      <c r="V29" s="390">
        <v>489</v>
      </c>
      <c r="W29" s="390">
        <v>11</v>
      </c>
      <c r="X29" s="390">
        <v>1094</v>
      </c>
      <c r="Y29" s="390">
        <v>30</v>
      </c>
      <c r="Z29" s="390">
        <v>1064</v>
      </c>
      <c r="AA29" s="390">
        <v>1075</v>
      </c>
      <c r="AB29" s="390">
        <v>0</v>
      </c>
      <c r="AC29" s="390">
        <v>1099</v>
      </c>
      <c r="AD29" s="390">
        <v>12</v>
      </c>
      <c r="AE29" s="390">
        <v>1087</v>
      </c>
      <c r="AF29" s="390">
        <v>1085</v>
      </c>
      <c r="AG29" s="390">
        <v>2</v>
      </c>
      <c r="AH29" s="390">
        <v>1712</v>
      </c>
      <c r="AI29" s="390">
        <v>22</v>
      </c>
      <c r="AJ29" s="390">
        <v>1690</v>
      </c>
      <c r="AK29" s="390">
        <v>1692</v>
      </c>
    </row>
    <row r="30" spans="1:37" ht="15" customHeight="1" x14ac:dyDescent="0.25">
      <c r="A30" s="384">
        <v>23</v>
      </c>
      <c r="B30" s="381" t="s">
        <v>70</v>
      </c>
      <c r="C30" s="381">
        <v>2</v>
      </c>
      <c r="D30" s="381">
        <v>210</v>
      </c>
      <c r="E30" s="381">
        <v>212</v>
      </c>
      <c r="F30" s="75">
        <v>0</v>
      </c>
      <c r="G30" s="75">
        <v>135</v>
      </c>
      <c r="H30" s="75">
        <v>135</v>
      </c>
      <c r="I30" s="381">
        <v>0</v>
      </c>
      <c r="J30" s="381">
        <v>120</v>
      </c>
      <c r="K30" s="381">
        <v>120</v>
      </c>
      <c r="L30" s="388">
        <v>0</v>
      </c>
      <c r="M30" s="388">
        <v>214</v>
      </c>
      <c r="N30" s="388">
        <v>214</v>
      </c>
      <c r="O30" s="388">
        <v>0</v>
      </c>
      <c r="P30" s="388">
        <v>218</v>
      </c>
      <c r="Q30" s="388">
        <v>218</v>
      </c>
      <c r="R30" s="389">
        <v>0</v>
      </c>
      <c r="S30" s="389">
        <v>234</v>
      </c>
      <c r="T30" s="390">
        <v>3</v>
      </c>
      <c r="U30" s="390">
        <v>231</v>
      </c>
      <c r="V30" s="390">
        <v>231</v>
      </c>
      <c r="W30" s="390">
        <v>0</v>
      </c>
      <c r="X30" s="390">
        <v>326</v>
      </c>
      <c r="Y30" s="390">
        <v>0</v>
      </c>
      <c r="Z30" s="390">
        <v>326</v>
      </c>
      <c r="AA30" s="390">
        <v>326</v>
      </c>
      <c r="AB30" s="390">
        <v>0</v>
      </c>
      <c r="AC30" s="390">
        <v>272</v>
      </c>
      <c r="AD30" s="390">
        <v>0</v>
      </c>
      <c r="AE30" s="390">
        <v>272</v>
      </c>
      <c r="AF30" s="390">
        <v>270</v>
      </c>
      <c r="AG30" s="390">
        <v>2</v>
      </c>
      <c r="AH30" s="390">
        <v>265</v>
      </c>
      <c r="AI30" s="390">
        <v>0</v>
      </c>
      <c r="AJ30" s="390">
        <v>265</v>
      </c>
      <c r="AK30" s="390">
        <v>267</v>
      </c>
    </row>
    <row r="31" spans="1:37" ht="15" customHeight="1" x14ac:dyDescent="0.25">
      <c r="A31" s="384">
        <v>24</v>
      </c>
      <c r="B31" s="381" t="s">
        <v>112</v>
      </c>
      <c r="C31" s="381">
        <v>1</v>
      </c>
      <c r="D31" s="381">
        <v>4947</v>
      </c>
      <c r="E31" s="381">
        <v>4948</v>
      </c>
      <c r="F31" s="75">
        <v>0</v>
      </c>
      <c r="G31" s="75">
        <v>3963</v>
      </c>
      <c r="H31" s="75">
        <v>3926</v>
      </c>
      <c r="I31" s="381">
        <v>37</v>
      </c>
      <c r="J31" s="381">
        <v>3422</v>
      </c>
      <c r="K31" s="381">
        <v>3458</v>
      </c>
      <c r="L31" s="388">
        <v>1</v>
      </c>
      <c r="M31" s="388">
        <v>1473</v>
      </c>
      <c r="N31" s="388">
        <v>1473</v>
      </c>
      <c r="O31" s="388">
        <v>1</v>
      </c>
      <c r="P31" s="388">
        <v>1050</v>
      </c>
      <c r="Q31" s="388">
        <v>1050</v>
      </c>
      <c r="R31" s="389">
        <v>1</v>
      </c>
      <c r="S31" s="389">
        <v>1365</v>
      </c>
      <c r="T31" s="390">
        <v>134</v>
      </c>
      <c r="U31" s="390">
        <v>1231</v>
      </c>
      <c r="V31" s="390">
        <v>1228</v>
      </c>
      <c r="W31" s="390">
        <v>4</v>
      </c>
      <c r="X31" s="390">
        <v>1426</v>
      </c>
      <c r="Y31" s="390">
        <v>122</v>
      </c>
      <c r="Z31" s="390">
        <v>1304</v>
      </c>
      <c r="AA31" s="390">
        <v>1308</v>
      </c>
      <c r="AB31" s="390">
        <v>0</v>
      </c>
      <c r="AC31" s="390">
        <v>1800</v>
      </c>
      <c r="AD31" s="390">
        <v>168</v>
      </c>
      <c r="AE31" s="390">
        <v>1632</v>
      </c>
      <c r="AF31" s="390">
        <v>1632</v>
      </c>
      <c r="AG31" s="390">
        <v>0</v>
      </c>
      <c r="AH31" s="390">
        <v>2796</v>
      </c>
      <c r="AI31" s="390">
        <v>235</v>
      </c>
      <c r="AJ31" s="390">
        <v>2561</v>
      </c>
      <c r="AK31" s="390">
        <v>2561</v>
      </c>
    </row>
    <row r="32" spans="1:37" ht="15" customHeight="1" x14ac:dyDescent="0.25">
      <c r="A32" s="384">
        <v>25</v>
      </c>
      <c r="B32" s="381" t="s">
        <v>76</v>
      </c>
      <c r="C32" s="381">
        <v>1</v>
      </c>
      <c r="D32" s="381">
        <v>519</v>
      </c>
      <c r="E32" s="381">
        <v>520</v>
      </c>
      <c r="F32" s="75">
        <v>0</v>
      </c>
      <c r="G32" s="75">
        <v>358</v>
      </c>
      <c r="H32" s="75">
        <v>358</v>
      </c>
      <c r="I32" s="381">
        <v>0</v>
      </c>
      <c r="J32" s="381">
        <v>373</v>
      </c>
      <c r="K32" s="381">
        <v>373</v>
      </c>
      <c r="L32" s="388">
        <v>0</v>
      </c>
      <c r="M32" s="388">
        <v>528</v>
      </c>
      <c r="N32" s="388">
        <v>528</v>
      </c>
      <c r="O32" s="388">
        <v>0</v>
      </c>
      <c r="P32" s="388">
        <v>454</v>
      </c>
      <c r="Q32" s="388">
        <v>454</v>
      </c>
      <c r="R32" s="389">
        <v>0</v>
      </c>
      <c r="S32" s="389">
        <v>458</v>
      </c>
      <c r="T32" s="390">
        <v>12</v>
      </c>
      <c r="U32" s="390">
        <v>446</v>
      </c>
      <c r="V32" s="390">
        <v>446</v>
      </c>
      <c r="W32" s="390">
        <v>0</v>
      </c>
      <c r="X32" s="390">
        <v>648</v>
      </c>
      <c r="Y32" s="390">
        <v>3</v>
      </c>
      <c r="Z32" s="390">
        <v>645</v>
      </c>
      <c r="AA32" s="390">
        <v>645</v>
      </c>
      <c r="AB32" s="390">
        <v>0</v>
      </c>
      <c r="AC32" s="390">
        <v>917</v>
      </c>
      <c r="AD32" s="390">
        <v>2</v>
      </c>
      <c r="AE32" s="390">
        <v>915</v>
      </c>
      <c r="AF32" s="390">
        <v>915</v>
      </c>
      <c r="AG32" s="390">
        <v>0</v>
      </c>
      <c r="AH32" s="390">
        <v>1865</v>
      </c>
      <c r="AI32" s="390">
        <v>41</v>
      </c>
      <c r="AJ32" s="390">
        <v>1824</v>
      </c>
      <c r="AK32" s="390">
        <v>1812</v>
      </c>
    </row>
    <row r="33" spans="1:38" s="396" customFormat="1" ht="15" customHeight="1" x14ac:dyDescent="0.25">
      <c r="A33" s="382"/>
      <c r="B33" s="79" t="s">
        <v>113</v>
      </c>
      <c r="C33" s="74">
        <v>116</v>
      </c>
      <c r="D33" s="74">
        <v>42542</v>
      </c>
      <c r="E33" s="74">
        <v>42523</v>
      </c>
      <c r="F33" s="80">
        <f>SUM(F12:F32)</f>
        <v>135</v>
      </c>
      <c r="G33" s="80">
        <f>SUM(G12:G32)</f>
        <v>39057</v>
      </c>
      <c r="H33" s="80">
        <f>SUM(H12:H32)</f>
        <v>37715</v>
      </c>
      <c r="I33" s="74">
        <v>1477</v>
      </c>
      <c r="J33" s="74">
        <v>31688</v>
      </c>
      <c r="K33" s="74">
        <v>32828</v>
      </c>
      <c r="L33" s="81">
        <v>337</v>
      </c>
      <c r="M33" s="81">
        <v>22798</v>
      </c>
      <c r="N33" s="81">
        <v>22933</v>
      </c>
      <c r="O33" s="81">
        <v>202</v>
      </c>
      <c r="P33" s="81">
        <v>13704</v>
      </c>
      <c r="Q33" s="81">
        <v>13754</v>
      </c>
      <c r="R33" s="82">
        <f t="shared" ref="R33:AA33" si="1">SUM(R11:R32)</f>
        <v>152</v>
      </c>
      <c r="S33" s="82">
        <f t="shared" si="1"/>
        <v>12486</v>
      </c>
      <c r="T33" s="82">
        <f t="shared" si="1"/>
        <v>435</v>
      </c>
      <c r="U33" s="82">
        <f t="shared" si="1"/>
        <v>12051</v>
      </c>
      <c r="V33" s="82">
        <f t="shared" si="1"/>
        <v>12095</v>
      </c>
      <c r="W33" s="82">
        <f t="shared" si="1"/>
        <v>108</v>
      </c>
      <c r="X33" s="82">
        <f t="shared" si="1"/>
        <v>14732</v>
      </c>
      <c r="Y33" s="82">
        <f t="shared" si="1"/>
        <v>428</v>
      </c>
      <c r="Z33" s="82">
        <f t="shared" si="1"/>
        <v>14304</v>
      </c>
      <c r="AA33" s="82">
        <f t="shared" si="1"/>
        <v>14392</v>
      </c>
      <c r="AB33" s="82">
        <v>20</v>
      </c>
      <c r="AC33" s="82">
        <v>18479</v>
      </c>
      <c r="AD33" s="82">
        <v>587</v>
      </c>
      <c r="AE33" s="82">
        <v>17892</v>
      </c>
      <c r="AF33" s="82">
        <v>17601</v>
      </c>
      <c r="AG33" s="82">
        <v>311</v>
      </c>
      <c r="AH33" s="82">
        <v>26192</v>
      </c>
      <c r="AI33" s="82">
        <v>698</v>
      </c>
      <c r="AJ33" s="82">
        <v>25494</v>
      </c>
      <c r="AK33" s="82">
        <v>24772</v>
      </c>
      <c r="AL33" s="397"/>
    </row>
    <row r="34" spans="1:38" ht="15" customHeight="1" x14ac:dyDescent="0.25">
      <c r="A34" s="382"/>
      <c r="B34" s="74" t="s">
        <v>114</v>
      </c>
      <c r="C34" s="381"/>
      <c r="D34" s="381"/>
      <c r="E34" s="381"/>
      <c r="F34" s="75"/>
      <c r="G34" s="75"/>
      <c r="H34" s="75"/>
      <c r="I34" s="381"/>
      <c r="J34" s="381"/>
      <c r="K34" s="381"/>
      <c r="L34" s="388"/>
      <c r="M34" s="388"/>
      <c r="N34" s="388"/>
      <c r="O34" s="388"/>
      <c r="P34" s="388"/>
      <c r="Q34" s="388"/>
      <c r="R34" s="389"/>
      <c r="S34" s="389"/>
      <c r="T34" s="390"/>
      <c r="U34" s="390"/>
      <c r="V34" s="390"/>
      <c r="W34" s="390"/>
      <c r="X34" s="390"/>
      <c r="Y34" s="390"/>
      <c r="Z34" s="390"/>
      <c r="AA34" s="390"/>
      <c r="AB34" s="390"/>
      <c r="AC34" s="390"/>
      <c r="AD34" s="390"/>
      <c r="AE34" s="390"/>
      <c r="AF34" s="390"/>
      <c r="AG34" s="390"/>
      <c r="AH34" s="390"/>
      <c r="AI34" s="390"/>
      <c r="AJ34" s="390"/>
      <c r="AK34" s="390"/>
    </row>
    <row r="35" spans="1:38" ht="15" customHeight="1" x14ac:dyDescent="0.25">
      <c r="A35" s="384">
        <v>26</v>
      </c>
      <c r="B35" s="381" t="s">
        <v>80</v>
      </c>
      <c r="C35" s="381">
        <v>0</v>
      </c>
      <c r="D35" s="381"/>
      <c r="E35" s="381"/>
      <c r="F35" s="381">
        <v>0</v>
      </c>
      <c r="G35" s="381">
        <v>0</v>
      </c>
      <c r="H35" s="381">
        <v>0</v>
      </c>
      <c r="I35" s="381">
        <v>0</v>
      </c>
      <c r="J35" s="381">
        <v>0</v>
      </c>
      <c r="K35" s="381">
        <v>0</v>
      </c>
      <c r="L35" s="381">
        <v>0</v>
      </c>
      <c r="M35" s="381">
        <v>0</v>
      </c>
      <c r="N35" s="381">
        <v>0</v>
      </c>
      <c r="O35" s="381">
        <v>0</v>
      </c>
      <c r="P35" s="381">
        <v>0</v>
      </c>
      <c r="Q35" s="381">
        <v>0</v>
      </c>
      <c r="R35" s="389">
        <v>0</v>
      </c>
      <c r="S35" s="389">
        <v>12</v>
      </c>
      <c r="T35" s="390">
        <v>0</v>
      </c>
      <c r="U35" s="390">
        <v>12</v>
      </c>
      <c r="V35" s="390">
        <v>12</v>
      </c>
      <c r="W35" s="390">
        <v>0</v>
      </c>
      <c r="X35" s="390">
        <v>47</v>
      </c>
      <c r="Y35" s="390">
        <v>1</v>
      </c>
      <c r="Z35" s="390">
        <v>46</v>
      </c>
      <c r="AA35" s="390">
        <v>44</v>
      </c>
      <c r="AB35" s="390">
        <v>2</v>
      </c>
      <c r="AC35" s="390">
        <v>99</v>
      </c>
      <c r="AD35" s="390">
        <v>2</v>
      </c>
      <c r="AE35" s="390">
        <v>97</v>
      </c>
      <c r="AF35" s="390">
        <v>97</v>
      </c>
      <c r="AG35" s="390">
        <v>2</v>
      </c>
      <c r="AH35" s="390">
        <v>160</v>
      </c>
      <c r="AI35" s="390">
        <v>0</v>
      </c>
      <c r="AJ35" s="390">
        <v>160</v>
      </c>
      <c r="AK35" s="390">
        <v>157</v>
      </c>
    </row>
    <row r="36" spans="1:38" ht="15" customHeight="1" x14ac:dyDescent="0.25">
      <c r="A36" s="384">
        <v>27</v>
      </c>
      <c r="B36" s="381" t="s">
        <v>82</v>
      </c>
      <c r="C36" s="381">
        <v>12</v>
      </c>
      <c r="D36" s="381">
        <v>108</v>
      </c>
      <c r="E36" s="381">
        <v>77</v>
      </c>
      <c r="F36" s="75">
        <v>43</v>
      </c>
      <c r="G36" s="75">
        <v>46</v>
      </c>
      <c r="H36" s="75">
        <v>43</v>
      </c>
      <c r="I36" s="381">
        <v>46</v>
      </c>
      <c r="J36" s="381">
        <v>10</v>
      </c>
      <c r="K36" s="381">
        <v>1</v>
      </c>
      <c r="L36" s="388">
        <v>55</v>
      </c>
      <c r="M36" s="388">
        <v>8</v>
      </c>
      <c r="N36" s="388">
        <v>11</v>
      </c>
      <c r="O36" s="388">
        <v>52</v>
      </c>
      <c r="P36" s="388">
        <v>9</v>
      </c>
      <c r="Q36" s="388">
        <v>8</v>
      </c>
      <c r="R36" s="389">
        <v>53</v>
      </c>
      <c r="S36" s="389">
        <v>15</v>
      </c>
      <c r="T36" s="390">
        <v>0</v>
      </c>
      <c r="U36" s="390">
        <v>15</v>
      </c>
      <c r="V36" s="390">
        <v>68</v>
      </c>
      <c r="W36" s="390">
        <v>0</v>
      </c>
      <c r="X36" s="390">
        <v>6</v>
      </c>
      <c r="Y36" s="390">
        <v>0</v>
      </c>
      <c r="Z36" s="390">
        <v>6</v>
      </c>
      <c r="AA36" s="390">
        <v>0</v>
      </c>
      <c r="AB36" s="390">
        <v>6</v>
      </c>
      <c r="AC36" s="390">
        <v>40</v>
      </c>
      <c r="AD36" s="390">
        <v>0</v>
      </c>
      <c r="AE36" s="390">
        <v>40</v>
      </c>
      <c r="AF36" s="390">
        <v>11</v>
      </c>
      <c r="AG36" s="390">
        <v>35</v>
      </c>
      <c r="AH36" s="390">
        <v>50</v>
      </c>
      <c r="AI36" s="390">
        <v>0</v>
      </c>
      <c r="AJ36" s="390">
        <v>50</v>
      </c>
      <c r="AK36" s="390">
        <v>50</v>
      </c>
    </row>
    <row r="37" spans="1:38" s="398" customFormat="1" ht="15" customHeight="1" x14ac:dyDescent="0.25">
      <c r="A37" s="382"/>
      <c r="B37" s="74" t="s">
        <v>115</v>
      </c>
      <c r="C37" s="74">
        <v>12</v>
      </c>
      <c r="D37" s="74">
        <v>108</v>
      </c>
      <c r="E37" s="74">
        <v>77</v>
      </c>
      <c r="F37" s="74">
        <v>43</v>
      </c>
      <c r="G37" s="74">
        <v>46</v>
      </c>
      <c r="H37" s="74">
        <v>43</v>
      </c>
      <c r="I37" s="74">
        <v>46</v>
      </c>
      <c r="J37" s="74">
        <v>10</v>
      </c>
      <c r="K37" s="74">
        <v>1</v>
      </c>
      <c r="L37" s="74">
        <v>55</v>
      </c>
      <c r="M37" s="74">
        <v>8</v>
      </c>
      <c r="N37" s="74">
        <v>11</v>
      </c>
      <c r="O37" s="74">
        <v>52</v>
      </c>
      <c r="P37" s="74">
        <v>9</v>
      </c>
      <c r="Q37" s="74">
        <v>8</v>
      </c>
      <c r="R37" s="74">
        <v>53</v>
      </c>
      <c r="S37" s="74">
        <v>27</v>
      </c>
      <c r="T37" s="74">
        <v>0</v>
      </c>
      <c r="U37" s="74">
        <v>27</v>
      </c>
      <c r="V37" s="74">
        <v>80</v>
      </c>
      <c r="W37" s="74">
        <v>0</v>
      </c>
      <c r="X37" s="74">
        <v>53</v>
      </c>
      <c r="Y37" s="74">
        <v>1</v>
      </c>
      <c r="Z37" s="74">
        <v>52</v>
      </c>
      <c r="AA37" s="74">
        <v>44</v>
      </c>
      <c r="AB37" s="74">
        <v>8</v>
      </c>
      <c r="AC37" s="74">
        <v>139</v>
      </c>
      <c r="AD37" s="74">
        <v>2</v>
      </c>
      <c r="AE37" s="74">
        <v>137</v>
      </c>
      <c r="AF37" s="74">
        <v>108</v>
      </c>
      <c r="AG37" s="74">
        <v>37</v>
      </c>
      <c r="AH37" s="74">
        <v>210</v>
      </c>
      <c r="AI37" s="74">
        <v>0</v>
      </c>
      <c r="AJ37" s="74">
        <v>210</v>
      </c>
      <c r="AK37" s="74">
        <v>207</v>
      </c>
      <c r="AL37" s="397"/>
    </row>
    <row r="38" spans="1:38" s="398" customFormat="1" ht="15" customHeight="1" x14ac:dyDescent="0.25">
      <c r="A38" s="385"/>
      <c r="B38" s="83" t="s">
        <v>117</v>
      </c>
      <c r="C38" s="74"/>
      <c r="D38" s="74"/>
      <c r="E38" s="74"/>
      <c r="F38" s="80"/>
      <c r="G38" s="80"/>
      <c r="H38" s="80"/>
      <c r="I38" s="74"/>
      <c r="J38" s="74"/>
      <c r="K38" s="74"/>
      <c r="L38" s="81"/>
      <c r="M38" s="81"/>
      <c r="N38" s="81"/>
      <c r="O38" s="81"/>
      <c r="P38" s="81"/>
      <c r="Q38" s="81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397"/>
    </row>
    <row r="39" spans="1:38" ht="15" customHeight="1" x14ac:dyDescent="0.25">
      <c r="A39" s="386">
        <v>28</v>
      </c>
      <c r="B39" s="403" t="s">
        <v>118</v>
      </c>
      <c r="C39" s="78" t="s">
        <v>167</v>
      </c>
      <c r="D39" s="78" t="s">
        <v>167</v>
      </c>
      <c r="E39" s="78" t="s">
        <v>167</v>
      </c>
      <c r="F39" s="78" t="s">
        <v>167</v>
      </c>
      <c r="G39" s="78" t="s">
        <v>167</v>
      </c>
      <c r="H39" s="78" t="s">
        <v>167</v>
      </c>
      <c r="I39" s="78" t="s">
        <v>167</v>
      </c>
      <c r="J39" s="78" t="s">
        <v>167</v>
      </c>
      <c r="K39" s="78" t="s">
        <v>167</v>
      </c>
      <c r="L39" s="78" t="s">
        <v>167</v>
      </c>
      <c r="M39" s="388">
        <v>5</v>
      </c>
      <c r="N39" s="388">
        <v>4</v>
      </c>
      <c r="O39" s="78">
        <v>1</v>
      </c>
      <c r="P39" s="388">
        <v>251</v>
      </c>
      <c r="Q39" s="388">
        <v>145</v>
      </c>
      <c r="R39" s="389">
        <v>107</v>
      </c>
      <c r="S39" s="389">
        <v>599</v>
      </c>
      <c r="T39" s="390">
        <v>4</v>
      </c>
      <c r="U39" s="390">
        <v>595</v>
      </c>
      <c r="V39" s="390">
        <v>702</v>
      </c>
      <c r="W39" s="390">
        <v>0</v>
      </c>
      <c r="X39" s="390">
        <v>899</v>
      </c>
      <c r="Y39" s="390">
        <v>53</v>
      </c>
      <c r="Z39" s="390">
        <v>846</v>
      </c>
      <c r="AA39" s="390">
        <v>846</v>
      </c>
      <c r="AB39" s="390">
        <v>0</v>
      </c>
      <c r="AC39" s="390">
        <v>816</v>
      </c>
      <c r="AD39" s="390">
        <v>7</v>
      </c>
      <c r="AE39" s="390">
        <v>809</v>
      </c>
      <c r="AF39" s="390">
        <v>805</v>
      </c>
      <c r="AG39" s="390">
        <v>4</v>
      </c>
      <c r="AH39" s="390">
        <v>1909</v>
      </c>
      <c r="AI39" s="390">
        <v>4</v>
      </c>
      <c r="AJ39" s="390">
        <v>1905</v>
      </c>
      <c r="AK39" s="390">
        <v>1909</v>
      </c>
    </row>
    <row r="40" spans="1:38" ht="15" customHeight="1" x14ac:dyDescent="0.25">
      <c r="A40" s="384">
        <v>29</v>
      </c>
      <c r="B40" s="381" t="s">
        <v>412</v>
      </c>
      <c r="C40" s="381">
        <v>1</v>
      </c>
      <c r="D40" s="381">
        <v>577</v>
      </c>
      <c r="E40" s="381">
        <v>567</v>
      </c>
      <c r="F40" s="75">
        <v>0</v>
      </c>
      <c r="G40" s="75">
        <v>423</v>
      </c>
      <c r="H40" s="75">
        <v>421</v>
      </c>
      <c r="I40" s="381">
        <v>2</v>
      </c>
      <c r="J40" s="381">
        <v>564</v>
      </c>
      <c r="K40" s="381">
        <v>560</v>
      </c>
      <c r="L40" s="388">
        <v>6</v>
      </c>
      <c r="M40" s="388">
        <v>895</v>
      </c>
      <c r="N40" s="388">
        <v>901</v>
      </c>
      <c r="O40" s="388">
        <v>0</v>
      </c>
      <c r="P40" s="388">
        <v>573</v>
      </c>
      <c r="Q40" s="388">
        <v>569</v>
      </c>
      <c r="R40" s="389">
        <v>4</v>
      </c>
      <c r="S40" s="389">
        <v>690</v>
      </c>
      <c r="T40" s="390">
        <v>46</v>
      </c>
      <c r="U40" s="390">
        <v>644</v>
      </c>
      <c r="V40" s="390">
        <v>645</v>
      </c>
      <c r="W40" s="390">
        <v>3</v>
      </c>
      <c r="X40" s="390">
        <v>941</v>
      </c>
      <c r="Y40" s="390">
        <v>67</v>
      </c>
      <c r="Z40" s="390">
        <v>874</v>
      </c>
      <c r="AA40" s="390">
        <v>877</v>
      </c>
      <c r="AB40" s="390">
        <v>0</v>
      </c>
      <c r="AC40" s="390">
        <v>1429</v>
      </c>
      <c r="AD40" s="390">
        <v>106</v>
      </c>
      <c r="AE40" s="390">
        <v>1323</v>
      </c>
      <c r="AF40" s="390">
        <v>1307</v>
      </c>
      <c r="AG40" s="390">
        <v>16</v>
      </c>
      <c r="AH40" s="390">
        <v>2916</v>
      </c>
      <c r="AI40" s="390">
        <v>154</v>
      </c>
      <c r="AJ40" s="390">
        <v>2762</v>
      </c>
      <c r="AK40" s="390">
        <v>2778</v>
      </c>
    </row>
    <row r="41" spans="1:38" ht="15" customHeight="1" x14ac:dyDescent="0.25">
      <c r="A41" s="384">
        <v>30</v>
      </c>
      <c r="B41" s="381" t="s">
        <v>463</v>
      </c>
      <c r="C41" s="381">
        <v>2</v>
      </c>
      <c r="D41" s="381">
        <v>1761</v>
      </c>
      <c r="E41" s="381">
        <v>1760</v>
      </c>
      <c r="F41" s="75">
        <v>3</v>
      </c>
      <c r="G41" s="75">
        <v>2061</v>
      </c>
      <c r="H41" s="75">
        <v>2051</v>
      </c>
      <c r="I41" s="381">
        <v>13</v>
      </c>
      <c r="J41" s="381">
        <v>978</v>
      </c>
      <c r="K41" s="381">
        <v>987</v>
      </c>
      <c r="L41" s="388">
        <v>4</v>
      </c>
      <c r="M41" s="388">
        <v>1097</v>
      </c>
      <c r="N41" s="388">
        <v>1081</v>
      </c>
      <c r="O41" s="388">
        <v>20</v>
      </c>
      <c r="P41" s="388">
        <v>929</v>
      </c>
      <c r="Q41" s="388">
        <v>918</v>
      </c>
      <c r="R41" s="389">
        <v>31</v>
      </c>
      <c r="S41" s="389">
        <v>1278</v>
      </c>
      <c r="T41" s="390">
        <v>67</v>
      </c>
      <c r="U41" s="390">
        <v>1211</v>
      </c>
      <c r="V41" s="390">
        <v>1230</v>
      </c>
      <c r="W41" s="390">
        <v>12</v>
      </c>
      <c r="X41" s="390">
        <v>1191</v>
      </c>
      <c r="Y41" s="390">
        <v>36</v>
      </c>
      <c r="Z41" s="390">
        <v>1155</v>
      </c>
      <c r="AA41" s="390">
        <v>1167</v>
      </c>
      <c r="AB41" s="390">
        <v>0</v>
      </c>
      <c r="AC41" s="390">
        <v>344</v>
      </c>
      <c r="AD41" s="390">
        <v>3</v>
      </c>
      <c r="AE41" s="390">
        <v>341</v>
      </c>
      <c r="AF41" s="390">
        <v>301</v>
      </c>
      <c r="AG41" s="390">
        <v>40</v>
      </c>
      <c r="AH41" s="390">
        <v>32</v>
      </c>
      <c r="AI41" s="390">
        <v>0</v>
      </c>
      <c r="AJ41" s="390">
        <v>32</v>
      </c>
      <c r="AK41" s="390">
        <v>72</v>
      </c>
    </row>
    <row r="42" spans="1:38" ht="15" customHeight="1" x14ac:dyDescent="0.25">
      <c r="A42" s="384">
        <v>31</v>
      </c>
      <c r="B42" s="381" t="s">
        <v>88</v>
      </c>
      <c r="C42" s="381">
        <v>0</v>
      </c>
      <c r="D42" s="381"/>
      <c r="E42" s="381"/>
      <c r="F42" s="75">
        <v>0</v>
      </c>
      <c r="G42" s="75">
        <v>75</v>
      </c>
      <c r="H42" s="75">
        <v>71</v>
      </c>
      <c r="I42" s="381">
        <v>4</v>
      </c>
      <c r="J42" s="381">
        <v>334</v>
      </c>
      <c r="K42" s="381">
        <v>332</v>
      </c>
      <c r="L42" s="388">
        <v>6</v>
      </c>
      <c r="M42" s="388">
        <v>1020</v>
      </c>
      <c r="N42" s="388">
        <v>1018</v>
      </c>
      <c r="O42" s="388">
        <v>8</v>
      </c>
      <c r="P42" s="388">
        <v>702</v>
      </c>
      <c r="Q42" s="388">
        <v>707</v>
      </c>
      <c r="R42" s="389">
        <v>3</v>
      </c>
      <c r="S42" s="389">
        <v>739</v>
      </c>
      <c r="T42" s="390">
        <v>30</v>
      </c>
      <c r="U42" s="390">
        <v>709</v>
      </c>
      <c r="V42" s="390">
        <v>709</v>
      </c>
      <c r="W42" s="390">
        <v>3</v>
      </c>
      <c r="X42" s="390">
        <v>1010</v>
      </c>
      <c r="Y42" s="390">
        <v>88</v>
      </c>
      <c r="Z42" s="390">
        <v>922</v>
      </c>
      <c r="AA42" s="390">
        <v>925</v>
      </c>
      <c r="AB42" s="390">
        <v>0</v>
      </c>
      <c r="AC42" s="390">
        <v>1138</v>
      </c>
      <c r="AD42" s="390">
        <v>89</v>
      </c>
      <c r="AE42" s="390">
        <v>1049</v>
      </c>
      <c r="AF42" s="390">
        <v>1035</v>
      </c>
      <c r="AG42" s="390">
        <v>14</v>
      </c>
      <c r="AH42" s="390">
        <v>1655</v>
      </c>
      <c r="AI42" s="390">
        <v>100</v>
      </c>
      <c r="AJ42" s="390">
        <v>1555</v>
      </c>
      <c r="AK42" s="390">
        <v>1567</v>
      </c>
    </row>
    <row r="43" spans="1:38" ht="15" customHeight="1" x14ac:dyDescent="0.25">
      <c r="A43" s="384">
        <v>32</v>
      </c>
      <c r="B43" s="381" t="s">
        <v>502</v>
      </c>
      <c r="C43" s="381">
        <v>7</v>
      </c>
      <c r="D43" s="381">
        <v>613</v>
      </c>
      <c r="E43" s="381">
        <v>618</v>
      </c>
      <c r="F43" s="75">
        <v>2</v>
      </c>
      <c r="G43" s="75">
        <v>427</v>
      </c>
      <c r="H43" s="75">
        <v>429</v>
      </c>
      <c r="I43" s="381">
        <v>0</v>
      </c>
      <c r="J43" s="381">
        <v>620</v>
      </c>
      <c r="K43" s="381">
        <v>620</v>
      </c>
      <c r="L43" s="388">
        <v>0</v>
      </c>
      <c r="M43" s="388">
        <v>802</v>
      </c>
      <c r="N43" s="388">
        <v>802</v>
      </c>
      <c r="O43" s="388">
        <v>0</v>
      </c>
      <c r="P43" s="388">
        <v>772</v>
      </c>
      <c r="Q43" s="388">
        <v>772</v>
      </c>
      <c r="R43" s="389">
        <v>0</v>
      </c>
      <c r="S43" s="389">
        <v>921</v>
      </c>
      <c r="T43" s="390">
        <v>29</v>
      </c>
      <c r="U43" s="390">
        <v>892</v>
      </c>
      <c r="V43" s="390">
        <v>892</v>
      </c>
      <c r="W43" s="390">
        <v>0</v>
      </c>
      <c r="X43" s="390">
        <v>1029</v>
      </c>
      <c r="Y43" s="390">
        <v>14</v>
      </c>
      <c r="Z43" s="390">
        <v>1015</v>
      </c>
      <c r="AA43" s="390">
        <v>1015</v>
      </c>
      <c r="AB43" s="390">
        <v>0</v>
      </c>
      <c r="AC43" s="390">
        <v>1504</v>
      </c>
      <c r="AD43" s="390">
        <v>104</v>
      </c>
      <c r="AE43" s="390">
        <v>1400</v>
      </c>
      <c r="AF43" s="390">
        <v>1400</v>
      </c>
      <c r="AG43" s="390">
        <v>0</v>
      </c>
      <c r="AH43" s="390">
        <v>2336</v>
      </c>
      <c r="AI43" s="390">
        <v>76</v>
      </c>
      <c r="AJ43" s="390">
        <v>2260</v>
      </c>
      <c r="AK43" s="390">
        <v>2259</v>
      </c>
    </row>
    <row r="44" spans="1:38" ht="15" customHeight="1" x14ac:dyDescent="0.25">
      <c r="A44" s="384">
        <v>33</v>
      </c>
      <c r="B44" s="381" t="s">
        <v>442</v>
      </c>
      <c r="C44" s="381"/>
      <c r="D44" s="381"/>
      <c r="E44" s="381"/>
      <c r="F44" s="75"/>
      <c r="G44" s="75"/>
      <c r="H44" s="75"/>
      <c r="I44" s="381"/>
      <c r="J44" s="381"/>
      <c r="K44" s="381"/>
      <c r="L44" s="388"/>
      <c r="M44" s="388"/>
      <c r="N44" s="388"/>
      <c r="O44" s="388"/>
      <c r="P44" s="388"/>
      <c r="Q44" s="388"/>
      <c r="R44" s="389">
        <v>0</v>
      </c>
      <c r="S44" s="389">
        <v>6</v>
      </c>
      <c r="T44" s="390">
        <v>0</v>
      </c>
      <c r="U44" s="390">
        <v>6</v>
      </c>
      <c r="V44" s="390">
        <v>6</v>
      </c>
      <c r="W44" s="390">
        <v>0</v>
      </c>
      <c r="X44" s="390">
        <v>36</v>
      </c>
      <c r="Y44" s="390">
        <v>1</v>
      </c>
      <c r="Z44" s="390">
        <v>35</v>
      </c>
      <c r="AA44" s="390">
        <v>26</v>
      </c>
      <c r="AB44" s="390">
        <v>9</v>
      </c>
      <c r="AC44" s="390">
        <v>40</v>
      </c>
      <c r="AD44" s="390">
        <v>0</v>
      </c>
      <c r="AE44" s="390">
        <v>40</v>
      </c>
      <c r="AF44" s="390">
        <v>17</v>
      </c>
      <c r="AG44" s="390">
        <v>32</v>
      </c>
      <c r="AH44" s="390">
        <v>72</v>
      </c>
      <c r="AI44" s="390">
        <v>0</v>
      </c>
      <c r="AJ44" s="390">
        <v>72</v>
      </c>
      <c r="AK44" s="390">
        <v>0</v>
      </c>
    </row>
    <row r="45" spans="1:38" ht="15" customHeight="1" x14ac:dyDescent="0.25">
      <c r="A45" s="384">
        <v>34</v>
      </c>
      <c r="B45" s="381" t="s">
        <v>95</v>
      </c>
      <c r="C45" s="381">
        <v>2</v>
      </c>
      <c r="D45" s="381">
        <v>184</v>
      </c>
      <c r="E45" s="381">
        <v>185</v>
      </c>
      <c r="F45" s="75">
        <v>12</v>
      </c>
      <c r="G45" s="75">
        <v>2785</v>
      </c>
      <c r="H45" s="75">
        <v>2631</v>
      </c>
      <c r="I45" s="381">
        <v>166</v>
      </c>
      <c r="J45" s="381">
        <v>7093</v>
      </c>
      <c r="K45" s="381">
        <v>7166</v>
      </c>
      <c r="L45" s="388">
        <v>93</v>
      </c>
      <c r="M45" s="388">
        <v>6434</v>
      </c>
      <c r="N45" s="388">
        <v>6490</v>
      </c>
      <c r="O45" s="388">
        <v>37</v>
      </c>
      <c r="P45" s="388">
        <v>4496</v>
      </c>
      <c r="Q45" s="388">
        <v>4486</v>
      </c>
      <c r="R45" s="389">
        <v>47</v>
      </c>
      <c r="S45" s="389">
        <v>5713</v>
      </c>
      <c r="T45" s="390">
        <v>28</v>
      </c>
      <c r="U45" s="390">
        <v>5685</v>
      </c>
      <c r="V45" s="390">
        <v>5597</v>
      </c>
      <c r="W45" s="390">
        <v>135</v>
      </c>
      <c r="X45" s="390">
        <v>7855</v>
      </c>
      <c r="Y45" s="390">
        <v>20</v>
      </c>
      <c r="Z45" s="390">
        <v>7835</v>
      </c>
      <c r="AA45" s="390">
        <v>7970</v>
      </c>
      <c r="AB45" s="390">
        <v>0</v>
      </c>
      <c r="AC45" s="390">
        <v>3993</v>
      </c>
      <c r="AD45" s="390">
        <v>22</v>
      </c>
      <c r="AE45" s="390">
        <v>3971</v>
      </c>
      <c r="AF45" s="390">
        <v>3955</v>
      </c>
      <c r="AG45" s="390">
        <v>16</v>
      </c>
      <c r="AH45" s="390">
        <v>7628</v>
      </c>
      <c r="AI45" s="390">
        <v>15</v>
      </c>
      <c r="AJ45" s="390">
        <v>7613</v>
      </c>
      <c r="AK45" s="390">
        <v>7605</v>
      </c>
    </row>
    <row r="46" spans="1:38" s="398" customFormat="1" x14ac:dyDescent="0.25">
      <c r="A46" s="385"/>
      <c r="B46" s="83" t="s">
        <v>119</v>
      </c>
      <c r="C46" s="81">
        <v>12</v>
      </c>
      <c r="D46" s="81">
        <v>3135</v>
      </c>
      <c r="E46" s="81">
        <v>3130</v>
      </c>
      <c r="F46" s="80">
        <v>17</v>
      </c>
      <c r="G46" s="80">
        <v>2986</v>
      </c>
      <c r="H46" s="80">
        <v>2972</v>
      </c>
      <c r="I46" s="81">
        <v>185</v>
      </c>
      <c r="J46" s="81">
        <v>2496</v>
      </c>
      <c r="K46" s="81">
        <v>2499</v>
      </c>
      <c r="L46" s="81">
        <v>109</v>
      </c>
      <c r="M46" s="81">
        <v>10253</v>
      </c>
      <c r="N46" s="81">
        <v>10296</v>
      </c>
      <c r="O46" s="81">
        <v>66</v>
      </c>
      <c r="P46" s="81">
        <v>7723</v>
      </c>
      <c r="Q46" s="81">
        <v>7597</v>
      </c>
      <c r="R46" s="82">
        <f t="shared" ref="R46:AA46" si="2">SUM(R39:R45)</f>
        <v>192</v>
      </c>
      <c r="S46" s="82">
        <f t="shared" si="2"/>
        <v>9946</v>
      </c>
      <c r="T46" s="82">
        <f t="shared" si="2"/>
        <v>204</v>
      </c>
      <c r="U46" s="82">
        <f t="shared" si="2"/>
        <v>9742</v>
      </c>
      <c r="V46" s="82">
        <f t="shared" si="2"/>
        <v>9781</v>
      </c>
      <c r="W46" s="82">
        <f t="shared" si="2"/>
        <v>153</v>
      </c>
      <c r="X46" s="82">
        <f t="shared" si="2"/>
        <v>12961</v>
      </c>
      <c r="Y46" s="82">
        <f t="shared" si="2"/>
        <v>279</v>
      </c>
      <c r="Z46" s="82">
        <f t="shared" si="2"/>
        <v>12682</v>
      </c>
      <c r="AA46" s="82">
        <f t="shared" si="2"/>
        <v>12826</v>
      </c>
      <c r="AB46" s="82">
        <v>9</v>
      </c>
      <c r="AC46" s="82">
        <v>9264</v>
      </c>
      <c r="AD46" s="82">
        <v>331</v>
      </c>
      <c r="AE46" s="82">
        <v>8933</v>
      </c>
      <c r="AF46" s="82">
        <v>8820</v>
      </c>
      <c r="AG46" s="82">
        <v>122</v>
      </c>
      <c r="AH46" s="82">
        <v>16548</v>
      </c>
      <c r="AI46" s="82">
        <v>349</v>
      </c>
      <c r="AJ46" s="82">
        <v>16199</v>
      </c>
      <c r="AK46" s="82">
        <v>16190</v>
      </c>
      <c r="AL46" s="397"/>
    </row>
    <row r="47" spans="1:38" s="398" customFormat="1" ht="15" customHeight="1" x14ac:dyDescent="0.25">
      <c r="A47" s="387"/>
      <c r="B47" s="84" t="s">
        <v>120</v>
      </c>
      <c r="C47" s="85">
        <v>1235</v>
      </c>
      <c r="D47" s="85">
        <v>63335</v>
      </c>
      <c r="E47" s="85">
        <v>63736</v>
      </c>
      <c r="F47" s="86">
        <v>834</v>
      </c>
      <c r="G47" s="86">
        <v>60688</v>
      </c>
      <c r="H47" s="86">
        <v>59423</v>
      </c>
      <c r="I47" s="85">
        <v>2099</v>
      </c>
      <c r="J47" s="85">
        <v>59083</v>
      </c>
      <c r="K47" s="85">
        <v>60211</v>
      </c>
      <c r="L47" s="87">
        <v>971</v>
      </c>
      <c r="M47" s="87">
        <v>52104</v>
      </c>
      <c r="N47" s="87">
        <v>52289</v>
      </c>
      <c r="O47" s="87">
        <v>786</v>
      </c>
      <c r="P47" s="87">
        <v>43995</v>
      </c>
      <c r="Q47" s="87">
        <v>43135</v>
      </c>
      <c r="R47" s="87">
        <v>1646</v>
      </c>
      <c r="S47" s="88">
        <v>43513</v>
      </c>
      <c r="T47" s="88">
        <v>752</v>
      </c>
      <c r="U47" s="88">
        <v>42761</v>
      </c>
      <c r="V47" s="88">
        <v>43807</v>
      </c>
      <c r="W47" s="88">
        <f>W36+W35+W46+W9+W33</f>
        <v>600</v>
      </c>
      <c r="X47" s="88">
        <f t="shared" ref="X47:AA47" si="3">X36+X35+X46+X9+X33</f>
        <v>50870</v>
      </c>
      <c r="Y47" s="88">
        <f t="shared" si="3"/>
        <v>882</v>
      </c>
      <c r="Z47" s="88">
        <f t="shared" si="3"/>
        <v>49988</v>
      </c>
      <c r="AA47" s="88">
        <f t="shared" si="3"/>
        <v>49917</v>
      </c>
      <c r="AB47" s="88">
        <v>671</v>
      </c>
      <c r="AC47" s="88">
        <v>49208</v>
      </c>
      <c r="AD47" s="88">
        <v>1191</v>
      </c>
      <c r="AE47" s="88">
        <v>48017</v>
      </c>
      <c r="AF47" s="88">
        <v>47877</v>
      </c>
      <c r="AG47" s="88">
        <v>811</v>
      </c>
      <c r="AH47" s="88">
        <v>66761</v>
      </c>
      <c r="AI47" s="88">
        <v>1246</v>
      </c>
      <c r="AJ47" s="88">
        <v>65515</v>
      </c>
      <c r="AK47" s="88">
        <v>64625</v>
      </c>
      <c r="AL47" s="397"/>
    </row>
    <row r="48" spans="1:38" x14ac:dyDescent="0.25">
      <c r="A48" s="407" t="s">
        <v>464</v>
      </c>
    </row>
  </sheetData>
  <mergeCells count="11">
    <mergeCell ref="R2:V2"/>
    <mergeCell ref="W2:AA2"/>
    <mergeCell ref="AB2:AF2"/>
    <mergeCell ref="AG2:AK2"/>
    <mergeCell ref="A2:A3"/>
    <mergeCell ref="B2:B3"/>
    <mergeCell ref="C2:E2"/>
    <mergeCell ref="F2:H2"/>
    <mergeCell ref="I2:K2"/>
    <mergeCell ref="L2:N2"/>
    <mergeCell ref="O2:Q2"/>
  </mergeCells>
  <printOptions horizontalCentered="1"/>
  <pageMargins left="0.5" right="0.5" top="0.21" bottom="0.25" header="0.17" footer="0.28000000000000003"/>
  <pageSetup paperSize="9" scale="76" orientation="landscape" r:id="rId1"/>
  <headerFooter alignWithMargins="0"/>
  <colBreaks count="1" manualBreakCount="1">
    <brk id="5" max="36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38"/>
  <sheetViews>
    <sheetView zoomScale="95" zoomScaleNormal="95" workbookViewId="0">
      <pane xSplit="1" ySplit="8" topLeftCell="B9" activePane="bottomRight" state="frozen"/>
      <selection activeCell="A32" sqref="A32"/>
      <selection pane="topRight" activeCell="A32" sqref="A32"/>
      <selection pane="bottomLeft" activeCell="A32" sqref="A32"/>
      <selection pane="bottomRight"/>
    </sheetView>
  </sheetViews>
  <sheetFormatPr defaultRowHeight="12.75" x14ac:dyDescent="0.2"/>
  <cols>
    <col min="1" max="1" width="14" style="89" customWidth="1"/>
    <col min="2" max="2" width="9.42578125" style="89" customWidth="1"/>
    <col min="3" max="3" width="8.140625" style="89" customWidth="1"/>
    <col min="4" max="4" width="6.5703125" style="89" customWidth="1"/>
    <col min="5" max="5" width="7.7109375" style="89" customWidth="1"/>
    <col min="6" max="6" width="8.5703125" style="89" customWidth="1"/>
    <col min="7" max="7" width="8.140625" style="89" customWidth="1"/>
    <col min="8" max="8" width="9.5703125" style="89" bestFit="1" customWidth="1"/>
    <col min="9" max="9" width="8.7109375" style="89" customWidth="1"/>
    <col min="10" max="10" width="8.7109375" style="89" bestFit="1" customWidth="1"/>
    <col min="11" max="11" width="7.85546875" style="89" bestFit="1" customWidth="1"/>
    <col min="12" max="12" width="9.5703125" style="89" customWidth="1"/>
    <col min="13" max="13" width="7.28515625" style="89" customWidth="1"/>
    <col min="14" max="14" width="8.7109375" style="89" customWidth="1"/>
    <col min="15" max="15" width="6.85546875" style="89" customWidth="1"/>
    <col min="16" max="16" width="8.42578125" style="89" customWidth="1"/>
    <col min="17" max="17" width="8.140625" style="89" customWidth="1"/>
    <col min="18" max="18" width="9.28515625" style="89" customWidth="1"/>
    <col min="19" max="19" width="9.140625" style="89" customWidth="1"/>
    <col min="20" max="20" width="9.42578125" style="89" customWidth="1"/>
    <col min="21" max="21" width="9.140625" style="89"/>
    <col min="22" max="22" width="8" style="89" customWidth="1"/>
    <col min="23" max="29" width="9.140625" style="89"/>
    <col min="30" max="30" width="8" style="89" customWidth="1"/>
    <col min="31" max="33" width="9.140625" style="89"/>
    <col min="34" max="34" width="8.140625" style="89" customWidth="1"/>
    <col min="35" max="35" width="9.140625" style="89"/>
    <col min="36" max="36" width="8.140625" style="89" customWidth="1"/>
    <col min="37" max="37" width="8.5703125" style="89" customWidth="1"/>
    <col min="38" max="38" width="8.140625" style="89" customWidth="1"/>
    <col min="39" max="39" width="7.7109375" style="89" customWidth="1"/>
    <col min="40" max="40" width="8.140625" style="89" customWidth="1"/>
    <col min="41" max="41" width="7.5703125" style="89" customWidth="1"/>
    <col min="42" max="42" width="7.42578125" style="89" customWidth="1"/>
    <col min="43" max="43" width="8.28515625" style="89" customWidth="1"/>
    <col min="44" max="44" width="7.7109375" style="89" customWidth="1"/>
    <col min="45" max="45" width="7.85546875" style="89" bestFit="1" customWidth="1"/>
    <col min="46" max="46" width="8.42578125" style="89" customWidth="1"/>
    <col min="47" max="47" width="7.28515625" style="89" customWidth="1"/>
    <col min="48" max="48" width="8.7109375" style="89" customWidth="1"/>
    <col min="49" max="50" width="8.42578125" style="89" customWidth="1"/>
    <col min="51" max="51" width="8.140625" style="89" customWidth="1"/>
    <col min="52" max="52" width="9.140625" style="89" customWidth="1"/>
    <col min="53" max="53" width="9" style="89" customWidth="1"/>
    <col min="54" max="54" width="8.140625" style="89" customWidth="1"/>
    <col min="55" max="55" width="8.42578125" style="89" customWidth="1"/>
    <col min="56" max="56" width="7" style="89" customWidth="1"/>
    <col min="57" max="58" width="9.140625" style="89"/>
    <col min="59" max="59" width="7.85546875" style="89" customWidth="1"/>
    <col min="60" max="60" width="8.5703125" style="89" customWidth="1"/>
    <col min="61" max="61" width="8.28515625" style="89" customWidth="1"/>
    <col min="62" max="62" width="9.140625" style="89"/>
    <col min="63" max="63" width="6.42578125" style="89" customWidth="1"/>
    <col min="64" max="64" width="7" style="89" customWidth="1"/>
    <col min="65" max="65" width="8.42578125" style="89" customWidth="1"/>
    <col min="66" max="66" width="7.5703125" style="89" customWidth="1"/>
    <col min="67" max="67" width="9.140625" style="89"/>
    <col min="68" max="69" width="7.85546875" style="89" customWidth="1"/>
    <col min="70" max="70" width="8.140625" style="89" customWidth="1"/>
    <col min="71" max="71" width="8.5703125" style="89" customWidth="1"/>
    <col min="72" max="72" width="8.140625" style="89" customWidth="1"/>
    <col min="73" max="73" width="7.7109375" style="89" customWidth="1"/>
    <col min="74" max="74" width="9.85546875" style="89" customWidth="1"/>
    <col min="75" max="75" width="7.5703125" style="89" customWidth="1"/>
    <col min="76" max="76" width="10" style="89" customWidth="1"/>
    <col min="77" max="77" width="11.140625" style="89" customWidth="1"/>
    <col min="78" max="78" width="7.7109375" style="89" customWidth="1"/>
    <col min="79" max="79" width="7.85546875" style="89" bestFit="1" customWidth="1"/>
    <col min="80" max="80" width="9.5703125" style="89" customWidth="1"/>
    <col min="81" max="81" width="7.28515625" style="89" customWidth="1"/>
    <col min="82" max="82" width="9.7109375" style="89" customWidth="1"/>
    <col min="83" max="84" width="8.42578125" style="89" customWidth="1"/>
    <col min="85" max="85" width="8.140625" style="89" customWidth="1"/>
    <col min="86" max="86" width="9.140625" style="89" customWidth="1"/>
    <col min="87" max="87" width="9" style="89" customWidth="1"/>
    <col min="88" max="88" width="8.140625" style="89" customWidth="1"/>
    <col min="89" max="89" width="7.5703125" style="89" customWidth="1"/>
    <col min="90" max="90" width="7" style="89" customWidth="1"/>
    <col min="91" max="92" width="9.140625" style="89"/>
    <col min="93" max="93" width="7.85546875" style="89" customWidth="1"/>
    <col min="94" max="94" width="8.5703125" style="89" customWidth="1"/>
    <col min="95" max="95" width="8.28515625" style="89" customWidth="1"/>
    <col min="96" max="96" width="9.140625" style="89"/>
    <col min="97" max="97" width="6.42578125" style="89" customWidth="1"/>
    <col min="98" max="98" width="8.28515625" style="89" customWidth="1"/>
    <col min="99" max="99" width="8.42578125" style="89" customWidth="1"/>
    <col min="100" max="100" width="7.5703125" style="89" customWidth="1"/>
    <col min="101" max="101" width="9.140625" style="89"/>
    <col min="102" max="103" width="7.85546875" style="89" customWidth="1"/>
    <col min="104" max="289" width="9.140625" style="89"/>
    <col min="290" max="290" width="26.7109375" style="89" customWidth="1"/>
    <col min="291" max="291" width="17.140625" style="89" customWidth="1"/>
    <col min="292" max="292" width="19.140625" style="89" customWidth="1"/>
    <col min="293" max="293" width="13.7109375" style="89" customWidth="1"/>
    <col min="294" max="294" width="12.7109375" style="89" customWidth="1"/>
    <col min="295" max="295" width="14.42578125" style="89" customWidth="1"/>
    <col min="296" max="296" width="12.140625" style="89" customWidth="1"/>
    <col min="297" max="298" width="14.5703125" style="89" customWidth="1"/>
    <col min="299" max="299" width="11.140625" style="89" customWidth="1"/>
    <col min="300" max="300" width="10.5703125" style="89" customWidth="1"/>
    <col min="301" max="301" width="14.140625" style="89" customWidth="1"/>
    <col min="302" max="302" width="12" style="89" customWidth="1"/>
    <col min="303" max="303" width="15.5703125" style="89" customWidth="1"/>
    <col min="304" max="304" width="12.7109375" style="89" customWidth="1"/>
    <col min="305" max="305" width="17.140625" style="89" customWidth="1"/>
    <col min="306" max="306" width="10.28515625" style="89" customWidth="1"/>
    <col min="307" max="307" width="17.140625" style="89" customWidth="1"/>
    <col min="308" max="308" width="9.140625" style="89" customWidth="1"/>
    <col min="309" max="309" width="12.7109375" style="89" customWidth="1"/>
    <col min="310" max="310" width="12" style="89" customWidth="1"/>
    <col min="311" max="545" width="9.140625" style="89"/>
    <col min="546" max="546" width="26.7109375" style="89" customWidth="1"/>
    <col min="547" max="547" width="17.140625" style="89" customWidth="1"/>
    <col min="548" max="548" width="19.140625" style="89" customWidth="1"/>
    <col min="549" max="549" width="13.7109375" style="89" customWidth="1"/>
    <col min="550" max="550" width="12.7109375" style="89" customWidth="1"/>
    <col min="551" max="551" width="14.42578125" style="89" customWidth="1"/>
    <col min="552" max="552" width="12.140625" style="89" customWidth="1"/>
    <col min="553" max="554" width="14.5703125" style="89" customWidth="1"/>
    <col min="555" max="555" width="11.140625" style="89" customWidth="1"/>
    <col min="556" max="556" width="10.5703125" style="89" customWidth="1"/>
    <col min="557" max="557" width="14.140625" style="89" customWidth="1"/>
    <col min="558" max="558" width="12" style="89" customWidth="1"/>
    <col min="559" max="559" width="15.5703125" style="89" customWidth="1"/>
    <col min="560" max="560" width="12.7109375" style="89" customWidth="1"/>
    <col min="561" max="561" width="17.140625" style="89" customWidth="1"/>
    <col min="562" max="562" width="10.28515625" style="89" customWidth="1"/>
    <col min="563" max="563" width="17.140625" style="89" customWidth="1"/>
    <col min="564" max="564" width="9.140625" style="89" customWidth="1"/>
    <col min="565" max="565" width="12.7109375" style="89" customWidth="1"/>
    <col min="566" max="566" width="12" style="89" customWidth="1"/>
    <col min="567" max="801" width="9.140625" style="89"/>
    <col min="802" max="802" width="26.7109375" style="89" customWidth="1"/>
    <col min="803" max="803" width="17.140625" style="89" customWidth="1"/>
    <col min="804" max="804" width="19.140625" style="89" customWidth="1"/>
    <col min="805" max="805" width="13.7109375" style="89" customWidth="1"/>
    <col min="806" max="806" width="12.7109375" style="89" customWidth="1"/>
    <col min="807" max="807" width="14.42578125" style="89" customWidth="1"/>
    <col min="808" max="808" width="12.140625" style="89" customWidth="1"/>
    <col min="809" max="810" width="14.5703125" style="89" customWidth="1"/>
    <col min="811" max="811" width="11.140625" style="89" customWidth="1"/>
    <col min="812" max="812" width="10.5703125" style="89" customWidth="1"/>
    <col min="813" max="813" width="14.140625" style="89" customWidth="1"/>
    <col min="814" max="814" width="12" style="89" customWidth="1"/>
    <col min="815" max="815" width="15.5703125" style="89" customWidth="1"/>
    <col min="816" max="816" width="12.7109375" style="89" customWidth="1"/>
    <col min="817" max="817" width="17.140625" style="89" customWidth="1"/>
    <col min="818" max="818" width="10.28515625" style="89" customWidth="1"/>
    <col min="819" max="819" width="17.140625" style="89" customWidth="1"/>
    <col min="820" max="820" width="9.140625" style="89" customWidth="1"/>
    <col min="821" max="821" width="12.7109375" style="89" customWidth="1"/>
    <col min="822" max="822" width="12" style="89" customWidth="1"/>
    <col min="823" max="1057" width="9.140625" style="89"/>
    <col min="1058" max="1058" width="26.7109375" style="89" customWidth="1"/>
    <col min="1059" max="1059" width="17.140625" style="89" customWidth="1"/>
    <col min="1060" max="1060" width="19.140625" style="89" customWidth="1"/>
    <col min="1061" max="1061" width="13.7109375" style="89" customWidth="1"/>
    <col min="1062" max="1062" width="12.7109375" style="89" customWidth="1"/>
    <col min="1063" max="1063" width="14.42578125" style="89" customWidth="1"/>
    <col min="1064" max="1064" width="12.140625" style="89" customWidth="1"/>
    <col min="1065" max="1066" width="14.5703125" style="89" customWidth="1"/>
    <col min="1067" max="1067" width="11.140625" style="89" customWidth="1"/>
    <col min="1068" max="1068" width="10.5703125" style="89" customWidth="1"/>
    <col min="1069" max="1069" width="14.140625" style="89" customWidth="1"/>
    <col min="1070" max="1070" width="12" style="89" customWidth="1"/>
    <col min="1071" max="1071" width="15.5703125" style="89" customWidth="1"/>
    <col min="1072" max="1072" width="12.7109375" style="89" customWidth="1"/>
    <col min="1073" max="1073" width="17.140625" style="89" customWidth="1"/>
    <col min="1074" max="1074" width="10.28515625" style="89" customWidth="1"/>
    <col min="1075" max="1075" width="17.140625" style="89" customWidth="1"/>
    <col min="1076" max="1076" width="9.140625" style="89" customWidth="1"/>
    <col min="1077" max="1077" width="12.7109375" style="89" customWidth="1"/>
    <col min="1078" max="1078" width="12" style="89" customWidth="1"/>
    <col min="1079" max="1313" width="9.140625" style="89"/>
    <col min="1314" max="1314" width="26.7109375" style="89" customWidth="1"/>
    <col min="1315" max="1315" width="17.140625" style="89" customWidth="1"/>
    <col min="1316" max="1316" width="19.140625" style="89" customWidth="1"/>
    <col min="1317" max="1317" width="13.7109375" style="89" customWidth="1"/>
    <col min="1318" max="1318" width="12.7109375" style="89" customWidth="1"/>
    <col min="1319" max="1319" width="14.42578125" style="89" customWidth="1"/>
    <col min="1320" max="1320" width="12.140625" style="89" customWidth="1"/>
    <col min="1321" max="1322" width="14.5703125" style="89" customWidth="1"/>
    <col min="1323" max="1323" width="11.140625" style="89" customWidth="1"/>
    <col min="1324" max="1324" width="10.5703125" style="89" customWidth="1"/>
    <col min="1325" max="1325" width="14.140625" style="89" customWidth="1"/>
    <col min="1326" max="1326" width="12" style="89" customWidth="1"/>
    <col min="1327" max="1327" width="15.5703125" style="89" customWidth="1"/>
    <col min="1328" max="1328" width="12.7109375" style="89" customWidth="1"/>
    <col min="1329" max="1329" width="17.140625" style="89" customWidth="1"/>
    <col min="1330" max="1330" width="10.28515625" style="89" customWidth="1"/>
    <col min="1331" max="1331" width="17.140625" style="89" customWidth="1"/>
    <col min="1332" max="1332" width="9.140625" style="89" customWidth="1"/>
    <col min="1333" max="1333" width="12.7109375" style="89" customWidth="1"/>
    <col min="1334" max="1334" width="12" style="89" customWidth="1"/>
    <col min="1335" max="1569" width="9.140625" style="89"/>
    <col min="1570" max="1570" width="26.7109375" style="89" customWidth="1"/>
    <col min="1571" max="1571" width="17.140625" style="89" customWidth="1"/>
    <col min="1572" max="1572" width="19.140625" style="89" customWidth="1"/>
    <col min="1573" max="1573" width="13.7109375" style="89" customWidth="1"/>
    <col min="1574" max="1574" width="12.7109375" style="89" customWidth="1"/>
    <col min="1575" max="1575" width="14.42578125" style="89" customWidth="1"/>
    <col min="1576" max="1576" width="12.140625" style="89" customWidth="1"/>
    <col min="1577" max="1578" width="14.5703125" style="89" customWidth="1"/>
    <col min="1579" max="1579" width="11.140625" style="89" customWidth="1"/>
    <col min="1580" max="1580" width="10.5703125" style="89" customWidth="1"/>
    <col min="1581" max="1581" width="14.140625" style="89" customWidth="1"/>
    <col min="1582" max="1582" width="12" style="89" customWidth="1"/>
    <col min="1583" max="1583" width="15.5703125" style="89" customWidth="1"/>
    <col min="1584" max="1584" width="12.7109375" style="89" customWidth="1"/>
    <col min="1585" max="1585" width="17.140625" style="89" customWidth="1"/>
    <col min="1586" max="1586" width="10.28515625" style="89" customWidth="1"/>
    <col min="1587" max="1587" width="17.140625" style="89" customWidth="1"/>
    <col min="1588" max="1588" width="9.140625" style="89" customWidth="1"/>
    <col min="1589" max="1589" width="12.7109375" style="89" customWidth="1"/>
    <col min="1590" max="1590" width="12" style="89" customWidth="1"/>
    <col min="1591" max="1825" width="9.140625" style="89"/>
    <col min="1826" max="1826" width="26.7109375" style="89" customWidth="1"/>
    <col min="1827" max="1827" width="17.140625" style="89" customWidth="1"/>
    <col min="1828" max="1828" width="19.140625" style="89" customWidth="1"/>
    <col min="1829" max="1829" width="13.7109375" style="89" customWidth="1"/>
    <col min="1830" max="1830" width="12.7109375" style="89" customWidth="1"/>
    <col min="1831" max="1831" width="14.42578125" style="89" customWidth="1"/>
    <col min="1832" max="1832" width="12.140625" style="89" customWidth="1"/>
    <col min="1833" max="1834" width="14.5703125" style="89" customWidth="1"/>
    <col min="1835" max="1835" width="11.140625" style="89" customWidth="1"/>
    <col min="1836" max="1836" width="10.5703125" style="89" customWidth="1"/>
    <col min="1837" max="1837" width="14.140625" style="89" customWidth="1"/>
    <col min="1838" max="1838" width="12" style="89" customWidth="1"/>
    <col min="1839" max="1839" width="15.5703125" style="89" customWidth="1"/>
    <col min="1840" max="1840" width="12.7109375" style="89" customWidth="1"/>
    <col min="1841" max="1841" width="17.140625" style="89" customWidth="1"/>
    <col min="1842" max="1842" width="10.28515625" style="89" customWidth="1"/>
    <col min="1843" max="1843" width="17.140625" style="89" customWidth="1"/>
    <col min="1844" max="1844" width="9.140625" style="89" customWidth="1"/>
    <col min="1845" max="1845" width="12.7109375" style="89" customWidth="1"/>
    <col min="1846" max="1846" width="12" style="89" customWidth="1"/>
    <col min="1847" max="2081" width="9.140625" style="89"/>
    <col min="2082" max="2082" width="26.7109375" style="89" customWidth="1"/>
    <col min="2083" max="2083" width="17.140625" style="89" customWidth="1"/>
    <col min="2084" max="2084" width="19.140625" style="89" customWidth="1"/>
    <col min="2085" max="2085" width="13.7109375" style="89" customWidth="1"/>
    <col min="2086" max="2086" width="12.7109375" style="89" customWidth="1"/>
    <col min="2087" max="2087" width="14.42578125" style="89" customWidth="1"/>
    <col min="2088" max="2088" width="12.140625" style="89" customWidth="1"/>
    <col min="2089" max="2090" width="14.5703125" style="89" customWidth="1"/>
    <col min="2091" max="2091" width="11.140625" style="89" customWidth="1"/>
    <col min="2092" max="2092" width="10.5703125" style="89" customWidth="1"/>
    <col min="2093" max="2093" width="14.140625" style="89" customWidth="1"/>
    <col min="2094" max="2094" width="12" style="89" customWidth="1"/>
    <col min="2095" max="2095" width="15.5703125" style="89" customWidth="1"/>
    <col min="2096" max="2096" width="12.7109375" style="89" customWidth="1"/>
    <col min="2097" max="2097" width="17.140625" style="89" customWidth="1"/>
    <col min="2098" max="2098" width="10.28515625" style="89" customWidth="1"/>
    <col min="2099" max="2099" width="17.140625" style="89" customWidth="1"/>
    <col min="2100" max="2100" width="9.140625" style="89" customWidth="1"/>
    <col min="2101" max="2101" width="12.7109375" style="89" customWidth="1"/>
    <col min="2102" max="2102" width="12" style="89" customWidth="1"/>
    <col min="2103" max="2337" width="9.140625" style="89"/>
    <col min="2338" max="2338" width="26.7109375" style="89" customWidth="1"/>
    <col min="2339" max="2339" width="17.140625" style="89" customWidth="1"/>
    <col min="2340" max="2340" width="19.140625" style="89" customWidth="1"/>
    <col min="2341" max="2341" width="13.7109375" style="89" customWidth="1"/>
    <col min="2342" max="2342" width="12.7109375" style="89" customWidth="1"/>
    <col min="2343" max="2343" width="14.42578125" style="89" customWidth="1"/>
    <col min="2344" max="2344" width="12.140625" style="89" customWidth="1"/>
    <col min="2345" max="2346" width="14.5703125" style="89" customWidth="1"/>
    <col min="2347" max="2347" width="11.140625" style="89" customWidth="1"/>
    <col min="2348" max="2348" width="10.5703125" style="89" customWidth="1"/>
    <col min="2349" max="2349" width="14.140625" style="89" customWidth="1"/>
    <col min="2350" max="2350" width="12" style="89" customWidth="1"/>
    <col min="2351" max="2351" width="15.5703125" style="89" customWidth="1"/>
    <col min="2352" max="2352" width="12.7109375" style="89" customWidth="1"/>
    <col min="2353" max="2353" width="17.140625" style="89" customWidth="1"/>
    <col min="2354" max="2354" width="10.28515625" style="89" customWidth="1"/>
    <col min="2355" max="2355" width="17.140625" style="89" customWidth="1"/>
    <col min="2356" max="2356" width="9.140625" style="89" customWidth="1"/>
    <col min="2357" max="2357" width="12.7109375" style="89" customWidth="1"/>
    <col min="2358" max="2358" width="12" style="89" customWidth="1"/>
    <col min="2359" max="2593" width="9.140625" style="89"/>
    <col min="2594" max="2594" width="26.7109375" style="89" customWidth="1"/>
    <col min="2595" max="2595" width="17.140625" style="89" customWidth="1"/>
    <col min="2596" max="2596" width="19.140625" style="89" customWidth="1"/>
    <col min="2597" max="2597" width="13.7109375" style="89" customWidth="1"/>
    <col min="2598" max="2598" width="12.7109375" style="89" customWidth="1"/>
    <col min="2599" max="2599" width="14.42578125" style="89" customWidth="1"/>
    <col min="2600" max="2600" width="12.140625" style="89" customWidth="1"/>
    <col min="2601" max="2602" width="14.5703125" style="89" customWidth="1"/>
    <col min="2603" max="2603" width="11.140625" style="89" customWidth="1"/>
    <col min="2604" max="2604" width="10.5703125" style="89" customWidth="1"/>
    <col min="2605" max="2605" width="14.140625" style="89" customWidth="1"/>
    <col min="2606" max="2606" width="12" style="89" customWidth="1"/>
    <col min="2607" max="2607" width="15.5703125" style="89" customWidth="1"/>
    <col min="2608" max="2608" width="12.7109375" style="89" customWidth="1"/>
    <col min="2609" max="2609" width="17.140625" style="89" customWidth="1"/>
    <col min="2610" max="2610" width="10.28515625" style="89" customWidth="1"/>
    <col min="2611" max="2611" width="17.140625" style="89" customWidth="1"/>
    <col min="2612" max="2612" width="9.140625" style="89" customWidth="1"/>
    <col min="2613" max="2613" width="12.7109375" style="89" customWidth="1"/>
    <col min="2614" max="2614" width="12" style="89" customWidth="1"/>
    <col min="2615" max="2849" width="9.140625" style="89"/>
    <col min="2850" max="2850" width="26.7109375" style="89" customWidth="1"/>
    <col min="2851" max="2851" width="17.140625" style="89" customWidth="1"/>
    <col min="2852" max="2852" width="19.140625" style="89" customWidth="1"/>
    <col min="2853" max="2853" width="13.7109375" style="89" customWidth="1"/>
    <col min="2854" max="2854" width="12.7109375" style="89" customWidth="1"/>
    <col min="2855" max="2855" width="14.42578125" style="89" customWidth="1"/>
    <col min="2856" max="2856" width="12.140625" style="89" customWidth="1"/>
    <col min="2857" max="2858" width="14.5703125" style="89" customWidth="1"/>
    <col min="2859" max="2859" width="11.140625" style="89" customWidth="1"/>
    <col min="2860" max="2860" width="10.5703125" style="89" customWidth="1"/>
    <col min="2861" max="2861" width="14.140625" style="89" customWidth="1"/>
    <col min="2862" max="2862" width="12" style="89" customWidth="1"/>
    <col min="2863" max="2863" width="15.5703125" style="89" customWidth="1"/>
    <col min="2864" max="2864" width="12.7109375" style="89" customWidth="1"/>
    <col min="2865" max="2865" width="17.140625" style="89" customWidth="1"/>
    <col min="2866" max="2866" width="10.28515625" style="89" customWidth="1"/>
    <col min="2867" max="2867" width="17.140625" style="89" customWidth="1"/>
    <col min="2868" max="2868" width="9.140625" style="89" customWidth="1"/>
    <col min="2869" max="2869" width="12.7109375" style="89" customWidth="1"/>
    <col min="2870" max="2870" width="12" style="89" customWidth="1"/>
    <col min="2871" max="3105" width="9.140625" style="89"/>
    <col min="3106" max="3106" width="26.7109375" style="89" customWidth="1"/>
    <col min="3107" max="3107" width="17.140625" style="89" customWidth="1"/>
    <col min="3108" max="3108" width="19.140625" style="89" customWidth="1"/>
    <col min="3109" max="3109" width="13.7109375" style="89" customWidth="1"/>
    <col min="3110" max="3110" width="12.7109375" style="89" customWidth="1"/>
    <col min="3111" max="3111" width="14.42578125" style="89" customWidth="1"/>
    <col min="3112" max="3112" width="12.140625" style="89" customWidth="1"/>
    <col min="3113" max="3114" width="14.5703125" style="89" customWidth="1"/>
    <col min="3115" max="3115" width="11.140625" style="89" customWidth="1"/>
    <col min="3116" max="3116" width="10.5703125" style="89" customWidth="1"/>
    <col min="3117" max="3117" width="14.140625" style="89" customWidth="1"/>
    <col min="3118" max="3118" width="12" style="89" customWidth="1"/>
    <col min="3119" max="3119" width="15.5703125" style="89" customWidth="1"/>
    <col min="3120" max="3120" width="12.7109375" style="89" customWidth="1"/>
    <col min="3121" max="3121" width="17.140625" style="89" customWidth="1"/>
    <col min="3122" max="3122" width="10.28515625" style="89" customWidth="1"/>
    <col min="3123" max="3123" width="17.140625" style="89" customWidth="1"/>
    <col min="3124" max="3124" width="9.140625" style="89" customWidth="1"/>
    <col min="3125" max="3125" width="12.7109375" style="89" customWidth="1"/>
    <col min="3126" max="3126" width="12" style="89" customWidth="1"/>
    <col min="3127" max="3361" width="9.140625" style="89"/>
    <col min="3362" max="3362" width="26.7109375" style="89" customWidth="1"/>
    <col min="3363" max="3363" width="17.140625" style="89" customWidth="1"/>
    <col min="3364" max="3364" width="19.140625" style="89" customWidth="1"/>
    <col min="3365" max="3365" width="13.7109375" style="89" customWidth="1"/>
    <col min="3366" max="3366" width="12.7109375" style="89" customWidth="1"/>
    <col min="3367" max="3367" width="14.42578125" style="89" customWidth="1"/>
    <col min="3368" max="3368" width="12.140625" style="89" customWidth="1"/>
    <col min="3369" max="3370" width="14.5703125" style="89" customWidth="1"/>
    <col min="3371" max="3371" width="11.140625" style="89" customWidth="1"/>
    <col min="3372" max="3372" width="10.5703125" style="89" customWidth="1"/>
    <col min="3373" max="3373" width="14.140625" style="89" customWidth="1"/>
    <col min="3374" max="3374" width="12" style="89" customWidth="1"/>
    <col min="3375" max="3375" width="15.5703125" style="89" customWidth="1"/>
    <col min="3376" max="3376" width="12.7109375" style="89" customWidth="1"/>
    <col min="3377" max="3377" width="17.140625" style="89" customWidth="1"/>
    <col min="3378" max="3378" width="10.28515625" style="89" customWidth="1"/>
    <col min="3379" max="3379" width="17.140625" style="89" customWidth="1"/>
    <col min="3380" max="3380" width="9.140625" style="89" customWidth="1"/>
    <col min="3381" max="3381" width="12.7109375" style="89" customWidth="1"/>
    <col min="3382" max="3382" width="12" style="89" customWidth="1"/>
    <col min="3383" max="3617" width="9.140625" style="89"/>
    <col min="3618" max="3618" width="26.7109375" style="89" customWidth="1"/>
    <col min="3619" max="3619" width="17.140625" style="89" customWidth="1"/>
    <col min="3620" max="3620" width="19.140625" style="89" customWidth="1"/>
    <col min="3621" max="3621" width="13.7109375" style="89" customWidth="1"/>
    <col min="3622" max="3622" width="12.7109375" style="89" customWidth="1"/>
    <col min="3623" max="3623" width="14.42578125" style="89" customWidth="1"/>
    <col min="3624" max="3624" width="12.140625" style="89" customWidth="1"/>
    <col min="3625" max="3626" width="14.5703125" style="89" customWidth="1"/>
    <col min="3627" max="3627" width="11.140625" style="89" customWidth="1"/>
    <col min="3628" max="3628" width="10.5703125" style="89" customWidth="1"/>
    <col min="3629" max="3629" width="14.140625" style="89" customWidth="1"/>
    <col min="3630" max="3630" width="12" style="89" customWidth="1"/>
    <col min="3631" max="3631" width="15.5703125" style="89" customWidth="1"/>
    <col min="3632" max="3632" width="12.7109375" style="89" customWidth="1"/>
    <col min="3633" max="3633" width="17.140625" style="89" customWidth="1"/>
    <col min="3634" max="3634" width="10.28515625" style="89" customWidth="1"/>
    <col min="3635" max="3635" width="17.140625" style="89" customWidth="1"/>
    <col min="3636" max="3636" width="9.140625" style="89" customWidth="1"/>
    <col min="3637" max="3637" width="12.7109375" style="89" customWidth="1"/>
    <col min="3638" max="3638" width="12" style="89" customWidth="1"/>
    <col min="3639" max="3873" width="9.140625" style="89"/>
    <col min="3874" max="3874" width="26.7109375" style="89" customWidth="1"/>
    <col min="3875" max="3875" width="17.140625" style="89" customWidth="1"/>
    <col min="3876" max="3876" width="19.140625" style="89" customWidth="1"/>
    <col min="3877" max="3877" width="13.7109375" style="89" customWidth="1"/>
    <col min="3878" max="3878" width="12.7109375" style="89" customWidth="1"/>
    <col min="3879" max="3879" width="14.42578125" style="89" customWidth="1"/>
    <col min="3880" max="3880" width="12.140625" style="89" customWidth="1"/>
    <col min="3881" max="3882" width="14.5703125" style="89" customWidth="1"/>
    <col min="3883" max="3883" width="11.140625" style="89" customWidth="1"/>
    <col min="3884" max="3884" width="10.5703125" style="89" customWidth="1"/>
    <col min="3885" max="3885" width="14.140625" style="89" customWidth="1"/>
    <col min="3886" max="3886" width="12" style="89" customWidth="1"/>
    <col min="3887" max="3887" width="15.5703125" style="89" customWidth="1"/>
    <col min="3888" max="3888" width="12.7109375" style="89" customWidth="1"/>
    <col min="3889" max="3889" width="17.140625" style="89" customWidth="1"/>
    <col min="3890" max="3890" width="10.28515625" style="89" customWidth="1"/>
    <col min="3891" max="3891" width="17.140625" style="89" customWidth="1"/>
    <col min="3892" max="3892" width="9.140625" style="89" customWidth="1"/>
    <col min="3893" max="3893" width="12.7109375" style="89" customWidth="1"/>
    <col min="3894" max="3894" width="12" style="89" customWidth="1"/>
    <col min="3895" max="4129" width="9.140625" style="89"/>
    <col min="4130" max="4130" width="26.7109375" style="89" customWidth="1"/>
    <col min="4131" max="4131" width="17.140625" style="89" customWidth="1"/>
    <col min="4132" max="4132" width="19.140625" style="89" customWidth="1"/>
    <col min="4133" max="4133" width="13.7109375" style="89" customWidth="1"/>
    <col min="4134" max="4134" width="12.7109375" style="89" customWidth="1"/>
    <col min="4135" max="4135" width="14.42578125" style="89" customWidth="1"/>
    <col min="4136" max="4136" width="12.140625" style="89" customWidth="1"/>
    <col min="4137" max="4138" width="14.5703125" style="89" customWidth="1"/>
    <col min="4139" max="4139" width="11.140625" style="89" customWidth="1"/>
    <col min="4140" max="4140" width="10.5703125" style="89" customWidth="1"/>
    <col min="4141" max="4141" width="14.140625" style="89" customWidth="1"/>
    <col min="4142" max="4142" width="12" style="89" customWidth="1"/>
    <col min="4143" max="4143" width="15.5703125" style="89" customWidth="1"/>
    <col min="4144" max="4144" width="12.7109375" style="89" customWidth="1"/>
    <col min="4145" max="4145" width="17.140625" style="89" customWidth="1"/>
    <col min="4146" max="4146" width="10.28515625" style="89" customWidth="1"/>
    <col min="4147" max="4147" width="17.140625" style="89" customWidth="1"/>
    <col min="4148" max="4148" width="9.140625" style="89" customWidth="1"/>
    <col min="4149" max="4149" width="12.7109375" style="89" customWidth="1"/>
    <col min="4150" max="4150" width="12" style="89" customWidth="1"/>
    <col min="4151" max="4385" width="9.140625" style="89"/>
    <col min="4386" max="4386" width="26.7109375" style="89" customWidth="1"/>
    <col min="4387" max="4387" width="17.140625" style="89" customWidth="1"/>
    <col min="4388" max="4388" width="19.140625" style="89" customWidth="1"/>
    <col min="4389" max="4389" width="13.7109375" style="89" customWidth="1"/>
    <col min="4390" max="4390" width="12.7109375" style="89" customWidth="1"/>
    <col min="4391" max="4391" width="14.42578125" style="89" customWidth="1"/>
    <col min="4392" max="4392" width="12.140625" style="89" customWidth="1"/>
    <col min="4393" max="4394" width="14.5703125" style="89" customWidth="1"/>
    <col min="4395" max="4395" width="11.140625" style="89" customWidth="1"/>
    <col min="4396" max="4396" width="10.5703125" style="89" customWidth="1"/>
    <col min="4397" max="4397" width="14.140625" style="89" customWidth="1"/>
    <col min="4398" max="4398" width="12" style="89" customWidth="1"/>
    <col min="4399" max="4399" width="15.5703125" style="89" customWidth="1"/>
    <col min="4400" max="4400" width="12.7109375" style="89" customWidth="1"/>
    <col min="4401" max="4401" width="17.140625" style="89" customWidth="1"/>
    <col min="4402" max="4402" width="10.28515625" style="89" customWidth="1"/>
    <col min="4403" max="4403" width="17.140625" style="89" customWidth="1"/>
    <col min="4404" max="4404" width="9.140625" style="89" customWidth="1"/>
    <col min="4405" max="4405" width="12.7109375" style="89" customWidth="1"/>
    <col min="4406" max="4406" width="12" style="89" customWidth="1"/>
    <col min="4407" max="4641" width="9.140625" style="89"/>
    <col min="4642" max="4642" width="26.7109375" style="89" customWidth="1"/>
    <col min="4643" max="4643" width="17.140625" style="89" customWidth="1"/>
    <col min="4644" max="4644" width="19.140625" style="89" customWidth="1"/>
    <col min="4645" max="4645" width="13.7109375" style="89" customWidth="1"/>
    <col min="4646" max="4646" width="12.7109375" style="89" customWidth="1"/>
    <col min="4647" max="4647" width="14.42578125" style="89" customWidth="1"/>
    <col min="4648" max="4648" width="12.140625" style="89" customWidth="1"/>
    <col min="4649" max="4650" width="14.5703125" style="89" customWidth="1"/>
    <col min="4651" max="4651" width="11.140625" style="89" customWidth="1"/>
    <col min="4652" max="4652" width="10.5703125" style="89" customWidth="1"/>
    <col min="4653" max="4653" width="14.140625" style="89" customWidth="1"/>
    <col min="4654" max="4654" width="12" style="89" customWidth="1"/>
    <col min="4655" max="4655" width="15.5703125" style="89" customWidth="1"/>
    <col min="4656" max="4656" width="12.7109375" style="89" customWidth="1"/>
    <col min="4657" max="4657" width="17.140625" style="89" customWidth="1"/>
    <col min="4658" max="4658" width="10.28515625" style="89" customWidth="1"/>
    <col min="4659" max="4659" width="17.140625" style="89" customWidth="1"/>
    <col min="4660" max="4660" width="9.140625" style="89" customWidth="1"/>
    <col min="4661" max="4661" width="12.7109375" style="89" customWidth="1"/>
    <col min="4662" max="4662" width="12" style="89" customWidth="1"/>
    <col min="4663" max="4897" width="9.140625" style="89"/>
    <col min="4898" max="4898" width="26.7109375" style="89" customWidth="1"/>
    <col min="4899" max="4899" width="17.140625" style="89" customWidth="1"/>
    <col min="4900" max="4900" width="19.140625" style="89" customWidth="1"/>
    <col min="4901" max="4901" width="13.7109375" style="89" customWidth="1"/>
    <col min="4902" max="4902" width="12.7109375" style="89" customWidth="1"/>
    <col min="4903" max="4903" width="14.42578125" style="89" customWidth="1"/>
    <col min="4904" max="4904" width="12.140625" style="89" customWidth="1"/>
    <col min="4905" max="4906" width="14.5703125" style="89" customWidth="1"/>
    <col min="4907" max="4907" width="11.140625" style="89" customWidth="1"/>
    <col min="4908" max="4908" width="10.5703125" style="89" customWidth="1"/>
    <col min="4909" max="4909" width="14.140625" style="89" customWidth="1"/>
    <col min="4910" max="4910" width="12" style="89" customWidth="1"/>
    <col min="4911" max="4911" width="15.5703125" style="89" customWidth="1"/>
    <col min="4912" max="4912" width="12.7109375" style="89" customWidth="1"/>
    <col min="4913" max="4913" width="17.140625" style="89" customWidth="1"/>
    <col min="4914" max="4914" width="10.28515625" style="89" customWidth="1"/>
    <col min="4915" max="4915" width="17.140625" style="89" customWidth="1"/>
    <col min="4916" max="4916" width="9.140625" style="89" customWidth="1"/>
    <col min="4917" max="4917" width="12.7109375" style="89" customWidth="1"/>
    <col min="4918" max="4918" width="12" style="89" customWidth="1"/>
    <col min="4919" max="5153" width="9.140625" style="89"/>
    <col min="5154" max="5154" width="26.7109375" style="89" customWidth="1"/>
    <col min="5155" max="5155" width="17.140625" style="89" customWidth="1"/>
    <col min="5156" max="5156" width="19.140625" style="89" customWidth="1"/>
    <col min="5157" max="5157" width="13.7109375" style="89" customWidth="1"/>
    <col min="5158" max="5158" width="12.7109375" style="89" customWidth="1"/>
    <col min="5159" max="5159" width="14.42578125" style="89" customWidth="1"/>
    <col min="5160" max="5160" width="12.140625" style="89" customWidth="1"/>
    <col min="5161" max="5162" width="14.5703125" style="89" customWidth="1"/>
    <col min="5163" max="5163" width="11.140625" style="89" customWidth="1"/>
    <col min="5164" max="5164" width="10.5703125" style="89" customWidth="1"/>
    <col min="5165" max="5165" width="14.140625" style="89" customWidth="1"/>
    <col min="5166" max="5166" width="12" style="89" customWidth="1"/>
    <col min="5167" max="5167" width="15.5703125" style="89" customWidth="1"/>
    <col min="5168" max="5168" width="12.7109375" style="89" customWidth="1"/>
    <col min="5169" max="5169" width="17.140625" style="89" customWidth="1"/>
    <col min="5170" max="5170" width="10.28515625" style="89" customWidth="1"/>
    <col min="5171" max="5171" width="17.140625" style="89" customWidth="1"/>
    <col min="5172" max="5172" width="9.140625" style="89" customWidth="1"/>
    <col min="5173" max="5173" width="12.7109375" style="89" customWidth="1"/>
    <col min="5174" max="5174" width="12" style="89" customWidth="1"/>
    <col min="5175" max="5409" width="9.140625" style="89"/>
    <col min="5410" max="5410" width="26.7109375" style="89" customWidth="1"/>
    <col min="5411" max="5411" width="17.140625" style="89" customWidth="1"/>
    <col min="5412" max="5412" width="19.140625" style="89" customWidth="1"/>
    <col min="5413" max="5413" width="13.7109375" style="89" customWidth="1"/>
    <col min="5414" max="5414" width="12.7109375" style="89" customWidth="1"/>
    <col min="5415" max="5415" width="14.42578125" style="89" customWidth="1"/>
    <col min="5416" max="5416" width="12.140625" style="89" customWidth="1"/>
    <col min="5417" max="5418" width="14.5703125" style="89" customWidth="1"/>
    <col min="5419" max="5419" width="11.140625" style="89" customWidth="1"/>
    <col min="5420" max="5420" width="10.5703125" style="89" customWidth="1"/>
    <col min="5421" max="5421" width="14.140625" style="89" customWidth="1"/>
    <col min="5422" max="5422" width="12" style="89" customWidth="1"/>
    <col min="5423" max="5423" width="15.5703125" style="89" customWidth="1"/>
    <col min="5424" max="5424" width="12.7109375" style="89" customWidth="1"/>
    <col min="5425" max="5425" width="17.140625" style="89" customWidth="1"/>
    <col min="5426" max="5426" width="10.28515625" style="89" customWidth="1"/>
    <col min="5427" max="5427" width="17.140625" style="89" customWidth="1"/>
    <col min="5428" max="5428" width="9.140625" style="89" customWidth="1"/>
    <col min="5429" max="5429" width="12.7109375" style="89" customWidth="1"/>
    <col min="5430" max="5430" width="12" style="89" customWidth="1"/>
    <col min="5431" max="5665" width="9.140625" style="89"/>
    <col min="5666" max="5666" width="26.7109375" style="89" customWidth="1"/>
    <col min="5667" max="5667" width="17.140625" style="89" customWidth="1"/>
    <col min="5668" max="5668" width="19.140625" style="89" customWidth="1"/>
    <col min="5669" max="5669" width="13.7109375" style="89" customWidth="1"/>
    <col min="5670" max="5670" width="12.7109375" style="89" customWidth="1"/>
    <col min="5671" max="5671" width="14.42578125" style="89" customWidth="1"/>
    <col min="5672" max="5672" width="12.140625" style="89" customWidth="1"/>
    <col min="5673" max="5674" width="14.5703125" style="89" customWidth="1"/>
    <col min="5675" max="5675" width="11.140625" style="89" customWidth="1"/>
    <col min="5676" max="5676" width="10.5703125" style="89" customWidth="1"/>
    <col min="5677" max="5677" width="14.140625" style="89" customWidth="1"/>
    <col min="5678" max="5678" width="12" style="89" customWidth="1"/>
    <col min="5679" max="5679" width="15.5703125" style="89" customWidth="1"/>
    <col min="5680" max="5680" width="12.7109375" style="89" customWidth="1"/>
    <col min="5681" max="5681" width="17.140625" style="89" customWidth="1"/>
    <col min="5682" max="5682" width="10.28515625" style="89" customWidth="1"/>
    <col min="5683" max="5683" width="17.140625" style="89" customWidth="1"/>
    <col min="5684" max="5684" width="9.140625" style="89" customWidth="1"/>
    <col min="5685" max="5685" width="12.7109375" style="89" customWidth="1"/>
    <col min="5686" max="5686" width="12" style="89" customWidth="1"/>
    <col min="5687" max="5921" width="9.140625" style="89"/>
    <col min="5922" max="5922" width="26.7109375" style="89" customWidth="1"/>
    <col min="5923" max="5923" width="17.140625" style="89" customWidth="1"/>
    <col min="5924" max="5924" width="19.140625" style="89" customWidth="1"/>
    <col min="5925" max="5925" width="13.7109375" style="89" customWidth="1"/>
    <col min="5926" max="5926" width="12.7109375" style="89" customWidth="1"/>
    <col min="5927" max="5927" width="14.42578125" style="89" customWidth="1"/>
    <col min="5928" max="5928" width="12.140625" style="89" customWidth="1"/>
    <col min="5929" max="5930" width="14.5703125" style="89" customWidth="1"/>
    <col min="5931" max="5931" width="11.140625" style="89" customWidth="1"/>
    <col min="5932" max="5932" width="10.5703125" style="89" customWidth="1"/>
    <col min="5933" max="5933" width="14.140625" style="89" customWidth="1"/>
    <col min="5934" max="5934" width="12" style="89" customWidth="1"/>
    <col min="5935" max="5935" width="15.5703125" style="89" customWidth="1"/>
    <col min="5936" max="5936" width="12.7109375" style="89" customWidth="1"/>
    <col min="5937" max="5937" width="17.140625" style="89" customWidth="1"/>
    <col min="5938" max="5938" width="10.28515625" style="89" customWidth="1"/>
    <col min="5939" max="5939" width="17.140625" style="89" customWidth="1"/>
    <col min="5940" max="5940" width="9.140625" style="89" customWidth="1"/>
    <col min="5941" max="5941" width="12.7109375" style="89" customWidth="1"/>
    <col min="5942" max="5942" width="12" style="89" customWidth="1"/>
    <col min="5943" max="6177" width="9.140625" style="89"/>
    <col min="6178" max="6178" width="26.7109375" style="89" customWidth="1"/>
    <col min="6179" max="6179" width="17.140625" style="89" customWidth="1"/>
    <col min="6180" max="6180" width="19.140625" style="89" customWidth="1"/>
    <col min="6181" max="6181" width="13.7109375" style="89" customWidth="1"/>
    <col min="6182" max="6182" width="12.7109375" style="89" customWidth="1"/>
    <col min="6183" max="6183" width="14.42578125" style="89" customWidth="1"/>
    <col min="6184" max="6184" width="12.140625" style="89" customWidth="1"/>
    <col min="6185" max="6186" width="14.5703125" style="89" customWidth="1"/>
    <col min="6187" max="6187" width="11.140625" style="89" customWidth="1"/>
    <col min="6188" max="6188" width="10.5703125" style="89" customWidth="1"/>
    <col min="6189" max="6189" width="14.140625" style="89" customWidth="1"/>
    <col min="6190" max="6190" width="12" style="89" customWidth="1"/>
    <col min="6191" max="6191" width="15.5703125" style="89" customWidth="1"/>
    <col min="6192" max="6192" width="12.7109375" style="89" customWidth="1"/>
    <col min="6193" max="6193" width="17.140625" style="89" customWidth="1"/>
    <col min="6194" max="6194" width="10.28515625" style="89" customWidth="1"/>
    <col min="6195" max="6195" width="17.140625" style="89" customWidth="1"/>
    <col min="6196" max="6196" width="9.140625" style="89" customWidth="1"/>
    <col min="6197" max="6197" width="12.7109375" style="89" customWidth="1"/>
    <col min="6198" max="6198" width="12" style="89" customWidth="1"/>
    <col min="6199" max="6433" width="9.140625" style="89"/>
    <col min="6434" max="6434" width="26.7109375" style="89" customWidth="1"/>
    <col min="6435" max="6435" width="17.140625" style="89" customWidth="1"/>
    <col min="6436" max="6436" width="19.140625" style="89" customWidth="1"/>
    <col min="6437" max="6437" width="13.7109375" style="89" customWidth="1"/>
    <col min="6438" max="6438" width="12.7109375" style="89" customWidth="1"/>
    <col min="6439" max="6439" width="14.42578125" style="89" customWidth="1"/>
    <col min="6440" max="6440" width="12.140625" style="89" customWidth="1"/>
    <col min="6441" max="6442" width="14.5703125" style="89" customWidth="1"/>
    <col min="6443" max="6443" width="11.140625" style="89" customWidth="1"/>
    <col min="6444" max="6444" width="10.5703125" style="89" customWidth="1"/>
    <col min="6445" max="6445" width="14.140625" style="89" customWidth="1"/>
    <col min="6446" max="6446" width="12" style="89" customWidth="1"/>
    <col min="6447" max="6447" width="15.5703125" style="89" customWidth="1"/>
    <col min="6448" max="6448" width="12.7109375" style="89" customWidth="1"/>
    <col min="6449" max="6449" width="17.140625" style="89" customWidth="1"/>
    <col min="6450" max="6450" width="10.28515625" style="89" customWidth="1"/>
    <col min="6451" max="6451" width="17.140625" style="89" customWidth="1"/>
    <col min="6452" max="6452" width="9.140625" style="89" customWidth="1"/>
    <col min="6453" max="6453" width="12.7109375" style="89" customWidth="1"/>
    <col min="6454" max="6454" width="12" style="89" customWidth="1"/>
    <col min="6455" max="6689" width="9.140625" style="89"/>
    <col min="6690" max="6690" width="26.7109375" style="89" customWidth="1"/>
    <col min="6691" max="6691" width="17.140625" style="89" customWidth="1"/>
    <col min="6692" max="6692" width="19.140625" style="89" customWidth="1"/>
    <col min="6693" max="6693" width="13.7109375" style="89" customWidth="1"/>
    <col min="6694" max="6694" width="12.7109375" style="89" customWidth="1"/>
    <col min="6695" max="6695" width="14.42578125" style="89" customWidth="1"/>
    <col min="6696" max="6696" width="12.140625" style="89" customWidth="1"/>
    <col min="6697" max="6698" width="14.5703125" style="89" customWidth="1"/>
    <col min="6699" max="6699" width="11.140625" style="89" customWidth="1"/>
    <col min="6700" max="6700" width="10.5703125" style="89" customWidth="1"/>
    <col min="6701" max="6701" width="14.140625" style="89" customWidth="1"/>
    <col min="6702" max="6702" width="12" style="89" customWidth="1"/>
    <col min="6703" max="6703" width="15.5703125" style="89" customWidth="1"/>
    <col min="6704" max="6704" width="12.7109375" style="89" customWidth="1"/>
    <col min="6705" max="6705" width="17.140625" style="89" customWidth="1"/>
    <col min="6706" max="6706" width="10.28515625" style="89" customWidth="1"/>
    <col min="6707" max="6707" width="17.140625" style="89" customWidth="1"/>
    <col min="6708" max="6708" width="9.140625" style="89" customWidth="1"/>
    <col min="6709" max="6709" width="12.7109375" style="89" customWidth="1"/>
    <col min="6710" max="6710" width="12" style="89" customWidth="1"/>
    <col min="6711" max="6945" width="9.140625" style="89"/>
    <col min="6946" max="6946" width="26.7109375" style="89" customWidth="1"/>
    <col min="6947" max="6947" width="17.140625" style="89" customWidth="1"/>
    <col min="6948" max="6948" width="19.140625" style="89" customWidth="1"/>
    <col min="6949" max="6949" width="13.7109375" style="89" customWidth="1"/>
    <col min="6950" max="6950" width="12.7109375" style="89" customWidth="1"/>
    <col min="6951" max="6951" width="14.42578125" style="89" customWidth="1"/>
    <col min="6952" max="6952" width="12.140625" style="89" customWidth="1"/>
    <col min="6953" max="6954" width="14.5703125" style="89" customWidth="1"/>
    <col min="6955" max="6955" width="11.140625" style="89" customWidth="1"/>
    <col min="6956" max="6956" width="10.5703125" style="89" customWidth="1"/>
    <col min="6957" max="6957" width="14.140625" style="89" customWidth="1"/>
    <col min="6958" max="6958" width="12" style="89" customWidth="1"/>
    <col min="6959" max="6959" width="15.5703125" style="89" customWidth="1"/>
    <col min="6960" max="6960" width="12.7109375" style="89" customWidth="1"/>
    <col min="6961" max="6961" width="17.140625" style="89" customWidth="1"/>
    <col min="6962" max="6962" width="10.28515625" style="89" customWidth="1"/>
    <col min="6963" max="6963" width="17.140625" style="89" customWidth="1"/>
    <col min="6964" max="6964" width="9.140625" style="89" customWidth="1"/>
    <col min="6965" max="6965" width="12.7109375" style="89" customWidth="1"/>
    <col min="6966" max="6966" width="12" style="89" customWidth="1"/>
    <col min="6967" max="7201" width="9.140625" style="89"/>
    <col min="7202" max="7202" width="26.7109375" style="89" customWidth="1"/>
    <col min="7203" max="7203" width="17.140625" style="89" customWidth="1"/>
    <col min="7204" max="7204" width="19.140625" style="89" customWidth="1"/>
    <col min="7205" max="7205" width="13.7109375" style="89" customWidth="1"/>
    <col min="7206" max="7206" width="12.7109375" style="89" customWidth="1"/>
    <col min="7207" max="7207" width="14.42578125" style="89" customWidth="1"/>
    <col min="7208" max="7208" width="12.140625" style="89" customWidth="1"/>
    <col min="7209" max="7210" width="14.5703125" style="89" customWidth="1"/>
    <col min="7211" max="7211" width="11.140625" style="89" customWidth="1"/>
    <col min="7212" max="7212" width="10.5703125" style="89" customWidth="1"/>
    <col min="7213" max="7213" width="14.140625" style="89" customWidth="1"/>
    <col min="7214" max="7214" width="12" style="89" customWidth="1"/>
    <col min="7215" max="7215" width="15.5703125" style="89" customWidth="1"/>
    <col min="7216" max="7216" width="12.7109375" style="89" customWidth="1"/>
    <col min="7217" max="7217" width="17.140625" style="89" customWidth="1"/>
    <col min="7218" max="7218" width="10.28515625" style="89" customWidth="1"/>
    <col min="7219" max="7219" width="17.140625" style="89" customWidth="1"/>
    <col min="7220" max="7220" width="9.140625" style="89" customWidth="1"/>
    <col min="7221" max="7221" width="12.7109375" style="89" customWidth="1"/>
    <col min="7222" max="7222" width="12" style="89" customWidth="1"/>
    <col min="7223" max="7457" width="9.140625" style="89"/>
    <col min="7458" max="7458" width="26.7109375" style="89" customWidth="1"/>
    <col min="7459" max="7459" width="17.140625" style="89" customWidth="1"/>
    <col min="7460" max="7460" width="19.140625" style="89" customWidth="1"/>
    <col min="7461" max="7461" width="13.7109375" style="89" customWidth="1"/>
    <col min="7462" max="7462" width="12.7109375" style="89" customWidth="1"/>
    <col min="7463" max="7463" width="14.42578125" style="89" customWidth="1"/>
    <col min="7464" max="7464" width="12.140625" style="89" customWidth="1"/>
    <col min="7465" max="7466" width="14.5703125" style="89" customWidth="1"/>
    <col min="7467" max="7467" width="11.140625" style="89" customWidth="1"/>
    <col min="7468" max="7468" width="10.5703125" style="89" customWidth="1"/>
    <col min="7469" max="7469" width="14.140625" style="89" customWidth="1"/>
    <col min="7470" max="7470" width="12" style="89" customWidth="1"/>
    <col min="7471" max="7471" width="15.5703125" style="89" customWidth="1"/>
    <col min="7472" max="7472" width="12.7109375" style="89" customWidth="1"/>
    <col min="7473" max="7473" width="17.140625" style="89" customWidth="1"/>
    <col min="7474" max="7474" width="10.28515625" style="89" customWidth="1"/>
    <col min="7475" max="7475" width="17.140625" style="89" customWidth="1"/>
    <col min="7476" max="7476" width="9.140625" style="89" customWidth="1"/>
    <col min="7477" max="7477" width="12.7109375" style="89" customWidth="1"/>
    <col min="7478" max="7478" width="12" style="89" customWidth="1"/>
    <col min="7479" max="7713" width="9.140625" style="89"/>
    <col min="7714" max="7714" width="26.7109375" style="89" customWidth="1"/>
    <col min="7715" max="7715" width="17.140625" style="89" customWidth="1"/>
    <col min="7716" max="7716" width="19.140625" style="89" customWidth="1"/>
    <col min="7717" max="7717" width="13.7109375" style="89" customWidth="1"/>
    <col min="7718" max="7718" width="12.7109375" style="89" customWidth="1"/>
    <col min="7719" max="7719" width="14.42578125" style="89" customWidth="1"/>
    <col min="7720" max="7720" width="12.140625" style="89" customWidth="1"/>
    <col min="7721" max="7722" width="14.5703125" style="89" customWidth="1"/>
    <col min="7723" max="7723" width="11.140625" style="89" customWidth="1"/>
    <col min="7724" max="7724" width="10.5703125" style="89" customWidth="1"/>
    <col min="7725" max="7725" width="14.140625" style="89" customWidth="1"/>
    <col min="7726" max="7726" width="12" style="89" customWidth="1"/>
    <col min="7727" max="7727" width="15.5703125" style="89" customWidth="1"/>
    <col min="7728" max="7728" width="12.7109375" style="89" customWidth="1"/>
    <col min="7729" max="7729" width="17.140625" style="89" customWidth="1"/>
    <col min="7730" max="7730" width="10.28515625" style="89" customWidth="1"/>
    <col min="7731" max="7731" width="17.140625" style="89" customWidth="1"/>
    <col min="7732" max="7732" width="9.140625" style="89" customWidth="1"/>
    <col min="7733" max="7733" width="12.7109375" style="89" customWidth="1"/>
    <col min="7734" max="7734" width="12" style="89" customWidth="1"/>
    <col min="7735" max="7969" width="9.140625" style="89"/>
    <col min="7970" max="7970" width="26.7109375" style="89" customWidth="1"/>
    <col min="7971" max="7971" width="17.140625" style="89" customWidth="1"/>
    <col min="7972" max="7972" width="19.140625" style="89" customWidth="1"/>
    <col min="7973" max="7973" width="13.7109375" style="89" customWidth="1"/>
    <col min="7974" max="7974" width="12.7109375" style="89" customWidth="1"/>
    <col min="7975" max="7975" width="14.42578125" style="89" customWidth="1"/>
    <col min="7976" max="7976" width="12.140625" style="89" customWidth="1"/>
    <col min="7977" max="7978" width="14.5703125" style="89" customWidth="1"/>
    <col min="7979" max="7979" width="11.140625" style="89" customWidth="1"/>
    <col min="7980" max="7980" width="10.5703125" style="89" customWidth="1"/>
    <col min="7981" max="7981" width="14.140625" style="89" customWidth="1"/>
    <col min="7982" max="7982" width="12" style="89" customWidth="1"/>
    <col min="7983" max="7983" width="15.5703125" style="89" customWidth="1"/>
    <col min="7984" max="7984" width="12.7109375" style="89" customWidth="1"/>
    <col min="7985" max="7985" width="17.140625" style="89" customWidth="1"/>
    <col min="7986" max="7986" width="10.28515625" style="89" customWidth="1"/>
    <col min="7987" max="7987" width="17.140625" style="89" customWidth="1"/>
    <col min="7988" max="7988" width="9.140625" style="89" customWidth="1"/>
    <col min="7989" max="7989" width="12.7109375" style="89" customWidth="1"/>
    <col min="7990" max="7990" width="12" style="89" customWidth="1"/>
    <col min="7991" max="8225" width="9.140625" style="89"/>
    <col min="8226" max="8226" width="26.7109375" style="89" customWidth="1"/>
    <col min="8227" max="8227" width="17.140625" style="89" customWidth="1"/>
    <col min="8228" max="8228" width="19.140625" style="89" customWidth="1"/>
    <col min="8229" max="8229" width="13.7109375" style="89" customWidth="1"/>
    <col min="8230" max="8230" width="12.7109375" style="89" customWidth="1"/>
    <col min="8231" max="8231" width="14.42578125" style="89" customWidth="1"/>
    <col min="8232" max="8232" width="12.140625" style="89" customWidth="1"/>
    <col min="8233" max="8234" width="14.5703125" style="89" customWidth="1"/>
    <col min="8235" max="8235" width="11.140625" style="89" customWidth="1"/>
    <col min="8236" max="8236" width="10.5703125" style="89" customWidth="1"/>
    <col min="8237" max="8237" width="14.140625" style="89" customWidth="1"/>
    <col min="8238" max="8238" width="12" style="89" customWidth="1"/>
    <col min="8239" max="8239" width="15.5703125" style="89" customWidth="1"/>
    <col min="8240" max="8240" width="12.7109375" style="89" customWidth="1"/>
    <col min="8241" max="8241" width="17.140625" style="89" customWidth="1"/>
    <col min="8242" max="8242" width="10.28515625" style="89" customWidth="1"/>
    <col min="8243" max="8243" width="17.140625" style="89" customWidth="1"/>
    <col min="8244" max="8244" width="9.140625" style="89" customWidth="1"/>
    <col min="8245" max="8245" width="12.7109375" style="89" customWidth="1"/>
    <col min="8246" max="8246" width="12" style="89" customWidth="1"/>
    <col min="8247" max="8481" width="9.140625" style="89"/>
    <col min="8482" max="8482" width="26.7109375" style="89" customWidth="1"/>
    <col min="8483" max="8483" width="17.140625" style="89" customWidth="1"/>
    <col min="8484" max="8484" width="19.140625" style="89" customWidth="1"/>
    <col min="8485" max="8485" width="13.7109375" style="89" customWidth="1"/>
    <col min="8486" max="8486" width="12.7109375" style="89" customWidth="1"/>
    <col min="8487" max="8487" width="14.42578125" style="89" customWidth="1"/>
    <col min="8488" max="8488" width="12.140625" style="89" customWidth="1"/>
    <col min="8489" max="8490" width="14.5703125" style="89" customWidth="1"/>
    <col min="8491" max="8491" width="11.140625" style="89" customWidth="1"/>
    <col min="8492" max="8492" width="10.5703125" style="89" customWidth="1"/>
    <col min="8493" max="8493" width="14.140625" style="89" customWidth="1"/>
    <col min="8494" max="8494" width="12" style="89" customWidth="1"/>
    <col min="8495" max="8495" width="15.5703125" style="89" customWidth="1"/>
    <col min="8496" max="8496" width="12.7109375" style="89" customWidth="1"/>
    <col min="8497" max="8497" width="17.140625" style="89" customWidth="1"/>
    <col min="8498" max="8498" width="10.28515625" style="89" customWidth="1"/>
    <col min="8499" max="8499" width="17.140625" style="89" customWidth="1"/>
    <col min="8500" max="8500" width="9.140625" style="89" customWidth="1"/>
    <col min="8501" max="8501" width="12.7109375" style="89" customWidth="1"/>
    <col min="8502" max="8502" width="12" style="89" customWidth="1"/>
    <col min="8503" max="8737" width="9.140625" style="89"/>
    <col min="8738" max="8738" width="26.7109375" style="89" customWidth="1"/>
    <col min="8739" max="8739" width="17.140625" style="89" customWidth="1"/>
    <col min="8740" max="8740" width="19.140625" style="89" customWidth="1"/>
    <col min="8741" max="8741" width="13.7109375" style="89" customWidth="1"/>
    <col min="8742" max="8742" width="12.7109375" style="89" customWidth="1"/>
    <col min="8743" max="8743" width="14.42578125" style="89" customWidth="1"/>
    <col min="8744" max="8744" width="12.140625" style="89" customWidth="1"/>
    <col min="8745" max="8746" width="14.5703125" style="89" customWidth="1"/>
    <col min="8747" max="8747" width="11.140625" style="89" customWidth="1"/>
    <col min="8748" max="8748" width="10.5703125" style="89" customWidth="1"/>
    <col min="8749" max="8749" width="14.140625" style="89" customWidth="1"/>
    <col min="8750" max="8750" width="12" style="89" customWidth="1"/>
    <col min="8751" max="8751" width="15.5703125" style="89" customWidth="1"/>
    <col min="8752" max="8752" width="12.7109375" style="89" customWidth="1"/>
    <col min="8753" max="8753" width="17.140625" style="89" customWidth="1"/>
    <col min="8754" max="8754" width="10.28515625" style="89" customWidth="1"/>
    <col min="8755" max="8755" width="17.140625" style="89" customWidth="1"/>
    <col min="8756" max="8756" width="9.140625" style="89" customWidth="1"/>
    <col min="8757" max="8757" width="12.7109375" style="89" customWidth="1"/>
    <col min="8758" max="8758" width="12" style="89" customWidth="1"/>
    <col min="8759" max="8993" width="9.140625" style="89"/>
    <col min="8994" max="8994" width="26.7109375" style="89" customWidth="1"/>
    <col min="8995" max="8995" width="17.140625" style="89" customWidth="1"/>
    <col min="8996" max="8996" width="19.140625" style="89" customWidth="1"/>
    <col min="8997" max="8997" width="13.7109375" style="89" customWidth="1"/>
    <col min="8998" max="8998" width="12.7109375" style="89" customWidth="1"/>
    <col min="8999" max="8999" width="14.42578125" style="89" customWidth="1"/>
    <col min="9000" max="9000" width="12.140625" style="89" customWidth="1"/>
    <col min="9001" max="9002" width="14.5703125" style="89" customWidth="1"/>
    <col min="9003" max="9003" width="11.140625" style="89" customWidth="1"/>
    <col min="9004" max="9004" width="10.5703125" style="89" customWidth="1"/>
    <col min="9005" max="9005" width="14.140625" style="89" customWidth="1"/>
    <col min="9006" max="9006" width="12" style="89" customWidth="1"/>
    <col min="9007" max="9007" width="15.5703125" style="89" customWidth="1"/>
    <col min="9008" max="9008" width="12.7109375" style="89" customWidth="1"/>
    <col min="9009" max="9009" width="17.140625" style="89" customWidth="1"/>
    <col min="9010" max="9010" width="10.28515625" style="89" customWidth="1"/>
    <col min="9011" max="9011" width="17.140625" style="89" customWidth="1"/>
    <col min="9012" max="9012" width="9.140625" style="89" customWidth="1"/>
    <col min="9013" max="9013" width="12.7109375" style="89" customWidth="1"/>
    <col min="9014" max="9014" width="12" style="89" customWidth="1"/>
    <col min="9015" max="9249" width="9.140625" style="89"/>
    <col min="9250" max="9250" width="26.7109375" style="89" customWidth="1"/>
    <col min="9251" max="9251" width="17.140625" style="89" customWidth="1"/>
    <col min="9252" max="9252" width="19.140625" style="89" customWidth="1"/>
    <col min="9253" max="9253" width="13.7109375" style="89" customWidth="1"/>
    <col min="9254" max="9254" width="12.7109375" style="89" customWidth="1"/>
    <col min="9255" max="9255" width="14.42578125" style="89" customWidth="1"/>
    <col min="9256" max="9256" width="12.140625" style="89" customWidth="1"/>
    <col min="9257" max="9258" width="14.5703125" style="89" customWidth="1"/>
    <col min="9259" max="9259" width="11.140625" style="89" customWidth="1"/>
    <col min="9260" max="9260" width="10.5703125" style="89" customWidth="1"/>
    <col min="9261" max="9261" width="14.140625" style="89" customWidth="1"/>
    <col min="9262" max="9262" width="12" style="89" customWidth="1"/>
    <col min="9263" max="9263" width="15.5703125" style="89" customWidth="1"/>
    <col min="9264" max="9264" width="12.7109375" style="89" customWidth="1"/>
    <col min="9265" max="9265" width="17.140625" style="89" customWidth="1"/>
    <col min="9266" max="9266" width="10.28515625" style="89" customWidth="1"/>
    <col min="9267" max="9267" width="17.140625" style="89" customWidth="1"/>
    <col min="9268" max="9268" width="9.140625" style="89" customWidth="1"/>
    <col min="9269" max="9269" width="12.7109375" style="89" customWidth="1"/>
    <col min="9270" max="9270" width="12" style="89" customWidth="1"/>
    <col min="9271" max="9505" width="9.140625" style="89"/>
    <col min="9506" max="9506" width="26.7109375" style="89" customWidth="1"/>
    <col min="9507" max="9507" width="17.140625" style="89" customWidth="1"/>
    <col min="9508" max="9508" width="19.140625" style="89" customWidth="1"/>
    <col min="9509" max="9509" width="13.7109375" style="89" customWidth="1"/>
    <col min="9510" max="9510" width="12.7109375" style="89" customWidth="1"/>
    <col min="9511" max="9511" width="14.42578125" style="89" customWidth="1"/>
    <col min="9512" max="9512" width="12.140625" style="89" customWidth="1"/>
    <col min="9513" max="9514" width="14.5703125" style="89" customWidth="1"/>
    <col min="9515" max="9515" width="11.140625" style="89" customWidth="1"/>
    <col min="9516" max="9516" width="10.5703125" style="89" customWidth="1"/>
    <col min="9517" max="9517" width="14.140625" style="89" customWidth="1"/>
    <col min="9518" max="9518" width="12" style="89" customWidth="1"/>
    <col min="9519" max="9519" width="15.5703125" style="89" customWidth="1"/>
    <col min="9520" max="9520" width="12.7109375" style="89" customWidth="1"/>
    <col min="9521" max="9521" width="17.140625" style="89" customWidth="1"/>
    <col min="9522" max="9522" width="10.28515625" style="89" customWidth="1"/>
    <col min="9523" max="9523" width="17.140625" style="89" customWidth="1"/>
    <col min="9524" max="9524" width="9.140625" style="89" customWidth="1"/>
    <col min="9525" max="9525" width="12.7109375" style="89" customWidth="1"/>
    <col min="9526" max="9526" width="12" style="89" customWidth="1"/>
    <col min="9527" max="9761" width="9.140625" style="89"/>
    <col min="9762" max="9762" width="26.7109375" style="89" customWidth="1"/>
    <col min="9763" max="9763" width="17.140625" style="89" customWidth="1"/>
    <col min="9764" max="9764" width="19.140625" style="89" customWidth="1"/>
    <col min="9765" max="9765" width="13.7109375" style="89" customWidth="1"/>
    <col min="9766" max="9766" width="12.7109375" style="89" customWidth="1"/>
    <col min="9767" max="9767" width="14.42578125" style="89" customWidth="1"/>
    <col min="9768" max="9768" width="12.140625" style="89" customWidth="1"/>
    <col min="9769" max="9770" width="14.5703125" style="89" customWidth="1"/>
    <col min="9771" max="9771" width="11.140625" style="89" customWidth="1"/>
    <col min="9772" max="9772" width="10.5703125" style="89" customWidth="1"/>
    <col min="9773" max="9773" width="14.140625" style="89" customWidth="1"/>
    <col min="9774" max="9774" width="12" style="89" customWidth="1"/>
    <col min="9775" max="9775" width="15.5703125" style="89" customWidth="1"/>
    <col min="9776" max="9776" width="12.7109375" style="89" customWidth="1"/>
    <col min="9777" max="9777" width="17.140625" style="89" customWidth="1"/>
    <col min="9778" max="9778" width="10.28515625" style="89" customWidth="1"/>
    <col min="9779" max="9779" width="17.140625" style="89" customWidth="1"/>
    <col min="9780" max="9780" width="9.140625" style="89" customWidth="1"/>
    <col min="9781" max="9781" width="12.7109375" style="89" customWidth="1"/>
    <col min="9782" max="9782" width="12" style="89" customWidth="1"/>
    <col min="9783" max="10017" width="9.140625" style="89"/>
    <col min="10018" max="10018" width="26.7109375" style="89" customWidth="1"/>
    <col min="10019" max="10019" width="17.140625" style="89" customWidth="1"/>
    <col min="10020" max="10020" width="19.140625" style="89" customWidth="1"/>
    <col min="10021" max="10021" width="13.7109375" style="89" customWidth="1"/>
    <col min="10022" max="10022" width="12.7109375" style="89" customWidth="1"/>
    <col min="10023" max="10023" width="14.42578125" style="89" customWidth="1"/>
    <col min="10024" max="10024" width="12.140625" style="89" customWidth="1"/>
    <col min="10025" max="10026" width="14.5703125" style="89" customWidth="1"/>
    <col min="10027" max="10027" width="11.140625" style="89" customWidth="1"/>
    <col min="10028" max="10028" width="10.5703125" style="89" customWidth="1"/>
    <col min="10029" max="10029" width="14.140625" style="89" customWidth="1"/>
    <col min="10030" max="10030" width="12" style="89" customWidth="1"/>
    <col min="10031" max="10031" width="15.5703125" style="89" customWidth="1"/>
    <col min="10032" max="10032" width="12.7109375" style="89" customWidth="1"/>
    <col min="10033" max="10033" width="17.140625" style="89" customWidth="1"/>
    <col min="10034" max="10034" width="10.28515625" style="89" customWidth="1"/>
    <col min="10035" max="10035" width="17.140625" style="89" customWidth="1"/>
    <col min="10036" max="10036" width="9.140625" style="89" customWidth="1"/>
    <col min="10037" max="10037" width="12.7109375" style="89" customWidth="1"/>
    <col min="10038" max="10038" width="12" style="89" customWidth="1"/>
    <col min="10039" max="10273" width="9.140625" style="89"/>
    <col min="10274" max="10274" width="26.7109375" style="89" customWidth="1"/>
    <col min="10275" max="10275" width="17.140625" style="89" customWidth="1"/>
    <col min="10276" max="10276" width="19.140625" style="89" customWidth="1"/>
    <col min="10277" max="10277" width="13.7109375" style="89" customWidth="1"/>
    <col min="10278" max="10278" width="12.7109375" style="89" customWidth="1"/>
    <col min="10279" max="10279" width="14.42578125" style="89" customWidth="1"/>
    <col min="10280" max="10280" width="12.140625" style="89" customWidth="1"/>
    <col min="10281" max="10282" width="14.5703125" style="89" customWidth="1"/>
    <col min="10283" max="10283" width="11.140625" style="89" customWidth="1"/>
    <col min="10284" max="10284" width="10.5703125" style="89" customWidth="1"/>
    <col min="10285" max="10285" width="14.140625" style="89" customWidth="1"/>
    <col min="10286" max="10286" width="12" style="89" customWidth="1"/>
    <col min="10287" max="10287" width="15.5703125" style="89" customWidth="1"/>
    <col min="10288" max="10288" width="12.7109375" style="89" customWidth="1"/>
    <col min="10289" max="10289" width="17.140625" style="89" customWidth="1"/>
    <col min="10290" max="10290" width="10.28515625" style="89" customWidth="1"/>
    <col min="10291" max="10291" width="17.140625" style="89" customWidth="1"/>
    <col min="10292" max="10292" width="9.140625" style="89" customWidth="1"/>
    <col min="10293" max="10293" width="12.7109375" style="89" customWidth="1"/>
    <col min="10294" max="10294" width="12" style="89" customWidth="1"/>
    <col min="10295" max="10529" width="9.140625" style="89"/>
    <col min="10530" max="10530" width="26.7109375" style="89" customWidth="1"/>
    <col min="10531" max="10531" width="17.140625" style="89" customWidth="1"/>
    <col min="10532" max="10532" width="19.140625" style="89" customWidth="1"/>
    <col min="10533" max="10533" width="13.7109375" style="89" customWidth="1"/>
    <col min="10534" max="10534" width="12.7109375" style="89" customWidth="1"/>
    <col min="10535" max="10535" width="14.42578125" style="89" customWidth="1"/>
    <col min="10536" max="10536" width="12.140625" style="89" customWidth="1"/>
    <col min="10537" max="10538" width="14.5703125" style="89" customWidth="1"/>
    <col min="10539" max="10539" width="11.140625" style="89" customWidth="1"/>
    <col min="10540" max="10540" width="10.5703125" style="89" customWidth="1"/>
    <col min="10541" max="10541" width="14.140625" style="89" customWidth="1"/>
    <col min="10542" max="10542" width="12" style="89" customWidth="1"/>
    <col min="10543" max="10543" width="15.5703125" style="89" customWidth="1"/>
    <col min="10544" max="10544" width="12.7109375" style="89" customWidth="1"/>
    <col min="10545" max="10545" width="17.140625" style="89" customWidth="1"/>
    <col min="10546" max="10546" width="10.28515625" style="89" customWidth="1"/>
    <col min="10547" max="10547" width="17.140625" style="89" customWidth="1"/>
    <col min="10548" max="10548" width="9.140625" style="89" customWidth="1"/>
    <col min="10549" max="10549" width="12.7109375" style="89" customWidth="1"/>
    <col min="10550" max="10550" width="12" style="89" customWidth="1"/>
    <col min="10551" max="10785" width="9.140625" style="89"/>
    <col min="10786" max="10786" width="26.7109375" style="89" customWidth="1"/>
    <col min="10787" max="10787" width="17.140625" style="89" customWidth="1"/>
    <col min="10788" max="10788" width="19.140625" style="89" customWidth="1"/>
    <col min="10789" max="10789" width="13.7109375" style="89" customWidth="1"/>
    <col min="10790" max="10790" width="12.7109375" style="89" customWidth="1"/>
    <col min="10791" max="10791" width="14.42578125" style="89" customWidth="1"/>
    <col min="10792" max="10792" width="12.140625" style="89" customWidth="1"/>
    <col min="10793" max="10794" width="14.5703125" style="89" customWidth="1"/>
    <col min="10795" max="10795" width="11.140625" style="89" customWidth="1"/>
    <col min="10796" max="10796" width="10.5703125" style="89" customWidth="1"/>
    <col min="10797" max="10797" width="14.140625" style="89" customWidth="1"/>
    <col min="10798" max="10798" width="12" style="89" customWidth="1"/>
    <col min="10799" max="10799" width="15.5703125" style="89" customWidth="1"/>
    <col min="10800" max="10800" width="12.7109375" style="89" customWidth="1"/>
    <col min="10801" max="10801" width="17.140625" style="89" customWidth="1"/>
    <col min="10802" max="10802" width="10.28515625" style="89" customWidth="1"/>
    <col min="10803" max="10803" width="17.140625" style="89" customWidth="1"/>
    <col min="10804" max="10804" width="9.140625" style="89" customWidth="1"/>
    <col min="10805" max="10805" width="12.7109375" style="89" customWidth="1"/>
    <col min="10806" max="10806" width="12" style="89" customWidth="1"/>
    <col min="10807" max="11041" width="9.140625" style="89"/>
    <col min="11042" max="11042" width="26.7109375" style="89" customWidth="1"/>
    <col min="11043" max="11043" width="17.140625" style="89" customWidth="1"/>
    <col min="11044" max="11044" width="19.140625" style="89" customWidth="1"/>
    <col min="11045" max="11045" width="13.7109375" style="89" customWidth="1"/>
    <col min="11046" max="11046" width="12.7109375" style="89" customWidth="1"/>
    <col min="11047" max="11047" width="14.42578125" style="89" customWidth="1"/>
    <col min="11048" max="11048" width="12.140625" style="89" customWidth="1"/>
    <col min="11049" max="11050" width="14.5703125" style="89" customWidth="1"/>
    <col min="11051" max="11051" width="11.140625" style="89" customWidth="1"/>
    <col min="11052" max="11052" width="10.5703125" style="89" customWidth="1"/>
    <col min="11053" max="11053" width="14.140625" style="89" customWidth="1"/>
    <col min="11054" max="11054" width="12" style="89" customWidth="1"/>
    <col min="11055" max="11055" width="15.5703125" style="89" customWidth="1"/>
    <col min="11056" max="11056" width="12.7109375" style="89" customWidth="1"/>
    <col min="11057" max="11057" width="17.140625" style="89" customWidth="1"/>
    <col min="11058" max="11058" width="10.28515625" style="89" customWidth="1"/>
    <col min="11059" max="11059" width="17.140625" style="89" customWidth="1"/>
    <col min="11060" max="11060" width="9.140625" style="89" customWidth="1"/>
    <col min="11061" max="11061" width="12.7109375" style="89" customWidth="1"/>
    <col min="11062" max="11062" width="12" style="89" customWidth="1"/>
    <col min="11063" max="11297" width="9.140625" style="89"/>
    <col min="11298" max="11298" width="26.7109375" style="89" customWidth="1"/>
    <col min="11299" max="11299" width="17.140625" style="89" customWidth="1"/>
    <col min="11300" max="11300" width="19.140625" style="89" customWidth="1"/>
    <col min="11301" max="11301" width="13.7109375" style="89" customWidth="1"/>
    <col min="11302" max="11302" width="12.7109375" style="89" customWidth="1"/>
    <col min="11303" max="11303" width="14.42578125" style="89" customWidth="1"/>
    <col min="11304" max="11304" width="12.140625" style="89" customWidth="1"/>
    <col min="11305" max="11306" width="14.5703125" style="89" customWidth="1"/>
    <col min="11307" max="11307" width="11.140625" style="89" customWidth="1"/>
    <col min="11308" max="11308" width="10.5703125" style="89" customWidth="1"/>
    <col min="11309" max="11309" width="14.140625" style="89" customWidth="1"/>
    <col min="11310" max="11310" width="12" style="89" customWidth="1"/>
    <col min="11311" max="11311" width="15.5703125" style="89" customWidth="1"/>
    <col min="11312" max="11312" width="12.7109375" style="89" customWidth="1"/>
    <col min="11313" max="11313" width="17.140625" style="89" customWidth="1"/>
    <col min="11314" max="11314" width="10.28515625" style="89" customWidth="1"/>
    <col min="11315" max="11315" width="17.140625" style="89" customWidth="1"/>
    <col min="11316" max="11316" width="9.140625" style="89" customWidth="1"/>
    <col min="11317" max="11317" width="12.7109375" style="89" customWidth="1"/>
    <col min="11318" max="11318" width="12" style="89" customWidth="1"/>
    <col min="11319" max="11553" width="9.140625" style="89"/>
    <col min="11554" max="11554" width="26.7109375" style="89" customWidth="1"/>
    <col min="11555" max="11555" width="17.140625" style="89" customWidth="1"/>
    <col min="11556" max="11556" width="19.140625" style="89" customWidth="1"/>
    <col min="11557" max="11557" width="13.7109375" style="89" customWidth="1"/>
    <col min="11558" max="11558" width="12.7109375" style="89" customWidth="1"/>
    <col min="11559" max="11559" width="14.42578125" style="89" customWidth="1"/>
    <col min="11560" max="11560" width="12.140625" style="89" customWidth="1"/>
    <col min="11561" max="11562" width="14.5703125" style="89" customWidth="1"/>
    <col min="11563" max="11563" width="11.140625" style="89" customWidth="1"/>
    <col min="11564" max="11564" width="10.5703125" style="89" customWidth="1"/>
    <col min="11565" max="11565" width="14.140625" style="89" customWidth="1"/>
    <col min="11566" max="11566" width="12" style="89" customWidth="1"/>
    <col min="11567" max="11567" width="15.5703125" style="89" customWidth="1"/>
    <col min="11568" max="11568" width="12.7109375" style="89" customWidth="1"/>
    <col min="11569" max="11569" width="17.140625" style="89" customWidth="1"/>
    <col min="11570" max="11570" width="10.28515625" style="89" customWidth="1"/>
    <col min="11571" max="11571" width="17.140625" style="89" customWidth="1"/>
    <col min="11572" max="11572" width="9.140625" style="89" customWidth="1"/>
    <col min="11573" max="11573" width="12.7109375" style="89" customWidth="1"/>
    <col min="11574" max="11574" width="12" style="89" customWidth="1"/>
    <col min="11575" max="11809" width="9.140625" style="89"/>
    <col min="11810" max="11810" width="26.7109375" style="89" customWidth="1"/>
    <col min="11811" max="11811" width="17.140625" style="89" customWidth="1"/>
    <col min="11812" max="11812" width="19.140625" style="89" customWidth="1"/>
    <col min="11813" max="11813" width="13.7109375" style="89" customWidth="1"/>
    <col min="11814" max="11814" width="12.7109375" style="89" customWidth="1"/>
    <col min="11815" max="11815" width="14.42578125" style="89" customWidth="1"/>
    <col min="11816" max="11816" width="12.140625" style="89" customWidth="1"/>
    <col min="11817" max="11818" width="14.5703125" style="89" customWidth="1"/>
    <col min="11819" max="11819" width="11.140625" style="89" customWidth="1"/>
    <col min="11820" max="11820" width="10.5703125" style="89" customWidth="1"/>
    <col min="11821" max="11821" width="14.140625" style="89" customWidth="1"/>
    <col min="11822" max="11822" width="12" style="89" customWidth="1"/>
    <col min="11823" max="11823" width="15.5703125" style="89" customWidth="1"/>
    <col min="11824" max="11824" width="12.7109375" style="89" customWidth="1"/>
    <col min="11825" max="11825" width="17.140625" style="89" customWidth="1"/>
    <col min="11826" max="11826" width="10.28515625" style="89" customWidth="1"/>
    <col min="11827" max="11827" width="17.140625" style="89" customWidth="1"/>
    <col min="11828" max="11828" width="9.140625" style="89" customWidth="1"/>
    <col min="11829" max="11829" width="12.7109375" style="89" customWidth="1"/>
    <col min="11830" max="11830" width="12" style="89" customWidth="1"/>
    <col min="11831" max="12065" width="9.140625" style="89"/>
    <col min="12066" max="12066" width="26.7109375" style="89" customWidth="1"/>
    <col min="12067" max="12067" width="17.140625" style="89" customWidth="1"/>
    <col min="12068" max="12068" width="19.140625" style="89" customWidth="1"/>
    <col min="12069" max="12069" width="13.7109375" style="89" customWidth="1"/>
    <col min="12070" max="12070" width="12.7109375" style="89" customWidth="1"/>
    <col min="12071" max="12071" width="14.42578125" style="89" customWidth="1"/>
    <col min="12072" max="12072" width="12.140625" style="89" customWidth="1"/>
    <col min="12073" max="12074" width="14.5703125" style="89" customWidth="1"/>
    <col min="12075" max="12075" width="11.140625" style="89" customWidth="1"/>
    <col min="12076" max="12076" width="10.5703125" style="89" customWidth="1"/>
    <col min="12077" max="12077" width="14.140625" style="89" customWidth="1"/>
    <col min="12078" max="12078" width="12" style="89" customWidth="1"/>
    <col min="12079" max="12079" width="15.5703125" style="89" customWidth="1"/>
    <col min="12080" max="12080" width="12.7109375" style="89" customWidth="1"/>
    <col min="12081" max="12081" width="17.140625" style="89" customWidth="1"/>
    <col min="12082" max="12082" width="10.28515625" style="89" customWidth="1"/>
    <col min="12083" max="12083" width="17.140625" style="89" customWidth="1"/>
    <col min="12084" max="12084" width="9.140625" style="89" customWidth="1"/>
    <col min="12085" max="12085" width="12.7109375" style="89" customWidth="1"/>
    <col min="12086" max="12086" width="12" style="89" customWidth="1"/>
    <col min="12087" max="12321" width="9.140625" style="89"/>
    <col min="12322" max="12322" width="26.7109375" style="89" customWidth="1"/>
    <col min="12323" max="12323" width="17.140625" style="89" customWidth="1"/>
    <col min="12324" max="12324" width="19.140625" style="89" customWidth="1"/>
    <col min="12325" max="12325" width="13.7109375" style="89" customWidth="1"/>
    <col min="12326" max="12326" width="12.7109375" style="89" customWidth="1"/>
    <col min="12327" max="12327" width="14.42578125" style="89" customWidth="1"/>
    <col min="12328" max="12328" width="12.140625" style="89" customWidth="1"/>
    <col min="12329" max="12330" width="14.5703125" style="89" customWidth="1"/>
    <col min="12331" max="12331" width="11.140625" style="89" customWidth="1"/>
    <col min="12332" max="12332" width="10.5703125" style="89" customWidth="1"/>
    <col min="12333" max="12333" width="14.140625" style="89" customWidth="1"/>
    <col min="12334" max="12334" width="12" style="89" customWidth="1"/>
    <col min="12335" max="12335" width="15.5703125" style="89" customWidth="1"/>
    <col min="12336" max="12336" width="12.7109375" style="89" customWidth="1"/>
    <col min="12337" max="12337" width="17.140625" style="89" customWidth="1"/>
    <col min="12338" max="12338" width="10.28515625" style="89" customWidth="1"/>
    <col min="12339" max="12339" width="17.140625" style="89" customWidth="1"/>
    <col min="12340" max="12340" width="9.140625" style="89" customWidth="1"/>
    <col min="12341" max="12341" width="12.7109375" style="89" customWidth="1"/>
    <col min="12342" max="12342" width="12" style="89" customWidth="1"/>
    <col min="12343" max="12577" width="9.140625" style="89"/>
    <col min="12578" max="12578" width="26.7109375" style="89" customWidth="1"/>
    <col min="12579" max="12579" width="17.140625" style="89" customWidth="1"/>
    <col min="12580" max="12580" width="19.140625" style="89" customWidth="1"/>
    <col min="12581" max="12581" width="13.7109375" style="89" customWidth="1"/>
    <col min="12582" max="12582" width="12.7109375" style="89" customWidth="1"/>
    <col min="12583" max="12583" width="14.42578125" style="89" customWidth="1"/>
    <col min="12584" max="12584" width="12.140625" style="89" customWidth="1"/>
    <col min="12585" max="12586" width="14.5703125" style="89" customWidth="1"/>
    <col min="12587" max="12587" width="11.140625" style="89" customWidth="1"/>
    <col min="12588" max="12588" width="10.5703125" style="89" customWidth="1"/>
    <col min="12589" max="12589" width="14.140625" style="89" customWidth="1"/>
    <col min="12590" max="12590" width="12" style="89" customWidth="1"/>
    <col min="12591" max="12591" width="15.5703125" style="89" customWidth="1"/>
    <col min="12592" max="12592" width="12.7109375" style="89" customWidth="1"/>
    <col min="12593" max="12593" width="17.140625" style="89" customWidth="1"/>
    <col min="12594" max="12594" width="10.28515625" style="89" customWidth="1"/>
    <col min="12595" max="12595" width="17.140625" style="89" customWidth="1"/>
    <col min="12596" max="12596" width="9.140625" style="89" customWidth="1"/>
    <col min="12597" max="12597" width="12.7109375" style="89" customWidth="1"/>
    <col min="12598" max="12598" width="12" style="89" customWidth="1"/>
    <col min="12599" max="12833" width="9.140625" style="89"/>
    <col min="12834" max="12834" width="26.7109375" style="89" customWidth="1"/>
    <col min="12835" max="12835" width="17.140625" style="89" customWidth="1"/>
    <col min="12836" max="12836" width="19.140625" style="89" customWidth="1"/>
    <col min="12837" max="12837" width="13.7109375" style="89" customWidth="1"/>
    <col min="12838" max="12838" width="12.7109375" style="89" customWidth="1"/>
    <col min="12839" max="12839" width="14.42578125" style="89" customWidth="1"/>
    <col min="12840" max="12840" width="12.140625" style="89" customWidth="1"/>
    <col min="12841" max="12842" width="14.5703125" style="89" customWidth="1"/>
    <col min="12843" max="12843" width="11.140625" style="89" customWidth="1"/>
    <col min="12844" max="12844" width="10.5703125" style="89" customWidth="1"/>
    <col min="12845" max="12845" width="14.140625" style="89" customWidth="1"/>
    <col min="12846" max="12846" width="12" style="89" customWidth="1"/>
    <col min="12847" max="12847" width="15.5703125" style="89" customWidth="1"/>
    <col min="12848" max="12848" width="12.7109375" style="89" customWidth="1"/>
    <col min="12849" max="12849" width="17.140625" style="89" customWidth="1"/>
    <col min="12850" max="12850" width="10.28515625" style="89" customWidth="1"/>
    <col min="12851" max="12851" width="17.140625" style="89" customWidth="1"/>
    <col min="12852" max="12852" width="9.140625" style="89" customWidth="1"/>
    <col min="12853" max="12853" width="12.7109375" style="89" customWidth="1"/>
    <col min="12854" max="12854" width="12" style="89" customWidth="1"/>
    <col min="12855" max="13089" width="9.140625" style="89"/>
    <col min="13090" max="13090" width="26.7109375" style="89" customWidth="1"/>
    <col min="13091" max="13091" width="17.140625" style="89" customWidth="1"/>
    <col min="13092" max="13092" width="19.140625" style="89" customWidth="1"/>
    <col min="13093" max="13093" width="13.7109375" style="89" customWidth="1"/>
    <col min="13094" max="13094" width="12.7109375" style="89" customWidth="1"/>
    <col min="13095" max="13095" width="14.42578125" style="89" customWidth="1"/>
    <col min="13096" max="13096" width="12.140625" style="89" customWidth="1"/>
    <col min="13097" max="13098" width="14.5703125" style="89" customWidth="1"/>
    <col min="13099" max="13099" width="11.140625" style="89" customWidth="1"/>
    <col min="13100" max="13100" width="10.5703125" style="89" customWidth="1"/>
    <col min="13101" max="13101" width="14.140625" style="89" customWidth="1"/>
    <col min="13102" max="13102" width="12" style="89" customWidth="1"/>
    <col min="13103" max="13103" width="15.5703125" style="89" customWidth="1"/>
    <col min="13104" max="13104" width="12.7109375" style="89" customWidth="1"/>
    <col min="13105" max="13105" width="17.140625" style="89" customWidth="1"/>
    <col min="13106" max="13106" width="10.28515625" style="89" customWidth="1"/>
    <col min="13107" max="13107" width="17.140625" style="89" customWidth="1"/>
    <col min="13108" max="13108" width="9.140625" style="89" customWidth="1"/>
    <col min="13109" max="13109" width="12.7109375" style="89" customWidth="1"/>
    <col min="13110" max="13110" width="12" style="89" customWidth="1"/>
    <col min="13111" max="13345" width="9.140625" style="89"/>
    <col min="13346" max="13346" width="26.7109375" style="89" customWidth="1"/>
    <col min="13347" max="13347" width="17.140625" style="89" customWidth="1"/>
    <col min="13348" max="13348" width="19.140625" style="89" customWidth="1"/>
    <col min="13349" max="13349" width="13.7109375" style="89" customWidth="1"/>
    <col min="13350" max="13350" width="12.7109375" style="89" customWidth="1"/>
    <col min="13351" max="13351" width="14.42578125" style="89" customWidth="1"/>
    <col min="13352" max="13352" width="12.140625" style="89" customWidth="1"/>
    <col min="13353" max="13354" width="14.5703125" style="89" customWidth="1"/>
    <col min="13355" max="13355" width="11.140625" style="89" customWidth="1"/>
    <col min="13356" max="13356" width="10.5703125" style="89" customWidth="1"/>
    <col min="13357" max="13357" width="14.140625" style="89" customWidth="1"/>
    <col min="13358" max="13358" width="12" style="89" customWidth="1"/>
    <col min="13359" max="13359" width="15.5703125" style="89" customWidth="1"/>
    <col min="13360" max="13360" width="12.7109375" style="89" customWidth="1"/>
    <col min="13361" max="13361" width="17.140625" style="89" customWidth="1"/>
    <col min="13362" max="13362" width="10.28515625" style="89" customWidth="1"/>
    <col min="13363" max="13363" width="17.140625" style="89" customWidth="1"/>
    <col min="13364" max="13364" width="9.140625" style="89" customWidth="1"/>
    <col min="13365" max="13365" width="12.7109375" style="89" customWidth="1"/>
    <col min="13366" max="13366" width="12" style="89" customWidth="1"/>
    <col min="13367" max="13601" width="9.140625" style="89"/>
    <col min="13602" max="13602" width="26.7109375" style="89" customWidth="1"/>
    <col min="13603" max="13603" width="17.140625" style="89" customWidth="1"/>
    <col min="13604" max="13604" width="19.140625" style="89" customWidth="1"/>
    <col min="13605" max="13605" width="13.7109375" style="89" customWidth="1"/>
    <col min="13606" max="13606" width="12.7109375" style="89" customWidth="1"/>
    <col min="13607" max="13607" width="14.42578125" style="89" customWidth="1"/>
    <col min="13608" max="13608" width="12.140625" style="89" customWidth="1"/>
    <col min="13609" max="13610" width="14.5703125" style="89" customWidth="1"/>
    <col min="13611" max="13611" width="11.140625" style="89" customWidth="1"/>
    <col min="13612" max="13612" width="10.5703125" style="89" customWidth="1"/>
    <col min="13613" max="13613" width="14.140625" style="89" customWidth="1"/>
    <col min="13614" max="13614" width="12" style="89" customWidth="1"/>
    <col min="13615" max="13615" width="15.5703125" style="89" customWidth="1"/>
    <col min="13616" max="13616" width="12.7109375" style="89" customWidth="1"/>
    <col min="13617" max="13617" width="17.140625" style="89" customWidth="1"/>
    <col min="13618" max="13618" width="10.28515625" style="89" customWidth="1"/>
    <col min="13619" max="13619" width="17.140625" style="89" customWidth="1"/>
    <col min="13620" max="13620" width="9.140625" style="89" customWidth="1"/>
    <col min="13621" max="13621" width="12.7109375" style="89" customWidth="1"/>
    <col min="13622" max="13622" width="12" style="89" customWidth="1"/>
    <col min="13623" max="13857" width="9.140625" style="89"/>
    <col min="13858" max="13858" width="26.7109375" style="89" customWidth="1"/>
    <col min="13859" max="13859" width="17.140625" style="89" customWidth="1"/>
    <col min="13860" max="13860" width="19.140625" style="89" customWidth="1"/>
    <col min="13861" max="13861" width="13.7109375" style="89" customWidth="1"/>
    <col min="13862" max="13862" width="12.7109375" style="89" customWidth="1"/>
    <col min="13863" max="13863" width="14.42578125" style="89" customWidth="1"/>
    <col min="13864" max="13864" width="12.140625" style="89" customWidth="1"/>
    <col min="13865" max="13866" width="14.5703125" style="89" customWidth="1"/>
    <col min="13867" max="13867" width="11.140625" style="89" customWidth="1"/>
    <col min="13868" max="13868" width="10.5703125" style="89" customWidth="1"/>
    <col min="13869" max="13869" width="14.140625" style="89" customWidth="1"/>
    <col min="13870" max="13870" width="12" style="89" customWidth="1"/>
    <col min="13871" max="13871" width="15.5703125" style="89" customWidth="1"/>
    <col min="13872" max="13872" width="12.7109375" style="89" customWidth="1"/>
    <col min="13873" max="13873" width="17.140625" style="89" customWidth="1"/>
    <col min="13874" max="13874" width="10.28515625" style="89" customWidth="1"/>
    <col min="13875" max="13875" width="17.140625" style="89" customWidth="1"/>
    <col min="13876" max="13876" width="9.140625" style="89" customWidth="1"/>
    <col min="13877" max="13877" width="12.7109375" style="89" customWidth="1"/>
    <col min="13878" max="13878" width="12" style="89" customWidth="1"/>
    <col min="13879" max="14113" width="9.140625" style="89"/>
    <col min="14114" max="14114" width="26.7109375" style="89" customWidth="1"/>
    <col min="14115" max="14115" width="17.140625" style="89" customWidth="1"/>
    <col min="14116" max="14116" width="19.140625" style="89" customWidth="1"/>
    <col min="14117" max="14117" width="13.7109375" style="89" customWidth="1"/>
    <col min="14118" max="14118" width="12.7109375" style="89" customWidth="1"/>
    <col min="14119" max="14119" width="14.42578125" style="89" customWidth="1"/>
    <col min="14120" max="14120" width="12.140625" style="89" customWidth="1"/>
    <col min="14121" max="14122" width="14.5703125" style="89" customWidth="1"/>
    <col min="14123" max="14123" width="11.140625" style="89" customWidth="1"/>
    <col min="14124" max="14124" width="10.5703125" style="89" customWidth="1"/>
    <col min="14125" max="14125" width="14.140625" style="89" customWidth="1"/>
    <col min="14126" max="14126" width="12" style="89" customWidth="1"/>
    <col min="14127" max="14127" width="15.5703125" style="89" customWidth="1"/>
    <col min="14128" max="14128" width="12.7109375" style="89" customWidth="1"/>
    <col min="14129" max="14129" width="17.140625" style="89" customWidth="1"/>
    <col min="14130" max="14130" width="10.28515625" style="89" customWidth="1"/>
    <col min="14131" max="14131" width="17.140625" style="89" customWidth="1"/>
    <col min="14132" max="14132" width="9.140625" style="89" customWidth="1"/>
    <col min="14133" max="14133" width="12.7109375" style="89" customWidth="1"/>
    <col min="14134" max="14134" width="12" style="89" customWidth="1"/>
    <col min="14135" max="14369" width="9.140625" style="89"/>
    <col min="14370" max="14370" width="26.7109375" style="89" customWidth="1"/>
    <col min="14371" max="14371" width="17.140625" style="89" customWidth="1"/>
    <col min="14372" max="14372" width="19.140625" style="89" customWidth="1"/>
    <col min="14373" max="14373" width="13.7109375" style="89" customWidth="1"/>
    <col min="14374" max="14374" width="12.7109375" style="89" customWidth="1"/>
    <col min="14375" max="14375" width="14.42578125" style="89" customWidth="1"/>
    <col min="14376" max="14376" width="12.140625" style="89" customWidth="1"/>
    <col min="14377" max="14378" width="14.5703125" style="89" customWidth="1"/>
    <col min="14379" max="14379" width="11.140625" style="89" customWidth="1"/>
    <col min="14380" max="14380" width="10.5703125" style="89" customWidth="1"/>
    <col min="14381" max="14381" width="14.140625" style="89" customWidth="1"/>
    <col min="14382" max="14382" width="12" style="89" customWidth="1"/>
    <col min="14383" max="14383" width="15.5703125" style="89" customWidth="1"/>
    <col min="14384" max="14384" width="12.7109375" style="89" customWidth="1"/>
    <col min="14385" max="14385" width="17.140625" style="89" customWidth="1"/>
    <col min="14386" max="14386" width="10.28515625" style="89" customWidth="1"/>
    <col min="14387" max="14387" width="17.140625" style="89" customWidth="1"/>
    <col min="14388" max="14388" width="9.140625" style="89" customWidth="1"/>
    <col min="14389" max="14389" width="12.7109375" style="89" customWidth="1"/>
    <col min="14390" max="14390" width="12" style="89" customWidth="1"/>
    <col min="14391" max="14625" width="9.140625" style="89"/>
    <col min="14626" max="14626" width="26.7109375" style="89" customWidth="1"/>
    <col min="14627" max="14627" width="17.140625" style="89" customWidth="1"/>
    <col min="14628" max="14628" width="19.140625" style="89" customWidth="1"/>
    <col min="14629" max="14629" width="13.7109375" style="89" customWidth="1"/>
    <col min="14630" max="14630" width="12.7109375" style="89" customWidth="1"/>
    <col min="14631" max="14631" width="14.42578125" style="89" customWidth="1"/>
    <col min="14632" max="14632" width="12.140625" style="89" customWidth="1"/>
    <col min="14633" max="14634" width="14.5703125" style="89" customWidth="1"/>
    <col min="14635" max="14635" width="11.140625" style="89" customWidth="1"/>
    <col min="14636" max="14636" width="10.5703125" style="89" customWidth="1"/>
    <col min="14637" max="14637" width="14.140625" style="89" customWidth="1"/>
    <col min="14638" max="14638" width="12" style="89" customWidth="1"/>
    <col min="14639" max="14639" width="15.5703125" style="89" customWidth="1"/>
    <col min="14640" max="14640" width="12.7109375" style="89" customWidth="1"/>
    <col min="14641" max="14641" width="17.140625" style="89" customWidth="1"/>
    <col min="14642" max="14642" width="10.28515625" style="89" customWidth="1"/>
    <col min="14643" max="14643" width="17.140625" style="89" customWidth="1"/>
    <col min="14644" max="14644" width="9.140625" style="89" customWidth="1"/>
    <col min="14645" max="14645" width="12.7109375" style="89" customWidth="1"/>
    <col min="14646" max="14646" width="12" style="89" customWidth="1"/>
    <col min="14647" max="14881" width="9.140625" style="89"/>
    <col min="14882" max="14882" width="26.7109375" style="89" customWidth="1"/>
    <col min="14883" max="14883" width="17.140625" style="89" customWidth="1"/>
    <col min="14884" max="14884" width="19.140625" style="89" customWidth="1"/>
    <col min="14885" max="14885" width="13.7109375" style="89" customWidth="1"/>
    <col min="14886" max="14886" width="12.7109375" style="89" customWidth="1"/>
    <col min="14887" max="14887" width="14.42578125" style="89" customWidth="1"/>
    <col min="14888" max="14888" width="12.140625" style="89" customWidth="1"/>
    <col min="14889" max="14890" width="14.5703125" style="89" customWidth="1"/>
    <col min="14891" max="14891" width="11.140625" style="89" customWidth="1"/>
    <col min="14892" max="14892" width="10.5703125" style="89" customWidth="1"/>
    <col min="14893" max="14893" width="14.140625" style="89" customWidth="1"/>
    <col min="14894" max="14894" width="12" style="89" customWidth="1"/>
    <col min="14895" max="14895" width="15.5703125" style="89" customWidth="1"/>
    <col min="14896" max="14896" width="12.7109375" style="89" customWidth="1"/>
    <col min="14897" max="14897" width="17.140625" style="89" customWidth="1"/>
    <col min="14898" max="14898" width="10.28515625" style="89" customWidth="1"/>
    <col min="14899" max="14899" width="17.140625" style="89" customWidth="1"/>
    <col min="14900" max="14900" width="9.140625" style="89" customWidth="1"/>
    <col min="14901" max="14901" width="12.7109375" style="89" customWidth="1"/>
    <col min="14902" max="14902" width="12" style="89" customWidth="1"/>
    <col min="14903" max="15137" width="9.140625" style="89"/>
    <col min="15138" max="15138" width="26.7109375" style="89" customWidth="1"/>
    <col min="15139" max="15139" width="17.140625" style="89" customWidth="1"/>
    <col min="15140" max="15140" width="19.140625" style="89" customWidth="1"/>
    <col min="15141" max="15141" width="13.7109375" style="89" customWidth="1"/>
    <col min="15142" max="15142" width="12.7109375" style="89" customWidth="1"/>
    <col min="15143" max="15143" width="14.42578125" style="89" customWidth="1"/>
    <col min="15144" max="15144" width="12.140625" style="89" customWidth="1"/>
    <col min="15145" max="15146" width="14.5703125" style="89" customWidth="1"/>
    <col min="15147" max="15147" width="11.140625" style="89" customWidth="1"/>
    <col min="15148" max="15148" width="10.5703125" style="89" customWidth="1"/>
    <col min="15149" max="15149" width="14.140625" style="89" customWidth="1"/>
    <col min="15150" max="15150" width="12" style="89" customWidth="1"/>
    <col min="15151" max="15151" width="15.5703125" style="89" customWidth="1"/>
    <col min="15152" max="15152" width="12.7109375" style="89" customWidth="1"/>
    <col min="15153" max="15153" width="17.140625" style="89" customWidth="1"/>
    <col min="15154" max="15154" width="10.28515625" style="89" customWidth="1"/>
    <col min="15155" max="15155" width="17.140625" style="89" customWidth="1"/>
    <col min="15156" max="15156" width="9.140625" style="89" customWidth="1"/>
    <col min="15157" max="15157" width="12.7109375" style="89" customWidth="1"/>
    <col min="15158" max="15158" width="12" style="89" customWidth="1"/>
    <col min="15159" max="15393" width="9.140625" style="89"/>
    <col min="15394" max="15394" width="26.7109375" style="89" customWidth="1"/>
    <col min="15395" max="15395" width="17.140625" style="89" customWidth="1"/>
    <col min="15396" max="15396" width="19.140625" style="89" customWidth="1"/>
    <col min="15397" max="15397" width="13.7109375" style="89" customWidth="1"/>
    <col min="15398" max="15398" width="12.7109375" style="89" customWidth="1"/>
    <col min="15399" max="15399" width="14.42578125" style="89" customWidth="1"/>
    <col min="15400" max="15400" width="12.140625" style="89" customWidth="1"/>
    <col min="15401" max="15402" width="14.5703125" style="89" customWidth="1"/>
    <col min="15403" max="15403" width="11.140625" style="89" customWidth="1"/>
    <col min="15404" max="15404" width="10.5703125" style="89" customWidth="1"/>
    <col min="15405" max="15405" width="14.140625" style="89" customWidth="1"/>
    <col min="15406" max="15406" width="12" style="89" customWidth="1"/>
    <col min="15407" max="15407" width="15.5703125" style="89" customWidth="1"/>
    <col min="15408" max="15408" width="12.7109375" style="89" customWidth="1"/>
    <col min="15409" max="15409" width="17.140625" style="89" customWidth="1"/>
    <col min="15410" max="15410" width="10.28515625" style="89" customWidth="1"/>
    <col min="15411" max="15411" width="17.140625" style="89" customWidth="1"/>
    <col min="15412" max="15412" width="9.140625" style="89" customWidth="1"/>
    <col min="15413" max="15413" width="12.7109375" style="89" customWidth="1"/>
    <col min="15414" max="15414" width="12" style="89" customWidth="1"/>
    <col min="15415" max="15649" width="9.140625" style="89"/>
    <col min="15650" max="15650" width="26.7109375" style="89" customWidth="1"/>
    <col min="15651" max="15651" width="17.140625" style="89" customWidth="1"/>
    <col min="15652" max="15652" width="19.140625" style="89" customWidth="1"/>
    <col min="15653" max="15653" width="13.7109375" style="89" customWidth="1"/>
    <col min="15654" max="15654" width="12.7109375" style="89" customWidth="1"/>
    <col min="15655" max="15655" width="14.42578125" style="89" customWidth="1"/>
    <col min="15656" max="15656" width="12.140625" style="89" customWidth="1"/>
    <col min="15657" max="15658" width="14.5703125" style="89" customWidth="1"/>
    <col min="15659" max="15659" width="11.140625" style="89" customWidth="1"/>
    <col min="15660" max="15660" width="10.5703125" style="89" customWidth="1"/>
    <col min="15661" max="15661" width="14.140625" style="89" customWidth="1"/>
    <col min="15662" max="15662" width="12" style="89" customWidth="1"/>
    <col min="15663" max="15663" width="15.5703125" style="89" customWidth="1"/>
    <col min="15664" max="15664" width="12.7109375" style="89" customWidth="1"/>
    <col min="15665" max="15665" width="17.140625" style="89" customWidth="1"/>
    <col min="15666" max="15666" width="10.28515625" style="89" customWidth="1"/>
    <col min="15667" max="15667" width="17.140625" style="89" customWidth="1"/>
    <col min="15668" max="15668" width="9.140625" style="89" customWidth="1"/>
    <col min="15669" max="15669" width="12.7109375" style="89" customWidth="1"/>
    <col min="15670" max="15670" width="12" style="89" customWidth="1"/>
    <col min="15671" max="15905" width="9.140625" style="89"/>
    <col min="15906" max="15906" width="26.7109375" style="89" customWidth="1"/>
    <col min="15907" max="15907" width="17.140625" style="89" customWidth="1"/>
    <col min="15908" max="15908" width="19.140625" style="89" customWidth="1"/>
    <col min="15909" max="15909" width="13.7109375" style="89" customWidth="1"/>
    <col min="15910" max="15910" width="12.7109375" style="89" customWidth="1"/>
    <col min="15911" max="15911" width="14.42578125" style="89" customWidth="1"/>
    <col min="15912" max="15912" width="12.140625" style="89" customWidth="1"/>
    <col min="15913" max="15914" width="14.5703125" style="89" customWidth="1"/>
    <col min="15915" max="15915" width="11.140625" style="89" customWidth="1"/>
    <col min="15916" max="15916" width="10.5703125" style="89" customWidth="1"/>
    <col min="15917" max="15917" width="14.140625" style="89" customWidth="1"/>
    <col min="15918" max="15918" width="12" style="89" customWidth="1"/>
    <col min="15919" max="15919" width="15.5703125" style="89" customWidth="1"/>
    <col min="15920" max="15920" width="12.7109375" style="89" customWidth="1"/>
    <col min="15921" max="15921" width="17.140625" style="89" customWidth="1"/>
    <col min="15922" max="15922" width="10.28515625" style="89" customWidth="1"/>
    <col min="15923" max="15923" width="17.140625" style="89" customWidth="1"/>
    <col min="15924" max="15924" width="9.140625" style="89" customWidth="1"/>
    <col min="15925" max="15925" width="12.7109375" style="89" customWidth="1"/>
    <col min="15926" max="15926" width="12" style="89" customWidth="1"/>
    <col min="15927" max="16161" width="9.140625" style="89"/>
    <col min="16162" max="16162" width="26.7109375" style="89" customWidth="1"/>
    <col min="16163" max="16163" width="17.140625" style="89" customWidth="1"/>
    <col min="16164" max="16164" width="19.140625" style="89" customWidth="1"/>
    <col min="16165" max="16165" width="13.7109375" style="89" customWidth="1"/>
    <col min="16166" max="16166" width="12.7109375" style="89" customWidth="1"/>
    <col min="16167" max="16167" width="14.42578125" style="89" customWidth="1"/>
    <col min="16168" max="16168" width="12.140625" style="89" customWidth="1"/>
    <col min="16169" max="16170" width="14.5703125" style="89" customWidth="1"/>
    <col min="16171" max="16171" width="11.140625" style="89" customWidth="1"/>
    <col min="16172" max="16172" width="10.5703125" style="89" customWidth="1"/>
    <col min="16173" max="16173" width="14.140625" style="89" customWidth="1"/>
    <col min="16174" max="16174" width="12" style="89" customWidth="1"/>
    <col min="16175" max="16175" width="15.5703125" style="89" customWidth="1"/>
    <col min="16176" max="16176" width="12.7109375" style="89" customWidth="1"/>
    <col min="16177" max="16177" width="17.140625" style="89" customWidth="1"/>
    <col min="16178" max="16178" width="10.28515625" style="89" customWidth="1"/>
    <col min="16179" max="16179" width="17.140625" style="89" customWidth="1"/>
    <col min="16180" max="16180" width="9.140625" style="89" customWidth="1"/>
    <col min="16181" max="16181" width="12.7109375" style="89" customWidth="1"/>
    <col min="16182" max="16182" width="12" style="89" customWidth="1"/>
    <col min="16183" max="16384" width="9.140625" style="89"/>
  </cols>
  <sheetData>
    <row r="1" spans="1:103" ht="21" customHeight="1" x14ac:dyDescent="0.2">
      <c r="A1" s="107" t="s">
        <v>618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688"/>
      <c r="S1" s="1047"/>
      <c r="T1" s="1047"/>
      <c r="U1" s="1047"/>
      <c r="V1" s="1047"/>
      <c r="W1" s="1047"/>
      <c r="X1" s="1047"/>
      <c r="Y1" s="1047"/>
      <c r="Z1" s="1047"/>
      <c r="AA1" s="1047"/>
      <c r="AB1" s="1047"/>
      <c r="AC1" s="1047"/>
      <c r="AD1" s="1047"/>
      <c r="AE1" s="1047"/>
      <c r="AF1" s="1047"/>
      <c r="AG1" s="1047"/>
      <c r="AH1" s="1047"/>
      <c r="AI1" s="688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3"/>
      <c r="BA1" s="1047"/>
      <c r="BB1" s="1047"/>
      <c r="BC1" s="1047"/>
      <c r="BD1" s="1047"/>
      <c r="BE1" s="1047"/>
      <c r="BF1" s="1047"/>
      <c r="BG1" s="1047"/>
      <c r="BH1" s="1047"/>
      <c r="BI1" s="1047"/>
      <c r="BJ1" s="1047"/>
      <c r="BK1" s="1047"/>
      <c r="BL1" s="1047"/>
      <c r="BM1" s="1047"/>
      <c r="BN1" s="1047"/>
      <c r="BO1" s="1047"/>
      <c r="BP1" s="1047"/>
      <c r="BQ1" s="103"/>
      <c r="BR1" s="107"/>
      <c r="BS1" s="107"/>
      <c r="BT1" s="107"/>
      <c r="BU1" s="107"/>
      <c r="BV1" s="107"/>
      <c r="BW1" s="107"/>
      <c r="BX1" s="107"/>
      <c r="BY1" s="107"/>
      <c r="BZ1" s="107"/>
      <c r="CA1" s="107"/>
      <c r="CB1" s="107"/>
      <c r="CC1" s="107"/>
      <c r="CD1" s="107"/>
      <c r="CE1" s="107"/>
      <c r="CF1" s="107"/>
      <c r="CG1" s="688"/>
      <c r="CI1" s="1047"/>
      <c r="CJ1" s="1047"/>
      <c r="CK1" s="1047"/>
      <c r="CL1" s="1047"/>
      <c r="CM1" s="1047"/>
      <c r="CN1" s="1047"/>
      <c r="CO1" s="1047"/>
      <c r="CP1" s="1047"/>
      <c r="CQ1" s="1047"/>
      <c r="CR1" s="1047"/>
      <c r="CS1" s="1047"/>
      <c r="CT1" s="1047"/>
      <c r="CU1" s="1047"/>
      <c r="CV1" s="1047"/>
      <c r="CW1" s="1047"/>
      <c r="CX1" s="1047"/>
      <c r="CY1" s="688"/>
    </row>
    <row r="2" spans="1:103" x14ac:dyDescent="0.2">
      <c r="A2" s="107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688"/>
      <c r="S2" s="688"/>
      <c r="T2" s="688"/>
      <c r="U2" s="688"/>
      <c r="V2" s="688"/>
      <c r="W2" s="688"/>
      <c r="X2" s="688"/>
      <c r="Y2" s="688"/>
      <c r="Z2" s="688"/>
      <c r="AA2" s="688"/>
      <c r="AB2" s="688"/>
      <c r="AC2" s="688"/>
      <c r="AD2" s="688"/>
      <c r="AE2" s="688"/>
      <c r="AF2" s="688"/>
      <c r="AG2" s="688"/>
      <c r="AH2" s="688"/>
      <c r="AI2" s="688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3"/>
      <c r="BN2" s="103"/>
      <c r="BO2" s="103"/>
      <c r="BP2" s="103"/>
      <c r="BQ2" s="103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688"/>
      <c r="CI2" s="688"/>
      <c r="CJ2" s="688"/>
      <c r="CK2" s="688"/>
      <c r="CL2" s="688"/>
      <c r="CM2" s="688"/>
      <c r="CN2" s="688"/>
      <c r="CO2" s="688"/>
      <c r="CP2" s="688"/>
      <c r="CQ2" s="688"/>
      <c r="CR2" s="688"/>
      <c r="CS2" s="688"/>
      <c r="CT2" s="688"/>
      <c r="CU2" s="688"/>
      <c r="CV2" s="688"/>
      <c r="CW2" s="688"/>
      <c r="CX2" s="688"/>
      <c r="CY2" s="688"/>
    </row>
    <row r="3" spans="1:103" ht="15" customHeight="1" x14ac:dyDescent="0.2">
      <c r="A3" s="1040" t="s">
        <v>357</v>
      </c>
      <c r="B3" s="1041" t="s">
        <v>103</v>
      </c>
      <c r="C3" s="1042"/>
      <c r="D3" s="1042"/>
      <c r="E3" s="1042"/>
      <c r="F3" s="1042"/>
      <c r="G3" s="1042"/>
      <c r="H3" s="1042"/>
      <c r="I3" s="1042"/>
      <c r="J3" s="1042"/>
      <c r="K3" s="1042"/>
      <c r="L3" s="1042"/>
      <c r="M3" s="1042"/>
      <c r="N3" s="1042"/>
      <c r="O3" s="1042"/>
      <c r="P3" s="1042"/>
      <c r="Q3" s="1042"/>
      <c r="R3" s="1042"/>
      <c r="S3" s="1042"/>
      <c r="T3" s="1042"/>
      <c r="U3" s="1042"/>
      <c r="V3" s="1042"/>
      <c r="W3" s="1042"/>
      <c r="X3" s="1042"/>
      <c r="Y3" s="1042"/>
      <c r="Z3" s="1042"/>
      <c r="AA3" s="1042"/>
      <c r="AB3" s="1042"/>
      <c r="AC3" s="1042"/>
      <c r="AD3" s="1042"/>
      <c r="AE3" s="1042"/>
      <c r="AF3" s="1042"/>
      <c r="AG3" s="1042"/>
      <c r="AH3" s="1042"/>
      <c r="AI3" s="1043"/>
      <c r="AJ3" s="1041" t="s">
        <v>415</v>
      </c>
      <c r="AK3" s="1042"/>
      <c r="AL3" s="1042"/>
      <c r="AM3" s="1042"/>
      <c r="AN3" s="1042"/>
      <c r="AO3" s="1042"/>
      <c r="AP3" s="1042"/>
      <c r="AQ3" s="1042"/>
      <c r="AR3" s="1042"/>
      <c r="AS3" s="1042"/>
      <c r="AT3" s="1042"/>
      <c r="AU3" s="1042"/>
      <c r="AV3" s="1042"/>
      <c r="AW3" s="1042"/>
      <c r="AX3" s="1042"/>
      <c r="AY3" s="1042"/>
      <c r="AZ3" s="1042"/>
      <c r="BA3" s="1042"/>
      <c r="BB3" s="1042"/>
      <c r="BC3" s="1042"/>
      <c r="BD3" s="1042"/>
      <c r="BE3" s="1042"/>
      <c r="BF3" s="1042"/>
      <c r="BG3" s="1042"/>
      <c r="BH3" s="1042"/>
      <c r="BI3" s="1042"/>
      <c r="BJ3" s="1042"/>
      <c r="BK3" s="1042"/>
      <c r="BL3" s="1042"/>
      <c r="BM3" s="1042"/>
      <c r="BN3" s="1042"/>
      <c r="BO3" s="1042"/>
      <c r="BP3" s="1042"/>
      <c r="BQ3" s="1043"/>
      <c r="BR3" s="1041" t="s">
        <v>507</v>
      </c>
      <c r="BS3" s="1042"/>
      <c r="BT3" s="1042"/>
      <c r="BU3" s="1042"/>
      <c r="BV3" s="1042"/>
      <c r="BW3" s="1042"/>
      <c r="BX3" s="1042"/>
      <c r="BY3" s="1042"/>
      <c r="BZ3" s="1042"/>
      <c r="CA3" s="1042"/>
      <c r="CB3" s="1042"/>
      <c r="CC3" s="1042"/>
      <c r="CD3" s="1042"/>
      <c r="CE3" s="1042"/>
      <c r="CF3" s="1042"/>
      <c r="CG3" s="1042"/>
      <c r="CH3" s="1042"/>
      <c r="CI3" s="1042"/>
      <c r="CJ3" s="1042"/>
      <c r="CK3" s="1042"/>
      <c r="CL3" s="1042"/>
      <c r="CM3" s="1042"/>
      <c r="CN3" s="1042"/>
      <c r="CO3" s="1042"/>
      <c r="CP3" s="1042"/>
      <c r="CQ3" s="1042"/>
      <c r="CR3" s="1042"/>
      <c r="CS3" s="1042"/>
      <c r="CT3" s="1042"/>
      <c r="CU3" s="1042"/>
      <c r="CV3" s="1042"/>
      <c r="CW3" s="1042"/>
      <c r="CX3" s="1042"/>
      <c r="CY3" s="1043"/>
    </row>
    <row r="4" spans="1:103" ht="15.75" customHeight="1" x14ac:dyDescent="0.25">
      <c r="A4" s="1040"/>
      <c r="B4" s="1048" t="s">
        <v>391</v>
      </c>
      <c r="C4" s="1048"/>
      <c r="D4" s="1048"/>
      <c r="E4" s="1048"/>
      <c r="F4" s="1048"/>
      <c r="G4" s="1048"/>
      <c r="H4" s="1048"/>
      <c r="I4" s="1048"/>
      <c r="J4" s="1048"/>
      <c r="K4" s="1048"/>
      <c r="L4" s="1048"/>
      <c r="M4" s="1048"/>
      <c r="N4" s="1048"/>
      <c r="O4" s="1048"/>
      <c r="P4" s="1048"/>
      <c r="Q4" s="1048"/>
      <c r="R4" s="1048"/>
      <c r="S4" s="1017" t="s">
        <v>392</v>
      </c>
      <c r="T4" s="1017"/>
      <c r="U4" s="1017"/>
      <c r="V4" s="1017"/>
      <c r="W4" s="1017"/>
      <c r="X4" s="1017"/>
      <c r="Y4" s="1017"/>
      <c r="Z4" s="1017"/>
      <c r="AA4" s="1017"/>
      <c r="AB4" s="1017"/>
      <c r="AC4" s="1017"/>
      <c r="AD4" s="1017"/>
      <c r="AE4" s="1017"/>
      <c r="AF4" s="1017"/>
      <c r="AG4" s="1017"/>
      <c r="AH4" s="1017"/>
      <c r="AI4" s="1017"/>
      <c r="AJ4" s="1052" t="s">
        <v>391</v>
      </c>
      <c r="AK4" s="1052"/>
      <c r="AL4" s="1052"/>
      <c r="AM4" s="1052"/>
      <c r="AN4" s="1052"/>
      <c r="AO4" s="1052"/>
      <c r="AP4" s="1052"/>
      <c r="AQ4" s="1052"/>
      <c r="AR4" s="1052"/>
      <c r="AS4" s="1052"/>
      <c r="AT4" s="1052"/>
      <c r="AU4" s="1052"/>
      <c r="AV4" s="1052"/>
      <c r="AW4" s="1052"/>
      <c r="AX4" s="1052"/>
      <c r="AY4" s="1052"/>
      <c r="AZ4" s="1052"/>
      <c r="BA4" s="1053" t="s">
        <v>392</v>
      </c>
      <c r="BB4" s="1053"/>
      <c r="BC4" s="1053"/>
      <c r="BD4" s="1053"/>
      <c r="BE4" s="1053"/>
      <c r="BF4" s="1053"/>
      <c r="BG4" s="1053"/>
      <c r="BH4" s="1053"/>
      <c r="BI4" s="1053"/>
      <c r="BJ4" s="1053"/>
      <c r="BK4" s="1053"/>
      <c r="BL4" s="1053"/>
      <c r="BM4" s="1053"/>
      <c r="BN4" s="1053"/>
      <c r="BO4" s="1053"/>
      <c r="BP4" s="1053"/>
      <c r="BQ4" s="1053"/>
      <c r="BR4" s="1052" t="s">
        <v>391</v>
      </c>
      <c r="BS4" s="1052"/>
      <c r="BT4" s="1052"/>
      <c r="BU4" s="1052"/>
      <c r="BV4" s="1052"/>
      <c r="BW4" s="1052"/>
      <c r="BX4" s="1052"/>
      <c r="BY4" s="1052"/>
      <c r="BZ4" s="1052"/>
      <c r="CA4" s="1052"/>
      <c r="CB4" s="1052"/>
      <c r="CC4" s="1052"/>
      <c r="CD4" s="1052"/>
      <c r="CE4" s="1052"/>
      <c r="CF4" s="1052"/>
      <c r="CG4" s="1052"/>
      <c r="CH4" s="1052"/>
      <c r="CI4" s="1053" t="s">
        <v>392</v>
      </c>
      <c r="CJ4" s="1053"/>
      <c r="CK4" s="1053"/>
      <c r="CL4" s="1053"/>
      <c r="CM4" s="1053"/>
      <c r="CN4" s="1053"/>
      <c r="CO4" s="1053"/>
      <c r="CP4" s="1053"/>
      <c r="CQ4" s="1053"/>
      <c r="CR4" s="1053"/>
      <c r="CS4" s="1053"/>
      <c r="CT4" s="1053"/>
      <c r="CU4" s="1053"/>
      <c r="CV4" s="1053"/>
      <c r="CW4" s="1053"/>
      <c r="CX4" s="1053"/>
      <c r="CY4" s="1053"/>
    </row>
    <row r="5" spans="1:103" s="547" customFormat="1" ht="28.5" customHeight="1" x14ac:dyDescent="0.2">
      <c r="A5" s="1040"/>
      <c r="B5" s="1049" t="s">
        <v>358</v>
      </c>
      <c r="C5" s="1049"/>
      <c r="D5" s="1044"/>
      <c r="E5" s="1050" t="s">
        <v>359</v>
      </c>
      <c r="F5" s="1050"/>
      <c r="G5" s="1050"/>
      <c r="H5" s="1050"/>
      <c r="I5" s="1050"/>
      <c r="J5" s="1050"/>
      <c r="K5" s="1040" t="s">
        <v>393</v>
      </c>
      <c r="L5" s="1040"/>
      <c r="M5" s="1040"/>
      <c r="N5" s="1040"/>
      <c r="O5" s="1040" t="s">
        <v>394</v>
      </c>
      <c r="P5" s="1040"/>
      <c r="Q5" s="1040"/>
      <c r="R5" s="1040"/>
      <c r="S5" s="1050" t="s">
        <v>358</v>
      </c>
      <c r="T5" s="1050"/>
      <c r="U5" s="1050"/>
      <c r="V5" s="1050" t="s">
        <v>359</v>
      </c>
      <c r="W5" s="1050"/>
      <c r="X5" s="1050"/>
      <c r="Y5" s="1050"/>
      <c r="Z5" s="1050"/>
      <c r="AA5" s="1050"/>
      <c r="AB5" s="1040" t="s">
        <v>393</v>
      </c>
      <c r="AC5" s="1040"/>
      <c r="AD5" s="1040"/>
      <c r="AE5" s="1040"/>
      <c r="AF5" s="1051" t="s">
        <v>394</v>
      </c>
      <c r="AG5" s="1051"/>
      <c r="AH5" s="1051"/>
      <c r="AI5" s="1051"/>
      <c r="AJ5" s="1054" t="s">
        <v>358</v>
      </c>
      <c r="AK5" s="1054"/>
      <c r="AL5" s="1055"/>
      <c r="AM5" s="1056" t="s">
        <v>359</v>
      </c>
      <c r="AN5" s="1056"/>
      <c r="AO5" s="1056"/>
      <c r="AP5" s="1056"/>
      <c r="AQ5" s="1056"/>
      <c r="AR5" s="1056"/>
      <c r="AS5" s="1045" t="s">
        <v>393</v>
      </c>
      <c r="AT5" s="1045"/>
      <c r="AU5" s="1045"/>
      <c r="AV5" s="1045"/>
      <c r="AW5" s="1045" t="s">
        <v>394</v>
      </c>
      <c r="AX5" s="1045"/>
      <c r="AY5" s="1045"/>
      <c r="AZ5" s="1045"/>
      <c r="BA5" s="1056" t="s">
        <v>358</v>
      </c>
      <c r="BB5" s="1056"/>
      <c r="BC5" s="1056"/>
      <c r="BD5" s="1056" t="s">
        <v>359</v>
      </c>
      <c r="BE5" s="1056"/>
      <c r="BF5" s="1056"/>
      <c r="BG5" s="1056"/>
      <c r="BH5" s="1056"/>
      <c r="BI5" s="1056"/>
      <c r="BJ5" s="1045" t="s">
        <v>393</v>
      </c>
      <c r="BK5" s="1045"/>
      <c r="BL5" s="1045"/>
      <c r="BM5" s="1045"/>
      <c r="BN5" s="1045" t="s">
        <v>394</v>
      </c>
      <c r="BO5" s="1045"/>
      <c r="BP5" s="1045"/>
      <c r="BQ5" s="1045"/>
      <c r="BR5" s="1054" t="s">
        <v>534</v>
      </c>
      <c r="BS5" s="1054"/>
      <c r="BT5" s="1055"/>
      <c r="BU5" s="1056" t="s">
        <v>359</v>
      </c>
      <c r="BV5" s="1056"/>
      <c r="BW5" s="1056"/>
      <c r="BX5" s="1056"/>
      <c r="BY5" s="1056"/>
      <c r="BZ5" s="1056"/>
      <c r="CA5" s="1045" t="s">
        <v>535</v>
      </c>
      <c r="CB5" s="1045"/>
      <c r="CC5" s="1045"/>
      <c r="CD5" s="1045"/>
      <c r="CE5" s="1045" t="s">
        <v>536</v>
      </c>
      <c r="CF5" s="1045"/>
      <c r="CG5" s="1045"/>
      <c r="CH5" s="1045"/>
      <c r="CI5" s="1045" t="s">
        <v>534</v>
      </c>
      <c r="CJ5" s="1045"/>
      <c r="CK5" s="1045"/>
      <c r="CL5" s="1045" t="s">
        <v>359</v>
      </c>
      <c r="CM5" s="1045"/>
      <c r="CN5" s="1045"/>
      <c r="CO5" s="1045"/>
      <c r="CP5" s="1045"/>
      <c r="CQ5" s="1045"/>
      <c r="CR5" s="1045" t="s">
        <v>535</v>
      </c>
      <c r="CS5" s="1045"/>
      <c r="CT5" s="1045"/>
      <c r="CU5" s="1045"/>
      <c r="CV5" s="1045" t="s">
        <v>536</v>
      </c>
      <c r="CW5" s="1045"/>
      <c r="CX5" s="1045"/>
      <c r="CY5" s="1045"/>
    </row>
    <row r="6" spans="1:103" s="548" customFormat="1" ht="33.75" customHeight="1" x14ac:dyDescent="0.2">
      <c r="A6" s="1040"/>
      <c r="B6" s="1044" t="s">
        <v>360</v>
      </c>
      <c r="C6" s="1040" t="s">
        <v>361</v>
      </c>
      <c r="D6" s="1040" t="s">
        <v>129</v>
      </c>
      <c r="E6" s="1040" t="s">
        <v>362</v>
      </c>
      <c r="F6" s="1040" t="s">
        <v>363</v>
      </c>
      <c r="G6" s="1040" t="s">
        <v>538</v>
      </c>
      <c r="H6" s="1040" t="s">
        <v>539</v>
      </c>
      <c r="I6" s="1040" t="s">
        <v>364</v>
      </c>
      <c r="J6" s="1040" t="s">
        <v>365</v>
      </c>
      <c r="K6" s="1044" t="s">
        <v>366</v>
      </c>
      <c r="L6" s="1040" t="s">
        <v>367</v>
      </c>
      <c r="M6" s="1040" t="s">
        <v>368</v>
      </c>
      <c r="N6" s="1040" t="s">
        <v>365</v>
      </c>
      <c r="O6" s="1040" t="s">
        <v>366</v>
      </c>
      <c r="P6" s="1040" t="s">
        <v>367</v>
      </c>
      <c r="Q6" s="1044" t="s">
        <v>368</v>
      </c>
      <c r="R6" s="1040" t="s">
        <v>369</v>
      </c>
      <c r="S6" s="1040" t="s">
        <v>360</v>
      </c>
      <c r="T6" s="1040" t="s">
        <v>386</v>
      </c>
      <c r="U6" s="1040" t="s">
        <v>129</v>
      </c>
      <c r="V6" s="1040" t="s">
        <v>362</v>
      </c>
      <c r="W6" s="1040" t="s">
        <v>363</v>
      </c>
      <c r="X6" s="1040" t="s">
        <v>387</v>
      </c>
      <c r="Y6" s="1040" t="s">
        <v>388</v>
      </c>
      <c r="Z6" s="1040" t="s">
        <v>364</v>
      </c>
      <c r="AA6" s="1040" t="s">
        <v>365</v>
      </c>
      <c r="AB6" s="1040" t="s">
        <v>366</v>
      </c>
      <c r="AC6" s="1040" t="s">
        <v>367</v>
      </c>
      <c r="AD6" s="1040" t="s">
        <v>368</v>
      </c>
      <c r="AE6" s="1040" t="s">
        <v>365</v>
      </c>
      <c r="AF6" s="1040" t="s">
        <v>366</v>
      </c>
      <c r="AG6" s="1040" t="s">
        <v>367</v>
      </c>
      <c r="AH6" s="1040" t="s">
        <v>368</v>
      </c>
      <c r="AI6" s="1040" t="s">
        <v>369</v>
      </c>
      <c r="AJ6" s="1046" t="s">
        <v>360</v>
      </c>
      <c r="AK6" s="1045" t="s">
        <v>361</v>
      </c>
      <c r="AL6" s="1045" t="s">
        <v>129</v>
      </c>
      <c r="AM6" s="1045" t="s">
        <v>362</v>
      </c>
      <c r="AN6" s="1045" t="s">
        <v>363</v>
      </c>
      <c r="AO6" s="1045" t="s">
        <v>467</v>
      </c>
      <c r="AP6" s="1045" t="s">
        <v>388</v>
      </c>
      <c r="AQ6" s="1045" t="s">
        <v>364</v>
      </c>
      <c r="AR6" s="1045" t="s">
        <v>365</v>
      </c>
      <c r="AS6" s="1046" t="s">
        <v>366</v>
      </c>
      <c r="AT6" s="1045" t="s">
        <v>367</v>
      </c>
      <c r="AU6" s="1045" t="s">
        <v>368</v>
      </c>
      <c r="AV6" s="1045" t="s">
        <v>365</v>
      </c>
      <c r="AW6" s="1045" t="s">
        <v>366</v>
      </c>
      <c r="AX6" s="1045" t="s">
        <v>367</v>
      </c>
      <c r="AY6" s="1046" t="s">
        <v>368</v>
      </c>
      <c r="AZ6" s="1045" t="s">
        <v>369</v>
      </c>
      <c r="BA6" s="1045" t="s">
        <v>360</v>
      </c>
      <c r="BB6" s="1045" t="s">
        <v>386</v>
      </c>
      <c r="BC6" s="1045" t="s">
        <v>129</v>
      </c>
      <c r="BD6" s="1045" t="s">
        <v>362</v>
      </c>
      <c r="BE6" s="1045" t="s">
        <v>363</v>
      </c>
      <c r="BF6" s="1045" t="s">
        <v>387</v>
      </c>
      <c r="BG6" s="1045" t="s">
        <v>388</v>
      </c>
      <c r="BH6" s="1045" t="s">
        <v>364</v>
      </c>
      <c r="BI6" s="1045" t="s">
        <v>365</v>
      </c>
      <c r="BJ6" s="1045" t="s">
        <v>366</v>
      </c>
      <c r="BK6" s="1045" t="s">
        <v>367</v>
      </c>
      <c r="BL6" s="1045" t="s">
        <v>368</v>
      </c>
      <c r="BM6" s="1045" t="s">
        <v>365</v>
      </c>
      <c r="BN6" s="1045" t="s">
        <v>366</v>
      </c>
      <c r="BO6" s="1045" t="s">
        <v>367</v>
      </c>
      <c r="BP6" s="1045" t="s">
        <v>368</v>
      </c>
      <c r="BQ6" s="1045" t="s">
        <v>369</v>
      </c>
      <c r="BR6" s="1046" t="s">
        <v>360</v>
      </c>
      <c r="BS6" s="1045" t="s">
        <v>537</v>
      </c>
      <c r="BT6" s="1045" t="s">
        <v>129</v>
      </c>
      <c r="BU6" s="1045" t="s">
        <v>362</v>
      </c>
      <c r="BV6" s="1045" t="s">
        <v>363</v>
      </c>
      <c r="BW6" s="1045" t="s">
        <v>538</v>
      </c>
      <c r="BX6" s="1045" t="s">
        <v>539</v>
      </c>
      <c r="BY6" s="1045" t="s">
        <v>364</v>
      </c>
      <c r="BZ6" s="1045" t="s">
        <v>365</v>
      </c>
      <c r="CA6" s="1046" t="s">
        <v>366</v>
      </c>
      <c r="CB6" s="1045" t="s">
        <v>367</v>
      </c>
      <c r="CC6" s="1045" t="s">
        <v>368</v>
      </c>
      <c r="CD6" s="1045" t="s">
        <v>365</v>
      </c>
      <c r="CE6" s="1045" t="s">
        <v>366</v>
      </c>
      <c r="CF6" s="1045" t="s">
        <v>367</v>
      </c>
      <c r="CG6" s="1046" t="s">
        <v>368</v>
      </c>
      <c r="CH6" s="1045" t="s">
        <v>369</v>
      </c>
      <c r="CI6" s="1045" t="s">
        <v>360</v>
      </c>
      <c r="CJ6" s="1045" t="s">
        <v>537</v>
      </c>
      <c r="CK6" s="1045" t="s">
        <v>129</v>
      </c>
      <c r="CL6" s="1045" t="s">
        <v>362</v>
      </c>
      <c r="CM6" s="1045" t="s">
        <v>363</v>
      </c>
      <c r="CN6" s="1045" t="s">
        <v>387</v>
      </c>
      <c r="CO6" s="1045" t="s">
        <v>388</v>
      </c>
      <c r="CP6" s="1045" t="s">
        <v>364</v>
      </c>
      <c r="CQ6" s="1045" t="s">
        <v>365</v>
      </c>
      <c r="CR6" s="1045" t="s">
        <v>366</v>
      </c>
      <c r="CS6" s="1045" t="s">
        <v>367</v>
      </c>
      <c r="CT6" s="1045" t="s">
        <v>368</v>
      </c>
      <c r="CU6" s="1045" t="s">
        <v>365</v>
      </c>
      <c r="CV6" s="1045" t="s">
        <v>366</v>
      </c>
      <c r="CW6" s="1045" t="s">
        <v>367</v>
      </c>
      <c r="CX6" s="1045" t="s">
        <v>368</v>
      </c>
      <c r="CY6" s="1045" t="s">
        <v>369</v>
      </c>
    </row>
    <row r="7" spans="1:103" s="548" customFormat="1" ht="21.75" customHeight="1" x14ac:dyDescent="0.2">
      <c r="A7" s="1040"/>
      <c r="B7" s="1044"/>
      <c r="C7" s="1040"/>
      <c r="D7" s="1040"/>
      <c r="E7" s="1040"/>
      <c r="F7" s="1040"/>
      <c r="G7" s="1040"/>
      <c r="H7" s="1040"/>
      <c r="I7" s="1040"/>
      <c r="J7" s="1040"/>
      <c r="K7" s="1044"/>
      <c r="L7" s="1040"/>
      <c r="M7" s="1040"/>
      <c r="N7" s="1040"/>
      <c r="O7" s="1040"/>
      <c r="P7" s="1040"/>
      <c r="Q7" s="1044"/>
      <c r="R7" s="1040"/>
      <c r="S7" s="1040"/>
      <c r="T7" s="1040"/>
      <c r="U7" s="1040"/>
      <c r="V7" s="1040"/>
      <c r="W7" s="1040"/>
      <c r="X7" s="1040"/>
      <c r="Y7" s="1040"/>
      <c r="Z7" s="1040"/>
      <c r="AA7" s="1040"/>
      <c r="AB7" s="1040"/>
      <c r="AC7" s="1040"/>
      <c r="AD7" s="1040"/>
      <c r="AE7" s="1040"/>
      <c r="AF7" s="1040"/>
      <c r="AG7" s="1040"/>
      <c r="AH7" s="1040"/>
      <c r="AI7" s="1040"/>
      <c r="AJ7" s="1046"/>
      <c r="AK7" s="1045"/>
      <c r="AL7" s="1045"/>
      <c r="AM7" s="1045"/>
      <c r="AN7" s="1045"/>
      <c r="AO7" s="1045"/>
      <c r="AP7" s="1045"/>
      <c r="AQ7" s="1045"/>
      <c r="AR7" s="1045"/>
      <c r="AS7" s="1046"/>
      <c r="AT7" s="1045"/>
      <c r="AU7" s="1045"/>
      <c r="AV7" s="1045"/>
      <c r="AW7" s="1045"/>
      <c r="AX7" s="1045"/>
      <c r="AY7" s="1046"/>
      <c r="AZ7" s="1045"/>
      <c r="BA7" s="1045"/>
      <c r="BB7" s="1045"/>
      <c r="BC7" s="1045"/>
      <c r="BD7" s="1045"/>
      <c r="BE7" s="1045"/>
      <c r="BF7" s="1045"/>
      <c r="BG7" s="1045"/>
      <c r="BH7" s="1045"/>
      <c r="BI7" s="1045"/>
      <c r="BJ7" s="1045"/>
      <c r="BK7" s="1045"/>
      <c r="BL7" s="1045"/>
      <c r="BM7" s="1045"/>
      <c r="BN7" s="1045"/>
      <c r="BO7" s="1045"/>
      <c r="BP7" s="1045"/>
      <c r="BQ7" s="1045"/>
      <c r="BR7" s="1046"/>
      <c r="BS7" s="1045"/>
      <c r="BT7" s="1045"/>
      <c r="BU7" s="1045"/>
      <c r="BV7" s="1045"/>
      <c r="BW7" s="1045"/>
      <c r="BX7" s="1045"/>
      <c r="BY7" s="1045"/>
      <c r="BZ7" s="1045"/>
      <c r="CA7" s="1046"/>
      <c r="CB7" s="1045"/>
      <c r="CC7" s="1045"/>
      <c r="CD7" s="1045"/>
      <c r="CE7" s="1045"/>
      <c r="CF7" s="1045"/>
      <c r="CG7" s="1046"/>
      <c r="CH7" s="1045"/>
      <c r="CI7" s="1045"/>
      <c r="CJ7" s="1045"/>
      <c r="CK7" s="1045"/>
      <c r="CL7" s="1045"/>
      <c r="CM7" s="1045"/>
      <c r="CN7" s="1045"/>
      <c r="CO7" s="1045"/>
      <c r="CP7" s="1045"/>
      <c r="CQ7" s="1045"/>
      <c r="CR7" s="1045"/>
      <c r="CS7" s="1045"/>
      <c r="CT7" s="1045"/>
      <c r="CU7" s="1045"/>
      <c r="CV7" s="1045"/>
      <c r="CW7" s="1045"/>
      <c r="CX7" s="1045"/>
      <c r="CY7" s="1045"/>
    </row>
    <row r="8" spans="1:103" s="548" customFormat="1" ht="18" customHeight="1" x14ac:dyDescent="0.2">
      <c r="A8" s="1040"/>
      <c r="B8" s="1044"/>
      <c r="C8" s="1040"/>
      <c r="D8" s="1040"/>
      <c r="E8" s="1040"/>
      <c r="F8" s="1040"/>
      <c r="G8" s="1040"/>
      <c r="H8" s="1040"/>
      <c r="I8" s="1040"/>
      <c r="J8" s="1040"/>
      <c r="K8" s="1044"/>
      <c r="L8" s="1040"/>
      <c r="M8" s="1040"/>
      <c r="N8" s="1040"/>
      <c r="O8" s="1040"/>
      <c r="P8" s="1040"/>
      <c r="Q8" s="1044"/>
      <c r="R8" s="1040"/>
      <c r="S8" s="1040"/>
      <c r="T8" s="1040"/>
      <c r="U8" s="1040"/>
      <c r="V8" s="1040"/>
      <c r="W8" s="1040"/>
      <c r="X8" s="1040"/>
      <c r="Y8" s="1040"/>
      <c r="Z8" s="1040"/>
      <c r="AA8" s="1040"/>
      <c r="AB8" s="1040"/>
      <c r="AC8" s="1040"/>
      <c r="AD8" s="1040"/>
      <c r="AE8" s="1040"/>
      <c r="AF8" s="1040"/>
      <c r="AG8" s="1040"/>
      <c r="AH8" s="1040"/>
      <c r="AI8" s="1040"/>
      <c r="AJ8" s="1046"/>
      <c r="AK8" s="1045"/>
      <c r="AL8" s="1045"/>
      <c r="AM8" s="1045"/>
      <c r="AN8" s="1045"/>
      <c r="AO8" s="1045"/>
      <c r="AP8" s="1045"/>
      <c r="AQ8" s="1045"/>
      <c r="AR8" s="1045"/>
      <c r="AS8" s="1046"/>
      <c r="AT8" s="1045"/>
      <c r="AU8" s="1045"/>
      <c r="AV8" s="1045"/>
      <c r="AW8" s="1045"/>
      <c r="AX8" s="1045"/>
      <c r="AY8" s="1046"/>
      <c r="AZ8" s="1045"/>
      <c r="BA8" s="1045"/>
      <c r="BB8" s="1045"/>
      <c r="BC8" s="1045"/>
      <c r="BD8" s="1045"/>
      <c r="BE8" s="1045"/>
      <c r="BF8" s="1045"/>
      <c r="BG8" s="1045"/>
      <c r="BH8" s="1045"/>
      <c r="BI8" s="1045"/>
      <c r="BJ8" s="1045"/>
      <c r="BK8" s="1045"/>
      <c r="BL8" s="1045"/>
      <c r="BM8" s="1045"/>
      <c r="BN8" s="1045"/>
      <c r="BO8" s="1045"/>
      <c r="BP8" s="1045"/>
      <c r="BQ8" s="1045"/>
      <c r="BR8" s="1046"/>
      <c r="BS8" s="1045"/>
      <c r="BT8" s="1045"/>
      <c r="BU8" s="1045"/>
      <c r="BV8" s="1045"/>
      <c r="BW8" s="1045"/>
      <c r="BX8" s="1045"/>
      <c r="BY8" s="1045"/>
      <c r="BZ8" s="1045"/>
      <c r="CA8" s="1046"/>
      <c r="CB8" s="1045"/>
      <c r="CC8" s="1045"/>
      <c r="CD8" s="1045"/>
      <c r="CE8" s="1045"/>
      <c r="CF8" s="1045"/>
      <c r="CG8" s="1046"/>
      <c r="CH8" s="1045"/>
      <c r="CI8" s="1045"/>
      <c r="CJ8" s="1045"/>
      <c r="CK8" s="1045"/>
      <c r="CL8" s="1045"/>
      <c r="CM8" s="1045"/>
      <c r="CN8" s="1045"/>
      <c r="CO8" s="1045"/>
      <c r="CP8" s="1045"/>
      <c r="CQ8" s="1045"/>
      <c r="CR8" s="1045"/>
      <c r="CS8" s="1045"/>
      <c r="CT8" s="1045"/>
      <c r="CU8" s="1045"/>
      <c r="CV8" s="1045"/>
      <c r="CW8" s="1045"/>
      <c r="CX8" s="1045"/>
      <c r="CY8" s="1045"/>
    </row>
    <row r="9" spans="1:103" x14ac:dyDescent="0.2">
      <c r="A9" s="90" t="s">
        <v>370</v>
      </c>
      <c r="B9" s="689">
        <v>1617</v>
      </c>
      <c r="C9" s="690">
        <v>179</v>
      </c>
      <c r="D9" s="691">
        <f>B9+C9</f>
        <v>1796</v>
      </c>
      <c r="E9" s="692">
        <v>0</v>
      </c>
      <c r="F9" s="691">
        <v>187</v>
      </c>
      <c r="G9" s="691">
        <v>101</v>
      </c>
      <c r="H9" s="691">
        <v>198</v>
      </c>
      <c r="I9" s="691">
        <v>108</v>
      </c>
      <c r="J9" s="689">
        <f t="shared" ref="J9:J25" si="0">SUM(E9:I9)</f>
        <v>594</v>
      </c>
      <c r="K9" s="691">
        <v>124</v>
      </c>
      <c r="L9" s="691">
        <v>21</v>
      </c>
      <c r="M9" s="691">
        <v>449</v>
      </c>
      <c r="N9" s="691">
        <f>K9+L9+M9</f>
        <v>594</v>
      </c>
      <c r="O9" s="691">
        <v>12</v>
      </c>
      <c r="P9" s="689">
        <v>47</v>
      </c>
      <c r="Q9" s="691">
        <v>1143</v>
      </c>
      <c r="R9" s="693">
        <f>O9+P9+Q9</f>
        <v>1202</v>
      </c>
      <c r="S9" s="692">
        <v>0</v>
      </c>
      <c r="T9" s="691">
        <v>1552</v>
      </c>
      <c r="U9" s="691">
        <f>S9+T9</f>
        <v>1552</v>
      </c>
      <c r="V9" s="692">
        <v>0</v>
      </c>
      <c r="W9" s="692">
        <v>0</v>
      </c>
      <c r="X9" s="692">
        <v>0</v>
      </c>
      <c r="Y9" s="691">
        <v>47</v>
      </c>
      <c r="Z9" s="694">
        <v>807</v>
      </c>
      <c r="AA9" s="691">
        <f t="shared" ref="AA9:AA25" si="1">SUM(V9:Z9)</f>
        <v>854</v>
      </c>
      <c r="AB9" s="691">
        <v>830</v>
      </c>
      <c r="AC9" s="691">
        <v>24</v>
      </c>
      <c r="AD9" s="692">
        <v>0</v>
      </c>
      <c r="AE9" s="691">
        <f>AB9+AC9+AD9</f>
        <v>854</v>
      </c>
      <c r="AF9" s="691">
        <v>152</v>
      </c>
      <c r="AG9" s="691">
        <v>546</v>
      </c>
      <c r="AH9" s="692">
        <v>0</v>
      </c>
      <c r="AI9" s="691">
        <f>AF9+AG9+AH9</f>
        <v>698</v>
      </c>
      <c r="AJ9" s="91">
        <v>1202</v>
      </c>
      <c r="AK9" s="92">
        <v>142</v>
      </c>
      <c r="AL9" s="93">
        <v>1344</v>
      </c>
      <c r="AM9" s="94">
        <v>0</v>
      </c>
      <c r="AN9" s="93">
        <v>535</v>
      </c>
      <c r="AO9" s="93">
        <v>256</v>
      </c>
      <c r="AP9" s="93">
        <v>189</v>
      </c>
      <c r="AQ9" s="93">
        <v>116</v>
      </c>
      <c r="AR9" s="91">
        <v>1096</v>
      </c>
      <c r="AS9" s="93">
        <v>116</v>
      </c>
      <c r="AT9" s="93">
        <v>3</v>
      </c>
      <c r="AU9" s="93">
        <v>977</v>
      </c>
      <c r="AV9" s="93">
        <v>1096</v>
      </c>
      <c r="AW9" s="93">
        <v>8</v>
      </c>
      <c r="AX9" s="91">
        <v>16</v>
      </c>
      <c r="AY9" s="93">
        <v>224</v>
      </c>
      <c r="AZ9" s="95">
        <v>248</v>
      </c>
      <c r="BA9" s="94">
        <v>699</v>
      </c>
      <c r="BB9" s="93">
        <v>935</v>
      </c>
      <c r="BC9" s="93">
        <v>1634</v>
      </c>
      <c r="BD9" s="94">
        <v>10</v>
      </c>
      <c r="BE9" s="94">
        <v>93</v>
      </c>
      <c r="BF9" s="94">
        <v>53</v>
      </c>
      <c r="BG9" s="93">
        <v>167</v>
      </c>
      <c r="BH9" s="102">
        <v>496</v>
      </c>
      <c r="BI9" s="93">
        <v>819</v>
      </c>
      <c r="BJ9" s="93">
        <v>527</v>
      </c>
      <c r="BK9" s="93">
        <v>46</v>
      </c>
      <c r="BL9" s="94">
        <v>246</v>
      </c>
      <c r="BM9" s="93">
        <v>819</v>
      </c>
      <c r="BN9" s="93">
        <v>119</v>
      </c>
      <c r="BO9" s="93">
        <v>281</v>
      </c>
      <c r="BP9" s="94">
        <v>415</v>
      </c>
      <c r="BQ9" s="93">
        <v>815</v>
      </c>
      <c r="BR9" s="91">
        <v>248</v>
      </c>
      <c r="BS9" s="92">
        <v>228</v>
      </c>
      <c r="BT9" s="93">
        <v>476</v>
      </c>
      <c r="BU9" s="94">
        <v>2</v>
      </c>
      <c r="BV9" s="93">
        <v>126</v>
      </c>
      <c r="BW9" s="93">
        <v>124</v>
      </c>
      <c r="BX9" s="93">
        <v>22</v>
      </c>
      <c r="BY9" s="93">
        <v>199</v>
      </c>
      <c r="BZ9" s="91">
        <v>473</v>
      </c>
      <c r="CA9" s="93">
        <v>211</v>
      </c>
      <c r="CB9" s="93">
        <v>28</v>
      </c>
      <c r="CC9" s="93">
        <v>234</v>
      </c>
      <c r="CD9" s="93">
        <v>473</v>
      </c>
      <c r="CE9" s="93">
        <v>3</v>
      </c>
      <c r="CF9" s="91">
        <v>0</v>
      </c>
      <c r="CG9" s="93">
        <v>0</v>
      </c>
      <c r="CH9" s="95">
        <v>3</v>
      </c>
      <c r="CI9" s="94">
        <v>815</v>
      </c>
      <c r="CJ9" s="93">
        <v>3666</v>
      </c>
      <c r="CK9" s="93">
        <v>4481</v>
      </c>
      <c r="CL9" s="94">
        <v>32</v>
      </c>
      <c r="CM9" s="94">
        <v>961</v>
      </c>
      <c r="CN9" s="94">
        <v>386</v>
      </c>
      <c r="CO9" s="93">
        <v>322</v>
      </c>
      <c r="CP9" s="102">
        <v>2617</v>
      </c>
      <c r="CQ9" s="93">
        <v>4318</v>
      </c>
      <c r="CR9" s="93">
        <v>3125</v>
      </c>
      <c r="CS9" s="93">
        <v>637</v>
      </c>
      <c r="CT9" s="94">
        <v>556</v>
      </c>
      <c r="CU9" s="93">
        <v>4318</v>
      </c>
      <c r="CV9" s="93">
        <v>163</v>
      </c>
      <c r="CW9" s="93">
        <v>0</v>
      </c>
      <c r="CX9" s="94">
        <v>0</v>
      </c>
      <c r="CY9" s="93">
        <v>163</v>
      </c>
    </row>
    <row r="10" spans="1:103" x14ac:dyDescent="0.2">
      <c r="A10" s="98" t="s">
        <v>371</v>
      </c>
      <c r="B10" s="689">
        <v>127</v>
      </c>
      <c r="C10" s="693">
        <v>139</v>
      </c>
      <c r="D10" s="689">
        <f t="shared" ref="D10:D25" si="2">B10+C10</f>
        <v>266</v>
      </c>
      <c r="E10" s="689">
        <v>9</v>
      </c>
      <c r="F10" s="689">
        <v>94</v>
      </c>
      <c r="G10" s="689">
        <v>90</v>
      </c>
      <c r="H10" s="689">
        <v>2</v>
      </c>
      <c r="I10" s="689">
        <v>61</v>
      </c>
      <c r="J10" s="689">
        <f t="shared" si="0"/>
        <v>256</v>
      </c>
      <c r="K10" s="689">
        <v>126</v>
      </c>
      <c r="L10" s="689">
        <v>130</v>
      </c>
      <c r="M10" s="692">
        <v>0</v>
      </c>
      <c r="N10" s="689">
        <f t="shared" ref="N10:N25" si="3">K10+L10+M10</f>
        <v>256</v>
      </c>
      <c r="O10" s="689">
        <v>10</v>
      </c>
      <c r="P10" s="692">
        <v>0</v>
      </c>
      <c r="Q10" s="692">
        <v>0</v>
      </c>
      <c r="R10" s="693">
        <f t="shared" ref="R10:R25" si="4">O10+P10+Q10</f>
        <v>10</v>
      </c>
      <c r="S10" s="692">
        <v>0</v>
      </c>
      <c r="T10" s="689">
        <v>531</v>
      </c>
      <c r="U10" s="689">
        <f t="shared" ref="U10:U25" si="5">S10+T10</f>
        <v>531</v>
      </c>
      <c r="V10" s="689">
        <v>2</v>
      </c>
      <c r="W10" s="689">
        <v>167</v>
      </c>
      <c r="X10" s="689">
        <v>137</v>
      </c>
      <c r="Y10" s="689">
        <v>3</v>
      </c>
      <c r="Z10" s="694">
        <v>183</v>
      </c>
      <c r="AA10" s="689">
        <f t="shared" si="1"/>
        <v>492</v>
      </c>
      <c r="AB10" s="689">
        <v>462</v>
      </c>
      <c r="AC10" s="689">
        <v>30</v>
      </c>
      <c r="AD10" s="692">
        <v>0</v>
      </c>
      <c r="AE10" s="689">
        <f t="shared" ref="AE10:AE25" si="6">AB10+AC10+AD10</f>
        <v>492</v>
      </c>
      <c r="AF10" s="689">
        <v>39</v>
      </c>
      <c r="AG10" s="692">
        <v>0</v>
      </c>
      <c r="AH10" s="692">
        <v>0</v>
      </c>
      <c r="AI10" s="689">
        <f t="shared" ref="AI10:AI25" si="7">AF10+AG10+AH10</f>
        <v>39</v>
      </c>
      <c r="AJ10" s="91">
        <v>10</v>
      </c>
      <c r="AK10" s="95">
        <v>163</v>
      </c>
      <c r="AL10" s="91">
        <v>173</v>
      </c>
      <c r="AM10" s="91">
        <v>1</v>
      </c>
      <c r="AN10" s="91">
        <v>27</v>
      </c>
      <c r="AO10" s="91">
        <v>42</v>
      </c>
      <c r="AP10" s="91">
        <v>4</v>
      </c>
      <c r="AQ10" s="91">
        <v>91</v>
      </c>
      <c r="AR10" s="91">
        <v>165</v>
      </c>
      <c r="AS10" s="91">
        <v>153</v>
      </c>
      <c r="AT10" s="91">
        <v>12</v>
      </c>
      <c r="AU10" s="94">
        <v>0</v>
      </c>
      <c r="AV10" s="91">
        <v>165</v>
      </c>
      <c r="AW10" s="91">
        <v>8</v>
      </c>
      <c r="AX10" s="94">
        <v>0</v>
      </c>
      <c r="AY10" s="94">
        <v>0</v>
      </c>
      <c r="AZ10" s="95">
        <v>8</v>
      </c>
      <c r="BA10" s="94">
        <v>39</v>
      </c>
      <c r="BB10" s="91">
        <v>835</v>
      </c>
      <c r="BC10" s="91">
        <v>874</v>
      </c>
      <c r="BD10" s="91">
        <v>0</v>
      </c>
      <c r="BE10" s="91">
        <v>213</v>
      </c>
      <c r="BF10" s="91">
        <v>180</v>
      </c>
      <c r="BG10" s="91">
        <v>18</v>
      </c>
      <c r="BH10" s="102">
        <v>405</v>
      </c>
      <c r="BI10" s="91">
        <v>816</v>
      </c>
      <c r="BJ10" s="91">
        <v>762</v>
      </c>
      <c r="BK10" s="91">
        <v>54</v>
      </c>
      <c r="BL10" s="94">
        <v>0</v>
      </c>
      <c r="BM10" s="91">
        <v>816</v>
      </c>
      <c r="BN10" s="91">
        <v>58</v>
      </c>
      <c r="BO10" s="94">
        <v>0</v>
      </c>
      <c r="BP10" s="94">
        <v>0</v>
      </c>
      <c r="BQ10" s="91">
        <v>58</v>
      </c>
      <c r="BR10" s="91">
        <v>8</v>
      </c>
      <c r="BS10" s="95">
        <v>140</v>
      </c>
      <c r="BT10" s="91">
        <v>148</v>
      </c>
      <c r="BU10" s="91">
        <v>0</v>
      </c>
      <c r="BV10" s="91">
        <v>32</v>
      </c>
      <c r="BW10" s="91">
        <v>23</v>
      </c>
      <c r="BX10" s="91">
        <v>15</v>
      </c>
      <c r="BY10" s="91">
        <v>78</v>
      </c>
      <c r="BZ10" s="91">
        <v>148</v>
      </c>
      <c r="CA10" s="91">
        <v>104</v>
      </c>
      <c r="CB10" s="91">
        <v>44</v>
      </c>
      <c r="CC10" s="94">
        <v>0</v>
      </c>
      <c r="CD10" s="91">
        <v>148</v>
      </c>
      <c r="CE10" s="91">
        <v>0</v>
      </c>
      <c r="CF10" s="94">
        <v>0</v>
      </c>
      <c r="CG10" s="94">
        <v>0</v>
      </c>
      <c r="CH10" s="95">
        <v>0</v>
      </c>
      <c r="CI10" s="94">
        <v>58</v>
      </c>
      <c r="CJ10" s="91">
        <v>858</v>
      </c>
      <c r="CK10" s="91">
        <v>916</v>
      </c>
      <c r="CL10" s="91">
        <v>0</v>
      </c>
      <c r="CM10" s="91">
        <v>265</v>
      </c>
      <c r="CN10" s="91">
        <v>112</v>
      </c>
      <c r="CO10" s="91">
        <v>80</v>
      </c>
      <c r="CP10" s="102">
        <v>418</v>
      </c>
      <c r="CQ10" s="91">
        <v>875</v>
      </c>
      <c r="CR10" s="91">
        <v>582</v>
      </c>
      <c r="CS10" s="91">
        <v>293</v>
      </c>
      <c r="CT10" s="94">
        <v>0</v>
      </c>
      <c r="CU10" s="91">
        <v>875</v>
      </c>
      <c r="CV10" s="91">
        <v>41</v>
      </c>
      <c r="CW10" s="94">
        <v>0</v>
      </c>
      <c r="CX10" s="94">
        <v>0</v>
      </c>
      <c r="CY10" s="91">
        <v>41</v>
      </c>
    </row>
    <row r="11" spans="1:103" x14ac:dyDescent="0.2">
      <c r="A11" s="98" t="s">
        <v>372</v>
      </c>
      <c r="B11" s="689">
        <v>202</v>
      </c>
      <c r="C11" s="693">
        <v>125</v>
      </c>
      <c r="D11" s="689">
        <f t="shared" si="2"/>
        <v>327</v>
      </c>
      <c r="E11" s="689">
        <v>22</v>
      </c>
      <c r="F11" s="689">
        <v>26</v>
      </c>
      <c r="G11" s="689">
        <v>165</v>
      </c>
      <c r="H11" s="689">
        <v>21</v>
      </c>
      <c r="I11" s="689">
        <v>92</v>
      </c>
      <c r="J11" s="689">
        <f t="shared" si="0"/>
        <v>326</v>
      </c>
      <c r="K11" s="689">
        <v>99</v>
      </c>
      <c r="L11" s="689">
        <v>96</v>
      </c>
      <c r="M11" s="689">
        <v>131</v>
      </c>
      <c r="N11" s="689">
        <f t="shared" si="3"/>
        <v>326</v>
      </c>
      <c r="O11" s="689">
        <v>1</v>
      </c>
      <c r="P11" s="692">
        <v>0</v>
      </c>
      <c r="Q11" s="692">
        <v>0</v>
      </c>
      <c r="R11" s="693">
        <f t="shared" si="4"/>
        <v>1</v>
      </c>
      <c r="S11" s="692">
        <v>0</v>
      </c>
      <c r="T11" s="689">
        <v>282</v>
      </c>
      <c r="U11" s="689">
        <f t="shared" si="5"/>
        <v>282</v>
      </c>
      <c r="V11" s="689">
        <v>4</v>
      </c>
      <c r="W11" s="689">
        <v>26</v>
      </c>
      <c r="X11" s="689">
        <v>71</v>
      </c>
      <c r="Y11" s="689">
        <v>16</v>
      </c>
      <c r="Z11" s="694">
        <v>153</v>
      </c>
      <c r="AA11" s="689">
        <f t="shared" si="1"/>
        <v>270</v>
      </c>
      <c r="AB11" s="689">
        <v>185</v>
      </c>
      <c r="AC11" s="689">
        <v>85</v>
      </c>
      <c r="AD11" s="692">
        <v>0</v>
      </c>
      <c r="AE11" s="689">
        <f t="shared" si="6"/>
        <v>270</v>
      </c>
      <c r="AF11" s="689">
        <v>12</v>
      </c>
      <c r="AG11" s="692">
        <v>0</v>
      </c>
      <c r="AH11" s="692">
        <v>0</v>
      </c>
      <c r="AI11" s="689">
        <f t="shared" si="7"/>
        <v>12</v>
      </c>
      <c r="AJ11" s="91">
        <v>1</v>
      </c>
      <c r="AK11" s="95">
        <v>126</v>
      </c>
      <c r="AL11" s="91">
        <v>127</v>
      </c>
      <c r="AM11" s="91">
        <v>0</v>
      </c>
      <c r="AN11" s="91">
        <v>10</v>
      </c>
      <c r="AO11" s="91">
        <v>16</v>
      </c>
      <c r="AP11" s="91">
        <v>2</v>
      </c>
      <c r="AQ11" s="91">
        <v>96</v>
      </c>
      <c r="AR11" s="91">
        <v>124</v>
      </c>
      <c r="AS11" s="91">
        <v>123</v>
      </c>
      <c r="AT11" s="91">
        <v>1</v>
      </c>
      <c r="AU11" s="91">
        <v>0</v>
      </c>
      <c r="AV11" s="91">
        <v>124</v>
      </c>
      <c r="AW11" s="91">
        <v>3</v>
      </c>
      <c r="AX11" s="94">
        <v>0</v>
      </c>
      <c r="AY11" s="94">
        <v>0</v>
      </c>
      <c r="AZ11" s="95">
        <v>3</v>
      </c>
      <c r="BA11" s="94">
        <v>12</v>
      </c>
      <c r="BB11" s="91">
        <v>340</v>
      </c>
      <c r="BC11" s="91">
        <v>352</v>
      </c>
      <c r="BD11" s="91">
        <v>0</v>
      </c>
      <c r="BE11" s="91">
        <v>23</v>
      </c>
      <c r="BF11" s="91">
        <v>69</v>
      </c>
      <c r="BG11" s="91">
        <v>15</v>
      </c>
      <c r="BH11" s="102">
        <v>227</v>
      </c>
      <c r="BI11" s="91">
        <v>334</v>
      </c>
      <c r="BJ11" s="91">
        <v>323</v>
      </c>
      <c r="BK11" s="91">
        <v>11</v>
      </c>
      <c r="BL11" s="94">
        <v>0</v>
      </c>
      <c r="BM11" s="91">
        <v>334</v>
      </c>
      <c r="BN11" s="91">
        <v>18</v>
      </c>
      <c r="BO11" s="94">
        <v>0</v>
      </c>
      <c r="BP11" s="94">
        <v>0</v>
      </c>
      <c r="BQ11" s="91">
        <v>18</v>
      </c>
      <c r="BR11" s="91">
        <v>3</v>
      </c>
      <c r="BS11" s="95">
        <v>188</v>
      </c>
      <c r="BT11" s="91">
        <v>191</v>
      </c>
      <c r="BU11" s="91">
        <v>1</v>
      </c>
      <c r="BV11" s="91">
        <v>17</v>
      </c>
      <c r="BW11" s="91">
        <v>17</v>
      </c>
      <c r="BX11" s="91">
        <v>5</v>
      </c>
      <c r="BY11" s="91">
        <v>140</v>
      </c>
      <c r="BZ11" s="91">
        <v>180</v>
      </c>
      <c r="CA11" s="91">
        <v>154</v>
      </c>
      <c r="CB11" s="91">
        <v>26</v>
      </c>
      <c r="CC11" s="91">
        <v>0</v>
      </c>
      <c r="CD11" s="91">
        <v>180</v>
      </c>
      <c r="CE11" s="91">
        <v>11</v>
      </c>
      <c r="CF11" s="94">
        <v>0</v>
      </c>
      <c r="CG11" s="94">
        <v>0</v>
      </c>
      <c r="CH11" s="95">
        <v>11</v>
      </c>
      <c r="CI11" s="94">
        <v>18</v>
      </c>
      <c r="CJ11" s="91">
        <v>979</v>
      </c>
      <c r="CK11" s="91">
        <v>997</v>
      </c>
      <c r="CL11" s="91">
        <v>29</v>
      </c>
      <c r="CM11" s="91">
        <v>88</v>
      </c>
      <c r="CN11" s="91">
        <v>23</v>
      </c>
      <c r="CO11" s="91">
        <v>114</v>
      </c>
      <c r="CP11" s="102">
        <v>634</v>
      </c>
      <c r="CQ11" s="91">
        <v>888</v>
      </c>
      <c r="CR11" s="91">
        <v>741</v>
      </c>
      <c r="CS11" s="91">
        <v>147</v>
      </c>
      <c r="CT11" s="94">
        <v>0</v>
      </c>
      <c r="CU11" s="91">
        <v>888</v>
      </c>
      <c r="CV11" s="91">
        <v>109</v>
      </c>
      <c r="CW11" s="94">
        <v>0</v>
      </c>
      <c r="CX11" s="94">
        <v>0</v>
      </c>
      <c r="CY11" s="91">
        <v>109</v>
      </c>
    </row>
    <row r="12" spans="1:103" x14ac:dyDescent="0.2">
      <c r="A12" s="98" t="s">
        <v>373</v>
      </c>
      <c r="B12" s="689">
        <v>50</v>
      </c>
      <c r="C12" s="693">
        <v>223</v>
      </c>
      <c r="D12" s="689">
        <f t="shared" si="2"/>
        <v>273</v>
      </c>
      <c r="E12" s="692">
        <v>0</v>
      </c>
      <c r="F12" s="693">
        <v>60</v>
      </c>
      <c r="G12" s="689">
        <v>43</v>
      </c>
      <c r="H12" s="689">
        <v>21</v>
      </c>
      <c r="I12" s="689">
        <v>108</v>
      </c>
      <c r="J12" s="689">
        <f t="shared" si="0"/>
        <v>232</v>
      </c>
      <c r="K12" s="689">
        <v>128</v>
      </c>
      <c r="L12" s="689">
        <v>56</v>
      </c>
      <c r="M12" s="689">
        <v>48</v>
      </c>
      <c r="N12" s="689">
        <f t="shared" si="3"/>
        <v>232</v>
      </c>
      <c r="O12" s="689">
        <v>41</v>
      </c>
      <c r="P12" s="692">
        <v>0</v>
      </c>
      <c r="Q12" s="692">
        <v>0</v>
      </c>
      <c r="R12" s="693">
        <f t="shared" si="4"/>
        <v>41</v>
      </c>
      <c r="S12" s="692">
        <v>0</v>
      </c>
      <c r="T12" s="689">
        <v>177</v>
      </c>
      <c r="U12" s="689">
        <f t="shared" si="5"/>
        <v>177</v>
      </c>
      <c r="V12" s="692">
        <v>0</v>
      </c>
      <c r="W12" s="689">
        <v>30</v>
      </c>
      <c r="X12" s="689">
        <v>15</v>
      </c>
      <c r="Y12" s="689">
        <v>11</v>
      </c>
      <c r="Z12" s="694">
        <v>81</v>
      </c>
      <c r="AA12" s="689">
        <f t="shared" si="1"/>
        <v>137</v>
      </c>
      <c r="AB12" s="689">
        <v>91</v>
      </c>
      <c r="AC12" s="689">
        <v>46</v>
      </c>
      <c r="AD12" s="692">
        <v>0</v>
      </c>
      <c r="AE12" s="689">
        <f t="shared" si="6"/>
        <v>137</v>
      </c>
      <c r="AF12" s="689">
        <v>40</v>
      </c>
      <c r="AG12" s="692">
        <v>0</v>
      </c>
      <c r="AH12" s="692">
        <v>0</v>
      </c>
      <c r="AI12" s="689">
        <f t="shared" si="7"/>
        <v>40</v>
      </c>
      <c r="AJ12" s="91">
        <v>41</v>
      </c>
      <c r="AK12" s="95">
        <v>205</v>
      </c>
      <c r="AL12" s="91">
        <v>246</v>
      </c>
      <c r="AM12" s="94">
        <v>0</v>
      </c>
      <c r="AN12" s="95">
        <v>56</v>
      </c>
      <c r="AO12" s="91">
        <v>30</v>
      </c>
      <c r="AP12" s="91">
        <v>12</v>
      </c>
      <c r="AQ12" s="91">
        <v>145</v>
      </c>
      <c r="AR12" s="91">
        <v>243</v>
      </c>
      <c r="AS12" s="91">
        <v>193</v>
      </c>
      <c r="AT12" s="91">
        <v>50</v>
      </c>
      <c r="AU12" s="91">
        <v>0</v>
      </c>
      <c r="AV12" s="91">
        <v>243</v>
      </c>
      <c r="AW12" s="91">
        <v>3</v>
      </c>
      <c r="AX12" s="94">
        <v>0</v>
      </c>
      <c r="AY12" s="94">
        <v>0</v>
      </c>
      <c r="AZ12" s="95">
        <v>3</v>
      </c>
      <c r="BA12" s="94">
        <v>40</v>
      </c>
      <c r="BB12" s="91">
        <v>203</v>
      </c>
      <c r="BC12" s="91">
        <v>243</v>
      </c>
      <c r="BD12" s="94">
        <v>1</v>
      </c>
      <c r="BE12" s="91">
        <v>79</v>
      </c>
      <c r="BF12" s="91">
        <v>21</v>
      </c>
      <c r="BG12" s="91">
        <v>16</v>
      </c>
      <c r="BH12" s="102">
        <v>116</v>
      </c>
      <c r="BI12" s="91">
        <v>233</v>
      </c>
      <c r="BJ12" s="91">
        <v>180</v>
      </c>
      <c r="BK12" s="91">
        <v>53</v>
      </c>
      <c r="BL12" s="94">
        <v>0</v>
      </c>
      <c r="BM12" s="91">
        <v>233</v>
      </c>
      <c r="BN12" s="91">
        <v>10</v>
      </c>
      <c r="BO12" s="94">
        <v>0</v>
      </c>
      <c r="BP12" s="94">
        <v>0</v>
      </c>
      <c r="BQ12" s="91">
        <v>10</v>
      </c>
      <c r="BR12" s="91">
        <v>3</v>
      </c>
      <c r="BS12" s="95">
        <v>263</v>
      </c>
      <c r="BT12" s="91">
        <v>266</v>
      </c>
      <c r="BU12" s="94">
        <v>0</v>
      </c>
      <c r="BV12" s="95">
        <v>42</v>
      </c>
      <c r="BW12" s="91">
        <v>33</v>
      </c>
      <c r="BX12" s="91">
        <v>6</v>
      </c>
      <c r="BY12" s="91">
        <v>177</v>
      </c>
      <c r="BZ12" s="91">
        <v>258</v>
      </c>
      <c r="CA12" s="91">
        <v>249</v>
      </c>
      <c r="CB12" s="91">
        <v>8</v>
      </c>
      <c r="CC12" s="91">
        <v>0</v>
      </c>
      <c r="CD12" s="91">
        <v>257</v>
      </c>
      <c r="CE12" s="91">
        <v>8</v>
      </c>
      <c r="CF12" s="94">
        <v>0</v>
      </c>
      <c r="CG12" s="94">
        <v>0</v>
      </c>
      <c r="CH12" s="95">
        <v>8</v>
      </c>
      <c r="CI12" s="94">
        <v>10</v>
      </c>
      <c r="CJ12" s="91">
        <v>339</v>
      </c>
      <c r="CK12" s="91">
        <v>349</v>
      </c>
      <c r="CL12" s="94">
        <v>0</v>
      </c>
      <c r="CM12" s="91">
        <v>85</v>
      </c>
      <c r="CN12" s="91">
        <v>39</v>
      </c>
      <c r="CO12" s="91">
        <v>14</v>
      </c>
      <c r="CP12" s="102">
        <v>195</v>
      </c>
      <c r="CQ12" s="91">
        <v>333</v>
      </c>
      <c r="CR12" s="91">
        <v>322</v>
      </c>
      <c r="CS12" s="91">
        <v>11</v>
      </c>
      <c r="CT12" s="94">
        <v>0</v>
      </c>
      <c r="CU12" s="91">
        <v>333</v>
      </c>
      <c r="CV12" s="91">
        <v>16</v>
      </c>
      <c r="CW12" s="94">
        <v>0</v>
      </c>
      <c r="CX12" s="94">
        <v>0</v>
      </c>
      <c r="CY12" s="91">
        <v>16</v>
      </c>
    </row>
    <row r="13" spans="1:103" x14ac:dyDescent="0.2">
      <c r="A13" s="98" t="s">
        <v>173</v>
      </c>
      <c r="B13" s="689">
        <v>382</v>
      </c>
      <c r="C13" s="693">
        <v>347</v>
      </c>
      <c r="D13" s="689">
        <f t="shared" si="2"/>
        <v>729</v>
      </c>
      <c r="E13" s="692">
        <v>0</v>
      </c>
      <c r="F13" s="689">
        <v>268</v>
      </c>
      <c r="G13" s="689">
        <v>221</v>
      </c>
      <c r="H13" s="692">
        <v>0</v>
      </c>
      <c r="I13" s="689">
        <v>173</v>
      </c>
      <c r="J13" s="689">
        <f t="shared" si="0"/>
        <v>662</v>
      </c>
      <c r="K13" s="689">
        <v>187</v>
      </c>
      <c r="L13" s="689">
        <v>408</v>
      </c>
      <c r="M13" s="689">
        <v>67</v>
      </c>
      <c r="N13" s="689">
        <f t="shared" si="3"/>
        <v>662</v>
      </c>
      <c r="O13" s="689">
        <v>42</v>
      </c>
      <c r="P13" s="689">
        <v>25</v>
      </c>
      <c r="Q13" s="692">
        <v>0</v>
      </c>
      <c r="R13" s="693">
        <f t="shared" si="4"/>
        <v>67</v>
      </c>
      <c r="S13" s="692">
        <v>0</v>
      </c>
      <c r="T13" s="689">
        <v>769</v>
      </c>
      <c r="U13" s="689">
        <f t="shared" si="5"/>
        <v>769</v>
      </c>
      <c r="V13" s="692">
        <v>0</v>
      </c>
      <c r="W13" s="689">
        <v>166</v>
      </c>
      <c r="X13" s="689">
        <v>93</v>
      </c>
      <c r="Y13" s="692">
        <v>0</v>
      </c>
      <c r="Z13" s="694">
        <v>325</v>
      </c>
      <c r="AA13" s="689">
        <f t="shared" si="1"/>
        <v>584</v>
      </c>
      <c r="AB13" s="689">
        <v>340</v>
      </c>
      <c r="AC13" s="689">
        <v>244</v>
      </c>
      <c r="AD13" s="692">
        <v>0</v>
      </c>
      <c r="AE13" s="689">
        <f t="shared" si="6"/>
        <v>584</v>
      </c>
      <c r="AF13" s="689">
        <v>112</v>
      </c>
      <c r="AG13" s="689">
        <v>73</v>
      </c>
      <c r="AH13" s="692">
        <v>0</v>
      </c>
      <c r="AI13" s="689">
        <f t="shared" si="7"/>
        <v>185</v>
      </c>
      <c r="AJ13" s="91">
        <v>67</v>
      </c>
      <c r="AK13" s="95">
        <v>331</v>
      </c>
      <c r="AL13" s="91">
        <v>398</v>
      </c>
      <c r="AM13" s="94">
        <v>0</v>
      </c>
      <c r="AN13" s="91">
        <v>117</v>
      </c>
      <c r="AO13" s="91">
        <v>85</v>
      </c>
      <c r="AP13" s="94">
        <v>1</v>
      </c>
      <c r="AQ13" s="91">
        <v>155</v>
      </c>
      <c r="AR13" s="91">
        <v>358</v>
      </c>
      <c r="AS13" s="91">
        <v>258</v>
      </c>
      <c r="AT13" s="91">
        <v>100</v>
      </c>
      <c r="AU13" s="91">
        <v>0</v>
      </c>
      <c r="AV13" s="91">
        <v>358</v>
      </c>
      <c r="AW13" s="91">
        <v>40</v>
      </c>
      <c r="AX13" s="91">
        <v>0</v>
      </c>
      <c r="AY13" s="94">
        <v>0</v>
      </c>
      <c r="AZ13" s="95">
        <v>40</v>
      </c>
      <c r="BA13" s="94">
        <v>185</v>
      </c>
      <c r="BB13" s="91">
        <v>774</v>
      </c>
      <c r="BC13" s="91">
        <v>959</v>
      </c>
      <c r="BD13" s="94">
        <v>0</v>
      </c>
      <c r="BE13" s="91">
        <v>379</v>
      </c>
      <c r="BF13" s="91">
        <v>156</v>
      </c>
      <c r="BG13" s="94">
        <v>0</v>
      </c>
      <c r="BH13" s="102">
        <v>336</v>
      </c>
      <c r="BI13" s="91">
        <v>871</v>
      </c>
      <c r="BJ13" s="91">
        <v>627</v>
      </c>
      <c r="BK13" s="91">
        <v>244</v>
      </c>
      <c r="BL13" s="94">
        <v>0</v>
      </c>
      <c r="BM13" s="91">
        <v>871</v>
      </c>
      <c r="BN13" s="91">
        <v>88</v>
      </c>
      <c r="BO13" s="91">
        <v>0</v>
      </c>
      <c r="BP13" s="94">
        <v>0</v>
      </c>
      <c r="BQ13" s="91">
        <v>88</v>
      </c>
      <c r="BR13" s="91">
        <v>40</v>
      </c>
      <c r="BS13" s="95">
        <v>380</v>
      </c>
      <c r="BT13" s="91">
        <v>420</v>
      </c>
      <c r="BU13" s="94">
        <v>44</v>
      </c>
      <c r="BV13" s="91">
        <v>47</v>
      </c>
      <c r="BW13" s="91">
        <v>68</v>
      </c>
      <c r="BX13" s="94">
        <v>6</v>
      </c>
      <c r="BY13" s="91">
        <v>224</v>
      </c>
      <c r="BZ13" s="91">
        <v>389</v>
      </c>
      <c r="CA13" s="91">
        <v>254</v>
      </c>
      <c r="CB13" s="91">
        <v>135</v>
      </c>
      <c r="CC13" s="91">
        <v>0</v>
      </c>
      <c r="CD13" s="91">
        <v>389</v>
      </c>
      <c r="CE13" s="91">
        <v>31</v>
      </c>
      <c r="CF13" s="91">
        <v>0</v>
      </c>
      <c r="CG13" s="94">
        <v>0</v>
      </c>
      <c r="CH13" s="95">
        <v>31</v>
      </c>
      <c r="CI13" s="94">
        <v>88</v>
      </c>
      <c r="CJ13" s="91">
        <v>1175</v>
      </c>
      <c r="CK13" s="91">
        <v>1263</v>
      </c>
      <c r="CL13" s="94">
        <v>191</v>
      </c>
      <c r="CM13" s="91">
        <v>162</v>
      </c>
      <c r="CN13" s="91">
        <v>147</v>
      </c>
      <c r="CO13" s="94">
        <v>5</v>
      </c>
      <c r="CP13" s="102">
        <v>639</v>
      </c>
      <c r="CQ13" s="91">
        <v>1144</v>
      </c>
      <c r="CR13" s="91">
        <v>787</v>
      </c>
      <c r="CS13" s="91">
        <v>357</v>
      </c>
      <c r="CT13" s="94">
        <v>0</v>
      </c>
      <c r="CU13" s="91">
        <v>1144</v>
      </c>
      <c r="CV13" s="91">
        <v>119</v>
      </c>
      <c r="CW13" s="91">
        <v>0</v>
      </c>
      <c r="CX13" s="94">
        <v>0</v>
      </c>
      <c r="CY13" s="91">
        <v>119</v>
      </c>
    </row>
    <row r="14" spans="1:103" x14ac:dyDescent="0.2">
      <c r="A14" s="98" t="s">
        <v>374</v>
      </c>
      <c r="B14" s="689">
        <v>144</v>
      </c>
      <c r="C14" s="693">
        <v>265</v>
      </c>
      <c r="D14" s="689">
        <f t="shared" si="2"/>
        <v>409</v>
      </c>
      <c r="E14" s="689">
        <v>2</v>
      </c>
      <c r="F14" s="689">
        <v>159</v>
      </c>
      <c r="G14" s="689">
        <v>45</v>
      </c>
      <c r="H14" s="689">
        <v>33</v>
      </c>
      <c r="I14" s="689">
        <v>150</v>
      </c>
      <c r="J14" s="689">
        <f t="shared" si="0"/>
        <v>389</v>
      </c>
      <c r="K14" s="689">
        <v>195</v>
      </c>
      <c r="L14" s="689">
        <v>194</v>
      </c>
      <c r="M14" s="692">
        <v>0</v>
      </c>
      <c r="N14" s="689">
        <f t="shared" si="3"/>
        <v>389</v>
      </c>
      <c r="O14" s="689">
        <v>20</v>
      </c>
      <c r="P14" s="692">
        <v>0</v>
      </c>
      <c r="Q14" s="692">
        <v>0</v>
      </c>
      <c r="R14" s="693">
        <f t="shared" si="4"/>
        <v>20</v>
      </c>
      <c r="S14" s="692">
        <v>0</v>
      </c>
      <c r="T14" s="689">
        <v>659</v>
      </c>
      <c r="U14" s="689">
        <f t="shared" si="5"/>
        <v>659</v>
      </c>
      <c r="V14" s="689">
        <v>2</v>
      </c>
      <c r="W14" s="689">
        <v>178</v>
      </c>
      <c r="X14" s="689">
        <v>87</v>
      </c>
      <c r="Y14" s="689">
        <v>55</v>
      </c>
      <c r="Z14" s="694">
        <v>275</v>
      </c>
      <c r="AA14" s="689">
        <f t="shared" si="1"/>
        <v>597</v>
      </c>
      <c r="AB14" s="689">
        <v>394</v>
      </c>
      <c r="AC14" s="689">
        <v>203</v>
      </c>
      <c r="AD14" s="692">
        <v>0</v>
      </c>
      <c r="AE14" s="689">
        <f t="shared" si="6"/>
        <v>597</v>
      </c>
      <c r="AF14" s="689">
        <v>62</v>
      </c>
      <c r="AG14" s="692">
        <v>0</v>
      </c>
      <c r="AH14" s="692">
        <v>0</v>
      </c>
      <c r="AI14" s="689">
        <f t="shared" si="7"/>
        <v>62</v>
      </c>
      <c r="AJ14" s="91">
        <v>20</v>
      </c>
      <c r="AK14" s="95">
        <v>211</v>
      </c>
      <c r="AL14" s="91">
        <v>231</v>
      </c>
      <c r="AM14" s="91">
        <v>0</v>
      </c>
      <c r="AN14" s="91">
        <v>55</v>
      </c>
      <c r="AO14" s="91">
        <v>25</v>
      </c>
      <c r="AP14" s="91">
        <v>15</v>
      </c>
      <c r="AQ14" s="91">
        <v>100</v>
      </c>
      <c r="AR14" s="91">
        <v>195</v>
      </c>
      <c r="AS14" s="91">
        <v>125</v>
      </c>
      <c r="AT14" s="91">
        <v>70</v>
      </c>
      <c r="AU14" s="94">
        <v>0</v>
      </c>
      <c r="AV14" s="91">
        <v>195</v>
      </c>
      <c r="AW14" s="91">
        <v>36</v>
      </c>
      <c r="AX14" s="94">
        <v>0</v>
      </c>
      <c r="AY14" s="94">
        <v>0</v>
      </c>
      <c r="AZ14" s="95">
        <v>36</v>
      </c>
      <c r="BA14" s="94">
        <v>62</v>
      </c>
      <c r="BB14" s="91">
        <v>721</v>
      </c>
      <c r="BC14" s="91">
        <v>783</v>
      </c>
      <c r="BD14" s="91">
        <v>1</v>
      </c>
      <c r="BE14" s="91">
        <v>119</v>
      </c>
      <c r="BF14" s="91">
        <v>85</v>
      </c>
      <c r="BG14" s="91">
        <v>106</v>
      </c>
      <c r="BH14" s="102">
        <v>300</v>
      </c>
      <c r="BI14" s="91">
        <v>611</v>
      </c>
      <c r="BJ14" s="91">
        <v>415</v>
      </c>
      <c r="BK14" s="91">
        <v>196</v>
      </c>
      <c r="BL14" s="94">
        <v>0</v>
      </c>
      <c r="BM14" s="91">
        <v>611</v>
      </c>
      <c r="BN14" s="91">
        <v>172</v>
      </c>
      <c r="BO14" s="94">
        <v>0</v>
      </c>
      <c r="BP14" s="94">
        <v>0</v>
      </c>
      <c r="BQ14" s="91">
        <v>172</v>
      </c>
      <c r="BR14" s="91">
        <v>36</v>
      </c>
      <c r="BS14" s="95">
        <v>248</v>
      </c>
      <c r="BT14" s="91">
        <v>284</v>
      </c>
      <c r="BU14" s="91">
        <v>0</v>
      </c>
      <c r="BV14" s="91">
        <v>29</v>
      </c>
      <c r="BW14" s="91">
        <v>42</v>
      </c>
      <c r="BX14" s="91">
        <v>12</v>
      </c>
      <c r="BY14" s="91">
        <v>159</v>
      </c>
      <c r="BZ14" s="91">
        <v>242</v>
      </c>
      <c r="CA14" s="91">
        <v>171</v>
      </c>
      <c r="CB14" s="91">
        <v>71</v>
      </c>
      <c r="CC14" s="94">
        <v>0</v>
      </c>
      <c r="CD14" s="91">
        <v>242</v>
      </c>
      <c r="CE14" s="91">
        <v>34</v>
      </c>
      <c r="CF14" s="94">
        <v>8</v>
      </c>
      <c r="CG14" s="94">
        <v>0</v>
      </c>
      <c r="CH14" s="95">
        <v>42</v>
      </c>
      <c r="CI14" s="94">
        <v>172</v>
      </c>
      <c r="CJ14" s="91">
        <v>1423</v>
      </c>
      <c r="CK14" s="91">
        <v>1595</v>
      </c>
      <c r="CL14" s="91">
        <v>2</v>
      </c>
      <c r="CM14" s="91">
        <v>230</v>
      </c>
      <c r="CN14" s="91">
        <v>164</v>
      </c>
      <c r="CO14" s="91">
        <v>222</v>
      </c>
      <c r="CP14" s="102">
        <v>769</v>
      </c>
      <c r="CQ14" s="91">
        <v>1387</v>
      </c>
      <c r="CR14" s="91">
        <v>855</v>
      </c>
      <c r="CS14" s="91">
        <v>532</v>
      </c>
      <c r="CT14" s="94">
        <v>0</v>
      </c>
      <c r="CU14" s="91">
        <v>1387</v>
      </c>
      <c r="CV14" s="91">
        <v>164</v>
      </c>
      <c r="CW14" s="94">
        <v>44</v>
      </c>
      <c r="CX14" s="94">
        <v>0</v>
      </c>
      <c r="CY14" s="91">
        <v>208</v>
      </c>
    </row>
    <row r="15" spans="1:103" x14ac:dyDescent="0.2">
      <c r="A15" s="98" t="s">
        <v>175</v>
      </c>
      <c r="B15" s="689">
        <v>305</v>
      </c>
      <c r="C15" s="693">
        <v>251</v>
      </c>
      <c r="D15" s="689">
        <f t="shared" si="2"/>
        <v>556</v>
      </c>
      <c r="E15" s="689">
        <v>1</v>
      </c>
      <c r="F15" s="689">
        <v>212</v>
      </c>
      <c r="G15" s="689">
        <v>176</v>
      </c>
      <c r="H15" s="689">
        <v>30</v>
      </c>
      <c r="I15" s="689">
        <v>131</v>
      </c>
      <c r="J15" s="689">
        <f t="shared" si="0"/>
        <v>550</v>
      </c>
      <c r="K15" s="689">
        <v>176</v>
      </c>
      <c r="L15" s="689">
        <v>371</v>
      </c>
      <c r="M15" s="689">
        <v>3</v>
      </c>
      <c r="N15" s="689">
        <f t="shared" si="3"/>
        <v>550</v>
      </c>
      <c r="O15" s="689">
        <v>6</v>
      </c>
      <c r="P15" s="692">
        <v>0</v>
      </c>
      <c r="Q15" s="692">
        <v>0</v>
      </c>
      <c r="R15" s="693">
        <f t="shared" si="4"/>
        <v>6</v>
      </c>
      <c r="S15" s="692">
        <v>0</v>
      </c>
      <c r="T15" s="689">
        <v>562</v>
      </c>
      <c r="U15" s="689">
        <f t="shared" si="5"/>
        <v>562</v>
      </c>
      <c r="V15" s="692">
        <v>0</v>
      </c>
      <c r="W15" s="689">
        <v>135</v>
      </c>
      <c r="X15" s="689">
        <v>196</v>
      </c>
      <c r="Y15" s="689">
        <v>29</v>
      </c>
      <c r="Z15" s="694">
        <v>185</v>
      </c>
      <c r="AA15" s="689">
        <f t="shared" si="1"/>
        <v>545</v>
      </c>
      <c r="AB15" s="689">
        <v>299</v>
      </c>
      <c r="AC15" s="689">
        <v>246</v>
      </c>
      <c r="AD15" s="692">
        <v>0</v>
      </c>
      <c r="AE15" s="689">
        <f t="shared" si="6"/>
        <v>545</v>
      </c>
      <c r="AF15" s="689">
        <v>17</v>
      </c>
      <c r="AG15" s="692">
        <v>0</v>
      </c>
      <c r="AH15" s="692">
        <v>0</v>
      </c>
      <c r="AI15" s="689">
        <f t="shared" si="7"/>
        <v>17</v>
      </c>
      <c r="AJ15" s="91">
        <v>6</v>
      </c>
      <c r="AK15" s="95">
        <v>107</v>
      </c>
      <c r="AL15" s="91">
        <v>113</v>
      </c>
      <c r="AM15" s="91">
        <v>15</v>
      </c>
      <c r="AN15" s="91">
        <v>14</v>
      </c>
      <c r="AO15" s="91">
        <v>21</v>
      </c>
      <c r="AP15" s="91">
        <v>2</v>
      </c>
      <c r="AQ15" s="91">
        <v>61</v>
      </c>
      <c r="AR15" s="91">
        <v>113</v>
      </c>
      <c r="AS15" s="91">
        <v>113</v>
      </c>
      <c r="AT15" s="91">
        <v>0</v>
      </c>
      <c r="AU15" s="91">
        <v>0</v>
      </c>
      <c r="AV15" s="91">
        <v>113</v>
      </c>
      <c r="AW15" s="91">
        <v>0</v>
      </c>
      <c r="AX15" s="94">
        <v>0</v>
      </c>
      <c r="AY15" s="94">
        <v>0</v>
      </c>
      <c r="AZ15" s="95">
        <v>0</v>
      </c>
      <c r="BA15" s="94">
        <v>17</v>
      </c>
      <c r="BB15" s="91">
        <v>295</v>
      </c>
      <c r="BC15" s="91">
        <v>312</v>
      </c>
      <c r="BD15" s="94">
        <v>54</v>
      </c>
      <c r="BE15" s="91">
        <v>30</v>
      </c>
      <c r="BF15" s="91">
        <v>109</v>
      </c>
      <c r="BG15" s="91">
        <v>7</v>
      </c>
      <c r="BH15" s="102">
        <v>112</v>
      </c>
      <c r="BI15" s="91">
        <v>312</v>
      </c>
      <c r="BJ15" s="91">
        <v>309</v>
      </c>
      <c r="BK15" s="91">
        <v>3</v>
      </c>
      <c r="BL15" s="94">
        <v>0</v>
      </c>
      <c r="BM15" s="91">
        <v>312</v>
      </c>
      <c r="BN15" s="91">
        <v>0</v>
      </c>
      <c r="BO15" s="94">
        <v>0</v>
      </c>
      <c r="BP15" s="94">
        <v>0</v>
      </c>
      <c r="BQ15" s="91">
        <v>0</v>
      </c>
      <c r="BR15" s="91">
        <v>0</v>
      </c>
      <c r="BS15" s="95">
        <v>397</v>
      </c>
      <c r="BT15" s="91">
        <v>397</v>
      </c>
      <c r="BU15" s="91">
        <v>36</v>
      </c>
      <c r="BV15" s="91">
        <v>5</v>
      </c>
      <c r="BW15" s="91">
        <v>77</v>
      </c>
      <c r="BX15" s="91">
        <v>13</v>
      </c>
      <c r="BY15" s="91">
        <v>266</v>
      </c>
      <c r="BZ15" s="91">
        <v>397</v>
      </c>
      <c r="CA15" s="91">
        <v>397</v>
      </c>
      <c r="CB15" s="91">
        <v>0</v>
      </c>
      <c r="CC15" s="91">
        <v>0</v>
      </c>
      <c r="CD15" s="91">
        <v>397</v>
      </c>
      <c r="CE15" s="91">
        <v>0</v>
      </c>
      <c r="CF15" s="94">
        <v>0</v>
      </c>
      <c r="CG15" s="94">
        <v>0</v>
      </c>
      <c r="CH15" s="95">
        <v>0</v>
      </c>
      <c r="CI15" s="94">
        <v>0</v>
      </c>
      <c r="CJ15" s="91">
        <v>1129</v>
      </c>
      <c r="CK15" s="91">
        <v>1129</v>
      </c>
      <c r="CL15" s="94">
        <v>127</v>
      </c>
      <c r="CM15" s="91">
        <v>29</v>
      </c>
      <c r="CN15" s="91">
        <v>202</v>
      </c>
      <c r="CO15" s="91">
        <v>44</v>
      </c>
      <c r="CP15" s="102">
        <v>727</v>
      </c>
      <c r="CQ15" s="91">
        <v>1129</v>
      </c>
      <c r="CR15" s="91">
        <v>1129</v>
      </c>
      <c r="CS15" s="91">
        <v>0</v>
      </c>
      <c r="CT15" s="94">
        <v>0</v>
      </c>
      <c r="CU15" s="91">
        <v>1129</v>
      </c>
      <c r="CV15" s="91">
        <v>0</v>
      </c>
      <c r="CW15" s="94">
        <v>0</v>
      </c>
      <c r="CX15" s="94">
        <v>0</v>
      </c>
      <c r="CY15" s="91">
        <v>0</v>
      </c>
    </row>
    <row r="16" spans="1:103" x14ac:dyDescent="0.2">
      <c r="A16" s="98" t="s">
        <v>375</v>
      </c>
      <c r="B16" s="692">
        <v>0</v>
      </c>
      <c r="C16" s="693">
        <v>102</v>
      </c>
      <c r="D16" s="689">
        <f t="shared" si="2"/>
        <v>102</v>
      </c>
      <c r="E16" s="692">
        <v>0</v>
      </c>
      <c r="F16" s="689">
        <v>23</v>
      </c>
      <c r="G16" s="689">
        <v>17</v>
      </c>
      <c r="H16" s="689">
        <v>7</v>
      </c>
      <c r="I16" s="689">
        <v>55</v>
      </c>
      <c r="J16" s="689">
        <f t="shared" si="0"/>
        <v>102</v>
      </c>
      <c r="K16" s="689">
        <v>102</v>
      </c>
      <c r="L16" s="692">
        <v>0</v>
      </c>
      <c r="M16" s="692">
        <v>0</v>
      </c>
      <c r="N16" s="689">
        <f t="shared" si="3"/>
        <v>102</v>
      </c>
      <c r="O16" s="692">
        <v>0</v>
      </c>
      <c r="P16" s="692">
        <v>0</v>
      </c>
      <c r="Q16" s="692">
        <v>0</v>
      </c>
      <c r="R16" s="692">
        <v>0</v>
      </c>
      <c r="S16" s="692">
        <v>0</v>
      </c>
      <c r="T16" s="689">
        <v>150</v>
      </c>
      <c r="U16" s="689">
        <f t="shared" si="5"/>
        <v>150</v>
      </c>
      <c r="V16" s="692">
        <v>0</v>
      </c>
      <c r="W16" s="689">
        <v>42</v>
      </c>
      <c r="X16" s="689">
        <v>19</v>
      </c>
      <c r="Y16" s="689">
        <v>12</v>
      </c>
      <c r="Z16" s="694">
        <v>72</v>
      </c>
      <c r="AA16" s="689">
        <f t="shared" si="1"/>
        <v>145</v>
      </c>
      <c r="AB16" s="689">
        <v>145</v>
      </c>
      <c r="AC16" s="692">
        <v>0</v>
      </c>
      <c r="AD16" s="692">
        <v>0</v>
      </c>
      <c r="AE16" s="689">
        <f t="shared" si="6"/>
        <v>145</v>
      </c>
      <c r="AF16" s="689">
        <v>5</v>
      </c>
      <c r="AG16" s="692">
        <v>0</v>
      </c>
      <c r="AH16" s="692">
        <v>0</v>
      </c>
      <c r="AI16" s="689">
        <f t="shared" si="7"/>
        <v>5</v>
      </c>
      <c r="AJ16" s="94">
        <v>0</v>
      </c>
      <c r="AK16" s="95">
        <v>77</v>
      </c>
      <c r="AL16" s="91">
        <v>77</v>
      </c>
      <c r="AM16" s="94">
        <v>1</v>
      </c>
      <c r="AN16" s="91">
        <v>14</v>
      </c>
      <c r="AO16" s="91">
        <v>10</v>
      </c>
      <c r="AP16" s="91">
        <v>2</v>
      </c>
      <c r="AQ16" s="91">
        <v>50</v>
      </c>
      <c r="AR16" s="91">
        <v>77</v>
      </c>
      <c r="AS16" s="91">
        <v>76</v>
      </c>
      <c r="AT16" s="94">
        <v>1</v>
      </c>
      <c r="AU16" s="94">
        <v>0</v>
      </c>
      <c r="AV16" s="91">
        <v>77</v>
      </c>
      <c r="AW16" s="94">
        <v>0</v>
      </c>
      <c r="AX16" s="94">
        <v>0</v>
      </c>
      <c r="AY16" s="94">
        <v>0</v>
      </c>
      <c r="AZ16" s="94">
        <v>0</v>
      </c>
      <c r="BA16" s="94">
        <v>5</v>
      </c>
      <c r="BB16" s="91">
        <v>157</v>
      </c>
      <c r="BC16" s="91">
        <v>162</v>
      </c>
      <c r="BD16" s="94">
        <v>0</v>
      </c>
      <c r="BE16" s="91">
        <v>31</v>
      </c>
      <c r="BF16" s="91">
        <v>30</v>
      </c>
      <c r="BG16" s="91">
        <v>9</v>
      </c>
      <c r="BH16" s="102">
        <v>92</v>
      </c>
      <c r="BI16" s="91">
        <v>162</v>
      </c>
      <c r="BJ16" s="91">
        <v>159</v>
      </c>
      <c r="BK16" s="94">
        <v>3</v>
      </c>
      <c r="BL16" s="94">
        <v>0</v>
      </c>
      <c r="BM16" s="91">
        <v>162</v>
      </c>
      <c r="BN16" s="91">
        <v>0</v>
      </c>
      <c r="BO16" s="94">
        <v>0</v>
      </c>
      <c r="BP16" s="94">
        <v>0</v>
      </c>
      <c r="BQ16" s="91">
        <v>0</v>
      </c>
      <c r="BR16" s="94">
        <v>0</v>
      </c>
      <c r="BS16" s="95">
        <v>112</v>
      </c>
      <c r="BT16" s="91">
        <v>112</v>
      </c>
      <c r="BU16" s="94">
        <v>0</v>
      </c>
      <c r="BV16" s="91">
        <v>30</v>
      </c>
      <c r="BW16" s="91">
        <v>18</v>
      </c>
      <c r="BX16" s="91">
        <v>8</v>
      </c>
      <c r="BY16" s="91">
        <v>56</v>
      </c>
      <c r="BZ16" s="91">
        <v>112</v>
      </c>
      <c r="CA16" s="91">
        <v>112</v>
      </c>
      <c r="CB16" s="94">
        <v>0</v>
      </c>
      <c r="CC16" s="94">
        <v>0</v>
      </c>
      <c r="CD16" s="91">
        <v>112</v>
      </c>
      <c r="CE16" s="94">
        <v>0</v>
      </c>
      <c r="CF16" s="94">
        <v>0</v>
      </c>
      <c r="CG16" s="94">
        <v>0</v>
      </c>
      <c r="CH16" s="94">
        <v>0</v>
      </c>
      <c r="CI16" s="94">
        <v>0</v>
      </c>
      <c r="CJ16" s="91">
        <v>211</v>
      </c>
      <c r="CK16" s="91">
        <v>211</v>
      </c>
      <c r="CL16" s="94">
        <v>4</v>
      </c>
      <c r="CM16" s="91">
        <v>58</v>
      </c>
      <c r="CN16" s="91">
        <v>47</v>
      </c>
      <c r="CO16" s="91">
        <v>13</v>
      </c>
      <c r="CP16" s="102">
        <v>89</v>
      </c>
      <c r="CQ16" s="91">
        <v>211</v>
      </c>
      <c r="CR16" s="91">
        <v>211</v>
      </c>
      <c r="CS16" s="94">
        <v>0</v>
      </c>
      <c r="CT16" s="94">
        <v>0</v>
      </c>
      <c r="CU16" s="91">
        <v>211</v>
      </c>
      <c r="CV16" s="91">
        <v>0</v>
      </c>
      <c r="CW16" s="94">
        <v>0</v>
      </c>
      <c r="CX16" s="94">
        <v>0</v>
      </c>
      <c r="CY16" s="91">
        <v>0</v>
      </c>
    </row>
    <row r="17" spans="1:103" x14ac:dyDescent="0.2">
      <c r="A17" s="98" t="s">
        <v>376</v>
      </c>
      <c r="B17" s="689">
        <v>107</v>
      </c>
      <c r="C17" s="693">
        <v>419</v>
      </c>
      <c r="D17" s="689">
        <f t="shared" si="2"/>
        <v>526</v>
      </c>
      <c r="E17" s="689">
        <v>4</v>
      </c>
      <c r="F17" s="689">
        <v>299</v>
      </c>
      <c r="G17" s="689">
        <v>91</v>
      </c>
      <c r="H17" s="689">
        <v>9</v>
      </c>
      <c r="I17" s="689">
        <v>116</v>
      </c>
      <c r="J17" s="689">
        <f t="shared" si="0"/>
        <v>519</v>
      </c>
      <c r="K17" s="689">
        <v>162</v>
      </c>
      <c r="L17" s="689">
        <v>357</v>
      </c>
      <c r="M17" s="692">
        <v>0</v>
      </c>
      <c r="N17" s="689">
        <f t="shared" si="3"/>
        <v>519</v>
      </c>
      <c r="O17" s="689">
        <v>7</v>
      </c>
      <c r="P17" s="692">
        <v>0</v>
      </c>
      <c r="Q17" s="692">
        <v>0</v>
      </c>
      <c r="R17" s="693">
        <f t="shared" si="4"/>
        <v>7</v>
      </c>
      <c r="S17" s="692">
        <v>0</v>
      </c>
      <c r="T17" s="689">
        <v>424</v>
      </c>
      <c r="U17" s="689">
        <f t="shared" si="5"/>
        <v>424</v>
      </c>
      <c r="V17" s="689">
        <v>1</v>
      </c>
      <c r="W17" s="689">
        <v>122</v>
      </c>
      <c r="X17" s="689">
        <v>77</v>
      </c>
      <c r="Y17" s="689">
        <v>7</v>
      </c>
      <c r="Z17" s="694">
        <v>173</v>
      </c>
      <c r="AA17" s="689">
        <f t="shared" si="1"/>
        <v>380</v>
      </c>
      <c r="AB17" s="689">
        <v>256</v>
      </c>
      <c r="AC17" s="689">
        <v>124</v>
      </c>
      <c r="AD17" s="692">
        <v>0</v>
      </c>
      <c r="AE17" s="689">
        <f t="shared" si="6"/>
        <v>380</v>
      </c>
      <c r="AF17" s="689">
        <v>44</v>
      </c>
      <c r="AG17" s="692">
        <v>0</v>
      </c>
      <c r="AH17" s="692">
        <v>0</v>
      </c>
      <c r="AI17" s="689">
        <f t="shared" si="7"/>
        <v>44</v>
      </c>
      <c r="AJ17" s="91">
        <v>7</v>
      </c>
      <c r="AK17" s="95">
        <v>133</v>
      </c>
      <c r="AL17" s="91">
        <v>140</v>
      </c>
      <c r="AM17" s="91">
        <v>0</v>
      </c>
      <c r="AN17" s="91">
        <v>27</v>
      </c>
      <c r="AO17" s="91">
        <v>14</v>
      </c>
      <c r="AP17" s="91">
        <v>1</v>
      </c>
      <c r="AQ17" s="91">
        <v>98</v>
      </c>
      <c r="AR17" s="91">
        <v>140</v>
      </c>
      <c r="AS17" s="91">
        <v>132</v>
      </c>
      <c r="AT17" s="91">
        <v>8</v>
      </c>
      <c r="AU17" s="94">
        <v>0</v>
      </c>
      <c r="AV17" s="91">
        <v>140</v>
      </c>
      <c r="AW17" s="91">
        <v>0</v>
      </c>
      <c r="AX17" s="94">
        <v>0</v>
      </c>
      <c r="AY17" s="94">
        <v>0</v>
      </c>
      <c r="AZ17" s="95">
        <v>0</v>
      </c>
      <c r="BA17" s="94">
        <v>44</v>
      </c>
      <c r="BB17" s="91">
        <v>452</v>
      </c>
      <c r="BC17" s="91">
        <v>496</v>
      </c>
      <c r="BD17" s="91">
        <v>3</v>
      </c>
      <c r="BE17" s="91">
        <v>133</v>
      </c>
      <c r="BF17" s="91">
        <v>50</v>
      </c>
      <c r="BG17" s="91">
        <v>14</v>
      </c>
      <c r="BH17" s="102">
        <v>296</v>
      </c>
      <c r="BI17" s="91">
        <v>496</v>
      </c>
      <c r="BJ17" s="91">
        <v>448</v>
      </c>
      <c r="BK17" s="91">
        <v>48</v>
      </c>
      <c r="BL17" s="94">
        <v>0</v>
      </c>
      <c r="BM17" s="91">
        <v>496</v>
      </c>
      <c r="BN17" s="91">
        <v>0</v>
      </c>
      <c r="BO17" s="94">
        <v>0</v>
      </c>
      <c r="BP17" s="94">
        <v>0</v>
      </c>
      <c r="BQ17" s="91">
        <v>0</v>
      </c>
      <c r="BR17" s="91">
        <v>0</v>
      </c>
      <c r="BS17" s="95">
        <v>154</v>
      </c>
      <c r="BT17" s="91">
        <v>154</v>
      </c>
      <c r="BU17" s="91">
        <v>0</v>
      </c>
      <c r="BV17" s="91">
        <v>6</v>
      </c>
      <c r="BW17" s="91">
        <v>9</v>
      </c>
      <c r="BX17" s="91">
        <v>0</v>
      </c>
      <c r="BY17" s="91">
        <v>139</v>
      </c>
      <c r="BZ17" s="91">
        <v>154</v>
      </c>
      <c r="CA17" s="91">
        <v>154</v>
      </c>
      <c r="CB17" s="91">
        <v>0</v>
      </c>
      <c r="CC17" s="94">
        <v>0</v>
      </c>
      <c r="CD17" s="91">
        <v>154</v>
      </c>
      <c r="CE17" s="91">
        <v>0</v>
      </c>
      <c r="CF17" s="94">
        <v>0</v>
      </c>
      <c r="CG17" s="94">
        <v>0</v>
      </c>
      <c r="CH17" s="95">
        <v>0</v>
      </c>
      <c r="CI17" s="94">
        <v>0</v>
      </c>
      <c r="CJ17" s="91">
        <v>903</v>
      </c>
      <c r="CK17" s="91">
        <v>903</v>
      </c>
      <c r="CL17" s="91">
        <v>1</v>
      </c>
      <c r="CM17" s="91">
        <v>145</v>
      </c>
      <c r="CN17" s="91">
        <v>41</v>
      </c>
      <c r="CO17" s="91">
        <v>13</v>
      </c>
      <c r="CP17" s="102">
        <v>703</v>
      </c>
      <c r="CQ17" s="91">
        <v>903</v>
      </c>
      <c r="CR17" s="91">
        <v>903</v>
      </c>
      <c r="CS17" s="91">
        <v>0</v>
      </c>
      <c r="CT17" s="94">
        <v>0</v>
      </c>
      <c r="CU17" s="91">
        <v>903</v>
      </c>
      <c r="CV17" s="91">
        <v>0</v>
      </c>
      <c r="CW17" s="94">
        <v>0</v>
      </c>
      <c r="CX17" s="94">
        <v>0</v>
      </c>
      <c r="CY17" s="91">
        <v>0</v>
      </c>
    </row>
    <row r="18" spans="1:103" x14ac:dyDescent="0.2">
      <c r="A18" s="98" t="s">
        <v>377</v>
      </c>
      <c r="B18" s="692">
        <v>0</v>
      </c>
      <c r="C18" s="693">
        <v>178</v>
      </c>
      <c r="D18" s="689">
        <f t="shared" si="2"/>
        <v>178</v>
      </c>
      <c r="E18" s="692">
        <v>0</v>
      </c>
      <c r="F18" s="689">
        <v>38</v>
      </c>
      <c r="G18" s="689">
        <v>19</v>
      </c>
      <c r="H18" s="689">
        <v>9</v>
      </c>
      <c r="I18" s="689">
        <v>100</v>
      </c>
      <c r="J18" s="689">
        <f t="shared" si="0"/>
        <v>166</v>
      </c>
      <c r="K18" s="689">
        <v>165</v>
      </c>
      <c r="L18" s="689">
        <v>1</v>
      </c>
      <c r="M18" s="692">
        <v>0</v>
      </c>
      <c r="N18" s="689">
        <f t="shared" si="3"/>
        <v>166</v>
      </c>
      <c r="O18" s="689">
        <v>12</v>
      </c>
      <c r="P18" s="692">
        <v>0</v>
      </c>
      <c r="Q18" s="692">
        <v>0</v>
      </c>
      <c r="R18" s="693">
        <f t="shared" si="4"/>
        <v>12</v>
      </c>
      <c r="S18" s="692">
        <v>0</v>
      </c>
      <c r="T18" s="689">
        <v>351</v>
      </c>
      <c r="U18" s="689">
        <f t="shared" si="5"/>
        <v>351</v>
      </c>
      <c r="V18" s="689">
        <v>4</v>
      </c>
      <c r="W18" s="689">
        <v>110</v>
      </c>
      <c r="X18" s="689">
        <v>49</v>
      </c>
      <c r="Y18" s="689">
        <v>41</v>
      </c>
      <c r="Z18" s="694">
        <v>112</v>
      </c>
      <c r="AA18" s="689">
        <f t="shared" si="1"/>
        <v>316</v>
      </c>
      <c r="AB18" s="689">
        <v>311</v>
      </c>
      <c r="AC18" s="689">
        <v>5</v>
      </c>
      <c r="AD18" s="692">
        <v>0</v>
      </c>
      <c r="AE18" s="689">
        <f t="shared" si="6"/>
        <v>316</v>
      </c>
      <c r="AF18" s="689">
        <v>35</v>
      </c>
      <c r="AG18" s="692">
        <v>0</v>
      </c>
      <c r="AH18" s="692">
        <v>0</v>
      </c>
      <c r="AI18" s="689">
        <f t="shared" si="7"/>
        <v>35</v>
      </c>
      <c r="AJ18" s="94">
        <v>12</v>
      </c>
      <c r="AK18" s="95">
        <v>186</v>
      </c>
      <c r="AL18" s="91">
        <v>198</v>
      </c>
      <c r="AM18" s="94">
        <v>0</v>
      </c>
      <c r="AN18" s="91">
        <v>44</v>
      </c>
      <c r="AO18" s="91">
        <v>40</v>
      </c>
      <c r="AP18" s="91">
        <v>12</v>
      </c>
      <c r="AQ18" s="91">
        <v>102</v>
      </c>
      <c r="AR18" s="91">
        <v>198</v>
      </c>
      <c r="AS18" s="91">
        <v>187</v>
      </c>
      <c r="AT18" s="91">
        <v>11</v>
      </c>
      <c r="AU18" s="94">
        <v>0</v>
      </c>
      <c r="AV18" s="91">
        <v>198</v>
      </c>
      <c r="AW18" s="91">
        <v>0</v>
      </c>
      <c r="AX18" s="94">
        <v>0</v>
      </c>
      <c r="AY18" s="94">
        <v>0</v>
      </c>
      <c r="AZ18" s="95">
        <v>0</v>
      </c>
      <c r="BA18" s="94">
        <v>35</v>
      </c>
      <c r="BB18" s="91">
        <v>307</v>
      </c>
      <c r="BC18" s="91">
        <v>342</v>
      </c>
      <c r="BD18" s="91">
        <v>1</v>
      </c>
      <c r="BE18" s="91">
        <v>143</v>
      </c>
      <c r="BF18" s="91">
        <v>35</v>
      </c>
      <c r="BG18" s="91">
        <v>61</v>
      </c>
      <c r="BH18" s="102">
        <v>102</v>
      </c>
      <c r="BI18" s="91">
        <v>342</v>
      </c>
      <c r="BJ18" s="91">
        <v>321</v>
      </c>
      <c r="BK18" s="91">
        <v>21</v>
      </c>
      <c r="BL18" s="94">
        <v>0</v>
      </c>
      <c r="BM18" s="91">
        <v>342</v>
      </c>
      <c r="BN18" s="91">
        <v>0</v>
      </c>
      <c r="BO18" s="94">
        <v>0</v>
      </c>
      <c r="BP18" s="94">
        <v>0</v>
      </c>
      <c r="BQ18" s="91">
        <v>0</v>
      </c>
      <c r="BR18" s="94">
        <v>0</v>
      </c>
      <c r="BS18" s="95">
        <v>229</v>
      </c>
      <c r="BT18" s="91">
        <v>229</v>
      </c>
      <c r="BU18" s="94">
        <v>0</v>
      </c>
      <c r="BV18" s="91">
        <v>44</v>
      </c>
      <c r="BW18" s="91">
        <v>26</v>
      </c>
      <c r="BX18" s="91">
        <v>12</v>
      </c>
      <c r="BY18" s="91">
        <v>147</v>
      </c>
      <c r="BZ18" s="91">
        <v>229</v>
      </c>
      <c r="CA18" s="91">
        <v>217</v>
      </c>
      <c r="CB18" s="91">
        <v>12</v>
      </c>
      <c r="CC18" s="94">
        <v>0</v>
      </c>
      <c r="CD18" s="91">
        <v>229</v>
      </c>
      <c r="CE18" s="91">
        <v>0</v>
      </c>
      <c r="CF18" s="94">
        <v>0</v>
      </c>
      <c r="CG18" s="94">
        <v>0</v>
      </c>
      <c r="CH18" s="95">
        <v>0</v>
      </c>
      <c r="CI18" s="94">
        <v>0</v>
      </c>
      <c r="CJ18" s="91">
        <v>661</v>
      </c>
      <c r="CK18" s="91">
        <v>661</v>
      </c>
      <c r="CL18" s="91">
        <v>4</v>
      </c>
      <c r="CM18" s="91">
        <v>281</v>
      </c>
      <c r="CN18" s="91">
        <v>66</v>
      </c>
      <c r="CO18" s="91">
        <v>112</v>
      </c>
      <c r="CP18" s="102">
        <v>198</v>
      </c>
      <c r="CQ18" s="91">
        <v>661</v>
      </c>
      <c r="CR18" s="91">
        <v>599</v>
      </c>
      <c r="CS18" s="91">
        <v>62</v>
      </c>
      <c r="CT18" s="94">
        <v>0</v>
      </c>
      <c r="CU18" s="91">
        <v>661</v>
      </c>
      <c r="CV18" s="91">
        <v>0</v>
      </c>
      <c r="CW18" s="94">
        <v>0</v>
      </c>
      <c r="CX18" s="94">
        <v>0</v>
      </c>
      <c r="CY18" s="91">
        <v>0</v>
      </c>
    </row>
    <row r="19" spans="1:103" x14ac:dyDescent="0.2">
      <c r="A19" s="98" t="s">
        <v>378</v>
      </c>
      <c r="B19" s="689">
        <v>443</v>
      </c>
      <c r="C19" s="693">
        <v>326</v>
      </c>
      <c r="D19" s="689">
        <f t="shared" si="2"/>
        <v>769</v>
      </c>
      <c r="E19" s="692">
        <v>0</v>
      </c>
      <c r="F19" s="689">
        <v>314</v>
      </c>
      <c r="G19" s="689">
        <v>294</v>
      </c>
      <c r="H19" s="689">
        <v>37</v>
      </c>
      <c r="I19" s="689">
        <v>111</v>
      </c>
      <c r="J19" s="689">
        <f t="shared" si="0"/>
        <v>756</v>
      </c>
      <c r="K19" s="689">
        <v>159</v>
      </c>
      <c r="L19" s="689">
        <v>433</v>
      </c>
      <c r="M19" s="689">
        <v>164</v>
      </c>
      <c r="N19" s="689">
        <f t="shared" si="3"/>
        <v>756</v>
      </c>
      <c r="O19" s="689">
        <v>11</v>
      </c>
      <c r="P19" s="689">
        <v>1</v>
      </c>
      <c r="Q19" s="689">
        <v>1</v>
      </c>
      <c r="R19" s="693">
        <f t="shared" si="4"/>
        <v>13</v>
      </c>
      <c r="S19" s="692">
        <v>0</v>
      </c>
      <c r="T19" s="689">
        <v>744</v>
      </c>
      <c r="U19" s="689">
        <f t="shared" si="5"/>
        <v>744</v>
      </c>
      <c r="V19" s="692">
        <v>0</v>
      </c>
      <c r="W19" s="689">
        <v>239</v>
      </c>
      <c r="X19" s="689">
        <v>191</v>
      </c>
      <c r="Y19" s="689">
        <v>30</v>
      </c>
      <c r="Z19" s="694">
        <v>250</v>
      </c>
      <c r="AA19" s="689">
        <f t="shared" si="1"/>
        <v>710</v>
      </c>
      <c r="AB19" s="689">
        <v>385</v>
      </c>
      <c r="AC19" s="689">
        <v>325</v>
      </c>
      <c r="AD19" s="692">
        <v>0</v>
      </c>
      <c r="AE19" s="689">
        <f t="shared" si="6"/>
        <v>710</v>
      </c>
      <c r="AF19" s="689">
        <v>31</v>
      </c>
      <c r="AG19" s="689">
        <v>3</v>
      </c>
      <c r="AH19" s="692">
        <v>0</v>
      </c>
      <c r="AI19" s="689">
        <f t="shared" si="7"/>
        <v>34</v>
      </c>
      <c r="AJ19" s="91">
        <v>13</v>
      </c>
      <c r="AK19" s="95">
        <v>266</v>
      </c>
      <c r="AL19" s="91">
        <v>279</v>
      </c>
      <c r="AM19" s="94">
        <v>0</v>
      </c>
      <c r="AN19" s="91">
        <v>43</v>
      </c>
      <c r="AO19" s="91">
        <v>105</v>
      </c>
      <c r="AP19" s="91">
        <v>12</v>
      </c>
      <c r="AQ19" s="91">
        <v>108</v>
      </c>
      <c r="AR19" s="91">
        <v>268</v>
      </c>
      <c r="AS19" s="91">
        <v>217</v>
      </c>
      <c r="AT19" s="91">
        <v>50</v>
      </c>
      <c r="AU19" s="91">
        <v>1</v>
      </c>
      <c r="AV19" s="91">
        <v>268</v>
      </c>
      <c r="AW19" s="91">
        <v>11</v>
      </c>
      <c r="AX19" s="91">
        <v>0</v>
      </c>
      <c r="AY19" s="91">
        <v>0</v>
      </c>
      <c r="AZ19" s="95">
        <v>11</v>
      </c>
      <c r="BA19" s="94">
        <v>34</v>
      </c>
      <c r="BB19" s="91">
        <v>961</v>
      </c>
      <c r="BC19" s="91">
        <v>995</v>
      </c>
      <c r="BD19" s="94">
        <v>0</v>
      </c>
      <c r="BE19" s="91">
        <v>300</v>
      </c>
      <c r="BF19" s="91">
        <v>299</v>
      </c>
      <c r="BG19" s="91">
        <v>37</v>
      </c>
      <c r="BH19" s="102">
        <v>304</v>
      </c>
      <c r="BI19" s="91">
        <v>940</v>
      </c>
      <c r="BJ19" s="91">
        <v>818</v>
      </c>
      <c r="BK19" s="91">
        <v>122</v>
      </c>
      <c r="BL19" s="94">
        <v>0</v>
      </c>
      <c r="BM19" s="91">
        <v>940</v>
      </c>
      <c r="BN19" s="91">
        <v>55</v>
      </c>
      <c r="BO19" s="91">
        <v>0</v>
      </c>
      <c r="BP19" s="94">
        <v>0</v>
      </c>
      <c r="BQ19" s="91">
        <v>55</v>
      </c>
      <c r="BR19" s="91">
        <v>11</v>
      </c>
      <c r="BS19" s="95">
        <v>220</v>
      </c>
      <c r="BT19" s="91">
        <v>231</v>
      </c>
      <c r="BU19" s="94">
        <v>0</v>
      </c>
      <c r="BV19" s="91">
        <v>25</v>
      </c>
      <c r="BW19" s="91">
        <v>54</v>
      </c>
      <c r="BX19" s="91">
        <v>9</v>
      </c>
      <c r="BY19" s="91">
        <v>101</v>
      </c>
      <c r="BZ19" s="91">
        <v>189</v>
      </c>
      <c r="CA19" s="91">
        <v>162</v>
      </c>
      <c r="CB19" s="91">
        <v>27</v>
      </c>
      <c r="CC19" s="91">
        <v>0</v>
      </c>
      <c r="CD19" s="91">
        <v>189</v>
      </c>
      <c r="CE19" s="91">
        <v>25</v>
      </c>
      <c r="CF19" s="91">
        <v>17</v>
      </c>
      <c r="CG19" s="91">
        <v>0</v>
      </c>
      <c r="CH19" s="95">
        <v>42</v>
      </c>
      <c r="CI19" s="94">
        <v>55</v>
      </c>
      <c r="CJ19" s="91">
        <v>1301</v>
      </c>
      <c r="CK19" s="91">
        <v>1356</v>
      </c>
      <c r="CL19" s="94">
        <v>0</v>
      </c>
      <c r="CM19" s="91">
        <v>205</v>
      </c>
      <c r="CN19" s="91">
        <v>372</v>
      </c>
      <c r="CO19" s="91">
        <v>52</v>
      </c>
      <c r="CP19" s="102">
        <v>486</v>
      </c>
      <c r="CQ19" s="91">
        <v>1115</v>
      </c>
      <c r="CR19" s="91">
        <v>981</v>
      </c>
      <c r="CS19" s="91">
        <v>134</v>
      </c>
      <c r="CT19" s="94">
        <v>0</v>
      </c>
      <c r="CU19" s="91">
        <v>1115</v>
      </c>
      <c r="CV19" s="91">
        <v>134</v>
      </c>
      <c r="CW19" s="91">
        <v>107</v>
      </c>
      <c r="CX19" s="94">
        <v>0</v>
      </c>
      <c r="CY19" s="91">
        <v>241</v>
      </c>
    </row>
    <row r="20" spans="1:103" x14ac:dyDescent="0.2">
      <c r="A20" s="98" t="s">
        <v>379</v>
      </c>
      <c r="B20" s="689">
        <v>853</v>
      </c>
      <c r="C20" s="693">
        <v>96</v>
      </c>
      <c r="D20" s="689">
        <f t="shared" si="2"/>
        <v>949</v>
      </c>
      <c r="E20" s="689">
        <v>2</v>
      </c>
      <c r="F20" s="689">
        <v>272</v>
      </c>
      <c r="G20" s="689">
        <v>136</v>
      </c>
      <c r="H20" s="689">
        <v>33</v>
      </c>
      <c r="I20" s="689">
        <v>42</v>
      </c>
      <c r="J20" s="689">
        <f t="shared" si="0"/>
        <v>485</v>
      </c>
      <c r="K20" s="689">
        <v>48</v>
      </c>
      <c r="L20" s="689">
        <v>19</v>
      </c>
      <c r="M20" s="689">
        <v>418</v>
      </c>
      <c r="N20" s="689">
        <f t="shared" si="3"/>
        <v>485</v>
      </c>
      <c r="O20" s="689">
        <v>6</v>
      </c>
      <c r="P20" s="689">
        <v>40</v>
      </c>
      <c r="Q20" s="689">
        <v>418</v>
      </c>
      <c r="R20" s="693">
        <f t="shared" si="4"/>
        <v>464</v>
      </c>
      <c r="S20" s="692">
        <v>0</v>
      </c>
      <c r="T20" s="689">
        <v>584</v>
      </c>
      <c r="U20" s="689">
        <f t="shared" si="5"/>
        <v>584</v>
      </c>
      <c r="V20" s="692">
        <v>0</v>
      </c>
      <c r="W20" s="689">
        <v>18</v>
      </c>
      <c r="X20" s="689">
        <v>6</v>
      </c>
      <c r="Y20" s="689">
        <v>24</v>
      </c>
      <c r="Z20" s="694">
        <v>106</v>
      </c>
      <c r="AA20" s="689">
        <f t="shared" si="1"/>
        <v>154</v>
      </c>
      <c r="AB20" s="689">
        <v>125</v>
      </c>
      <c r="AC20" s="689">
        <v>29</v>
      </c>
      <c r="AD20" s="692">
        <v>0</v>
      </c>
      <c r="AE20" s="689">
        <f t="shared" si="6"/>
        <v>154</v>
      </c>
      <c r="AF20" s="689">
        <v>90</v>
      </c>
      <c r="AG20" s="689">
        <v>340</v>
      </c>
      <c r="AH20" s="692">
        <v>0</v>
      </c>
      <c r="AI20" s="689">
        <f t="shared" si="7"/>
        <v>430</v>
      </c>
      <c r="AJ20" s="91">
        <v>464</v>
      </c>
      <c r="AK20" s="95">
        <v>120</v>
      </c>
      <c r="AL20" s="91">
        <v>584</v>
      </c>
      <c r="AM20" s="91">
        <v>12</v>
      </c>
      <c r="AN20" s="91">
        <v>177</v>
      </c>
      <c r="AO20" s="91">
        <v>280</v>
      </c>
      <c r="AP20" s="91">
        <v>42</v>
      </c>
      <c r="AQ20" s="91">
        <v>59</v>
      </c>
      <c r="AR20" s="91">
        <v>570</v>
      </c>
      <c r="AS20" s="91">
        <v>66</v>
      </c>
      <c r="AT20" s="91">
        <v>58</v>
      </c>
      <c r="AU20" s="91">
        <v>446</v>
      </c>
      <c r="AV20" s="91">
        <v>570</v>
      </c>
      <c r="AW20" s="91">
        <v>14</v>
      </c>
      <c r="AX20" s="91">
        <v>0</v>
      </c>
      <c r="AY20" s="91">
        <v>0</v>
      </c>
      <c r="AZ20" s="95">
        <v>14</v>
      </c>
      <c r="BA20" s="94">
        <v>430</v>
      </c>
      <c r="BB20" s="91">
        <v>631</v>
      </c>
      <c r="BC20" s="91">
        <v>1061</v>
      </c>
      <c r="BD20" s="94">
        <v>4</v>
      </c>
      <c r="BE20" s="91">
        <v>323</v>
      </c>
      <c r="BF20" s="91">
        <v>334</v>
      </c>
      <c r="BG20" s="91">
        <v>100</v>
      </c>
      <c r="BH20" s="102">
        <v>181</v>
      </c>
      <c r="BI20" s="91">
        <v>942</v>
      </c>
      <c r="BJ20" s="91">
        <v>267</v>
      </c>
      <c r="BK20" s="91">
        <v>351</v>
      </c>
      <c r="BL20" s="94">
        <v>324</v>
      </c>
      <c r="BM20" s="91">
        <v>942</v>
      </c>
      <c r="BN20" s="91">
        <v>119</v>
      </c>
      <c r="BO20" s="91">
        <v>0</v>
      </c>
      <c r="BP20" s="94">
        <v>0</v>
      </c>
      <c r="BQ20" s="91">
        <v>119</v>
      </c>
      <c r="BR20" s="91">
        <v>14</v>
      </c>
      <c r="BS20" s="95">
        <v>188</v>
      </c>
      <c r="BT20" s="91">
        <v>202</v>
      </c>
      <c r="BU20" s="91">
        <v>4</v>
      </c>
      <c r="BV20" s="91">
        <v>25</v>
      </c>
      <c r="BW20" s="91">
        <v>54</v>
      </c>
      <c r="BX20" s="91">
        <v>21</v>
      </c>
      <c r="BY20" s="91">
        <v>77</v>
      </c>
      <c r="BZ20" s="91">
        <v>181</v>
      </c>
      <c r="CA20" s="91">
        <v>174</v>
      </c>
      <c r="CB20" s="91">
        <v>7</v>
      </c>
      <c r="CC20" s="91">
        <v>0</v>
      </c>
      <c r="CD20" s="91">
        <v>181</v>
      </c>
      <c r="CE20" s="91">
        <v>21</v>
      </c>
      <c r="CF20" s="91">
        <v>0</v>
      </c>
      <c r="CG20" s="91">
        <v>0</v>
      </c>
      <c r="CH20" s="95">
        <v>21</v>
      </c>
      <c r="CI20" s="94">
        <v>119</v>
      </c>
      <c r="CJ20" s="91">
        <v>1008</v>
      </c>
      <c r="CK20" s="91">
        <v>1127</v>
      </c>
      <c r="CL20" s="94">
        <v>11</v>
      </c>
      <c r="CM20" s="91">
        <v>285</v>
      </c>
      <c r="CN20" s="91">
        <v>279</v>
      </c>
      <c r="CO20" s="91">
        <v>120</v>
      </c>
      <c r="CP20" s="102">
        <v>306</v>
      </c>
      <c r="CQ20" s="91">
        <v>1001</v>
      </c>
      <c r="CR20" s="91">
        <v>945</v>
      </c>
      <c r="CS20" s="91">
        <v>56</v>
      </c>
      <c r="CT20" s="94">
        <v>0</v>
      </c>
      <c r="CU20" s="91">
        <v>1001</v>
      </c>
      <c r="CV20" s="91">
        <v>126</v>
      </c>
      <c r="CW20" s="91">
        <v>0</v>
      </c>
      <c r="CX20" s="94">
        <v>0</v>
      </c>
      <c r="CY20" s="91">
        <v>126</v>
      </c>
    </row>
    <row r="21" spans="1:103" x14ac:dyDescent="0.2">
      <c r="A21" s="98" t="s">
        <v>380</v>
      </c>
      <c r="B21" s="689">
        <v>191</v>
      </c>
      <c r="C21" s="693">
        <v>131</v>
      </c>
      <c r="D21" s="689">
        <f t="shared" si="2"/>
        <v>322</v>
      </c>
      <c r="E21" s="689">
        <v>22</v>
      </c>
      <c r="F21" s="689">
        <v>37</v>
      </c>
      <c r="G21" s="689">
        <v>125</v>
      </c>
      <c r="H21" s="689">
        <v>34</v>
      </c>
      <c r="I21" s="689">
        <v>82</v>
      </c>
      <c r="J21" s="689">
        <f t="shared" si="0"/>
        <v>300</v>
      </c>
      <c r="K21" s="689">
        <v>93</v>
      </c>
      <c r="L21" s="689">
        <v>36</v>
      </c>
      <c r="M21" s="689">
        <v>171</v>
      </c>
      <c r="N21" s="689">
        <f t="shared" si="3"/>
        <v>300</v>
      </c>
      <c r="O21" s="689">
        <v>9</v>
      </c>
      <c r="P21" s="689">
        <v>11</v>
      </c>
      <c r="Q21" s="689">
        <v>2</v>
      </c>
      <c r="R21" s="693">
        <f t="shared" si="4"/>
        <v>22</v>
      </c>
      <c r="S21" s="692">
        <v>0</v>
      </c>
      <c r="T21" s="689">
        <v>198</v>
      </c>
      <c r="U21" s="689">
        <f t="shared" si="5"/>
        <v>198</v>
      </c>
      <c r="V21" s="689">
        <v>9</v>
      </c>
      <c r="W21" s="689">
        <v>19</v>
      </c>
      <c r="X21" s="689">
        <v>18</v>
      </c>
      <c r="Y21" s="689">
        <v>14</v>
      </c>
      <c r="Z21" s="694">
        <v>107</v>
      </c>
      <c r="AA21" s="689">
        <f t="shared" si="1"/>
        <v>167</v>
      </c>
      <c r="AB21" s="689">
        <v>123</v>
      </c>
      <c r="AC21" s="689">
        <v>44</v>
      </c>
      <c r="AD21" s="692">
        <v>0</v>
      </c>
      <c r="AE21" s="689">
        <f t="shared" si="6"/>
        <v>167</v>
      </c>
      <c r="AF21" s="689">
        <v>20</v>
      </c>
      <c r="AG21" s="689">
        <v>11</v>
      </c>
      <c r="AH21" s="692">
        <v>0</v>
      </c>
      <c r="AI21" s="689">
        <f t="shared" si="7"/>
        <v>31</v>
      </c>
      <c r="AJ21" s="91">
        <v>22</v>
      </c>
      <c r="AK21" s="95">
        <v>161</v>
      </c>
      <c r="AL21" s="91">
        <v>183</v>
      </c>
      <c r="AM21" s="91">
        <v>17</v>
      </c>
      <c r="AN21" s="91">
        <v>16</v>
      </c>
      <c r="AO21" s="91">
        <v>31</v>
      </c>
      <c r="AP21" s="91">
        <v>10</v>
      </c>
      <c r="AQ21" s="91">
        <v>109</v>
      </c>
      <c r="AR21" s="91">
        <v>183</v>
      </c>
      <c r="AS21" s="91">
        <v>158</v>
      </c>
      <c r="AT21" s="91">
        <v>15</v>
      </c>
      <c r="AU21" s="91">
        <v>10</v>
      </c>
      <c r="AV21" s="91">
        <v>183</v>
      </c>
      <c r="AW21" s="91">
        <v>0</v>
      </c>
      <c r="AX21" s="91">
        <v>0</v>
      </c>
      <c r="AY21" s="91">
        <v>0</v>
      </c>
      <c r="AZ21" s="95">
        <v>0</v>
      </c>
      <c r="BA21" s="94">
        <v>31</v>
      </c>
      <c r="BB21" s="91">
        <v>219</v>
      </c>
      <c r="BC21" s="91">
        <v>250</v>
      </c>
      <c r="BD21" s="91">
        <v>13</v>
      </c>
      <c r="BE21" s="91">
        <v>53</v>
      </c>
      <c r="BF21" s="91">
        <v>40</v>
      </c>
      <c r="BG21" s="91">
        <v>13</v>
      </c>
      <c r="BH21" s="102">
        <v>131</v>
      </c>
      <c r="BI21" s="91">
        <v>250</v>
      </c>
      <c r="BJ21" s="91">
        <v>215</v>
      </c>
      <c r="BK21" s="91">
        <v>29</v>
      </c>
      <c r="BL21" s="94">
        <v>6</v>
      </c>
      <c r="BM21" s="91">
        <v>250</v>
      </c>
      <c r="BN21" s="91">
        <v>0</v>
      </c>
      <c r="BO21" s="91">
        <v>0</v>
      </c>
      <c r="BP21" s="94">
        <v>0</v>
      </c>
      <c r="BQ21" s="91">
        <v>0</v>
      </c>
      <c r="BR21" s="91">
        <v>0</v>
      </c>
      <c r="BS21" s="95">
        <v>191</v>
      </c>
      <c r="BT21" s="91">
        <v>191</v>
      </c>
      <c r="BU21" s="91">
        <v>7</v>
      </c>
      <c r="BV21" s="91">
        <v>8</v>
      </c>
      <c r="BW21" s="91">
        <v>17</v>
      </c>
      <c r="BX21" s="91">
        <v>1</v>
      </c>
      <c r="BY21" s="91">
        <v>154</v>
      </c>
      <c r="BZ21" s="91">
        <v>187</v>
      </c>
      <c r="CA21" s="91">
        <v>186</v>
      </c>
      <c r="CB21" s="91">
        <v>1</v>
      </c>
      <c r="CC21" s="91">
        <v>0</v>
      </c>
      <c r="CD21" s="91">
        <v>187</v>
      </c>
      <c r="CE21" s="91">
        <v>4</v>
      </c>
      <c r="CF21" s="91">
        <v>0</v>
      </c>
      <c r="CG21" s="91">
        <v>0</v>
      </c>
      <c r="CH21" s="95">
        <v>4</v>
      </c>
      <c r="CI21" s="94">
        <v>0</v>
      </c>
      <c r="CJ21" s="91">
        <v>418</v>
      </c>
      <c r="CK21" s="91">
        <v>418</v>
      </c>
      <c r="CL21" s="91">
        <v>8</v>
      </c>
      <c r="CM21" s="91">
        <v>38</v>
      </c>
      <c r="CN21" s="91">
        <v>29</v>
      </c>
      <c r="CO21" s="91">
        <v>28</v>
      </c>
      <c r="CP21" s="102">
        <v>289</v>
      </c>
      <c r="CQ21" s="91">
        <v>392</v>
      </c>
      <c r="CR21" s="91">
        <v>389</v>
      </c>
      <c r="CS21" s="91">
        <v>3</v>
      </c>
      <c r="CT21" s="94">
        <v>0</v>
      </c>
      <c r="CU21" s="91">
        <v>392</v>
      </c>
      <c r="CV21" s="91">
        <v>26</v>
      </c>
      <c r="CW21" s="91">
        <v>0</v>
      </c>
      <c r="CX21" s="94">
        <v>0</v>
      </c>
      <c r="CY21" s="91">
        <v>26</v>
      </c>
    </row>
    <row r="22" spans="1:103" x14ac:dyDescent="0.2">
      <c r="A22" s="98" t="s">
        <v>381</v>
      </c>
      <c r="B22" s="689">
        <v>823</v>
      </c>
      <c r="C22" s="693">
        <v>195</v>
      </c>
      <c r="D22" s="689">
        <f t="shared" si="2"/>
        <v>1018</v>
      </c>
      <c r="E22" s="689">
        <v>1</v>
      </c>
      <c r="F22" s="689">
        <v>572</v>
      </c>
      <c r="G22" s="689">
        <v>196</v>
      </c>
      <c r="H22" s="689">
        <v>109</v>
      </c>
      <c r="I22" s="689">
        <v>109</v>
      </c>
      <c r="J22" s="689">
        <f t="shared" si="0"/>
        <v>987</v>
      </c>
      <c r="K22" s="689">
        <v>117</v>
      </c>
      <c r="L22" s="689">
        <v>828</v>
      </c>
      <c r="M22" s="689">
        <v>42</v>
      </c>
      <c r="N22" s="689">
        <f t="shared" si="3"/>
        <v>987</v>
      </c>
      <c r="O22" s="689">
        <v>24</v>
      </c>
      <c r="P22" s="689">
        <v>7</v>
      </c>
      <c r="Q22" s="692">
        <v>0</v>
      </c>
      <c r="R22" s="693">
        <f t="shared" si="4"/>
        <v>31</v>
      </c>
      <c r="S22" s="692">
        <v>0</v>
      </c>
      <c r="T22" s="689">
        <v>2298</v>
      </c>
      <c r="U22" s="689">
        <f t="shared" si="5"/>
        <v>2298</v>
      </c>
      <c r="V22" s="689">
        <v>4</v>
      </c>
      <c r="W22" s="689">
        <v>917</v>
      </c>
      <c r="X22" s="689">
        <v>187</v>
      </c>
      <c r="Y22" s="689">
        <v>94</v>
      </c>
      <c r="Z22" s="694">
        <v>661</v>
      </c>
      <c r="AA22" s="689">
        <f t="shared" si="1"/>
        <v>1863</v>
      </c>
      <c r="AB22" s="689">
        <v>895</v>
      </c>
      <c r="AC22" s="689">
        <v>968</v>
      </c>
      <c r="AD22" s="692">
        <v>0</v>
      </c>
      <c r="AE22" s="689">
        <f t="shared" si="6"/>
        <v>1863</v>
      </c>
      <c r="AF22" s="689">
        <v>343</v>
      </c>
      <c r="AG22" s="689">
        <v>92</v>
      </c>
      <c r="AH22" s="692">
        <v>0</v>
      </c>
      <c r="AI22" s="689">
        <f t="shared" si="7"/>
        <v>435</v>
      </c>
      <c r="AJ22" s="91">
        <v>31</v>
      </c>
      <c r="AK22" s="95">
        <v>175</v>
      </c>
      <c r="AL22" s="91">
        <v>206</v>
      </c>
      <c r="AM22" s="91">
        <v>1</v>
      </c>
      <c r="AN22" s="91">
        <v>60</v>
      </c>
      <c r="AO22" s="91">
        <v>50</v>
      </c>
      <c r="AP22" s="91">
        <v>18</v>
      </c>
      <c r="AQ22" s="91">
        <v>73</v>
      </c>
      <c r="AR22" s="91">
        <v>202</v>
      </c>
      <c r="AS22" s="91">
        <v>156</v>
      </c>
      <c r="AT22" s="91">
        <v>46</v>
      </c>
      <c r="AU22" s="91">
        <v>0</v>
      </c>
      <c r="AV22" s="91">
        <v>202</v>
      </c>
      <c r="AW22" s="91">
        <v>4</v>
      </c>
      <c r="AX22" s="91">
        <v>0</v>
      </c>
      <c r="AY22" s="94">
        <v>0</v>
      </c>
      <c r="AZ22" s="95">
        <v>4</v>
      </c>
      <c r="BA22" s="94">
        <v>435</v>
      </c>
      <c r="BB22" s="91">
        <v>2013</v>
      </c>
      <c r="BC22" s="91">
        <v>2448</v>
      </c>
      <c r="BD22" s="91">
        <v>1</v>
      </c>
      <c r="BE22" s="91">
        <v>1230</v>
      </c>
      <c r="BF22" s="91">
        <v>188</v>
      </c>
      <c r="BG22" s="91">
        <v>273</v>
      </c>
      <c r="BH22" s="102">
        <v>514</v>
      </c>
      <c r="BI22" s="91">
        <v>2206</v>
      </c>
      <c r="BJ22" s="91">
        <v>1645</v>
      </c>
      <c r="BK22" s="91">
        <v>552</v>
      </c>
      <c r="BL22" s="94">
        <v>9</v>
      </c>
      <c r="BM22" s="91">
        <v>2206</v>
      </c>
      <c r="BN22" s="91">
        <v>242</v>
      </c>
      <c r="BO22" s="91">
        <v>0</v>
      </c>
      <c r="BP22" s="94">
        <v>0</v>
      </c>
      <c r="BQ22" s="91">
        <v>242</v>
      </c>
      <c r="BR22" s="91">
        <v>4</v>
      </c>
      <c r="BS22" s="95">
        <v>258</v>
      </c>
      <c r="BT22" s="91">
        <v>262</v>
      </c>
      <c r="BU22" s="91">
        <v>0</v>
      </c>
      <c r="BV22" s="91">
        <v>23</v>
      </c>
      <c r="BW22" s="91">
        <v>15</v>
      </c>
      <c r="BX22" s="91">
        <v>15</v>
      </c>
      <c r="BY22" s="91">
        <v>133</v>
      </c>
      <c r="BZ22" s="91">
        <v>186</v>
      </c>
      <c r="CA22" s="91">
        <v>146</v>
      </c>
      <c r="CB22" s="91">
        <v>40</v>
      </c>
      <c r="CC22" s="91">
        <v>0</v>
      </c>
      <c r="CD22" s="91">
        <v>186</v>
      </c>
      <c r="CE22" s="91">
        <v>35</v>
      </c>
      <c r="CF22" s="91">
        <v>41</v>
      </c>
      <c r="CG22" s="94">
        <v>0</v>
      </c>
      <c r="CH22" s="95">
        <v>76</v>
      </c>
      <c r="CI22" s="94">
        <v>242</v>
      </c>
      <c r="CJ22" s="91">
        <v>3034</v>
      </c>
      <c r="CK22" s="91">
        <v>3276</v>
      </c>
      <c r="CL22" s="91">
        <v>0</v>
      </c>
      <c r="CM22" s="91">
        <v>783</v>
      </c>
      <c r="CN22" s="91">
        <v>148</v>
      </c>
      <c r="CO22" s="91">
        <v>378</v>
      </c>
      <c r="CP22" s="102">
        <v>756</v>
      </c>
      <c r="CQ22" s="91">
        <v>2065</v>
      </c>
      <c r="CR22" s="91">
        <v>1054</v>
      </c>
      <c r="CS22" s="91">
        <v>1011</v>
      </c>
      <c r="CT22" s="94">
        <v>0</v>
      </c>
      <c r="CU22" s="91">
        <v>2065</v>
      </c>
      <c r="CV22" s="91">
        <v>477</v>
      </c>
      <c r="CW22" s="91">
        <v>734</v>
      </c>
      <c r="CX22" s="94">
        <v>0</v>
      </c>
      <c r="CY22" s="91">
        <v>1211</v>
      </c>
    </row>
    <row r="23" spans="1:103" x14ac:dyDescent="0.2">
      <c r="A23" s="98" t="s">
        <v>382</v>
      </c>
      <c r="B23" s="689">
        <v>163</v>
      </c>
      <c r="C23" s="693">
        <v>233</v>
      </c>
      <c r="D23" s="689">
        <f t="shared" si="2"/>
        <v>396</v>
      </c>
      <c r="E23" s="689">
        <v>31</v>
      </c>
      <c r="F23" s="689">
        <v>116</v>
      </c>
      <c r="G23" s="689">
        <v>66</v>
      </c>
      <c r="H23" s="689">
        <v>47</v>
      </c>
      <c r="I23" s="689">
        <v>111</v>
      </c>
      <c r="J23" s="689">
        <f t="shared" si="0"/>
        <v>371</v>
      </c>
      <c r="K23" s="689">
        <v>143</v>
      </c>
      <c r="L23" s="689">
        <v>223</v>
      </c>
      <c r="M23" s="689">
        <v>5</v>
      </c>
      <c r="N23" s="689">
        <f t="shared" si="3"/>
        <v>371</v>
      </c>
      <c r="O23" s="689">
        <v>25</v>
      </c>
      <c r="P23" s="692">
        <v>0</v>
      </c>
      <c r="Q23" s="692">
        <v>0</v>
      </c>
      <c r="R23" s="693">
        <f t="shared" si="4"/>
        <v>25</v>
      </c>
      <c r="S23" s="692">
        <v>0</v>
      </c>
      <c r="T23" s="689">
        <v>348</v>
      </c>
      <c r="U23" s="689">
        <f t="shared" si="5"/>
        <v>348</v>
      </c>
      <c r="V23" s="689">
        <v>13</v>
      </c>
      <c r="W23" s="689">
        <v>88</v>
      </c>
      <c r="X23" s="689">
        <v>24</v>
      </c>
      <c r="Y23" s="689">
        <v>40</v>
      </c>
      <c r="Z23" s="694">
        <v>122</v>
      </c>
      <c r="AA23" s="689">
        <f t="shared" si="1"/>
        <v>287</v>
      </c>
      <c r="AB23" s="689">
        <v>171</v>
      </c>
      <c r="AC23" s="689">
        <v>116</v>
      </c>
      <c r="AD23" s="692">
        <v>0</v>
      </c>
      <c r="AE23" s="689">
        <f t="shared" si="6"/>
        <v>287</v>
      </c>
      <c r="AF23" s="689">
        <v>58</v>
      </c>
      <c r="AG23" s="689">
        <v>3</v>
      </c>
      <c r="AH23" s="692">
        <v>0</v>
      </c>
      <c r="AI23" s="689">
        <f t="shared" si="7"/>
        <v>61</v>
      </c>
      <c r="AJ23" s="91">
        <v>25</v>
      </c>
      <c r="AK23" s="95">
        <v>173</v>
      </c>
      <c r="AL23" s="91">
        <v>198</v>
      </c>
      <c r="AM23" s="91">
        <v>7</v>
      </c>
      <c r="AN23" s="91">
        <v>49</v>
      </c>
      <c r="AO23" s="91">
        <v>40</v>
      </c>
      <c r="AP23" s="91">
        <v>15</v>
      </c>
      <c r="AQ23" s="91">
        <v>66</v>
      </c>
      <c r="AR23" s="91">
        <v>177</v>
      </c>
      <c r="AS23" s="91">
        <v>141</v>
      </c>
      <c r="AT23" s="91">
        <v>36</v>
      </c>
      <c r="AU23" s="91">
        <v>0</v>
      </c>
      <c r="AV23" s="91">
        <v>177</v>
      </c>
      <c r="AW23" s="91">
        <v>21</v>
      </c>
      <c r="AX23" s="94">
        <v>0</v>
      </c>
      <c r="AY23" s="94">
        <v>0</v>
      </c>
      <c r="AZ23" s="95">
        <v>21</v>
      </c>
      <c r="BA23" s="94">
        <v>61</v>
      </c>
      <c r="BB23" s="91">
        <v>309</v>
      </c>
      <c r="BC23" s="91">
        <v>370</v>
      </c>
      <c r="BD23" s="91">
        <v>12</v>
      </c>
      <c r="BE23" s="91">
        <v>101</v>
      </c>
      <c r="BF23" s="91">
        <v>68</v>
      </c>
      <c r="BG23" s="91">
        <v>41</v>
      </c>
      <c r="BH23" s="102">
        <v>108</v>
      </c>
      <c r="BI23" s="91">
        <v>330</v>
      </c>
      <c r="BJ23" s="91">
        <v>254</v>
      </c>
      <c r="BK23" s="91">
        <v>76</v>
      </c>
      <c r="BL23" s="94">
        <v>0</v>
      </c>
      <c r="BM23" s="91">
        <v>330</v>
      </c>
      <c r="BN23" s="91">
        <v>40</v>
      </c>
      <c r="BO23" s="91">
        <v>0</v>
      </c>
      <c r="BP23" s="94">
        <v>0</v>
      </c>
      <c r="BQ23" s="91">
        <v>40</v>
      </c>
      <c r="BR23" s="91">
        <v>21</v>
      </c>
      <c r="BS23" s="95">
        <v>282</v>
      </c>
      <c r="BT23" s="91">
        <v>303</v>
      </c>
      <c r="BU23" s="91">
        <v>13</v>
      </c>
      <c r="BV23" s="91">
        <v>64</v>
      </c>
      <c r="BW23" s="91">
        <v>56</v>
      </c>
      <c r="BX23" s="91">
        <v>24</v>
      </c>
      <c r="BY23" s="91">
        <v>113</v>
      </c>
      <c r="BZ23" s="91">
        <v>270</v>
      </c>
      <c r="CA23" s="91">
        <v>198</v>
      </c>
      <c r="CB23" s="91">
        <v>72</v>
      </c>
      <c r="CC23" s="91">
        <v>0</v>
      </c>
      <c r="CD23" s="91">
        <v>270</v>
      </c>
      <c r="CE23" s="91">
        <v>33</v>
      </c>
      <c r="CF23" s="94">
        <v>0</v>
      </c>
      <c r="CG23" s="94">
        <v>0</v>
      </c>
      <c r="CH23" s="95">
        <v>33</v>
      </c>
      <c r="CI23" s="94">
        <v>40</v>
      </c>
      <c r="CJ23" s="91">
        <v>702</v>
      </c>
      <c r="CK23" s="91">
        <v>742</v>
      </c>
      <c r="CL23" s="91">
        <v>23</v>
      </c>
      <c r="CM23" s="91">
        <v>186</v>
      </c>
      <c r="CN23" s="91">
        <v>94</v>
      </c>
      <c r="CO23" s="91">
        <v>126</v>
      </c>
      <c r="CP23" s="102">
        <v>217</v>
      </c>
      <c r="CQ23" s="91">
        <v>646</v>
      </c>
      <c r="CR23" s="91">
        <v>498</v>
      </c>
      <c r="CS23" s="91">
        <v>148</v>
      </c>
      <c r="CT23" s="94">
        <v>0</v>
      </c>
      <c r="CU23" s="91">
        <v>646</v>
      </c>
      <c r="CV23" s="91">
        <v>96</v>
      </c>
      <c r="CW23" s="91">
        <v>0</v>
      </c>
      <c r="CX23" s="94">
        <v>0</v>
      </c>
      <c r="CY23" s="91">
        <v>96</v>
      </c>
    </row>
    <row r="24" spans="1:103" x14ac:dyDescent="0.2">
      <c r="A24" s="98" t="s">
        <v>383</v>
      </c>
      <c r="B24" s="689">
        <v>155</v>
      </c>
      <c r="C24" s="693">
        <v>96</v>
      </c>
      <c r="D24" s="689">
        <f t="shared" si="2"/>
        <v>251</v>
      </c>
      <c r="E24" s="689">
        <v>4</v>
      </c>
      <c r="F24" s="689">
        <v>22</v>
      </c>
      <c r="G24" s="689">
        <v>17</v>
      </c>
      <c r="H24" s="689">
        <v>139</v>
      </c>
      <c r="I24" s="689">
        <v>49</v>
      </c>
      <c r="J24" s="689">
        <f t="shared" si="0"/>
        <v>231</v>
      </c>
      <c r="K24" s="689">
        <v>61</v>
      </c>
      <c r="L24" s="689">
        <v>104</v>
      </c>
      <c r="M24" s="689">
        <v>66</v>
      </c>
      <c r="N24" s="689">
        <f t="shared" si="3"/>
        <v>231</v>
      </c>
      <c r="O24" s="689">
        <v>15</v>
      </c>
      <c r="P24" s="689">
        <v>5</v>
      </c>
      <c r="Q24" s="692">
        <v>0</v>
      </c>
      <c r="R24" s="693">
        <f t="shared" si="4"/>
        <v>20</v>
      </c>
      <c r="S24" s="692">
        <v>0</v>
      </c>
      <c r="T24" s="689">
        <v>132</v>
      </c>
      <c r="U24" s="689">
        <f t="shared" si="5"/>
        <v>132</v>
      </c>
      <c r="V24" s="692">
        <v>0</v>
      </c>
      <c r="W24" s="689">
        <v>27</v>
      </c>
      <c r="X24" s="689">
        <v>14</v>
      </c>
      <c r="Y24" s="689">
        <v>16</v>
      </c>
      <c r="Z24" s="694">
        <v>60</v>
      </c>
      <c r="AA24" s="689">
        <f t="shared" si="1"/>
        <v>117</v>
      </c>
      <c r="AB24" s="689">
        <v>69</v>
      </c>
      <c r="AC24" s="689">
        <v>48</v>
      </c>
      <c r="AD24" s="692">
        <v>0</v>
      </c>
      <c r="AE24" s="689">
        <f t="shared" si="6"/>
        <v>117</v>
      </c>
      <c r="AF24" s="689">
        <v>11</v>
      </c>
      <c r="AG24" s="689">
        <v>4</v>
      </c>
      <c r="AH24" s="692">
        <v>0</v>
      </c>
      <c r="AI24" s="689">
        <f t="shared" si="7"/>
        <v>15</v>
      </c>
      <c r="AJ24" s="91">
        <v>20</v>
      </c>
      <c r="AK24" s="95">
        <v>202</v>
      </c>
      <c r="AL24" s="91">
        <v>222</v>
      </c>
      <c r="AM24" s="91">
        <v>5</v>
      </c>
      <c r="AN24" s="91">
        <v>29</v>
      </c>
      <c r="AO24" s="91">
        <v>15</v>
      </c>
      <c r="AP24" s="91">
        <v>7</v>
      </c>
      <c r="AQ24" s="91">
        <v>163</v>
      </c>
      <c r="AR24" s="91">
        <v>219</v>
      </c>
      <c r="AS24" s="91">
        <v>185</v>
      </c>
      <c r="AT24" s="91">
        <v>34</v>
      </c>
      <c r="AU24" s="91">
        <v>0</v>
      </c>
      <c r="AV24" s="91">
        <v>219</v>
      </c>
      <c r="AW24" s="91">
        <v>3</v>
      </c>
      <c r="AX24" s="91">
        <v>0</v>
      </c>
      <c r="AY24" s="94">
        <v>0</v>
      </c>
      <c r="AZ24" s="95">
        <v>3</v>
      </c>
      <c r="BA24" s="94">
        <v>15</v>
      </c>
      <c r="BB24" s="91">
        <v>129</v>
      </c>
      <c r="BC24" s="91">
        <v>144</v>
      </c>
      <c r="BD24" s="94">
        <v>2</v>
      </c>
      <c r="BE24" s="91">
        <v>23</v>
      </c>
      <c r="BF24" s="91">
        <v>26</v>
      </c>
      <c r="BG24" s="91">
        <v>15</v>
      </c>
      <c r="BH24" s="102">
        <v>78</v>
      </c>
      <c r="BI24" s="91">
        <v>144</v>
      </c>
      <c r="BJ24" s="91">
        <v>109</v>
      </c>
      <c r="BK24" s="91">
        <v>35</v>
      </c>
      <c r="BL24" s="94">
        <v>0</v>
      </c>
      <c r="BM24" s="91">
        <v>144</v>
      </c>
      <c r="BN24" s="91">
        <v>0</v>
      </c>
      <c r="BO24" s="91">
        <v>0</v>
      </c>
      <c r="BP24" s="94">
        <v>0</v>
      </c>
      <c r="BQ24" s="91">
        <v>0</v>
      </c>
      <c r="BR24" s="91">
        <v>3</v>
      </c>
      <c r="BS24" s="95">
        <v>262</v>
      </c>
      <c r="BT24" s="91">
        <v>265</v>
      </c>
      <c r="BU24" s="91">
        <v>3</v>
      </c>
      <c r="BV24" s="91">
        <v>25</v>
      </c>
      <c r="BW24" s="91">
        <v>12</v>
      </c>
      <c r="BX24" s="91">
        <v>12</v>
      </c>
      <c r="BY24" s="91">
        <v>213</v>
      </c>
      <c r="BZ24" s="91">
        <v>265</v>
      </c>
      <c r="CA24" s="91">
        <v>249</v>
      </c>
      <c r="CB24" s="91">
        <v>16</v>
      </c>
      <c r="CC24" s="91">
        <v>0</v>
      </c>
      <c r="CD24" s="91">
        <v>265</v>
      </c>
      <c r="CE24" s="91">
        <v>0</v>
      </c>
      <c r="CF24" s="91">
        <v>0</v>
      </c>
      <c r="CG24" s="94">
        <v>0</v>
      </c>
      <c r="CH24" s="95">
        <v>0</v>
      </c>
      <c r="CI24" s="94">
        <v>0</v>
      </c>
      <c r="CJ24" s="91">
        <v>206</v>
      </c>
      <c r="CK24" s="91">
        <v>206</v>
      </c>
      <c r="CL24" s="94">
        <v>4</v>
      </c>
      <c r="CM24" s="91">
        <v>23</v>
      </c>
      <c r="CN24" s="91">
        <v>18</v>
      </c>
      <c r="CO24" s="91">
        <v>19</v>
      </c>
      <c r="CP24" s="102">
        <v>142</v>
      </c>
      <c r="CQ24" s="91">
        <v>206</v>
      </c>
      <c r="CR24" s="91">
        <v>188</v>
      </c>
      <c r="CS24" s="91">
        <v>18</v>
      </c>
      <c r="CT24" s="94">
        <v>0</v>
      </c>
      <c r="CU24" s="91">
        <v>206</v>
      </c>
      <c r="CV24" s="91">
        <v>0</v>
      </c>
      <c r="CW24" s="91">
        <v>0</v>
      </c>
      <c r="CX24" s="94">
        <v>0</v>
      </c>
      <c r="CY24" s="91">
        <v>0</v>
      </c>
    </row>
    <row r="25" spans="1:103" x14ac:dyDescent="0.2">
      <c r="A25" s="98" t="s">
        <v>384</v>
      </c>
      <c r="B25" s="689">
        <v>643</v>
      </c>
      <c r="C25" s="695">
        <v>135</v>
      </c>
      <c r="D25" s="696">
        <f t="shared" si="2"/>
        <v>778</v>
      </c>
      <c r="E25" s="696">
        <v>44</v>
      </c>
      <c r="F25" s="696">
        <v>134</v>
      </c>
      <c r="G25" s="696">
        <v>59</v>
      </c>
      <c r="H25" s="696">
        <v>36</v>
      </c>
      <c r="I25" s="696">
        <v>46</v>
      </c>
      <c r="J25" s="696">
        <f t="shared" si="0"/>
        <v>319</v>
      </c>
      <c r="K25" s="696">
        <v>53</v>
      </c>
      <c r="L25" s="689">
        <v>23</v>
      </c>
      <c r="M25" s="696">
        <v>243</v>
      </c>
      <c r="N25" s="696">
        <f t="shared" si="3"/>
        <v>319</v>
      </c>
      <c r="O25" s="696">
        <v>18</v>
      </c>
      <c r="P25" s="696">
        <v>64</v>
      </c>
      <c r="Q25" s="689">
        <v>377</v>
      </c>
      <c r="R25" s="693">
        <f t="shared" si="4"/>
        <v>459</v>
      </c>
      <c r="S25" s="692">
        <v>0</v>
      </c>
      <c r="T25" s="689">
        <v>771</v>
      </c>
      <c r="U25" s="689">
        <f t="shared" si="5"/>
        <v>771</v>
      </c>
      <c r="V25" s="689">
        <v>17</v>
      </c>
      <c r="W25" s="692">
        <v>0</v>
      </c>
      <c r="X25" s="692">
        <v>0</v>
      </c>
      <c r="Y25" s="689">
        <v>9</v>
      </c>
      <c r="Z25" s="694">
        <v>160</v>
      </c>
      <c r="AA25" s="689">
        <f t="shared" si="1"/>
        <v>186</v>
      </c>
      <c r="AB25" s="689">
        <v>175</v>
      </c>
      <c r="AC25" s="689">
        <v>11</v>
      </c>
      <c r="AD25" s="692">
        <v>0</v>
      </c>
      <c r="AE25" s="689">
        <f t="shared" si="6"/>
        <v>186</v>
      </c>
      <c r="AF25" s="689">
        <v>161</v>
      </c>
      <c r="AG25" s="689">
        <v>424</v>
      </c>
      <c r="AH25" s="692">
        <v>0</v>
      </c>
      <c r="AI25" s="689">
        <f t="shared" si="7"/>
        <v>585</v>
      </c>
      <c r="AJ25" s="91">
        <v>459</v>
      </c>
      <c r="AK25" s="95">
        <v>112</v>
      </c>
      <c r="AL25" s="91">
        <v>571</v>
      </c>
      <c r="AM25" s="91">
        <v>18</v>
      </c>
      <c r="AN25" s="91">
        <v>229</v>
      </c>
      <c r="AO25" s="91">
        <v>139</v>
      </c>
      <c r="AP25" s="91">
        <v>78</v>
      </c>
      <c r="AQ25" s="91">
        <v>36</v>
      </c>
      <c r="AR25" s="91">
        <v>500</v>
      </c>
      <c r="AS25" s="91">
        <v>39</v>
      </c>
      <c r="AT25" s="91">
        <v>12</v>
      </c>
      <c r="AU25" s="91">
        <v>449</v>
      </c>
      <c r="AV25" s="91">
        <v>500</v>
      </c>
      <c r="AW25" s="91">
        <v>41</v>
      </c>
      <c r="AX25" s="91">
        <v>29</v>
      </c>
      <c r="AY25" s="94">
        <v>1</v>
      </c>
      <c r="AZ25" s="95">
        <v>71</v>
      </c>
      <c r="BA25" s="94">
        <v>585</v>
      </c>
      <c r="BB25" s="91">
        <v>711</v>
      </c>
      <c r="BC25" s="91">
        <v>1296</v>
      </c>
      <c r="BD25" s="94">
        <v>71</v>
      </c>
      <c r="BE25" s="91">
        <v>133</v>
      </c>
      <c r="BF25" s="91">
        <v>32</v>
      </c>
      <c r="BG25" s="91">
        <v>75</v>
      </c>
      <c r="BH25" s="102">
        <v>156</v>
      </c>
      <c r="BI25" s="91">
        <v>467</v>
      </c>
      <c r="BJ25" s="91">
        <v>248</v>
      </c>
      <c r="BK25" s="91">
        <v>51</v>
      </c>
      <c r="BL25" s="94">
        <v>168</v>
      </c>
      <c r="BM25" s="91">
        <v>467</v>
      </c>
      <c r="BN25" s="91">
        <v>233</v>
      </c>
      <c r="BO25" s="91">
        <v>218</v>
      </c>
      <c r="BP25" s="94">
        <v>378</v>
      </c>
      <c r="BQ25" s="91">
        <v>829</v>
      </c>
      <c r="BR25" s="91">
        <v>71</v>
      </c>
      <c r="BS25" s="95">
        <v>153</v>
      </c>
      <c r="BT25" s="91">
        <v>224</v>
      </c>
      <c r="BU25" s="91">
        <v>1</v>
      </c>
      <c r="BV25" s="91">
        <v>36</v>
      </c>
      <c r="BW25" s="91">
        <v>20</v>
      </c>
      <c r="BX25" s="91">
        <v>16</v>
      </c>
      <c r="BY25" s="91">
        <v>55</v>
      </c>
      <c r="BZ25" s="91">
        <v>128</v>
      </c>
      <c r="CA25" s="91">
        <v>58</v>
      </c>
      <c r="CB25" s="91">
        <v>7</v>
      </c>
      <c r="CC25" s="91">
        <v>63</v>
      </c>
      <c r="CD25" s="91">
        <v>128</v>
      </c>
      <c r="CE25" s="91">
        <v>35</v>
      </c>
      <c r="CF25" s="91">
        <v>58</v>
      </c>
      <c r="CG25" s="94">
        <v>3</v>
      </c>
      <c r="CH25" s="95">
        <v>96</v>
      </c>
      <c r="CI25" s="94">
        <v>829</v>
      </c>
      <c r="CJ25" s="91">
        <v>1457</v>
      </c>
      <c r="CK25" s="91">
        <v>2286</v>
      </c>
      <c r="CL25" s="94">
        <v>98</v>
      </c>
      <c r="CM25" s="91">
        <v>493</v>
      </c>
      <c r="CN25" s="91">
        <v>277</v>
      </c>
      <c r="CO25" s="91">
        <v>189</v>
      </c>
      <c r="CP25" s="102">
        <v>306</v>
      </c>
      <c r="CQ25" s="91">
        <v>1363</v>
      </c>
      <c r="CR25" s="91">
        <v>435</v>
      </c>
      <c r="CS25" s="91">
        <v>299</v>
      </c>
      <c r="CT25" s="94">
        <v>629</v>
      </c>
      <c r="CU25" s="91">
        <v>1363</v>
      </c>
      <c r="CV25" s="91">
        <v>280</v>
      </c>
      <c r="CW25" s="91">
        <v>598</v>
      </c>
      <c r="CX25" s="94">
        <v>45</v>
      </c>
      <c r="CY25" s="91">
        <v>923</v>
      </c>
    </row>
    <row r="26" spans="1:103" x14ac:dyDescent="0.2">
      <c r="A26" s="99" t="s">
        <v>385</v>
      </c>
      <c r="B26" s="697">
        <f>SUM(B9:B25)</f>
        <v>6205</v>
      </c>
      <c r="C26" s="698">
        <f>SUM(C9:C25)</f>
        <v>3440</v>
      </c>
      <c r="D26" s="697">
        <f>SUM(D9:D25)</f>
        <v>9645</v>
      </c>
      <c r="E26" s="697">
        <f>SUM(E9:E25)</f>
        <v>142</v>
      </c>
      <c r="F26" s="697">
        <f>SUM(F9:F25)</f>
        <v>2833</v>
      </c>
      <c r="G26" s="697">
        <f t="shared" ref="G26:P26" si="8">SUM(G9:G25)</f>
        <v>1861</v>
      </c>
      <c r="H26" s="697">
        <f>SUM(H9:H25)</f>
        <v>765</v>
      </c>
      <c r="I26" s="697">
        <f>SUM(I9:I25)</f>
        <v>1644</v>
      </c>
      <c r="J26" s="697">
        <f t="shared" si="8"/>
        <v>7245</v>
      </c>
      <c r="K26" s="697">
        <f t="shared" si="8"/>
        <v>2138</v>
      </c>
      <c r="L26" s="697">
        <f t="shared" si="8"/>
        <v>3300</v>
      </c>
      <c r="M26" s="698">
        <f t="shared" si="8"/>
        <v>1807</v>
      </c>
      <c r="N26" s="698">
        <f t="shared" si="8"/>
        <v>7245</v>
      </c>
      <c r="O26" s="697">
        <f t="shared" si="8"/>
        <v>259</v>
      </c>
      <c r="P26" s="697">
        <f t="shared" si="8"/>
        <v>200</v>
      </c>
      <c r="Q26" s="697">
        <f>SUM(Q9:Q25)</f>
        <v>1941</v>
      </c>
      <c r="R26" s="698">
        <f>SUM(R9:R25)</f>
        <v>2400</v>
      </c>
      <c r="S26" s="699">
        <v>0</v>
      </c>
      <c r="T26" s="697">
        <f>SUM(T9:T25)</f>
        <v>10532</v>
      </c>
      <c r="U26" s="697">
        <f t="shared" ref="U26:AE26" si="9">SUM(U9:U25)</f>
        <v>10532</v>
      </c>
      <c r="V26" s="697">
        <f t="shared" si="9"/>
        <v>56</v>
      </c>
      <c r="W26" s="697">
        <f t="shared" si="9"/>
        <v>2284</v>
      </c>
      <c r="X26" s="697">
        <f t="shared" si="9"/>
        <v>1184</v>
      </c>
      <c r="Y26" s="697">
        <f t="shared" si="9"/>
        <v>448</v>
      </c>
      <c r="Z26" s="697">
        <f t="shared" si="9"/>
        <v>3832</v>
      </c>
      <c r="AA26" s="697">
        <f t="shared" si="9"/>
        <v>7804</v>
      </c>
      <c r="AB26" s="697">
        <f t="shared" si="9"/>
        <v>5256</v>
      </c>
      <c r="AC26" s="697">
        <f t="shared" si="9"/>
        <v>2548</v>
      </c>
      <c r="AD26" s="699">
        <v>0</v>
      </c>
      <c r="AE26" s="697">
        <f t="shared" si="9"/>
        <v>7804</v>
      </c>
      <c r="AF26" s="697">
        <f>SUM(AF9:AF25)</f>
        <v>1232</v>
      </c>
      <c r="AG26" s="697">
        <f>SUM(AG9:AG25)</f>
        <v>1496</v>
      </c>
      <c r="AH26" s="699">
        <v>0</v>
      </c>
      <c r="AI26" s="697">
        <f>SUM(AI9:AI25)</f>
        <v>2728</v>
      </c>
      <c r="AJ26" s="615">
        <v>2400</v>
      </c>
      <c r="AK26" s="616">
        <v>2890</v>
      </c>
      <c r="AL26" s="615">
        <v>5290</v>
      </c>
      <c r="AM26" s="615">
        <v>77</v>
      </c>
      <c r="AN26" s="615">
        <v>1502</v>
      </c>
      <c r="AO26" s="615">
        <v>1199</v>
      </c>
      <c r="AP26" s="615">
        <v>422</v>
      </c>
      <c r="AQ26" s="615">
        <v>1628</v>
      </c>
      <c r="AR26" s="615">
        <v>4828</v>
      </c>
      <c r="AS26" s="615">
        <v>2046</v>
      </c>
      <c r="AT26" s="615">
        <v>469</v>
      </c>
      <c r="AU26" s="616">
        <v>1702</v>
      </c>
      <c r="AV26" s="616">
        <v>4828</v>
      </c>
      <c r="AW26" s="615">
        <v>192</v>
      </c>
      <c r="AX26" s="615">
        <v>45</v>
      </c>
      <c r="AY26" s="615">
        <v>225</v>
      </c>
      <c r="AZ26" s="616">
        <v>462</v>
      </c>
      <c r="BA26" s="617">
        <v>2729</v>
      </c>
      <c r="BB26" s="615">
        <v>9992</v>
      </c>
      <c r="BC26" s="615">
        <v>12721</v>
      </c>
      <c r="BD26" s="615">
        <v>173</v>
      </c>
      <c r="BE26" s="615">
        <v>3406</v>
      </c>
      <c r="BF26" s="615">
        <v>1775</v>
      </c>
      <c r="BG26" s="615">
        <v>967</v>
      </c>
      <c r="BH26" s="615">
        <v>3954</v>
      </c>
      <c r="BI26" s="615">
        <v>10275</v>
      </c>
      <c r="BJ26" s="615">
        <v>7627</v>
      </c>
      <c r="BK26" s="615">
        <v>1895</v>
      </c>
      <c r="BL26" s="617">
        <v>753</v>
      </c>
      <c r="BM26" s="615">
        <v>10275</v>
      </c>
      <c r="BN26" s="615">
        <v>1154</v>
      </c>
      <c r="BO26" s="615">
        <v>499</v>
      </c>
      <c r="BP26" s="617">
        <v>793</v>
      </c>
      <c r="BQ26" s="615">
        <v>2446</v>
      </c>
      <c r="BR26" s="615">
        <v>462</v>
      </c>
      <c r="BS26" s="616">
        <v>3893</v>
      </c>
      <c r="BT26" s="615">
        <v>4355</v>
      </c>
      <c r="BU26" s="615">
        <v>111</v>
      </c>
      <c r="BV26" s="615">
        <v>584</v>
      </c>
      <c r="BW26" s="615">
        <v>665</v>
      </c>
      <c r="BX26" s="615">
        <v>197</v>
      </c>
      <c r="BY26" s="615">
        <v>2431</v>
      </c>
      <c r="BZ26" s="615">
        <v>3988</v>
      </c>
      <c r="CA26" s="615">
        <v>3196</v>
      </c>
      <c r="CB26" s="615">
        <v>494</v>
      </c>
      <c r="CC26" s="616">
        <v>297</v>
      </c>
      <c r="CD26" s="616">
        <v>3987</v>
      </c>
      <c r="CE26" s="615">
        <v>240</v>
      </c>
      <c r="CF26" s="615">
        <v>124</v>
      </c>
      <c r="CG26" s="615">
        <v>3</v>
      </c>
      <c r="CH26" s="616">
        <v>367</v>
      </c>
      <c r="CI26" s="617">
        <v>2446</v>
      </c>
      <c r="CJ26" s="615">
        <v>19470</v>
      </c>
      <c r="CK26" s="615">
        <v>21916</v>
      </c>
      <c r="CL26" s="615">
        <v>534</v>
      </c>
      <c r="CM26" s="615">
        <v>4317</v>
      </c>
      <c r="CN26" s="615">
        <v>2444</v>
      </c>
      <c r="CO26" s="615">
        <v>1851</v>
      </c>
      <c r="CP26" s="615">
        <v>9491</v>
      </c>
      <c r="CQ26" s="615">
        <v>18637</v>
      </c>
      <c r="CR26" s="615">
        <v>13744</v>
      </c>
      <c r="CS26" s="615">
        <v>3708</v>
      </c>
      <c r="CT26" s="617">
        <v>1185</v>
      </c>
      <c r="CU26" s="615">
        <v>18637</v>
      </c>
      <c r="CV26" s="615">
        <v>1751</v>
      </c>
      <c r="CW26" s="615">
        <v>1483</v>
      </c>
      <c r="CX26" s="617">
        <v>45</v>
      </c>
      <c r="CY26" s="615">
        <v>3279</v>
      </c>
    </row>
    <row r="27" spans="1:103" x14ac:dyDescent="0.2">
      <c r="A27" s="97"/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6"/>
      <c r="AJ27" s="97"/>
      <c r="AK27" s="97"/>
      <c r="AL27" s="97"/>
      <c r="AM27" s="97"/>
      <c r="AN27" s="97"/>
      <c r="AO27" s="97"/>
      <c r="AP27" s="97"/>
      <c r="AQ27" s="97"/>
      <c r="AR27" s="97"/>
      <c r="AS27" s="97"/>
      <c r="AT27" s="97"/>
      <c r="AU27" s="97"/>
      <c r="AV27" s="97"/>
      <c r="AW27" s="97"/>
      <c r="AX27" s="96"/>
      <c r="BR27" s="97"/>
      <c r="BS27" s="97"/>
      <c r="BT27" s="97"/>
      <c r="BU27" s="97"/>
      <c r="BV27" s="97"/>
      <c r="BW27" s="97"/>
      <c r="BX27" s="97"/>
      <c r="BY27" s="97"/>
      <c r="BZ27" s="97"/>
      <c r="CA27" s="97"/>
      <c r="CB27" s="97"/>
      <c r="CC27" s="97"/>
      <c r="CD27" s="97"/>
      <c r="CE27" s="97"/>
      <c r="CF27" s="96"/>
    </row>
    <row r="28" spans="1:103" x14ac:dyDescent="0.2">
      <c r="A28" s="100"/>
      <c r="B28" s="97"/>
      <c r="C28" s="97"/>
      <c r="D28" s="97"/>
      <c r="E28" s="97"/>
      <c r="F28" s="97"/>
      <c r="G28" s="97"/>
      <c r="H28" s="97"/>
      <c r="I28" s="96"/>
      <c r="J28" s="97"/>
      <c r="K28" s="97"/>
      <c r="L28" s="97"/>
      <c r="M28" s="97"/>
      <c r="N28" s="97"/>
      <c r="O28" s="97"/>
      <c r="P28" s="97"/>
      <c r="Q28" s="97"/>
      <c r="AJ28" s="97"/>
      <c r="AK28" s="97"/>
      <c r="AL28" s="97"/>
      <c r="AM28" s="97"/>
      <c r="AN28" s="97"/>
      <c r="AO28" s="97"/>
      <c r="AP28" s="97"/>
      <c r="AQ28" s="96"/>
      <c r="AR28" s="97"/>
      <c r="AS28" s="97"/>
      <c r="AT28" s="97"/>
      <c r="AU28" s="97"/>
      <c r="AV28" s="97"/>
      <c r="AW28" s="97"/>
      <c r="AX28" s="97"/>
      <c r="AY28" s="97"/>
      <c r="BR28" s="97"/>
      <c r="BS28" s="97"/>
      <c r="BT28" s="97"/>
      <c r="BU28" s="97"/>
      <c r="BV28" s="97"/>
      <c r="BW28" s="97"/>
      <c r="BX28" s="97"/>
      <c r="BY28" s="96"/>
      <c r="BZ28" s="97"/>
      <c r="CA28" s="97"/>
      <c r="CB28" s="97"/>
      <c r="CC28" s="97"/>
      <c r="CD28" s="97"/>
      <c r="CE28" s="97"/>
      <c r="CF28" s="97"/>
      <c r="CG28" s="97"/>
    </row>
    <row r="29" spans="1:103" x14ac:dyDescent="0.2">
      <c r="A29" s="101"/>
      <c r="B29" s="97"/>
      <c r="C29" s="97"/>
      <c r="D29" s="96"/>
      <c r="E29" s="97"/>
      <c r="F29" s="97"/>
      <c r="I29" s="96"/>
      <c r="J29" s="97"/>
      <c r="K29" s="97"/>
      <c r="L29" s="97"/>
      <c r="M29" s="97"/>
      <c r="N29" s="97"/>
      <c r="O29" s="97"/>
      <c r="P29" s="97"/>
      <c r="Q29" s="97"/>
      <c r="AJ29" s="97"/>
      <c r="AK29" s="97"/>
      <c r="AL29" s="96"/>
      <c r="AM29" s="97"/>
      <c r="AN29" s="97"/>
      <c r="AQ29" s="96"/>
      <c r="AR29" s="97"/>
      <c r="AS29" s="97"/>
      <c r="AT29" s="97"/>
      <c r="AU29" s="97"/>
      <c r="AV29" s="97"/>
      <c r="AW29" s="97"/>
      <c r="AX29" s="97"/>
      <c r="AY29" s="97"/>
      <c r="BR29" s="97"/>
      <c r="BS29" s="97"/>
      <c r="BT29" s="96"/>
      <c r="BU29" s="97"/>
      <c r="BV29" s="97"/>
      <c r="BY29" s="96"/>
      <c r="BZ29" s="97"/>
      <c r="CA29" s="97"/>
      <c r="CB29" s="97"/>
      <c r="CC29" s="97"/>
      <c r="CD29" s="97"/>
      <c r="CE29" s="97"/>
      <c r="CF29" s="97"/>
      <c r="CG29" s="97"/>
    </row>
    <row r="30" spans="1:103" x14ac:dyDescent="0.2">
      <c r="A30" s="101"/>
      <c r="B30" s="97"/>
      <c r="C30" s="97"/>
      <c r="G30" s="97"/>
      <c r="H30" s="97"/>
      <c r="I30" s="96"/>
      <c r="J30" s="97"/>
      <c r="K30" s="97"/>
      <c r="M30" s="97"/>
      <c r="N30" s="97"/>
      <c r="O30" s="97"/>
      <c r="P30" s="97"/>
      <c r="Q30" s="97"/>
      <c r="AJ30" s="97"/>
      <c r="AK30" s="97"/>
      <c r="AO30" s="97"/>
      <c r="AP30" s="97"/>
      <c r="AQ30" s="96"/>
      <c r="AR30" s="97"/>
      <c r="AS30" s="97"/>
      <c r="AU30" s="97"/>
      <c r="AV30" s="97"/>
      <c r="AW30" s="97"/>
      <c r="AX30" s="97"/>
      <c r="AY30" s="97"/>
      <c r="BR30" s="97"/>
      <c r="BS30" s="97"/>
      <c r="BW30" s="97"/>
      <c r="BX30" s="97"/>
      <c r="BY30" s="96"/>
      <c r="BZ30" s="97"/>
      <c r="CA30" s="97"/>
      <c r="CC30" s="97"/>
      <c r="CD30" s="97"/>
      <c r="CE30" s="97"/>
      <c r="CF30" s="97"/>
      <c r="CG30" s="97"/>
    </row>
    <row r="31" spans="1:103" x14ac:dyDescent="0.2">
      <c r="A31" s="101"/>
      <c r="B31" s="97"/>
      <c r="C31" s="97"/>
      <c r="D31" s="97"/>
      <c r="E31" s="97"/>
      <c r="F31" s="97"/>
      <c r="G31" s="97"/>
      <c r="H31" s="97"/>
      <c r="I31" s="96"/>
      <c r="J31" s="97"/>
      <c r="K31" s="97"/>
      <c r="L31" s="97"/>
      <c r="M31" s="97"/>
      <c r="N31" s="97"/>
      <c r="O31" s="97"/>
      <c r="P31" s="97"/>
      <c r="Q31" s="97"/>
      <c r="AJ31" s="97"/>
      <c r="AK31" s="97"/>
      <c r="AL31" s="97"/>
      <c r="AM31" s="97"/>
      <c r="AN31" s="97"/>
      <c r="AO31" s="97"/>
      <c r="AP31" s="97"/>
      <c r="AQ31" s="96"/>
      <c r="AR31" s="97"/>
      <c r="AS31" s="97"/>
      <c r="AT31" s="97"/>
      <c r="AU31" s="97"/>
      <c r="AV31" s="97"/>
      <c r="AW31" s="97"/>
      <c r="AX31" s="97"/>
      <c r="AY31" s="97"/>
      <c r="BR31" s="97"/>
      <c r="BS31" s="97"/>
      <c r="BT31" s="97"/>
      <c r="BU31" s="97"/>
      <c r="BV31" s="97"/>
      <c r="BW31" s="97"/>
      <c r="BX31" s="97"/>
      <c r="BY31" s="96"/>
      <c r="BZ31" s="97"/>
      <c r="CA31" s="97"/>
      <c r="CB31" s="97"/>
      <c r="CC31" s="97"/>
      <c r="CD31" s="97"/>
      <c r="CE31" s="97"/>
      <c r="CF31" s="97"/>
      <c r="CG31" s="97"/>
    </row>
    <row r="32" spans="1:103" x14ac:dyDescent="0.2">
      <c r="A32" s="97"/>
      <c r="B32" s="97"/>
      <c r="C32" s="97"/>
      <c r="D32" s="97"/>
      <c r="E32" s="97"/>
      <c r="F32" s="97"/>
      <c r="G32" s="97"/>
      <c r="H32" s="97"/>
      <c r="I32" s="96"/>
      <c r="J32" s="97"/>
      <c r="K32" s="97"/>
      <c r="L32" s="97"/>
      <c r="M32" s="97"/>
      <c r="N32" s="97"/>
      <c r="O32" s="97"/>
      <c r="P32" s="97"/>
      <c r="Q32" s="97"/>
      <c r="AJ32" s="97"/>
      <c r="AK32" s="97"/>
      <c r="AL32" s="97"/>
      <c r="AM32" s="97"/>
      <c r="AN32" s="97"/>
      <c r="AO32" s="97"/>
      <c r="AP32" s="97"/>
      <c r="AQ32" s="96"/>
      <c r="AR32" s="97"/>
      <c r="AS32" s="97"/>
      <c r="AT32" s="97"/>
      <c r="AU32" s="97"/>
      <c r="AV32" s="97"/>
      <c r="AW32" s="97"/>
      <c r="AX32" s="97"/>
      <c r="AY32" s="97"/>
      <c r="BR32" s="97"/>
      <c r="BS32" s="97"/>
      <c r="BT32" s="97"/>
      <c r="BU32" s="97"/>
      <c r="BV32" s="97"/>
      <c r="BW32" s="97"/>
      <c r="BX32" s="97"/>
      <c r="BY32" s="96"/>
      <c r="BZ32" s="97"/>
      <c r="CA32" s="97"/>
      <c r="CB32" s="97"/>
      <c r="CC32" s="97"/>
      <c r="CD32" s="97"/>
      <c r="CE32" s="97"/>
      <c r="CF32" s="97"/>
      <c r="CG32" s="97"/>
    </row>
    <row r="33" spans="1:86" x14ac:dyDescent="0.2">
      <c r="A33" s="101"/>
      <c r="B33" s="97"/>
      <c r="C33" s="97"/>
      <c r="D33" s="97"/>
      <c r="E33" s="97"/>
      <c r="F33" s="97"/>
      <c r="G33" s="97"/>
      <c r="H33" s="97"/>
      <c r="I33" s="96"/>
      <c r="J33" s="97"/>
      <c r="K33" s="97"/>
      <c r="L33" s="97"/>
      <c r="M33" s="97"/>
      <c r="N33" s="97"/>
      <c r="O33" s="97"/>
      <c r="P33" s="97"/>
      <c r="Q33" s="97"/>
      <c r="AJ33" s="97"/>
      <c r="AK33" s="97"/>
      <c r="AL33" s="97"/>
      <c r="AM33" s="97"/>
      <c r="AN33" s="97"/>
      <c r="AO33" s="97"/>
      <c r="AP33" s="97"/>
      <c r="AQ33" s="96"/>
      <c r="AR33" s="97"/>
      <c r="AS33" s="97"/>
      <c r="AT33" s="97"/>
      <c r="AU33" s="97"/>
      <c r="AV33" s="97"/>
      <c r="AW33" s="97"/>
      <c r="AX33" s="97"/>
      <c r="AY33" s="97"/>
      <c r="BR33" s="97"/>
      <c r="BS33" s="97"/>
      <c r="BT33" s="97"/>
      <c r="BU33" s="97"/>
      <c r="BV33" s="97"/>
      <c r="BW33" s="97"/>
      <c r="BX33" s="97"/>
      <c r="BY33" s="96"/>
      <c r="BZ33" s="97"/>
      <c r="CA33" s="97"/>
      <c r="CB33" s="97"/>
      <c r="CC33" s="97"/>
      <c r="CD33" s="97"/>
      <c r="CE33" s="97"/>
      <c r="CF33" s="97"/>
      <c r="CG33" s="97"/>
    </row>
    <row r="34" spans="1:86" x14ac:dyDescent="0.2">
      <c r="A34" s="97"/>
      <c r="B34" s="97"/>
      <c r="C34" s="97"/>
      <c r="D34" s="97"/>
      <c r="E34" s="97"/>
      <c r="F34" s="97"/>
      <c r="G34" s="97"/>
      <c r="H34" s="97"/>
      <c r="I34" s="96"/>
      <c r="J34" s="97"/>
      <c r="K34" s="97"/>
      <c r="L34" s="97"/>
      <c r="M34" s="97"/>
      <c r="N34" s="97"/>
      <c r="O34" s="97"/>
      <c r="P34" s="97"/>
      <c r="Q34" s="97"/>
      <c r="AJ34" s="97"/>
      <c r="AK34" s="97"/>
      <c r="AL34" s="97"/>
      <c r="AM34" s="97"/>
      <c r="AN34" s="97"/>
      <c r="AO34" s="97"/>
      <c r="AP34" s="97"/>
      <c r="AQ34" s="96"/>
      <c r="AR34" s="97"/>
      <c r="AS34" s="97"/>
      <c r="AT34" s="97"/>
      <c r="AU34" s="97"/>
      <c r="AV34" s="97"/>
      <c r="AW34" s="97"/>
      <c r="AX34" s="97"/>
      <c r="AY34" s="97"/>
      <c r="BR34" s="97"/>
      <c r="BS34" s="97"/>
      <c r="BT34" s="97"/>
      <c r="BU34" s="97"/>
      <c r="BV34" s="97"/>
      <c r="BW34" s="97"/>
      <c r="BX34" s="97"/>
      <c r="BY34" s="96"/>
      <c r="BZ34" s="97"/>
      <c r="CA34" s="97"/>
      <c r="CB34" s="97"/>
      <c r="CC34" s="97"/>
      <c r="CD34" s="97"/>
      <c r="CE34" s="97"/>
      <c r="CF34" s="97"/>
      <c r="CG34" s="97"/>
    </row>
    <row r="35" spans="1:86" x14ac:dyDescent="0.2">
      <c r="A35" s="101"/>
      <c r="B35" s="97"/>
      <c r="C35" s="97"/>
      <c r="D35" s="97"/>
      <c r="E35" s="97"/>
      <c r="F35" s="97"/>
      <c r="G35" s="97"/>
      <c r="H35" s="97"/>
      <c r="I35" s="96"/>
      <c r="J35" s="97"/>
      <c r="K35" s="97"/>
      <c r="L35" s="97"/>
      <c r="M35" s="97"/>
      <c r="N35" s="97"/>
      <c r="O35" s="97"/>
      <c r="P35" s="97"/>
      <c r="Q35" s="97"/>
      <c r="AJ35" s="97"/>
      <c r="AK35" s="97"/>
      <c r="AL35" s="97"/>
      <c r="AM35" s="97"/>
      <c r="AN35" s="97"/>
      <c r="AO35" s="97"/>
      <c r="AP35" s="97"/>
      <c r="AQ35" s="96"/>
      <c r="AR35" s="97"/>
      <c r="AS35" s="97"/>
      <c r="AT35" s="97"/>
      <c r="AU35" s="97"/>
      <c r="AV35" s="97"/>
      <c r="AW35" s="97"/>
      <c r="AX35" s="97"/>
      <c r="AY35" s="97"/>
      <c r="BR35" s="97"/>
      <c r="BS35" s="97"/>
      <c r="BT35" s="97"/>
      <c r="BU35" s="97"/>
      <c r="BV35" s="97"/>
      <c r="BW35" s="97"/>
      <c r="BX35" s="97"/>
      <c r="BY35" s="96"/>
      <c r="BZ35" s="97"/>
      <c r="CA35" s="97"/>
      <c r="CB35" s="97"/>
      <c r="CC35" s="97"/>
      <c r="CD35" s="97"/>
      <c r="CE35" s="97"/>
      <c r="CF35" s="97"/>
      <c r="CG35" s="97"/>
    </row>
    <row r="36" spans="1:86" x14ac:dyDescent="0.2">
      <c r="A36" s="101"/>
      <c r="B36" s="97"/>
      <c r="C36" s="97"/>
      <c r="D36" s="97"/>
      <c r="E36" s="97"/>
      <c r="F36" s="97"/>
      <c r="G36" s="97"/>
      <c r="H36" s="97"/>
      <c r="I36" s="96"/>
      <c r="J36" s="97"/>
      <c r="K36" s="97"/>
      <c r="L36" s="97"/>
      <c r="M36" s="97"/>
      <c r="N36" s="97"/>
      <c r="O36" s="97"/>
      <c r="P36" s="97"/>
      <c r="Q36" s="97"/>
      <c r="R36" s="97"/>
      <c r="AJ36" s="97"/>
      <c r="AK36" s="97"/>
      <c r="AL36" s="97"/>
      <c r="AM36" s="97"/>
      <c r="AN36" s="97"/>
      <c r="AO36" s="97"/>
      <c r="AP36" s="97"/>
      <c r="AQ36" s="96"/>
      <c r="AR36" s="97"/>
      <c r="AS36" s="97"/>
      <c r="AT36" s="97"/>
      <c r="AU36" s="97"/>
      <c r="AV36" s="97"/>
      <c r="AW36" s="97"/>
      <c r="AX36" s="97"/>
      <c r="AY36" s="97"/>
      <c r="AZ36" s="97"/>
      <c r="BR36" s="97"/>
      <c r="BS36" s="97"/>
      <c r="BT36" s="97"/>
      <c r="BU36" s="97"/>
      <c r="BV36" s="97"/>
      <c r="BW36" s="97"/>
      <c r="BX36" s="97"/>
      <c r="BY36" s="96"/>
      <c r="BZ36" s="97"/>
      <c r="CA36" s="97"/>
      <c r="CB36" s="97"/>
      <c r="CC36" s="97"/>
      <c r="CD36" s="97"/>
      <c r="CE36" s="97"/>
      <c r="CF36" s="97"/>
      <c r="CG36" s="97"/>
      <c r="CH36" s="97"/>
    </row>
    <row r="37" spans="1:86" x14ac:dyDescent="0.2">
      <c r="A37" s="97"/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AJ37" s="97"/>
      <c r="AK37" s="97"/>
      <c r="AL37" s="97"/>
      <c r="AM37" s="97"/>
      <c r="AN37" s="97"/>
      <c r="AO37" s="97"/>
      <c r="AP37" s="97"/>
      <c r="AQ37" s="97"/>
      <c r="AR37" s="97"/>
      <c r="AS37" s="97"/>
      <c r="AT37" s="97"/>
      <c r="AU37" s="97"/>
      <c r="AV37" s="97"/>
      <c r="AW37" s="97"/>
      <c r="AX37" s="97"/>
      <c r="AY37" s="97"/>
      <c r="BR37" s="97"/>
      <c r="BS37" s="97"/>
      <c r="BT37" s="97"/>
      <c r="BU37" s="97"/>
      <c r="BV37" s="97"/>
      <c r="BW37" s="97"/>
      <c r="BX37" s="97"/>
      <c r="BY37" s="97"/>
      <c r="BZ37" s="97"/>
      <c r="CA37" s="97"/>
      <c r="CB37" s="97"/>
      <c r="CC37" s="97"/>
      <c r="CD37" s="97"/>
      <c r="CE37" s="97"/>
      <c r="CF37" s="97"/>
      <c r="CG37" s="97"/>
    </row>
    <row r="38" spans="1:86" x14ac:dyDescent="0.2">
      <c r="A38" s="97"/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N38" s="97"/>
      <c r="O38" s="97"/>
      <c r="P38" s="97"/>
      <c r="Q38" s="97"/>
      <c r="AJ38" s="97"/>
      <c r="AK38" s="97"/>
      <c r="AL38" s="97"/>
      <c r="AM38" s="97"/>
      <c r="AN38" s="97"/>
      <c r="AO38" s="97"/>
      <c r="AP38" s="97"/>
      <c r="AQ38" s="97"/>
      <c r="AR38" s="97"/>
      <c r="AS38" s="97"/>
      <c r="AT38" s="97"/>
      <c r="AV38" s="97"/>
      <c r="AW38" s="97"/>
      <c r="AX38" s="97"/>
      <c r="AY38" s="97"/>
      <c r="BR38" s="97"/>
      <c r="BS38" s="97"/>
      <c r="BT38" s="97"/>
      <c r="BU38" s="97"/>
      <c r="BV38" s="97"/>
      <c r="BW38" s="97"/>
      <c r="BX38" s="97"/>
      <c r="BY38" s="97"/>
      <c r="BZ38" s="97"/>
      <c r="CA38" s="97"/>
      <c r="CB38" s="97"/>
      <c r="CD38" s="97"/>
      <c r="CE38" s="97"/>
      <c r="CF38" s="97"/>
      <c r="CG38" s="97"/>
    </row>
  </sheetData>
  <mergeCells count="139">
    <mergeCell ref="BG6:BG8"/>
    <mergeCell ref="BH6:BH8"/>
    <mergeCell ref="BP6:BP8"/>
    <mergeCell ref="BQ6:BQ8"/>
    <mergeCell ref="BJ6:BJ8"/>
    <mergeCell ref="BK6:BK8"/>
    <mergeCell ref="BL6:BL8"/>
    <mergeCell ref="BM6:BM8"/>
    <mergeCell ref="BN6:BN8"/>
    <mergeCell ref="BO6:BO8"/>
    <mergeCell ref="AX6:AX8"/>
    <mergeCell ref="AY6:AY8"/>
    <mergeCell ref="AZ6:AZ8"/>
    <mergeCell ref="BA6:BA8"/>
    <mergeCell ref="BB6:BB8"/>
    <mergeCell ref="BC6:BC8"/>
    <mergeCell ref="BD6:BD8"/>
    <mergeCell ref="BE6:BE8"/>
    <mergeCell ref="BF6:BF8"/>
    <mergeCell ref="BA4:BQ4"/>
    <mergeCell ref="AJ5:AL5"/>
    <mergeCell ref="AM5:AR5"/>
    <mergeCell ref="AS5:AV5"/>
    <mergeCell ref="AW5:AZ5"/>
    <mergeCell ref="BA5:BC5"/>
    <mergeCell ref="BD5:BI5"/>
    <mergeCell ref="AW6:AW8"/>
    <mergeCell ref="BJ5:BM5"/>
    <mergeCell ref="BN5:BQ5"/>
    <mergeCell ref="AJ6:AJ8"/>
    <mergeCell ref="AK6:AK8"/>
    <mergeCell ref="AL6:AL8"/>
    <mergeCell ref="AM6:AM8"/>
    <mergeCell ref="AN6:AN8"/>
    <mergeCell ref="AO6:AO8"/>
    <mergeCell ref="AP6:AP8"/>
    <mergeCell ref="AQ6:AQ8"/>
    <mergeCell ref="AR6:AR8"/>
    <mergeCell ref="AS6:AS8"/>
    <mergeCell ref="AT6:AT8"/>
    <mergeCell ref="AU6:AU8"/>
    <mergeCell ref="AV6:AV8"/>
    <mergeCell ref="BI6:BI8"/>
    <mergeCell ref="CC6:CC8"/>
    <mergeCell ref="BT6:BT8"/>
    <mergeCell ref="BU6:BU8"/>
    <mergeCell ref="BV6:BV8"/>
    <mergeCell ref="BW6:BW8"/>
    <mergeCell ref="BX6:BX8"/>
    <mergeCell ref="AJ3:BQ3"/>
    <mergeCell ref="A3:A8"/>
    <mergeCell ref="CI1:CX1"/>
    <mergeCell ref="BR3:CY3"/>
    <mergeCell ref="BR4:CH4"/>
    <mergeCell ref="CI4:CY4"/>
    <mergeCell ref="BR5:BT5"/>
    <mergeCell ref="BU5:BZ5"/>
    <mergeCell ref="CA5:CD5"/>
    <mergeCell ref="CE5:CH5"/>
    <mergeCell ref="CI5:CK5"/>
    <mergeCell ref="CL5:CQ5"/>
    <mergeCell ref="CR5:CU5"/>
    <mergeCell ref="CV5:CY5"/>
    <mergeCell ref="BR6:BR8"/>
    <mergeCell ref="BS6:BS8"/>
    <mergeCell ref="BA1:BP1"/>
    <mergeCell ref="AJ4:AZ4"/>
    <mergeCell ref="CY6:CY8"/>
    <mergeCell ref="S1:AH1"/>
    <mergeCell ref="B4:R4"/>
    <mergeCell ref="S4:AI4"/>
    <mergeCell ref="B5:D5"/>
    <mergeCell ref="E5:J5"/>
    <mergeCell ref="K5:N5"/>
    <mergeCell ref="O5:R5"/>
    <mergeCell ref="S5:U5"/>
    <mergeCell ref="V5:AA5"/>
    <mergeCell ref="AB5:AE5"/>
    <mergeCell ref="AF5:AI5"/>
    <mergeCell ref="B6:B8"/>
    <mergeCell ref="C6:C8"/>
    <mergeCell ref="D6:D8"/>
    <mergeCell ref="CS6:CS8"/>
    <mergeCell ref="CT6:CT8"/>
    <mergeCell ref="CU6:CU8"/>
    <mergeCell ref="CV6:CV8"/>
    <mergeCell ref="CW6:CW8"/>
    <mergeCell ref="CN6:CN8"/>
    <mergeCell ref="CO6:CO8"/>
    <mergeCell ref="CP6:CP8"/>
    <mergeCell ref="CQ6:CQ8"/>
    <mergeCell ref="L6:L8"/>
    <mergeCell ref="M6:M8"/>
    <mergeCell ref="N6:N8"/>
    <mergeCell ref="E6:E8"/>
    <mergeCell ref="F6:F8"/>
    <mergeCell ref="G6:G8"/>
    <mergeCell ref="H6:H8"/>
    <mergeCell ref="I6:I8"/>
    <mergeCell ref="CX6:CX8"/>
    <mergeCell ref="CR6:CR8"/>
    <mergeCell ref="CI6:CI8"/>
    <mergeCell ref="CJ6:CJ8"/>
    <mergeCell ref="CK6:CK8"/>
    <mergeCell ref="CL6:CL8"/>
    <mergeCell ref="CM6:CM8"/>
    <mergeCell ref="CD6:CD8"/>
    <mergeCell ref="CE6:CE8"/>
    <mergeCell ref="CF6:CF8"/>
    <mergeCell ref="CG6:CG8"/>
    <mergeCell ref="CH6:CH8"/>
    <mergeCell ref="BY6:BY8"/>
    <mergeCell ref="BZ6:BZ8"/>
    <mergeCell ref="CA6:CA8"/>
    <mergeCell ref="CB6:CB8"/>
    <mergeCell ref="AI6:AI8"/>
    <mergeCell ref="B3:AI3"/>
    <mergeCell ref="AD6:AD8"/>
    <mergeCell ref="AE6:AE8"/>
    <mergeCell ref="AF6:AF8"/>
    <mergeCell ref="AG6:AG8"/>
    <mergeCell ref="AH6:AH8"/>
    <mergeCell ref="Y6:Y8"/>
    <mergeCell ref="Z6:Z8"/>
    <mergeCell ref="AA6:AA8"/>
    <mergeCell ref="AB6:AB8"/>
    <mergeCell ref="AC6:AC8"/>
    <mergeCell ref="T6:T8"/>
    <mergeCell ref="U6:U8"/>
    <mergeCell ref="V6:V8"/>
    <mergeCell ref="W6:W8"/>
    <mergeCell ref="X6:X8"/>
    <mergeCell ref="O6:O8"/>
    <mergeCell ref="P6:P8"/>
    <mergeCell ref="Q6:Q8"/>
    <mergeCell ref="R6:R8"/>
    <mergeCell ref="S6:S8"/>
    <mergeCell ref="J6:J8"/>
    <mergeCell ref="K6:K8"/>
  </mergeCells>
  <printOptions horizontalCentered="1" verticalCentered="1"/>
  <pageMargins left="0.11811023622047245" right="0" top="0.74803149606299213" bottom="0.35433070866141736" header="0.31496062992125984" footer="0.31496062992125984"/>
  <pageSetup scale="4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23</vt:i4>
      </vt:variant>
    </vt:vector>
  </HeadingPairs>
  <TitlesOfParts>
    <vt:vector size="43" baseType="lpstr">
      <vt:lpstr>Index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'43'!Print_Area</vt:lpstr>
      <vt:lpstr>'44'!Print_Area</vt:lpstr>
      <vt:lpstr>'45'!Print_Area</vt:lpstr>
      <vt:lpstr>'47'!Print_Area</vt:lpstr>
      <vt:lpstr>'48'!Print_Area</vt:lpstr>
      <vt:lpstr>'53'!Print_Area</vt:lpstr>
      <vt:lpstr>'54'!Print_Area</vt:lpstr>
      <vt:lpstr>'55'!Print_Area</vt:lpstr>
      <vt:lpstr>'56'!Print_Area</vt:lpstr>
      <vt:lpstr>'57'!Print_Area</vt:lpstr>
      <vt:lpstr>'58'!Print_Area</vt:lpstr>
      <vt:lpstr>'60'!Print_Area</vt:lpstr>
      <vt:lpstr>'44'!Print_Titles</vt:lpstr>
      <vt:lpstr>'45'!Print_Titles</vt:lpstr>
      <vt:lpstr>'46'!Print_Titles</vt:lpstr>
      <vt:lpstr>'48'!Print_Titles</vt:lpstr>
      <vt:lpstr>'53'!Print_Titles</vt:lpstr>
      <vt:lpstr>'54'!Print_Titles</vt:lpstr>
      <vt:lpstr>'55'!Print_Titles</vt:lpstr>
      <vt:lpstr>'56'!Print_Titles</vt:lpstr>
      <vt:lpstr>'57'!Print_Titles</vt:lpstr>
      <vt:lpstr>'58'!Print_Titles</vt:lpstr>
      <vt:lpstr>'60'!Print_Titles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SANJEEV</dc:creator>
  <cp:lastModifiedBy>H Jeyanthi</cp:lastModifiedBy>
  <cp:lastPrinted>2022-01-11T06:22:37Z</cp:lastPrinted>
  <dcterms:created xsi:type="dcterms:W3CDTF">2018-05-09T10:15:02Z</dcterms:created>
  <dcterms:modified xsi:type="dcterms:W3CDTF">2023-02-02T12:35:47Z</dcterms:modified>
</cp:coreProperties>
</file>